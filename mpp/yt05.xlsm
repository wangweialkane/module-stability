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9ac7371ac5a0a95e/文档/slide/stability/mpp/"/>
    </mc:Choice>
  </mc:AlternateContent>
  <xr:revisionPtr revIDLastSave="3" documentId="13_ncr:1_{C9E17366-9EF3-4298-89E8-4FC183B70009}" xr6:coauthVersionLast="47" xr6:coauthVersionMax="47" xr10:uidLastSave="{BE73AD97-1C37-4402-BEC5-17978F6A5876}"/>
  <bookViews>
    <workbookView xWindow="-108" yWindow="-108" windowWidth="30936" windowHeight="16896" tabRatio="760" activeTab="3" xr2:uid="{00000000-000D-0000-FFFF-FFFF00000000}"/>
  </bookViews>
  <sheets>
    <sheet name="NEW" sheetId="64" r:id="rId1"/>
    <sheet name="20221206T090000" sheetId="65" r:id="rId2"/>
    <sheet name="20221207T090000" sheetId="66" r:id="rId3"/>
    <sheet name="20221210T210000" sheetId="67" r:id="rId4"/>
    <sheet name="Sheet2" sheetId="63" r:id="rId5"/>
  </sheets>
  <definedNames>
    <definedName name="sheetnames">GET.WORKBOOK(1)&amp;T(NOW())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/>
  <c r="BD184" i="67"/>
  <c r="BE184" i="67"/>
  <c r="BD185" i="67"/>
  <c r="BE185" i="67"/>
  <c r="BD186" i="67"/>
  <c r="BE186" i="67" s="1"/>
  <c r="BD187" i="67"/>
  <c r="BE187" i="67" s="1"/>
  <c r="BD188" i="67"/>
  <c r="BE188" i="67"/>
  <c r="BD189" i="67"/>
  <c r="BE189" i="67"/>
  <c r="BD190" i="67"/>
  <c r="BE190" i="67" s="1"/>
  <c r="BD191" i="67"/>
  <c r="BE191" i="67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 s="1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 s="1"/>
  <c r="AV189" i="67"/>
  <c r="AW189" i="67"/>
  <c r="AV190" i="67"/>
  <c r="AW190" i="67"/>
  <c r="AV191" i="67"/>
  <c r="AW191" i="67"/>
  <c r="AV192" i="67"/>
  <c r="AW192" i="67" s="1"/>
  <c r="AV193" i="67"/>
  <c r="AW193" i="67"/>
  <c r="AV194" i="67"/>
  <c r="AW194" i="67" s="1"/>
  <c r="AV195" i="67"/>
  <c r="AW195" i="67" s="1"/>
  <c r="AV196" i="67"/>
  <c r="AW196" i="67"/>
  <c r="AV197" i="67"/>
  <c r="AW197" i="67"/>
  <c r="AV198" i="67"/>
  <c r="AW198" i="67" s="1"/>
  <c r="AV199" i="67"/>
  <c r="AW199" i="67"/>
  <c r="AV200" i="67"/>
  <c r="AW200" i="67" s="1"/>
  <c r="AV201" i="67"/>
  <c r="AW201" i="67" s="1"/>
  <c r="AV202" i="67"/>
  <c r="AW202" i="67"/>
  <c r="AV203" i="67"/>
  <c r="AW203" i="67"/>
  <c r="AV204" i="67"/>
  <c r="AW204" i="67" s="1"/>
  <c r="AV205" i="67"/>
  <c r="AW205" i="67"/>
  <c r="AV206" i="67"/>
  <c r="AW206" i="67" s="1"/>
  <c r="AV207" i="67"/>
  <c r="AW207" i="67" s="1"/>
  <c r="AV208" i="67"/>
  <c r="AW208" i="67"/>
  <c r="AV209" i="67"/>
  <c r="AW209" i="67"/>
  <c r="AV210" i="67"/>
  <c r="AW210" i="67" s="1"/>
  <c r="AV211" i="67"/>
  <c r="AW211" i="67" s="1"/>
  <c r="AV212" i="67"/>
  <c r="AW212" i="67"/>
  <c r="AV213" i="67"/>
  <c r="AW213" i="67" s="1"/>
  <c r="AV214" i="67"/>
  <c r="AW214" i="67" s="1"/>
  <c r="AV215" i="67"/>
  <c r="AW215" i="67"/>
  <c r="AV216" i="67"/>
  <c r="AW216" i="67" s="1"/>
  <c r="AV217" i="67"/>
  <c r="AW217" i="67" s="1"/>
  <c r="AV218" i="67"/>
  <c r="AW218" i="67" s="1"/>
  <c r="AV219" i="67"/>
  <c r="AW219" i="67" s="1"/>
  <c r="AV220" i="67"/>
  <c r="AW220" i="67" s="1"/>
  <c r="AV221" i="67"/>
  <c r="AW221" i="67" s="1"/>
  <c r="AV222" i="67"/>
  <c r="AW222" i="67" s="1"/>
  <c r="AV223" i="67"/>
  <c r="AW223" i="67" s="1"/>
  <c r="AV224" i="67"/>
  <c r="AW224" i="67" s="1"/>
  <c r="AV225" i="67"/>
  <c r="AW225" i="67" s="1"/>
  <c r="AV226" i="67"/>
  <c r="AW226" i="67" s="1"/>
  <c r="AV227" i="67"/>
  <c r="AW227" i="67" s="1"/>
  <c r="AV228" i="67"/>
  <c r="AW228" i="67" s="1"/>
  <c r="AV229" i="67"/>
  <c r="AW229" i="67" s="1"/>
  <c r="AV230" i="67"/>
  <c r="AW230" i="67" s="1"/>
  <c r="AV231" i="67"/>
  <c r="AW231" i="67" s="1"/>
  <c r="AV232" i="67"/>
  <c r="AW232" i="67" s="1"/>
  <c r="AV233" i="67"/>
  <c r="AW233" i="67" s="1"/>
  <c r="AV234" i="67"/>
  <c r="AW234" i="67" s="1"/>
  <c r="AV235" i="67"/>
  <c r="AW235" i="67" s="1"/>
  <c r="AV236" i="67"/>
  <c r="AW236" i="67" s="1"/>
  <c r="AV237" i="67"/>
  <c r="AW237" i="67" s="1"/>
  <c r="AV238" i="67"/>
  <c r="AW238" i="67" s="1"/>
  <c r="AV239" i="67"/>
  <c r="AW239" i="67" s="1"/>
  <c r="AV240" i="67"/>
  <c r="AW240" i="67" s="1"/>
  <c r="AV241" i="67"/>
  <c r="AW241" i="67" s="1"/>
  <c r="AV242" i="67"/>
  <c r="AW242" i="67" s="1"/>
  <c r="AV243" i="67"/>
  <c r="AW243" i="67" s="1"/>
  <c r="AV244" i="67"/>
  <c r="AW244" i="67" s="1"/>
  <c r="AV245" i="67"/>
  <c r="AW245" i="67" s="1"/>
  <c r="AV246" i="67"/>
  <c r="AW246" i="67" s="1"/>
  <c r="AV247" i="67"/>
  <c r="AW247" i="67" s="1"/>
  <c r="AV248" i="67"/>
  <c r="AW248" i="67" s="1"/>
  <c r="AV249" i="67"/>
  <c r="AW249" i="67" s="1"/>
  <c r="AV250" i="67"/>
  <c r="AW250" i="67" s="1"/>
  <c r="AV251" i="67"/>
  <c r="AW251" i="67" s="1"/>
  <c r="AV252" i="67"/>
  <c r="AW252" i="67" s="1"/>
  <c r="AV253" i="67"/>
  <c r="AW253" i="67" s="1"/>
  <c r="AV254" i="67"/>
  <c r="AW254" i="67" s="1"/>
  <c r="AV255" i="67"/>
  <c r="AW255" i="67" s="1"/>
  <c r="AV256" i="67"/>
  <c r="AW256" i="67" s="1"/>
  <c r="AV257" i="67"/>
  <c r="AW257" i="67" s="1"/>
  <c r="AV258" i="67"/>
  <c r="AW258" i="67" s="1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/>
  <c r="AL99" i="67"/>
  <c r="AM99" i="67" s="1"/>
  <c r="AL100" i="67"/>
  <c r="AM100" i="67" s="1"/>
  <c r="AL101" i="67"/>
  <c r="AM101" i="67"/>
  <c r="AL102" i="67"/>
  <c r="AM102" i="67"/>
  <c r="AL103" i="67"/>
  <c r="AM103" i="67" s="1"/>
  <c r="AL104" i="67"/>
  <c r="AM104" i="67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 s="1"/>
  <c r="AL183" i="67"/>
  <c r="AM183" i="67" s="1"/>
  <c r="AL184" i="67"/>
  <c r="AM184" i="67" s="1"/>
  <c r="AL185" i="67"/>
  <c r="AM185" i="67" s="1"/>
  <c r="AL186" i="67"/>
  <c r="AM186" i="67" s="1"/>
  <c r="AL187" i="67"/>
  <c r="AM187" i="67" s="1"/>
  <c r="AL188" i="67"/>
  <c r="AM188" i="67" s="1"/>
  <c r="AL189" i="67"/>
  <c r="AM189" i="67" s="1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 s="1"/>
  <c r="AL196" i="67"/>
  <c r="AM196" i="67"/>
  <c r="AL197" i="67"/>
  <c r="AM197" i="67"/>
  <c r="AL198" i="67"/>
  <c r="AM198" i="67" s="1"/>
  <c r="AL199" i="67"/>
  <c r="AM199" i="67" s="1"/>
  <c r="AL200" i="67"/>
  <c r="AM200" i="67" s="1"/>
  <c r="AL201" i="67"/>
  <c r="AM201" i="67" s="1"/>
  <c r="AL202" i="67"/>
  <c r="AM202" i="67" s="1"/>
  <c r="AL203" i="67"/>
  <c r="AM203" i="67" s="1"/>
  <c r="AL204" i="67"/>
  <c r="AM204" i="67" s="1"/>
  <c r="AL205" i="67"/>
  <c r="AM205" i="67" s="1"/>
  <c r="AL206" i="67"/>
  <c r="AM206" i="67" s="1"/>
  <c r="AL207" i="67"/>
  <c r="AM207" i="67" s="1"/>
  <c r="AL208" i="67"/>
  <c r="AM208" i="67" s="1"/>
  <c r="AL209" i="67"/>
  <c r="AM209" i="67" s="1"/>
  <c r="AL210" i="67"/>
  <c r="AM210" i="67" s="1"/>
  <c r="AL211" i="67"/>
  <c r="AM211" i="67" s="1"/>
  <c r="AL212" i="67"/>
  <c r="AM212" i="67" s="1"/>
  <c r="AL213" i="67"/>
  <c r="AM213" i="67" s="1"/>
  <c r="AL214" i="67"/>
  <c r="AM214" i="67" s="1"/>
  <c r="AL215" i="67"/>
  <c r="AM215" i="67" s="1"/>
  <c r="AL216" i="67"/>
  <c r="AM216" i="67" s="1"/>
  <c r="AL217" i="67"/>
  <c r="AM217" i="67" s="1"/>
  <c r="AL218" i="67"/>
  <c r="AM218" i="67" s="1"/>
  <c r="AL219" i="67"/>
  <c r="AM219" i="67" s="1"/>
  <c r="AL220" i="67"/>
  <c r="AM220" i="67" s="1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 s="1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 s="1"/>
  <c r="AD195" i="67"/>
  <c r="AE195" i="67"/>
  <c r="AD196" i="67"/>
  <c r="AE196" i="67"/>
  <c r="AD197" i="67"/>
  <c r="AE197" i="67" s="1"/>
  <c r="AD198" i="67"/>
  <c r="AE198" i="67"/>
  <c r="AD199" i="67"/>
  <c r="AE199" i="67"/>
  <c r="AD200" i="67"/>
  <c r="AE200" i="67" s="1"/>
  <c r="AD201" i="67"/>
  <c r="AE201" i="67"/>
  <c r="AD202" i="67"/>
  <c r="AE202" i="67"/>
  <c r="AD203" i="67"/>
  <c r="AE203" i="67" s="1"/>
  <c r="AD204" i="67"/>
  <c r="AE204" i="67"/>
  <c r="AD205" i="67"/>
  <c r="AE205" i="67"/>
  <c r="AD206" i="67"/>
  <c r="AE206" i="67" s="1"/>
  <c r="AD207" i="67"/>
  <c r="AE207" i="67"/>
  <c r="AD208" i="67"/>
  <c r="AE208" i="67"/>
  <c r="AD209" i="67"/>
  <c r="AE209" i="67" s="1"/>
  <c r="AD210" i="67"/>
  <c r="AE210" i="67"/>
  <c r="AD211" i="67"/>
  <c r="AE211" i="67" s="1"/>
  <c r="AD212" i="67"/>
  <c r="AE212" i="67" s="1"/>
  <c r="AD213" i="67"/>
  <c r="AE213" i="67"/>
  <c r="AD214" i="67"/>
  <c r="AE214" i="67"/>
  <c r="AD215" i="67"/>
  <c r="AE215" i="67" s="1"/>
  <c r="AD216" i="67"/>
  <c r="AE216" i="67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 s="1"/>
  <c r="T183" i="67"/>
  <c r="U183" i="67"/>
  <c r="T184" i="67"/>
  <c r="U184" i="67" s="1"/>
  <c r="T185" i="67"/>
  <c r="U185" i="67" s="1"/>
  <c r="T186" i="67"/>
  <c r="U186" i="67"/>
  <c r="T187" i="67"/>
  <c r="U187" i="67"/>
  <c r="T188" i="67"/>
  <c r="U188" i="67" s="1"/>
  <c r="T189" i="67"/>
  <c r="U189" i="67"/>
  <c r="T190" i="67"/>
  <c r="U190" i="67" s="1"/>
  <c r="T191" i="67"/>
  <c r="U191" i="67" s="1"/>
  <c r="T192" i="67"/>
  <c r="U192" i="67"/>
  <c r="T193" i="67"/>
  <c r="U193" i="67"/>
  <c r="T194" i="67"/>
  <c r="U194" i="67" s="1"/>
  <c r="T195" i="67"/>
  <c r="U195" i="67"/>
  <c r="T196" i="67"/>
  <c r="U196" i="67" s="1"/>
  <c r="T197" i="67"/>
  <c r="U197" i="67" s="1"/>
  <c r="T198" i="67"/>
  <c r="U198" i="67"/>
  <c r="T199" i="67"/>
  <c r="U199" i="67"/>
  <c r="T200" i="67"/>
  <c r="U200" i="67" s="1"/>
  <c r="T201" i="67"/>
  <c r="U201" i="67"/>
  <c r="T202" i="67"/>
  <c r="U202" i="67" s="1"/>
  <c r="T203" i="67"/>
  <c r="U203" i="67" s="1"/>
  <c r="T204" i="67"/>
  <c r="U204" i="67"/>
  <c r="T205" i="67"/>
  <c r="U205" i="67"/>
  <c r="T206" i="67"/>
  <c r="U206" i="67" s="1"/>
  <c r="T207" i="67"/>
  <c r="U207" i="67"/>
  <c r="T208" i="67"/>
  <c r="U208" i="67" s="1"/>
  <c r="T209" i="67"/>
  <c r="U209" i="67" s="1"/>
  <c r="T210" i="67"/>
  <c r="U210" i="67" s="1"/>
  <c r="T211" i="67"/>
  <c r="U211" i="67" s="1"/>
  <c r="T212" i="67"/>
  <c r="U212" i="67"/>
  <c r="T213" i="67"/>
  <c r="U213" i="67"/>
  <c r="T214" i="67"/>
  <c r="U214" i="67" s="1"/>
  <c r="T215" i="67"/>
  <c r="U215" i="67" s="1"/>
  <c r="T216" i="67"/>
  <c r="U216" i="67" s="1"/>
  <c r="T217" i="67"/>
  <c r="U217" i="67" s="1"/>
  <c r="T218" i="67"/>
  <c r="U218" i="67" s="1"/>
  <c r="T219" i="67"/>
  <c r="U219" i="67" s="1"/>
  <c r="T220" i="67"/>
  <c r="U220" i="67" s="1"/>
  <c r="T221" i="67"/>
  <c r="U221" i="67" s="1"/>
  <c r="T222" i="67"/>
  <c r="U222" i="67" s="1"/>
  <c r="T223" i="67"/>
  <c r="U223" i="67" s="1"/>
  <c r="T224" i="67"/>
  <c r="U224" i="67" s="1"/>
  <c r="T225" i="67"/>
  <c r="U225" i="67" s="1"/>
  <c r="T226" i="67"/>
  <c r="U226" i="67" s="1"/>
  <c r="T227" i="67"/>
  <c r="U227" i="67" s="1"/>
  <c r="T228" i="67"/>
  <c r="U228" i="67" s="1"/>
  <c r="T229" i="67"/>
  <c r="U229" i="67" s="1"/>
  <c r="T230" i="67"/>
  <c r="U230" i="67" s="1"/>
  <c r="T231" i="67"/>
  <c r="U231" i="67" s="1"/>
  <c r="T232" i="67"/>
  <c r="U232" i="67" s="1"/>
  <c r="T233" i="67"/>
  <c r="U233" i="67" s="1"/>
  <c r="T234" i="67"/>
  <c r="U234" i="67" s="1"/>
  <c r="T235" i="67"/>
  <c r="U235" i="67" s="1"/>
  <c r="T236" i="67"/>
  <c r="U236" i="67" s="1"/>
  <c r="T237" i="67"/>
  <c r="U237" i="67" s="1"/>
  <c r="T238" i="67"/>
  <c r="U238" i="67" s="1"/>
  <c r="T239" i="67"/>
  <c r="U239" i="67" s="1"/>
  <c r="T240" i="67"/>
  <c r="U240" i="67" s="1"/>
  <c r="T241" i="67"/>
  <c r="U241" i="67" s="1"/>
  <c r="T242" i="67"/>
  <c r="U242" i="67" s="1"/>
  <c r="T243" i="67"/>
  <c r="U243" i="67" s="1"/>
  <c r="T244" i="67"/>
  <c r="U244" i="67" s="1"/>
  <c r="T245" i="67"/>
  <c r="U245" i="67" s="1"/>
  <c r="T246" i="67"/>
  <c r="U246" i="67" s="1"/>
  <c r="T247" i="67"/>
  <c r="U247" i="67" s="1"/>
  <c r="T248" i="67"/>
  <c r="U248" i="67" s="1"/>
  <c r="T249" i="67"/>
  <c r="U249" i="67" s="1"/>
  <c r="T250" i="67"/>
  <c r="U250" i="67" s="1"/>
  <c r="T251" i="67"/>
  <c r="U251" i="67" s="1"/>
  <c r="T252" i="67"/>
  <c r="U252" i="67" s="1"/>
  <c r="T253" i="67"/>
  <c r="U253" i="67" s="1"/>
  <c r="T254" i="67"/>
  <c r="U254" i="67" s="1"/>
  <c r="T255" i="67"/>
  <c r="U255" i="67" s="1"/>
  <c r="T256" i="67"/>
  <c r="U256" i="67" s="1"/>
  <c r="T257" i="67"/>
  <c r="U257" i="67" s="1"/>
  <c r="T258" i="67"/>
  <c r="U258" i="67" s="1"/>
  <c r="T259" i="67"/>
  <c r="U259" i="67" s="1"/>
  <c r="T260" i="67"/>
  <c r="U260" i="67" s="1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 s="1"/>
  <c r="L184" i="67"/>
  <c r="M184" i="67"/>
  <c r="L185" i="67"/>
  <c r="M185" i="67"/>
  <c r="L186" i="67"/>
  <c r="M186" i="67"/>
  <c r="L187" i="67"/>
  <c r="M187" i="67" s="1"/>
  <c r="L188" i="67"/>
  <c r="M188" i="67"/>
  <c r="L189" i="67"/>
  <c r="M189" i="67" s="1"/>
  <c r="L190" i="67"/>
  <c r="M190" i="67"/>
  <c r="L191" i="67"/>
  <c r="M191" i="67"/>
  <c r="L192" i="67"/>
  <c r="M192" i="67"/>
  <c r="L193" i="67"/>
  <c r="M193" i="67" s="1"/>
  <c r="L194" i="67"/>
  <c r="M194" i="67"/>
  <c r="L195" i="67"/>
  <c r="M195" i="67" s="1"/>
  <c r="L196" i="67"/>
  <c r="M196" i="67"/>
  <c r="L197" i="67"/>
  <c r="M197" i="67"/>
  <c r="L198" i="67"/>
  <c r="M198" i="67"/>
  <c r="L199" i="67"/>
  <c r="M199" i="67" s="1"/>
  <c r="L200" i="67"/>
  <c r="M200" i="67"/>
  <c r="L201" i="67"/>
  <c r="M201" i="67" s="1"/>
  <c r="L202" i="67"/>
  <c r="M202" i="67"/>
  <c r="L203" i="67"/>
  <c r="M203" i="67"/>
  <c r="L204" i="67"/>
  <c r="M204" i="67"/>
  <c r="L205" i="67"/>
  <c r="M205" i="67" s="1"/>
  <c r="L206" i="67"/>
  <c r="M206" i="67"/>
  <c r="L207" i="67"/>
  <c r="M207" i="67" s="1"/>
  <c r="L208" i="67"/>
  <c r="M208" i="67"/>
  <c r="L209" i="67"/>
  <c r="M209" i="67"/>
  <c r="L210" i="67"/>
  <c r="M210" i="67"/>
  <c r="L211" i="67"/>
  <c r="M211" i="67" s="1"/>
  <c r="L212" i="67"/>
  <c r="M212" i="67"/>
  <c r="L213" i="67"/>
  <c r="M213" i="67" s="1"/>
  <c r="L214" i="67"/>
  <c r="M214" i="67"/>
  <c r="L215" i="67"/>
  <c r="M215" i="67" s="1"/>
  <c r="L216" i="67"/>
  <c r="M216" i="67" s="1"/>
  <c r="L217" i="67"/>
  <c r="M217" i="67"/>
  <c r="L218" i="67"/>
  <c r="M218" i="67"/>
  <c r="L219" i="67"/>
  <c r="M219" i="67" s="1"/>
  <c r="L220" i="67"/>
  <c r="M220" i="67" s="1"/>
  <c r="L221" i="67"/>
  <c r="M221" i="67" s="1"/>
  <c r="L222" i="67"/>
  <c r="M222" i="67" s="1"/>
  <c r="L223" i="67"/>
  <c r="M223" i="67" s="1"/>
  <c r="L224" i="67"/>
  <c r="M224" i="67" s="1"/>
  <c r="L225" i="67"/>
  <c r="M225" i="67" s="1"/>
  <c r="L226" i="67"/>
  <c r="M226" i="67" s="1"/>
  <c r="L227" i="67"/>
  <c r="M227" i="67" s="1"/>
  <c r="L228" i="67"/>
  <c r="M228" i="67" s="1"/>
  <c r="L229" i="67"/>
  <c r="M229" i="67" s="1"/>
  <c r="L230" i="67"/>
  <c r="M230" i="67" s="1"/>
  <c r="L231" i="67"/>
  <c r="M231" i="67" s="1"/>
  <c r="L232" i="67"/>
  <c r="M232" i="67" s="1"/>
  <c r="L233" i="67"/>
  <c r="M233" i="67" s="1"/>
  <c r="L234" i="67"/>
  <c r="M234" i="67" s="1"/>
  <c r="L235" i="67"/>
  <c r="M235" i="67" s="1"/>
  <c r="L236" i="67"/>
  <c r="M236" i="67" s="1"/>
  <c r="L237" i="67"/>
  <c r="M237" i="67" s="1"/>
  <c r="L238" i="67"/>
  <c r="M238" i="67" s="1"/>
  <c r="L239" i="67"/>
  <c r="M239" i="67" s="1"/>
  <c r="L240" i="67"/>
  <c r="M240" i="67" s="1"/>
  <c r="L241" i="67"/>
  <c r="M241" i="67" s="1"/>
  <c r="L242" i="67"/>
  <c r="M242" i="67" s="1"/>
  <c r="L243" i="67"/>
  <c r="M243" i="67" s="1"/>
  <c r="L244" i="67"/>
  <c r="M244" i="67" s="1"/>
  <c r="L245" i="67"/>
  <c r="M245" i="67" s="1"/>
  <c r="L246" i="67"/>
  <c r="M246" i="67" s="1"/>
  <c r="L247" i="67"/>
  <c r="M247" i="67" s="1"/>
  <c r="L248" i="67"/>
  <c r="M248" i="67" s="1"/>
  <c r="L249" i="67"/>
  <c r="M249" i="67" s="1"/>
  <c r="L250" i="67"/>
  <c r="M250" i="67" s="1"/>
  <c r="L251" i="67"/>
  <c r="M251" i="67" s="1"/>
  <c r="L252" i="67"/>
  <c r="M252" i="67" s="1"/>
  <c r="L253" i="67"/>
  <c r="M253" i="67" s="1"/>
  <c r="L254" i="67"/>
  <c r="M254" i="67" s="1"/>
  <c r="L255" i="67"/>
  <c r="M255" i="67" s="1"/>
  <c r="L256" i="67"/>
  <c r="M256" i="67" s="1"/>
  <c r="L257" i="67"/>
  <c r="M257" i="67" s="1"/>
  <c r="L258" i="67"/>
  <c r="M258" i="67" s="1"/>
  <c r="L259" i="67"/>
  <c r="M259" i="67" s="1"/>
  <c r="L260" i="67"/>
  <c r="M260" i="67" s="1"/>
  <c r="L261" i="67"/>
  <c r="M261" i="67" s="1"/>
  <c r="L262" i="67"/>
  <c r="M262" i="67" s="1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 s="1"/>
  <c r="EP7" i="67"/>
  <c r="EO7" i="67" s="1"/>
  <c r="EH7" i="67"/>
  <c r="EG7" i="67" s="1"/>
  <c r="DX7" i="67"/>
  <c r="DW7" i="67" s="1"/>
  <c r="DP7" i="67"/>
  <c r="DO7" i="67" s="1"/>
  <c r="DF7" i="67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D7" i="67"/>
  <c r="T7" i="67"/>
  <c r="L7" i="67"/>
  <c r="K7" i="67" s="1"/>
  <c r="FG6" i="67"/>
  <c r="EY6" i="67"/>
  <c r="EX6" i="67" s="1"/>
  <c r="EP6" i="67"/>
  <c r="EH6" i="67"/>
  <c r="EG6" i="67" s="1"/>
  <c r="DX6" i="67"/>
  <c r="DP6" i="67"/>
  <c r="DO6" i="67" s="1"/>
  <c r="CX6" i="67"/>
  <c r="CW6" i="67" s="1"/>
  <c r="CN6" i="67"/>
  <c r="CF6" i="67"/>
  <c r="CE6" i="67" s="1"/>
  <c r="BV6" i="67"/>
  <c r="BN6" i="67"/>
  <c r="BM6" i="67" s="1"/>
  <c r="BD6" i="67"/>
  <c r="AV6" i="67"/>
  <c r="AL6" i="67"/>
  <c r="AD6" i="67"/>
  <c r="AC6" i="67" s="1"/>
  <c r="T6" i="67"/>
  <c r="L6" i="67"/>
  <c r="FH5" i="67"/>
  <c r="EZ5" i="67"/>
  <c r="EQ5" i="67"/>
  <c r="EI5" i="67"/>
  <c r="DY5" i="67"/>
  <c r="CY5" i="67"/>
  <c r="CO5" i="67"/>
  <c r="CG5" i="67"/>
  <c r="BW5" i="67"/>
  <c r="BO5" i="67"/>
  <c r="FD4" i="67"/>
  <c r="FF4" i="67" s="1"/>
  <c r="EV4" i="67"/>
  <c r="EX4" i="67" s="1"/>
  <c r="EM4" i="67"/>
  <c r="EO4" i="67" s="1"/>
  <c r="EG4" i="67"/>
  <c r="EE4" i="67"/>
  <c r="DU4" i="67"/>
  <c r="DW4" i="67" s="1"/>
  <c r="CW4" i="67"/>
  <c r="CU4" i="67"/>
  <c r="CK4" i="67"/>
  <c r="CM4" i="67" s="1"/>
  <c r="CC4" i="67"/>
  <c r="CE4" i="67" s="1"/>
  <c r="BS4" i="67"/>
  <c r="BU4" i="67" s="1"/>
  <c r="BK4" i="67"/>
  <c r="BM4" i="67" s="1"/>
  <c r="I4" i="67"/>
  <c r="K4" i="67" s="1"/>
  <c r="FH3" i="67"/>
  <c r="FD3" i="67"/>
  <c r="FF3" i="67" s="1"/>
  <c r="EZ3" i="67"/>
  <c r="EV3" i="67"/>
  <c r="EQ3" i="67"/>
  <c r="EM3" i="67"/>
  <c r="EO3" i="67" s="1"/>
  <c r="EI3" i="67"/>
  <c r="EE3" i="67"/>
  <c r="EG3" i="67" s="1"/>
  <c r="DY3" i="67"/>
  <c r="DU3" i="67"/>
  <c r="DW3" i="67" s="1"/>
  <c r="DQ3" i="67"/>
  <c r="CY3" i="67"/>
  <c r="CU3" i="67"/>
  <c r="CW3" i="67" s="1"/>
  <c r="CO3" i="67"/>
  <c r="CK3" i="67"/>
  <c r="CM3" i="67" s="1"/>
  <c r="CG3" i="67"/>
  <c r="CC3" i="67"/>
  <c r="BW3" i="67"/>
  <c r="BS3" i="67"/>
  <c r="BU3" i="67" s="1"/>
  <c r="BO3" i="67"/>
  <c r="BK3" i="67"/>
  <c r="BM3" i="67" s="1"/>
  <c r="A5" i="63" a="1"/>
  <c r="A4" i="63" a="1"/>
  <c r="Q4" i="67" l="1"/>
  <c r="S4" i="67" s="1"/>
  <c r="BA4" i="67"/>
  <c r="BC4" i="67" s="1"/>
  <c r="AI3" i="67"/>
  <c r="DM3" i="67"/>
  <c r="DF6" i="67"/>
  <c r="DC4" i="67"/>
  <c r="DE4" i="67" s="1"/>
  <c r="I3" i="67"/>
  <c r="AA4" i="67"/>
  <c r="AC4" i="67" s="1"/>
  <c r="DM4" i="67"/>
  <c r="DO4" i="67" s="1"/>
  <c r="DG5" i="67"/>
  <c r="AU6" i="67"/>
  <c r="AV9" i="67" s="1"/>
  <c r="B15" i="67" s="1"/>
  <c r="AI4" i="67"/>
  <c r="AK4" i="67" s="1"/>
  <c r="DQ5" i="67"/>
  <c r="Q3" i="67"/>
  <c r="AA3" i="67"/>
  <c r="AC3" i="67" s="1"/>
  <c r="AS4" i="67"/>
  <c r="AU4" i="67" s="1"/>
  <c r="DE7" i="67"/>
  <c r="AS3" i="67"/>
  <c r="S7" i="67"/>
  <c r="DC3" i="67"/>
  <c r="DE3" i="67" s="1"/>
  <c r="K6" i="67"/>
  <c r="L9" i="67" s="1"/>
  <c r="B11" i="67" s="1"/>
  <c r="AC7" i="67"/>
  <c r="Y2" i="67" s="1"/>
  <c r="BA3" i="67"/>
  <c r="BC3" i="67" s="1"/>
  <c r="AY4" i="67" s="1"/>
  <c r="DG3" i="67"/>
  <c r="AK7" i="67"/>
  <c r="A5" i="63"/>
  <c r="A4" i="63"/>
  <c r="BE9" i="67"/>
  <c r="AW9" i="67"/>
  <c r="AM9" i="67"/>
  <c r="AE9" i="67"/>
  <c r="U9" i="67"/>
  <c r="M9" i="67"/>
  <c r="G2" i="67"/>
  <c r="K3" i="67"/>
  <c r="I6" i="67" s="1"/>
  <c r="A11" i="67" s="1"/>
  <c r="AU3" i="67"/>
  <c r="AS6" i="67" s="1"/>
  <c r="A15" i="67" s="1"/>
  <c r="BK6" i="67"/>
  <c r="A17" i="67" s="1"/>
  <c r="CE3" i="67"/>
  <c r="CC6" i="67" s="1"/>
  <c r="A19" i="67" s="1"/>
  <c r="CU6" i="67"/>
  <c r="A21" i="67" s="1"/>
  <c r="DO3" i="67"/>
  <c r="EE6" i="67"/>
  <c r="EX3" i="67"/>
  <c r="EV6" i="67" s="1"/>
  <c r="BS6" i="67"/>
  <c r="A18" i="67" s="1"/>
  <c r="CK6" i="67"/>
  <c r="A20" i="67" s="1"/>
  <c r="DU6" i="67"/>
  <c r="EM6" i="67"/>
  <c r="FD6" i="67"/>
  <c r="S3" i="67"/>
  <c r="O4" i="67" s="1"/>
  <c r="AK3" i="67"/>
  <c r="AG4" i="67" s="1"/>
  <c r="AQ4" i="67"/>
  <c r="S6" i="67"/>
  <c r="O2" i="67" s="1"/>
  <c r="AD9" i="67"/>
  <c r="B13" i="67" s="1"/>
  <c r="AK6" i="67"/>
  <c r="BC6" i="67"/>
  <c r="AY2" i="67" s="1"/>
  <c r="BN9" i="67"/>
  <c r="B17" i="67" s="1"/>
  <c r="BU6" i="67"/>
  <c r="BV9" i="67" s="1"/>
  <c r="B18" i="67" s="1"/>
  <c r="CF9" i="67"/>
  <c r="B19" i="67" s="1"/>
  <c r="CM6" i="67"/>
  <c r="CN9" i="67" s="1"/>
  <c r="B20" i="67" s="1"/>
  <c r="CX9" i="67"/>
  <c r="B21" i="67" s="1"/>
  <c r="DE6" i="67"/>
  <c r="DF9" i="67" s="1"/>
  <c r="B22" i="67" s="1"/>
  <c r="DP9" i="67"/>
  <c r="DW6" i="67"/>
  <c r="DX9" i="67" s="1"/>
  <c r="EH9" i="67"/>
  <c r="EH4" i="67" s="1"/>
  <c r="EH2" i="67" s="1"/>
  <c r="EE9" i="67" s="1"/>
  <c r="E25" i="67" s="1"/>
  <c r="EO6" i="67"/>
  <c r="EP9" i="67" s="1"/>
  <c r="EY9" i="67"/>
  <c r="FF6" i="67"/>
  <c r="FG9" i="67" s="1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/>
  <c r="BD100" i="66"/>
  <c r="BE100" i="66"/>
  <c r="BD101" i="66"/>
  <c r="BE101" i="66"/>
  <c r="BD102" i="66"/>
  <c r="BE102" i="66" s="1"/>
  <c r="BD103" i="66"/>
  <c r="BE103" i="66" s="1"/>
  <c r="BD104" i="66"/>
  <c r="BE104" i="66" s="1"/>
  <c r="BD105" i="66"/>
  <c r="BE105" i="66"/>
  <c r="BD106" i="66"/>
  <c r="BE106" i="66"/>
  <c r="BD107" i="66"/>
  <c r="BE107" i="66"/>
  <c r="BD108" i="66"/>
  <c r="BE108" i="66" s="1"/>
  <c r="BD109" i="66"/>
  <c r="BE109" i="66" s="1"/>
  <c r="BD110" i="66"/>
  <c r="BE110" i="66" s="1"/>
  <c r="BD111" i="66"/>
  <c r="BE111" i="66"/>
  <c r="BD112" i="66"/>
  <c r="BE112" i="66"/>
  <c r="BD113" i="66"/>
  <c r="BE113" i="66"/>
  <c r="BD114" i="66"/>
  <c r="BE114" i="66" s="1"/>
  <c r="BD115" i="66"/>
  <c r="BE115" i="66" s="1"/>
  <c r="BD116" i="66"/>
  <c r="BE116" i="66" s="1"/>
  <c r="BD117" i="66"/>
  <c r="BE117" i="66"/>
  <c r="BD118" i="66"/>
  <c r="BE118" i="66"/>
  <c r="BD119" i="66"/>
  <c r="BE119" i="66" s="1"/>
  <c r="BD120" i="66"/>
  <c r="BE120" i="66" s="1"/>
  <c r="BD121" i="66"/>
  <c r="BE121" i="66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 s="1"/>
  <c r="BD183" i="66"/>
  <c r="BE183" i="66" s="1"/>
  <c r="BD184" i="66"/>
  <c r="BE184" i="66" s="1"/>
  <c r="BD185" i="66"/>
  <c r="BE185" i="66" s="1"/>
  <c r="BD186" i="66"/>
  <c r="BE186" i="66" s="1"/>
  <c r="BD187" i="66"/>
  <c r="BE187" i="66" s="1"/>
  <c r="BD188" i="66"/>
  <c r="BE188" i="66" s="1"/>
  <c r="BD189" i="66"/>
  <c r="BE189" i="66" s="1"/>
  <c r="BD190" i="66"/>
  <c r="BE190" i="66" s="1"/>
  <c r="BD191" i="66"/>
  <c r="BE191" i="66" s="1"/>
  <c r="BD192" i="66"/>
  <c r="BE192" i="66" s="1"/>
  <c r="BD193" i="66"/>
  <c r="BE193" i="66" s="1"/>
  <c r="BD194" i="66"/>
  <c r="BE194" i="66" s="1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/>
  <c r="BD208" i="66"/>
  <c r="BE208" i="66"/>
  <c r="BD209" i="66"/>
  <c r="BE209" i="66" s="1"/>
  <c r="BD210" i="66"/>
  <c r="BE210" i="66" s="1"/>
  <c r="BD211" i="66"/>
  <c r="BE211" i="66"/>
  <c r="BD212" i="66"/>
  <c r="BE212" i="66" s="1"/>
  <c r="BD213" i="66"/>
  <c r="BE213" i="66"/>
  <c r="BD214" i="66"/>
  <c r="BE214" i="66"/>
  <c r="BD215" i="66"/>
  <c r="BE215" i="66" s="1"/>
  <c r="BD216" i="66"/>
  <c r="BE216" i="66" s="1"/>
  <c r="BD217" i="66"/>
  <c r="BE217" i="66"/>
  <c r="BD218" i="66"/>
  <c r="BE218" i="66" s="1"/>
  <c r="BD219" i="66"/>
  <c r="BE219" i="66"/>
  <c r="BD220" i="66"/>
  <c r="BE220" i="66"/>
  <c r="BD221" i="66"/>
  <c r="BE221" i="66" s="1"/>
  <c r="BD222" i="66"/>
  <c r="BE222" i="66" s="1"/>
  <c r="BD223" i="66"/>
  <c r="BE223" i="66"/>
  <c r="BD224" i="66"/>
  <c r="BE224" i="66" s="1"/>
  <c r="BD225" i="66"/>
  <c r="BE225" i="66"/>
  <c r="BD226" i="66"/>
  <c r="BE226" i="66"/>
  <c r="BD227" i="66"/>
  <c r="BE227" i="66" s="1"/>
  <c r="BD228" i="66"/>
  <c r="BE228" i="66" s="1"/>
  <c r="BD229" i="66"/>
  <c r="BE229" i="66"/>
  <c r="BD230" i="66"/>
  <c r="BE230" i="66" s="1"/>
  <c r="BD231" i="66"/>
  <c r="BE231" i="66"/>
  <c r="BD232" i="66"/>
  <c r="BE232" i="66"/>
  <c r="BD233" i="66"/>
  <c r="BE233" i="66" s="1"/>
  <c r="BD234" i="66"/>
  <c r="BE234" i="66" s="1"/>
  <c r="BD235" i="66"/>
  <c r="BE235" i="66"/>
  <c r="BD236" i="66"/>
  <c r="BE236" i="66" s="1"/>
  <c r="BD237" i="66"/>
  <c r="BE237" i="66"/>
  <c r="BD238" i="66"/>
  <c r="BE238" i="66"/>
  <c r="BD239" i="66"/>
  <c r="BE239" i="66" s="1"/>
  <c r="BD240" i="66"/>
  <c r="BE240" i="66" s="1"/>
  <c r="BD241" i="66"/>
  <c r="BE241" i="66"/>
  <c r="BD242" i="66"/>
  <c r="BE242" i="66" s="1"/>
  <c r="BD243" i="66"/>
  <c r="BE243" i="66" s="1"/>
  <c r="BD244" i="66"/>
  <c r="BE244" i="66"/>
  <c r="BD245" i="66"/>
  <c r="BE245" i="66"/>
  <c r="BD246" i="66"/>
  <c r="BE246" i="66"/>
  <c r="BD247" i="66"/>
  <c r="BE247" i="66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 s="1"/>
  <c r="BD365" i="66"/>
  <c r="BE365" i="66" s="1"/>
  <c r="BD366" i="66"/>
  <c r="BE366" i="66" s="1"/>
  <c r="BD367" i="66"/>
  <c r="BE367" i="66" s="1"/>
  <c r="BD368" i="66"/>
  <c r="BE368" i="66" s="1"/>
  <c r="BD369" i="66"/>
  <c r="BE369" i="66" s="1"/>
  <c r="BD370" i="66"/>
  <c r="BE370" i="66" s="1"/>
  <c r="BD371" i="66"/>
  <c r="BE371" i="66" s="1"/>
  <c r="BD372" i="66"/>
  <c r="BE372" i="66" s="1"/>
  <c r="BD373" i="66"/>
  <c r="BE373" i="66" s="1"/>
  <c r="BD374" i="66"/>
  <c r="BE374" i="66" s="1"/>
  <c r="BD375" i="66"/>
  <c r="BE375" i="66" s="1"/>
  <c r="BD376" i="66"/>
  <c r="BE376" i="66" s="1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 s="1"/>
  <c r="AV99" i="66"/>
  <c r="AW99" i="66"/>
  <c r="AV100" i="66"/>
  <c r="AW100" i="66"/>
  <c r="AV101" i="66"/>
  <c r="AW101" i="66"/>
  <c r="AV102" i="66"/>
  <c r="AW102" i="66"/>
  <c r="AV103" i="66"/>
  <c r="AW103" i="66"/>
  <c r="AV104" i="66"/>
  <c r="AW104" i="66" s="1"/>
  <c r="AV105" i="66"/>
  <c r="AW105" i="66"/>
  <c r="AV106" i="66"/>
  <c r="AW106" i="66"/>
  <c r="AV107" i="66"/>
  <c r="AW107" i="66"/>
  <c r="AV108" i="66"/>
  <c r="AW108" i="66"/>
  <c r="AV109" i="66"/>
  <c r="AW109" i="66"/>
  <c r="AV110" i="66"/>
  <c r="AW110" i="66" s="1"/>
  <c r="AV111" i="66"/>
  <c r="AW111" i="66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V365" i="66"/>
  <c r="AW365" i="66" s="1"/>
  <c r="AV366" i="66"/>
  <c r="AW366" i="66" s="1"/>
  <c r="AV367" i="66"/>
  <c r="AW367" i="66" s="1"/>
  <c r="AV368" i="66"/>
  <c r="AW368" i="66" s="1"/>
  <c r="AV369" i="66"/>
  <c r="AW369" i="66" s="1"/>
  <c r="AV370" i="66"/>
  <c r="AW370" i="66" s="1"/>
  <c r="AV371" i="66"/>
  <c r="AW371" i="66" s="1"/>
  <c r="AV372" i="66"/>
  <c r="AW372" i="66" s="1"/>
  <c r="AV373" i="66"/>
  <c r="AW373" i="66" s="1"/>
  <c r="AV374" i="66"/>
  <c r="AW374" i="66" s="1"/>
  <c r="AV375" i="66"/>
  <c r="AW375" i="66" s="1"/>
  <c r="AV376" i="66"/>
  <c r="AW376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 s="1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 s="1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 s="1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 s="1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 s="1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 s="1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 s="1"/>
  <c r="AL221" i="66"/>
  <c r="AM221" i="66"/>
  <c r="AL222" i="66"/>
  <c r="AM222" i="66"/>
  <c r="AL223" i="66"/>
  <c r="AM223" i="66"/>
  <c r="AL224" i="66"/>
  <c r="AM224" i="66" s="1"/>
  <c r="AL225" i="66"/>
  <c r="AM225" i="66" s="1"/>
  <c r="AL226" i="66"/>
  <c r="AM226" i="66" s="1"/>
  <c r="AL227" i="66"/>
  <c r="AM227" i="66" s="1"/>
  <c r="AL228" i="66"/>
  <c r="AM228" i="66" s="1"/>
  <c r="AL229" i="66"/>
  <c r="AM229" i="66" s="1"/>
  <c r="AL230" i="66"/>
  <c r="AM230" i="66" s="1"/>
  <c r="AL231" i="66"/>
  <c r="AM231" i="66" s="1"/>
  <c r="AL232" i="66"/>
  <c r="AM232" i="66" s="1"/>
  <c r="AL233" i="66"/>
  <c r="AM233" i="66" s="1"/>
  <c r="AL234" i="66"/>
  <c r="AM234" i="66" s="1"/>
  <c r="AL235" i="66"/>
  <c r="AM235" i="66" s="1"/>
  <c r="AL236" i="66"/>
  <c r="AM236" i="66" s="1"/>
  <c r="AL237" i="66"/>
  <c r="AM237" i="66" s="1"/>
  <c r="AL238" i="66"/>
  <c r="AM238" i="66" s="1"/>
  <c r="AL239" i="66"/>
  <c r="AM239" i="66" s="1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L365" i="66"/>
  <c r="AM365" i="66" s="1"/>
  <c r="AL366" i="66"/>
  <c r="AM366" i="66" s="1"/>
  <c r="AL367" i="66"/>
  <c r="AM367" i="66" s="1"/>
  <c r="AL368" i="66"/>
  <c r="AM368" i="66" s="1"/>
  <c r="AL369" i="66"/>
  <c r="AM369" i="66" s="1"/>
  <c r="AL370" i="66"/>
  <c r="AM370" i="66" s="1"/>
  <c r="AL371" i="66"/>
  <c r="AM371" i="66" s="1"/>
  <c r="AL372" i="66"/>
  <c r="AM372" i="66" s="1"/>
  <c r="AL373" i="66"/>
  <c r="AM373" i="66" s="1"/>
  <c r="AL374" i="66"/>
  <c r="AM374" i="66" s="1"/>
  <c r="AL375" i="66"/>
  <c r="AM375" i="66" s="1"/>
  <c r="AL376" i="66"/>
  <c r="AM376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 s="1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 s="1"/>
  <c r="AD107" i="66"/>
  <c r="AE107" i="66"/>
  <c r="AD108" i="66"/>
  <c r="AE108" i="66"/>
  <c r="AD109" i="66"/>
  <c r="AE109" i="66" s="1"/>
  <c r="AD110" i="66"/>
  <c r="AE110" i="66" s="1"/>
  <c r="AD111" i="66"/>
  <c r="AE111" i="66"/>
  <c r="AD112" i="66"/>
  <c r="AE112" i="66" s="1"/>
  <c r="AD113" i="66"/>
  <c r="AE113" i="66"/>
  <c r="AD114" i="66"/>
  <c r="AE114" i="66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/>
  <c r="AD203" i="66"/>
  <c r="AE203" i="66" s="1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 s="1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 s="1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 s="1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 s="1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 s="1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 s="1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 s="1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 s="1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 s="1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 s="1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 s="1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 s="1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 s="1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 s="1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 s="1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 s="1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 s="1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 s="1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 s="1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 s="1"/>
  <c r="AD324" i="66"/>
  <c r="AE324" i="66"/>
  <c r="AD325" i="66"/>
  <c r="AE325" i="66"/>
  <c r="AD326" i="66"/>
  <c r="AE326" i="66"/>
  <c r="AD327" i="66"/>
  <c r="AE327" i="66"/>
  <c r="AD328" i="66"/>
  <c r="AE328" i="66"/>
  <c r="AD329" i="66"/>
  <c r="AE329" i="66" s="1"/>
  <c r="AD330" i="66"/>
  <c r="AE330" i="66"/>
  <c r="AD331" i="66"/>
  <c r="AE331" i="66"/>
  <c r="AD332" i="66"/>
  <c r="AE332" i="66"/>
  <c r="AD333" i="66"/>
  <c r="AE333" i="66"/>
  <c r="AD334" i="66"/>
  <c r="AE334" i="66"/>
  <c r="AD335" i="66"/>
  <c r="AE335" i="66" s="1"/>
  <c r="AD336" i="66"/>
  <c r="AE336" i="66"/>
  <c r="AD337" i="66"/>
  <c r="AE337" i="66"/>
  <c r="AD338" i="66"/>
  <c r="AE338" i="66"/>
  <c r="AD339" i="66"/>
  <c r="AE339" i="66"/>
  <c r="AD340" i="66"/>
  <c r="AE340" i="66"/>
  <c r="AD341" i="66"/>
  <c r="AE341" i="66" s="1"/>
  <c r="AD342" i="66"/>
  <c r="AE342" i="66"/>
  <c r="AD343" i="66"/>
  <c r="AE343" i="66"/>
  <c r="AD344" i="66"/>
  <c r="AE344" i="66"/>
  <c r="AD345" i="66"/>
  <c r="AE345" i="66"/>
  <c r="AD346" i="66"/>
  <c r="AE346" i="66"/>
  <c r="AD347" i="66"/>
  <c r="AE347" i="66" s="1"/>
  <c r="AD348" i="66"/>
  <c r="AE348" i="66"/>
  <c r="AD349" i="66"/>
  <c r="AE349" i="66"/>
  <c r="AD350" i="66"/>
  <c r="AE350" i="66"/>
  <c r="AD351" i="66"/>
  <c r="AE351" i="66"/>
  <c r="AD352" i="66"/>
  <c r="AE352" i="66"/>
  <c r="AD353" i="66"/>
  <c r="AE353" i="66" s="1"/>
  <c r="AD354" i="66"/>
  <c r="AE354" i="66"/>
  <c r="AD355" i="66"/>
  <c r="AD6" i="66" s="1"/>
  <c r="AC6" i="66" s="1"/>
  <c r="AE355" i="66"/>
  <c r="AD356" i="66"/>
  <c r="AE356" i="66"/>
  <c r="AD357" i="66"/>
  <c r="AE357" i="66"/>
  <c r="AD358" i="66"/>
  <c r="AE358" i="66"/>
  <c r="AD359" i="66"/>
  <c r="AE359" i="66" s="1"/>
  <c r="AD360" i="66"/>
  <c r="AE360" i="66"/>
  <c r="AD361" i="66"/>
  <c r="AE361" i="66"/>
  <c r="AD362" i="66"/>
  <c r="AE362" i="66"/>
  <c r="AD363" i="66"/>
  <c r="AE363" i="66"/>
  <c r="AD364" i="66"/>
  <c r="AE364" i="66"/>
  <c r="AD365" i="66"/>
  <c r="AE365" i="66" s="1"/>
  <c r="AD366" i="66"/>
  <c r="AE366" i="66"/>
  <c r="AD367" i="66"/>
  <c r="AE367" i="66"/>
  <c r="AD368" i="66"/>
  <c r="AE368" i="66"/>
  <c r="AD369" i="66"/>
  <c r="AE369" i="66"/>
  <c r="AD370" i="66"/>
  <c r="AE370" i="66"/>
  <c r="AD371" i="66"/>
  <c r="AE371" i="66" s="1"/>
  <c r="AD372" i="66"/>
  <c r="AE372" i="66"/>
  <c r="AD373" i="66"/>
  <c r="AE373" i="66"/>
  <c r="AD374" i="66"/>
  <c r="AE374" i="66"/>
  <c r="AD375" i="66"/>
  <c r="AE375" i="66"/>
  <c r="AD376" i="66"/>
  <c r="AE376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 s="1"/>
  <c r="T188" i="66"/>
  <c r="U188" i="66"/>
  <c r="T189" i="66"/>
  <c r="U189" i="66"/>
  <c r="T190" i="66"/>
  <c r="U190" i="66"/>
  <c r="T191" i="66"/>
  <c r="U191" i="66"/>
  <c r="T192" i="66"/>
  <c r="U192" i="66"/>
  <c r="T193" i="66"/>
  <c r="U193" i="66" s="1"/>
  <c r="T194" i="66"/>
  <c r="U194" i="66"/>
  <c r="T195" i="66"/>
  <c r="U195" i="66"/>
  <c r="T196" i="66"/>
  <c r="U196" i="66"/>
  <c r="T197" i="66"/>
  <c r="U197" i="66"/>
  <c r="T198" i="66"/>
  <c r="U198" i="66"/>
  <c r="T199" i="66"/>
  <c r="U199" i="66" s="1"/>
  <c r="T200" i="66"/>
  <c r="U200" i="66"/>
  <c r="T201" i="66"/>
  <c r="U201" i="66"/>
  <c r="T202" i="66"/>
  <c r="U202" i="66"/>
  <c r="T203" i="66"/>
  <c r="U203" i="66"/>
  <c r="T204" i="66"/>
  <c r="U204" i="66"/>
  <c r="T205" i="66"/>
  <c r="U205" i="66" s="1"/>
  <c r="T206" i="66"/>
  <c r="U206" i="66"/>
  <c r="T207" i="66"/>
  <c r="U207" i="66"/>
  <c r="T208" i="66"/>
  <c r="U208" i="66"/>
  <c r="T209" i="66"/>
  <c r="U209" i="66"/>
  <c r="T210" i="66"/>
  <c r="U210" i="66"/>
  <c r="T211" i="66"/>
  <c r="U211" i="66" s="1"/>
  <c r="T212" i="66"/>
  <c r="U212" i="66"/>
  <c r="T213" i="66"/>
  <c r="U213" i="66"/>
  <c r="T214" i="66"/>
  <c r="U214" i="66"/>
  <c r="T215" i="66"/>
  <c r="U215" i="66"/>
  <c r="T216" i="66"/>
  <c r="U216" i="66"/>
  <c r="T217" i="66"/>
  <c r="U217" i="66" s="1"/>
  <c r="T218" i="66"/>
  <c r="U218" i="66"/>
  <c r="T219" i="66"/>
  <c r="U219" i="66"/>
  <c r="T220" i="66"/>
  <c r="U220" i="66"/>
  <c r="T221" i="66"/>
  <c r="U221" i="66"/>
  <c r="T222" i="66"/>
  <c r="U222" i="66"/>
  <c r="T223" i="66"/>
  <c r="U223" i="66" s="1"/>
  <c r="T224" i="66"/>
  <c r="U224" i="66"/>
  <c r="T225" i="66"/>
  <c r="U225" i="66"/>
  <c r="T226" i="66"/>
  <c r="U226" i="66"/>
  <c r="T227" i="66"/>
  <c r="U227" i="66"/>
  <c r="T228" i="66"/>
  <c r="U228" i="66"/>
  <c r="T229" i="66"/>
  <c r="U229" i="66" s="1"/>
  <c r="T230" i="66"/>
  <c r="U230" i="66" s="1"/>
  <c r="T231" i="66"/>
  <c r="U231" i="66"/>
  <c r="T232" i="66"/>
  <c r="U232" i="66" s="1"/>
  <c r="T233" i="66"/>
  <c r="U233" i="66" s="1"/>
  <c r="T234" i="66"/>
  <c r="U234" i="66"/>
  <c r="T235" i="66"/>
  <c r="U235" i="66" s="1"/>
  <c r="T236" i="66"/>
  <c r="U236" i="66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 s="1"/>
  <c r="L114" i="66"/>
  <c r="M114" i="66"/>
  <c r="L115" i="66"/>
  <c r="M115" i="66" s="1"/>
  <c r="L116" i="66"/>
  <c r="M116" i="66"/>
  <c r="L117" i="66"/>
  <c r="M117" i="66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AV7" i="66"/>
  <c r="AL7" i="66"/>
  <c r="AD7" i="66"/>
  <c r="AC7" i="66" s="1"/>
  <c r="T7" i="66"/>
  <c r="FG6" i="66"/>
  <c r="EY6" i="66"/>
  <c r="EX6" i="66" s="1"/>
  <c r="EP6" i="66"/>
  <c r="EH6" i="66"/>
  <c r="EG6" i="66" s="1"/>
  <c r="DX6" i="66"/>
  <c r="DP6" i="66"/>
  <c r="DO6" i="66" s="1"/>
  <c r="DF6" i="66"/>
  <c r="CX6" i="66"/>
  <c r="CW6" i="66"/>
  <c r="BV6" i="66"/>
  <c r="BN6" i="66"/>
  <c r="BM6" i="66"/>
  <c r="BD6" i="66"/>
  <c r="AV6" i="66"/>
  <c r="AL6" i="66"/>
  <c r="DY5" i="66"/>
  <c r="DQ5" i="66"/>
  <c r="DG5" i="66"/>
  <c r="CY5" i="66"/>
  <c r="BW5" i="66"/>
  <c r="BO5" i="66"/>
  <c r="DU4" i="66"/>
  <c r="DW4" i="66" s="1"/>
  <c r="DC4" i="66"/>
  <c r="DE4" i="66" s="1"/>
  <c r="CU4" i="66"/>
  <c r="CW4" i="66" s="1"/>
  <c r="CK4" i="66"/>
  <c r="CM4" i="66" s="1"/>
  <c r="CC4" i="66"/>
  <c r="CE4" i="66" s="1"/>
  <c r="BS4" i="66"/>
  <c r="BU4" i="66" s="1"/>
  <c r="BK4" i="66"/>
  <c r="BM4" i="66" s="1"/>
  <c r="Q4" i="66"/>
  <c r="S4" i="66" s="1"/>
  <c r="DY3" i="66"/>
  <c r="DU3" i="66"/>
  <c r="DW3" i="66" s="1"/>
  <c r="DM3" i="66"/>
  <c r="DG3" i="66"/>
  <c r="DC3" i="66"/>
  <c r="DE3" i="66" s="1"/>
  <c r="CY3" i="66"/>
  <c r="CW3" i="66"/>
  <c r="CU3" i="66"/>
  <c r="CK3" i="66"/>
  <c r="CM3" i="66" s="1"/>
  <c r="CG3" i="66"/>
  <c r="CC3" i="66"/>
  <c r="BW3" i="66"/>
  <c r="BS3" i="66"/>
  <c r="BU3" i="66" s="1"/>
  <c r="BO3" i="66"/>
  <c r="BK3" i="66"/>
  <c r="BM3" i="66" s="1"/>
  <c r="EE4" i="66" l="1"/>
  <c r="EG4" i="66" s="1"/>
  <c r="CO3" i="66"/>
  <c r="EI3" i="66"/>
  <c r="EV4" i="66"/>
  <c r="EX4" i="66" s="1"/>
  <c r="EZ5" i="66"/>
  <c r="CF6" i="66"/>
  <c r="CE6" i="66" s="1"/>
  <c r="L7" i="66"/>
  <c r="K7" i="66" s="1"/>
  <c r="Y4" i="67"/>
  <c r="I3" i="66"/>
  <c r="EM3" i="66"/>
  <c r="EO3" i="66" s="1"/>
  <c r="FD4" i="66"/>
  <c r="FF4" i="66" s="1"/>
  <c r="FH5" i="66"/>
  <c r="CN6" i="66"/>
  <c r="CM6" i="66" s="1"/>
  <c r="CN9" i="66" s="1"/>
  <c r="B20" i="66" s="1"/>
  <c r="S7" i="66"/>
  <c r="DM6" i="67"/>
  <c r="AQ2" i="67"/>
  <c r="BA4" i="66"/>
  <c r="BC4" i="66" s="1"/>
  <c r="EM4" i="66"/>
  <c r="EO4" i="66" s="1"/>
  <c r="EI5" i="66"/>
  <c r="EV3" i="66"/>
  <c r="T6" i="66"/>
  <c r="EQ3" i="66"/>
  <c r="EZ3" i="66"/>
  <c r="AI4" i="66"/>
  <c r="AK4" i="66" s="1"/>
  <c r="CG5" i="66"/>
  <c r="AU7" i="66"/>
  <c r="FD3" i="66"/>
  <c r="FF3" i="66" s="1"/>
  <c r="CO5" i="66"/>
  <c r="BD7" i="66"/>
  <c r="BC7" i="66" s="1"/>
  <c r="EE3" i="66"/>
  <c r="EG3" i="66" s="1"/>
  <c r="BA3" i="66"/>
  <c r="AK7" i="66"/>
  <c r="FH3" i="66"/>
  <c r="AA6" i="67"/>
  <c r="A13" i="67" s="1"/>
  <c r="EQ5" i="66"/>
  <c r="AI3" i="66"/>
  <c r="AK3" i="66" s="1"/>
  <c r="AG4" i="66" s="1"/>
  <c r="L6" i="66"/>
  <c r="K6" i="66" s="1"/>
  <c r="DQ3" i="66"/>
  <c r="I4" i="66"/>
  <c r="K4" i="66" s="1"/>
  <c r="DM4" i="66"/>
  <c r="DO4" i="66" s="1"/>
  <c r="AG2" i="67"/>
  <c r="DC6" i="67"/>
  <c r="A22" i="67" s="1"/>
  <c r="BE7" i="67"/>
  <c r="BE3" i="67"/>
  <c r="BE5" i="67"/>
  <c r="AW7" i="67"/>
  <c r="AW5" i="67"/>
  <c r="AW3" i="67"/>
  <c r="AV4" i="67" s="1"/>
  <c r="AM7" i="67"/>
  <c r="AM3" i="67"/>
  <c r="AM5" i="67"/>
  <c r="AE7" i="67"/>
  <c r="AE3" i="67"/>
  <c r="AE5" i="67"/>
  <c r="U7" i="67"/>
  <c r="U3" i="67"/>
  <c r="U5" i="67"/>
  <c r="G4" i="67"/>
  <c r="M7" i="67"/>
  <c r="M5" i="67"/>
  <c r="M3" i="67"/>
  <c r="EY4" i="67"/>
  <c r="EY2" i="67" s="1"/>
  <c r="EV9" i="67" s="1"/>
  <c r="DP4" i="67"/>
  <c r="DP2" i="67" s="1"/>
  <c r="DM9" i="67" s="1"/>
  <c r="E23" i="67" s="1"/>
  <c r="FG4" i="67"/>
  <c r="FG2" i="67" s="1"/>
  <c r="DX4" i="67"/>
  <c r="DX2" i="67" s="1"/>
  <c r="EP4" i="67"/>
  <c r="EP2" i="67" s="1"/>
  <c r="BA6" i="67"/>
  <c r="AI6" i="67"/>
  <c r="Q6" i="67"/>
  <c r="CX4" i="67"/>
  <c r="BN4" i="67"/>
  <c r="CN4" i="67"/>
  <c r="L4" i="67"/>
  <c r="BD9" i="67"/>
  <c r="B16" i="67" s="1"/>
  <c r="AL9" i="67"/>
  <c r="B14" i="67" s="1"/>
  <c r="T9" i="67"/>
  <c r="B12" i="67" s="1"/>
  <c r="BV4" i="67"/>
  <c r="AD4" i="67"/>
  <c r="CF4" i="67"/>
  <c r="CF2" i="67" s="1"/>
  <c r="BE9" i="66"/>
  <c r="AW9" i="66"/>
  <c r="AS3" i="66"/>
  <c r="AU3" i="66" s="1"/>
  <c r="AS6" i="66" s="1"/>
  <c r="A15" i="66" s="1"/>
  <c r="AS4" i="66"/>
  <c r="AU4" i="66" s="1"/>
  <c r="AU6" i="66"/>
  <c r="AQ2" i="66" s="1"/>
  <c r="AM9" i="66"/>
  <c r="AE9" i="66"/>
  <c r="AE3" i="66" s="1"/>
  <c r="Y2" i="66"/>
  <c r="AA3" i="66"/>
  <c r="AC3" i="66" s="1"/>
  <c r="AA4" i="66"/>
  <c r="AC4" i="66" s="1"/>
  <c r="U9" i="66"/>
  <c r="Q3" i="66"/>
  <c r="S3" i="66" s="1"/>
  <c r="Q6" i="66" s="1"/>
  <c r="M9" i="66"/>
  <c r="G2" i="66"/>
  <c r="K3" i="66"/>
  <c r="I6" i="66" s="1"/>
  <c r="A11" i="66" s="1"/>
  <c r="AA6" i="66"/>
  <c r="A13" i="66" s="1"/>
  <c r="BK6" i="66"/>
  <c r="A17" i="66" s="1"/>
  <c r="CE3" i="66"/>
  <c r="CC6" i="66" s="1"/>
  <c r="A19" i="66" s="1"/>
  <c r="CU6" i="66"/>
  <c r="A21" i="66" s="1"/>
  <c r="DO3" i="66"/>
  <c r="DM6" i="66" s="1"/>
  <c r="EE6" i="66"/>
  <c r="EX3" i="66"/>
  <c r="EV6" i="66" s="1"/>
  <c r="BS6" i="66"/>
  <c r="A18" i="66" s="1"/>
  <c r="CK6" i="66"/>
  <c r="A20" i="66" s="1"/>
  <c r="DC6" i="66"/>
  <c r="A22" i="66" s="1"/>
  <c r="DU6" i="66"/>
  <c r="BC3" i="66"/>
  <c r="BA6" i="66" s="1"/>
  <c r="S6" i="66"/>
  <c r="O2" i="66" s="1"/>
  <c r="AD9" i="66"/>
  <c r="B13" i="66" s="1"/>
  <c r="AK6" i="66"/>
  <c r="AG2" i="66" s="1"/>
  <c r="BC6" i="66"/>
  <c r="AY2" i="66" s="1"/>
  <c r="BN9" i="66"/>
  <c r="B17" i="66" s="1"/>
  <c r="BU6" i="66"/>
  <c r="BV9" i="66" s="1"/>
  <c r="B18" i="66" s="1"/>
  <c r="CF9" i="66"/>
  <c r="B19" i="66" s="1"/>
  <c r="CX9" i="66"/>
  <c r="B21" i="66" s="1"/>
  <c r="DE6" i="66"/>
  <c r="DF9" i="66" s="1"/>
  <c r="B22" i="66" s="1"/>
  <c r="DP9" i="66"/>
  <c r="DW6" i="66"/>
  <c r="DX9" i="66" s="1"/>
  <c r="EH9" i="66"/>
  <c r="EO6" i="66"/>
  <c r="EP9" i="66" s="1"/>
  <c r="EY9" i="66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/>
  <c r="BD99" i="65"/>
  <c r="BE99" i="65" s="1"/>
  <c r="BD100" i="65"/>
  <c r="BE100" i="65" s="1"/>
  <c r="BD101" i="65"/>
  <c r="BE101" i="65" s="1"/>
  <c r="BD102" i="65"/>
  <c r="BE102" i="65"/>
  <c r="BD103" i="65"/>
  <c r="BE103" i="65" s="1"/>
  <c r="BD104" i="65"/>
  <c r="BE104" i="65"/>
  <c r="BD105" i="65"/>
  <c r="BE105" i="65" s="1"/>
  <c r="BD106" i="65"/>
  <c r="BE106" i="65" s="1"/>
  <c r="BD107" i="65"/>
  <c r="BE107" i="65"/>
  <c r="BD108" i="65"/>
  <c r="BE108" i="65"/>
  <c r="BD109" i="65"/>
  <c r="BE109" i="65" s="1"/>
  <c r="BD110" i="65"/>
  <c r="BE110" i="65"/>
  <c r="BD111" i="65"/>
  <c r="BE111" i="65"/>
  <c r="BD112" i="65"/>
  <c r="BE112" i="65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/>
  <c r="BD198" i="65"/>
  <c r="BE198" i="65"/>
  <c r="BD199" i="65"/>
  <c r="BE199" i="65" s="1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 s="1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 s="1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 s="1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 s="1"/>
  <c r="BD224" i="65"/>
  <c r="BE224" i="65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 s="1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 s="1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 s="1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 s="1"/>
  <c r="AV206" i="65"/>
  <c r="AW206" i="65"/>
  <c r="AV207" i="65"/>
  <c r="AW207" i="65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/>
  <c r="AV380" i="65"/>
  <c r="AW380" i="65" s="1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 s="1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 s="1"/>
  <c r="AL193" i="65"/>
  <c r="AM193" i="65"/>
  <c r="AL194" i="65"/>
  <c r="AM194" i="65" s="1"/>
  <c r="AL195" i="65"/>
  <c r="AM195" i="65" s="1"/>
  <c r="AL196" i="65"/>
  <c r="AM196" i="65" s="1"/>
  <c r="AL197" i="65"/>
  <c r="AM197" i="65" s="1"/>
  <c r="AL198" i="65"/>
  <c r="AM198" i="65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/>
  <c r="AD216" i="65"/>
  <c r="AE216" i="65" s="1"/>
  <c r="AD217" i="65"/>
  <c r="AE217" i="65" s="1"/>
  <c r="AD218" i="65"/>
  <c r="AE218" i="65" s="1"/>
  <c r="AD219" i="65"/>
  <c r="AE219" i="65" s="1"/>
  <c r="AD220" i="65"/>
  <c r="AE220" i="65" s="1"/>
  <c r="AD221" i="65"/>
  <c r="AE221" i="65"/>
  <c r="AD222" i="65"/>
  <c r="AE222" i="65" s="1"/>
  <c r="AD223" i="65"/>
  <c r="AE223" i="65" s="1"/>
  <c r="AD224" i="65"/>
  <c r="AE224" i="65" s="1"/>
  <c r="AD225" i="65"/>
  <c r="AE225" i="65" s="1"/>
  <c r="AD226" i="65"/>
  <c r="AE226" i="65" s="1"/>
  <c r="AD227" i="65"/>
  <c r="AE227" i="65"/>
  <c r="AD228" i="65"/>
  <c r="AE228" i="65" s="1"/>
  <c r="AD229" i="65"/>
  <c r="AE229" i="65" s="1"/>
  <c r="AD230" i="65"/>
  <c r="AE230" i="65" s="1"/>
  <c r="AD231" i="65"/>
  <c r="AE231" i="65" s="1"/>
  <c r="AD232" i="65"/>
  <c r="AE232" i="65" s="1"/>
  <c r="AD233" i="65"/>
  <c r="AE233" i="65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/>
  <c r="AD258" i="65"/>
  <c r="AE258" i="65" s="1"/>
  <c r="AD259" i="65"/>
  <c r="AE259" i="65" s="1"/>
  <c r="AD260" i="65"/>
  <c r="AE260" i="65" s="1"/>
  <c r="AD261" i="65"/>
  <c r="AE261" i="65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/>
  <c r="AD347" i="65"/>
  <c r="AE347" i="65"/>
  <c r="AD348" i="65"/>
  <c r="AE348" i="65" s="1"/>
  <c r="AD349" i="65"/>
  <c r="AE349" i="65"/>
  <c r="AD350" i="65"/>
  <c r="AE350" i="65"/>
  <c r="AD351" i="65"/>
  <c r="AE351" i="65"/>
  <c r="AD352" i="65"/>
  <c r="AE352" i="65"/>
  <c r="AD353" i="65"/>
  <c r="AE353" i="65"/>
  <c r="AD354" i="65"/>
  <c r="AE354" i="65" s="1"/>
  <c r="AD355" i="65"/>
  <c r="AE355" i="65"/>
  <c r="AD356" i="65"/>
  <c r="AE356" i="65"/>
  <c r="AD357" i="65"/>
  <c r="AE357" i="65"/>
  <c r="AD358" i="65"/>
  <c r="AE358" i="65"/>
  <c r="AD359" i="65"/>
  <c r="AE359" i="65"/>
  <c r="AD360" i="65"/>
  <c r="AE360" i="65" s="1"/>
  <c r="AD361" i="65"/>
  <c r="AE361" i="65"/>
  <c r="AD362" i="65"/>
  <c r="AE362" i="65"/>
  <c r="AD363" i="65"/>
  <c r="AE363" i="65"/>
  <c r="AD364" i="65"/>
  <c r="AE364" i="65"/>
  <c r="AD365" i="65"/>
  <c r="AE365" i="65"/>
  <c r="AD366" i="65"/>
  <c r="AE366" i="65" s="1"/>
  <c r="AD367" i="65"/>
  <c r="AE367" i="65"/>
  <c r="AD368" i="65"/>
  <c r="AE368" i="65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T12" i="65"/>
  <c r="U12" i="65"/>
  <c r="T13" i="65"/>
  <c r="U13" i="65"/>
  <c r="T14" i="65"/>
  <c r="U14" i="65"/>
  <c r="T15" i="65"/>
  <c r="U15" i="65"/>
  <c r="T16" i="65"/>
  <c r="U16" i="65"/>
  <c r="T17" i="65"/>
  <c r="U17" i="65" s="1"/>
  <c r="T18" i="65"/>
  <c r="U18" i="65"/>
  <c r="T19" i="65"/>
  <c r="U19" i="65"/>
  <c r="T20" i="65"/>
  <c r="U20" i="65"/>
  <c r="T21" i="65"/>
  <c r="U21" i="65"/>
  <c r="T22" i="65"/>
  <c r="U22" i="65"/>
  <c r="T23" i="65"/>
  <c r="U23" i="65" s="1"/>
  <c r="T24" i="65"/>
  <c r="U24" i="65"/>
  <c r="T25" i="65"/>
  <c r="U25" i="65"/>
  <c r="T26" i="65"/>
  <c r="U26" i="65"/>
  <c r="T27" i="65"/>
  <c r="U27" i="65"/>
  <c r="T28" i="65"/>
  <c r="U28" i="65"/>
  <c r="T29" i="65"/>
  <c r="U29" i="65" s="1"/>
  <c r="T30" i="65"/>
  <c r="U30" i="65"/>
  <c r="T31" i="65"/>
  <c r="U31" i="65"/>
  <c r="T32" i="65"/>
  <c r="U32" i="65"/>
  <c r="T33" i="65"/>
  <c r="U33" i="65"/>
  <c r="T34" i="65"/>
  <c r="U34" i="65"/>
  <c r="T35" i="65"/>
  <c r="U35" i="65" s="1"/>
  <c r="T36" i="65"/>
  <c r="U36" i="65"/>
  <c r="T37" i="65"/>
  <c r="U37" i="65"/>
  <c r="T38" i="65"/>
  <c r="U38" i="65"/>
  <c r="T39" i="65"/>
  <c r="U39" i="65"/>
  <c r="T40" i="65"/>
  <c r="U40" i="65"/>
  <c r="T41" i="65"/>
  <c r="U41" i="65" s="1"/>
  <c r="T42" i="65"/>
  <c r="U42" i="65"/>
  <c r="T43" i="65"/>
  <c r="U43" i="65"/>
  <c r="T44" i="65"/>
  <c r="U44" i="65"/>
  <c r="T45" i="65"/>
  <c r="U45" i="65"/>
  <c r="T46" i="65"/>
  <c r="U46" i="65"/>
  <c r="T47" i="65"/>
  <c r="U47" i="65" s="1"/>
  <c r="T48" i="65"/>
  <c r="U48" i="65"/>
  <c r="T49" i="65"/>
  <c r="U49" i="65"/>
  <c r="T50" i="65"/>
  <c r="U50" i="65"/>
  <c r="T51" i="65"/>
  <c r="U51" i="65"/>
  <c r="T52" i="65"/>
  <c r="U52" i="65"/>
  <c r="T53" i="65"/>
  <c r="U53" i="65" s="1"/>
  <c r="T54" i="65"/>
  <c r="U54" i="65"/>
  <c r="T55" i="65"/>
  <c r="U55" i="65"/>
  <c r="T56" i="65"/>
  <c r="U56" i="65"/>
  <c r="T57" i="65"/>
  <c r="U57" i="65"/>
  <c r="T58" i="65"/>
  <c r="U58" i="65"/>
  <c r="T59" i="65"/>
  <c r="U59" i="65" s="1"/>
  <c r="T60" i="65"/>
  <c r="U60" i="65"/>
  <c r="T61" i="65"/>
  <c r="U61" i="65"/>
  <c r="T62" i="65"/>
  <c r="U62" i="65"/>
  <c r="T63" i="65"/>
  <c r="U63" i="65"/>
  <c r="T64" i="65"/>
  <c r="U64" i="65"/>
  <c r="T65" i="65"/>
  <c r="U65" i="65" s="1"/>
  <c r="T66" i="65"/>
  <c r="U66" i="65"/>
  <c r="T67" i="65"/>
  <c r="U67" i="65"/>
  <c r="T68" i="65"/>
  <c r="U68" i="65"/>
  <c r="T69" i="65"/>
  <c r="U69" i="65"/>
  <c r="T70" i="65"/>
  <c r="U70" i="65"/>
  <c r="T71" i="65"/>
  <c r="U71" i="65" s="1"/>
  <c r="T72" i="65"/>
  <c r="U72" i="65"/>
  <c r="T73" i="65"/>
  <c r="U73" i="65"/>
  <c r="T74" i="65"/>
  <c r="U74" i="65"/>
  <c r="T75" i="65"/>
  <c r="U75" i="65"/>
  <c r="T76" i="65"/>
  <c r="U76" i="65"/>
  <c r="T77" i="65"/>
  <c r="U77" i="65" s="1"/>
  <c r="T78" i="65"/>
  <c r="U78" i="65"/>
  <c r="T79" i="65"/>
  <c r="U79" i="65"/>
  <c r="T80" i="65"/>
  <c r="U80" i="65"/>
  <c r="T81" i="65"/>
  <c r="U81" i="65"/>
  <c r="T82" i="65"/>
  <c r="U82" i="65"/>
  <c r="T83" i="65"/>
  <c r="U83" i="65" s="1"/>
  <c r="T84" i="65"/>
  <c r="U84" i="65"/>
  <c r="T85" i="65"/>
  <c r="U85" i="65"/>
  <c r="T86" i="65"/>
  <c r="U86" i="65"/>
  <c r="T87" i="65"/>
  <c r="U87" i="65"/>
  <c r="T88" i="65"/>
  <c r="U88" i="65"/>
  <c r="T89" i="65"/>
  <c r="U89" i="65" s="1"/>
  <c r="T90" i="65"/>
  <c r="U90" i="65"/>
  <c r="T91" i="65"/>
  <c r="U91" i="65"/>
  <c r="T92" i="65"/>
  <c r="U92" i="65"/>
  <c r="T93" i="65"/>
  <c r="U93" i="65"/>
  <c r="T94" i="65"/>
  <c r="U94" i="65"/>
  <c r="T95" i="65"/>
  <c r="U95" i="65" s="1"/>
  <c r="T96" i="65"/>
  <c r="U96" i="65"/>
  <c r="T97" i="65"/>
  <c r="U97" i="65"/>
  <c r="T98" i="65"/>
  <c r="U98" i="65"/>
  <c r="T99" i="65"/>
  <c r="U99" i="65"/>
  <c r="T100" i="65"/>
  <c r="U100" i="65"/>
  <c r="T101" i="65"/>
  <c r="U101" i="65" s="1"/>
  <c r="T102" i="65"/>
  <c r="U102" i="65"/>
  <c r="T103" i="65"/>
  <c r="U103" i="65"/>
  <c r="T104" i="65"/>
  <c r="U104" i="65"/>
  <c r="T105" i="65"/>
  <c r="U105" i="65"/>
  <c r="T106" i="65"/>
  <c r="U106" i="65"/>
  <c r="T107" i="65"/>
  <c r="U107" i="65" s="1"/>
  <c r="T108" i="65"/>
  <c r="U108" i="65"/>
  <c r="T109" i="65"/>
  <c r="U109" i="65"/>
  <c r="T110" i="65"/>
  <c r="U110" i="65"/>
  <c r="T111" i="65"/>
  <c r="U111" i="65"/>
  <c r="T112" i="65"/>
  <c r="U112" i="65"/>
  <c r="T113" i="65"/>
  <c r="U113" i="65" s="1"/>
  <c r="T114" i="65"/>
  <c r="U114" i="65"/>
  <c r="T115" i="65"/>
  <c r="U115" i="65"/>
  <c r="T116" i="65"/>
  <c r="U116" i="65"/>
  <c r="T117" i="65"/>
  <c r="U117" i="65"/>
  <c r="T118" i="65"/>
  <c r="U118" i="65"/>
  <c r="T119" i="65"/>
  <c r="U119" i="65" s="1"/>
  <c r="T120" i="65"/>
  <c r="U120" i="65"/>
  <c r="T121" i="65"/>
  <c r="U121" i="65"/>
  <c r="T122" i="65"/>
  <c r="U122" i="65"/>
  <c r="T123" i="65"/>
  <c r="U123" i="65"/>
  <c r="T124" i="65"/>
  <c r="U124" i="65"/>
  <c r="T125" i="65"/>
  <c r="U125" i="65" s="1"/>
  <c r="T126" i="65"/>
  <c r="U126" i="65"/>
  <c r="T127" i="65"/>
  <c r="U127" i="65"/>
  <c r="T128" i="65"/>
  <c r="U128" i="65"/>
  <c r="T129" i="65"/>
  <c r="U129" i="65"/>
  <c r="T130" i="65"/>
  <c r="U130" i="65"/>
  <c r="T131" i="65"/>
  <c r="U131" i="65" s="1"/>
  <c r="T132" i="65"/>
  <c r="U132" i="65"/>
  <c r="T133" i="65"/>
  <c r="U133" i="65"/>
  <c r="T134" i="65"/>
  <c r="U134" i="65"/>
  <c r="T135" i="65"/>
  <c r="U135" i="65"/>
  <c r="T136" i="65"/>
  <c r="U136" i="65"/>
  <c r="T137" i="65"/>
  <c r="U137" i="65" s="1"/>
  <c r="T138" i="65"/>
  <c r="U138" i="65"/>
  <c r="T139" i="65"/>
  <c r="U139" i="65"/>
  <c r="T140" i="65"/>
  <c r="U140" i="65"/>
  <c r="T141" i="65"/>
  <c r="U141" i="65"/>
  <c r="T142" i="65"/>
  <c r="U142" i="65"/>
  <c r="T143" i="65"/>
  <c r="U143" i="65" s="1"/>
  <c r="T144" i="65"/>
  <c r="U144" i="65"/>
  <c r="T145" i="65"/>
  <c r="U145" i="65"/>
  <c r="T146" i="65"/>
  <c r="U146" i="65"/>
  <c r="T147" i="65"/>
  <c r="U147" i="65"/>
  <c r="T148" i="65"/>
  <c r="U148" i="65"/>
  <c r="T149" i="65"/>
  <c r="U149" i="65" s="1"/>
  <c r="T150" i="65"/>
  <c r="U150" i="65"/>
  <c r="T151" i="65"/>
  <c r="U151" i="65"/>
  <c r="T152" i="65"/>
  <c r="U152" i="65"/>
  <c r="T153" i="65"/>
  <c r="U153" i="65"/>
  <c r="T154" i="65"/>
  <c r="U154" i="65"/>
  <c r="T155" i="65"/>
  <c r="U155" i="65" s="1"/>
  <c r="T156" i="65"/>
  <c r="U156" i="65"/>
  <c r="T157" i="65"/>
  <c r="U157" i="65"/>
  <c r="T158" i="65"/>
  <c r="U158" i="65"/>
  <c r="T159" i="65"/>
  <c r="U159" i="65"/>
  <c r="T160" i="65"/>
  <c r="U160" i="65"/>
  <c r="T161" i="65"/>
  <c r="U161" i="65" s="1"/>
  <c r="T162" i="65"/>
  <c r="U162" i="65"/>
  <c r="T163" i="65"/>
  <c r="U163" i="65"/>
  <c r="T164" i="65"/>
  <c r="U164" i="65"/>
  <c r="T165" i="65"/>
  <c r="U165" i="65"/>
  <c r="T166" i="65"/>
  <c r="U166" i="65"/>
  <c r="T167" i="65"/>
  <c r="U167" i="65" s="1"/>
  <c r="T168" i="65"/>
  <c r="U168" i="65"/>
  <c r="T169" i="65"/>
  <c r="U169" i="65"/>
  <c r="T170" i="65"/>
  <c r="U170" i="65"/>
  <c r="T171" i="65"/>
  <c r="U171" i="65"/>
  <c r="T172" i="65"/>
  <c r="U172" i="65"/>
  <c r="T173" i="65"/>
  <c r="U173" i="65" s="1"/>
  <c r="T174" i="65"/>
  <c r="U174" i="65"/>
  <c r="T175" i="65"/>
  <c r="U175" i="65"/>
  <c r="T176" i="65"/>
  <c r="U176" i="65"/>
  <c r="T177" i="65"/>
  <c r="U177" i="65"/>
  <c r="T178" i="65"/>
  <c r="U178" i="65"/>
  <c r="T179" i="65"/>
  <c r="U179" i="65" s="1"/>
  <c r="T180" i="65"/>
  <c r="U180" i="65"/>
  <c r="T181" i="65"/>
  <c r="U181" i="65"/>
  <c r="T182" i="65"/>
  <c r="U182" i="65"/>
  <c r="T183" i="65"/>
  <c r="U183" i="65"/>
  <c r="T184" i="65"/>
  <c r="U184" i="65"/>
  <c r="T185" i="65"/>
  <c r="U185" i="65" s="1"/>
  <c r="T186" i="65"/>
  <c r="U186" i="65"/>
  <c r="T187" i="65"/>
  <c r="U187" i="65"/>
  <c r="T188" i="65"/>
  <c r="U188" i="65"/>
  <c r="T189" i="65"/>
  <c r="U189" i="65"/>
  <c r="T190" i="65"/>
  <c r="U190" i="65"/>
  <c r="T191" i="65"/>
  <c r="U191" i="65" s="1"/>
  <c r="T192" i="65"/>
  <c r="U192" i="65"/>
  <c r="T193" i="65"/>
  <c r="U193" i="65"/>
  <c r="T194" i="65"/>
  <c r="U194" i="65"/>
  <c r="T195" i="65"/>
  <c r="U195" i="65"/>
  <c r="T196" i="65"/>
  <c r="U196" i="65"/>
  <c r="T197" i="65"/>
  <c r="U197" i="65" s="1"/>
  <c r="T198" i="65"/>
  <c r="U198" i="65"/>
  <c r="T199" i="65"/>
  <c r="U199" i="65"/>
  <c r="T200" i="65"/>
  <c r="U200" i="65"/>
  <c r="T201" i="65"/>
  <c r="U201" i="65"/>
  <c r="T202" i="65"/>
  <c r="U202" i="65"/>
  <c r="T203" i="65"/>
  <c r="U203" i="65" s="1"/>
  <c r="T204" i="65"/>
  <c r="U204" i="65"/>
  <c r="T205" i="65"/>
  <c r="U205" i="65"/>
  <c r="T206" i="65"/>
  <c r="U206" i="65"/>
  <c r="T207" i="65"/>
  <c r="U207" i="65"/>
  <c r="T208" i="65"/>
  <c r="U208" i="65"/>
  <c r="T209" i="65"/>
  <c r="U209" i="65" s="1"/>
  <c r="T210" i="65"/>
  <c r="U210" i="65"/>
  <c r="T211" i="65"/>
  <c r="U211" i="65"/>
  <c r="T212" i="65"/>
  <c r="U212" i="65"/>
  <c r="T213" i="65"/>
  <c r="U213" i="65"/>
  <c r="T214" i="65"/>
  <c r="U214" i="65"/>
  <c r="T215" i="65"/>
  <c r="U215" i="65" s="1"/>
  <c r="T216" i="65"/>
  <c r="U216" i="65"/>
  <c r="T217" i="65"/>
  <c r="U217" i="65"/>
  <c r="T218" i="65"/>
  <c r="U218" i="65"/>
  <c r="T219" i="65"/>
  <c r="U219" i="65"/>
  <c r="T220" i="65"/>
  <c r="U220" i="65"/>
  <c r="T221" i="65"/>
  <c r="U221" i="65" s="1"/>
  <c r="T222" i="65"/>
  <c r="U222" i="65"/>
  <c r="T223" i="65"/>
  <c r="U223" i="65"/>
  <c r="T224" i="65"/>
  <c r="U224" i="65"/>
  <c r="T225" i="65"/>
  <c r="U225" i="65"/>
  <c r="T226" i="65"/>
  <c r="U226" i="65"/>
  <c r="T227" i="65"/>
  <c r="U227" i="65" s="1"/>
  <c r="T228" i="65"/>
  <c r="U228" i="65"/>
  <c r="T229" i="65"/>
  <c r="U229" i="65"/>
  <c r="T230" i="65"/>
  <c r="U230" i="65"/>
  <c r="T231" i="65"/>
  <c r="U231" i="65"/>
  <c r="T232" i="65"/>
  <c r="U232" i="65"/>
  <c r="T233" i="65"/>
  <c r="U233" i="65" s="1"/>
  <c r="T234" i="65"/>
  <c r="U234" i="65"/>
  <c r="T235" i="65"/>
  <c r="U235" i="65"/>
  <c r="T236" i="65"/>
  <c r="U236" i="65"/>
  <c r="T237" i="65"/>
  <c r="U237" i="65"/>
  <c r="T238" i="65"/>
  <c r="U238" i="65"/>
  <c r="T239" i="65"/>
  <c r="U239" i="65" s="1"/>
  <c r="T240" i="65"/>
  <c r="U240" i="65"/>
  <c r="T241" i="65"/>
  <c r="U241" i="65"/>
  <c r="T242" i="65"/>
  <c r="U242" i="65"/>
  <c r="T243" i="65"/>
  <c r="U243" i="65"/>
  <c r="T244" i="65"/>
  <c r="U244" i="65"/>
  <c r="T245" i="65"/>
  <c r="U245" i="65" s="1"/>
  <c r="T246" i="65"/>
  <c r="U246" i="65"/>
  <c r="T247" i="65"/>
  <c r="U247" i="65"/>
  <c r="T248" i="65"/>
  <c r="U248" i="65"/>
  <c r="T249" i="65"/>
  <c r="U249" i="65"/>
  <c r="T250" i="65"/>
  <c r="U250" i="65"/>
  <c r="T251" i="65"/>
  <c r="U251" i="65" s="1"/>
  <c r="T252" i="65"/>
  <c r="U252" i="65"/>
  <c r="T253" i="65"/>
  <c r="U253" i="65"/>
  <c r="T254" i="65"/>
  <c r="U254" i="65"/>
  <c r="T255" i="65"/>
  <c r="U255" i="65"/>
  <c r="T256" i="65"/>
  <c r="U256" i="65"/>
  <c r="T257" i="65"/>
  <c r="U257" i="65" s="1"/>
  <c r="T258" i="65"/>
  <c r="U258" i="65"/>
  <c r="T259" i="65"/>
  <c r="U259" i="65"/>
  <c r="T260" i="65"/>
  <c r="U260" i="65"/>
  <c r="T261" i="65"/>
  <c r="U261" i="65"/>
  <c r="T262" i="65"/>
  <c r="U262" i="65"/>
  <c r="T263" i="65"/>
  <c r="U263" i="65" s="1"/>
  <c r="T264" i="65"/>
  <c r="U264" i="65"/>
  <c r="T265" i="65"/>
  <c r="U265" i="65"/>
  <c r="T266" i="65"/>
  <c r="U266" i="65"/>
  <c r="T267" i="65"/>
  <c r="U267" i="65"/>
  <c r="T268" i="65"/>
  <c r="U268" i="65"/>
  <c r="T269" i="65"/>
  <c r="U269" i="65" s="1"/>
  <c r="T270" i="65"/>
  <c r="U270" i="65"/>
  <c r="T271" i="65"/>
  <c r="U271" i="65"/>
  <c r="T272" i="65"/>
  <c r="U272" i="65"/>
  <c r="T273" i="65"/>
  <c r="U273" i="65"/>
  <c r="T274" i="65"/>
  <c r="U274" i="65"/>
  <c r="T275" i="65"/>
  <c r="U275" i="65" s="1"/>
  <c r="T276" i="65"/>
  <c r="U276" i="65"/>
  <c r="T277" i="65"/>
  <c r="U277" i="65"/>
  <c r="T278" i="65"/>
  <c r="U278" i="65"/>
  <c r="T279" i="65"/>
  <c r="U279" i="65"/>
  <c r="T280" i="65"/>
  <c r="U280" i="65"/>
  <c r="T281" i="65"/>
  <c r="U281" i="65" s="1"/>
  <c r="T282" i="65"/>
  <c r="U282" i="65"/>
  <c r="T283" i="65"/>
  <c r="U283" i="65"/>
  <c r="T284" i="65"/>
  <c r="U284" i="65"/>
  <c r="T285" i="65"/>
  <c r="U285" i="65"/>
  <c r="T286" i="65"/>
  <c r="U286" i="65"/>
  <c r="T287" i="65"/>
  <c r="U287" i="65" s="1"/>
  <c r="T288" i="65"/>
  <c r="U288" i="65"/>
  <c r="T289" i="65"/>
  <c r="U289" i="65"/>
  <c r="T290" i="65"/>
  <c r="U290" i="65"/>
  <c r="T291" i="65"/>
  <c r="U291" i="65"/>
  <c r="T292" i="65"/>
  <c r="U292" i="65"/>
  <c r="T293" i="65"/>
  <c r="U293" i="65" s="1"/>
  <c r="T294" i="65"/>
  <c r="U294" i="65"/>
  <c r="T295" i="65"/>
  <c r="U295" i="65"/>
  <c r="T296" i="65"/>
  <c r="U296" i="65"/>
  <c r="T297" i="65"/>
  <c r="U297" i="65"/>
  <c r="T298" i="65"/>
  <c r="U298" i="65"/>
  <c r="T299" i="65"/>
  <c r="U299" i="65" s="1"/>
  <c r="T300" i="65"/>
  <c r="U300" i="65"/>
  <c r="T301" i="65"/>
  <c r="U301" i="65"/>
  <c r="T302" i="65"/>
  <c r="U302" i="65"/>
  <c r="T303" i="65"/>
  <c r="U303" i="65"/>
  <c r="T304" i="65"/>
  <c r="U304" i="65"/>
  <c r="T305" i="65"/>
  <c r="U305" i="65" s="1"/>
  <c r="T306" i="65"/>
  <c r="U306" i="65"/>
  <c r="T307" i="65"/>
  <c r="U307" i="65"/>
  <c r="T308" i="65"/>
  <c r="U308" i="65"/>
  <c r="T309" i="65"/>
  <c r="U309" i="65"/>
  <c r="T310" i="65"/>
  <c r="U310" i="65"/>
  <c r="T311" i="65"/>
  <c r="U311" i="65" s="1"/>
  <c r="T312" i="65"/>
  <c r="U312" i="65"/>
  <c r="T313" i="65"/>
  <c r="U313" i="65"/>
  <c r="T314" i="65"/>
  <c r="U314" i="65"/>
  <c r="T315" i="65"/>
  <c r="U315" i="65"/>
  <c r="T316" i="65"/>
  <c r="U316" i="65"/>
  <c r="T317" i="65"/>
  <c r="U317" i="65" s="1"/>
  <c r="T318" i="65"/>
  <c r="U318" i="65"/>
  <c r="T319" i="65"/>
  <c r="U319" i="65"/>
  <c r="T320" i="65"/>
  <c r="U320" i="65"/>
  <c r="T321" i="65"/>
  <c r="U321" i="65"/>
  <c r="T322" i="65"/>
  <c r="U322" i="65"/>
  <c r="T323" i="65"/>
  <c r="U323" i="65" s="1"/>
  <c r="T324" i="65"/>
  <c r="U324" i="65"/>
  <c r="T325" i="65"/>
  <c r="U325" i="65"/>
  <c r="T326" i="65"/>
  <c r="U326" i="65"/>
  <c r="T327" i="65"/>
  <c r="U327" i="65"/>
  <c r="T328" i="65"/>
  <c r="U328" i="65"/>
  <c r="T329" i="65"/>
  <c r="U329" i="65" s="1"/>
  <c r="T330" i="65"/>
  <c r="U330" i="65"/>
  <c r="T331" i="65"/>
  <c r="U331" i="65"/>
  <c r="T332" i="65"/>
  <c r="U332" i="65"/>
  <c r="T333" i="65"/>
  <c r="U333" i="65"/>
  <c r="T334" i="65"/>
  <c r="U334" i="65"/>
  <c r="T335" i="65"/>
  <c r="U335" i="65" s="1"/>
  <c r="T336" i="65"/>
  <c r="U336" i="65"/>
  <c r="T337" i="65"/>
  <c r="U337" i="65"/>
  <c r="T338" i="65"/>
  <c r="U338" i="65"/>
  <c r="T339" i="65"/>
  <c r="U339" i="65"/>
  <c r="T340" i="65"/>
  <c r="U340" i="65"/>
  <c r="T341" i="65"/>
  <c r="U341" i="65" s="1"/>
  <c r="T342" i="65"/>
  <c r="U342" i="65"/>
  <c r="T343" i="65"/>
  <c r="U343" i="65"/>
  <c r="T344" i="65"/>
  <c r="U344" i="65"/>
  <c r="T345" i="65"/>
  <c r="U345" i="65"/>
  <c r="T346" i="65"/>
  <c r="U346" i="65"/>
  <c r="T347" i="65"/>
  <c r="U347" i="65" s="1"/>
  <c r="T348" i="65"/>
  <c r="U348" i="65"/>
  <c r="T349" i="65"/>
  <c r="U349" i="65"/>
  <c r="T350" i="65"/>
  <c r="U350" i="65"/>
  <c r="T351" i="65"/>
  <c r="U351" i="65"/>
  <c r="T352" i="65"/>
  <c r="U352" i="65"/>
  <c r="T353" i="65"/>
  <c r="U353" i="65" s="1"/>
  <c r="T354" i="65"/>
  <c r="U354" i="65"/>
  <c r="T355" i="65"/>
  <c r="U355" i="65"/>
  <c r="T356" i="65"/>
  <c r="U356" i="65"/>
  <c r="T357" i="65"/>
  <c r="U357" i="65"/>
  <c r="T358" i="65"/>
  <c r="U358" i="65"/>
  <c r="T359" i="65"/>
  <c r="U359" i="65" s="1"/>
  <c r="T360" i="65"/>
  <c r="U360" i="65"/>
  <c r="T361" i="65"/>
  <c r="U361" i="65"/>
  <c r="T362" i="65"/>
  <c r="U362" i="65"/>
  <c r="T363" i="65"/>
  <c r="U363" i="65"/>
  <c r="T364" i="65"/>
  <c r="U364" i="65"/>
  <c r="T365" i="65"/>
  <c r="U365" i="65" s="1"/>
  <c r="T366" i="65"/>
  <c r="U366" i="65"/>
  <c r="T367" i="65"/>
  <c r="U367" i="65"/>
  <c r="T368" i="65"/>
  <c r="U368" i="65"/>
  <c r="T369" i="65"/>
  <c r="U369" i="65"/>
  <c r="T370" i="65"/>
  <c r="U370" i="65"/>
  <c r="T371" i="65"/>
  <c r="U371" i="65" s="1"/>
  <c r="T372" i="65"/>
  <c r="U372" i="65"/>
  <c r="T373" i="65"/>
  <c r="U373" i="65"/>
  <c r="T374" i="65"/>
  <c r="U374" i="65"/>
  <c r="T375" i="65"/>
  <c r="U375" i="65"/>
  <c r="T376" i="65"/>
  <c r="U376" i="65"/>
  <c r="T377" i="65"/>
  <c r="U377" i="65" s="1"/>
  <c r="T378" i="65"/>
  <c r="U378" i="65"/>
  <c r="T379" i="65"/>
  <c r="U379" i="65"/>
  <c r="T380" i="65"/>
  <c r="U380" i="65"/>
  <c r="T381" i="65"/>
  <c r="U381" i="65"/>
  <c r="T382" i="65"/>
  <c r="U382" i="65"/>
  <c r="T383" i="65"/>
  <c r="U383" i="65" s="1"/>
  <c r="T384" i="65"/>
  <c r="U384" i="65"/>
  <c r="T385" i="65"/>
  <c r="U385" i="65"/>
  <c r="T386" i="65"/>
  <c r="U386" i="65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 s="1"/>
  <c r="L248" i="65"/>
  <c r="M248" i="65" s="1"/>
  <c r="L249" i="65"/>
  <c r="M249" i="65" s="1"/>
  <c r="L250" i="65"/>
  <c r="M250" i="65" s="1"/>
  <c r="L251" i="65"/>
  <c r="M251" i="65" s="1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L359" i="65"/>
  <c r="M359" i="65" s="1"/>
  <c r="L360" i="65"/>
  <c r="M360" i="65" s="1"/>
  <c r="L361" i="65"/>
  <c r="M361" i="65" s="1"/>
  <c r="L362" i="65"/>
  <c r="M362" i="65" s="1"/>
  <c r="L363" i="65"/>
  <c r="M363" i="65" s="1"/>
  <c r="L364" i="65"/>
  <c r="M364" i="65" s="1"/>
  <c r="L365" i="65"/>
  <c r="M365" i="65" s="1"/>
  <c r="L366" i="65"/>
  <c r="M366" i="65" s="1"/>
  <c r="L367" i="65"/>
  <c r="M367" i="65" s="1"/>
  <c r="L368" i="65"/>
  <c r="M368" i="65" s="1"/>
  <c r="L369" i="65"/>
  <c r="M369" i="65" s="1"/>
  <c r="L370" i="65"/>
  <c r="M370" i="65" s="1"/>
  <c r="L371" i="65"/>
  <c r="M371" i="65" s="1"/>
  <c r="L372" i="65"/>
  <c r="M372" i="65" s="1"/>
  <c r="L373" i="65"/>
  <c r="M373" i="65" s="1"/>
  <c r="L374" i="65"/>
  <c r="M374" i="65" s="1"/>
  <c r="L375" i="65"/>
  <c r="M375" i="65" s="1"/>
  <c r="L376" i="65"/>
  <c r="M376" i="65" s="1"/>
  <c r="L377" i="65"/>
  <c r="M377" i="65" s="1"/>
  <c r="L378" i="65"/>
  <c r="M378" i="65" s="1"/>
  <c r="L379" i="65"/>
  <c r="M379" i="65" s="1"/>
  <c r="L380" i="65"/>
  <c r="M380" i="65" s="1"/>
  <c r="L381" i="65"/>
  <c r="M381" i="65" s="1"/>
  <c r="L382" i="65"/>
  <c r="M382" i="65" s="1"/>
  <c r="L383" i="65"/>
  <c r="M383" i="65" s="1"/>
  <c r="L384" i="65"/>
  <c r="M384" i="65" s="1"/>
  <c r="L385" i="65"/>
  <c r="M385" i="65" s="1"/>
  <c r="L386" i="65"/>
  <c r="M386" i="65" s="1"/>
  <c r="EH4" i="66" l="1"/>
  <c r="EH2" i="66" s="1"/>
  <c r="EE9" i="66" s="1"/>
  <c r="E25" i="66" s="1"/>
  <c r="L9" i="66"/>
  <c r="B11" i="66" s="1"/>
  <c r="AQ4" i="66"/>
  <c r="DF4" i="67"/>
  <c r="FD6" i="66"/>
  <c r="EM6" i="66"/>
  <c r="D19" i="67"/>
  <c r="CC9" i="67"/>
  <c r="E19" i="67" s="1"/>
  <c r="C13" i="67"/>
  <c r="AD2" i="67"/>
  <c r="C22" i="67"/>
  <c r="DF2" i="67"/>
  <c r="D22" i="67" s="1"/>
  <c r="C11" i="67"/>
  <c r="L2" i="67"/>
  <c r="C17" i="67"/>
  <c r="C19" i="67"/>
  <c r="BN2" i="67"/>
  <c r="A12" i="67"/>
  <c r="T4" i="67"/>
  <c r="A16" i="67"/>
  <c r="BD4" i="67"/>
  <c r="C15" i="67"/>
  <c r="AV2" i="67"/>
  <c r="C18" i="67"/>
  <c r="BV2" i="67"/>
  <c r="D18" i="67" s="1"/>
  <c r="C20" i="67"/>
  <c r="CN2" i="67"/>
  <c r="D20" i="67" s="1"/>
  <c r="C21" i="67"/>
  <c r="CX2" i="67"/>
  <c r="A14" i="67"/>
  <c r="AL4" i="67"/>
  <c r="BE7" i="66"/>
  <c r="BE3" i="66"/>
  <c r="BE5" i="66"/>
  <c r="AW7" i="66"/>
  <c r="AW3" i="66"/>
  <c r="AW5" i="66"/>
  <c r="AV9" i="66"/>
  <c r="B15" i="66" s="1"/>
  <c r="AM7" i="66"/>
  <c r="AM3" i="66"/>
  <c r="AM5" i="66"/>
  <c r="AE7" i="66"/>
  <c r="AE5" i="66"/>
  <c r="Y4" i="66"/>
  <c r="U7" i="66"/>
  <c r="U5" i="66"/>
  <c r="U3" i="66"/>
  <c r="M7" i="66"/>
  <c r="M5" i="66"/>
  <c r="M3" i="66"/>
  <c r="G4" i="66"/>
  <c r="EY4" i="66"/>
  <c r="EY2" i="66" s="1"/>
  <c r="EV9" i="66" s="1"/>
  <c r="DP4" i="66"/>
  <c r="DP2" i="66" s="1"/>
  <c r="DM9" i="66" s="1"/>
  <c r="E23" i="66" s="1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L6" i="65"/>
  <c r="D11" i="67" l="1"/>
  <c r="D13" i="67"/>
  <c r="C14" i="67"/>
  <c r="AL2" i="67"/>
  <c r="D14" i="67" s="1"/>
  <c r="D21" i="67"/>
  <c r="CU9" i="67"/>
  <c r="E21" i="67" s="1"/>
  <c r="D15" i="67"/>
  <c r="C16" i="67"/>
  <c r="BD2" i="67"/>
  <c r="D16" i="67" s="1"/>
  <c r="C12" i="67"/>
  <c r="T2" i="67"/>
  <c r="D12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BK3" i="65"/>
  <c r="AS3" i="65"/>
  <c r="AM3" i="65"/>
  <c r="AI3" i="65"/>
  <c r="AA3" i="65"/>
  <c r="I3" i="65"/>
  <c r="E5" i="63"/>
  <c r="J5" i="63"/>
  <c r="CC3" i="65" l="1"/>
  <c r="CE3" i="65" s="1"/>
  <c r="CC6" i="65" s="1"/>
  <c r="A19" i="65" s="1"/>
  <c r="AS9" i="67"/>
  <c r="E15" i="67" s="1"/>
  <c r="AA9" i="67"/>
  <c r="E13" i="67" s="1"/>
  <c r="I9" i="67"/>
  <c r="E11" i="67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DE3" i="65"/>
  <c r="DA4" i="65" s="1"/>
  <c r="BI2" i="65"/>
  <c r="CA2" i="65"/>
  <c r="BM3" i="65"/>
  <c r="BI4" i="65" s="1"/>
  <c r="M11" i="65"/>
  <c r="M9" i="65" s="1"/>
  <c r="M7" i="65" s="1"/>
  <c r="I4" i="65"/>
  <c r="K4" i="65" s="1"/>
  <c r="K6" i="65"/>
  <c r="G2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BK6" i="65"/>
  <c r="A17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CM6" i="65"/>
  <c r="CN9" i="65" s="1"/>
  <c r="DE6" i="65"/>
  <c r="DF9" i="65" s="1"/>
  <c r="DW6" i="65"/>
  <c r="DX9" i="65" s="1"/>
  <c r="EO6" i="65"/>
  <c r="EP9" i="65" s="1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I5" i="63"/>
  <c r="J4" i="63"/>
  <c r="L5" i="63"/>
  <c r="H5" i="63"/>
  <c r="G5" i="63"/>
  <c r="D5" i="63"/>
  <c r="A3" i="63" a="1"/>
  <c r="C5" i="63"/>
  <c r="E4" i="63"/>
  <c r="B5" i="63"/>
  <c r="BV9" i="65" l="1"/>
  <c r="CA4" i="65"/>
  <c r="G4" i="65"/>
  <c r="EP4" i="65"/>
  <c r="EP2" i="65" s="1"/>
  <c r="AS9" i="66"/>
  <c r="E15" i="66" s="1"/>
  <c r="AA9" i="66"/>
  <c r="E13" i="66" s="1"/>
  <c r="AS6" i="65"/>
  <c r="A15" i="65" s="1"/>
  <c r="AI6" i="65"/>
  <c r="A14" i="65" s="1"/>
  <c r="AA6" i="65"/>
  <c r="A13" i="65" s="1"/>
  <c r="CW3" i="65"/>
  <c r="CU6" i="65" s="1"/>
  <c r="A21" i="65" s="1"/>
  <c r="CI2" i="65"/>
  <c r="BU3" i="65"/>
  <c r="BS6" i="65" s="1"/>
  <c r="A18" i="65" s="1"/>
  <c r="CM3" i="65"/>
  <c r="CK6" i="65" s="1"/>
  <c r="A20" i="65" s="1"/>
  <c r="BQ2" i="65"/>
  <c r="DA2" i="65"/>
  <c r="M3" i="65"/>
  <c r="L9" i="65"/>
  <c r="B11" i="65" s="1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B16" i="65"/>
  <c r="B12" i="65"/>
  <c r="B22" i="65"/>
  <c r="DF4" i="65"/>
  <c r="B18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EH4" i="65"/>
  <c r="EH2" i="65" s="1"/>
  <c r="EE9" i="65" s="1"/>
  <c r="E25" i="65" s="1"/>
  <c r="CX4" i="65"/>
  <c r="BN4" i="65"/>
  <c r="AD4" i="65"/>
  <c r="EX6" i="64"/>
  <c r="EY9" i="64" s="1"/>
  <c r="EG6" i="64"/>
  <c r="EH9" i="64" s="1"/>
  <c r="DO6" i="64"/>
  <c r="DP9" i="64" s="1"/>
  <c r="A3" i="63"/>
  <c r="B4" i="63"/>
  <c r="H4" i="63"/>
  <c r="D4" i="63"/>
  <c r="L4" i="63"/>
  <c r="I4" i="63"/>
  <c r="G4" i="63"/>
  <c r="C4" i="63"/>
  <c r="CI4" i="65" l="1"/>
  <c r="BV4" i="65"/>
  <c r="BQ4" i="65"/>
  <c r="O4" i="65"/>
  <c r="CN4" i="65"/>
  <c r="CN2" i="65" s="1"/>
  <c r="D20" i="65" s="1"/>
  <c r="T4" i="65"/>
  <c r="T2" i="65" s="1"/>
  <c r="D12" i="65" s="1"/>
  <c r="BA6" i="65"/>
  <c r="CS4" i="65"/>
  <c r="L4" i="65"/>
  <c r="L2" i="65" s="1"/>
  <c r="C13" i="65"/>
  <c r="AD2" i="65"/>
  <c r="C21" i="65"/>
  <c r="CX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C20" i="65" l="1"/>
  <c r="C11" i="65"/>
  <c r="A16" i="65"/>
  <c r="BD4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AW11" i="64"/>
  <c r="AW9" i="64" s="1"/>
  <c r="AS4" i="64"/>
  <c r="AU4" i="64" s="1"/>
  <c r="AV6" i="64"/>
  <c r="AU6" i="64" s="1"/>
  <c r="AS3" i="64"/>
  <c r="AU7" i="64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EV6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AQ2" i="64" l="1"/>
  <c r="AU3" i="64"/>
  <c r="AS6" i="64" s="1"/>
  <c r="A15" i="64" s="1"/>
  <c r="K3" i="64"/>
  <c r="I6" i="64" s="1"/>
  <c r="A11" i="64" s="1"/>
  <c r="G4" i="64"/>
  <c r="Y2" i="64"/>
  <c r="BD2" i="65"/>
  <c r="C16" i="65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Y4" i="64" s="1"/>
  <c r="EY2" i="64" s="1"/>
  <c r="EV9" i="64" s="1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K3" i="64"/>
  <c r="AI6" i="64" s="1"/>
  <c r="A1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 s="1"/>
  <c r="A17" i="64" s="1"/>
  <c r="AV9" i="64"/>
  <c r="B15" i="64" s="1"/>
  <c r="AW7" i="64"/>
  <c r="AW3" i="64"/>
  <c r="AV4" i="64" s="1"/>
  <c r="AW5" i="64"/>
  <c r="AC3" i="64"/>
  <c r="AA6" i="64" s="1"/>
  <c r="A13" i="64" s="1"/>
  <c r="M7" i="64"/>
  <c r="M5" i="64"/>
  <c r="M3" i="64"/>
  <c r="A2" i="63"/>
  <c r="AQ4" i="64" l="1"/>
  <c r="AG4" i="64"/>
  <c r="AY4" i="64"/>
  <c r="AG2" i="64"/>
  <c r="Y4" i="64"/>
  <c r="O4" i="64"/>
  <c r="D16" i="65"/>
  <c r="AS9" i="65"/>
  <c r="E15" i="65" s="1"/>
  <c r="CF4" i="64"/>
  <c r="CF2" i="64" s="1"/>
  <c r="CC9" i="64" s="1"/>
  <c r="BD4" i="64"/>
  <c r="BD2" i="64" s="1"/>
  <c r="D16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2" i="64" l="1"/>
  <c r="C16" i="64"/>
  <c r="D15" i="64"/>
  <c r="C20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J2" i="63"/>
  <c r="E3" i="63"/>
  <c r="L2" i="63"/>
  <c r="B3" i="63"/>
  <c r="C3" i="63"/>
  <c r="I2" i="63"/>
  <c r="H3" i="63"/>
  <c r="L3" i="63"/>
  <c r="B2" i="63"/>
  <c r="G2" i="63"/>
  <c r="D3" i="63"/>
  <c r="H2" i="63"/>
  <c r="C2" i="63"/>
  <c r="D2" i="63"/>
  <c r="G3" i="63"/>
  <c r="I3" i="6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<sst xmlns="http://schemas.openxmlformats.org/spreadsheetml/2006/main" count="1648" uniqueCount="46">
  <si>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</si>
  <si>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</si>
  <si>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</si>
  <si>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</si>
  <si>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</si>
  <si>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</si>
  <si>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</si>
  <si>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</si>
  <si>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</si>
  <si>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</si>
  <si>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</si>
  <si>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</si>
  <si>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</si>
  <si>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</si>
  <si>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</si>
  <si>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</si>
  <si>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</si>
  <si>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</si>
  <si>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</si>
  <si>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</si>
  <si>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宋体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</si>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</sst>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8" x14ac:knownFonts="1">
    <font>
      <sz val="11"/>
      <color theme="1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theme="1"/>
      <name val="Calibri"/>
      <family val="2"/>
    </font>
    <font>
      <b/>
      <sz val="11"/>
      <name val="宋体"/>
      <family val="2"/>
      <scheme val="minor"/>
    </font>
    <font>
      <b/>
      <sz val="11"/>
      <color rgb="FFFF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76" fontId="0" fillId="2" borderId="0" xfId="0" applyNumberFormat="1" applyFill="1"/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176" fontId="0" fillId="2" borderId="0" xfId="0" applyNumberFormat="1" applyFill="1" applyAlignment="1">
      <alignment horizontal="center"/>
    </xf>
    <xf numFmtId="176" fontId="2" fillId="2" borderId="0" xfId="0" applyNumberFormat="1" applyFont="1" applyFill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76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76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76" fontId="1" fillId="0" borderId="0" xfId="0" applyNumberFormat="1" applyFont="1"/>
    <xf numFmtId="11" fontId="0" fillId="0" borderId="0" xfId="0" applyNumberFormat="1" applyAlignment="1">
      <alignment vertical="center" wrapText="1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7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'20221206T090000'!$L$10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'20221206T090000'!$G$11:$G$500</c:f>
              <c:numCache>
                <c:formatCode>General</c:formatCode>
                <c:ptCount val="490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'20221206T090000'!$L$11:$L$500</c:f>
              <c:numCache>
                <c:formatCode>General</c:formatCode>
                <c:ptCount val="490"/>
                <c:pt idx="0">
                  <c:v>-27.537407407407407</c:v>
                </c:pt>
                <c:pt idx="1">
                  <c:v>-23.095432098765428</c:v>
                </c:pt>
                <c:pt idx="2">
                  <c:v>-18.853086419753083</c:v>
                </c:pt>
                <c:pt idx="3">
                  <c:v>-14.787777777777777</c:v>
                </c:pt>
                <c:pt idx="4">
                  <c:v>-10.801716049382714</c:v>
                </c:pt>
                <c:pt idx="5">
                  <c:v>-7.1848148148148141</c:v>
                </c:pt>
                <c:pt idx="6">
                  <c:v>-3.8324074074074068</c:v>
                </c:pt>
                <c:pt idx="7">
                  <c:v>-0.87898148148148147</c:v>
                </c:pt>
                <c:pt idx="8">
                  <c:v>1.5850246913580246</c:v>
                </c:pt>
                <c:pt idx="9">
                  <c:v>3.5954197530864196</c:v>
                </c:pt>
                <c:pt idx="10">
                  <c:v>5.1649999999999991</c:v>
                </c:pt>
                <c:pt idx="11">
                  <c:v>6.3860864197530862</c:v>
                </c:pt>
                <c:pt idx="12">
                  <c:v>7.3920370370370376</c:v>
                </c:pt>
                <c:pt idx="13">
                  <c:v>8.2246790123456783</c:v>
                </c:pt>
                <c:pt idx="14">
                  <c:v>8.9329876543209874</c:v>
                </c:pt>
                <c:pt idx="15">
                  <c:v>9.539567901234566</c:v>
                </c:pt>
                <c:pt idx="16">
                  <c:v>10.085876543209876</c:v>
                </c:pt>
                <c:pt idx="17">
                  <c:v>10.575654320987654</c:v>
                </c:pt>
                <c:pt idx="18">
                  <c:v>11.001395061728394</c:v>
                </c:pt>
                <c:pt idx="19">
                  <c:v>11.374395061728395</c:v>
                </c:pt>
                <c:pt idx="20">
                  <c:v>11.705938271604937</c:v>
                </c:pt>
                <c:pt idx="21">
                  <c:v>12.022419753086417</c:v>
                </c:pt>
                <c:pt idx="22">
                  <c:v>12.308753086419753</c:v>
                </c:pt>
                <c:pt idx="23">
                  <c:v>12.568765432098765</c:v>
                </c:pt>
                <c:pt idx="24">
                  <c:v>12.824938271604937</c:v>
                </c:pt>
                <c:pt idx="25">
                  <c:v>13.04716049382716</c:v>
                </c:pt>
                <c:pt idx="26">
                  <c:v>13.243086419753084</c:v>
                </c:pt>
                <c:pt idx="27">
                  <c:v>13.420246913580247</c:v>
                </c:pt>
                <c:pt idx="28">
                  <c:v>13.589753086419753</c:v>
                </c:pt>
                <c:pt idx="29">
                  <c:v>13.763086419753085</c:v>
                </c:pt>
                <c:pt idx="30">
                  <c:v>13.913703703703703</c:v>
                </c:pt>
                <c:pt idx="31">
                  <c:v>14.053209876543209</c:v>
                </c:pt>
                <c:pt idx="32">
                  <c:v>14.181234567901233</c:v>
                </c:pt>
                <c:pt idx="33">
                  <c:v>14.309382716049383</c:v>
                </c:pt>
                <c:pt idx="34">
                  <c:v>14.429876543209874</c:v>
                </c:pt>
                <c:pt idx="35">
                  <c:v>14.550493827160492</c:v>
                </c:pt>
                <c:pt idx="36">
                  <c:v>14.670987654320987</c:v>
                </c:pt>
                <c:pt idx="37">
                  <c:v>14.765185185185183</c:v>
                </c:pt>
                <c:pt idx="38">
                  <c:v>14.866913580246912</c:v>
                </c:pt>
                <c:pt idx="39">
                  <c:v>14.96111111111111</c:v>
                </c:pt>
                <c:pt idx="40">
                  <c:v>15.044074074074075</c:v>
                </c:pt>
                <c:pt idx="41">
                  <c:v>15.126913580246912</c:v>
                </c:pt>
                <c:pt idx="42">
                  <c:v>15.202222222222222</c:v>
                </c:pt>
                <c:pt idx="43">
                  <c:v>15.281358024691359</c:v>
                </c:pt>
                <c:pt idx="44">
                  <c:v>15.35679012345679</c:v>
                </c:pt>
                <c:pt idx="45">
                  <c:v>15.417037037037037</c:v>
                </c:pt>
                <c:pt idx="46">
                  <c:v>15.484814814814815</c:v>
                </c:pt>
                <c:pt idx="47">
                  <c:v>15.545185185185185</c:v>
                </c:pt>
                <c:pt idx="48">
                  <c:v>15.609135802469137</c:v>
                </c:pt>
                <c:pt idx="49">
                  <c:v>15.669506172839506</c:v>
                </c:pt>
                <c:pt idx="50">
                  <c:v>15.729753086419752</c:v>
                </c:pt>
                <c:pt idx="51">
                  <c:v>15.782469135802467</c:v>
                </c:pt>
                <c:pt idx="52">
                  <c:v>15.820123456790125</c:v>
                </c:pt>
                <c:pt idx="53">
                  <c:v>15.861604938271604</c:v>
                </c:pt>
                <c:pt idx="54">
                  <c:v>15.918148148148147</c:v>
                </c:pt>
                <c:pt idx="55">
                  <c:v>15.970864197530865</c:v>
                </c:pt>
                <c:pt idx="56">
                  <c:v>16.016049382716048</c:v>
                </c:pt>
                <c:pt idx="57">
                  <c:v>16.0537037037037</c:v>
                </c:pt>
                <c:pt idx="58">
                  <c:v>16.09148148148148</c:v>
                </c:pt>
                <c:pt idx="59">
                  <c:v>16.129135802469136</c:v>
                </c:pt>
                <c:pt idx="60">
                  <c:v>16.162962962962961</c:v>
                </c:pt>
                <c:pt idx="61">
                  <c:v>16.200740740740741</c:v>
                </c:pt>
                <c:pt idx="62">
                  <c:v>16.238395061728394</c:v>
                </c:pt>
                <c:pt idx="63">
                  <c:v>16.257160493827158</c:v>
                </c:pt>
                <c:pt idx="64">
                  <c:v>16.272222222222219</c:v>
                </c:pt>
                <c:pt idx="65">
                  <c:v>16.309999999999999</c:v>
                </c:pt>
                <c:pt idx="66">
                  <c:v>16.343827160493824</c:v>
                </c:pt>
                <c:pt idx="67">
                  <c:v>16.366419753086415</c:v>
                </c:pt>
                <c:pt idx="68">
                  <c:v>16.385308641975307</c:v>
                </c:pt>
                <c:pt idx="69">
                  <c:v>16.404197530864195</c:v>
                </c:pt>
                <c:pt idx="70">
                  <c:v>16.422962962962963</c:v>
                </c:pt>
                <c:pt idx="71">
                  <c:v>16.445555555555554</c:v>
                </c:pt>
                <c:pt idx="72">
                  <c:v>16.471975308641973</c:v>
                </c:pt>
                <c:pt idx="73">
                  <c:v>16.483209876543206</c:v>
                </c:pt>
                <c:pt idx="74">
                  <c:v>16.494567901234568</c:v>
                </c:pt>
                <c:pt idx="75">
                  <c:v>16.502098765432098</c:v>
                </c:pt>
                <c:pt idx="76">
                  <c:v>16.517160493827159</c:v>
                </c:pt>
                <c:pt idx="77">
                  <c:v>16.539753086419751</c:v>
                </c:pt>
                <c:pt idx="78">
                  <c:v>16.554814814814815</c:v>
                </c:pt>
                <c:pt idx="79">
                  <c:v>16.5737037037037</c:v>
                </c:pt>
                <c:pt idx="80">
                  <c:v>16.592469135802467</c:v>
                </c:pt>
                <c:pt idx="81">
                  <c:v>16.607530864197528</c:v>
                </c:pt>
                <c:pt idx="82">
                  <c:v>16.618888888888886</c:v>
                </c:pt>
                <c:pt idx="83">
                  <c:v>16.630246913580244</c:v>
                </c:pt>
                <c:pt idx="84">
                  <c:v>16.656543209876542</c:v>
                </c:pt>
                <c:pt idx="85">
                  <c:v>16.682962962962961</c:v>
                </c:pt>
                <c:pt idx="86">
                  <c:v>16.690493827160495</c:v>
                </c:pt>
                <c:pt idx="87">
                  <c:v>16.701728395061725</c:v>
                </c:pt>
                <c:pt idx="88">
                  <c:v>16.713086419753086</c:v>
                </c:pt>
                <c:pt idx="89">
                  <c:v>16.739506172839505</c:v>
                </c:pt>
                <c:pt idx="90">
                  <c:v>16.758271604938273</c:v>
                </c:pt>
                <c:pt idx="91">
                  <c:v>16.77333333333333</c:v>
                </c:pt>
                <c:pt idx="92">
                  <c:v>16.780864197530864</c:v>
                </c:pt>
                <c:pt idx="93">
                  <c:v>16.788395061728394</c:v>
                </c:pt>
                <c:pt idx="94">
                  <c:v>16.818518518518516</c:v>
                </c:pt>
                <c:pt idx="95">
                  <c:v>16.848765432098766</c:v>
                </c:pt>
                <c:pt idx="96">
                  <c:v>16.882592592592591</c:v>
                </c:pt>
                <c:pt idx="97">
                  <c:v>16.893950617283949</c:v>
                </c:pt>
                <c:pt idx="98">
                  <c:v>16.897654320987655</c:v>
                </c:pt>
                <c:pt idx="99">
                  <c:v>16.897654320987655</c:v>
                </c:pt>
                <c:pt idx="100">
                  <c:v>16.897654320987655</c:v>
                </c:pt>
                <c:pt idx="101">
                  <c:v>16.897654320987655</c:v>
                </c:pt>
                <c:pt idx="102">
                  <c:v>16.893950617283949</c:v>
                </c:pt>
                <c:pt idx="103">
                  <c:v>16.905185185185186</c:v>
                </c:pt>
                <c:pt idx="104">
                  <c:v>16.924074074074074</c:v>
                </c:pt>
                <c:pt idx="105">
                  <c:v>16.935432098765432</c:v>
                </c:pt>
                <c:pt idx="106">
                  <c:v>16.946666666666665</c:v>
                </c:pt>
                <c:pt idx="107">
                  <c:v>16.965555555555554</c:v>
                </c:pt>
                <c:pt idx="108">
                  <c:v>16.965555555555554</c:v>
                </c:pt>
                <c:pt idx="109">
                  <c:v>16.958024691358023</c:v>
                </c:pt>
                <c:pt idx="110">
                  <c:v>16.965555555555554</c:v>
                </c:pt>
                <c:pt idx="111">
                  <c:v>16.969259259259257</c:v>
                </c:pt>
                <c:pt idx="112">
                  <c:v>16.973086419753084</c:v>
                </c:pt>
                <c:pt idx="113">
                  <c:v>16.973086419753084</c:v>
                </c:pt>
                <c:pt idx="114">
                  <c:v>16.980617283950615</c:v>
                </c:pt>
                <c:pt idx="115">
                  <c:v>16.999382716049382</c:v>
                </c:pt>
                <c:pt idx="116">
                  <c:v>17.01074074074074</c:v>
                </c:pt>
                <c:pt idx="117">
                  <c:v>17.025802469135801</c:v>
                </c:pt>
                <c:pt idx="118">
                  <c:v>17.048395061728392</c:v>
                </c:pt>
                <c:pt idx="119">
                  <c:v>17.055925925925926</c:v>
                </c:pt>
                <c:pt idx="120">
                  <c:v>17.074814814814815</c:v>
                </c:pt>
                <c:pt idx="121">
                  <c:v>17.089876543209876</c:v>
                </c:pt>
                <c:pt idx="122">
                  <c:v>17.104938271604937</c:v>
                </c:pt>
                <c:pt idx="123">
                  <c:v>17.112469135802467</c:v>
                </c:pt>
                <c:pt idx="124">
                  <c:v>17.11617283950617</c:v>
                </c:pt>
                <c:pt idx="125">
                  <c:v>17.12</c:v>
                </c:pt>
                <c:pt idx="126">
                  <c:v>17.12</c:v>
                </c:pt>
                <c:pt idx="127">
                  <c:v>17.12</c:v>
                </c:pt>
                <c:pt idx="128">
                  <c:v>17.135061728395058</c:v>
                </c:pt>
                <c:pt idx="129">
                  <c:v>17.138765432098765</c:v>
                </c:pt>
                <c:pt idx="130">
                  <c:v>17.157654320987653</c:v>
                </c:pt>
                <c:pt idx="131">
                  <c:v>17.161481481481481</c:v>
                </c:pt>
                <c:pt idx="132">
                  <c:v>17.165185185185184</c:v>
                </c:pt>
                <c:pt idx="133">
                  <c:v>17.169012345679011</c:v>
                </c:pt>
                <c:pt idx="134">
                  <c:v>17.161481481481481</c:v>
                </c:pt>
                <c:pt idx="135">
                  <c:v>17.153950617283947</c:v>
                </c:pt>
                <c:pt idx="136">
                  <c:v>17.146296296296295</c:v>
                </c:pt>
                <c:pt idx="137">
                  <c:v>17.142592592592592</c:v>
                </c:pt>
                <c:pt idx="138">
                  <c:v>17.150123456790123</c:v>
                </c:pt>
                <c:pt idx="139">
                  <c:v>17.165185185185184</c:v>
                </c:pt>
                <c:pt idx="140">
                  <c:v>17.184074074074076</c:v>
                </c:pt>
                <c:pt idx="141">
                  <c:v>17.195308641975309</c:v>
                </c:pt>
                <c:pt idx="142">
                  <c:v>17.214197530864197</c:v>
                </c:pt>
                <c:pt idx="143">
                  <c:v>17.214197530864197</c:v>
                </c:pt>
                <c:pt idx="144">
                  <c:v>17.206666666666667</c:v>
                </c:pt>
                <c:pt idx="145">
                  <c:v>17.195308641975309</c:v>
                </c:pt>
                <c:pt idx="146">
                  <c:v>17.191604938271606</c:v>
                </c:pt>
                <c:pt idx="147">
                  <c:v>17.187777777777779</c:v>
                </c:pt>
                <c:pt idx="148">
                  <c:v>17.180246913580245</c:v>
                </c:pt>
                <c:pt idx="149">
                  <c:v>17.180246913580245</c:v>
                </c:pt>
                <c:pt idx="150">
                  <c:v>17.184074074074076</c:v>
                </c:pt>
                <c:pt idx="151">
                  <c:v>17.180246913580245</c:v>
                </c:pt>
                <c:pt idx="152">
                  <c:v>17.180246913580245</c:v>
                </c:pt>
                <c:pt idx="153">
                  <c:v>17.180246913580245</c:v>
                </c:pt>
                <c:pt idx="154">
                  <c:v>17.165185185185184</c:v>
                </c:pt>
                <c:pt idx="155">
                  <c:v>17.153950617283947</c:v>
                </c:pt>
                <c:pt idx="156">
                  <c:v>17.157654320987653</c:v>
                </c:pt>
                <c:pt idx="157">
                  <c:v>17.165185185185184</c:v>
                </c:pt>
                <c:pt idx="158">
                  <c:v>17.169012345679011</c:v>
                </c:pt>
                <c:pt idx="159">
                  <c:v>17.176543209876542</c:v>
                </c:pt>
                <c:pt idx="160">
                  <c:v>17.191604938271606</c:v>
                </c:pt>
                <c:pt idx="161">
                  <c:v>17.214197530864197</c:v>
                </c:pt>
                <c:pt idx="162">
                  <c:v>17.229259259259258</c:v>
                </c:pt>
                <c:pt idx="163">
                  <c:v>17.259382716049384</c:v>
                </c:pt>
                <c:pt idx="164">
                  <c:v>17.278271604938272</c:v>
                </c:pt>
                <c:pt idx="165">
                  <c:v>17.285802469135803</c:v>
                </c:pt>
                <c:pt idx="166">
                  <c:v>17.304567901234567</c:v>
                </c:pt>
                <c:pt idx="167">
                  <c:v>17.308395061728394</c:v>
                </c:pt>
                <c:pt idx="168">
                  <c:v>17.304567901234567</c:v>
                </c:pt>
                <c:pt idx="169">
                  <c:v>17.312098765432097</c:v>
                </c:pt>
                <c:pt idx="170">
                  <c:v>17.319629629629631</c:v>
                </c:pt>
                <c:pt idx="171">
                  <c:v>17.319629629629631</c:v>
                </c:pt>
                <c:pt idx="172">
                  <c:v>17.323456790123455</c:v>
                </c:pt>
                <c:pt idx="173">
                  <c:v>17.327160493827162</c:v>
                </c:pt>
                <c:pt idx="174">
                  <c:v>17.319629629629631</c:v>
                </c:pt>
                <c:pt idx="175">
                  <c:v>17.315925925925924</c:v>
                </c:pt>
                <c:pt idx="176">
                  <c:v>17.312098765432097</c:v>
                </c:pt>
                <c:pt idx="177">
                  <c:v>17.319629629629631</c:v>
                </c:pt>
                <c:pt idx="178">
                  <c:v>17.327160493827162</c:v>
                </c:pt>
                <c:pt idx="179">
                  <c:v>17.327160493827162</c:v>
                </c:pt>
                <c:pt idx="180">
                  <c:v>17.323456790123455</c:v>
                </c:pt>
                <c:pt idx="181">
                  <c:v>17.327160493827162</c:v>
                </c:pt>
                <c:pt idx="182">
                  <c:v>17.323456790123455</c:v>
                </c:pt>
                <c:pt idx="183">
                  <c:v>17.330987654320985</c:v>
                </c:pt>
                <c:pt idx="184">
                  <c:v>17.323456790123455</c:v>
                </c:pt>
                <c:pt idx="185">
                  <c:v>17.330987654320985</c:v>
                </c:pt>
                <c:pt idx="186">
                  <c:v>17.338518518518516</c:v>
                </c:pt>
                <c:pt idx="187">
                  <c:v>17.338518518518516</c:v>
                </c:pt>
                <c:pt idx="188">
                  <c:v>17.334691358024692</c:v>
                </c:pt>
                <c:pt idx="189">
                  <c:v>17.338518518518516</c:v>
                </c:pt>
                <c:pt idx="190">
                  <c:v>17.342222222222222</c:v>
                </c:pt>
                <c:pt idx="191">
                  <c:v>17.334691358024692</c:v>
                </c:pt>
                <c:pt idx="192">
                  <c:v>17.334691358024692</c:v>
                </c:pt>
                <c:pt idx="193">
                  <c:v>17.342222222222222</c:v>
                </c:pt>
                <c:pt idx="194">
                  <c:v>17.34604938271605</c:v>
                </c:pt>
                <c:pt idx="195">
                  <c:v>17.34604938271605</c:v>
                </c:pt>
                <c:pt idx="196">
                  <c:v>17.35358024691358</c:v>
                </c:pt>
                <c:pt idx="197">
                  <c:v>17.364938271604938</c:v>
                </c:pt>
                <c:pt idx="198">
                  <c:v>17.364938271604938</c:v>
                </c:pt>
                <c:pt idx="199">
                  <c:v>17.361111111111111</c:v>
                </c:pt>
                <c:pt idx="200">
                  <c:v>17.361111111111111</c:v>
                </c:pt>
                <c:pt idx="201">
                  <c:v>17.361111111111111</c:v>
                </c:pt>
                <c:pt idx="202">
                  <c:v>17.372469135802469</c:v>
                </c:pt>
                <c:pt idx="203">
                  <c:v>17.376172839506172</c:v>
                </c:pt>
                <c:pt idx="204">
                  <c:v>17.387530864197529</c:v>
                </c:pt>
                <c:pt idx="205">
                  <c:v>17.387530864197529</c:v>
                </c:pt>
                <c:pt idx="206">
                  <c:v>17.391234567901233</c:v>
                </c:pt>
                <c:pt idx="207">
                  <c:v>17.410123456790124</c:v>
                </c:pt>
                <c:pt idx="208">
                  <c:v>17.406296296296293</c:v>
                </c:pt>
                <c:pt idx="209">
                  <c:v>17.39506172839506</c:v>
                </c:pt>
                <c:pt idx="210">
                  <c:v>17.387530864197529</c:v>
                </c:pt>
                <c:pt idx="211">
                  <c:v>17.391234567901233</c:v>
                </c:pt>
                <c:pt idx="212">
                  <c:v>17.39506172839506</c:v>
                </c:pt>
                <c:pt idx="213">
                  <c:v>17.398765432098763</c:v>
                </c:pt>
                <c:pt idx="214">
                  <c:v>17.406296296296293</c:v>
                </c:pt>
                <c:pt idx="215">
                  <c:v>17.40259259259259</c:v>
                </c:pt>
                <c:pt idx="216">
                  <c:v>17.406296296296293</c:v>
                </c:pt>
                <c:pt idx="217">
                  <c:v>17.406296296296293</c:v>
                </c:pt>
                <c:pt idx="218">
                  <c:v>17.40259259259259</c:v>
                </c:pt>
                <c:pt idx="219">
                  <c:v>17.387530864197529</c:v>
                </c:pt>
                <c:pt idx="220">
                  <c:v>17.387530864197529</c:v>
                </c:pt>
                <c:pt idx="221">
                  <c:v>17.391234567901233</c:v>
                </c:pt>
                <c:pt idx="222">
                  <c:v>17.387530864197529</c:v>
                </c:pt>
                <c:pt idx="223">
                  <c:v>17.383703703703702</c:v>
                </c:pt>
                <c:pt idx="224">
                  <c:v>17.387530864197529</c:v>
                </c:pt>
                <c:pt idx="225">
                  <c:v>17.40259259259259</c:v>
                </c:pt>
                <c:pt idx="226">
                  <c:v>17.410123456790124</c:v>
                </c:pt>
                <c:pt idx="227">
                  <c:v>17.410123456790124</c:v>
                </c:pt>
                <c:pt idx="228">
                  <c:v>17.39506172839506</c:v>
                </c:pt>
                <c:pt idx="229">
                  <c:v>17.376172839506172</c:v>
                </c:pt>
                <c:pt idx="230">
                  <c:v>17.376172839506172</c:v>
                </c:pt>
                <c:pt idx="231">
                  <c:v>17.383703703703702</c:v>
                </c:pt>
                <c:pt idx="232">
                  <c:v>17.383703703703702</c:v>
                </c:pt>
                <c:pt idx="233">
                  <c:v>17.39506172839506</c:v>
                </c:pt>
                <c:pt idx="234">
                  <c:v>17.39506172839506</c:v>
                </c:pt>
                <c:pt idx="235">
                  <c:v>17.391234567901233</c:v>
                </c:pt>
                <c:pt idx="236">
                  <c:v>17.39506172839506</c:v>
                </c:pt>
                <c:pt idx="237">
                  <c:v>17.398765432098763</c:v>
                </c:pt>
                <c:pt idx="238">
                  <c:v>17.391234567901233</c:v>
                </c:pt>
                <c:pt idx="239">
                  <c:v>17.398765432098763</c:v>
                </c:pt>
                <c:pt idx="240">
                  <c:v>17.40259259259259</c:v>
                </c:pt>
                <c:pt idx="241">
                  <c:v>17.391234567901233</c:v>
                </c:pt>
                <c:pt idx="242">
                  <c:v>17.383703703703702</c:v>
                </c:pt>
                <c:pt idx="243">
                  <c:v>17.38</c:v>
                </c:pt>
                <c:pt idx="244">
                  <c:v>17.372469135802469</c:v>
                </c:pt>
                <c:pt idx="245">
                  <c:v>17.368641975308641</c:v>
                </c:pt>
                <c:pt idx="246">
                  <c:v>17.364938271604938</c:v>
                </c:pt>
                <c:pt idx="247">
                  <c:v>17.34604938271605</c:v>
                </c:pt>
                <c:pt idx="248">
                  <c:v>17.361111111111111</c:v>
                </c:pt>
                <c:pt idx="249">
                  <c:v>17.376172839506172</c:v>
                </c:pt>
                <c:pt idx="250">
                  <c:v>17.372469135802469</c:v>
                </c:pt>
                <c:pt idx="251">
                  <c:v>17.368641975308641</c:v>
                </c:pt>
                <c:pt idx="252">
                  <c:v>17.372469135802469</c:v>
                </c:pt>
                <c:pt idx="253">
                  <c:v>17.368641975308641</c:v>
                </c:pt>
                <c:pt idx="254">
                  <c:v>17.372469135802469</c:v>
                </c:pt>
                <c:pt idx="255">
                  <c:v>17.372469135802469</c:v>
                </c:pt>
                <c:pt idx="256">
                  <c:v>17.372469135802469</c:v>
                </c:pt>
                <c:pt idx="257">
                  <c:v>17.38</c:v>
                </c:pt>
                <c:pt idx="258">
                  <c:v>17.372469135802469</c:v>
                </c:pt>
                <c:pt idx="259">
                  <c:v>17.38</c:v>
                </c:pt>
                <c:pt idx="260">
                  <c:v>17.383703703703702</c:v>
                </c:pt>
                <c:pt idx="261">
                  <c:v>17.387530864197529</c:v>
                </c:pt>
                <c:pt idx="262">
                  <c:v>17.391234567901233</c:v>
                </c:pt>
                <c:pt idx="263">
                  <c:v>17.387530864197529</c:v>
                </c:pt>
                <c:pt idx="264">
                  <c:v>17.406296296296293</c:v>
                </c:pt>
                <c:pt idx="265">
                  <c:v>17.417654320987655</c:v>
                </c:pt>
                <c:pt idx="266">
                  <c:v>17.417654320987655</c:v>
                </c:pt>
                <c:pt idx="267">
                  <c:v>17.421358024691358</c:v>
                </c:pt>
                <c:pt idx="268">
                  <c:v>17.406296296296293</c:v>
                </c:pt>
                <c:pt idx="269">
                  <c:v>17.387530864197529</c:v>
                </c:pt>
                <c:pt idx="270">
                  <c:v>17.368641975308641</c:v>
                </c:pt>
                <c:pt idx="271">
                  <c:v>17.368641975308641</c:v>
                </c:pt>
                <c:pt idx="272">
                  <c:v>17.38</c:v>
                </c:pt>
                <c:pt idx="273">
                  <c:v>17.387530864197529</c:v>
                </c:pt>
                <c:pt idx="274">
                  <c:v>17.413827160493828</c:v>
                </c:pt>
                <c:pt idx="275">
                  <c:v>17.413827160493828</c:v>
                </c:pt>
                <c:pt idx="276">
                  <c:v>17.417654320987655</c:v>
                </c:pt>
                <c:pt idx="277">
                  <c:v>17.413827160493828</c:v>
                </c:pt>
                <c:pt idx="278">
                  <c:v>17.410123456790124</c:v>
                </c:pt>
                <c:pt idx="279">
                  <c:v>17.406296296296293</c:v>
                </c:pt>
                <c:pt idx="280">
                  <c:v>17.40259259259259</c:v>
                </c:pt>
                <c:pt idx="281">
                  <c:v>17.413827160493828</c:v>
                </c:pt>
                <c:pt idx="282">
                  <c:v>17.428888888888888</c:v>
                </c:pt>
                <c:pt idx="283">
                  <c:v>17.45148148148148</c:v>
                </c:pt>
                <c:pt idx="284">
                  <c:v>17.466543209876541</c:v>
                </c:pt>
                <c:pt idx="285">
                  <c:v>17.477901234567902</c:v>
                </c:pt>
                <c:pt idx="286">
                  <c:v>17.485432098765433</c:v>
                </c:pt>
                <c:pt idx="287">
                  <c:v>17.474197530864195</c:v>
                </c:pt>
                <c:pt idx="288">
                  <c:v>17.492962962962959</c:v>
                </c:pt>
                <c:pt idx="289">
                  <c:v>17.500493827160494</c:v>
                </c:pt>
                <c:pt idx="290">
                  <c:v>17.500493827160494</c:v>
                </c:pt>
                <c:pt idx="291">
                  <c:v>17.500493827160494</c:v>
                </c:pt>
                <c:pt idx="292">
                  <c:v>17.496790123456787</c:v>
                </c:pt>
                <c:pt idx="293">
                  <c:v>17.477901234567902</c:v>
                </c:pt>
                <c:pt idx="294">
                  <c:v>17.455308641975307</c:v>
                </c:pt>
                <c:pt idx="295">
                  <c:v>17.455308641975307</c:v>
                </c:pt>
                <c:pt idx="296">
                  <c:v>17.455308641975307</c:v>
                </c:pt>
                <c:pt idx="297">
                  <c:v>17.45901234567901</c:v>
                </c:pt>
                <c:pt idx="298">
                  <c:v>17.462839506172838</c:v>
                </c:pt>
                <c:pt idx="299">
                  <c:v>17.470370370370368</c:v>
                </c:pt>
                <c:pt idx="300">
                  <c:v>17.477901234567902</c:v>
                </c:pt>
                <c:pt idx="301">
                  <c:v>17.481728395061729</c:v>
                </c:pt>
                <c:pt idx="302">
                  <c:v>17.481728395061729</c:v>
                </c:pt>
                <c:pt idx="303">
                  <c:v>17.474197530864195</c:v>
                </c:pt>
                <c:pt idx="304">
                  <c:v>17.462839506172838</c:v>
                </c:pt>
                <c:pt idx="305">
                  <c:v>17.45148148148148</c:v>
                </c:pt>
                <c:pt idx="306">
                  <c:v>17.436419753086419</c:v>
                </c:pt>
                <c:pt idx="307">
                  <c:v>17.436419753086419</c:v>
                </c:pt>
                <c:pt idx="308">
                  <c:v>17.421358024691358</c:v>
                </c:pt>
                <c:pt idx="309">
                  <c:v>17.413827160493828</c:v>
                </c:pt>
                <c:pt idx="310">
                  <c:v>17.417654320987655</c:v>
                </c:pt>
                <c:pt idx="311">
                  <c:v>17.425185185185182</c:v>
                </c:pt>
                <c:pt idx="312">
                  <c:v>17.443950617283949</c:v>
                </c:pt>
                <c:pt idx="313">
                  <c:v>17.455308641975307</c:v>
                </c:pt>
                <c:pt idx="314">
                  <c:v>17.474197530864195</c:v>
                </c:pt>
                <c:pt idx="315">
                  <c:v>17.474197530864195</c:v>
                </c:pt>
                <c:pt idx="316">
                  <c:v>17.474197530864195</c:v>
                </c:pt>
                <c:pt idx="317">
                  <c:v>17.474197530864195</c:v>
                </c:pt>
                <c:pt idx="318">
                  <c:v>17.477901234567902</c:v>
                </c:pt>
                <c:pt idx="319">
                  <c:v>17.481728395061729</c:v>
                </c:pt>
                <c:pt idx="320">
                  <c:v>17.485432098765433</c:v>
                </c:pt>
                <c:pt idx="321">
                  <c:v>17.492962962962959</c:v>
                </c:pt>
                <c:pt idx="322">
                  <c:v>17.485432098765433</c:v>
                </c:pt>
                <c:pt idx="323">
                  <c:v>17.474197530864195</c:v>
                </c:pt>
                <c:pt idx="324">
                  <c:v>17.470370370370368</c:v>
                </c:pt>
                <c:pt idx="325">
                  <c:v>17.462839506172838</c:v>
                </c:pt>
                <c:pt idx="326">
                  <c:v>17.462839506172838</c:v>
                </c:pt>
                <c:pt idx="327">
                  <c:v>17.45901234567901</c:v>
                </c:pt>
                <c:pt idx="328">
                  <c:v>17.45901234567901</c:v>
                </c:pt>
                <c:pt idx="329">
                  <c:v>17.474197530864195</c:v>
                </c:pt>
                <c:pt idx="330">
                  <c:v>17.477901234567902</c:v>
                </c:pt>
                <c:pt idx="331">
                  <c:v>17.492962962962959</c:v>
                </c:pt>
                <c:pt idx="332">
                  <c:v>17.504320987654321</c:v>
                </c:pt>
                <c:pt idx="333">
                  <c:v>17.519382716049382</c:v>
                </c:pt>
                <c:pt idx="334">
                  <c:v>17.534444444444443</c:v>
                </c:pt>
                <c:pt idx="335">
                  <c:v>17.534444444444443</c:v>
                </c:pt>
                <c:pt idx="336">
                  <c:v>17.534444444444443</c:v>
                </c:pt>
                <c:pt idx="337">
                  <c:v>17.523086419753085</c:v>
                </c:pt>
                <c:pt idx="338">
                  <c:v>17.523086419753085</c:v>
                </c:pt>
                <c:pt idx="339">
                  <c:v>17.526913580246916</c:v>
                </c:pt>
                <c:pt idx="340">
                  <c:v>17.530617283950615</c:v>
                </c:pt>
                <c:pt idx="341">
                  <c:v>17.530617283950615</c:v>
                </c:pt>
                <c:pt idx="342">
                  <c:v>17.523086419753085</c:v>
                </c:pt>
                <c:pt idx="343">
                  <c:v>17.519382716049382</c:v>
                </c:pt>
                <c:pt idx="344">
                  <c:v>17.526913580246916</c:v>
                </c:pt>
                <c:pt idx="345">
                  <c:v>17.523086419753085</c:v>
                </c:pt>
                <c:pt idx="346">
                  <c:v>17.534444444444443</c:v>
                </c:pt>
                <c:pt idx="347">
                  <c:v>17.541975308641973</c:v>
                </c:pt>
                <c:pt idx="348">
                  <c:v>17.549506172839507</c:v>
                </c:pt>
                <c:pt idx="349">
                  <c:v>17.54567901234568</c:v>
                </c:pt>
                <c:pt idx="350">
                  <c:v>17.54567901234568</c:v>
                </c:pt>
                <c:pt idx="351">
                  <c:v>17.557037037037034</c:v>
                </c:pt>
                <c:pt idx="352">
                  <c:v>17.553209876543207</c:v>
                </c:pt>
                <c:pt idx="353">
                  <c:v>17.54567901234568</c:v>
                </c:pt>
                <c:pt idx="354">
                  <c:v>17.534444444444443</c:v>
                </c:pt>
                <c:pt idx="355">
                  <c:v>17.538148148148146</c:v>
                </c:pt>
                <c:pt idx="356">
                  <c:v>17.530617283950615</c:v>
                </c:pt>
                <c:pt idx="357">
                  <c:v>17.526913580246916</c:v>
                </c:pt>
                <c:pt idx="358">
                  <c:v>17.530617283950615</c:v>
                </c:pt>
                <c:pt idx="359">
                  <c:v>17.523086419753085</c:v>
                </c:pt>
                <c:pt idx="360">
                  <c:v>17.526913580246916</c:v>
                </c:pt>
                <c:pt idx="361">
                  <c:v>17.530617283950615</c:v>
                </c:pt>
                <c:pt idx="362">
                  <c:v>17.538148148148146</c:v>
                </c:pt>
                <c:pt idx="363">
                  <c:v>17.549506172839507</c:v>
                </c:pt>
                <c:pt idx="364">
                  <c:v>17.549506172839507</c:v>
                </c:pt>
                <c:pt idx="365">
                  <c:v>17.549506172839507</c:v>
                </c:pt>
                <c:pt idx="366">
                  <c:v>17.54567901234568</c:v>
                </c:pt>
                <c:pt idx="367">
                  <c:v>17.549506172839507</c:v>
                </c:pt>
                <c:pt idx="368">
                  <c:v>17.54567901234568</c:v>
                </c:pt>
                <c:pt idx="369">
                  <c:v>17.534444444444443</c:v>
                </c:pt>
                <c:pt idx="370">
                  <c:v>17.526913580246916</c:v>
                </c:pt>
                <c:pt idx="371">
                  <c:v>17.538148148148146</c:v>
                </c:pt>
                <c:pt idx="372">
                  <c:v>17.549506172839507</c:v>
                </c:pt>
                <c:pt idx="373">
                  <c:v>17.549506172839507</c:v>
                </c:pt>
                <c:pt idx="374">
                  <c:v>17.534444444444443</c:v>
                </c:pt>
                <c:pt idx="375">
                  <c:v>17.534444444444443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9F6-4B87-BA1D-73BAB01E4585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'20221206T090000'!$O$11:$O$500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'20221206T090000'!$T$11:$T$500</c:f>
              <c:numCache>
                <c:formatCode>General</c:formatCode>
                <c:ptCount val="490"/>
                <c:pt idx="0">
                  <c:v>17.564567901234565</c:v>
                </c:pt>
                <c:pt idx="1">
                  <c:v>17.557037037037034</c:v>
                </c:pt>
                <c:pt idx="2">
                  <c:v>17.549506172839507</c:v>
                </c:pt>
                <c:pt idx="3">
                  <c:v>17.541975308641973</c:v>
                </c:pt>
                <c:pt idx="4">
                  <c:v>17.54567901234568</c:v>
                </c:pt>
                <c:pt idx="5">
                  <c:v>17.549506172839507</c:v>
                </c:pt>
                <c:pt idx="6">
                  <c:v>17.557037037037034</c:v>
                </c:pt>
                <c:pt idx="7">
                  <c:v>17.560740740740737</c:v>
                </c:pt>
                <c:pt idx="8">
                  <c:v>17.572098765432099</c:v>
                </c:pt>
                <c:pt idx="9">
                  <c:v>17.575925925925926</c:v>
                </c:pt>
                <c:pt idx="10">
                  <c:v>17.568271604938271</c:v>
                </c:pt>
                <c:pt idx="11">
                  <c:v>17.557037037037034</c:v>
                </c:pt>
                <c:pt idx="12">
                  <c:v>17.54567901234568</c:v>
                </c:pt>
                <c:pt idx="13">
                  <c:v>17.534444444444443</c:v>
                </c:pt>
                <c:pt idx="14">
                  <c:v>17.526913580246916</c:v>
                </c:pt>
                <c:pt idx="15">
                  <c:v>17.519382716049382</c:v>
                </c:pt>
                <c:pt idx="16">
                  <c:v>17.515555555555554</c:v>
                </c:pt>
                <c:pt idx="17">
                  <c:v>17.511851851851851</c:v>
                </c:pt>
                <c:pt idx="18">
                  <c:v>17.515555555555554</c:v>
                </c:pt>
                <c:pt idx="19">
                  <c:v>17.523086419753085</c:v>
                </c:pt>
                <c:pt idx="20">
                  <c:v>17.504320987654321</c:v>
                </c:pt>
                <c:pt idx="21">
                  <c:v>17.500493827160494</c:v>
                </c:pt>
                <c:pt idx="22">
                  <c:v>17.508024691358024</c:v>
                </c:pt>
                <c:pt idx="23">
                  <c:v>17.496790123456787</c:v>
                </c:pt>
                <c:pt idx="24">
                  <c:v>17.489259259259256</c:v>
                </c:pt>
                <c:pt idx="25">
                  <c:v>17.481728395061729</c:v>
                </c:pt>
                <c:pt idx="26">
                  <c:v>17.470370370370368</c:v>
                </c:pt>
                <c:pt idx="27">
                  <c:v>17.443950617283949</c:v>
                </c:pt>
                <c:pt idx="28">
                  <c:v>17.421358024691358</c:v>
                </c:pt>
                <c:pt idx="29">
                  <c:v>17.417654320987655</c:v>
                </c:pt>
                <c:pt idx="30">
                  <c:v>17.410123456790124</c:v>
                </c:pt>
                <c:pt idx="31">
                  <c:v>17.425185185185182</c:v>
                </c:pt>
                <c:pt idx="32">
                  <c:v>17.425185185185182</c:v>
                </c:pt>
                <c:pt idx="33">
                  <c:v>17.443950617283949</c:v>
                </c:pt>
                <c:pt idx="34">
                  <c:v>17.440246913580246</c:v>
                </c:pt>
                <c:pt idx="35">
                  <c:v>17.428888888888888</c:v>
                </c:pt>
                <c:pt idx="36">
                  <c:v>17.421358024691358</c:v>
                </c:pt>
                <c:pt idx="37">
                  <c:v>17.391234567901233</c:v>
                </c:pt>
                <c:pt idx="38">
                  <c:v>17.391234567901233</c:v>
                </c:pt>
                <c:pt idx="39">
                  <c:v>17.383703703703702</c:v>
                </c:pt>
                <c:pt idx="40">
                  <c:v>17.383703703703702</c:v>
                </c:pt>
                <c:pt idx="41">
                  <c:v>17.387530864197529</c:v>
                </c:pt>
                <c:pt idx="42">
                  <c:v>17.39506172839506</c:v>
                </c:pt>
                <c:pt idx="43">
                  <c:v>17.410123456790124</c:v>
                </c:pt>
                <c:pt idx="44">
                  <c:v>17.421358024691358</c:v>
                </c:pt>
                <c:pt idx="45">
                  <c:v>17.425185185185182</c:v>
                </c:pt>
                <c:pt idx="46">
                  <c:v>17.417654320987655</c:v>
                </c:pt>
                <c:pt idx="47">
                  <c:v>17.417654320987655</c:v>
                </c:pt>
                <c:pt idx="48">
                  <c:v>17.406296296296293</c:v>
                </c:pt>
                <c:pt idx="49">
                  <c:v>17.406296296296293</c:v>
                </c:pt>
                <c:pt idx="50">
                  <c:v>17.40259259259259</c:v>
                </c:pt>
                <c:pt idx="51">
                  <c:v>17.413827160493828</c:v>
                </c:pt>
                <c:pt idx="52">
                  <c:v>17.421358024691358</c:v>
                </c:pt>
                <c:pt idx="53">
                  <c:v>17.432716049382716</c:v>
                </c:pt>
                <c:pt idx="54">
                  <c:v>17.436419753086419</c:v>
                </c:pt>
                <c:pt idx="55">
                  <c:v>17.432716049382716</c:v>
                </c:pt>
                <c:pt idx="56">
                  <c:v>17.421358024691358</c:v>
                </c:pt>
                <c:pt idx="57">
                  <c:v>17.421358024691358</c:v>
                </c:pt>
                <c:pt idx="58">
                  <c:v>17.432716049382716</c:v>
                </c:pt>
                <c:pt idx="59">
                  <c:v>17.428888888888888</c:v>
                </c:pt>
                <c:pt idx="60">
                  <c:v>17.436419753086419</c:v>
                </c:pt>
                <c:pt idx="61">
                  <c:v>17.436419753086419</c:v>
                </c:pt>
                <c:pt idx="62">
                  <c:v>17.436419753086419</c:v>
                </c:pt>
                <c:pt idx="63">
                  <c:v>17.432716049382716</c:v>
                </c:pt>
                <c:pt idx="64">
                  <c:v>17.421358024691358</c:v>
                </c:pt>
                <c:pt idx="65">
                  <c:v>17.421358024691358</c:v>
                </c:pt>
                <c:pt idx="66">
                  <c:v>17.425185185185182</c:v>
                </c:pt>
                <c:pt idx="67">
                  <c:v>17.432716049382716</c:v>
                </c:pt>
                <c:pt idx="68">
                  <c:v>17.432716049382716</c:v>
                </c:pt>
                <c:pt idx="69">
                  <c:v>17.417654320987655</c:v>
                </c:pt>
                <c:pt idx="70">
                  <c:v>17.406296296296293</c:v>
                </c:pt>
                <c:pt idx="71">
                  <c:v>17.406296296296293</c:v>
                </c:pt>
                <c:pt idx="72">
                  <c:v>17.40259259259259</c:v>
                </c:pt>
                <c:pt idx="73">
                  <c:v>17.39506172839506</c:v>
                </c:pt>
                <c:pt idx="74">
                  <c:v>17.391234567901233</c:v>
                </c:pt>
                <c:pt idx="75">
                  <c:v>17.391234567901233</c:v>
                </c:pt>
                <c:pt idx="76">
                  <c:v>17.40259259259259</c:v>
                </c:pt>
                <c:pt idx="77">
                  <c:v>17.406296296296293</c:v>
                </c:pt>
                <c:pt idx="78">
                  <c:v>17.410123456790124</c:v>
                </c:pt>
                <c:pt idx="79">
                  <c:v>17.417654320987655</c:v>
                </c:pt>
                <c:pt idx="80">
                  <c:v>17.421358024691358</c:v>
                </c:pt>
                <c:pt idx="81">
                  <c:v>17.425185185185182</c:v>
                </c:pt>
                <c:pt idx="82">
                  <c:v>17.413827160493828</c:v>
                </c:pt>
                <c:pt idx="83">
                  <c:v>17.413827160493828</c:v>
                </c:pt>
                <c:pt idx="84">
                  <c:v>17.417654320987655</c:v>
                </c:pt>
                <c:pt idx="85">
                  <c:v>17.40259259259259</c:v>
                </c:pt>
                <c:pt idx="86">
                  <c:v>17.410123456790124</c:v>
                </c:pt>
                <c:pt idx="87">
                  <c:v>17.410123456790124</c:v>
                </c:pt>
                <c:pt idx="88">
                  <c:v>17.406296296296293</c:v>
                </c:pt>
                <c:pt idx="89">
                  <c:v>17.406296296296293</c:v>
                </c:pt>
                <c:pt idx="90">
                  <c:v>17.398765432098763</c:v>
                </c:pt>
                <c:pt idx="91">
                  <c:v>17.398765432098763</c:v>
                </c:pt>
                <c:pt idx="92">
                  <c:v>17.406296296296293</c:v>
                </c:pt>
                <c:pt idx="93">
                  <c:v>17.417654320987655</c:v>
                </c:pt>
                <c:pt idx="94">
                  <c:v>17.425185185185182</c:v>
                </c:pt>
                <c:pt idx="95">
                  <c:v>17.428888888888888</c:v>
                </c:pt>
                <c:pt idx="96">
                  <c:v>17.421358024691358</c:v>
                </c:pt>
                <c:pt idx="97">
                  <c:v>17.410123456790124</c:v>
                </c:pt>
                <c:pt idx="98">
                  <c:v>17.425185185185182</c:v>
                </c:pt>
                <c:pt idx="99">
                  <c:v>17.432716049382716</c:v>
                </c:pt>
                <c:pt idx="100">
                  <c:v>17.432716049382716</c:v>
                </c:pt>
                <c:pt idx="101">
                  <c:v>17.417654320987655</c:v>
                </c:pt>
                <c:pt idx="102">
                  <c:v>17.413827160493828</c:v>
                </c:pt>
                <c:pt idx="103">
                  <c:v>17.432716049382716</c:v>
                </c:pt>
                <c:pt idx="104">
                  <c:v>17.436419753086419</c:v>
                </c:pt>
                <c:pt idx="105">
                  <c:v>17.440246913580246</c:v>
                </c:pt>
                <c:pt idx="106">
                  <c:v>17.436419753086419</c:v>
                </c:pt>
                <c:pt idx="107">
                  <c:v>17.440246913580246</c:v>
                </c:pt>
                <c:pt idx="108">
                  <c:v>17.440246913580246</c:v>
                </c:pt>
                <c:pt idx="109">
                  <c:v>17.428888888888888</c:v>
                </c:pt>
                <c:pt idx="110">
                  <c:v>17.428888888888888</c:v>
                </c:pt>
                <c:pt idx="111">
                  <c:v>17.421358024691358</c:v>
                </c:pt>
                <c:pt idx="112">
                  <c:v>17.421358024691358</c:v>
                </c:pt>
                <c:pt idx="113">
                  <c:v>17.413827160493828</c:v>
                </c:pt>
                <c:pt idx="114">
                  <c:v>17.406296296296293</c:v>
                </c:pt>
                <c:pt idx="115">
                  <c:v>17.387530864197529</c:v>
                </c:pt>
                <c:pt idx="116">
                  <c:v>17.38</c:v>
                </c:pt>
                <c:pt idx="117">
                  <c:v>17.376172839506172</c:v>
                </c:pt>
                <c:pt idx="118">
                  <c:v>17.372469135802469</c:v>
                </c:pt>
                <c:pt idx="119">
                  <c:v>17.383703703703702</c:v>
                </c:pt>
                <c:pt idx="120">
                  <c:v>17.39506172839506</c:v>
                </c:pt>
                <c:pt idx="121">
                  <c:v>17.40259259259259</c:v>
                </c:pt>
                <c:pt idx="122">
                  <c:v>17.406296296296293</c:v>
                </c:pt>
                <c:pt idx="123">
                  <c:v>17.413827160493828</c:v>
                </c:pt>
                <c:pt idx="124">
                  <c:v>17.406296296296293</c:v>
                </c:pt>
                <c:pt idx="125">
                  <c:v>17.398765432098763</c:v>
                </c:pt>
                <c:pt idx="126">
                  <c:v>17.387530864197529</c:v>
                </c:pt>
                <c:pt idx="127">
                  <c:v>17.376172839506172</c:v>
                </c:pt>
                <c:pt idx="128">
                  <c:v>17.372469135802469</c:v>
                </c:pt>
                <c:pt idx="129">
                  <c:v>17.368641975308641</c:v>
                </c:pt>
                <c:pt idx="130">
                  <c:v>17.364938271604938</c:v>
                </c:pt>
                <c:pt idx="131">
                  <c:v>17.35358024691358</c:v>
                </c:pt>
                <c:pt idx="132">
                  <c:v>17.338518518518516</c:v>
                </c:pt>
                <c:pt idx="133">
                  <c:v>17.342222222222222</c:v>
                </c:pt>
                <c:pt idx="134">
                  <c:v>17.35358024691358</c:v>
                </c:pt>
                <c:pt idx="135">
                  <c:v>17.364938271604938</c:v>
                </c:pt>
                <c:pt idx="136">
                  <c:v>17.364938271604938</c:v>
                </c:pt>
                <c:pt idx="137">
                  <c:v>17.372469135802469</c:v>
                </c:pt>
                <c:pt idx="138">
                  <c:v>17.383703703703702</c:v>
                </c:pt>
                <c:pt idx="139">
                  <c:v>17.38</c:v>
                </c:pt>
                <c:pt idx="140">
                  <c:v>17.368641975308641</c:v>
                </c:pt>
                <c:pt idx="141">
                  <c:v>17.361111111111111</c:v>
                </c:pt>
                <c:pt idx="142">
                  <c:v>17.349753086419753</c:v>
                </c:pt>
                <c:pt idx="143">
                  <c:v>17.35358024691358</c:v>
                </c:pt>
                <c:pt idx="144">
                  <c:v>17.349753086419753</c:v>
                </c:pt>
                <c:pt idx="145">
                  <c:v>17.342222222222222</c:v>
                </c:pt>
                <c:pt idx="146">
                  <c:v>17.338518518518516</c:v>
                </c:pt>
                <c:pt idx="147">
                  <c:v>17.334691358024692</c:v>
                </c:pt>
                <c:pt idx="148">
                  <c:v>17.34604938271605</c:v>
                </c:pt>
                <c:pt idx="149">
                  <c:v>17.361111111111111</c:v>
                </c:pt>
                <c:pt idx="150">
                  <c:v>17.368641975308641</c:v>
                </c:pt>
                <c:pt idx="151">
                  <c:v>17.391234567901233</c:v>
                </c:pt>
                <c:pt idx="152">
                  <c:v>17.410123456790124</c:v>
                </c:pt>
                <c:pt idx="153">
                  <c:v>17.417654320987655</c:v>
                </c:pt>
                <c:pt idx="154">
                  <c:v>17.406296296296293</c:v>
                </c:pt>
                <c:pt idx="155">
                  <c:v>17.398765432098763</c:v>
                </c:pt>
                <c:pt idx="156">
                  <c:v>17.398765432098763</c:v>
                </c:pt>
                <c:pt idx="157">
                  <c:v>17.39506172839506</c:v>
                </c:pt>
                <c:pt idx="158">
                  <c:v>17.391234567901233</c:v>
                </c:pt>
                <c:pt idx="159">
                  <c:v>17.387530864197529</c:v>
                </c:pt>
                <c:pt idx="160">
                  <c:v>17.368641975308641</c:v>
                </c:pt>
                <c:pt idx="161">
                  <c:v>17.342222222222222</c:v>
                </c:pt>
                <c:pt idx="162">
                  <c:v>17.342222222222222</c:v>
                </c:pt>
                <c:pt idx="163">
                  <c:v>17.349753086419753</c:v>
                </c:pt>
                <c:pt idx="164">
                  <c:v>17.361111111111111</c:v>
                </c:pt>
                <c:pt idx="165">
                  <c:v>17.361111111111111</c:v>
                </c:pt>
                <c:pt idx="166">
                  <c:v>17.364938271604938</c:v>
                </c:pt>
                <c:pt idx="167">
                  <c:v>17.372469135802469</c:v>
                </c:pt>
                <c:pt idx="168">
                  <c:v>17.372469135802469</c:v>
                </c:pt>
                <c:pt idx="169">
                  <c:v>17.361111111111111</c:v>
                </c:pt>
                <c:pt idx="170">
                  <c:v>17.361111111111111</c:v>
                </c:pt>
                <c:pt idx="171">
                  <c:v>17.349753086419753</c:v>
                </c:pt>
                <c:pt idx="172">
                  <c:v>17.334691358024692</c:v>
                </c:pt>
                <c:pt idx="173">
                  <c:v>17.330987654320985</c:v>
                </c:pt>
                <c:pt idx="174">
                  <c:v>17.338518518518516</c:v>
                </c:pt>
                <c:pt idx="175">
                  <c:v>17.338518518518516</c:v>
                </c:pt>
                <c:pt idx="176">
                  <c:v>17.334691358024692</c:v>
                </c:pt>
                <c:pt idx="177">
                  <c:v>17.34604938271605</c:v>
                </c:pt>
                <c:pt idx="178">
                  <c:v>17.35358024691358</c:v>
                </c:pt>
                <c:pt idx="179">
                  <c:v>17.342222222222222</c:v>
                </c:pt>
                <c:pt idx="180">
                  <c:v>17.338518518518516</c:v>
                </c:pt>
                <c:pt idx="181">
                  <c:v>17.327160493827162</c:v>
                </c:pt>
                <c:pt idx="182">
                  <c:v>17.334691358024692</c:v>
                </c:pt>
                <c:pt idx="183">
                  <c:v>17.330987654320985</c:v>
                </c:pt>
                <c:pt idx="184">
                  <c:v>17.323456790123455</c:v>
                </c:pt>
                <c:pt idx="185">
                  <c:v>17.319629629629631</c:v>
                </c:pt>
                <c:pt idx="186">
                  <c:v>17.308395061728394</c:v>
                </c:pt>
                <c:pt idx="187">
                  <c:v>17.304567901234567</c:v>
                </c:pt>
                <c:pt idx="188">
                  <c:v>17.297037037037036</c:v>
                </c:pt>
                <c:pt idx="189">
                  <c:v>17.289506172839506</c:v>
                </c:pt>
                <c:pt idx="190">
                  <c:v>17.293333333333333</c:v>
                </c:pt>
                <c:pt idx="191">
                  <c:v>17.300864197530863</c:v>
                </c:pt>
                <c:pt idx="192">
                  <c:v>17.300864197530863</c:v>
                </c:pt>
                <c:pt idx="193">
                  <c:v>17.297037037037036</c:v>
                </c:pt>
                <c:pt idx="194">
                  <c:v>17.300864197530863</c:v>
                </c:pt>
                <c:pt idx="195">
                  <c:v>17.300864197530863</c:v>
                </c:pt>
                <c:pt idx="196">
                  <c:v>17.304567901234567</c:v>
                </c:pt>
                <c:pt idx="197">
                  <c:v>17.300864197530863</c:v>
                </c:pt>
                <c:pt idx="198">
                  <c:v>17.308395061728394</c:v>
                </c:pt>
                <c:pt idx="199">
                  <c:v>17.304567901234567</c:v>
                </c:pt>
                <c:pt idx="200">
                  <c:v>17.308395061728394</c:v>
                </c:pt>
                <c:pt idx="201">
                  <c:v>17.308395061728394</c:v>
                </c:pt>
                <c:pt idx="202">
                  <c:v>17.308395061728394</c:v>
                </c:pt>
                <c:pt idx="203">
                  <c:v>17.300864197530863</c:v>
                </c:pt>
                <c:pt idx="204">
                  <c:v>17.300864197530863</c:v>
                </c:pt>
                <c:pt idx="205">
                  <c:v>17.278271604938272</c:v>
                </c:pt>
                <c:pt idx="206">
                  <c:v>17.263209876543208</c:v>
                </c:pt>
                <c:pt idx="207">
                  <c:v>17.259382716049384</c:v>
                </c:pt>
                <c:pt idx="208">
                  <c:v>17.251851851851853</c:v>
                </c:pt>
                <c:pt idx="209">
                  <c:v>17.244320987654319</c:v>
                </c:pt>
                <c:pt idx="210">
                  <c:v>17.236790123456789</c:v>
                </c:pt>
                <c:pt idx="211">
                  <c:v>17.251851851851853</c:v>
                </c:pt>
                <c:pt idx="212">
                  <c:v>17.255679012345677</c:v>
                </c:pt>
                <c:pt idx="213">
                  <c:v>17.251851851851853</c:v>
                </c:pt>
                <c:pt idx="214">
                  <c:v>17.244320987654319</c:v>
                </c:pt>
                <c:pt idx="215">
                  <c:v>17.244320987654319</c:v>
                </c:pt>
                <c:pt idx="216">
                  <c:v>17.244320987654319</c:v>
                </c:pt>
                <c:pt idx="217">
                  <c:v>17.240493827160492</c:v>
                </c:pt>
                <c:pt idx="218">
                  <c:v>17.236790123456789</c:v>
                </c:pt>
                <c:pt idx="219">
                  <c:v>17.217901234567901</c:v>
                </c:pt>
                <c:pt idx="220">
                  <c:v>17.221728395061724</c:v>
                </c:pt>
                <c:pt idx="221">
                  <c:v>17.229259259259258</c:v>
                </c:pt>
                <c:pt idx="222">
                  <c:v>17.225432098765431</c:v>
                </c:pt>
                <c:pt idx="223">
                  <c:v>17.232962962962961</c:v>
                </c:pt>
                <c:pt idx="224">
                  <c:v>17.225432098765431</c:v>
                </c:pt>
                <c:pt idx="225">
                  <c:v>17.214197530864197</c:v>
                </c:pt>
                <c:pt idx="226">
                  <c:v>17.187777777777779</c:v>
                </c:pt>
                <c:pt idx="227">
                  <c:v>17.161481481481481</c:v>
                </c:pt>
                <c:pt idx="228">
                  <c:v>17.153950617283947</c:v>
                </c:pt>
                <c:pt idx="229">
                  <c:v>17.150123456790123</c:v>
                </c:pt>
                <c:pt idx="230">
                  <c:v>17.146296296296295</c:v>
                </c:pt>
                <c:pt idx="231">
                  <c:v>17.142592592592592</c:v>
                </c:pt>
                <c:pt idx="232">
                  <c:v>17.146296296296295</c:v>
                </c:pt>
                <c:pt idx="233">
                  <c:v>17.150123456790123</c:v>
                </c:pt>
                <c:pt idx="234">
                  <c:v>17.146296296296295</c:v>
                </c:pt>
                <c:pt idx="235">
                  <c:v>17.131234567901231</c:v>
                </c:pt>
                <c:pt idx="236">
                  <c:v>17.12</c:v>
                </c:pt>
                <c:pt idx="237">
                  <c:v>17.123703703703701</c:v>
                </c:pt>
                <c:pt idx="238">
                  <c:v>17.104938271604937</c:v>
                </c:pt>
                <c:pt idx="239">
                  <c:v>17.104938271604937</c:v>
                </c:pt>
                <c:pt idx="240">
                  <c:v>17.086049382716048</c:v>
                </c:pt>
                <c:pt idx="241">
                  <c:v>17.063456790123453</c:v>
                </c:pt>
                <c:pt idx="242">
                  <c:v>17.044691358024689</c:v>
                </c:pt>
                <c:pt idx="243">
                  <c:v>17.029506172839504</c:v>
                </c:pt>
                <c:pt idx="244">
                  <c:v>17.025802469135801</c:v>
                </c:pt>
                <c:pt idx="245">
                  <c:v>17.01074074074074</c:v>
                </c:pt>
                <c:pt idx="246">
                  <c:v>17.00320987654321</c:v>
                </c:pt>
                <c:pt idx="247">
                  <c:v>16.999382716049382</c:v>
                </c:pt>
                <c:pt idx="248">
                  <c:v>16.995679012345676</c:v>
                </c:pt>
                <c:pt idx="249">
                  <c:v>16.999382716049382</c:v>
                </c:pt>
                <c:pt idx="250">
                  <c:v>16.995679012345676</c:v>
                </c:pt>
                <c:pt idx="251">
                  <c:v>16.969259259259257</c:v>
                </c:pt>
                <c:pt idx="252">
                  <c:v>16.950493827160493</c:v>
                </c:pt>
                <c:pt idx="253">
                  <c:v>16.931604938271605</c:v>
                </c:pt>
                <c:pt idx="254">
                  <c:v>16.920246913580247</c:v>
                </c:pt>
                <c:pt idx="255">
                  <c:v>16.912716049382716</c:v>
                </c:pt>
                <c:pt idx="256">
                  <c:v>16.90901234567901</c:v>
                </c:pt>
                <c:pt idx="257">
                  <c:v>16.90901234567901</c:v>
                </c:pt>
                <c:pt idx="258">
                  <c:v>16.90901234567901</c:v>
                </c:pt>
                <c:pt idx="259">
                  <c:v>16.90901234567901</c:v>
                </c:pt>
                <c:pt idx="260">
                  <c:v>16.901481481481479</c:v>
                </c:pt>
                <c:pt idx="261">
                  <c:v>16.87506172839506</c:v>
                </c:pt>
                <c:pt idx="262">
                  <c:v>16.844938271604939</c:v>
                </c:pt>
                <c:pt idx="263">
                  <c:v>16.833703703703701</c:v>
                </c:pt>
                <c:pt idx="264">
                  <c:v>16.818518518518516</c:v>
                </c:pt>
                <c:pt idx="265">
                  <c:v>16.799753086419752</c:v>
                </c:pt>
                <c:pt idx="266">
                  <c:v>16.788395061728394</c:v>
                </c:pt>
                <c:pt idx="267">
                  <c:v>16.788395061728394</c:v>
                </c:pt>
                <c:pt idx="268">
                  <c:v>16.777160493827161</c:v>
                </c:pt>
                <c:pt idx="269">
                  <c:v>16.77333333333333</c:v>
                </c:pt>
                <c:pt idx="270">
                  <c:v>16.765802469135803</c:v>
                </c:pt>
                <c:pt idx="271">
                  <c:v>16.758271604938273</c:v>
                </c:pt>
                <c:pt idx="272">
                  <c:v>16.743209876543208</c:v>
                </c:pt>
                <c:pt idx="273">
                  <c:v>16.72444444444444</c:v>
                </c:pt>
                <c:pt idx="274">
                  <c:v>16.705555555555552</c:v>
                </c:pt>
                <c:pt idx="275">
                  <c:v>16.67543209876543</c:v>
                </c:pt>
                <c:pt idx="276">
                  <c:v>16.641481481481478</c:v>
                </c:pt>
                <c:pt idx="277">
                  <c:v>16.618888888888886</c:v>
                </c:pt>
                <c:pt idx="278">
                  <c:v>16.596296296296295</c:v>
                </c:pt>
                <c:pt idx="279">
                  <c:v>16.5737037037037</c:v>
                </c:pt>
                <c:pt idx="280">
                  <c:v>16.558641975308642</c:v>
                </c:pt>
                <c:pt idx="281">
                  <c:v>16.551111111111108</c:v>
                </c:pt>
                <c:pt idx="282">
                  <c:v>16.528518518518517</c:v>
                </c:pt>
                <c:pt idx="283">
                  <c:v>16.517160493827159</c:v>
                </c:pt>
                <c:pt idx="284">
                  <c:v>16.494567901234568</c:v>
                </c:pt>
                <c:pt idx="285">
                  <c:v>16.471975308641973</c:v>
                </c:pt>
                <c:pt idx="286">
                  <c:v>16.445555555555554</c:v>
                </c:pt>
                <c:pt idx="287">
                  <c:v>16.404197530864195</c:v>
                </c:pt>
                <c:pt idx="288">
                  <c:v>16.373950617283949</c:v>
                </c:pt>
                <c:pt idx="289">
                  <c:v>16.351358024691358</c:v>
                </c:pt>
                <c:pt idx="290">
                  <c:v>16.328765432098766</c:v>
                </c:pt>
                <c:pt idx="291">
                  <c:v>16.306172839506171</c:v>
                </c:pt>
                <c:pt idx="292">
                  <c:v>16.279753086419749</c:v>
                </c:pt>
                <c:pt idx="293">
                  <c:v>16.245925925925924</c:v>
                </c:pt>
                <c:pt idx="294">
                  <c:v>16.215802469135802</c:v>
                </c:pt>
                <c:pt idx="295">
                  <c:v>16.185679012345677</c:v>
                </c:pt>
                <c:pt idx="296">
                  <c:v>16.162962962962961</c:v>
                </c:pt>
                <c:pt idx="297">
                  <c:v>16.147901234567904</c:v>
                </c:pt>
                <c:pt idx="298">
                  <c:v>16.117777777777775</c:v>
                </c:pt>
                <c:pt idx="299">
                  <c:v>16.08395061728395</c:v>
                </c:pt>
                <c:pt idx="300">
                  <c:v>16.038641975308643</c:v>
                </c:pt>
                <c:pt idx="301">
                  <c:v>16.012345679012348</c:v>
                </c:pt>
                <c:pt idx="302">
                  <c:v>15.974691358024689</c:v>
                </c:pt>
                <c:pt idx="303">
                  <c:v>15.929382716049382</c:v>
                </c:pt>
                <c:pt idx="304">
                  <c:v>15.884197530864196</c:v>
                </c:pt>
                <c:pt idx="305">
                  <c:v>15.854074074074072</c:v>
                </c:pt>
                <c:pt idx="306">
                  <c:v>15.820123456790125</c:v>
                </c:pt>
                <c:pt idx="307">
                  <c:v>15.786296296296294</c:v>
                </c:pt>
                <c:pt idx="308">
                  <c:v>15.752345679012343</c:v>
                </c:pt>
                <c:pt idx="309">
                  <c:v>15.710864197530865</c:v>
                </c:pt>
                <c:pt idx="310">
                  <c:v>15.661975308641974</c:v>
                </c:pt>
                <c:pt idx="311">
                  <c:v>15.628024691358023</c:v>
                </c:pt>
                <c:pt idx="312">
                  <c:v>15.582839506172839</c:v>
                </c:pt>
                <c:pt idx="313">
                  <c:v>15.541358024691359</c:v>
                </c:pt>
                <c:pt idx="314">
                  <c:v>15.499876543209876</c:v>
                </c:pt>
                <c:pt idx="315">
                  <c:v>15.450987654320988</c:v>
                </c:pt>
                <c:pt idx="316">
                  <c:v>15.405679012345677</c:v>
                </c:pt>
                <c:pt idx="317">
                  <c:v>15.34543209876543</c:v>
                </c:pt>
                <c:pt idx="318">
                  <c:v>15.292716049382715</c:v>
                </c:pt>
                <c:pt idx="319">
                  <c:v>15.239999999999998</c:v>
                </c:pt>
                <c:pt idx="320">
                  <c:v>15.187160493827157</c:v>
                </c:pt>
                <c:pt idx="321">
                  <c:v>15.126913580246912</c:v>
                </c:pt>
                <c:pt idx="322">
                  <c:v>15.047777777777776</c:v>
                </c:pt>
                <c:pt idx="323">
                  <c:v>14.968641975308641</c:v>
                </c:pt>
                <c:pt idx="324">
                  <c:v>14.89716049382716</c:v>
                </c:pt>
                <c:pt idx="325">
                  <c:v>14.821728395061728</c:v>
                </c:pt>
                <c:pt idx="326">
                  <c:v>14.742592592592592</c:v>
                </c:pt>
                <c:pt idx="327">
                  <c:v>14.667283950617284</c:v>
                </c:pt>
                <c:pt idx="328">
                  <c:v>14.599506172839504</c:v>
                </c:pt>
                <c:pt idx="329">
                  <c:v>14.509012345679011</c:v>
                </c:pt>
                <c:pt idx="330">
                  <c:v>14.41864197530864</c:v>
                </c:pt>
                <c:pt idx="331">
                  <c:v>14.320617283950616</c:v>
                </c:pt>
                <c:pt idx="332">
                  <c:v>14.237777777777778</c:v>
                </c:pt>
                <c:pt idx="333">
                  <c:v>14.166172839506173</c:v>
                </c:pt>
                <c:pt idx="334">
                  <c:v>14.075802469135803</c:v>
                </c:pt>
                <c:pt idx="335">
                  <c:v>13.974074074074073</c:v>
                </c:pt>
                <c:pt idx="336">
                  <c:v>13.860987654320986</c:v>
                </c:pt>
                <c:pt idx="337">
                  <c:v>13.744197530864197</c:v>
                </c:pt>
                <c:pt idx="338">
                  <c:v>13.619876543209877</c:v>
                </c:pt>
                <c:pt idx="339">
                  <c:v>13.480493827160494</c:v>
                </c:pt>
                <c:pt idx="340">
                  <c:v>13.322222222222221</c:v>
                </c:pt>
                <c:pt idx="341">
                  <c:v>13.167777777777779</c:v>
                </c:pt>
                <c:pt idx="342">
                  <c:v>13.009506172839506</c:v>
                </c:pt>
                <c:pt idx="343">
                  <c:v>12.84753086419753</c:v>
                </c:pt>
                <c:pt idx="344">
                  <c:v>12.674197530864197</c:v>
                </c:pt>
                <c:pt idx="345">
                  <c:v>12.482098765432099</c:v>
                </c:pt>
                <c:pt idx="346">
                  <c:v>12.278617283950616</c:v>
                </c:pt>
                <c:pt idx="347">
                  <c:v>12.056333333333335</c:v>
                </c:pt>
                <c:pt idx="348">
                  <c:v>11.826506172839505</c:v>
                </c:pt>
                <c:pt idx="349">
                  <c:v>11.570308641975307</c:v>
                </c:pt>
                <c:pt idx="350">
                  <c:v>11.29527160493827</c:v>
                </c:pt>
                <c:pt idx="351">
                  <c:v>11.008938271604938</c:v>
                </c:pt>
                <c:pt idx="352">
                  <c:v>10.699987654320985</c:v>
                </c:pt>
                <c:pt idx="353">
                  <c:v>10.357135802469136</c:v>
                </c:pt>
                <c:pt idx="354">
                  <c:v>9.9992222222222225</c:v>
                </c:pt>
                <c:pt idx="355">
                  <c:v>9.5998518518518505</c:v>
                </c:pt>
                <c:pt idx="356">
                  <c:v>9.1665802469135791</c:v>
                </c:pt>
                <c:pt idx="357">
                  <c:v>8.6993950617283939</c:v>
                </c:pt>
                <c:pt idx="358">
                  <c:v>8.1606296296296286</c:v>
                </c:pt>
                <c:pt idx="359">
                  <c:v>7.5427407407407392</c:v>
                </c:pt>
                <c:pt idx="360">
                  <c:v>6.8306666666666667</c:v>
                </c:pt>
                <c:pt idx="361">
                  <c:v>6.0274074074074067</c:v>
                </c:pt>
                <c:pt idx="362">
                  <c:v>5.0960617283950613</c:v>
                </c:pt>
                <c:pt idx="363">
                  <c:v>3.9834814814814812</c:v>
                </c:pt>
                <c:pt idx="364">
                  <c:v>2.6373209876543204</c:v>
                </c:pt>
                <c:pt idx="365">
                  <c:v>0.95998518518518516</c:v>
                </c:pt>
                <c:pt idx="366">
                  <c:v>-1.1061679012345678</c:v>
                </c:pt>
                <c:pt idx="367">
                  <c:v>-3.5694320987654322</c:v>
                </c:pt>
                <c:pt idx="368">
                  <c:v>-6.4275308641975304</c:v>
                </c:pt>
                <c:pt idx="369">
                  <c:v>-9.5810123456790119</c:v>
                </c:pt>
                <c:pt idx="370">
                  <c:v>-12.97567901234568</c:v>
                </c:pt>
                <c:pt idx="371">
                  <c:v>-16.592469135802467</c:v>
                </c:pt>
                <c:pt idx="372">
                  <c:v>-20.371481481481482</c:v>
                </c:pt>
                <c:pt idx="373">
                  <c:v>-24.244567901234564</c:v>
                </c:pt>
                <c:pt idx="374">
                  <c:v>-28.272098765432098</c:v>
                </c:pt>
                <c:pt idx="375">
                  <c:v>-32.322222222222216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89F6-4B87-BA1D-73BAB01E4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06624"/>
        <c:axId val="100108160"/>
      </c:scatterChart>
      <c:valAx>
        <c:axId val="10010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08160"/>
        <c:crosses val="autoZero"/>
        <c:crossBetween val="midCat"/>
      </c:valAx>
      <c:valAx>
        <c:axId val="10010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0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'20221206T090000'!$AD$10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'20221206T090000'!$Y$11:$Y$500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'20221206T090000'!$AD$11:$AD$500</c:f>
              <c:numCache>
                <c:formatCode>General</c:formatCode>
                <c:ptCount val="490"/>
                <c:pt idx="0">
                  <c:v>17.564567901234565</c:v>
                </c:pt>
                <c:pt idx="1">
                  <c:v>17.557037037037034</c:v>
                </c:pt>
                <c:pt idx="2">
                  <c:v>17.549506172839507</c:v>
                </c:pt>
                <c:pt idx="3">
                  <c:v>17.541975308641973</c:v>
                </c:pt>
                <c:pt idx="4">
                  <c:v>17.54567901234568</c:v>
                </c:pt>
                <c:pt idx="5">
                  <c:v>17.549506172839507</c:v>
                </c:pt>
                <c:pt idx="6">
                  <c:v>17.557037037037034</c:v>
                </c:pt>
                <c:pt idx="7">
                  <c:v>17.560740740740737</c:v>
                </c:pt>
                <c:pt idx="8">
                  <c:v>17.572098765432099</c:v>
                </c:pt>
                <c:pt idx="9">
                  <c:v>17.575925925925926</c:v>
                </c:pt>
                <c:pt idx="10">
                  <c:v>17.568271604938271</c:v>
                </c:pt>
                <c:pt idx="11">
                  <c:v>17.557037037037034</c:v>
                </c:pt>
                <c:pt idx="12">
                  <c:v>17.54567901234568</c:v>
                </c:pt>
                <c:pt idx="13">
                  <c:v>17.534444444444443</c:v>
                </c:pt>
                <c:pt idx="14">
                  <c:v>17.526913580246916</c:v>
                </c:pt>
                <c:pt idx="15">
                  <c:v>17.519382716049382</c:v>
                </c:pt>
                <c:pt idx="16">
                  <c:v>17.515555555555554</c:v>
                </c:pt>
                <c:pt idx="17">
                  <c:v>17.511851851851851</c:v>
                </c:pt>
                <c:pt idx="18">
                  <c:v>17.515555555555554</c:v>
                </c:pt>
                <c:pt idx="19">
                  <c:v>17.523086419753085</c:v>
                </c:pt>
                <c:pt idx="20">
                  <c:v>17.504320987654321</c:v>
                </c:pt>
                <c:pt idx="21">
                  <c:v>17.500493827160494</c:v>
                </c:pt>
                <c:pt idx="22">
                  <c:v>17.508024691358024</c:v>
                </c:pt>
                <c:pt idx="23">
                  <c:v>17.496790123456787</c:v>
                </c:pt>
                <c:pt idx="24">
                  <c:v>17.489259259259256</c:v>
                </c:pt>
                <c:pt idx="25">
                  <c:v>17.481728395061729</c:v>
                </c:pt>
                <c:pt idx="26">
                  <c:v>17.470370370370368</c:v>
                </c:pt>
                <c:pt idx="27">
                  <c:v>17.443950617283949</c:v>
                </c:pt>
                <c:pt idx="28">
                  <c:v>17.421358024691358</c:v>
                </c:pt>
                <c:pt idx="29">
                  <c:v>17.417654320987655</c:v>
                </c:pt>
                <c:pt idx="30">
                  <c:v>17.410123456790124</c:v>
                </c:pt>
                <c:pt idx="31">
                  <c:v>17.425185185185182</c:v>
                </c:pt>
                <c:pt idx="32">
                  <c:v>17.425185185185182</c:v>
                </c:pt>
                <c:pt idx="33">
                  <c:v>17.443950617283949</c:v>
                </c:pt>
                <c:pt idx="34">
                  <c:v>17.440246913580246</c:v>
                </c:pt>
                <c:pt idx="35">
                  <c:v>17.428888888888888</c:v>
                </c:pt>
                <c:pt idx="36">
                  <c:v>17.421358024691358</c:v>
                </c:pt>
                <c:pt idx="37">
                  <c:v>17.391234567901233</c:v>
                </c:pt>
                <c:pt idx="38">
                  <c:v>17.391234567901233</c:v>
                </c:pt>
                <c:pt idx="39">
                  <c:v>17.383703703703702</c:v>
                </c:pt>
                <c:pt idx="40">
                  <c:v>17.383703703703702</c:v>
                </c:pt>
                <c:pt idx="41">
                  <c:v>17.387530864197529</c:v>
                </c:pt>
                <c:pt idx="42">
                  <c:v>17.39506172839506</c:v>
                </c:pt>
                <c:pt idx="43">
                  <c:v>17.410123456790124</c:v>
                </c:pt>
                <c:pt idx="44">
                  <c:v>17.421358024691358</c:v>
                </c:pt>
                <c:pt idx="45">
                  <c:v>17.425185185185182</c:v>
                </c:pt>
                <c:pt idx="46">
                  <c:v>17.417654320987655</c:v>
                </c:pt>
                <c:pt idx="47">
                  <c:v>17.417654320987655</c:v>
                </c:pt>
                <c:pt idx="48">
                  <c:v>17.406296296296293</c:v>
                </c:pt>
                <c:pt idx="49">
                  <c:v>17.406296296296293</c:v>
                </c:pt>
                <c:pt idx="50">
                  <c:v>17.40259259259259</c:v>
                </c:pt>
                <c:pt idx="51">
                  <c:v>17.413827160493828</c:v>
                </c:pt>
                <c:pt idx="52">
                  <c:v>17.421358024691358</c:v>
                </c:pt>
                <c:pt idx="53">
                  <c:v>17.432716049382716</c:v>
                </c:pt>
                <c:pt idx="54">
                  <c:v>17.436419753086419</c:v>
                </c:pt>
                <c:pt idx="55">
                  <c:v>17.432716049382716</c:v>
                </c:pt>
                <c:pt idx="56">
                  <c:v>17.421358024691358</c:v>
                </c:pt>
                <c:pt idx="57">
                  <c:v>17.421358024691358</c:v>
                </c:pt>
                <c:pt idx="58">
                  <c:v>17.432716049382716</c:v>
                </c:pt>
                <c:pt idx="59">
                  <c:v>17.428888888888888</c:v>
                </c:pt>
                <c:pt idx="60">
                  <c:v>17.436419753086419</c:v>
                </c:pt>
                <c:pt idx="61">
                  <c:v>17.436419753086419</c:v>
                </c:pt>
                <c:pt idx="62">
                  <c:v>17.436419753086419</c:v>
                </c:pt>
                <c:pt idx="63">
                  <c:v>17.432716049382716</c:v>
                </c:pt>
                <c:pt idx="64">
                  <c:v>17.421358024691358</c:v>
                </c:pt>
                <c:pt idx="65">
                  <c:v>17.421358024691358</c:v>
                </c:pt>
                <c:pt idx="66">
                  <c:v>17.425185185185182</c:v>
                </c:pt>
                <c:pt idx="67">
                  <c:v>17.432716049382716</c:v>
                </c:pt>
                <c:pt idx="68">
                  <c:v>17.432716049382716</c:v>
                </c:pt>
                <c:pt idx="69">
                  <c:v>17.417654320987655</c:v>
                </c:pt>
                <c:pt idx="70">
                  <c:v>17.406296296296293</c:v>
                </c:pt>
                <c:pt idx="71">
                  <c:v>17.406296296296293</c:v>
                </c:pt>
                <c:pt idx="72">
                  <c:v>17.40259259259259</c:v>
                </c:pt>
                <c:pt idx="73">
                  <c:v>17.39506172839506</c:v>
                </c:pt>
                <c:pt idx="74">
                  <c:v>17.391234567901233</c:v>
                </c:pt>
                <c:pt idx="75">
                  <c:v>17.391234567901233</c:v>
                </c:pt>
                <c:pt idx="76">
                  <c:v>17.40259259259259</c:v>
                </c:pt>
                <c:pt idx="77">
                  <c:v>17.406296296296293</c:v>
                </c:pt>
                <c:pt idx="78">
                  <c:v>17.410123456790124</c:v>
                </c:pt>
                <c:pt idx="79">
                  <c:v>17.417654320987655</c:v>
                </c:pt>
                <c:pt idx="80">
                  <c:v>17.421358024691358</c:v>
                </c:pt>
                <c:pt idx="81">
                  <c:v>17.425185185185182</c:v>
                </c:pt>
                <c:pt idx="82">
                  <c:v>17.413827160493828</c:v>
                </c:pt>
                <c:pt idx="83">
                  <c:v>17.413827160493828</c:v>
                </c:pt>
                <c:pt idx="84">
                  <c:v>17.417654320987655</c:v>
                </c:pt>
                <c:pt idx="85">
                  <c:v>17.40259259259259</c:v>
                </c:pt>
                <c:pt idx="86">
                  <c:v>17.410123456790124</c:v>
                </c:pt>
                <c:pt idx="87">
                  <c:v>17.410123456790124</c:v>
                </c:pt>
                <c:pt idx="88">
                  <c:v>17.406296296296293</c:v>
                </c:pt>
                <c:pt idx="89">
                  <c:v>17.406296296296293</c:v>
                </c:pt>
                <c:pt idx="90">
                  <c:v>17.398765432098763</c:v>
                </c:pt>
                <c:pt idx="91">
                  <c:v>17.398765432098763</c:v>
                </c:pt>
                <c:pt idx="92">
                  <c:v>17.406296296296293</c:v>
                </c:pt>
                <c:pt idx="93">
                  <c:v>17.417654320987655</c:v>
                </c:pt>
                <c:pt idx="94">
                  <c:v>17.425185185185182</c:v>
                </c:pt>
                <c:pt idx="95">
                  <c:v>17.428888888888888</c:v>
                </c:pt>
                <c:pt idx="96">
                  <c:v>17.421358024691358</c:v>
                </c:pt>
                <c:pt idx="97">
                  <c:v>17.410123456790124</c:v>
                </c:pt>
                <c:pt idx="98">
                  <c:v>17.425185185185182</c:v>
                </c:pt>
                <c:pt idx="99">
                  <c:v>17.432716049382716</c:v>
                </c:pt>
                <c:pt idx="100">
                  <c:v>17.432716049382716</c:v>
                </c:pt>
                <c:pt idx="101">
                  <c:v>17.417654320987655</c:v>
                </c:pt>
                <c:pt idx="102">
                  <c:v>17.413827160493828</c:v>
                </c:pt>
                <c:pt idx="103">
                  <c:v>17.432716049382716</c:v>
                </c:pt>
                <c:pt idx="104">
                  <c:v>17.436419753086419</c:v>
                </c:pt>
                <c:pt idx="105">
                  <c:v>17.440246913580246</c:v>
                </c:pt>
                <c:pt idx="106">
                  <c:v>17.436419753086419</c:v>
                </c:pt>
                <c:pt idx="107">
                  <c:v>17.440246913580246</c:v>
                </c:pt>
                <c:pt idx="108">
                  <c:v>17.440246913580246</c:v>
                </c:pt>
                <c:pt idx="109">
                  <c:v>17.428888888888888</c:v>
                </c:pt>
                <c:pt idx="110">
                  <c:v>17.428888888888888</c:v>
                </c:pt>
                <c:pt idx="111">
                  <c:v>17.421358024691358</c:v>
                </c:pt>
                <c:pt idx="112">
                  <c:v>17.421358024691358</c:v>
                </c:pt>
                <c:pt idx="113">
                  <c:v>17.413827160493828</c:v>
                </c:pt>
                <c:pt idx="114">
                  <c:v>17.406296296296293</c:v>
                </c:pt>
                <c:pt idx="115">
                  <c:v>17.387530864197529</c:v>
                </c:pt>
                <c:pt idx="116">
                  <c:v>17.38</c:v>
                </c:pt>
                <c:pt idx="117">
                  <c:v>17.376172839506172</c:v>
                </c:pt>
                <c:pt idx="118">
                  <c:v>17.372469135802469</c:v>
                </c:pt>
                <c:pt idx="119">
                  <c:v>17.383703703703702</c:v>
                </c:pt>
                <c:pt idx="120">
                  <c:v>17.39506172839506</c:v>
                </c:pt>
                <c:pt idx="121">
                  <c:v>17.40259259259259</c:v>
                </c:pt>
                <c:pt idx="122">
                  <c:v>17.406296296296293</c:v>
                </c:pt>
                <c:pt idx="123">
                  <c:v>17.413827160493828</c:v>
                </c:pt>
                <c:pt idx="124">
                  <c:v>17.406296296296293</c:v>
                </c:pt>
                <c:pt idx="125">
                  <c:v>17.398765432098763</c:v>
                </c:pt>
                <c:pt idx="126">
                  <c:v>17.387530864197529</c:v>
                </c:pt>
                <c:pt idx="127">
                  <c:v>17.376172839506172</c:v>
                </c:pt>
                <c:pt idx="128">
                  <c:v>17.372469135802469</c:v>
                </c:pt>
                <c:pt idx="129">
                  <c:v>17.368641975308641</c:v>
                </c:pt>
                <c:pt idx="130">
                  <c:v>17.364938271604938</c:v>
                </c:pt>
                <c:pt idx="131">
                  <c:v>17.35358024691358</c:v>
                </c:pt>
                <c:pt idx="132">
                  <c:v>17.338518518518516</c:v>
                </c:pt>
                <c:pt idx="133">
                  <c:v>17.342222222222222</c:v>
                </c:pt>
                <c:pt idx="134">
                  <c:v>17.35358024691358</c:v>
                </c:pt>
                <c:pt idx="135">
                  <c:v>17.364938271604938</c:v>
                </c:pt>
                <c:pt idx="136">
                  <c:v>17.364938271604938</c:v>
                </c:pt>
                <c:pt idx="137">
                  <c:v>17.372469135802469</c:v>
                </c:pt>
                <c:pt idx="138">
                  <c:v>17.383703703703702</c:v>
                </c:pt>
                <c:pt idx="139">
                  <c:v>17.38</c:v>
                </c:pt>
                <c:pt idx="140">
                  <c:v>17.368641975308641</c:v>
                </c:pt>
                <c:pt idx="141">
                  <c:v>17.361111111111111</c:v>
                </c:pt>
                <c:pt idx="142">
                  <c:v>17.349753086419753</c:v>
                </c:pt>
                <c:pt idx="143">
                  <c:v>17.35358024691358</c:v>
                </c:pt>
                <c:pt idx="144">
                  <c:v>17.349753086419753</c:v>
                </c:pt>
                <c:pt idx="145">
                  <c:v>17.342222222222222</c:v>
                </c:pt>
                <c:pt idx="146">
                  <c:v>17.338518518518516</c:v>
                </c:pt>
                <c:pt idx="147">
                  <c:v>17.334691358024692</c:v>
                </c:pt>
                <c:pt idx="148">
                  <c:v>17.34604938271605</c:v>
                </c:pt>
                <c:pt idx="149">
                  <c:v>17.361111111111111</c:v>
                </c:pt>
                <c:pt idx="150">
                  <c:v>17.368641975308641</c:v>
                </c:pt>
                <c:pt idx="151">
                  <c:v>17.391234567901233</c:v>
                </c:pt>
                <c:pt idx="152">
                  <c:v>17.410123456790124</c:v>
                </c:pt>
                <c:pt idx="153">
                  <c:v>17.417654320987655</c:v>
                </c:pt>
                <c:pt idx="154">
                  <c:v>17.406296296296293</c:v>
                </c:pt>
                <c:pt idx="155">
                  <c:v>17.398765432098763</c:v>
                </c:pt>
                <c:pt idx="156">
                  <c:v>17.398765432098763</c:v>
                </c:pt>
                <c:pt idx="157">
                  <c:v>17.39506172839506</c:v>
                </c:pt>
                <c:pt idx="158">
                  <c:v>17.391234567901233</c:v>
                </c:pt>
                <c:pt idx="159">
                  <c:v>17.387530864197529</c:v>
                </c:pt>
                <c:pt idx="160">
                  <c:v>17.368641975308641</c:v>
                </c:pt>
                <c:pt idx="161">
                  <c:v>17.342222222222222</c:v>
                </c:pt>
                <c:pt idx="162">
                  <c:v>17.342222222222222</c:v>
                </c:pt>
                <c:pt idx="163">
                  <c:v>17.349753086419753</c:v>
                </c:pt>
                <c:pt idx="164">
                  <c:v>17.361111111111111</c:v>
                </c:pt>
                <c:pt idx="165">
                  <c:v>17.361111111111111</c:v>
                </c:pt>
                <c:pt idx="166">
                  <c:v>17.364938271604938</c:v>
                </c:pt>
                <c:pt idx="167">
                  <c:v>17.372469135802469</c:v>
                </c:pt>
                <c:pt idx="168">
                  <c:v>17.372469135802469</c:v>
                </c:pt>
                <c:pt idx="169">
                  <c:v>17.361111111111111</c:v>
                </c:pt>
                <c:pt idx="170">
                  <c:v>17.361111111111111</c:v>
                </c:pt>
                <c:pt idx="171">
                  <c:v>17.349753086419753</c:v>
                </c:pt>
                <c:pt idx="172">
                  <c:v>17.334691358024692</c:v>
                </c:pt>
                <c:pt idx="173">
                  <c:v>17.330987654320985</c:v>
                </c:pt>
                <c:pt idx="174">
                  <c:v>17.338518518518516</c:v>
                </c:pt>
                <c:pt idx="175">
                  <c:v>17.338518518518516</c:v>
                </c:pt>
                <c:pt idx="176">
                  <c:v>17.334691358024692</c:v>
                </c:pt>
                <c:pt idx="177">
                  <c:v>17.34604938271605</c:v>
                </c:pt>
                <c:pt idx="178">
                  <c:v>17.35358024691358</c:v>
                </c:pt>
                <c:pt idx="179">
                  <c:v>17.342222222222222</c:v>
                </c:pt>
                <c:pt idx="180">
                  <c:v>17.338518518518516</c:v>
                </c:pt>
                <c:pt idx="181">
                  <c:v>17.327160493827162</c:v>
                </c:pt>
                <c:pt idx="182">
                  <c:v>17.334691358024692</c:v>
                </c:pt>
                <c:pt idx="183">
                  <c:v>17.330987654320985</c:v>
                </c:pt>
                <c:pt idx="184">
                  <c:v>17.323456790123455</c:v>
                </c:pt>
                <c:pt idx="185">
                  <c:v>17.319629629629631</c:v>
                </c:pt>
                <c:pt idx="186">
                  <c:v>17.308395061728394</c:v>
                </c:pt>
                <c:pt idx="187">
                  <c:v>17.304567901234567</c:v>
                </c:pt>
                <c:pt idx="188">
                  <c:v>17.297037037037036</c:v>
                </c:pt>
                <c:pt idx="189">
                  <c:v>17.289506172839506</c:v>
                </c:pt>
                <c:pt idx="190">
                  <c:v>17.293333333333333</c:v>
                </c:pt>
                <c:pt idx="191">
                  <c:v>17.300864197530863</c:v>
                </c:pt>
                <c:pt idx="192">
                  <c:v>17.300864197530863</c:v>
                </c:pt>
                <c:pt idx="193">
                  <c:v>17.297037037037036</c:v>
                </c:pt>
                <c:pt idx="194">
                  <c:v>17.300864197530863</c:v>
                </c:pt>
                <c:pt idx="195">
                  <c:v>17.300864197530863</c:v>
                </c:pt>
                <c:pt idx="196">
                  <c:v>17.304567901234567</c:v>
                </c:pt>
                <c:pt idx="197">
                  <c:v>17.300864197530863</c:v>
                </c:pt>
                <c:pt idx="198">
                  <c:v>17.308395061728394</c:v>
                </c:pt>
                <c:pt idx="199">
                  <c:v>17.304567901234567</c:v>
                </c:pt>
                <c:pt idx="200">
                  <c:v>17.308395061728394</c:v>
                </c:pt>
                <c:pt idx="201">
                  <c:v>17.308395061728394</c:v>
                </c:pt>
                <c:pt idx="202">
                  <c:v>17.308395061728394</c:v>
                </c:pt>
                <c:pt idx="203">
                  <c:v>17.300864197530863</c:v>
                </c:pt>
                <c:pt idx="204">
                  <c:v>17.300864197530863</c:v>
                </c:pt>
                <c:pt idx="205">
                  <c:v>17.278271604938272</c:v>
                </c:pt>
                <c:pt idx="206">
                  <c:v>17.263209876543208</c:v>
                </c:pt>
                <c:pt idx="207">
                  <c:v>17.259382716049384</c:v>
                </c:pt>
                <c:pt idx="208">
                  <c:v>17.251851851851853</c:v>
                </c:pt>
                <c:pt idx="209">
                  <c:v>17.244320987654319</c:v>
                </c:pt>
                <c:pt idx="210">
                  <c:v>17.236790123456789</c:v>
                </c:pt>
                <c:pt idx="211">
                  <c:v>17.251851851851853</c:v>
                </c:pt>
                <c:pt idx="212">
                  <c:v>17.255679012345677</c:v>
                </c:pt>
                <c:pt idx="213">
                  <c:v>17.251851851851853</c:v>
                </c:pt>
                <c:pt idx="214">
                  <c:v>17.244320987654319</c:v>
                </c:pt>
                <c:pt idx="215">
                  <c:v>17.244320987654319</c:v>
                </c:pt>
                <c:pt idx="216">
                  <c:v>17.244320987654319</c:v>
                </c:pt>
                <c:pt idx="217">
                  <c:v>17.240493827160492</c:v>
                </c:pt>
                <c:pt idx="218">
                  <c:v>17.236790123456789</c:v>
                </c:pt>
                <c:pt idx="219">
                  <c:v>17.217901234567901</c:v>
                </c:pt>
                <c:pt idx="220">
                  <c:v>17.221728395061724</c:v>
                </c:pt>
                <c:pt idx="221">
                  <c:v>17.229259259259258</c:v>
                </c:pt>
                <c:pt idx="222">
                  <c:v>17.225432098765431</c:v>
                </c:pt>
                <c:pt idx="223">
                  <c:v>17.232962962962961</c:v>
                </c:pt>
                <c:pt idx="224">
                  <c:v>17.225432098765431</c:v>
                </c:pt>
                <c:pt idx="225">
                  <c:v>17.214197530864197</c:v>
                </c:pt>
                <c:pt idx="226">
                  <c:v>17.187777777777779</c:v>
                </c:pt>
                <c:pt idx="227">
                  <c:v>17.161481481481481</c:v>
                </c:pt>
                <c:pt idx="228">
                  <c:v>17.153950617283947</c:v>
                </c:pt>
                <c:pt idx="229">
                  <c:v>17.150123456790123</c:v>
                </c:pt>
                <c:pt idx="230">
                  <c:v>17.146296296296295</c:v>
                </c:pt>
                <c:pt idx="231">
                  <c:v>17.142592592592592</c:v>
                </c:pt>
                <c:pt idx="232">
                  <c:v>17.146296296296295</c:v>
                </c:pt>
                <c:pt idx="233">
                  <c:v>17.150123456790123</c:v>
                </c:pt>
                <c:pt idx="234">
                  <c:v>17.146296296296295</c:v>
                </c:pt>
                <c:pt idx="235">
                  <c:v>17.131234567901231</c:v>
                </c:pt>
                <c:pt idx="236">
                  <c:v>17.12</c:v>
                </c:pt>
                <c:pt idx="237">
                  <c:v>17.123703703703701</c:v>
                </c:pt>
                <c:pt idx="238">
                  <c:v>17.104938271604937</c:v>
                </c:pt>
                <c:pt idx="239">
                  <c:v>17.104938271604937</c:v>
                </c:pt>
                <c:pt idx="240">
                  <c:v>17.086049382716048</c:v>
                </c:pt>
                <c:pt idx="241">
                  <c:v>17.063456790123453</c:v>
                </c:pt>
                <c:pt idx="242">
                  <c:v>17.044691358024689</c:v>
                </c:pt>
                <c:pt idx="243">
                  <c:v>17.029506172839504</c:v>
                </c:pt>
                <c:pt idx="244">
                  <c:v>17.025802469135801</c:v>
                </c:pt>
                <c:pt idx="245">
                  <c:v>17.01074074074074</c:v>
                </c:pt>
                <c:pt idx="246">
                  <c:v>17.00320987654321</c:v>
                </c:pt>
                <c:pt idx="247">
                  <c:v>16.999382716049382</c:v>
                </c:pt>
                <c:pt idx="248">
                  <c:v>16.995679012345676</c:v>
                </c:pt>
                <c:pt idx="249">
                  <c:v>16.999382716049382</c:v>
                </c:pt>
                <c:pt idx="250">
                  <c:v>16.995679012345676</c:v>
                </c:pt>
                <c:pt idx="251">
                  <c:v>16.969259259259257</c:v>
                </c:pt>
                <c:pt idx="252">
                  <c:v>16.950493827160493</c:v>
                </c:pt>
                <c:pt idx="253">
                  <c:v>16.931604938271605</c:v>
                </c:pt>
                <c:pt idx="254">
                  <c:v>16.920246913580247</c:v>
                </c:pt>
                <c:pt idx="255">
                  <c:v>16.912716049382716</c:v>
                </c:pt>
                <c:pt idx="256">
                  <c:v>16.90901234567901</c:v>
                </c:pt>
                <c:pt idx="257">
                  <c:v>16.90901234567901</c:v>
                </c:pt>
                <c:pt idx="258">
                  <c:v>16.90901234567901</c:v>
                </c:pt>
                <c:pt idx="259">
                  <c:v>16.90901234567901</c:v>
                </c:pt>
                <c:pt idx="260">
                  <c:v>16.901481481481479</c:v>
                </c:pt>
                <c:pt idx="261">
                  <c:v>16.87506172839506</c:v>
                </c:pt>
                <c:pt idx="262">
                  <c:v>16.844938271604939</c:v>
                </c:pt>
                <c:pt idx="263">
                  <c:v>16.833703703703701</c:v>
                </c:pt>
                <c:pt idx="264">
                  <c:v>16.818518518518516</c:v>
                </c:pt>
                <c:pt idx="265">
                  <c:v>16.799753086419752</c:v>
                </c:pt>
                <c:pt idx="266">
                  <c:v>16.788395061728394</c:v>
                </c:pt>
                <c:pt idx="267">
                  <c:v>16.788395061728394</c:v>
                </c:pt>
                <c:pt idx="268">
                  <c:v>16.777160493827161</c:v>
                </c:pt>
                <c:pt idx="269">
                  <c:v>16.77333333333333</c:v>
                </c:pt>
                <c:pt idx="270">
                  <c:v>16.765802469135803</c:v>
                </c:pt>
                <c:pt idx="271">
                  <c:v>16.758271604938273</c:v>
                </c:pt>
                <c:pt idx="272">
                  <c:v>16.743209876543208</c:v>
                </c:pt>
                <c:pt idx="273">
                  <c:v>16.72444444444444</c:v>
                </c:pt>
                <c:pt idx="274">
                  <c:v>16.705555555555552</c:v>
                </c:pt>
                <c:pt idx="275">
                  <c:v>16.67543209876543</c:v>
                </c:pt>
                <c:pt idx="276">
                  <c:v>16.641481481481478</c:v>
                </c:pt>
                <c:pt idx="277">
                  <c:v>16.618888888888886</c:v>
                </c:pt>
                <c:pt idx="278">
                  <c:v>16.596296296296295</c:v>
                </c:pt>
                <c:pt idx="279">
                  <c:v>16.5737037037037</c:v>
                </c:pt>
                <c:pt idx="280">
                  <c:v>16.558641975308642</c:v>
                </c:pt>
                <c:pt idx="281">
                  <c:v>16.551111111111108</c:v>
                </c:pt>
                <c:pt idx="282">
                  <c:v>16.528518518518517</c:v>
                </c:pt>
                <c:pt idx="283">
                  <c:v>16.517160493827159</c:v>
                </c:pt>
                <c:pt idx="284">
                  <c:v>16.494567901234568</c:v>
                </c:pt>
                <c:pt idx="285">
                  <c:v>16.471975308641973</c:v>
                </c:pt>
                <c:pt idx="286">
                  <c:v>16.445555555555554</c:v>
                </c:pt>
                <c:pt idx="287">
                  <c:v>16.404197530864195</c:v>
                </c:pt>
                <c:pt idx="288">
                  <c:v>16.373950617283949</c:v>
                </c:pt>
                <c:pt idx="289">
                  <c:v>16.351358024691358</c:v>
                </c:pt>
                <c:pt idx="290">
                  <c:v>16.328765432098766</c:v>
                </c:pt>
                <c:pt idx="291">
                  <c:v>16.306172839506171</c:v>
                </c:pt>
                <c:pt idx="292">
                  <c:v>16.279753086419749</c:v>
                </c:pt>
                <c:pt idx="293">
                  <c:v>16.245925925925924</c:v>
                </c:pt>
                <c:pt idx="294">
                  <c:v>16.215802469135802</c:v>
                </c:pt>
                <c:pt idx="295">
                  <c:v>16.185679012345677</c:v>
                </c:pt>
                <c:pt idx="296">
                  <c:v>16.162962962962961</c:v>
                </c:pt>
                <c:pt idx="297">
                  <c:v>16.147901234567904</c:v>
                </c:pt>
                <c:pt idx="298">
                  <c:v>16.117777777777775</c:v>
                </c:pt>
                <c:pt idx="299">
                  <c:v>16.08395061728395</c:v>
                </c:pt>
                <c:pt idx="300">
                  <c:v>16.038641975308643</c:v>
                </c:pt>
                <c:pt idx="301">
                  <c:v>16.012345679012348</c:v>
                </c:pt>
                <c:pt idx="302">
                  <c:v>15.974691358024689</c:v>
                </c:pt>
                <c:pt idx="303">
                  <c:v>15.929382716049382</c:v>
                </c:pt>
                <c:pt idx="304">
                  <c:v>15.884197530864196</c:v>
                </c:pt>
                <c:pt idx="305">
                  <c:v>15.854074074074072</c:v>
                </c:pt>
                <c:pt idx="306">
                  <c:v>15.820123456790125</c:v>
                </c:pt>
                <c:pt idx="307">
                  <c:v>15.786296296296294</c:v>
                </c:pt>
                <c:pt idx="308">
                  <c:v>15.752345679012343</c:v>
                </c:pt>
                <c:pt idx="309">
                  <c:v>15.710864197530865</c:v>
                </c:pt>
                <c:pt idx="310">
                  <c:v>15.661975308641974</c:v>
                </c:pt>
                <c:pt idx="311">
                  <c:v>15.628024691358023</c:v>
                </c:pt>
                <c:pt idx="312">
                  <c:v>15.582839506172839</c:v>
                </c:pt>
                <c:pt idx="313">
                  <c:v>15.541358024691359</c:v>
                </c:pt>
                <c:pt idx="314">
                  <c:v>15.499876543209876</c:v>
                </c:pt>
                <c:pt idx="315">
                  <c:v>15.450987654320988</c:v>
                </c:pt>
                <c:pt idx="316">
                  <c:v>15.405679012345677</c:v>
                </c:pt>
                <c:pt idx="317">
                  <c:v>15.34543209876543</c:v>
                </c:pt>
                <c:pt idx="318">
                  <c:v>15.292716049382715</c:v>
                </c:pt>
                <c:pt idx="319">
                  <c:v>15.239999999999998</c:v>
                </c:pt>
                <c:pt idx="320">
                  <c:v>15.187160493827157</c:v>
                </c:pt>
                <c:pt idx="321">
                  <c:v>15.126913580246912</c:v>
                </c:pt>
                <c:pt idx="322">
                  <c:v>15.047777777777776</c:v>
                </c:pt>
                <c:pt idx="323">
                  <c:v>14.968641975308641</c:v>
                </c:pt>
                <c:pt idx="324">
                  <c:v>14.89716049382716</c:v>
                </c:pt>
                <c:pt idx="325">
                  <c:v>14.821728395061728</c:v>
                </c:pt>
                <c:pt idx="326">
                  <c:v>14.742592592592592</c:v>
                </c:pt>
                <c:pt idx="327">
                  <c:v>14.667283950617284</c:v>
                </c:pt>
                <c:pt idx="328">
                  <c:v>14.599506172839504</c:v>
                </c:pt>
                <c:pt idx="329">
                  <c:v>14.509012345679011</c:v>
                </c:pt>
                <c:pt idx="330">
                  <c:v>14.41864197530864</c:v>
                </c:pt>
                <c:pt idx="331">
                  <c:v>14.320617283950616</c:v>
                </c:pt>
                <c:pt idx="332">
                  <c:v>14.237777777777778</c:v>
                </c:pt>
                <c:pt idx="333">
                  <c:v>14.166172839506173</c:v>
                </c:pt>
                <c:pt idx="334">
                  <c:v>14.075802469135803</c:v>
                </c:pt>
                <c:pt idx="335">
                  <c:v>13.974074074074073</c:v>
                </c:pt>
                <c:pt idx="336">
                  <c:v>13.860987654320986</c:v>
                </c:pt>
                <c:pt idx="337">
                  <c:v>13.744197530864197</c:v>
                </c:pt>
                <c:pt idx="338">
                  <c:v>13.619876543209877</c:v>
                </c:pt>
                <c:pt idx="339">
                  <c:v>13.480493827160494</c:v>
                </c:pt>
                <c:pt idx="340">
                  <c:v>13.322222222222221</c:v>
                </c:pt>
                <c:pt idx="341">
                  <c:v>13.167777777777779</c:v>
                </c:pt>
                <c:pt idx="342">
                  <c:v>13.009506172839506</c:v>
                </c:pt>
                <c:pt idx="343">
                  <c:v>12.84753086419753</c:v>
                </c:pt>
                <c:pt idx="344">
                  <c:v>12.674197530864197</c:v>
                </c:pt>
                <c:pt idx="345">
                  <c:v>12.482098765432099</c:v>
                </c:pt>
                <c:pt idx="346">
                  <c:v>12.278617283950616</c:v>
                </c:pt>
                <c:pt idx="347">
                  <c:v>12.056333333333335</c:v>
                </c:pt>
                <c:pt idx="348">
                  <c:v>11.826506172839505</c:v>
                </c:pt>
                <c:pt idx="349">
                  <c:v>11.570308641975307</c:v>
                </c:pt>
                <c:pt idx="350">
                  <c:v>11.29527160493827</c:v>
                </c:pt>
                <c:pt idx="351">
                  <c:v>11.008938271604938</c:v>
                </c:pt>
                <c:pt idx="352">
                  <c:v>10.699987654320985</c:v>
                </c:pt>
                <c:pt idx="353">
                  <c:v>10.357135802469136</c:v>
                </c:pt>
                <c:pt idx="354">
                  <c:v>9.9992222222222225</c:v>
                </c:pt>
                <c:pt idx="355">
                  <c:v>9.5998518518518505</c:v>
                </c:pt>
                <c:pt idx="356">
                  <c:v>9.1665802469135791</c:v>
                </c:pt>
                <c:pt idx="357">
                  <c:v>8.6993950617283939</c:v>
                </c:pt>
                <c:pt idx="358">
                  <c:v>8.1606296296296286</c:v>
                </c:pt>
                <c:pt idx="359">
                  <c:v>7.5427407407407392</c:v>
                </c:pt>
                <c:pt idx="360">
                  <c:v>6.8306666666666667</c:v>
                </c:pt>
                <c:pt idx="361">
                  <c:v>6.0274074074074067</c:v>
                </c:pt>
                <c:pt idx="362">
                  <c:v>5.0960617283950613</c:v>
                </c:pt>
                <c:pt idx="363">
                  <c:v>3.9834814814814812</c:v>
                </c:pt>
                <c:pt idx="364">
                  <c:v>2.6373209876543204</c:v>
                </c:pt>
                <c:pt idx="365">
                  <c:v>0.95998518518518516</c:v>
                </c:pt>
                <c:pt idx="366">
                  <c:v>-1.1061679012345678</c:v>
                </c:pt>
                <c:pt idx="367">
                  <c:v>-3.5694320987654322</c:v>
                </c:pt>
                <c:pt idx="368">
                  <c:v>-6.4275308641975304</c:v>
                </c:pt>
                <c:pt idx="369">
                  <c:v>-9.5810123456790119</c:v>
                </c:pt>
                <c:pt idx="370">
                  <c:v>-12.97567901234568</c:v>
                </c:pt>
                <c:pt idx="371">
                  <c:v>-16.592469135802467</c:v>
                </c:pt>
                <c:pt idx="372">
                  <c:v>-20.371481481481482</c:v>
                </c:pt>
                <c:pt idx="373">
                  <c:v>-24.244567901234564</c:v>
                </c:pt>
                <c:pt idx="374">
                  <c:v>-28.272098765432098</c:v>
                </c:pt>
                <c:pt idx="375">
                  <c:v>-32.322222222222216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35-4110-8E96-102166006E8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'20221206T090000'!$AG$11:$AG$500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'20221206T090000'!$AL$11:$AL$500</c:f>
              <c:numCache>
                <c:formatCode>General</c:formatCode>
                <c:ptCount val="490"/>
                <c:pt idx="0">
                  <c:v>17.436419753086419</c:v>
                </c:pt>
                <c:pt idx="1">
                  <c:v>17.436419753086419</c:v>
                </c:pt>
                <c:pt idx="2">
                  <c:v>17.440246913580246</c:v>
                </c:pt>
                <c:pt idx="3">
                  <c:v>17.440246913580246</c:v>
                </c:pt>
                <c:pt idx="4">
                  <c:v>17.45148148148148</c:v>
                </c:pt>
                <c:pt idx="5">
                  <c:v>17.474197530864195</c:v>
                </c:pt>
                <c:pt idx="6">
                  <c:v>17.481728395061729</c:v>
                </c:pt>
                <c:pt idx="7">
                  <c:v>17.485432098765433</c:v>
                </c:pt>
                <c:pt idx="8">
                  <c:v>17.489259259259256</c:v>
                </c:pt>
                <c:pt idx="9">
                  <c:v>17.496790123456787</c:v>
                </c:pt>
                <c:pt idx="10">
                  <c:v>17.496790123456787</c:v>
                </c:pt>
                <c:pt idx="11">
                  <c:v>17.500493827160494</c:v>
                </c:pt>
                <c:pt idx="12">
                  <c:v>17.496790123456787</c:v>
                </c:pt>
                <c:pt idx="13">
                  <c:v>17.485432098765433</c:v>
                </c:pt>
                <c:pt idx="14">
                  <c:v>17.492962962962959</c:v>
                </c:pt>
                <c:pt idx="15">
                  <c:v>17.489259259259256</c:v>
                </c:pt>
                <c:pt idx="16">
                  <c:v>17.485432098765433</c:v>
                </c:pt>
                <c:pt idx="17">
                  <c:v>17.481728395061729</c:v>
                </c:pt>
                <c:pt idx="18">
                  <c:v>17.470370370370368</c:v>
                </c:pt>
                <c:pt idx="19">
                  <c:v>17.466543209876541</c:v>
                </c:pt>
                <c:pt idx="20">
                  <c:v>17.470370370370368</c:v>
                </c:pt>
                <c:pt idx="21">
                  <c:v>17.466543209876541</c:v>
                </c:pt>
                <c:pt idx="22">
                  <c:v>17.447777777777777</c:v>
                </c:pt>
                <c:pt idx="23">
                  <c:v>17.443950617283949</c:v>
                </c:pt>
                <c:pt idx="24">
                  <c:v>17.443950617283949</c:v>
                </c:pt>
                <c:pt idx="25">
                  <c:v>17.436419753086419</c:v>
                </c:pt>
                <c:pt idx="26">
                  <c:v>17.440246913580246</c:v>
                </c:pt>
                <c:pt idx="27">
                  <c:v>17.428888888888888</c:v>
                </c:pt>
                <c:pt idx="28">
                  <c:v>17.432716049382716</c:v>
                </c:pt>
                <c:pt idx="29">
                  <c:v>17.443950617283949</c:v>
                </c:pt>
                <c:pt idx="30">
                  <c:v>17.455308641975307</c:v>
                </c:pt>
                <c:pt idx="31">
                  <c:v>17.455308641975307</c:v>
                </c:pt>
                <c:pt idx="32">
                  <c:v>17.440246913580246</c:v>
                </c:pt>
                <c:pt idx="33">
                  <c:v>17.432716049382716</c:v>
                </c:pt>
                <c:pt idx="34">
                  <c:v>17.436419753086419</c:v>
                </c:pt>
                <c:pt idx="35">
                  <c:v>17.443950617283949</c:v>
                </c:pt>
                <c:pt idx="36">
                  <c:v>17.45148148148148</c:v>
                </c:pt>
                <c:pt idx="37">
                  <c:v>17.440246913580246</c:v>
                </c:pt>
                <c:pt idx="38">
                  <c:v>17.428888888888888</c:v>
                </c:pt>
                <c:pt idx="39">
                  <c:v>17.432716049382716</c:v>
                </c:pt>
                <c:pt idx="40">
                  <c:v>17.440246913580246</c:v>
                </c:pt>
                <c:pt idx="41">
                  <c:v>17.45148148148148</c:v>
                </c:pt>
                <c:pt idx="42">
                  <c:v>17.45148148148148</c:v>
                </c:pt>
                <c:pt idx="43">
                  <c:v>17.447777777777777</c:v>
                </c:pt>
                <c:pt idx="44">
                  <c:v>17.440246913580246</c:v>
                </c:pt>
                <c:pt idx="45">
                  <c:v>17.425185185185182</c:v>
                </c:pt>
                <c:pt idx="46">
                  <c:v>17.398765432098763</c:v>
                </c:pt>
                <c:pt idx="47">
                  <c:v>17.368641975308641</c:v>
                </c:pt>
                <c:pt idx="48">
                  <c:v>17.357283950617283</c:v>
                </c:pt>
                <c:pt idx="49">
                  <c:v>17.34604938271605</c:v>
                </c:pt>
                <c:pt idx="50">
                  <c:v>17.34604938271605</c:v>
                </c:pt>
                <c:pt idx="51">
                  <c:v>17.330987654320985</c:v>
                </c:pt>
                <c:pt idx="52">
                  <c:v>17.334691358024692</c:v>
                </c:pt>
                <c:pt idx="53">
                  <c:v>17.35358024691358</c:v>
                </c:pt>
                <c:pt idx="54">
                  <c:v>17.35358024691358</c:v>
                </c:pt>
                <c:pt idx="55">
                  <c:v>17.361111111111111</c:v>
                </c:pt>
                <c:pt idx="56">
                  <c:v>17.372469135802469</c:v>
                </c:pt>
                <c:pt idx="57">
                  <c:v>17.387530864197529</c:v>
                </c:pt>
                <c:pt idx="58">
                  <c:v>17.387530864197529</c:v>
                </c:pt>
                <c:pt idx="59">
                  <c:v>17.372469135802469</c:v>
                </c:pt>
                <c:pt idx="60">
                  <c:v>17.368641975308641</c:v>
                </c:pt>
                <c:pt idx="61">
                  <c:v>17.35358024691358</c:v>
                </c:pt>
                <c:pt idx="62">
                  <c:v>17.349753086419753</c:v>
                </c:pt>
                <c:pt idx="63">
                  <c:v>17.34604938271605</c:v>
                </c:pt>
                <c:pt idx="64">
                  <c:v>17.342222222222222</c:v>
                </c:pt>
                <c:pt idx="65">
                  <c:v>17.342222222222222</c:v>
                </c:pt>
                <c:pt idx="66">
                  <c:v>17.342222222222222</c:v>
                </c:pt>
                <c:pt idx="67">
                  <c:v>17.349753086419753</c:v>
                </c:pt>
                <c:pt idx="68">
                  <c:v>17.34604938271605</c:v>
                </c:pt>
                <c:pt idx="69">
                  <c:v>17.349753086419753</c:v>
                </c:pt>
                <c:pt idx="70">
                  <c:v>17.342222222222222</c:v>
                </c:pt>
                <c:pt idx="71">
                  <c:v>17.327160493827162</c:v>
                </c:pt>
                <c:pt idx="72">
                  <c:v>17.327160493827162</c:v>
                </c:pt>
                <c:pt idx="73">
                  <c:v>17.323456790123455</c:v>
                </c:pt>
                <c:pt idx="74">
                  <c:v>17.334691358024692</c:v>
                </c:pt>
                <c:pt idx="75">
                  <c:v>17.342222222222222</c:v>
                </c:pt>
                <c:pt idx="76">
                  <c:v>17.334691358024692</c:v>
                </c:pt>
                <c:pt idx="77">
                  <c:v>17.330987654320985</c:v>
                </c:pt>
                <c:pt idx="78">
                  <c:v>17.338518518518516</c:v>
                </c:pt>
                <c:pt idx="79">
                  <c:v>17.34604938271605</c:v>
                </c:pt>
                <c:pt idx="80">
                  <c:v>17.35358024691358</c:v>
                </c:pt>
                <c:pt idx="81">
                  <c:v>17.361111111111111</c:v>
                </c:pt>
                <c:pt idx="82">
                  <c:v>17.364938271604938</c:v>
                </c:pt>
                <c:pt idx="83">
                  <c:v>17.364938271604938</c:v>
                </c:pt>
                <c:pt idx="84">
                  <c:v>17.357283950617283</c:v>
                </c:pt>
                <c:pt idx="85">
                  <c:v>17.338518518518516</c:v>
                </c:pt>
                <c:pt idx="86">
                  <c:v>17.338518518518516</c:v>
                </c:pt>
                <c:pt idx="87">
                  <c:v>17.334691358024692</c:v>
                </c:pt>
                <c:pt idx="88">
                  <c:v>17.338518518518516</c:v>
                </c:pt>
                <c:pt idx="89">
                  <c:v>17.34604938271605</c:v>
                </c:pt>
                <c:pt idx="90">
                  <c:v>17.342222222222222</c:v>
                </c:pt>
                <c:pt idx="91">
                  <c:v>17.34604938271605</c:v>
                </c:pt>
                <c:pt idx="92">
                  <c:v>17.342222222222222</c:v>
                </c:pt>
                <c:pt idx="93">
                  <c:v>17.357283950617283</c:v>
                </c:pt>
                <c:pt idx="94">
                  <c:v>17.364938271604938</c:v>
                </c:pt>
                <c:pt idx="95">
                  <c:v>17.34604938271605</c:v>
                </c:pt>
                <c:pt idx="96">
                  <c:v>17.327160493827162</c:v>
                </c:pt>
                <c:pt idx="97">
                  <c:v>17.312098765432097</c:v>
                </c:pt>
                <c:pt idx="98">
                  <c:v>17.312098765432097</c:v>
                </c:pt>
                <c:pt idx="99">
                  <c:v>17.312098765432097</c:v>
                </c:pt>
                <c:pt idx="100">
                  <c:v>17.315925925925924</c:v>
                </c:pt>
                <c:pt idx="101">
                  <c:v>17.304567901234567</c:v>
                </c:pt>
                <c:pt idx="102">
                  <c:v>17.293333333333333</c:v>
                </c:pt>
                <c:pt idx="103">
                  <c:v>17.297037037037036</c:v>
                </c:pt>
                <c:pt idx="104">
                  <c:v>17.300864197530863</c:v>
                </c:pt>
                <c:pt idx="105">
                  <c:v>17.289506172839506</c:v>
                </c:pt>
                <c:pt idx="106">
                  <c:v>17.278271604938272</c:v>
                </c:pt>
                <c:pt idx="107">
                  <c:v>17.270740740740738</c:v>
                </c:pt>
                <c:pt idx="108">
                  <c:v>17.270740740740738</c:v>
                </c:pt>
                <c:pt idx="109">
                  <c:v>17.266913580246914</c:v>
                </c:pt>
                <c:pt idx="110">
                  <c:v>17.263209876543208</c:v>
                </c:pt>
                <c:pt idx="111">
                  <c:v>17.266913580246914</c:v>
                </c:pt>
                <c:pt idx="112">
                  <c:v>17.270740740740738</c:v>
                </c:pt>
                <c:pt idx="113">
                  <c:v>17.293333333333333</c:v>
                </c:pt>
                <c:pt idx="114">
                  <c:v>17.312098765432097</c:v>
                </c:pt>
                <c:pt idx="115">
                  <c:v>17.327160493827162</c:v>
                </c:pt>
                <c:pt idx="116">
                  <c:v>17.327160493827162</c:v>
                </c:pt>
                <c:pt idx="117">
                  <c:v>17.327160493827162</c:v>
                </c:pt>
                <c:pt idx="118">
                  <c:v>17.342222222222222</c:v>
                </c:pt>
                <c:pt idx="119">
                  <c:v>17.34604938271605</c:v>
                </c:pt>
                <c:pt idx="120">
                  <c:v>17.338518518518516</c:v>
                </c:pt>
                <c:pt idx="121">
                  <c:v>17.323456790123455</c:v>
                </c:pt>
                <c:pt idx="122">
                  <c:v>17.312098765432097</c:v>
                </c:pt>
                <c:pt idx="123">
                  <c:v>17.308395061728394</c:v>
                </c:pt>
                <c:pt idx="124">
                  <c:v>17.297037037037036</c:v>
                </c:pt>
                <c:pt idx="125">
                  <c:v>17.281975308641975</c:v>
                </c:pt>
                <c:pt idx="126">
                  <c:v>17.278271604938272</c:v>
                </c:pt>
                <c:pt idx="127">
                  <c:v>17.289506172839506</c:v>
                </c:pt>
                <c:pt idx="128">
                  <c:v>17.300864197530863</c:v>
                </c:pt>
                <c:pt idx="129">
                  <c:v>17.308395061728394</c:v>
                </c:pt>
                <c:pt idx="130">
                  <c:v>17.308395061728394</c:v>
                </c:pt>
                <c:pt idx="131">
                  <c:v>17.308395061728394</c:v>
                </c:pt>
                <c:pt idx="132">
                  <c:v>17.300864197530863</c:v>
                </c:pt>
                <c:pt idx="133">
                  <c:v>17.293333333333333</c:v>
                </c:pt>
                <c:pt idx="134">
                  <c:v>17.289506172839506</c:v>
                </c:pt>
                <c:pt idx="135">
                  <c:v>17.293333333333333</c:v>
                </c:pt>
                <c:pt idx="136">
                  <c:v>17.297037037037036</c:v>
                </c:pt>
                <c:pt idx="137">
                  <c:v>17.312098765432097</c:v>
                </c:pt>
                <c:pt idx="138">
                  <c:v>17.308395061728394</c:v>
                </c:pt>
                <c:pt idx="139">
                  <c:v>17.312098765432097</c:v>
                </c:pt>
                <c:pt idx="140">
                  <c:v>17.304567901234567</c:v>
                </c:pt>
                <c:pt idx="141">
                  <c:v>17.297037037037036</c:v>
                </c:pt>
                <c:pt idx="142">
                  <c:v>17.274444444444445</c:v>
                </c:pt>
                <c:pt idx="143">
                  <c:v>17.255679012345677</c:v>
                </c:pt>
                <c:pt idx="144">
                  <c:v>17.244320987654319</c:v>
                </c:pt>
                <c:pt idx="145">
                  <c:v>17.244320987654319</c:v>
                </c:pt>
                <c:pt idx="146">
                  <c:v>17.263209876543208</c:v>
                </c:pt>
                <c:pt idx="147">
                  <c:v>17.281975308641975</c:v>
                </c:pt>
                <c:pt idx="148">
                  <c:v>17.285802469135803</c:v>
                </c:pt>
                <c:pt idx="149">
                  <c:v>17.289506172839506</c:v>
                </c:pt>
                <c:pt idx="150">
                  <c:v>17.285802469135803</c:v>
                </c:pt>
                <c:pt idx="151">
                  <c:v>17.289506172839506</c:v>
                </c:pt>
                <c:pt idx="152">
                  <c:v>17.293333333333333</c:v>
                </c:pt>
                <c:pt idx="153">
                  <c:v>17.285802469135803</c:v>
                </c:pt>
                <c:pt idx="154">
                  <c:v>17.285802469135803</c:v>
                </c:pt>
                <c:pt idx="155">
                  <c:v>17.289506172839506</c:v>
                </c:pt>
                <c:pt idx="156">
                  <c:v>17.274444444444445</c:v>
                </c:pt>
                <c:pt idx="157">
                  <c:v>17.255679012345677</c:v>
                </c:pt>
                <c:pt idx="158">
                  <c:v>17.244320987654319</c:v>
                </c:pt>
                <c:pt idx="159">
                  <c:v>17.236790123456789</c:v>
                </c:pt>
                <c:pt idx="160">
                  <c:v>17.225432098765431</c:v>
                </c:pt>
                <c:pt idx="161">
                  <c:v>17.217901234567901</c:v>
                </c:pt>
                <c:pt idx="162">
                  <c:v>17.21037037037037</c:v>
                </c:pt>
                <c:pt idx="163">
                  <c:v>17.217901234567901</c:v>
                </c:pt>
                <c:pt idx="164">
                  <c:v>17.214197530864197</c:v>
                </c:pt>
                <c:pt idx="165">
                  <c:v>17.199135802469137</c:v>
                </c:pt>
                <c:pt idx="166">
                  <c:v>17.199135802469137</c:v>
                </c:pt>
                <c:pt idx="167">
                  <c:v>17.195308641975309</c:v>
                </c:pt>
                <c:pt idx="168">
                  <c:v>17.195308641975309</c:v>
                </c:pt>
                <c:pt idx="169">
                  <c:v>17.191604938271606</c:v>
                </c:pt>
                <c:pt idx="170">
                  <c:v>17.195308641975309</c:v>
                </c:pt>
                <c:pt idx="171">
                  <c:v>17.191604938271606</c:v>
                </c:pt>
                <c:pt idx="172">
                  <c:v>17.180246913580245</c:v>
                </c:pt>
                <c:pt idx="173">
                  <c:v>17.172716049382714</c:v>
                </c:pt>
                <c:pt idx="174">
                  <c:v>17.165185185185184</c:v>
                </c:pt>
                <c:pt idx="175">
                  <c:v>17.161481481481481</c:v>
                </c:pt>
                <c:pt idx="176">
                  <c:v>17.153950617283947</c:v>
                </c:pt>
                <c:pt idx="177">
                  <c:v>17.153950617283947</c:v>
                </c:pt>
                <c:pt idx="178">
                  <c:v>17.169012345679011</c:v>
                </c:pt>
                <c:pt idx="179">
                  <c:v>17.172716049382714</c:v>
                </c:pt>
                <c:pt idx="180">
                  <c:v>17.184074074074076</c:v>
                </c:pt>
                <c:pt idx="181">
                  <c:v>17.176543209876542</c:v>
                </c:pt>
                <c:pt idx="182">
                  <c:v>17.172716049382714</c:v>
                </c:pt>
                <c:pt idx="183">
                  <c:v>17.176543209876542</c:v>
                </c:pt>
                <c:pt idx="184">
                  <c:v>17.169012345679011</c:v>
                </c:pt>
                <c:pt idx="185">
                  <c:v>17.172716049382714</c:v>
                </c:pt>
                <c:pt idx="186">
                  <c:v>17.187777777777779</c:v>
                </c:pt>
                <c:pt idx="187">
                  <c:v>17.195308641975309</c:v>
                </c:pt>
                <c:pt idx="188">
                  <c:v>17.21037037037037</c:v>
                </c:pt>
                <c:pt idx="189">
                  <c:v>17.21037037037037</c:v>
                </c:pt>
                <c:pt idx="190">
                  <c:v>17.191604938271606</c:v>
                </c:pt>
                <c:pt idx="191">
                  <c:v>17.180246913580245</c:v>
                </c:pt>
                <c:pt idx="192">
                  <c:v>17.161481481481481</c:v>
                </c:pt>
                <c:pt idx="193">
                  <c:v>17.142592592592592</c:v>
                </c:pt>
                <c:pt idx="194">
                  <c:v>17.142592592592592</c:v>
                </c:pt>
                <c:pt idx="195">
                  <c:v>17.135061728395058</c:v>
                </c:pt>
                <c:pt idx="196">
                  <c:v>17.123703703703701</c:v>
                </c:pt>
                <c:pt idx="197">
                  <c:v>17.127530864197528</c:v>
                </c:pt>
                <c:pt idx="198">
                  <c:v>17.123703703703701</c:v>
                </c:pt>
                <c:pt idx="199">
                  <c:v>17.11617283950617</c:v>
                </c:pt>
                <c:pt idx="200">
                  <c:v>17.112469135802467</c:v>
                </c:pt>
                <c:pt idx="201">
                  <c:v>17.12</c:v>
                </c:pt>
                <c:pt idx="202">
                  <c:v>17.138765432098765</c:v>
                </c:pt>
                <c:pt idx="203">
                  <c:v>17.138765432098765</c:v>
                </c:pt>
                <c:pt idx="204">
                  <c:v>17.157654320987653</c:v>
                </c:pt>
                <c:pt idx="205">
                  <c:v>17.157654320987653</c:v>
                </c:pt>
                <c:pt idx="206">
                  <c:v>17.146296296296295</c:v>
                </c:pt>
                <c:pt idx="207">
                  <c:v>17.131234567901231</c:v>
                </c:pt>
                <c:pt idx="208">
                  <c:v>17.123703703703701</c:v>
                </c:pt>
                <c:pt idx="209">
                  <c:v>17.11617283950617</c:v>
                </c:pt>
                <c:pt idx="210">
                  <c:v>17.10864197530864</c:v>
                </c:pt>
                <c:pt idx="211">
                  <c:v>17.101111111111113</c:v>
                </c:pt>
                <c:pt idx="212">
                  <c:v>17.101111111111113</c:v>
                </c:pt>
                <c:pt idx="213">
                  <c:v>17.104938271604937</c:v>
                </c:pt>
                <c:pt idx="214">
                  <c:v>17.10864197530864</c:v>
                </c:pt>
                <c:pt idx="215">
                  <c:v>17.10864197530864</c:v>
                </c:pt>
                <c:pt idx="216">
                  <c:v>17.112469135802467</c:v>
                </c:pt>
                <c:pt idx="217">
                  <c:v>17.101111111111113</c:v>
                </c:pt>
                <c:pt idx="218">
                  <c:v>17.086049382716048</c:v>
                </c:pt>
                <c:pt idx="219">
                  <c:v>17.078518518518518</c:v>
                </c:pt>
                <c:pt idx="220">
                  <c:v>17.078518518518518</c:v>
                </c:pt>
                <c:pt idx="221">
                  <c:v>17.074814814814815</c:v>
                </c:pt>
                <c:pt idx="222">
                  <c:v>17.067283950617281</c:v>
                </c:pt>
                <c:pt idx="223">
                  <c:v>17.063456790123453</c:v>
                </c:pt>
                <c:pt idx="224">
                  <c:v>17.052222222222223</c:v>
                </c:pt>
                <c:pt idx="225">
                  <c:v>17.029506172839504</c:v>
                </c:pt>
                <c:pt idx="226">
                  <c:v>17.021975308641974</c:v>
                </c:pt>
                <c:pt idx="227">
                  <c:v>17.021975308641974</c:v>
                </c:pt>
                <c:pt idx="228">
                  <c:v>17.025802469135801</c:v>
                </c:pt>
                <c:pt idx="229">
                  <c:v>17.01074074074074</c:v>
                </c:pt>
                <c:pt idx="230">
                  <c:v>17.006913580246916</c:v>
                </c:pt>
                <c:pt idx="231">
                  <c:v>16.999382716049382</c:v>
                </c:pt>
                <c:pt idx="232">
                  <c:v>16.988148148148149</c:v>
                </c:pt>
                <c:pt idx="233">
                  <c:v>16.976790123456787</c:v>
                </c:pt>
                <c:pt idx="234">
                  <c:v>16.969259259259257</c:v>
                </c:pt>
                <c:pt idx="235">
                  <c:v>16.961728395061726</c:v>
                </c:pt>
                <c:pt idx="236">
                  <c:v>16.954197530864196</c:v>
                </c:pt>
                <c:pt idx="237">
                  <c:v>16.954197530864196</c:v>
                </c:pt>
                <c:pt idx="238">
                  <c:v>16.961728395061726</c:v>
                </c:pt>
                <c:pt idx="239">
                  <c:v>16.954197530864196</c:v>
                </c:pt>
                <c:pt idx="240">
                  <c:v>16.946666666666665</c:v>
                </c:pt>
                <c:pt idx="241">
                  <c:v>16.942962962962962</c:v>
                </c:pt>
                <c:pt idx="242">
                  <c:v>16.946666666666665</c:v>
                </c:pt>
                <c:pt idx="243">
                  <c:v>16.939135802469135</c:v>
                </c:pt>
                <c:pt idx="244">
                  <c:v>16.931604938271605</c:v>
                </c:pt>
                <c:pt idx="245">
                  <c:v>16.916543209876544</c:v>
                </c:pt>
                <c:pt idx="246">
                  <c:v>16.897654320987655</c:v>
                </c:pt>
                <c:pt idx="247">
                  <c:v>16.893950617283949</c:v>
                </c:pt>
                <c:pt idx="248">
                  <c:v>16.882592592592591</c:v>
                </c:pt>
                <c:pt idx="249">
                  <c:v>16.87506172839506</c:v>
                </c:pt>
                <c:pt idx="250">
                  <c:v>16.863827160493827</c:v>
                </c:pt>
                <c:pt idx="251">
                  <c:v>16.852469135802469</c:v>
                </c:pt>
                <c:pt idx="252">
                  <c:v>16.844938271604939</c:v>
                </c:pt>
                <c:pt idx="253">
                  <c:v>16.833703703703701</c:v>
                </c:pt>
                <c:pt idx="254">
                  <c:v>16.818518518518516</c:v>
                </c:pt>
                <c:pt idx="255">
                  <c:v>16.807283950617283</c:v>
                </c:pt>
                <c:pt idx="256">
                  <c:v>16.795925925925925</c:v>
                </c:pt>
                <c:pt idx="257">
                  <c:v>16.792222222222222</c:v>
                </c:pt>
                <c:pt idx="258">
                  <c:v>16.777160493827161</c:v>
                </c:pt>
                <c:pt idx="259">
                  <c:v>16.777160493827161</c:v>
                </c:pt>
                <c:pt idx="260">
                  <c:v>16.76962962962963</c:v>
                </c:pt>
                <c:pt idx="261">
                  <c:v>16.7620987654321</c:v>
                </c:pt>
                <c:pt idx="262">
                  <c:v>16.739506172839505</c:v>
                </c:pt>
                <c:pt idx="263">
                  <c:v>16.72444444444444</c:v>
                </c:pt>
                <c:pt idx="264">
                  <c:v>16.705555555555552</c:v>
                </c:pt>
                <c:pt idx="265">
                  <c:v>16.694197530864194</c:v>
                </c:pt>
                <c:pt idx="266">
                  <c:v>16.682962962962961</c:v>
                </c:pt>
                <c:pt idx="267">
                  <c:v>16.679135802469133</c:v>
                </c:pt>
                <c:pt idx="268">
                  <c:v>16.67543209876543</c:v>
                </c:pt>
                <c:pt idx="269">
                  <c:v>16.660370370370369</c:v>
                </c:pt>
                <c:pt idx="270">
                  <c:v>16.649012345679012</c:v>
                </c:pt>
                <c:pt idx="271">
                  <c:v>16.633950617283947</c:v>
                </c:pt>
                <c:pt idx="272">
                  <c:v>16.622716049382717</c:v>
                </c:pt>
                <c:pt idx="273">
                  <c:v>16.615185185185183</c:v>
                </c:pt>
                <c:pt idx="274">
                  <c:v>16.592469135802467</c:v>
                </c:pt>
                <c:pt idx="275">
                  <c:v>16.584938271604937</c:v>
                </c:pt>
                <c:pt idx="276">
                  <c:v>16.566172839506169</c:v>
                </c:pt>
                <c:pt idx="277">
                  <c:v>16.547283950617281</c:v>
                </c:pt>
                <c:pt idx="278">
                  <c:v>16.517160493827159</c:v>
                </c:pt>
                <c:pt idx="279">
                  <c:v>16.49074074074074</c:v>
                </c:pt>
                <c:pt idx="280">
                  <c:v>16.483209876543206</c:v>
                </c:pt>
                <c:pt idx="281">
                  <c:v>16.453086419753085</c:v>
                </c:pt>
                <c:pt idx="282">
                  <c:v>16.407901234567902</c:v>
                </c:pt>
                <c:pt idx="283">
                  <c:v>16.370246913580246</c:v>
                </c:pt>
                <c:pt idx="284">
                  <c:v>16.343827160493824</c:v>
                </c:pt>
                <c:pt idx="285">
                  <c:v>16.328765432098766</c:v>
                </c:pt>
                <c:pt idx="286">
                  <c:v>16.306172839506171</c:v>
                </c:pt>
                <c:pt idx="287">
                  <c:v>16.272222222222219</c:v>
                </c:pt>
                <c:pt idx="288">
                  <c:v>16.249629629629627</c:v>
                </c:pt>
                <c:pt idx="289">
                  <c:v>16.219506172839505</c:v>
                </c:pt>
                <c:pt idx="290">
                  <c:v>16.204444444444441</c:v>
                </c:pt>
                <c:pt idx="291">
                  <c:v>16.204444444444441</c:v>
                </c:pt>
                <c:pt idx="292">
                  <c:v>16.193209876543211</c:v>
                </c:pt>
                <c:pt idx="293">
                  <c:v>16.170493827160495</c:v>
                </c:pt>
                <c:pt idx="294">
                  <c:v>16.132839506172839</c:v>
                </c:pt>
                <c:pt idx="295">
                  <c:v>16.09148148148148</c:v>
                </c:pt>
                <c:pt idx="296">
                  <c:v>16.0537037037037</c:v>
                </c:pt>
                <c:pt idx="297">
                  <c:v>16.012345679012348</c:v>
                </c:pt>
                <c:pt idx="298">
                  <c:v>15.985925925925924</c:v>
                </c:pt>
                <c:pt idx="299">
                  <c:v>15.959506172839506</c:v>
                </c:pt>
                <c:pt idx="300">
                  <c:v>15.940740740740738</c:v>
                </c:pt>
                <c:pt idx="301">
                  <c:v>15.903086419753087</c:v>
                </c:pt>
                <c:pt idx="302">
                  <c:v>15.876666666666663</c:v>
                </c:pt>
                <c:pt idx="303">
                  <c:v>15.835185185185185</c:v>
                </c:pt>
                <c:pt idx="304">
                  <c:v>15.793827160493827</c:v>
                </c:pt>
                <c:pt idx="305">
                  <c:v>15.756172839506172</c:v>
                </c:pt>
                <c:pt idx="306">
                  <c:v>15.714691358024689</c:v>
                </c:pt>
                <c:pt idx="307">
                  <c:v>15.677037037037039</c:v>
                </c:pt>
                <c:pt idx="308">
                  <c:v>15.631728395061728</c:v>
                </c:pt>
                <c:pt idx="309">
                  <c:v>15.590370370370369</c:v>
                </c:pt>
                <c:pt idx="310">
                  <c:v>15.545185185185185</c:v>
                </c:pt>
                <c:pt idx="311">
                  <c:v>15.499876543209876</c:v>
                </c:pt>
                <c:pt idx="312">
                  <c:v>15.462222222222222</c:v>
                </c:pt>
                <c:pt idx="313">
                  <c:v>15.424567901234568</c:v>
                </c:pt>
                <c:pt idx="314">
                  <c:v>15.394444444444444</c:v>
                </c:pt>
                <c:pt idx="315">
                  <c:v>15.349259259259259</c:v>
                </c:pt>
                <c:pt idx="316">
                  <c:v>15.300246913580246</c:v>
                </c:pt>
                <c:pt idx="317">
                  <c:v>15.251234567901234</c:v>
                </c:pt>
                <c:pt idx="318">
                  <c:v>15.206049382716049</c:v>
                </c:pt>
                <c:pt idx="319">
                  <c:v>15.157037037037037</c:v>
                </c:pt>
                <c:pt idx="320">
                  <c:v>15.092962962962961</c:v>
                </c:pt>
                <c:pt idx="321">
                  <c:v>15.040246913580246</c:v>
                </c:pt>
                <c:pt idx="322">
                  <c:v>14.979999999999999</c:v>
                </c:pt>
                <c:pt idx="323">
                  <c:v>14.919753086419753</c:v>
                </c:pt>
                <c:pt idx="324">
                  <c:v>14.85938271604938</c:v>
                </c:pt>
                <c:pt idx="325">
                  <c:v>14.791604938271602</c:v>
                </c:pt>
                <c:pt idx="326">
                  <c:v>14.719999999999999</c:v>
                </c:pt>
                <c:pt idx="327">
                  <c:v>14.648395061728394</c:v>
                </c:pt>
                <c:pt idx="328">
                  <c:v>14.588148148148147</c:v>
                </c:pt>
                <c:pt idx="329">
                  <c:v>14.520370370370369</c:v>
                </c:pt>
                <c:pt idx="330">
                  <c:v>14.433703703703703</c:v>
                </c:pt>
                <c:pt idx="331">
                  <c:v>14.343209876543209</c:v>
                </c:pt>
                <c:pt idx="332">
                  <c:v>14.245308641975308</c:v>
                </c:pt>
                <c:pt idx="333">
                  <c:v>14.147407407407405</c:v>
                </c:pt>
                <c:pt idx="334">
                  <c:v>14.045679012345678</c:v>
                </c:pt>
                <c:pt idx="335">
                  <c:v>13.940123456790122</c:v>
                </c:pt>
                <c:pt idx="336">
                  <c:v>13.834691358024692</c:v>
                </c:pt>
                <c:pt idx="337">
                  <c:v>13.706543209876543</c:v>
                </c:pt>
                <c:pt idx="338">
                  <c:v>13.578395061728394</c:v>
                </c:pt>
                <c:pt idx="339">
                  <c:v>13.45037037037037</c:v>
                </c:pt>
                <c:pt idx="340">
                  <c:v>13.318518518518518</c:v>
                </c:pt>
                <c:pt idx="341">
                  <c:v>13.167777777777779</c:v>
                </c:pt>
                <c:pt idx="342">
                  <c:v>13.0058024691358</c:v>
                </c:pt>
                <c:pt idx="343">
                  <c:v>12.828641975308642</c:v>
                </c:pt>
                <c:pt idx="344">
                  <c:v>12.651604938271603</c:v>
                </c:pt>
                <c:pt idx="345">
                  <c:v>12.467037037037036</c:v>
                </c:pt>
                <c:pt idx="346">
                  <c:v>12.282382716049382</c:v>
                </c:pt>
                <c:pt idx="347">
                  <c:v>12.071395061728394</c:v>
                </c:pt>
                <c:pt idx="348">
                  <c:v>11.845345679012345</c:v>
                </c:pt>
                <c:pt idx="349">
                  <c:v>11.596679012345678</c:v>
                </c:pt>
                <c:pt idx="350">
                  <c:v>11.336716049382716</c:v>
                </c:pt>
                <c:pt idx="351">
                  <c:v>11.054148148148146</c:v>
                </c:pt>
                <c:pt idx="352">
                  <c:v>10.752740740740741</c:v>
                </c:pt>
                <c:pt idx="353">
                  <c:v>10.440024691358024</c:v>
                </c:pt>
                <c:pt idx="354">
                  <c:v>10.104703703703704</c:v>
                </c:pt>
                <c:pt idx="355">
                  <c:v>9.7317160493827153</c:v>
                </c:pt>
                <c:pt idx="356">
                  <c:v>9.3059753086419743</c:v>
                </c:pt>
                <c:pt idx="357">
                  <c:v>8.8350246913580239</c:v>
                </c:pt>
                <c:pt idx="358">
                  <c:v>8.3150987654320971</c:v>
                </c:pt>
                <c:pt idx="359">
                  <c:v>7.7348888888888885</c:v>
                </c:pt>
                <c:pt idx="360">
                  <c:v>7.0680246913580245</c:v>
                </c:pt>
                <c:pt idx="361">
                  <c:v>6.2956666666666665</c:v>
                </c:pt>
                <c:pt idx="362">
                  <c:v>5.3918148148148148</c:v>
                </c:pt>
                <c:pt idx="363">
                  <c:v>4.2977037037037036</c:v>
                </c:pt>
                <c:pt idx="364">
                  <c:v>2.9707530864197529</c:v>
                </c:pt>
                <c:pt idx="365">
                  <c:v>1.3631234567901234</c:v>
                </c:pt>
                <c:pt idx="366">
                  <c:v>-0.65518641975308634</c:v>
                </c:pt>
                <c:pt idx="367">
                  <c:v>-3.0713456790123455</c:v>
                </c:pt>
                <c:pt idx="368">
                  <c:v>-5.9087283950617273</c:v>
                </c:pt>
                <c:pt idx="369">
                  <c:v>-9.087456790123456</c:v>
                </c:pt>
                <c:pt idx="370">
                  <c:v>-12.553703703703704</c:v>
                </c:pt>
                <c:pt idx="371">
                  <c:v>-16.268518518518519</c:v>
                </c:pt>
                <c:pt idx="372">
                  <c:v>-20.201851851851849</c:v>
                </c:pt>
                <c:pt idx="373">
                  <c:v>-24.255802469135798</c:v>
                </c:pt>
                <c:pt idx="374">
                  <c:v>-28.479259259259258</c:v>
                </c:pt>
                <c:pt idx="375">
                  <c:v>-32.736666666666665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7435-4110-8E96-102166006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35296"/>
        <c:axId val="100136832"/>
      </c:scatterChart>
      <c:valAx>
        <c:axId val="100135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36832"/>
        <c:crosses val="autoZero"/>
        <c:crossBetween val="midCat"/>
      </c:valAx>
      <c:valAx>
        <c:axId val="10013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0135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'20221206T090000'!$AV$10</c:f>
              <c:strCache>
                <c:ptCount val="1"/>
                <c:pt idx="0">
                  <c:v>j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'20221206T090000'!$AQ$11:$AQ$398</c:f>
              <c:numCache>
                <c:formatCode>General</c:formatCode>
                <c:ptCount val="388"/>
                <c:pt idx="0">
                  <c:v>1.7849699999999999</c:v>
                </c:pt>
                <c:pt idx="1">
                  <c:v>1.7799400000000001</c:v>
                </c:pt>
                <c:pt idx="2">
                  <c:v>1.7748999999999999</c:v>
                </c:pt>
                <c:pt idx="3">
                  <c:v>1.7698700000000001</c:v>
                </c:pt>
                <c:pt idx="4">
                  <c:v>1.7648299999999999</c:v>
                </c:pt>
                <c:pt idx="5">
                  <c:v>1.7598</c:v>
                </c:pt>
                <c:pt idx="6">
                  <c:v>1.7547600000000001</c:v>
                </c:pt>
                <c:pt idx="7">
                  <c:v>1.74973</c:v>
                </c:pt>
                <c:pt idx="8">
                  <c:v>1.7446900000000001</c:v>
                </c:pt>
                <c:pt idx="9">
                  <c:v>1.7396499999999999</c:v>
                </c:pt>
                <c:pt idx="10">
                  <c:v>1.7346200000000001</c:v>
                </c:pt>
                <c:pt idx="11">
                  <c:v>1.7295799999999999</c:v>
                </c:pt>
                <c:pt idx="12">
                  <c:v>1.72455</c:v>
                </c:pt>
                <c:pt idx="13">
                  <c:v>1.7195100000000001</c:v>
                </c:pt>
                <c:pt idx="14">
                  <c:v>1.71448</c:v>
                </c:pt>
                <c:pt idx="15">
                  <c:v>1.7094400000000001</c:v>
                </c:pt>
                <c:pt idx="16">
                  <c:v>1.70441</c:v>
                </c:pt>
                <c:pt idx="17">
                  <c:v>1.69937</c:v>
                </c:pt>
                <c:pt idx="18">
                  <c:v>1.69434</c:v>
                </c:pt>
                <c:pt idx="19">
                  <c:v>1.6893</c:v>
                </c:pt>
                <c:pt idx="20">
                  <c:v>1.6842699999999999</c:v>
                </c:pt>
                <c:pt idx="21">
                  <c:v>1.67923</c:v>
                </c:pt>
                <c:pt idx="22">
                  <c:v>1.6741900000000001</c:v>
                </c:pt>
                <c:pt idx="23">
                  <c:v>1.66916</c:v>
                </c:pt>
                <c:pt idx="24">
                  <c:v>1.66412</c:v>
                </c:pt>
                <c:pt idx="25">
                  <c:v>1.65909</c:v>
                </c:pt>
                <c:pt idx="26">
                  <c:v>1.65405</c:v>
                </c:pt>
                <c:pt idx="27">
                  <c:v>1.6490199999999999</c:v>
                </c:pt>
                <c:pt idx="28">
                  <c:v>1.64398</c:v>
                </c:pt>
                <c:pt idx="29">
                  <c:v>1.6389499999999999</c:v>
                </c:pt>
                <c:pt idx="30">
                  <c:v>1.63391</c:v>
                </c:pt>
                <c:pt idx="31">
                  <c:v>1.6288800000000001</c:v>
                </c:pt>
                <c:pt idx="32">
                  <c:v>1.62384</c:v>
                </c:pt>
                <c:pt idx="33">
                  <c:v>1.6188</c:v>
                </c:pt>
                <c:pt idx="34">
                  <c:v>1.6137699999999999</c:v>
                </c:pt>
                <c:pt idx="35">
                  <c:v>1.60873</c:v>
                </c:pt>
                <c:pt idx="36">
                  <c:v>1.6036999999999999</c:v>
                </c:pt>
                <c:pt idx="37">
                  <c:v>1.59866</c:v>
                </c:pt>
                <c:pt idx="38">
                  <c:v>1.5936300000000001</c:v>
                </c:pt>
                <c:pt idx="39">
                  <c:v>1.5885899999999999</c:v>
                </c:pt>
                <c:pt idx="40">
                  <c:v>1.5835600000000001</c:v>
                </c:pt>
                <c:pt idx="41">
                  <c:v>1.5785199999999999</c:v>
                </c:pt>
                <c:pt idx="42">
                  <c:v>1.5734900000000001</c:v>
                </c:pt>
                <c:pt idx="43">
                  <c:v>1.5684499999999999</c:v>
                </c:pt>
                <c:pt idx="44">
                  <c:v>1.56342</c:v>
                </c:pt>
                <c:pt idx="45">
                  <c:v>1.5583800000000001</c:v>
                </c:pt>
                <c:pt idx="46">
                  <c:v>1.5533399999999999</c:v>
                </c:pt>
                <c:pt idx="47">
                  <c:v>1.5483100000000001</c:v>
                </c:pt>
                <c:pt idx="48">
                  <c:v>1.5432699999999999</c:v>
                </c:pt>
                <c:pt idx="49">
                  <c:v>1.5382400000000001</c:v>
                </c:pt>
                <c:pt idx="50">
                  <c:v>1.5331999999999999</c:v>
                </c:pt>
                <c:pt idx="51">
                  <c:v>1.52817</c:v>
                </c:pt>
                <c:pt idx="52">
                  <c:v>1.5231300000000001</c:v>
                </c:pt>
                <c:pt idx="53">
                  <c:v>1.5181</c:v>
                </c:pt>
                <c:pt idx="54">
                  <c:v>1.5130600000000001</c:v>
                </c:pt>
                <c:pt idx="55">
                  <c:v>1.50803</c:v>
                </c:pt>
                <c:pt idx="56">
                  <c:v>1.50299</c:v>
                </c:pt>
                <c:pt idx="57">
                  <c:v>1.49796</c:v>
                </c:pt>
                <c:pt idx="58">
                  <c:v>1.49292</c:v>
                </c:pt>
                <c:pt idx="59">
                  <c:v>1.4878800000000001</c:v>
                </c:pt>
                <c:pt idx="60">
                  <c:v>1.48285</c:v>
                </c:pt>
                <c:pt idx="61">
                  <c:v>1.4778100000000001</c:v>
                </c:pt>
                <c:pt idx="62">
                  <c:v>1.47278</c:v>
                </c:pt>
                <c:pt idx="63">
                  <c:v>1.46774</c:v>
                </c:pt>
                <c:pt idx="64">
                  <c:v>1.46271</c:v>
                </c:pt>
                <c:pt idx="65">
                  <c:v>1.45767</c:v>
                </c:pt>
                <c:pt idx="66">
                  <c:v>1.4526399999999999</c:v>
                </c:pt>
                <c:pt idx="67">
                  <c:v>1.4476</c:v>
                </c:pt>
                <c:pt idx="68">
                  <c:v>1.4425699999999999</c:v>
                </c:pt>
                <c:pt idx="69">
                  <c:v>1.43753</c:v>
                </c:pt>
                <c:pt idx="70">
                  <c:v>1.4325000000000001</c:v>
                </c:pt>
                <c:pt idx="71">
                  <c:v>1.42746</c:v>
                </c:pt>
                <c:pt idx="72">
                  <c:v>1.42242</c:v>
                </c:pt>
                <c:pt idx="73">
                  <c:v>1.4173899999999999</c:v>
                </c:pt>
                <c:pt idx="74">
                  <c:v>1.41235</c:v>
                </c:pt>
                <c:pt idx="75">
                  <c:v>1.4073199999999999</c:v>
                </c:pt>
                <c:pt idx="76">
                  <c:v>1.40228</c:v>
                </c:pt>
                <c:pt idx="77">
                  <c:v>1.3972500000000001</c:v>
                </c:pt>
                <c:pt idx="78">
                  <c:v>1.3922099999999999</c:v>
                </c:pt>
                <c:pt idx="79">
                  <c:v>1.3871800000000001</c:v>
                </c:pt>
                <c:pt idx="80">
                  <c:v>1.3821399999999999</c:v>
                </c:pt>
                <c:pt idx="81">
                  <c:v>1.3771100000000001</c:v>
                </c:pt>
                <c:pt idx="82">
                  <c:v>1.3720699999999999</c:v>
                </c:pt>
                <c:pt idx="83">
                  <c:v>1.36703</c:v>
                </c:pt>
                <c:pt idx="84">
                  <c:v>1.3620000000000001</c:v>
                </c:pt>
                <c:pt idx="85">
                  <c:v>1.3569599999999999</c:v>
                </c:pt>
                <c:pt idx="86">
                  <c:v>1.3519300000000001</c:v>
                </c:pt>
                <c:pt idx="87">
                  <c:v>1.3468899999999999</c:v>
                </c:pt>
                <c:pt idx="88">
                  <c:v>1.3418600000000001</c:v>
                </c:pt>
                <c:pt idx="89">
                  <c:v>1.3368199999999999</c:v>
                </c:pt>
                <c:pt idx="90">
                  <c:v>1.33179</c:v>
                </c:pt>
                <c:pt idx="91">
                  <c:v>1.3267500000000001</c:v>
                </c:pt>
                <c:pt idx="92">
                  <c:v>1.32172</c:v>
                </c:pt>
                <c:pt idx="93">
                  <c:v>1.3166800000000001</c:v>
                </c:pt>
                <c:pt idx="94">
                  <c:v>1.31165</c:v>
                </c:pt>
                <c:pt idx="95">
                  <c:v>1.30661</c:v>
                </c:pt>
                <c:pt idx="96">
                  <c:v>1.3015699999999999</c:v>
                </c:pt>
                <c:pt idx="97">
                  <c:v>1.29654</c:v>
                </c:pt>
                <c:pt idx="98">
                  <c:v>1.2915000000000001</c:v>
                </c:pt>
                <c:pt idx="99">
                  <c:v>1.28647</c:v>
                </c:pt>
                <c:pt idx="100">
                  <c:v>1.2814300000000001</c:v>
                </c:pt>
                <c:pt idx="101">
                  <c:v>1.2764</c:v>
                </c:pt>
                <c:pt idx="102">
                  <c:v>1.27136</c:v>
                </c:pt>
                <c:pt idx="103">
                  <c:v>1.26633</c:v>
                </c:pt>
                <c:pt idx="104">
                  <c:v>1.26129</c:v>
                </c:pt>
                <c:pt idx="105">
                  <c:v>1.2562599999999999</c:v>
                </c:pt>
                <c:pt idx="106">
                  <c:v>1.25122</c:v>
                </c:pt>
                <c:pt idx="107">
                  <c:v>1.2461899999999999</c:v>
                </c:pt>
                <c:pt idx="108">
                  <c:v>1.24115</c:v>
                </c:pt>
                <c:pt idx="109">
                  <c:v>1.23611</c:v>
                </c:pt>
                <c:pt idx="110">
                  <c:v>1.23108</c:v>
                </c:pt>
                <c:pt idx="111">
                  <c:v>1.22604</c:v>
                </c:pt>
                <c:pt idx="112">
                  <c:v>1.2210099999999999</c:v>
                </c:pt>
                <c:pt idx="113">
                  <c:v>1.21597</c:v>
                </c:pt>
                <c:pt idx="114">
                  <c:v>1.2109399999999999</c:v>
                </c:pt>
                <c:pt idx="115">
                  <c:v>1.2059</c:v>
                </c:pt>
                <c:pt idx="116">
                  <c:v>1.2008700000000001</c:v>
                </c:pt>
                <c:pt idx="117">
                  <c:v>1.1958299999999999</c:v>
                </c:pt>
                <c:pt idx="118">
                  <c:v>1.1908000000000001</c:v>
                </c:pt>
                <c:pt idx="119">
                  <c:v>1.1857599999999999</c:v>
                </c:pt>
                <c:pt idx="120">
                  <c:v>1.1807300000000001</c:v>
                </c:pt>
                <c:pt idx="121">
                  <c:v>1.1756899999999999</c:v>
                </c:pt>
                <c:pt idx="122">
                  <c:v>1.17065</c:v>
                </c:pt>
                <c:pt idx="123">
                  <c:v>1.1656200000000001</c:v>
                </c:pt>
                <c:pt idx="124">
                  <c:v>1.1605799999999999</c:v>
                </c:pt>
                <c:pt idx="125">
                  <c:v>1.1555500000000001</c:v>
                </c:pt>
                <c:pt idx="126">
                  <c:v>1.1505099999999999</c:v>
                </c:pt>
                <c:pt idx="127">
                  <c:v>1.1454800000000001</c:v>
                </c:pt>
                <c:pt idx="128">
                  <c:v>1.1404399999999999</c:v>
                </c:pt>
                <c:pt idx="129">
                  <c:v>1.13541</c:v>
                </c:pt>
                <c:pt idx="130">
                  <c:v>1.1303700000000001</c:v>
                </c:pt>
                <c:pt idx="131">
                  <c:v>1.12534</c:v>
                </c:pt>
                <c:pt idx="132">
                  <c:v>1.1203000000000001</c:v>
                </c:pt>
                <c:pt idx="133">
                  <c:v>1.1152599999999999</c:v>
                </c:pt>
                <c:pt idx="134">
                  <c:v>1.1102300000000001</c:v>
                </c:pt>
                <c:pt idx="135">
                  <c:v>1.1051899999999999</c:v>
                </c:pt>
                <c:pt idx="136">
                  <c:v>1.10016</c:v>
                </c:pt>
                <c:pt idx="137">
                  <c:v>1.0951200000000001</c:v>
                </c:pt>
                <c:pt idx="138">
                  <c:v>1.09009</c:v>
                </c:pt>
                <c:pt idx="139">
                  <c:v>1.0850500000000001</c:v>
                </c:pt>
                <c:pt idx="140">
                  <c:v>1.08002</c:v>
                </c:pt>
                <c:pt idx="141">
                  <c:v>1.07498</c:v>
                </c:pt>
                <c:pt idx="142">
                  <c:v>1.06995</c:v>
                </c:pt>
                <c:pt idx="143">
                  <c:v>1.06491</c:v>
                </c:pt>
                <c:pt idx="144">
                  <c:v>1.0598799999999999</c:v>
                </c:pt>
                <c:pt idx="145">
                  <c:v>1.05484</c:v>
                </c:pt>
                <c:pt idx="146">
                  <c:v>1.0498000000000001</c:v>
                </c:pt>
                <c:pt idx="147">
                  <c:v>1.04477</c:v>
                </c:pt>
                <c:pt idx="148">
                  <c:v>1.03973</c:v>
                </c:pt>
                <c:pt idx="149">
                  <c:v>1.0347</c:v>
                </c:pt>
                <c:pt idx="150">
                  <c:v>1.02966</c:v>
                </c:pt>
                <c:pt idx="151">
                  <c:v>1.0246299999999999</c:v>
                </c:pt>
                <c:pt idx="152">
                  <c:v>1.01959</c:v>
                </c:pt>
                <c:pt idx="153">
                  <c:v>1.0145599999999999</c:v>
                </c:pt>
                <c:pt idx="154">
                  <c:v>1.00952</c:v>
                </c:pt>
                <c:pt idx="155">
                  <c:v>1.0044900000000001</c:v>
                </c:pt>
                <c:pt idx="156">
                  <c:v>0.99945099999999998</c:v>
                </c:pt>
                <c:pt idx="157">
                  <c:v>0.99441500000000005</c:v>
                </c:pt>
                <c:pt idx="158">
                  <c:v>0.98938000000000004</c:v>
                </c:pt>
                <c:pt idx="159">
                  <c:v>0.984344</c:v>
                </c:pt>
                <c:pt idx="160">
                  <c:v>0.97930899999999999</c:v>
                </c:pt>
                <c:pt idx="161">
                  <c:v>0.97427399999999997</c:v>
                </c:pt>
                <c:pt idx="162">
                  <c:v>0.96923800000000004</c:v>
                </c:pt>
                <c:pt idx="163">
                  <c:v>0.96420300000000003</c:v>
                </c:pt>
                <c:pt idx="164">
                  <c:v>0.95916699999999999</c:v>
                </c:pt>
                <c:pt idx="165">
                  <c:v>0.95413199999999998</c:v>
                </c:pt>
                <c:pt idx="166">
                  <c:v>0.94909699999999997</c:v>
                </c:pt>
                <c:pt idx="167">
                  <c:v>0.94406100000000004</c:v>
                </c:pt>
                <c:pt idx="168">
                  <c:v>0.93902600000000003</c:v>
                </c:pt>
                <c:pt idx="169">
                  <c:v>0.93398999999999999</c:v>
                </c:pt>
                <c:pt idx="170">
                  <c:v>0.92895499999999998</c:v>
                </c:pt>
                <c:pt idx="171">
                  <c:v>0.92391999999999996</c:v>
                </c:pt>
                <c:pt idx="172">
                  <c:v>0.91888400000000003</c:v>
                </c:pt>
                <c:pt idx="173">
                  <c:v>0.91384900000000002</c:v>
                </c:pt>
                <c:pt idx="174">
                  <c:v>0.90881299999999998</c:v>
                </c:pt>
                <c:pt idx="175">
                  <c:v>0.90377799999999997</c:v>
                </c:pt>
                <c:pt idx="176">
                  <c:v>0.89874299999999996</c:v>
                </c:pt>
                <c:pt idx="177">
                  <c:v>0.89370700000000003</c:v>
                </c:pt>
                <c:pt idx="178">
                  <c:v>0.88867200000000002</c:v>
                </c:pt>
                <c:pt idx="179">
                  <c:v>0.88363599999999998</c:v>
                </c:pt>
                <c:pt idx="180">
                  <c:v>0.87860099999999997</c:v>
                </c:pt>
                <c:pt idx="181">
                  <c:v>0.87356599999999995</c:v>
                </c:pt>
                <c:pt idx="182">
                  <c:v>0.86853000000000002</c:v>
                </c:pt>
                <c:pt idx="183">
                  <c:v>0.86349500000000001</c:v>
                </c:pt>
                <c:pt idx="184">
                  <c:v>0.85845899999999997</c:v>
                </c:pt>
                <c:pt idx="185">
                  <c:v>0.85342399999999996</c:v>
                </c:pt>
                <c:pt idx="186">
                  <c:v>0.84838899999999995</c:v>
                </c:pt>
                <c:pt idx="187">
                  <c:v>0.84335300000000002</c:v>
                </c:pt>
                <c:pt idx="188">
                  <c:v>0.83831800000000001</c:v>
                </c:pt>
                <c:pt idx="189">
                  <c:v>0.83328199999999997</c:v>
                </c:pt>
                <c:pt idx="190">
                  <c:v>0.82824699999999996</c:v>
                </c:pt>
                <c:pt idx="191">
                  <c:v>0.82321200000000005</c:v>
                </c:pt>
                <c:pt idx="192">
                  <c:v>0.81817600000000001</c:v>
                </c:pt>
                <c:pt idx="193">
                  <c:v>0.813141</c:v>
                </c:pt>
                <c:pt idx="194">
                  <c:v>0.80810499999999996</c:v>
                </c:pt>
                <c:pt idx="195">
                  <c:v>0.80306999999999995</c:v>
                </c:pt>
                <c:pt idx="196">
                  <c:v>0.79803500000000005</c:v>
                </c:pt>
                <c:pt idx="197">
                  <c:v>0.79299900000000001</c:v>
                </c:pt>
                <c:pt idx="198">
                  <c:v>0.787964</c:v>
                </c:pt>
                <c:pt idx="199">
                  <c:v>0.78292799999999996</c:v>
                </c:pt>
                <c:pt idx="200">
                  <c:v>0.77789299999999995</c:v>
                </c:pt>
                <c:pt idx="201">
                  <c:v>0.77285800000000004</c:v>
                </c:pt>
                <c:pt idx="202">
                  <c:v>0.767822</c:v>
                </c:pt>
                <c:pt idx="203">
                  <c:v>0.76278699999999999</c:v>
                </c:pt>
                <c:pt idx="204">
                  <c:v>0.75775099999999995</c:v>
                </c:pt>
                <c:pt idx="205">
                  <c:v>0.75271600000000005</c:v>
                </c:pt>
                <c:pt idx="206">
                  <c:v>0.74768100000000004</c:v>
                </c:pt>
                <c:pt idx="207">
                  <c:v>0.742645</c:v>
                </c:pt>
                <c:pt idx="208">
                  <c:v>0.73760999999999999</c:v>
                </c:pt>
                <c:pt idx="209">
                  <c:v>0.73257399999999995</c:v>
                </c:pt>
                <c:pt idx="210">
                  <c:v>0.72753900000000005</c:v>
                </c:pt>
                <c:pt idx="211">
                  <c:v>0.72250400000000004</c:v>
                </c:pt>
                <c:pt idx="212">
                  <c:v>0.71746799999999999</c:v>
                </c:pt>
                <c:pt idx="213">
                  <c:v>0.71243299999999998</c:v>
                </c:pt>
                <c:pt idx="214">
                  <c:v>0.70739700000000005</c:v>
                </c:pt>
                <c:pt idx="215">
                  <c:v>0.70236200000000004</c:v>
                </c:pt>
                <c:pt idx="216">
                  <c:v>0.69732700000000003</c:v>
                </c:pt>
                <c:pt idx="217">
                  <c:v>0.69229099999999999</c:v>
                </c:pt>
                <c:pt idx="218">
                  <c:v>0.68725599999999998</c:v>
                </c:pt>
                <c:pt idx="219">
                  <c:v>0.68222000000000005</c:v>
                </c:pt>
                <c:pt idx="220">
                  <c:v>0.67718500000000004</c:v>
                </c:pt>
                <c:pt idx="221">
                  <c:v>0.67215000000000003</c:v>
                </c:pt>
                <c:pt idx="222">
                  <c:v>0.66711399999999998</c:v>
                </c:pt>
                <c:pt idx="223">
                  <c:v>0.66207899999999997</c:v>
                </c:pt>
                <c:pt idx="224">
                  <c:v>0.65704300000000004</c:v>
                </c:pt>
                <c:pt idx="225">
                  <c:v>0.65200800000000003</c:v>
                </c:pt>
                <c:pt idx="226">
                  <c:v>0.64697300000000002</c:v>
                </c:pt>
                <c:pt idx="227">
                  <c:v>0.64193699999999998</c:v>
                </c:pt>
                <c:pt idx="228">
                  <c:v>0.63690199999999997</c:v>
                </c:pt>
                <c:pt idx="229">
                  <c:v>0.63186600000000004</c:v>
                </c:pt>
                <c:pt idx="230">
                  <c:v>0.62683100000000003</c:v>
                </c:pt>
                <c:pt idx="231">
                  <c:v>0.62179600000000002</c:v>
                </c:pt>
                <c:pt idx="232">
                  <c:v>0.61675999999999997</c:v>
                </c:pt>
                <c:pt idx="233">
                  <c:v>0.61172499999999996</c:v>
                </c:pt>
                <c:pt idx="234">
                  <c:v>0.60668900000000003</c:v>
                </c:pt>
                <c:pt idx="235">
                  <c:v>0.60165400000000002</c:v>
                </c:pt>
                <c:pt idx="236">
                  <c:v>0.59661900000000001</c:v>
                </c:pt>
                <c:pt idx="237">
                  <c:v>0.59158299999999997</c:v>
                </c:pt>
                <c:pt idx="238">
                  <c:v>0.58654799999999996</c:v>
                </c:pt>
                <c:pt idx="239">
                  <c:v>0.58151200000000003</c:v>
                </c:pt>
                <c:pt idx="240">
                  <c:v>0.57647700000000002</c:v>
                </c:pt>
                <c:pt idx="241">
                  <c:v>0.57144200000000001</c:v>
                </c:pt>
                <c:pt idx="242">
                  <c:v>0.56640599999999997</c:v>
                </c:pt>
                <c:pt idx="243">
                  <c:v>0.56137099999999995</c:v>
                </c:pt>
                <c:pt idx="244">
                  <c:v>0.55633500000000002</c:v>
                </c:pt>
                <c:pt idx="245">
                  <c:v>0.55130000000000001</c:v>
                </c:pt>
                <c:pt idx="246">
                  <c:v>0.546265</c:v>
                </c:pt>
                <c:pt idx="247">
                  <c:v>0.54122899999999996</c:v>
                </c:pt>
                <c:pt idx="248">
                  <c:v>0.53619399999999995</c:v>
                </c:pt>
                <c:pt idx="249">
                  <c:v>0.53115800000000002</c:v>
                </c:pt>
                <c:pt idx="250">
                  <c:v>0.52612300000000001</c:v>
                </c:pt>
                <c:pt idx="251">
                  <c:v>0.521088</c:v>
                </c:pt>
                <c:pt idx="252">
                  <c:v>0.51605199999999996</c:v>
                </c:pt>
                <c:pt idx="253">
                  <c:v>0.51101700000000005</c:v>
                </c:pt>
                <c:pt idx="254">
                  <c:v>0.50598100000000001</c:v>
                </c:pt>
                <c:pt idx="255">
                  <c:v>0.500946</c:v>
                </c:pt>
                <c:pt idx="256">
                  <c:v>0.49591099999999999</c:v>
                </c:pt>
                <c:pt idx="257">
                  <c:v>0.49087500000000001</c:v>
                </c:pt>
                <c:pt idx="258">
                  <c:v>0.48583999999999999</c:v>
                </c:pt>
                <c:pt idx="259">
                  <c:v>0.48080400000000001</c:v>
                </c:pt>
                <c:pt idx="260">
                  <c:v>0.475769</c:v>
                </c:pt>
                <c:pt idx="261">
                  <c:v>0.47073399999999999</c:v>
                </c:pt>
                <c:pt idx="262">
                  <c:v>0.465698</c:v>
                </c:pt>
                <c:pt idx="263">
                  <c:v>0.46066299999999999</c:v>
                </c:pt>
                <c:pt idx="264">
                  <c:v>0.455627</c:v>
                </c:pt>
                <c:pt idx="265">
                  <c:v>0.45059199999999999</c:v>
                </c:pt>
                <c:pt idx="266">
                  <c:v>0.44555699999999998</c:v>
                </c:pt>
                <c:pt idx="267">
                  <c:v>0.440521</c:v>
                </c:pt>
                <c:pt idx="268">
                  <c:v>0.43548599999999998</c:v>
                </c:pt>
                <c:pt idx="269">
                  <c:v>0.43045</c:v>
                </c:pt>
                <c:pt idx="270">
                  <c:v>0.42541499999999999</c:v>
                </c:pt>
                <c:pt idx="271">
                  <c:v>0.42037999999999998</c:v>
                </c:pt>
                <c:pt idx="272">
                  <c:v>0.41534399999999999</c:v>
                </c:pt>
                <c:pt idx="273">
                  <c:v>0.41030899999999998</c:v>
                </c:pt>
                <c:pt idx="274">
                  <c:v>0.40527299999999999</c:v>
                </c:pt>
                <c:pt idx="275">
                  <c:v>0.40023799999999998</c:v>
                </c:pt>
                <c:pt idx="276">
                  <c:v>0.39520300000000003</c:v>
                </c:pt>
                <c:pt idx="277">
                  <c:v>0.39016699999999999</c:v>
                </c:pt>
                <c:pt idx="278">
                  <c:v>0.38513199999999997</c:v>
                </c:pt>
                <c:pt idx="279">
                  <c:v>0.38009599999999999</c:v>
                </c:pt>
                <c:pt idx="280">
                  <c:v>0.37506099999999998</c:v>
                </c:pt>
                <c:pt idx="281">
                  <c:v>0.37002600000000002</c:v>
                </c:pt>
                <c:pt idx="282">
                  <c:v>0.36498999999999998</c:v>
                </c:pt>
                <c:pt idx="283">
                  <c:v>0.35995500000000002</c:v>
                </c:pt>
                <c:pt idx="284">
                  <c:v>0.35491899999999998</c:v>
                </c:pt>
                <c:pt idx="285">
                  <c:v>0.34988399999999997</c:v>
                </c:pt>
                <c:pt idx="286">
                  <c:v>0.34484900000000002</c:v>
                </c:pt>
                <c:pt idx="287">
                  <c:v>0.33981299999999998</c:v>
                </c:pt>
                <c:pt idx="288">
                  <c:v>0.33477800000000002</c:v>
                </c:pt>
                <c:pt idx="289">
                  <c:v>0.32974199999999998</c:v>
                </c:pt>
                <c:pt idx="290">
                  <c:v>0.32470700000000002</c:v>
                </c:pt>
                <c:pt idx="291">
                  <c:v>0.31967200000000001</c:v>
                </c:pt>
                <c:pt idx="292">
                  <c:v>0.31463600000000003</c:v>
                </c:pt>
                <c:pt idx="293">
                  <c:v>0.30960100000000002</c:v>
                </c:pt>
                <c:pt idx="294">
                  <c:v>0.30456499999999997</c:v>
                </c:pt>
                <c:pt idx="295">
                  <c:v>0.29953000000000002</c:v>
                </c:pt>
                <c:pt idx="296">
                  <c:v>0.29449500000000001</c:v>
                </c:pt>
                <c:pt idx="297">
                  <c:v>0.28945900000000002</c:v>
                </c:pt>
                <c:pt idx="298">
                  <c:v>0.28442400000000001</c:v>
                </c:pt>
                <c:pt idx="299">
                  <c:v>0.27938800000000003</c:v>
                </c:pt>
                <c:pt idx="300">
                  <c:v>0.27435300000000001</c:v>
                </c:pt>
                <c:pt idx="301">
                  <c:v>0.269318</c:v>
                </c:pt>
                <c:pt idx="302">
                  <c:v>0.26428200000000002</c:v>
                </c:pt>
                <c:pt idx="303">
                  <c:v>0.25924700000000001</c:v>
                </c:pt>
                <c:pt idx="304">
                  <c:v>0.25421100000000002</c:v>
                </c:pt>
                <c:pt idx="305">
                  <c:v>0.24917600000000001</c:v>
                </c:pt>
                <c:pt idx="306">
                  <c:v>0.244141</c:v>
                </c:pt>
                <c:pt idx="307">
                  <c:v>0.23910500000000001</c:v>
                </c:pt>
                <c:pt idx="308">
                  <c:v>0.23407</c:v>
                </c:pt>
                <c:pt idx="309">
                  <c:v>0.22903399999999999</c:v>
                </c:pt>
                <c:pt idx="310">
                  <c:v>0.223999</c:v>
                </c:pt>
                <c:pt idx="311">
                  <c:v>0.21896399999999999</c:v>
                </c:pt>
                <c:pt idx="312">
                  <c:v>0.21392800000000001</c:v>
                </c:pt>
                <c:pt idx="313">
                  <c:v>0.208893</c:v>
                </c:pt>
                <c:pt idx="314">
                  <c:v>0.20385700000000001</c:v>
                </c:pt>
                <c:pt idx="315">
                  <c:v>0.198822</c:v>
                </c:pt>
                <c:pt idx="316">
                  <c:v>0.19378699999999999</c:v>
                </c:pt>
                <c:pt idx="317">
                  <c:v>0.188751</c:v>
                </c:pt>
                <c:pt idx="318">
                  <c:v>0.18371599999999999</c:v>
                </c:pt>
                <c:pt idx="319">
                  <c:v>0.17868000000000001</c:v>
                </c:pt>
                <c:pt idx="320">
                  <c:v>0.17364499999999999</c:v>
                </c:pt>
                <c:pt idx="321">
                  <c:v>0.16861000000000001</c:v>
                </c:pt>
                <c:pt idx="322">
                  <c:v>0.163574</c:v>
                </c:pt>
                <c:pt idx="323">
                  <c:v>0.15853900000000001</c:v>
                </c:pt>
                <c:pt idx="324">
                  <c:v>0.153503</c:v>
                </c:pt>
                <c:pt idx="325">
                  <c:v>0.14846799999999999</c:v>
                </c:pt>
                <c:pt idx="326">
                  <c:v>0.143433</c:v>
                </c:pt>
                <c:pt idx="327">
                  <c:v>0.13839699999999999</c:v>
                </c:pt>
                <c:pt idx="328">
                  <c:v>0.13336200000000001</c:v>
                </c:pt>
                <c:pt idx="329">
                  <c:v>0.128326</c:v>
                </c:pt>
                <c:pt idx="330">
                  <c:v>0.123291</c:v>
                </c:pt>
                <c:pt idx="331">
                  <c:v>0.118256</c:v>
                </c:pt>
                <c:pt idx="332">
                  <c:v>0.11322</c:v>
                </c:pt>
                <c:pt idx="333">
                  <c:v>0.108185</c:v>
                </c:pt>
                <c:pt idx="334">
                  <c:v>0.103149</c:v>
                </c:pt>
                <c:pt idx="335">
                  <c:v>9.8114000000000007E-2</c:v>
                </c:pt>
                <c:pt idx="336">
                  <c:v>9.3078599999999997E-2</c:v>
                </c:pt>
                <c:pt idx="337">
                  <c:v>8.8043200000000002E-2</c:v>
                </c:pt>
                <c:pt idx="338">
                  <c:v>8.3007800000000007E-2</c:v>
                </c:pt>
                <c:pt idx="339">
                  <c:v>7.7972399999999997E-2</c:v>
                </c:pt>
                <c:pt idx="340">
                  <c:v>7.2937000000000002E-2</c:v>
                </c:pt>
                <c:pt idx="341">
                  <c:v>6.7901600000000006E-2</c:v>
                </c:pt>
                <c:pt idx="342">
                  <c:v>6.2866199999999997E-2</c:v>
                </c:pt>
                <c:pt idx="343">
                  <c:v>5.7830800000000002E-2</c:v>
                </c:pt>
                <c:pt idx="344">
                  <c:v>5.2795399999999999E-2</c:v>
                </c:pt>
                <c:pt idx="345">
                  <c:v>4.7759999999999997E-2</c:v>
                </c:pt>
                <c:pt idx="346">
                  <c:v>4.2724600000000001E-2</c:v>
                </c:pt>
                <c:pt idx="347">
                  <c:v>3.7689199999999999E-2</c:v>
                </c:pt>
                <c:pt idx="348">
                  <c:v>3.2653799999999997E-2</c:v>
                </c:pt>
                <c:pt idx="349">
                  <c:v>2.7618400000000001E-2</c:v>
                </c:pt>
                <c:pt idx="350">
                  <c:v>2.2582999999999999E-2</c:v>
                </c:pt>
                <c:pt idx="351">
                  <c:v>1.75476E-2</c:v>
                </c:pt>
                <c:pt idx="352">
                  <c:v>1.2512199999999999E-2</c:v>
                </c:pt>
                <c:pt idx="353">
                  <c:v>7.4768100000000004E-3</c:v>
                </c:pt>
                <c:pt idx="354">
                  <c:v>2.4414100000000002E-3</c:v>
                </c:pt>
                <c:pt idx="355">
                  <c:v>-2.59399E-3</c:v>
                </c:pt>
                <c:pt idx="356">
                  <c:v>-7.6293899999999998E-3</c:v>
                </c:pt>
                <c:pt idx="357">
                  <c:v>-1.26648E-2</c:v>
                </c:pt>
                <c:pt idx="358">
                  <c:v>-1.7700199999999999E-2</c:v>
                </c:pt>
                <c:pt idx="359">
                  <c:v>-2.2735600000000002E-2</c:v>
                </c:pt>
                <c:pt idx="360">
                  <c:v>-2.7771000000000001E-2</c:v>
                </c:pt>
                <c:pt idx="361">
                  <c:v>-3.2806399999999999E-2</c:v>
                </c:pt>
                <c:pt idx="362">
                  <c:v>-3.7841800000000002E-2</c:v>
                </c:pt>
                <c:pt idx="363">
                  <c:v>-4.2877199999999997E-2</c:v>
                </c:pt>
                <c:pt idx="364">
                  <c:v>-4.79126E-2</c:v>
                </c:pt>
                <c:pt idx="365">
                  <c:v>-5.2948000000000002E-2</c:v>
                </c:pt>
                <c:pt idx="366">
                  <c:v>-5.7983399999999997E-2</c:v>
                </c:pt>
                <c:pt idx="367">
                  <c:v>-6.30188E-2</c:v>
                </c:pt>
                <c:pt idx="368">
                  <c:v>-6.8054199999999995E-2</c:v>
                </c:pt>
                <c:pt idx="369">
                  <c:v>-7.3089600000000005E-2</c:v>
                </c:pt>
                <c:pt idx="370">
                  <c:v>-7.8125E-2</c:v>
                </c:pt>
                <c:pt idx="371">
                  <c:v>-8.3160399999999995E-2</c:v>
                </c:pt>
                <c:pt idx="372">
                  <c:v>-8.8195800000000005E-2</c:v>
                </c:pt>
                <c:pt idx="373">
                  <c:v>-9.32312E-2</c:v>
                </c:pt>
                <c:pt idx="374">
                  <c:v>-9.8266599999999996E-2</c:v>
                </c:pt>
                <c:pt idx="375">
                  <c:v>-0.103302</c:v>
                </c:pt>
              </c:numCache>
            </c:numRef>
          </c:xVal>
          <c:yVal>
            <c:numRef>
              <c:f>'20221206T090000'!$AV$11:$AV$398</c:f>
              <c:numCache>
                <c:formatCode>General</c:formatCode>
                <c:ptCount val="388"/>
                <c:pt idx="0">
                  <c:v>-28.550864197530863</c:v>
                </c:pt>
                <c:pt idx="1">
                  <c:v>-24.206790123456788</c:v>
                </c:pt>
                <c:pt idx="2">
                  <c:v>-20.092592592592592</c:v>
                </c:pt>
                <c:pt idx="3">
                  <c:v>-16.215802469135802</c:v>
                </c:pt>
                <c:pt idx="4">
                  <c:v>-12.402962962962963</c:v>
                </c:pt>
                <c:pt idx="5">
                  <c:v>-8.8689382716049376</c:v>
                </c:pt>
                <c:pt idx="6">
                  <c:v>-5.5843456790123458</c:v>
                </c:pt>
                <c:pt idx="7">
                  <c:v>-2.6373209876543204</c:v>
                </c:pt>
                <c:pt idx="8">
                  <c:v>-4.5286543209876538E-2</c:v>
                </c:pt>
                <c:pt idx="9">
                  <c:v>2.1335925925925925</c:v>
                </c:pt>
                <c:pt idx="10">
                  <c:v>3.9171728395061729</c:v>
                </c:pt>
                <c:pt idx="11">
                  <c:v>5.3473580246913581</c:v>
                </c:pt>
                <c:pt idx="12">
                  <c:v>6.5066543209876535</c:v>
                </c:pt>
                <c:pt idx="13">
                  <c:v>7.4598518518518517</c:v>
                </c:pt>
                <c:pt idx="14">
                  <c:v>8.2661234567901225</c:v>
                </c:pt>
                <c:pt idx="15">
                  <c:v>8.9631234567901235</c:v>
                </c:pt>
                <c:pt idx="16">
                  <c:v>9.5621728395061716</c:v>
                </c:pt>
                <c:pt idx="17">
                  <c:v>10.078333333333331</c:v>
                </c:pt>
                <c:pt idx="18">
                  <c:v>10.541753086419755</c:v>
                </c:pt>
                <c:pt idx="19">
                  <c:v>10.959950617283949</c:v>
                </c:pt>
                <c:pt idx="20">
                  <c:v>11.33295061728395</c:v>
                </c:pt>
                <c:pt idx="21">
                  <c:v>11.664493827160493</c:v>
                </c:pt>
                <c:pt idx="22">
                  <c:v>11.969666666666665</c:v>
                </c:pt>
                <c:pt idx="23">
                  <c:v>12.248469135802468</c:v>
                </c:pt>
                <c:pt idx="24">
                  <c:v>12.49716049382716</c:v>
                </c:pt>
                <c:pt idx="25">
                  <c:v>12.734444444444444</c:v>
                </c:pt>
                <c:pt idx="26">
                  <c:v>12.952962962962962</c:v>
                </c:pt>
                <c:pt idx="27">
                  <c:v>13.17148148148148</c:v>
                </c:pt>
                <c:pt idx="28">
                  <c:v>13.371234567901235</c:v>
                </c:pt>
                <c:pt idx="29">
                  <c:v>13.548271604938272</c:v>
                </c:pt>
                <c:pt idx="30">
                  <c:v>13.717901234567901</c:v>
                </c:pt>
                <c:pt idx="31">
                  <c:v>13.876049382716049</c:v>
                </c:pt>
                <c:pt idx="32">
                  <c:v>14.022962962962962</c:v>
                </c:pt>
                <c:pt idx="33">
                  <c:v>14.15864197530864</c:v>
                </c:pt>
                <c:pt idx="34">
                  <c:v>14.290493827160493</c:v>
                </c:pt>
                <c:pt idx="35">
                  <c:v>14.407283950617282</c:v>
                </c:pt>
                <c:pt idx="36">
                  <c:v>14.524074074074075</c:v>
                </c:pt>
                <c:pt idx="37">
                  <c:v>14.625802469135802</c:v>
                </c:pt>
                <c:pt idx="38">
                  <c:v>14.723827160493826</c:v>
                </c:pt>
                <c:pt idx="39">
                  <c:v>14.82925925925926</c:v>
                </c:pt>
                <c:pt idx="40">
                  <c:v>14.923456790123456</c:v>
                </c:pt>
                <c:pt idx="41">
                  <c:v>15.029012345679011</c:v>
                </c:pt>
                <c:pt idx="42">
                  <c:v>15.123209876543209</c:v>
                </c:pt>
                <c:pt idx="43">
                  <c:v>15.202222222222222</c:v>
                </c:pt>
                <c:pt idx="44">
                  <c:v>15.277654320987653</c:v>
                </c:pt>
                <c:pt idx="45">
                  <c:v>15.34543209876543</c:v>
                </c:pt>
                <c:pt idx="46">
                  <c:v>15.401975308641974</c:v>
                </c:pt>
                <c:pt idx="47">
                  <c:v>15.466049382716049</c:v>
                </c:pt>
                <c:pt idx="48">
                  <c:v>15.522469135802467</c:v>
                </c:pt>
                <c:pt idx="49">
                  <c:v>15.582839506172839</c:v>
                </c:pt>
                <c:pt idx="50">
                  <c:v>15.639259259259259</c:v>
                </c:pt>
                <c:pt idx="51">
                  <c:v>15.699629629629626</c:v>
                </c:pt>
                <c:pt idx="52">
                  <c:v>15.752345679012343</c:v>
                </c:pt>
                <c:pt idx="53">
                  <c:v>15.793827160493827</c:v>
                </c:pt>
                <c:pt idx="54">
                  <c:v>15.835185185185185</c:v>
                </c:pt>
                <c:pt idx="55">
                  <c:v>15.880493827160493</c:v>
                </c:pt>
                <c:pt idx="56">
                  <c:v>15.92185185185185</c:v>
                </c:pt>
                <c:pt idx="57">
                  <c:v>15.967037037037036</c:v>
                </c:pt>
                <c:pt idx="58">
                  <c:v>16.023580246913578</c:v>
                </c:pt>
                <c:pt idx="59">
                  <c:v>16.057530864197531</c:v>
                </c:pt>
                <c:pt idx="60">
                  <c:v>16.09148148148148</c:v>
                </c:pt>
                <c:pt idx="61">
                  <c:v>16.125308641975309</c:v>
                </c:pt>
                <c:pt idx="62">
                  <c:v>16.162962962962961</c:v>
                </c:pt>
                <c:pt idx="63">
                  <c:v>16.200740740740741</c:v>
                </c:pt>
                <c:pt idx="64">
                  <c:v>16.245925925925924</c:v>
                </c:pt>
                <c:pt idx="65">
                  <c:v>16.287283950617283</c:v>
                </c:pt>
                <c:pt idx="66">
                  <c:v>16.313703703703702</c:v>
                </c:pt>
                <c:pt idx="67">
                  <c:v>16.340123456790124</c:v>
                </c:pt>
                <c:pt idx="68">
                  <c:v>16.38148148148148</c:v>
                </c:pt>
                <c:pt idx="69">
                  <c:v>16.407901234567902</c:v>
                </c:pt>
                <c:pt idx="70">
                  <c:v>16.441851851851851</c:v>
                </c:pt>
                <c:pt idx="71">
                  <c:v>16.456913580246912</c:v>
                </c:pt>
                <c:pt idx="72">
                  <c:v>16.468148148148149</c:v>
                </c:pt>
                <c:pt idx="73">
                  <c:v>16.494567901234568</c:v>
                </c:pt>
                <c:pt idx="74">
                  <c:v>16.513456790123456</c:v>
                </c:pt>
                <c:pt idx="75">
                  <c:v>16.53222222222222</c:v>
                </c:pt>
                <c:pt idx="76">
                  <c:v>16.543580246913578</c:v>
                </c:pt>
                <c:pt idx="77">
                  <c:v>16.558641975308642</c:v>
                </c:pt>
                <c:pt idx="78">
                  <c:v>16.5737037037037</c:v>
                </c:pt>
                <c:pt idx="79">
                  <c:v>16.588765432098764</c:v>
                </c:pt>
                <c:pt idx="80">
                  <c:v>16.603827160493829</c:v>
                </c:pt>
                <c:pt idx="81">
                  <c:v>16.622716049382717</c:v>
                </c:pt>
                <c:pt idx="82">
                  <c:v>16.649012345679012</c:v>
                </c:pt>
                <c:pt idx="83">
                  <c:v>16.660370370370369</c:v>
                </c:pt>
                <c:pt idx="84">
                  <c:v>16.679135802469133</c:v>
                </c:pt>
                <c:pt idx="85">
                  <c:v>16.705555555555552</c:v>
                </c:pt>
                <c:pt idx="86">
                  <c:v>16.720617283950617</c:v>
                </c:pt>
                <c:pt idx="87">
                  <c:v>16.735679012345678</c:v>
                </c:pt>
                <c:pt idx="88">
                  <c:v>16.747037037037035</c:v>
                </c:pt>
                <c:pt idx="89">
                  <c:v>16.76962962962963</c:v>
                </c:pt>
                <c:pt idx="90">
                  <c:v>16.780864197530864</c:v>
                </c:pt>
                <c:pt idx="91">
                  <c:v>16.803456790123455</c:v>
                </c:pt>
                <c:pt idx="92">
                  <c:v>16.826172839506171</c:v>
                </c:pt>
                <c:pt idx="93">
                  <c:v>16.844938271604939</c:v>
                </c:pt>
                <c:pt idx="94">
                  <c:v>16.856296296296296</c:v>
                </c:pt>
                <c:pt idx="95">
                  <c:v>16.86753086419753</c:v>
                </c:pt>
                <c:pt idx="96">
                  <c:v>16.882592592592591</c:v>
                </c:pt>
                <c:pt idx="97">
                  <c:v>16.912716049382716</c:v>
                </c:pt>
                <c:pt idx="98">
                  <c:v>16.924074074074074</c:v>
                </c:pt>
                <c:pt idx="99">
                  <c:v>16.924074074074074</c:v>
                </c:pt>
                <c:pt idx="100">
                  <c:v>16.931604938271605</c:v>
                </c:pt>
                <c:pt idx="101">
                  <c:v>16.946666666666665</c:v>
                </c:pt>
                <c:pt idx="102">
                  <c:v>16.954197530864196</c:v>
                </c:pt>
                <c:pt idx="103">
                  <c:v>16.942962962962962</c:v>
                </c:pt>
                <c:pt idx="104">
                  <c:v>16.942962962962962</c:v>
                </c:pt>
                <c:pt idx="105">
                  <c:v>16.950493827160493</c:v>
                </c:pt>
                <c:pt idx="106">
                  <c:v>16.958024691358023</c:v>
                </c:pt>
                <c:pt idx="107">
                  <c:v>16.965555555555554</c:v>
                </c:pt>
                <c:pt idx="108">
                  <c:v>16.980617283950615</c:v>
                </c:pt>
                <c:pt idx="109">
                  <c:v>16.988148148148149</c:v>
                </c:pt>
                <c:pt idx="110">
                  <c:v>16.991851851851852</c:v>
                </c:pt>
                <c:pt idx="111">
                  <c:v>16.995679012345676</c:v>
                </c:pt>
                <c:pt idx="112">
                  <c:v>17.01074074074074</c:v>
                </c:pt>
                <c:pt idx="113">
                  <c:v>17.033333333333331</c:v>
                </c:pt>
                <c:pt idx="114">
                  <c:v>17.052222222222223</c:v>
                </c:pt>
                <c:pt idx="115">
                  <c:v>17.05975308641975</c:v>
                </c:pt>
                <c:pt idx="116">
                  <c:v>17.082345679012345</c:v>
                </c:pt>
                <c:pt idx="117">
                  <c:v>17.10864197530864</c:v>
                </c:pt>
                <c:pt idx="118">
                  <c:v>17.127530864197528</c:v>
                </c:pt>
                <c:pt idx="119">
                  <c:v>17.131234567901231</c:v>
                </c:pt>
                <c:pt idx="120">
                  <c:v>17.131234567901231</c:v>
                </c:pt>
                <c:pt idx="121">
                  <c:v>17.135061728395058</c:v>
                </c:pt>
                <c:pt idx="122">
                  <c:v>17.138765432098765</c:v>
                </c:pt>
                <c:pt idx="123">
                  <c:v>17.135061728395058</c:v>
                </c:pt>
                <c:pt idx="124">
                  <c:v>17.150123456790123</c:v>
                </c:pt>
                <c:pt idx="125">
                  <c:v>17.157654320987653</c:v>
                </c:pt>
                <c:pt idx="126">
                  <c:v>17.161481481481481</c:v>
                </c:pt>
                <c:pt idx="127">
                  <c:v>17.165185185185184</c:v>
                </c:pt>
                <c:pt idx="128">
                  <c:v>17.169012345679011</c:v>
                </c:pt>
                <c:pt idx="129">
                  <c:v>17.161481481481481</c:v>
                </c:pt>
                <c:pt idx="130">
                  <c:v>17.157654320987653</c:v>
                </c:pt>
                <c:pt idx="131">
                  <c:v>17.169012345679011</c:v>
                </c:pt>
                <c:pt idx="132">
                  <c:v>17.180246913580245</c:v>
                </c:pt>
                <c:pt idx="133">
                  <c:v>17.187777777777779</c:v>
                </c:pt>
                <c:pt idx="134">
                  <c:v>17.187777777777779</c:v>
                </c:pt>
                <c:pt idx="135">
                  <c:v>17.187777777777779</c:v>
                </c:pt>
                <c:pt idx="136">
                  <c:v>17.191604938271606</c:v>
                </c:pt>
                <c:pt idx="137">
                  <c:v>17.195308641975309</c:v>
                </c:pt>
                <c:pt idx="138">
                  <c:v>17.199135802469137</c:v>
                </c:pt>
                <c:pt idx="139">
                  <c:v>17.195308641975309</c:v>
                </c:pt>
                <c:pt idx="140">
                  <c:v>17.191604938271606</c:v>
                </c:pt>
                <c:pt idx="141">
                  <c:v>17.180246913580245</c:v>
                </c:pt>
                <c:pt idx="142">
                  <c:v>17.184074074074076</c:v>
                </c:pt>
                <c:pt idx="143">
                  <c:v>17.180246913580245</c:v>
                </c:pt>
                <c:pt idx="144">
                  <c:v>17.180246913580245</c:v>
                </c:pt>
                <c:pt idx="145">
                  <c:v>17.191604938271606</c:v>
                </c:pt>
                <c:pt idx="146">
                  <c:v>17.180246913580245</c:v>
                </c:pt>
                <c:pt idx="147">
                  <c:v>17.172716049382714</c:v>
                </c:pt>
                <c:pt idx="148">
                  <c:v>17.161481481481481</c:v>
                </c:pt>
                <c:pt idx="149">
                  <c:v>17.153950617283947</c:v>
                </c:pt>
                <c:pt idx="150">
                  <c:v>17.142592592592592</c:v>
                </c:pt>
                <c:pt idx="151">
                  <c:v>17.157654320987653</c:v>
                </c:pt>
                <c:pt idx="152">
                  <c:v>17.150123456790123</c:v>
                </c:pt>
                <c:pt idx="153">
                  <c:v>17.146296296296295</c:v>
                </c:pt>
                <c:pt idx="154">
                  <c:v>17.135061728395058</c:v>
                </c:pt>
                <c:pt idx="155">
                  <c:v>17.142592592592592</c:v>
                </c:pt>
                <c:pt idx="156">
                  <c:v>17.157654320987653</c:v>
                </c:pt>
                <c:pt idx="157">
                  <c:v>17.176543209876542</c:v>
                </c:pt>
                <c:pt idx="158">
                  <c:v>17.199135802469137</c:v>
                </c:pt>
                <c:pt idx="159">
                  <c:v>17.217901234567901</c:v>
                </c:pt>
                <c:pt idx="160">
                  <c:v>17.217901234567901</c:v>
                </c:pt>
                <c:pt idx="161">
                  <c:v>17.214197530864197</c:v>
                </c:pt>
                <c:pt idx="162">
                  <c:v>17.232962962962961</c:v>
                </c:pt>
                <c:pt idx="163">
                  <c:v>17.248024691358022</c:v>
                </c:pt>
                <c:pt idx="164">
                  <c:v>17.255679012345677</c:v>
                </c:pt>
                <c:pt idx="165">
                  <c:v>17.248024691358022</c:v>
                </c:pt>
                <c:pt idx="166">
                  <c:v>17.236790123456789</c:v>
                </c:pt>
                <c:pt idx="167">
                  <c:v>17.225432098765431</c:v>
                </c:pt>
                <c:pt idx="168">
                  <c:v>17.229259259259258</c:v>
                </c:pt>
                <c:pt idx="169">
                  <c:v>17.225432098765431</c:v>
                </c:pt>
                <c:pt idx="170">
                  <c:v>17.217901234567901</c:v>
                </c:pt>
                <c:pt idx="171">
                  <c:v>17.214197530864197</c:v>
                </c:pt>
                <c:pt idx="172">
                  <c:v>17.21037037037037</c:v>
                </c:pt>
                <c:pt idx="173">
                  <c:v>17.221728395061724</c:v>
                </c:pt>
                <c:pt idx="174">
                  <c:v>17.232962962962961</c:v>
                </c:pt>
                <c:pt idx="175">
                  <c:v>17.232962962962961</c:v>
                </c:pt>
                <c:pt idx="176">
                  <c:v>17.244320987654319</c:v>
                </c:pt>
                <c:pt idx="177">
                  <c:v>17.240493827160492</c:v>
                </c:pt>
                <c:pt idx="178">
                  <c:v>17.229259259259258</c:v>
                </c:pt>
                <c:pt idx="179">
                  <c:v>17.221728395061724</c:v>
                </c:pt>
                <c:pt idx="180">
                  <c:v>17.214197530864197</c:v>
                </c:pt>
                <c:pt idx="181">
                  <c:v>17.206666666666667</c:v>
                </c:pt>
                <c:pt idx="182">
                  <c:v>17.214197530864197</c:v>
                </c:pt>
                <c:pt idx="183">
                  <c:v>17.21037037037037</c:v>
                </c:pt>
                <c:pt idx="184">
                  <c:v>17.21037037037037</c:v>
                </c:pt>
                <c:pt idx="185">
                  <c:v>17.225432098765431</c:v>
                </c:pt>
                <c:pt idx="186">
                  <c:v>17.240493827160492</c:v>
                </c:pt>
                <c:pt idx="187">
                  <c:v>17.232962962962961</c:v>
                </c:pt>
                <c:pt idx="188">
                  <c:v>17.236790123456789</c:v>
                </c:pt>
                <c:pt idx="189">
                  <c:v>17.248024691358022</c:v>
                </c:pt>
                <c:pt idx="190">
                  <c:v>17.259382716049384</c:v>
                </c:pt>
                <c:pt idx="191">
                  <c:v>17.270740740740738</c:v>
                </c:pt>
                <c:pt idx="192">
                  <c:v>17.289506172839506</c:v>
                </c:pt>
                <c:pt idx="193">
                  <c:v>17.281975308641975</c:v>
                </c:pt>
                <c:pt idx="194">
                  <c:v>17.263209876543208</c:v>
                </c:pt>
                <c:pt idx="195">
                  <c:v>17.263209876543208</c:v>
                </c:pt>
                <c:pt idx="196">
                  <c:v>17.259382716049384</c:v>
                </c:pt>
                <c:pt idx="197">
                  <c:v>17.255679012345677</c:v>
                </c:pt>
                <c:pt idx="198">
                  <c:v>17.255679012345677</c:v>
                </c:pt>
                <c:pt idx="199">
                  <c:v>17.240493827160492</c:v>
                </c:pt>
                <c:pt idx="200">
                  <c:v>17.236790123456789</c:v>
                </c:pt>
                <c:pt idx="201">
                  <c:v>17.236790123456789</c:v>
                </c:pt>
                <c:pt idx="202">
                  <c:v>17.248024691358022</c:v>
                </c:pt>
                <c:pt idx="203">
                  <c:v>17.266913580246914</c:v>
                </c:pt>
                <c:pt idx="204">
                  <c:v>17.278271604938272</c:v>
                </c:pt>
                <c:pt idx="205">
                  <c:v>17.278271604938272</c:v>
                </c:pt>
                <c:pt idx="206">
                  <c:v>17.278271604938272</c:v>
                </c:pt>
                <c:pt idx="207">
                  <c:v>17.285802469135803</c:v>
                </c:pt>
                <c:pt idx="208">
                  <c:v>17.278271604938272</c:v>
                </c:pt>
                <c:pt idx="209">
                  <c:v>17.278271604938272</c:v>
                </c:pt>
                <c:pt idx="210">
                  <c:v>17.281975308641975</c:v>
                </c:pt>
                <c:pt idx="211">
                  <c:v>17.278271604938272</c:v>
                </c:pt>
                <c:pt idx="212">
                  <c:v>17.274444444444445</c:v>
                </c:pt>
                <c:pt idx="213">
                  <c:v>17.266913580246914</c:v>
                </c:pt>
                <c:pt idx="214">
                  <c:v>17.270740740740738</c:v>
                </c:pt>
                <c:pt idx="215">
                  <c:v>17.270740740740738</c:v>
                </c:pt>
                <c:pt idx="216">
                  <c:v>17.281975308641975</c:v>
                </c:pt>
                <c:pt idx="217">
                  <c:v>17.300864197530863</c:v>
                </c:pt>
                <c:pt idx="218">
                  <c:v>17.308395061728394</c:v>
                </c:pt>
                <c:pt idx="219">
                  <c:v>17.315925925925924</c:v>
                </c:pt>
                <c:pt idx="220">
                  <c:v>17.319629629629631</c:v>
                </c:pt>
                <c:pt idx="221">
                  <c:v>17.334691358024692</c:v>
                </c:pt>
                <c:pt idx="222">
                  <c:v>17.338518518518516</c:v>
                </c:pt>
                <c:pt idx="223">
                  <c:v>17.334691358024692</c:v>
                </c:pt>
                <c:pt idx="224">
                  <c:v>17.319629629629631</c:v>
                </c:pt>
                <c:pt idx="225">
                  <c:v>17.312098765432097</c:v>
                </c:pt>
                <c:pt idx="226">
                  <c:v>17.304567901234567</c:v>
                </c:pt>
                <c:pt idx="227">
                  <c:v>17.304567901234567</c:v>
                </c:pt>
                <c:pt idx="228">
                  <c:v>17.312098765432097</c:v>
                </c:pt>
                <c:pt idx="229">
                  <c:v>17.308395061728394</c:v>
                </c:pt>
                <c:pt idx="230">
                  <c:v>17.300864197530863</c:v>
                </c:pt>
                <c:pt idx="231">
                  <c:v>17.293333333333333</c:v>
                </c:pt>
                <c:pt idx="232">
                  <c:v>17.293333333333333</c:v>
                </c:pt>
                <c:pt idx="233">
                  <c:v>17.300864197530863</c:v>
                </c:pt>
                <c:pt idx="234">
                  <c:v>17.293333333333333</c:v>
                </c:pt>
                <c:pt idx="235">
                  <c:v>17.274444444444445</c:v>
                </c:pt>
                <c:pt idx="236">
                  <c:v>17.274444444444445</c:v>
                </c:pt>
                <c:pt idx="237">
                  <c:v>17.266913580246914</c:v>
                </c:pt>
                <c:pt idx="238">
                  <c:v>17.278271604938272</c:v>
                </c:pt>
                <c:pt idx="239">
                  <c:v>17.285802469135803</c:v>
                </c:pt>
                <c:pt idx="240">
                  <c:v>17.285802469135803</c:v>
                </c:pt>
                <c:pt idx="241">
                  <c:v>17.281975308641975</c:v>
                </c:pt>
                <c:pt idx="242">
                  <c:v>17.281975308641975</c:v>
                </c:pt>
                <c:pt idx="243">
                  <c:v>17.300864197530863</c:v>
                </c:pt>
                <c:pt idx="244">
                  <c:v>17.304567901234567</c:v>
                </c:pt>
                <c:pt idx="245">
                  <c:v>17.304567901234567</c:v>
                </c:pt>
                <c:pt idx="246">
                  <c:v>17.293333333333333</c:v>
                </c:pt>
                <c:pt idx="247">
                  <c:v>17.281975308641975</c:v>
                </c:pt>
                <c:pt idx="248">
                  <c:v>17.281975308641975</c:v>
                </c:pt>
                <c:pt idx="249">
                  <c:v>17.278271604938272</c:v>
                </c:pt>
                <c:pt idx="250">
                  <c:v>17.285802469135803</c:v>
                </c:pt>
                <c:pt idx="251">
                  <c:v>17.285802469135803</c:v>
                </c:pt>
                <c:pt idx="252">
                  <c:v>17.293333333333333</c:v>
                </c:pt>
                <c:pt idx="253">
                  <c:v>17.297037037037036</c:v>
                </c:pt>
                <c:pt idx="254">
                  <c:v>17.297037037037036</c:v>
                </c:pt>
                <c:pt idx="255">
                  <c:v>17.300864197530863</c:v>
                </c:pt>
                <c:pt idx="256">
                  <c:v>17.304567901234567</c:v>
                </c:pt>
                <c:pt idx="257">
                  <c:v>17.297037037037036</c:v>
                </c:pt>
                <c:pt idx="258">
                  <c:v>17.300864197530863</c:v>
                </c:pt>
                <c:pt idx="259">
                  <c:v>17.304567901234567</c:v>
                </c:pt>
                <c:pt idx="260">
                  <c:v>17.308395061728394</c:v>
                </c:pt>
                <c:pt idx="261">
                  <c:v>17.293333333333333</c:v>
                </c:pt>
                <c:pt idx="262">
                  <c:v>17.285802469135803</c:v>
                </c:pt>
                <c:pt idx="263">
                  <c:v>17.281975308641975</c:v>
                </c:pt>
                <c:pt idx="264">
                  <c:v>17.293333333333333</c:v>
                </c:pt>
                <c:pt idx="265">
                  <c:v>17.304567901234567</c:v>
                </c:pt>
                <c:pt idx="266">
                  <c:v>17.304567901234567</c:v>
                </c:pt>
                <c:pt idx="267">
                  <c:v>17.312098765432097</c:v>
                </c:pt>
                <c:pt idx="268">
                  <c:v>17.315925925925924</c:v>
                </c:pt>
                <c:pt idx="269">
                  <c:v>17.319629629629631</c:v>
                </c:pt>
                <c:pt idx="270">
                  <c:v>17.304567901234567</c:v>
                </c:pt>
                <c:pt idx="271">
                  <c:v>17.293333333333333</c:v>
                </c:pt>
                <c:pt idx="272">
                  <c:v>17.289506172839506</c:v>
                </c:pt>
                <c:pt idx="273">
                  <c:v>17.289506172839506</c:v>
                </c:pt>
                <c:pt idx="274">
                  <c:v>17.293333333333333</c:v>
                </c:pt>
                <c:pt idx="275">
                  <c:v>17.285802469135803</c:v>
                </c:pt>
                <c:pt idx="276">
                  <c:v>17.285802469135803</c:v>
                </c:pt>
                <c:pt idx="277">
                  <c:v>17.293333333333333</c:v>
                </c:pt>
                <c:pt idx="278">
                  <c:v>17.281975308641975</c:v>
                </c:pt>
                <c:pt idx="279">
                  <c:v>17.278271604938272</c:v>
                </c:pt>
                <c:pt idx="280">
                  <c:v>17.285802469135803</c:v>
                </c:pt>
                <c:pt idx="281">
                  <c:v>17.304567901234567</c:v>
                </c:pt>
                <c:pt idx="282">
                  <c:v>17.327160493827162</c:v>
                </c:pt>
                <c:pt idx="283">
                  <c:v>17.327160493827162</c:v>
                </c:pt>
                <c:pt idx="284">
                  <c:v>17.327160493827162</c:v>
                </c:pt>
                <c:pt idx="285">
                  <c:v>17.323456790123455</c:v>
                </c:pt>
                <c:pt idx="286">
                  <c:v>17.319629629629631</c:v>
                </c:pt>
                <c:pt idx="287">
                  <c:v>17.319629629629631</c:v>
                </c:pt>
                <c:pt idx="288">
                  <c:v>17.327160493827162</c:v>
                </c:pt>
                <c:pt idx="289">
                  <c:v>17.338518518518516</c:v>
                </c:pt>
                <c:pt idx="290">
                  <c:v>17.330987654320985</c:v>
                </c:pt>
                <c:pt idx="291">
                  <c:v>17.334691358024692</c:v>
                </c:pt>
                <c:pt idx="292">
                  <c:v>17.342222222222222</c:v>
                </c:pt>
                <c:pt idx="293">
                  <c:v>17.349753086419753</c:v>
                </c:pt>
                <c:pt idx="294">
                  <c:v>17.35358024691358</c:v>
                </c:pt>
                <c:pt idx="295">
                  <c:v>17.357283950617283</c:v>
                </c:pt>
                <c:pt idx="296">
                  <c:v>17.357283950617283</c:v>
                </c:pt>
                <c:pt idx="297">
                  <c:v>17.357283950617283</c:v>
                </c:pt>
                <c:pt idx="298">
                  <c:v>17.35358024691358</c:v>
                </c:pt>
                <c:pt idx="299">
                  <c:v>17.34604938271605</c:v>
                </c:pt>
                <c:pt idx="300">
                  <c:v>17.34604938271605</c:v>
                </c:pt>
                <c:pt idx="301">
                  <c:v>17.357283950617283</c:v>
                </c:pt>
                <c:pt idx="302">
                  <c:v>17.364938271604938</c:v>
                </c:pt>
                <c:pt idx="303">
                  <c:v>17.361111111111111</c:v>
                </c:pt>
                <c:pt idx="304">
                  <c:v>17.349753086419753</c:v>
                </c:pt>
                <c:pt idx="305">
                  <c:v>17.342222222222222</c:v>
                </c:pt>
                <c:pt idx="306">
                  <c:v>17.334691358024692</c:v>
                </c:pt>
                <c:pt idx="307">
                  <c:v>17.342222222222222</c:v>
                </c:pt>
                <c:pt idx="308">
                  <c:v>17.357283950617283</c:v>
                </c:pt>
                <c:pt idx="309">
                  <c:v>17.357283950617283</c:v>
                </c:pt>
                <c:pt idx="310">
                  <c:v>17.338518518518516</c:v>
                </c:pt>
                <c:pt idx="311">
                  <c:v>17.334691358024692</c:v>
                </c:pt>
                <c:pt idx="312">
                  <c:v>17.338518518518516</c:v>
                </c:pt>
                <c:pt idx="313">
                  <c:v>17.327160493827162</c:v>
                </c:pt>
                <c:pt idx="314">
                  <c:v>17.315925925925924</c:v>
                </c:pt>
                <c:pt idx="315">
                  <c:v>17.300864197530863</c:v>
                </c:pt>
                <c:pt idx="316">
                  <c:v>17.304567901234567</c:v>
                </c:pt>
                <c:pt idx="317">
                  <c:v>17.312098765432097</c:v>
                </c:pt>
                <c:pt idx="318">
                  <c:v>17.319629629629631</c:v>
                </c:pt>
                <c:pt idx="319">
                  <c:v>17.327160493827162</c:v>
                </c:pt>
                <c:pt idx="320">
                  <c:v>17.319629629629631</c:v>
                </c:pt>
                <c:pt idx="321">
                  <c:v>17.319629629629631</c:v>
                </c:pt>
                <c:pt idx="322">
                  <c:v>17.319629629629631</c:v>
                </c:pt>
                <c:pt idx="323">
                  <c:v>17.312098765432097</c:v>
                </c:pt>
                <c:pt idx="324">
                  <c:v>17.315925925925924</c:v>
                </c:pt>
                <c:pt idx="325">
                  <c:v>17.315925925925924</c:v>
                </c:pt>
                <c:pt idx="326">
                  <c:v>17.315925925925924</c:v>
                </c:pt>
                <c:pt idx="327">
                  <c:v>17.319629629629631</c:v>
                </c:pt>
                <c:pt idx="328">
                  <c:v>17.342222222222222</c:v>
                </c:pt>
                <c:pt idx="329">
                  <c:v>17.361111111111111</c:v>
                </c:pt>
                <c:pt idx="330">
                  <c:v>17.364938271604938</c:v>
                </c:pt>
                <c:pt idx="331">
                  <c:v>17.35358024691358</c:v>
                </c:pt>
                <c:pt idx="332">
                  <c:v>17.357283950617283</c:v>
                </c:pt>
                <c:pt idx="333">
                  <c:v>17.357283950617283</c:v>
                </c:pt>
                <c:pt idx="334">
                  <c:v>17.357283950617283</c:v>
                </c:pt>
                <c:pt idx="335">
                  <c:v>17.361111111111111</c:v>
                </c:pt>
                <c:pt idx="336">
                  <c:v>17.361111111111111</c:v>
                </c:pt>
                <c:pt idx="337">
                  <c:v>17.383703703703702</c:v>
                </c:pt>
                <c:pt idx="338">
                  <c:v>17.39506172839506</c:v>
                </c:pt>
                <c:pt idx="339">
                  <c:v>17.398765432098763</c:v>
                </c:pt>
                <c:pt idx="340">
                  <c:v>17.39506172839506</c:v>
                </c:pt>
                <c:pt idx="341">
                  <c:v>17.406296296296293</c:v>
                </c:pt>
                <c:pt idx="342">
                  <c:v>17.398765432098763</c:v>
                </c:pt>
                <c:pt idx="343">
                  <c:v>17.398765432098763</c:v>
                </c:pt>
                <c:pt idx="344">
                  <c:v>17.398765432098763</c:v>
                </c:pt>
                <c:pt idx="345">
                  <c:v>17.387530864197529</c:v>
                </c:pt>
                <c:pt idx="346">
                  <c:v>17.383703703703702</c:v>
                </c:pt>
                <c:pt idx="347">
                  <c:v>17.368641975308641</c:v>
                </c:pt>
                <c:pt idx="348">
                  <c:v>17.368641975308641</c:v>
                </c:pt>
                <c:pt idx="349">
                  <c:v>17.372469135802469</c:v>
                </c:pt>
                <c:pt idx="350">
                  <c:v>17.361111111111111</c:v>
                </c:pt>
                <c:pt idx="351">
                  <c:v>17.376172839506172</c:v>
                </c:pt>
                <c:pt idx="352">
                  <c:v>17.376172839506172</c:v>
                </c:pt>
                <c:pt idx="353">
                  <c:v>17.391234567901233</c:v>
                </c:pt>
                <c:pt idx="354">
                  <c:v>17.40259259259259</c:v>
                </c:pt>
                <c:pt idx="355">
                  <c:v>17.406296296296293</c:v>
                </c:pt>
                <c:pt idx="356">
                  <c:v>17.406296296296293</c:v>
                </c:pt>
                <c:pt idx="357">
                  <c:v>17.39506172839506</c:v>
                </c:pt>
                <c:pt idx="358">
                  <c:v>17.398765432098763</c:v>
                </c:pt>
                <c:pt idx="359">
                  <c:v>17.406296296296293</c:v>
                </c:pt>
                <c:pt idx="360">
                  <c:v>17.417654320987655</c:v>
                </c:pt>
                <c:pt idx="361">
                  <c:v>17.440246913580246</c:v>
                </c:pt>
                <c:pt idx="362">
                  <c:v>17.455308641975307</c:v>
                </c:pt>
                <c:pt idx="363">
                  <c:v>17.466543209876541</c:v>
                </c:pt>
                <c:pt idx="364">
                  <c:v>17.462839506172838</c:v>
                </c:pt>
                <c:pt idx="365">
                  <c:v>17.466543209876541</c:v>
                </c:pt>
                <c:pt idx="366">
                  <c:v>17.45148148148148</c:v>
                </c:pt>
                <c:pt idx="367">
                  <c:v>17.436419753086419</c:v>
                </c:pt>
                <c:pt idx="368">
                  <c:v>17.428888888888888</c:v>
                </c:pt>
                <c:pt idx="369">
                  <c:v>17.436419753086419</c:v>
                </c:pt>
                <c:pt idx="370">
                  <c:v>17.428888888888888</c:v>
                </c:pt>
                <c:pt idx="371">
                  <c:v>17.417654320987655</c:v>
                </c:pt>
                <c:pt idx="372">
                  <c:v>17.425185185185182</c:v>
                </c:pt>
                <c:pt idx="373">
                  <c:v>17.425185185185182</c:v>
                </c:pt>
                <c:pt idx="374">
                  <c:v>17.428888888888888</c:v>
                </c:pt>
                <c:pt idx="375">
                  <c:v>17.436419753086419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0-4F65-A235-9162CC21C933}"/>
            </c:ext>
          </c:extLst>
        </c:ser>
        <c:ser>
          <c:idx val="1"/>
          <c:order val="1"/>
          <c:tx>
            <c:v>j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'20221206T090000'!$AY$11:$AY$500</c:f>
              <c:numCache>
                <c:formatCode>General</c:formatCode>
                <c:ptCount val="490"/>
                <c:pt idx="0">
                  <c:v>-9.49097E-2</c:v>
                </c:pt>
                <c:pt idx="1">
                  <c:v>-8.9874300000000004E-2</c:v>
                </c:pt>
                <c:pt idx="2">
                  <c:v>-8.4838899999999995E-2</c:v>
                </c:pt>
                <c:pt idx="3">
                  <c:v>-7.9803499999999999E-2</c:v>
                </c:pt>
                <c:pt idx="4">
                  <c:v>-7.4768100000000004E-2</c:v>
                </c:pt>
                <c:pt idx="5">
                  <c:v>-6.9732699999999995E-2</c:v>
                </c:pt>
                <c:pt idx="6">
                  <c:v>-6.4697299999999999E-2</c:v>
                </c:pt>
                <c:pt idx="7">
                  <c:v>-5.9661899999999997E-2</c:v>
                </c:pt>
                <c:pt idx="8">
                  <c:v>-5.4626500000000001E-2</c:v>
                </c:pt>
                <c:pt idx="9">
                  <c:v>-4.9591099999999999E-2</c:v>
                </c:pt>
                <c:pt idx="10">
                  <c:v>-4.4555699999999997E-2</c:v>
                </c:pt>
                <c:pt idx="11">
                  <c:v>-3.9520300000000001E-2</c:v>
                </c:pt>
                <c:pt idx="12">
                  <c:v>-3.4484899999999999E-2</c:v>
                </c:pt>
                <c:pt idx="13">
                  <c:v>-2.94495E-2</c:v>
                </c:pt>
                <c:pt idx="14">
                  <c:v>-2.4414100000000001E-2</c:v>
                </c:pt>
                <c:pt idx="15">
                  <c:v>-1.9378699999999999E-2</c:v>
                </c:pt>
                <c:pt idx="16">
                  <c:v>-1.43433E-2</c:v>
                </c:pt>
                <c:pt idx="17">
                  <c:v>-9.3078599999999994E-3</c:v>
                </c:pt>
                <c:pt idx="18">
                  <c:v>-4.2724599999999996E-3</c:v>
                </c:pt>
                <c:pt idx="19">
                  <c:v>7.6293900000000002E-4</c:v>
                </c:pt>
                <c:pt idx="20">
                  <c:v>5.7983399999999999E-3</c:v>
                </c:pt>
                <c:pt idx="21">
                  <c:v>1.08337E-2</c:v>
                </c:pt>
                <c:pt idx="22">
                  <c:v>1.5869100000000001E-2</c:v>
                </c:pt>
                <c:pt idx="23">
                  <c:v>2.0904499999999999E-2</c:v>
                </c:pt>
                <c:pt idx="24">
                  <c:v>2.5939899999999998E-2</c:v>
                </c:pt>
                <c:pt idx="25">
                  <c:v>3.0975300000000001E-2</c:v>
                </c:pt>
                <c:pt idx="26">
                  <c:v>3.60107E-2</c:v>
                </c:pt>
                <c:pt idx="27">
                  <c:v>4.1046100000000002E-2</c:v>
                </c:pt>
                <c:pt idx="28">
                  <c:v>4.6081499999999997E-2</c:v>
                </c:pt>
                <c:pt idx="29">
                  <c:v>5.11169E-2</c:v>
                </c:pt>
                <c:pt idx="30">
                  <c:v>5.6152300000000002E-2</c:v>
                </c:pt>
                <c:pt idx="31">
                  <c:v>6.1187699999999998E-2</c:v>
                </c:pt>
                <c:pt idx="32">
                  <c:v>6.6223099999999993E-2</c:v>
                </c:pt>
                <c:pt idx="33">
                  <c:v>7.1258500000000002E-2</c:v>
                </c:pt>
                <c:pt idx="34">
                  <c:v>7.6293899999999998E-2</c:v>
                </c:pt>
                <c:pt idx="35">
                  <c:v>8.1329299999999993E-2</c:v>
                </c:pt>
                <c:pt idx="36">
                  <c:v>8.6364700000000003E-2</c:v>
                </c:pt>
                <c:pt idx="37">
                  <c:v>9.1400099999999998E-2</c:v>
                </c:pt>
                <c:pt idx="38">
                  <c:v>9.6435499999999993E-2</c:v>
                </c:pt>
                <c:pt idx="39">
                  <c:v>0.10147100000000001</c:v>
                </c:pt>
                <c:pt idx="40">
                  <c:v>0.106506</c:v>
                </c:pt>
                <c:pt idx="41">
                  <c:v>0.111542</c:v>
                </c:pt>
                <c:pt idx="42">
                  <c:v>0.116577</c:v>
                </c:pt>
                <c:pt idx="43">
                  <c:v>0.121613</c:v>
                </c:pt>
                <c:pt idx="44">
                  <c:v>0.12664800000000001</c:v>
                </c:pt>
                <c:pt idx="45">
                  <c:v>0.13168299999999999</c:v>
                </c:pt>
                <c:pt idx="46">
                  <c:v>0.13671900000000001</c:v>
                </c:pt>
                <c:pt idx="47">
                  <c:v>0.14175399999999999</c:v>
                </c:pt>
                <c:pt idx="48">
                  <c:v>0.14679</c:v>
                </c:pt>
                <c:pt idx="49">
                  <c:v>0.15182499999999999</c:v>
                </c:pt>
                <c:pt idx="50">
                  <c:v>0.15686</c:v>
                </c:pt>
                <c:pt idx="51">
                  <c:v>0.16189600000000001</c:v>
                </c:pt>
                <c:pt idx="52">
                  <c:v>0.166931</c:v>
                </c:pt>
                <c:pt idx="53">
                  <c:v>0.17196700000000001</c:v>
                </c:pt>
                <c:pt idx="54">
                  <c:v>0.17700199999999999</c:v>
                </c:pt>
                <c:pt idx="55">
                  <c:v>0.182037</c:v>
                </c:pt>
                <c:pt idx="56">
                  <c:v>0.18707299999999999</c:v>
                </c:pt>
                <c:pt idx="57">
                  <c:v>0.192108</c:v>
                </c:pt>
                <c:pt idx="58">
                  <c:v>0.19714400000000001</c:v>
                </c:pt>
                <c:pt idx="59">
                  <c:v>0.202179</c:v>
                </c:pt>
                <c:pt idx="60">
                  <c:v>0.20721400000000001</c:v>
                </c:pt>
                <c:pt idx="61">
                  <c:v>0.21224999999999999</c:v>
                </c:pt>
                <c:pt idx="62">
                  <c:v>0.21728500000000001</c:v>
                </c:pt>
                <c:pt idx="63">
                  <c:v>0.22232099999999999</c:v>
                </c:pt>
                <c:pt idx="64">
                  <c:v>0.227356</c:v>
                </c:pt>
                <c:pt idx="65">
                  <c:v>0.23239099999999999</c:v>
                </c:pt>
                <c:pt idx="66">
                  <c:v>0.237427</c:v>
                </c:pt>
                <c:pt idx="67">
                  <c:v>0.24246200000000001</c:v>
                </c:pt>
                <c:pt idx="68">
                  <c:v>0.247498</c:v>
                </c:pt>
                <c:pt idx="69">
                  <c:v>0.25253300000000001</c:v>
                </c:pt>
                <c:pt idx="70">
                  <c:v>0.25756800000000002</c:v>
                </c:pt>
                <c:pt idx="71">
                  <c:v>0.262604</c:v>
                </c:pt>
                <c:pt idx="72">
                  <c:v>0.26763900000000002</c:v>
                </c:pt>
                <c:pt idx="73">
                  <c:v>0.272675</c:v>
                </c:pt>
                <c:pt idx="74">
                  <c:v>0.27771000000000001</c:v>
                </c:pt>
                <c:pt idx="75">
                  <c:v>0.28274500000000002</c:v>
                </c:pt>
                <c:pt idx="76">
                  <c:v>0.28778100000000001</c:v>
                </c:pt>
                <c:pt idx="77">
                  <c:v>0.29281600000000002</c:v>
                </c:pt>
                <c:pt idx="78">
                  <c:v>0.29785200000000001</c:v>
                </c:pt>
                <c:pt idx="79">
                  <c:v>0.30288700000000002</c:v>
                </c:pt>
                <c:pt idx="80">
                  <c:v>0.30792199999999997</c:v>
                </c:pt>
                <c:pt idx="81">
                  <c:v>0.31295800000000001</c:v>
                </c:pt>
                <c:pt idx="82">
                  <c:v>0.31799300000000003</c:v>
                </c:pt>
                <c:pt idx="83">
                  <c:v>0.32302900000000001</c:v>
                </c:pt>
                <c:pt idx="84">
                  <c:v>0.32806400000000002</c:v>
                </c:pt>
                <c:pt idx="85">
                  <c:v>0.33309899999999998</c:v>
                </c:pt>
                <c:pt idx="86">
                  <c:v>0.33813500000000002</c:v>
                </c:pt>
                <c:pt idx="87">
                  <c:v>0.34316999999999998</c:v>
                </c:pt>
                <c:pt idx="88">
                  <c:v>0.34820600000000002</c:v>
                </c:pt>
                <c:pt idx="89">
                  <c:v>0.35324100000000003</c:v>
                </c:pt>
                <c:pt idx="90">
                  <c:v>0.35827599999999998</c:v>
                </c:pt>
                <c:pt idx="91">
                  <c:v>0.36331200000000002</c:v>
                </c:pt>
                <c:pt idx="92">
                  <c:v>0.36834699999999998</c:v>
                </c:pt>
                <c:pt idx="93">
                  <c:v>0.37338300000000002</c:v>
                </c:pt>
                <c:pt idx="94">
                  <c:v>0.37841799999999998</c:v>
                </c:pt>
                <c:pt idx="95">
                  <c:v>0.38345299999999999</c:v>
                </c:pt>
                <c:pt idx="96">
                  <c:v>0.38848899999999997</c:v>
                </c:pt>
                <c:pt idx="97">
                  <c:v>0.39352399999999998</c:v>
                </c:pt>
                <c:pt idx="98">
                  <c:v>0.39856000000000003</c:v>
                </c:pt>
                <c:pt idx="99">
                  <c:v>0.40359499999999998</c:v>
                </c:pt>
                <c:pt idx="100">
                  <c:v>0.40862999999999999</c:v>
                </c:pt>
                <c:pt idx="101">
                  <c:v>0.41366599999999998</c:v>
                </c:pt>
                <c:pt idx="102">
                  <c:v>0.41870099999999999</c:v>
                </c:pt>
                <c:pt idx="103">
                  <c:v>0.42373699999999997</c:v>
                </c:pt>
                <c:pt idx="104">
                  <c:v>0.42877199999999999</c:v>
                </c:pt>
                <c:pt idx="105">
                  <c:v>0.433807</c:v>
                </c:pt>
                <c:pt idx="106">
                  <c:v>0.43884299999999998</c:v>
                </c:pt>
                <c:pt idx="107">
                  <c:v>0.44387799999999999</c:v>
                </c:pt>
                <c:pt idx="108">
                  <c:v>0.44891399999999998</c:v>
                </c:pt>
                <c:pt idx="109">
                  <c:v>0.45394899999999999</c:v>
                </c:pt>
                <c:pt idx="110">
                  <c:v>0.458984</c:v>
                </c:pt>
                <c:pt idx="111">
                  <c:v>0.46401999999999999</c:v>
                </c:pt>
                <c:pt idx="112">
                  <c:v>0.469055</c:v>
                </c:pt>
                <c:pt idx="113">
                  <c:v>0.47409099999999998</c:v>
                </c:pt>
                <c:pt idx="114">
                  <c:v>0.479126</c:v>
                </c:pt>
                <c:pt idx="115">
                  <c:v>0.48416100000000001</c:v>
                </c:pt>
                <c:pt idx="116">
                  <c:v>0.48919699999999999</c:v>
                </c:pt>
                <c:pt idx="117">
                  <c:v>0.494232</c:v>
                </c:pt>
                <c:pt idx="118">
                  <c:v>0.49926799999999999</c:v>
                </c:pt>
                <c:pt idx="119">
                  <c:v>0.50430299999999995</c:v>
                </c:pt>
                <c:pt idx="120">
                  <c:v>0.50933799999999996</c:v>
                </c:pt>
                <c:pt idx="121">
                  <c:v>0.514374</c:v>
                </c:pt>
                <c:pt idx="122">
                  <c:v>0.51940900000000001</c:v>
                </c:pt>
                <c:pt idx="123">
                  <c:v>0.52444500000000005</c:v>
                </c:pt>
                <c:pt idx="124">
                  <c:v>0.52947999999999995</c:v>
                </c:pt>
                <c:pt idx="125">
                  <c:v>0.53451499999999996</c:v>
                </c:pt>
                <c:pt idx="126">
                  <c:v>0.539551</c:v>
                </c:pt>
                <c:pt idx="127">
                  <c:v>0.54458600000000001</c:v>
                </c:pt>
                <c:pt idx="128">
                  <c:v>0.54962200000000005</c:v>
                </c:pt>
                <c:pt idx="129">
                  <c:v>0.55465699999999996</c:v>
                </c:pt>
                <c:pt idx="130">
                  <c:v>0.55969199999999997</c:v>
                </c:pt>
                <c:pt idx="131">
                  <c:v>0.56472800000000001</c:v>
                </c:pt>
                <c:pt idx="132">
                  <c:v>0.56976300000000002</c:v>
                </c:pt>
                <c:pt idx="133">
                  <c:v>0.57479899999999995</c:v>
                </c:pt>
                <c:pt idx="134">
                  <c:v>0.57983399999999996</c:v>
                </c:pt>
                <c:pt idx="135">
                  <c:v>0.58486899999999997</c:v>
                </c:pt>
                <c:pt idx="136">
                  <c:v>0.58990500000000001</c:v>
                </c:pt>
                <c:pt idx="137">
                  <c:v>0.59494000000000002</c:v>
                </c:pt>
                <c:pt idx="138">
                  <c:v>0.59997599999999995</c:v>
                </c:pt>
                <c:pt idx="139">
                  <c:v>0.60501099999999997</c:v>
                </c:pt>
                <c:pt idx="140">
                  <c:v>0.61004599999999998</c:v>
                </c:pt>
                <c:pt idx="141">
                  <c:v>0.61508200000000002</c:v>
                </c:pt>
                <c:pt idx="142">
                  <c:v>0.62011700000000003</c:v>
                </c:pt>
                <c:pt idx="143">
                  <c:v>0.62515299999999996</c:v>
                </c:pt>
                <c:pt idx="144">
                  <c:v>0.63018799999999997</c:v>
                </c:pt>
                <c:pt idx="145">
                  <c:v>0.63522299999999998</c:v>
                </c:pt>
                <c:pt idx="146">
                  <c:v>0.64025900000000002</c:v>
                </c:pt>
                <c:pt idx="147">
                  <c:v>0.64529400000000003</c:v>
                </c:pt>
                <c:pt idx="148">
                  <c:v>0.65032999999999996</c:v>
                </c:pt>
                <c:pt idx="149">
                  <c:v>0.65536499999999998</c:v>
                </c:pt>
                <c:pt idx="150">
                  <c:v>0.66039999999999999</c:v>
                </c:pt>
                <c:pt idx="151">
                  <c:v>0.66543600000000003</c:v>
                </c:pt>
                <c:pt idx="152">
                  <c:v>0.67047100000000004</c:v>
                </c:pt>
                <c:pt idx="153">
                  <c:v>0.67550699999999997</c:v>
                </c:pt>
                <c:pt idx="154">
                  <c:v>0.68054199999999998</c:v>
                </c:pt>
                <c:pt idx="155">
                  <c:v>0.68557699999999999</c:v>
                </c:pt>
                <c:pt idx="156">
                  <c:v>0.69061300000000003</c:v>
                </c:pt>
                <c:pt idx="157">
                  <c:v>0.69564800000000004</c:v>
                </c:pt>
                <c:pt idx="158">
                  <c:v>0.70068399999999997</c:v>
                </c:pt>
                <c:pt idx="159">
                  <c:v>0.70571899999999999</c:v>
                </c:pt>
                <c:pt idx="160">
                  <c:v>0.710754</c:v>
                </c:pt>
                <c:pt idx="161">
                  <c:v>0.71579000000000004</c:v>
                </c:pt>
                <c:pt idx="162">
                  <c:v>0.72082500000000005</c:v>
                </c:pt>
                <c:pt idx="163">
                  <c:v>0.72586099999999998</c:v>
                </c:pt>
                <c:pt idx="164">
                  <c:v>0.73089599999999999</c:v>
                </c:pt>
                <c:pt idx="165">
                  <c:v>0.735931</c:v>
                </c:pt>
                <c:pt idx="166">
                  <c:v>0.74096700000000004</c:v>
                </c:pt>
                <c:pt idx="167">
                  <c:v>0.74600200000000005</c:v>
                </c:pt>
                <c:pt idx="168">
                  <c:v>0.75103799999999998</c:v>
                </c:pt>
                <c:pt idx="169">
                  <c:v>0.756073</c:v>
                </c:pt>
                <c:pt idx="170">
                  <c:v>0.76110800000000001</c:v>
                </c:pt>
                <c:pt idx="171">
                  <c:v>0.76614400000000005</c:v>
                </c:pt>
                <c:pt idx="172">
                  <c:v>0.77117899999999995</c:v>
                </c:pt>
                <c:pt idx="173">
                  <c:v>0.77621499999999999</c:v>
                </c:pt>
                <c:pt idx="174">
                  <c:v>0.78125</c:v>
                </c:pt>
                <c:pt idx="175">
                  <c:v>0.78628500000000001</c:v>
                </c:pt>
                <c:pt idx="176">
                  <c:v>0.79132100000000005</c:v>
                </c:pt>
                <c:pt idx="177">
                  <c:v>0.79635599999999995</c:v>
                </c:pt>
                <c:pt idx="178">
                  <c:v>0.80139199999999999</c:v>
                </c:pt>
                <c:pt idx="179">
                  <c:v>0.806427</c:v>
                </c:pt>
                <c:pt idx="180">
                  <c:v>0.81146200000000002</c:v>
                </c:pt>
                <c:pt idx="181">
                  <c:v>0.81649799999999995</c:v>
                </c:pt>
                <c:pt idx="182">
                  <c:v>0.82153299999999996</c:v>
                </c:pt>
                <c:pt idx="183">
                  <c:v>0.826569</c:v>
                </c:pt>
                <c:pt idx="184">
                  <c:v>0.83160400000000001</c:v>
                </c:pt>
                <c:pt idx="185">
                  <c:v>0.83663900000000002</c:v>
                </c:pt>
                <c:pt idx="186">
                  <c:v>0.84167499999999995</c:v>
                </c:pt>
                <c:pt idx="187">
                  <c:v>0.84670999999999996</c:v>
                </c:pt>
                <c:pt idx="188">
                  <c:v>0.851746</c:v>
                </c:pt>
                <c:pt idx="189">
                  <c:v>0.85678100000000001</c:v>
                </c:pt>
                <c:pt idx="190">
                  <c:v>0.86181600000000003</c:v>
                </c:pt>
                <c:pt idx="191">
                  <c:v>0.86685199999999996</c:v>
                </c:pt>
                <c:pt idx="192">
                  <c:v>0.87188699999999997</c:v>
                </c:pt>
                <c:pt idx="193">
                  <c:v>0.87692300000000001</c:v>
                </c:pt>
                <c:pt idx="194">
                  <c:v>0.88195800000000002</c:v>
                </c:pt>
                <c:pt idx="195">
                  <c:v>0.88699300000000003</c:v>
                </c:pt>
                <c:pt idx="196">
                  <c:v>0.89202899999999996</c:v>
                </c:pt>
                <c:pt idx="197">
                  <c:v>0.89706399999999997</c:v>
                </c:pt>
                <c:pt idx="198">
                  <c:v>0.90210000000000001</c:v>
                </c:pt>
                <c:pt idx="199">
                  <c:v>0.90713500000000002</c:v>
                </c:pt>
                <c:pt idx="200">
                  <c:v>0.91217000000000004</c:v>
                </c:pt>
                <c:pt idx="201">
                  <c:v>0.91720599999999997</c:v>
                </c:pt>
                <c:pt idx="202">
                  <c:v>0.92224099999999998</c:v>
                </c:pt>
                <c:pt idx="203">
                  <c:v>0.92727700000000002</c:v>
                </c:pt>
                <c:pt idx="204">
                  <c:v>0.93231200000000003</c:v>
                </c:pt>
                <c:pt idx="205">
                  <c:v>0.93734700000000004</c:v>
                </c:pt>
                <c:pt idx="206">
                  <c:v>0.94238299999999997</c:v>
                </c:pt>
                <c:pt idx="207">
                  <c:v>0.94741799999999998</c:v>
                </c:pt>
                <c:pt idx="208">
                  <c:v>0.95245400000000002</c:v>
                </c:pt>
                <c:pt idx="209">
                  <c:v>0.95748900000000003</c:v>
                </c:pt>
                <c:pt idx="210">
                  <c:v>0.96252400000000005</c:v>
                </c:pt>
                <c:pt idx="211">
                  <c:v>0.96755999999999998</c:v>
                </c:pt>
                <c:pt idx="212">
                  <c:v>0.97259499999999999</c:v>
                </c:pt>
                <c:pt idx="213">
                  <c:v>0.97763100000000003</c:v>
                </c:pt>
                <c:pt idx="214">
                  <c:v>0.98266600000000004</c:v>
                </c:pt>
                <c:pt idx="215">
                  <c:v>0.98770100000000005</c:v>
                </c:pt>
                <c:pt idx="216">
                  <c:v>0.99273699999999998</c:v>
                </c:pt>
                <c:pt idx="217">
                  <c:v>0.99777199999999999</c:v>
                </c:pt>
                <c:pt idx="218">
                  <c:v>1.00281</c:v>
                </c:pt>
                <c:pt idx="219">
                  <c:v>1.0078400000000001</c:v>
                </c:pt>
                <c:pt idx="220">
                  <c:v>1.01288</c:v>
                </c:pt>
                <c:pt idx="221">
                  <c:v>1.0179100000000001</c:v>
                </c:pt>
                <c:pt idx="222">
                  <c:v>1.02295</c:v>
                </c:pt>
                <c:pt idx="223">
                  <c:v>1.0279799999999999</c:v>
                </c:pt>
                <c:pt idx="224">
                  <c:v>1.03302</c:v>
                </c:pt>
                <c:pt idx="225">
                  <c:v>1.03806</c:v>
                </c:pt>
                <c:pt idx="226">
                  <c:v>1.0430900000000001</c:v>
                </c:pt>
                <c:pt idx="227">
                  <c:v>1.04813</c:v>
                </c:pt>
                <c:pt idx="228">
                  <c:v>1.0531600000000001</c:v>
                </c:pt>
                <c:pt idx="229">
                  <c:v>1.0582</c:v>
                </c:pt>
                <c:pt idx="230">
                  <c:v>1.0632299999999999</c:v>
                </c:pt>
                <c:pt idx="231">
                  <c:v>1.0682700000000001</c:v>
                </c:pt>
                <c:pt idx="232">
                  <c:v>1.0732999999999999</c:v>
                </c:pt>
                <c:pt idx="233">
                  <c:v>1.0783400000000001</c:v>
                </c:pt>
                <c:pt idx="234">
                  <c:v>1.0833699999999999</c:v>
                </c:pt>
                <c:pt idx="235">
                  <c:v>1.0884100000000001</c:v>
                </c:pt>
                <c:pt idx="236">
                  <c:v>1.09344</c:v>
                </c:pt>
                <c:pt idx="237">
                  <c:v>1.0984799999999999</c:v>
                </c:pt>
                <c:pt idx="238">
                  <c:v>1.1035200000000001</c:v>
                </c:pt>
                <c:pt idx="239">
                  <c:v>1.1085499999999999</c:v>
                </c:pt>
                <c:pt idx="240">
                  <c:v>1.1135900000000001</c:v>
                </c:pt>
                <c:pt idx="241">
                  <c:v>1.1186199999999999</c:v>
                </c:pt>
                <c:pt idx="242">
                  <c:v>1.1236600000000001</c:v>
                </c:pt>
                <c:pt idx="243">
                  <c:v>1.12869</c:v>
                </c:pt>
                <c:pt idx="244">
                  <c:v>1.1337299999999999</c:v>
                </c:pt>
                <c:pt idx="245">
                  <c:v>1.13876</c:v>
                </c:pt>
                <c:pt idx="246">
                  <c:v>1.1437999999999999</c:v>
                </c:pt>
                <c:pt idx="247">
                  <c:v>1.14883</c:v>
                </c:pt>
                <c:pt idx="248">
                  <c:v>1.15387</c:v>
                </c:pt>
                <c:pt idx="249">
                  <c:v>1.1589100000000001</c:v>
                </c:pt>
                <c:pt idx="250">
                  <c:v>1.16394</c:v>
                </c:pt>
                <c:pt idx="251">
                  <c:v>1.1689799999999999</c:v>
                </c:pt>
                <c:pt idx="252">
                  <c:v>1.17401</c:v>
                </c:pt>
                <c:pt idx="253">
                  <c:v>1.1790499999999999</c:v>
                </c:pt>
                <c:pt idx="254">
                  <c:v>1.18408</c:v>
                </c:pt>
                <c:pt idx="255">
                  <c:v>1.18912</c:v>
                </c:pt>
                <c:pt idx="256">
                  <c:v>1.19415</c:v>
                </c:pt>
                <c:pt idx="257">
                  <c:v>1.19919</c:v>
                </c:pt>
                <c:pt idx="258">
                  <c:v>1.2042200000000001</c:v>
                </c:pt>
                <c:pt idx="259">
                  <c:v>1.20926</c:v>
                </c:pt>
                <c:pt idx="260">
                  <c:v>1.2142900000000001</c:v>
                </c:pt>
                <c:pt idx="261">
                  <c:v>1.21933</c:v>
                </c:pt>
                <c:pt idx="262">
                  <c:v>1.22437</c:v>
                </c:pt>
                <c:pt idx="263">
                  <c:v>1.2294</c:v>
                </c:pt>
                <c:pt idx="264">
                  <c:v>1.23444</c:v>
                </c:pt>
                <c:pt idx="265">
                  <c:v>1.2394700000000001</c:v>
                </c:pt>
                <c:pt idx="266">
                  <c:v>1.24451</c:v>
                </c:pt>
                <c:pt idx="267">
                  <c:v>1.2495400000000001</c:v>
                </c:pt>
                <c:pt idx="268">
                  <c:v>1.25458</c:v>
                </c:pt>
                <c:pt idx="269">
                  <c:v>1.2596099999999999</c:v>
                </c:pt>
                <c:pt idx="270">
                  <c:v>1.2646500000000001</c:v>
                </c:pt>
                <c:pt idx="271">
                  <c:v>1.2696799999999999</c:v>
                </c:pt>
                <c:pt idx="272">
                  <c:v>1.2747200000000001</c:v>
                </c:pt>
                <c:pt idx="273">
                  <c:v>1.2797499999999999</c:v>
                </c:pt>
                <c:pt idx="274">
                  <c:v>1.2847900000000001</c:v>
                </c:pt>
                <c:pt idx="275">
                  <c:v>1.28983</c:v>
                </c:pt>
                <c:pt idx="276">
                  <c:v>1.2948599999999999</c:v>
                </c:pt>
                <c:pt idx="277">
                  <c:v>1.2999000000000001</c:v>
                </c:pt>
                <c:pt idx="278">
                  <c:v>1.3049299999999999</c:v>
                </c:pt>
                <c:pt idx="279">
                  <c:v>1.3099700000000001</c:v>
                </c:pt>
                <c:pt idx="280">
                  <c:v>1.3149999999999999</c:v>
                </c:pt>
                <c:pt idx="281">
                  <c:v>1.3200400000000001</c:v>
                </c:pt>
                <c:pt idx="282">
                  <c:v>1.32507</c:v>
                </c:pt>
                <c:pt idx="283">
                  <c:v>1.3301099999999999</c:v>
                </c:pt>
                <c:pt idx="284">
                  <c:v>1.33514</c:v>
                </c:pt>
                <c:pt idx="285">
                  <c:v>1.3401799999999999</c:v>
                </c:pt>
                <c:pt idx="286">
                  <c:v>1.34521</c:v>
                </c:pt>
                <c:pt idx="287">
                  <c:v>1.35025</c:v>
                </c:pt>
                <c:pt idx="288">
                  <c:v>1.3552900000000001</c:v>
                </c:pt>
                <c:pt idx="289">
                  <c:v>1.36032</c:v>
                </c:pt>
                <c:pt idx="290">
                  <c:v>1.3653599999999999</c:v>
                </c:pt>
                <c:pt idx="291">
                  <c:v>1.37039</c:v>
                </c:pt>
                <c:pt idx="292">
                  <c:v>1.3754299999999999</c:v>
                </c:pt>
                <c:pt idx="293">
                  <c:v>1.38046</c:v>
                </c:pt>
                <c:pt idx="294">
                  <c:v>1.3855</c:v>
                </c:pt>
                <c:pt idx="295">
                  <c:v>1.39053</c:v>
                </c:pt>
                <c:pt idx="296">
                  <c:v>1.39557</c:v>
                </c:pt>
                <c:pt idx="297">
                  <c:v>1.4006000000000001</c:v>
                </c:pt>
                <c:pt idx="298">
                  <c:v>1.40564</c:v>
                </c:pt>
                <c:pt idx="299">
                  <c:v>1.4106799999999999</c:v>
                </c:pt>
                <c:pt idx="300">
                  <c:v>1.41571</c:v>
                </c:pt>
                <c:pt idx="301">
                  <c:v>1.42075</c:v>
                </c:pt>
                <c:pt idx="302">
                  <c:v>1.42578</c:v>
                </c:pt>
                <c:pt idx="303">
                  <c:v>1.43082</c:v>
                </c:pt>
                <c:pt idx="304">
                  <c:v>1.4358500000000001</c:v>
                </c:pt>
                <c:pt idx="305">
                  <c:v>1.44089</c:v>
                </c:pt>
                <c:pt idx="306">
                  <c:v>1.4459200000000001</c:v>
                </c:pt>
                <c:pt idx="307">
                  <c:v>1.45096</c:v>
                </c:pt>
                <c:pt idx="308">
                  <c:v>1.4559899999999999</c:v>
                </c:pt>
                <c:pt idx="309">
                  <c:v>1.4610300000000001</c:v>
                </c:pt>
                <c:pt idx="310">
                  <c:v>1.4660599999999999</c:v>
                </c:pt>
                <c:pt idx="311">
                  <c:v>1.4711000000000001</c:v>
                </c:pt>
                <c:pt idx="312">
                  <c:v>1.47614</c:v>
                </c:pt>
                <c:pt idx="313">
                  <c:v>1.4811700000000001</c:v>
                </c:pt>
                <c:pt idx="314">
                  <c:v>1.48621</c:v>
                </c:pt>
                <c:pt idx="315">
                  <c:v>1.4912399999999999</c:v>
                </c:pt>
                <c:pt idx="316">
                  <c:v>1.4962800000000001</c:v>
                </c:pt>
                <c:pt idx="317">
                  <c:v>1.5013099999999999</c:v>
                </c:pt>
                <c:pt idx="318">
                  <c:v>1.5063500000000001</c:v>
                </c:pt>
                <c:pt idx="319">
                  <c:v>1.5113799999999999</c:v>
                </c:pt>
                <c:pt idx="320">
                  <c:v>1.5164200000000001</c:v>
                </c:pt>
                <c:pt idx="321">
                  <c:v>1.52145</c:v>
                </c:pt>
                <c:pt idx="322">
                  <c:v>1.5264899999999999</c:v>
                </c:pt>
                <c:pt idx="323">
                  <c:v>1.53152</c:v>
                </c:pt>
                <c:pt idx="324">
                  <c:v>1.5365599999999999</c:v>
                </c:pt>
                <c:pt idx="325">
                  <c:v>1.5416000000000001</c:v>
                </c:pt>
                <c:pt idx="326">
                  <c:v>1.5466299999999999</c:v>
                </c:pt>
                <c:pt idx="327">
                  <c:v>1.5516700000000001</c:v>
                </c:pt>
                <c:pt idx="328">
                  <c:v>1.5567</c:v>
                </c:pt>
                <c:pt idx="329">
                  <c:v>1.5617399999999999</c:v>
                </c:pt>
                <c:pt idx="330">
                  <c:v>1.56677</c:v>
                </c:pt>
                <c:pt idx="331">
                  <c:v>1.5718099999999999</c:v>
                </c:pt>
                <c:pt idx="332">
                  <c:v>1.57684</c:v>
                </c:pt>
                <c:pt idx="333">
                  <c:v>1.58188</c:v>
                </c:pt>
                <c:pt idx="334">
                  <c:v>1.58691</c:v>
                </c:pt>
                <c:pt idx="335">
                  <c:v>1.59195</c:v>
                </c:pt>
                <c:pt idx="336">
                  <c:v>1.5969800000000001</c:v>
                </c:pt>
                <c:pt idx="337">
                  <c:v>1.60202</c:v>
                </c:pt>
                <c:pt idx="338">
                  <c:v>1.6070599999999999</c:v>
                </c:pt>
                <c:pt idx="339">
                  <c:v>1.61209</c:v>
                </c:pt>
                <c:pt idx="340">
                  <c:v>1.61713</c:v>
                </c:pt>
                <c:pt idx="341">
                  <c:v>1.62216</c:v>
                </c:pt>
                <c:pt idx="342">
                  <c:v>1.6272</c:v>
                </c:pt>
                <c:pt idx="343">
                  <c:v>1.6322300000000001</c:v>
                </c:pt>
                <c:pt idx="344">
                  <c:v>1.63727</c:v>
                </c:pt>
                <c:pt idx="345">
                  <c:v>1.6423000000000001</c:v>
                </c:pt>
                <c:pt idx="346">
                  <c:v>1.64734</c:v>
                </c:pt>
                <c:pt idx="347">
                  <c:v>1.6523699999999999</c:v>
                </c:pt>
                <c:pt idx="348">
                  <c:v>1.65741</c:v>
                </c:pt>
                <c:pt idx="349">
                  <c:v>1.66245</c:v>
                </c:pt>
                <c:pt idx="350">
                  <c:v>1.6674800000000001</c:v>
                </c:pt>
                <c:pt idx="351">
                  <c:v>1.67252</c:v>
                </c:pt>
                <c:pt idx="352">
                  <c:v>1.6775500000000001</c:v>
                </c:pt>
                <c:pt idx="353">
                  <c:v>1.68259</c:v>
                </c:pt>
                <c:pt idx="354">
                  <c:v>1.6876199999999999</c:v>
                </c:pt>
                <c:pt idx="355">
                  <c:v>1.6926600000000001</c:v>
                </c:pt>
                <c:pt idx="356">
                  <c:v>1.6976899999999999</c:v>
                </c:pt>
                <c:pt idx="357">
                  <c:v>1.7027300000000001</c:v>
                </c:pt>
                <c:pt idx="358">
                  <c:v>1.7077599999999999</c:v>
                </c:pt>
                <c:pt idx="359">
                  <c:v>1.7128000000000001</c:v>
                </c:pt>
                <c:pt idx="360">
                  <c:v>1.71783</c:v>
                </c:pt>
                <c:pt idx="361">
                  <c:v>1.7228699999999999</c:v>
                </c:pt>
                <c:pt idx="362">
                  <c:v>1.7279100000000001</c:v>
                </c:pt>
                <c:pt idx="363">
                  <c:v>1.7329399999999999</c:v>
                </c:pt>
                <c:pt idx="364">
                  <c:v>1.7379800000000001</c:v>
                </c:pt>
                <c:pt idx="365">
                  <c:v>1.7430099999999999</c:v>
                </c:pt>
                <c:pt idx="366">
                  <c:v>1.7480500000000001</c:v>
                </c:pt>
                <c:pt idx="367">
                  <c:v>1.75308</c:v>
                </c:pt>
                <c:pt idx="368">
                  <c:v>1.7581199999999999</c:v>
                </c:pt>
                <c:pt idx="369">
                  <c:v>1.76315</c:v>
                </c:pt>
                <c:pt idx="370">
                  <c:v>1.7681899999999999</c:v>
                </c:pt>
                <c:pt idx="371">
                  <c:v>1.77322</c:v>
                </c:pt>
                <c:pt idx="372">
                  <c:v>1.77826</c:v>
                </c:pt>
                <c:pt idx="373">
                  <c:v>1.78329</c:v>
                </c:pt>
                <c:pt idx="374">
                  <c:v>1.78833</c:v>
                </c:pt>
                <c:pt idx="375">
                  <c:v>1.7933699999999999</c:v>
                </c:pt>
              </c:numCache>
            </c:numRef>
          </c:xVal>
          <c:yVal>
            <c:numRef>
              <c:f>'20221206T090000'!$BD$11:$BD$500</c:f>
              <c:numCache>
                <c:formatCode>General</c:formatCode>
                <c:ptCount val="490"/>
                <c:pt idx="0">
                  <c:v>17.447777777777777</c:v>
                </c:pt>
                <c:pt idx="1">
                  <c:v>17.45148148148148</c:v>
                </c:pt>
                <c:pt idx="2">
                  <c:v>17.45148148148148</c:v>
                </c:pt>
                <c:pt idx="3">
                  <c:v>17.432716049382716</c:v>
                </c:pt>
                <c:pt idx="4">
                  <c:v>17.417654320987655</c:v>
                </c:pt>
                <c:pt idx="5">
                  <c:v>17.417654320987655</c:v>
                </c:pt>
                <c:pt idx="6">
                  <c:v>17.421358024691358</c:v>
                </c:pt>
                <c:pt idx="7">
                  <c:v>17.428888888888888</c:v>
                </c:pt>
                <c:pt idx="8">
                  <c:v>17.428888888888888</c:v>
                </c:pt>
                <c:pt idx="9">
                  <c:v>17.432716049382716</c:v>
                </c:pt>
                <c:pt idx="10">
                  <c:v>17.421358024691358</c:v>
                </c:pt>
                <c:pt idx="11">
                  <c:v>17.417654320987655</c:v>
                </c:pt>
                <c:pt idx="12">
                  <c:v>17.417654320987655</c:v>
                </c:pt>
                <c:pt idx="13">
                  <c:v>17.417654320987655</c:v>
                </c:pt>
                <c:pt idx="14">
                  <c:v>17.417654320987655</c:v>
                </c:pt>
                <c:pt idx="15">
                  <c:v>17.410123456790124</c:v>
                </c:pt>
                <c:pt idx="16">
                  <c:v>17.410123456790124</c:v>
                </c:pt>
                <c:pt idx="17">
                  <c:v>17.40259259259259</c:v>
                </c:pt>
                <c:pt idx="18">
                  <c:v>17.398765432098763</c:v>
                </c:pt>
                <c:pt idx="19">
                  <c:v>17.39506172839506</c:v>
                </c:pt>
                <c:pt idx="20">
                  <c:v>17.387530864197529</c:v>
                </c:pt>
                <c:pt idx="21">
                  <c:v>17.387530864197529</c:v>
                </c:pt>
                <c:pt idx="22">
                  <c:v>17.372469135802469</c:v>
                </c:pt>
                <c:pt idx="23">
                  <c:v>17.368641975308641</c:v>
                </c:pt>
                <c:pt idx="24">
                  <c:v>17.372469135802469</c:v>
                </c:pt>
                <c:pt idx="25">
                  <c:v>17.361111111111111</c:v>
                </c:pt>
                <c:pt idx="26">
                  <c:v>17.35358024691358</c:v>
                </c:pt>
                <c:pt idx="27">
                  <c:v>17.357283950617283</c:v>
                </c:pt>
                <c:pt idx="28">
                  <c:v>17.38</c:v>
                </c:pt>
                <c:pt idx="29">
                  <c:v>17.383703703703702</c:v>
                </c:pt>
                <c:pt idx="30">
                  <c:v>17.376172839506172</c:v>
                </c:pt>
                <c:pt idx="31">
                  <c:v>17.383703703703702</c:v>
                </c:pt>
                <c:pt idx="32">
                  <c:v>17.383703703703702</c:v>
                </c:pt>
                <c:pt idx="33">
                  <c:v>17.38</c:v>
                </c:pt>
                <c:pt idx="34">
                  <c:v>17.364938271604938</c:v>
                </c:pt>
                <c:pt idx="35">
                  <c:v>17.357283950617283</c:v>
                </c:pt>
                <c:pt idx="36">
                  <c:v>17.357283950617283</c:v>
                </c:pt>
                <c:pt idx="37">
                  <c:v>17.364938271604938</c:v>
                </c:pt>
                <c:pt idx="38">
                  <c:v>17.372469135802469</c:v>
                </c:pt>
                <c:pt idx="39">
                  <c:v>17.383703703703702</c:v>
                </c:pt>
                <c:pt idx="40">
                  <c:v>17.387530864197529</c:v>
                </c:pt>
                <c:pt idx="41">
                  <c:v>17.387530864197529</c:v>
                </c:pt>
                <c:pt idx="42">
                  <c:v>17.368641975308641</c:v>
                </c:pt>
                <c:pt idx="43">
                  <c:v>17.349753086419753</c:v>
                </c:pt>
                <c:pt idx="44">
                  <c:v>17.338518518518516</c:v>
                </c:pt>
                <c:pt idx="45">
                  <c:v>17.34604938271605</c:v>
                </c:pt>
                <c:pt idx="46">
                  <c:v>17.34604938271605</c:v>
                </c:pt>
                <c:pt idx="47">
                  <c:v>17.338518518518516</c:v>
                </c:pt>
                <c:pt idx="48">
                  <c:v>17.35358024691358</c:v>
                </c:pt>
                <c:pt idx="49">
                  <c:v>17.349753086419753</c:v>
                </c:pt>
                <c:pt idx="50">
                  <c:v>17.357283950617283</c:v>
                </c:pt>
                <c:pt idx="51">
                  <c:v>17.372469135802469</c:v>
                </c:pt>
                <c:pt idx="52">
                  <c:v>17.383703703703702</c:v>
                </c:pt>
                <c:pt idx="53">
                  <c:v>17.383703703703702</c:v>
                </c:pt>
                <c:pt idx="54">
                  <c:v>17.357283950617283</c:v>
                </c:pt>
                <c:pt idx="55">
                  <c:v>17.334691358024692</c:v>
                </c:pt>
                <c:pt idx="56">
                  <c:v>17.308395061728394</c:v>
                </c:pt>
                <c:pt idx="57">
                  <c:v>17.315925925925924</c:v>
                </c:pt>
                <c:pt idx="58">
                  <c:v>17.319629629629631</c:v>
                </c:pt>
                <c:pt idx="59">
                  <c:v>17.319629629629631</c:v>
                </c:pt>
                <c:pt idx="60">
                  <c:v>17.312098765432097</c:v>
                </c:pt>
                <c:pt idx="61">
                  <c:v>17.315925925925924</c:v>
                </c:pt>
                <c:pt idx="62">
                  <c:v>17.315925925925924</c:v>
                </c:pt>
                <c:pt idx="63">
                  <c:v>17.315925925925924</c:v>
                </c:pt>
                <c:pt idx="64">
                  <c:v>17.308395061728394</c:v>
                </c:pt>
                <c:pt idx="65">
                  <c:v>17.297037037037036</c:v>
                </c:pt>
                <c:pt idx="66">
                  <c:v>17.300864197530863</c:v>
                </c:pt>
                <c:pt idx="67">
                  <c:v>17.312098765432097</c:v>
                </c:pt>
                <c:pt idx="68">
                  <c:v>17.308395061728394</c:v>
                </c:pt>
                <c:pt idx="69">
                  <c:v>17.315925925925924</c:v>
                </c:pt>
                <c:pt idx="70">
                  <c:v>17.323456790123455</c:v>
                </c:pt>
                <c:pt idx="71">
                  <c:v>17.334691358024692</c:v>
                </c:pt>
                <c:pt idx="72">
                  <c:v>17.349753086419753</c:v>
                </c:pt>
                <c:pt idx="73">
                  <c:v>17.34604938271605</c:v>
                </c:pt>
                <c:pt idx="74">
                  <c:v>17.338518518518516</c:v>
                </c:pt>
                <c:pt idx="75">
                  <c:v>17.334691358024692</c:v>
                </c:pt>
                <c:pt idx="76">
                  <c:v>17.327160493827162</c:v>
                </c:pt>
                <c:pt idx="77">
                  <c:v>17.315925925925924</c:v>
                </c:pt>
                <c:pt idx="78">
                  <c:v>17.312098765432097</c:v>
                </c:pt>
                <c:pt idx="79">
                  <c:v>17.312098765432097</c:v>
                </c:pt>
                <c:pt idx="80">
                  <c:v>17.323456790123455</c:v>
                </c:pt>
                <c:pt idx="81">
                  <c:v>17.334691358024692</c:v>
                </c:pt>
                <c:pt idx="82">
                  <c:v>17.323456790123455</c:v>
                </c:pt>
                <c:pt idx="83">
                  <c:v>17.308395061728394</c:v>
                </c:pt>
                <c:pt idx="84">
                  <c:v>17.300864197530863</c:v>
                </c:pt>
                <c:pt idx="85">
                  <c:v>17.293333333333333</c:v>
                </c:pt>
                <c:pt idx="86">
                  <c:v>17.300864197530863</c:v>
                </c:pt>
                <c:pt idx="87">
                  <c:v>17.289506172839506</c:v>
                </c:pt>
                <c:pt idx="88">
                  <c:v>17.274444444444445</c:v>
                </c:pt>
                <c:pt idx="89">
                  <c:v>17.270740740740738</c:v>
                </c:pt>
                <c:pt idx="90">
                  <c:v>17.266913580246914</c:v>
                </c:pt>
                <c:pt idx="91">
                  <c:v>17.263209876543208</c:v>
                </c:pt>
                <c:pt idx="92">
                  <c:v>17.255679012345677</c:v>
                </c:pt>
                <c:pt idx="93">
                  <c:v>17.263209876543208</c:v>
                </c:pt>
                <c:pt idx="94">
                  <c:v>17.274444444444445</c:v>
                </c:pt>
                <c:pt idx="95">
                  <c:v>17.278271604938272</c:v>
                </c:pt>
                <c:pt idx="96">
                  <c:v>17.289506172839506</c:v>
                </c:pt>
                <c:pt idx="97">
                  <c:v>17.308395061728394</c:v>
                </c:pt>
                <c:pt idx="98">
                  <c:v>17.319629629629631</c:v>
                </c:pt>
                <c:pt idx="99">
                  <c:v>17.319629629629631</c:v>
                </c:pt>
                <c:pt idx="100">
                  <c:v>17.308395061728394</c:v>
                </c:pt>
                <c:pt idx="101">
                  <c:v>17.289506172839506</c:v>
                </c:pt>
                <c:pt idx="102">
                  <c:v>17.281975308641975</c:v>
                </c:pt>
                <c:pt idx="103">
                  <c:v>17.281975308641975</c:v>
                </c:pt>
                <c:pt idx="104">
                  <c:v>17.285802469135803</c:v>
                </c:pt>
                <c:pt idx="105">
                  <c:v>17.312098765432097</c:v>
                </c:pt>
                <c:pt idx="106">
                  <c:v>17.327160493827162</c:v>
                </c:pt>
                <c:pt idx="107">
                  <c:v>17.338518518518516</c:v>
                </c:pt>
                <c:pt idx="108">
                  <c:v>17.342222222222222</c:v>
                </c:pt>
                <c:pt idx="109">
                  <c:v>17.342222222222222</c:v>
                </c:pt>
                <c:pt idx="110">
                  <c:v>17.338518518518516</c:v>
                </c:pt>
                <c:pt idx="111">
                  <c:v>17.342222222222222</c:v>
                </c:pt>
                <c:pt idx="112">
                  <c:v>17.361111111111111</c:v>
                </c:pt>
                <c:pt idx="113">
                  <c:v>17.38</c:v>
                </c:pt>
                <c:pt idx="114">
                  <c:v>17.38</c:v>
                </c:pt>
                <c:pt idx="115">
                  <c:v>17.376172839506172</c:v>
                </c:pt>
                <c:pt idx="116">
                  <c:v>17.376172839506172</c:v>
                </c:pt>
                <c:pt idx="117">
                  <c:v>17.38</c:v>
                </c:pt>
                <c:pt idx="118">
                  <c:v>17.376172839506172</c:v>
                </c:pt>
                <c:pt idx="119">
                  <c:v>17.364938271604938</c:v>
                </c:pt>
                <c:pt idx="120">
                  <c:v>17.35358024691358</c:v>
                </c:pt>
                <c:pt idx="121">
                  <c:v>17.34604938271605</c:v>
                </c:pt>
                <c:pt idx="122">
                  <c:v>17.357283950617283</c:v>
                </c:pt>
                <c:pt idx="123">
                  <c:v>17.368641975308641</c:v>
                </c:pt>
                <c:pt idx="124">
                  <c:v>17.372469135802469</c:v>
                </c:pt>
                <c:pt idx="125">
                  <c:v>17.372469135802469</c:v>
                </c:pt>
                <c:pt idx="126">
                  <c:v>17.357283950617283</c:v>
                </c:pt>
                <c:pt idx="127">
                  <c:v>17.35358024691358</c:v>
                </c:pt>
                <c:pt idx="128">
                  <c:v>17.34604938271605</c:v>
                </c:pt>
                <c:pt idx="129">
                  <c:v>17.334691358024692</c:v>
                </c:pt>
                <c:pt idx="130">
                  <c:v>17.338518518518516</c:v>
                </c:pt>
                <c:pt idx="131">
                  <c:v>17.342222222222222</c:v>
                </c:pt>
                <c:pt idx="132">
                  <c:v>17.342222222222222</c:v>
                </c:pt>
                <c:pt idx="133">
                  <c:v>17.342222222222222</c:v>
                </c:pt>
                <c:pt idx="134">
                  <c:v>17.334691358024692</c:v>
                </c:pt>
                <c:pt idx="135">
                  <c:v>17.342222222222222</c:v>
                </c:pt>
                <c:pt idx="136">
                  <c:v>17.349753086419753</c:v>
                </c:pt>
                <c:pt idx="137">
                  <c:v>17.357283950617283</c:v>
                </c:pt>
                <c:pt idx="138">
                  <c:v>17.34604938271605</c:v>
                </c:pt>
                <c:pt idx="139">
                  <c:v>17.334691358024692</c:v>
                </c:pt>
                <c:pt idx="140">
                  <c:v>17.330987654320985</c:v>
                </c:pt>
                <c:pt idx="141">
                  <c:v>17.342222222222222</c:v>
                </c:pt>
                <c:pt idx="142">
                  <c:v>17.338518518518516</c:v>
                </c:pt>
                <c:pt idx="143">
                  <c:v>17.342222222222222</c:v>
                </c:pt>
                <c:pt idx="144">
                  <c:v>17.34604938271605</c:v>
                </c:pt>
                <c:pt idx="145">
                  <c:v>17.334691358024692</c:v>
                </c:pt>
                <c:pt idx="146">
                  <c:v>17.330987654320985</c:v>
                </c:pt>
                <c:pt idx="147">
                  <c:v>17.308395061728394</c:v>
                </c:pt>
                <c:pt idx="148">
                  <c:v>17.308395061728394</c:v>
                </c:pt>
                <c:pt idx="149">
                  <c:v>17.312098765432097</c:v>
                </c:pt>
                <c:pt idx="150">
                  <c:v>17.308395061728394</c:v>
                </c:pt>
                <c:pt idx="151">
                  <c:v>17.293333333333333</c:v>
                </c:pt>
                <c:pt idx="152">
                  <c:v>17.274444444444445</c:v>
                </c:pt>
                <c:pt idx="153">
                  <c:v>17.266913580246914</c:v>
                </c:pt>
                <c:pt idx="154">
                  <c:v>17.266913580246914</c:v>
                </c:pt>
                <c:pt idx="155">
                  <c:v>17.266913580246914</c:v>
                </c:pt>
                <c:pt idx="156">
                  <c:v>17.263209876543208</c:v>
                </c:pt>
                <c:pt idx="157">
                  <c:v>17.266913580246914</c:v>
                </c:pt>
                <c:pt idx="158">
                  <c:v>17.278271604938272</c:v>
                </c:pt>
                <c:pt idx="159">
                  <c:v>17.270740740740738</c:v>
                </c:pt>
                <c:pt idx="160">
                  <c:v>17.263209876543208</c:v>
                </c:pt>
                <c:pt idx="161">
                  <c:v>17.266913580246914</c:v>
                </c:pt>
                <c:pt idx="162">
                  <c:v>17.270740740740738</c:v>
                </c:pt>
                <c:pt idx="163">
                  <c:v>17.281975308641975</c:v>
                </c:pt>
                <c:pt idx="164">
                  <c:v>17.281975308641975</c:v>
                </c:pt>
                <c:pt idx="165">
                  <c:v>17.281975308641975</c:v>
                </c:pt>
                <c:pt idx="166">
                  <c:v>17.289506172839506</c:v>
                </c:pt>
                <c:pt idx="167">
                  <c:v>17.308395061728394</c:v>
                </c:pt>
                <c:pt idx="168">
                  <c:v>17.308395061728394</c:v>
                </c:pt>
                <c:pt idx="169">
                  <c:v>17.315925925925924</c:v>
                </c:pt>
                <c:pt idx="170">
                  <c:v>17.327160493827162</c:v>
                </c:pt>
                <c:pt idx="171">
                  <c:v>17.319629629629631</c:v>
                </c:pt>
                <c:pt idx="172">
                  <c:v>17.312098765432097</c:v>
                </c:pt>
                <c:pt idx="173">
                  <c:v>17.312098765432097</c:v>
                </c:pt>
                <c:pt idx="174">
                  <c:v>17.312098765432097</c:v>
                </c:pt>
                <c:pt idx="175">
                  <c:v>17.319629629629631</c:v>
                </c:pt>
                <c:pt idx="176">
                  <c:v>17.315925925925924</c:v>
                </c:pt>
                <c:pt idx="177">
                  <c:v>17.312098765432097</c:v>
                </c:pt>
                <c:pt idx="178">
                  <c:v>17.312098765432097</c:v>
                </c:pt>
                <c:pt idx="179">
                  <c:v>17.312098765432097</c:v>
                </c:pt>
                <c:pt idx="180">
                  <c:v>17.319629629629631</c:v>
                </c:pt>
                <c:pt idx="181">
                  <c:v>17.300864197530863</c:v>
                </c:pt>
                <c:pt idx="182">
                  <c:v>17.297037037037036</c:v>
                </c:pt>
                <c:pt idx="183">
                  <c:v>17.278271604938272</c:v>
                </c:pt>
                <c:pt idx="184">
                  <c:v>17.255679012345677</c:v>
                </c:pt>
                <c:pt idx="185">
                  <c:v>17.244320987654319</c:v>
                </c:pt>
                <c:pt idx="186">
                  <c:v>17.236790123456789</c:v>
                </c:pt>
                <c:pt idx="187">
                  <c:v>17.236790123456789</c:v>
                </c:pt>
                <c:pt idx="188">
                  <c:v>17.217901234567901</c:v>
                </c:pt>
                <c:pt idx="189">
                  <c:v>17.191604938271606</c:v>
                </c:pt>
                <c:pt idx="190">
                  <c:v>17.187777777777779</c:v>
                </c:pt>
                <c:pt idx="191">
                  <c:v>17.199135802469137</c:v>
                </c:pt>
                <c:pt idx="192">
                  <c:v>17.202839506172836</c:v>
                </c:pt>
                <c:pt idx="193">
                  <c:v>17.21037037037037</c:v>
                </c:pt>
                <c:pt idx="194">
                  <c:v>17.232962962962961</c:v>
                </c:pt>
                <c:pt idx="195">
                  <c:v>17.236790123456789</c:v>
                </c:pt>
                <c:pt idx="196">
                  <c:v>17.244320987654319</c:v>
                </c:pt>
                <c:pt idx="197">
                  <c:v>17.251851851851853</c:v>
                </c:pt>
                <c:pt idx="198">
                  <c:v>17.251851851851853</c:v>
                </c:pt>
                <c:pt idx="199">
                  <c:v>17.236790123456789</c:v>
                </c:pt>
                <c:pt idx="200">
                  <c:v>17.236790123456789</c:v>
                </c:pt>
                <c:pt idx="201">
                  <c:v>17.232962962962961</c:v>
                </c:pt>
                <c:pt idx="202">
                  <c:v>17.232962962962961</c:v>
                </c:pt>
                <c:pt idx="203">
                  <c:v>17.221728395061724</c:v>
                </c:pt>
                <c:pt idx="204">
                  <c:v>17.21037037037037</c:v>
                </c:pt>
                <c:pt idx="205">
                  <c:v>17.202839506172836</c:v>
                </c:pt>
                <c:pt idx="206">
                  <c:v>17.195308641975309</c:v>
                </c:pt>
                <c:pt idx="207">
                  <c:v>17.187777777777779</c:v>
                </c:pt>
                <c:pt idx="208">
                  <c:v>17.176543209876542</c:v>
                </c:pt>
                <c:pt idx="209">
                  <c:v>17.176543209876542</c:v>
                </c:pt>
                <c:pt idx="210">
                  <c:v>17.180246913580245</c:v>
                </c:pt>
                <c:pt idx="211">
                  <c:v>17.191604938271606</c:v>
                </c:pt>
                <c:pt idx="212">
                  <c:v>17.184074074074076</c:v>
                </c:pt>
                <c:pt idx="213">
                  <c:v>17.172716049382714</c:v>
                </c:pt>
                <c:pt idx="214">
                  <c:v>17.161481481481481</c:v>
                </c:pt>
                <c:pt idx="215">
                  <c:v>17.146296296296295</c:v>
                </c:pt>
                <c:pt idx="216">
                  <c:v>17.146296296296295</c:v>
                </c:pt>
                <c:pt idx="217">
                  <c:v>17.142592592592592</c:v>
                </c:pt>
                <c:pt idx="218">
                  <c:v>17.142592592592592</c:v>
                </c:pt>
                <c:pt idx="219">
                  <c:v>17.138765432098765</c:v>
                </c:pt>
                <c:pt idx="220">
                  <c:v>17.142592592592592</c:v>
                </c:pt>
                <c:pt idx="221">
                  <c:v>17.138765432098765</c:v>
                </c:pt>
                <c:pt idx="222">
                  <c:v>17.138765432098765</c:v>
                </c:pt>
                <c:pt idx="223">
                  <c:v>17.12</c:v>
                </c:pt>
                <c:pt idx="224">
                  <c:v>17.101111111111113</c:v>
                </c:pt>
                <c:pt idx="225">
                  <c:v>17.104938271604937</c:v>
                </c:pt>
                <c:pt idx="226">
                  <c:v>17.101111111111113</c:v>
                </c:pt>
                <c:pt idx="227">
                  <c:v>17.093580246913579</c:v>
                </c:pt>
                <c:pt idx="228">
                  <c:v>17.09740740740741</c:v>
                </c:pt>
                <c:pt idx="229">
                  <c:v>17.093580246913579</c:v>
                </c:pt>
                <c:pt idx="230">
                  <c:v>17.093580246913579</c:v>
                </c:pt>
                <c:pt idx="231">
                  <c:v>17.093580246913579</c:v>
                </c:pt>
                <c:pt idx="232">
                  <c:v>17.093580246913579</c:v>
                </c:pt>
                <c:pt idx="233">
                  <c:v>17.086049382716048</c:v>
                </c:pt>
                <c:pt idx="234">
                  <c:v>17.070987654320987</c:v>
                </c:pt>
                <c:pt idx="235">
                  <c:v>17.05975308641975</c:v>
                </c:pt>
                <c:pt idx="236">
                  <c:v>17.044691358024689</c:v>
                </c:pt>
                <c:pt idx="237">
                  <c:v>17.044691358024689</c:v>
                </c:pt>
                <c:pt idx="238">
                  <c:v>17.044691358024689</c:v>
                </c:pt>
                <c:pt idx="239">
                  <c:v>17.040864197530862</c:v>
                </c:pt>
                <c:pt idx="240">
                  <c:v>17.044691358024689</c:v>
                </c:pt>
                <c:pt idx="241">
                  <c:v>17.037037037037035</c:v>
                </c:pt>
                <c:pt idx="242">
                  <c:v>17.040864197530862</c:v>
                </c:pt>
                <c:pt idx="243">
                  <c:v>17.021975308641974</c:v>
                </c:pt>
                <c:pt idx="244">
                  <c:v>16.999382716049382</c:v>
                </c:pt>
                <c:pt idx="245">
                  <c:v>16.984320987654321</c:v>
                </c:pt>
                <c:pt idx="246">
                  <c:v>16.973086419753084</c:v>
                </c:pt>
                <c:pt idx="247">
                  <c:v>16.961728395061726</c:v>
                </c:pt>
                <c:pt idx="248">
                  <c:v>16.946666666666665</c:v>
                </c:pt>
                <c:pt idx="249">
                  <c:v>16.946666666666665</c:v>
                </c:pt>
                <c:pt idx="250">
                  <c:v>16.927777777777777</c:v>
                </c:pt>
                <c:pt idx="251">
                  <c:v>16.90901234567901</c:v>
                </c:pt>
                <c:pt idx="252">
                  <c:v>16.87506172839506</c:v>
                </c:pt>
                <c:pt idx="253">
                  <c:v>16.844938271604939</c:v>
                </c:pt>
                <c:pt idx="254">
                  <c:v>16.829876543209878</c:v>
                </c:pt>
                <c:pt idx="255">
                  <c:v>16.810987654320986</c:v>
                </c:pt>
                <c:pt idx="256">
                  <c:v>16.792222222222222</c:v>
                </c:pt>
                <c:pt idx="257">
                  <c:v>16.788395061728394</c:v>
                </c:pt>
                <c:pt idx="258">
                  <c:v>16.784691358024691</c:v>
                </c:pt>
                <c:pt idx="259">
                  <c:v>16.76962962962963</c:v>
                </c:pt>
                <c:pt idx="260">
                  <c:v>16.7620987654321</c:v>
                </c:pt>
                <c:pt idx="261">
                  <c:v>16.77333333333333</c:v>
                </c:pt>
                <c:pt idx="262">
                  <c:v>16.777160493827161</c:v>
                </c:pt>
                <c:pt idx="263">
                  <c:v>16.77333333333333</c:v>
                </c:pt>
                <c:pt idx="264">
                  <c:v>16.7620987654321</c:v>
                </c:pt>
                <c:pt idx="265">
                  <c:v>16.739506172839505</c:v>
                </c:pt>
                <c:pt idx="266">
                  <c:v>16.731975308641974</c:v>
                </c:pt>
                <c:pt idx="267">
                  <c:v>16.716790123456789</c:v>
                </c:pt>
                <c:pt idx="268">
                  <c:v>16.690493827160495</c:v>
                </c:pt>
                <c:pt idx="269">
                  <c:v>16.664074074074072</c:v>
                </c:pt>
                <c:pt idx="270">
                  <c:v>16.645308641975308</c:v>
                </c:pt>
                <c:pt idx="271">
                  <c:v>16.626419753086417</c:v>
                </c:pt>
                <c:pt idx="272">
                  <c:v>16.615185185185183</c:v>
                </c:pt>
                <c:pt idx="273">
                  <c:v>16.599999999999998</c:v>
                </c:pt>
                <c:pt idx="274">
                  <c:v>16.592469135802467</c:v>
                </c:pt>
                <c:pt idx="275">
                  <c:v>16.581234567901234</c:v>
                </c:pt>
                <c:pt idx="276">
                  <c:v>16.554814814814815</c:v>
                </c:pt>
                <c:pt idx="277">
                  <c:v>16.528518518518517</c:v>
                </c:pt>
                <c:pt idx="278">
                  <c:v>16.513456790123456</c:v>
                </c:pt>
                <c:pt idx="279">
                  <c:v>16.49074074074074</c:v>
                </c:pt>
                <c:pt idx="280">
                  <c:v>16.468148148148149</c:v>
                </c:pt>
                <c:pt idx="281">
                  <c:v>16.449382716049382</c:v>
                </c:pt>
                <c:pt idx="282">
                  <c:v>16.430493827160493</c:v>
                </c:pt>
                <c:pt idx="283">
                  <c:v>16.422962962962963</c:v>
                </c:pt>
                <c:pt idx="284">
                  <c:v>16.411728395061726</c:v>
                </c:pt>
                <c:pt idx="285">
                  <c:v>16.392839506172837</c:v>
                </c:pt>
                <c:pt idx="286">
                  <c:v>16.366419753086415</c:v>
                </c:pt>
                <c:pt idx="287">
                  <c:v>16.336296296296297</c:v>
                </c:pt>
                <c:pt idx="288">
                  <c:v>16.328765432098766</c:v>
                </c:pt>
                <c:pt idx="289">
                  <c:v>16.313703703703702</c:v>
                </c:pt>
                <c:pt idx="290">
                  <c:v>16.29111111111111</c:v>
                </c:pt>
                <c:pt idx="291">
                  <c:v>16.264691358024692</c:v>
                </c:pt>
                <c:pt idx="292">
                  <c:v>16.238395061728394</c:v>
                </c:pt>
                <c:pt idx="293">
                  <c:v>16.219506172839505</c:v>
                </c:pt>
                <c:pt idx="294">
                  <c:v>16.185679012345677</c:v>
                </c:pt>
                <c:pt idx="295">
                  <c:v>16.155432098765431</c:v>
                </c:pt>
                <c:pt idx="296">
                  <c:v>16.129135802469136</c:v>
                </c:pt>
                <c:pt idx="297">
                  <c:v>16.099012345679011</c:v>
                </c:pt>
                <c:pt idx="298">
                  <c:v>16.061234567901234</c:v>
                </c:pt>
                <c:pt idx="299">
                  <c:v>16.023580246913578</c:v>
                </c:pt>
                <c:pt idx="300">
                  <c:v>15.989753086419752</c:v>
                </c:pt>
                <c:pt idx="301">
                  <c:v>15.967037037037036</c:v>
                </c:pt>
                <c:pt idx="302">
                  <c:v>15.951975308641973</c:v>
                </c:pt>
                <c:pt idx="303">
                  <c:v>15.933209876543209</c:v>
                </c:pt>
                <c:pt idx="304">
                  <c:v>15.899259259259258</c:v>
                </c:pt>
                <c:pt idx="305">
                  <c:v>15.865432098765432</c:v>
                </c:pt>
                <c:pt idx="306">
                  <c:v>15.831481481481481</c:v>
                </c:pt>
                <c:pt idx="307">
                  <c:v>15.79</c:v>
                </c:pt>
                <c:pt idx="308">
                  <c:v>15.744814814814816</c:v>
                </c:pt>
                <c:pt idx="309">
                  <c:v>15.703333333333333</c:v>
                </c:pt>
                <c:pt idx="310">
                  <c:v>15.669506172839506</c:v>
                </c:pt>
                <c:pt idx="311">
                  <c:v>15.624197530864196</c:v>
                </c:pt>
                <c:pt idx="312">
                  <c:v>15.575308641975308</c:v>
                </c:pt>
                <c:pt idx="313">
                  <c:v>15.518765432098766</c:v>
                </c:pt>
                <c:pt idx="314">
                  <c:v>15.454691358024689</c:v>
                </c:pt>
                <c:pt idx="315">
                  <c:v>15.409506172839505</c:v>
                </c:pt>
                <c:pt idx="316">
                  <c:v>15.360493827160493</c:v>
                </c:pt>
                <c:pt idx="317">
                  <c:v>15.322839506172839</c:v>
                </c:pt>
                <c:pt idx="318">
                  <c:v>15.270123456790122</c:v>
                </c:pt>
                <c:pt idx="319">
                  <c:v>15.206049382716049</c:v>
                </c:pt>
                <c:pt idx="320">
                  <c:v>15.153333333333332</c:v>
                </c:pt>
                <c:pt idx="321">
                  <c:v>15.104320987654321</c:v>
                </c:pt>
                <c:pt idx="322">
                  <c:v>15.047777777777776</c:v>
                </c:pt>
                <c:pt idx="323">
                  <c:v>14.979999999999999</c:v>
                </c:pt>
                <c:pt idx="324">
                  <c:v>14.912222222222221</c:v>
                </c:pt>
                <c:pt idx="325">
                  <c:v>14.840617283950616</c:v>
                </c:pt>
                <c:pt idx="326">
                  <c:v>14.776543209876543</c:v>
                </c:pt>
                <c:pt idx="327">
                  <c:v>14.712469135802468</c:v>
                </c:pt>
                <c:pt idx="328">
                  <c:v>14.629629629629628</c:v>
                </c:pt>
                <c:pt idx="329">
                  <c:v>14.535432098765432</c:v>
                </c:pt>
                <c:pt idx="330">
                  <c:v>14.441234567901233</c:v>
                </c:pt>
                <c:pt idx="331">
                  <c:v>14.354567901234569</c:v>
                </c:pt>
                <c:pt idx="332">
                  <c:v>14.256666666666666</c:v>
                </c:pt>
                <c:pt idx="333">
                  <c:v>14.162469135802469</c:v>
                </c:pt>
                <c:pt idx="334">
                  <c:v>14.068271604938271</c:v>
                </c:pt>
                <c:pt idx="335">
                  <c:v>13.955185185185183</c:v>
                </c:pt>
                <c:pt idx="336">
                  <c:v>13.857283950617285</c:v>
                </c:pt>
                <c:pt idx="337">
                  <c:v>13.748024691358024</c:v>
                </c:pt>
                <c:pt idx="338">
                  <c:v>13.634938271604938</c:v>
                </c:pt>
                <c:pt idx="339">
                  <c:v>13.510617283950616</c:v>
                </c:pt>
                <c:pt idx="340">
                  <c:v>13.371234567901235</c:v>
                </c:pt>
                <c:pt idx="341">
                  <c:v>13.23185185185185</c:v>
                </c:pt>
                <c:pt idx="342">
                  <c:v>13.077407407407408</c:v>
                </c:pt>
                <c:pt idx="343">
                  <c:v>12.919135802469135</c:v>
                </c:pt>
                <c:pt idx="344">
                  <c:v>12.734444444444444</c:v>
                </c:pt>
                <c:pt idx="345">
                  <c:v>12.530987654320986</c:v>
                </c:pt>
                <c:pt idx="346">
                  <c:v>12.342666666666666</c:v>
                </c:pt>
                <c:pt idx="347">
                  <c:v>12.139209876543207</c:v>
                </c:pt>
                <c:pt idx="348">
                  <c:v>11.924456790123456</c:v>
                </c:pt>
                <c:pt idx="349">
                  <c:v>11.668259259259258</c:v>
                </c:pt>
                <c:pt idx="350">
                  <c:v>11.408296296296294</c:v>
                </c:pt>
                <c:pt idx="351">
                  <c:v>11.125728395061728</c:v>
                </c:pt>
                <c:pt idx="352">
                  <c:v>10.820555555555556</c:v>
                </c:pt>
                <c:pt idx="353">
                  <c:v>10.496543209876542</c:v>
                </c:pt>
                <c:pt idx="354">
                  <c:v>10.153691358024689</c:v>
                </c:pt>
                <c:pt idx="355">
                  <c:v>9.769395061728396</c:v>
                </c:pt>
                <c:pt idx="356">
                  <c:v>9.3549506172839507</c:v>
                </c:pt>
                <c:pt idx="357">
                  <c:v>8.8764691358024681</c:v>
                </c:pt>
                <c:pt idx="358">
                  <c:v>8.3640740740740736</c:v>
                </c:pt>
                <c:pt idx="359">
                  <c:v>7.7763333333333327</c:v>
                </c:pt>
                <c:pt idx="360">
                  <c:v>7.113234567901233</c:v>
                </c:pt>
                <c:pt idx="361">
                  <c:v>6.314506172839506</c:v>
                </c:pt>
                <c:pt idx="362">
                  <c:v>5.3974691358024689</c:v>
                </c:pt>
                <c:pt idx="363">
                  <c:v>4.251358024691358</c:v>
                </c:pt>
                <c:pt idx="364">
                  <c:v>2.8859876543209877</c:v>
                </c:pt>
                <c:pt idx="365">
                  <c:v>1.1796358024691358</c:v>
                </c:pt>
                <c:pt idx="366">
                  <c:v>-0.92117901234567889</c:v>
                </c:pt>
                <c:pt idx="367">
                  <c:v>-3.4661975308641972</c:v>
                </c:pt>
                <c:pt idx="368">
                  <c:v>-6.3860864197530862</c:v>
                </c:pt>
                <c:pt idx="369">
                  <c:v>-9.6450617283950617</c:v>
                </c:pt>
                <c:pt idx="370">
                  <c:v>-13.243086419753084</c:v>
                </c:pt>
                <c:pt idx="371">
                  <c:v>-17.112469135802467</c:v>
                </c:pt>
                <c:pt idx="372">
                  <c:v>-21.170123456790122</c:v>
                </c:pt>
                <c:pt idx="373">
                  <c:v>-25.382345679012342</c:v>
                </c:pt>
                <c:pt idx="374">
                  <c:v>-29.718888888888888</c:v>
                </c:pt>
                <c:pt idx="375">
                  <c:v>-34.138271604938268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3D0-4F65-A235-9162CC21C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90400"/>
        <c:axId val="101991936"/>
      </c:scatterChart>
      <c:valAx>
        <c:axId val="101990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91936"/>
        <c:crosses val="autoZero"/>
        <c:crossBetween val="midCat"/>
      </c:valAx>
      <c:valAx>
        <c:axId val="10199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1990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22860</xdr:rowOff>
        </xdr:from>
        <xdr:to>
          <xdr:col>3</xdr:col>
          <xdr:colOff>556260</xdr:colOff>
          <xdr:row>4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352425</xdr:colOff>
      <xdr:row>13</xdr:row>
      <xdr:rowOff>99060</xdr:rowOff>
    </xdr:from>
    <xdr:to>
      <xdr:col>19</xdr:col>
      <xdr:colOff>47625</xdr:colOff>
      <xdr:row>28</xdr:row>
      <xdr:rowOff>99060</xdr:rowOff>
    </xdr:to>
    <xdr:graphicFrame macro="">
      <xdr:nvGraphicFramePr>
        <xdr:cNvPr id="11" name="图表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561975</xdr:colOff>
      <xdr:row>12</xdr:row>
      <xdr:rowOff>70485</xdr:rowOff>
    </xdr:from>
    <xdr:to>
      <xdr:col>35</xdr:col>
      <xdr:colOff>257175</xdr:colOff>
      <xdr:row>27</xdr:row>
      <xdr:rowOff>70485</xdr:rowOff>
    </xdr:to>
    <xdr:graphicFrame macro="">
      <xdr:nvGraphicFramePr>
        <xdr:cNvPr id="12" name="图表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44</xdr:col>
      <xdr:colOff>476250</xdr:colOff>
      <xdr:row>12</xdr:row>
      <xdr:rowOff>41910</xdr:rowOff>
    </xdr:from>
    <xdr:to>
      <xdr:col>52</xdr:col>
      <xdr:colOff>171450</xdr:colOff>
      <xdr:row>27</xdr:row>
      <xdr:rowOff>41910</xdr:rowOff>
    </xdr:to>
    <xdr:graphicFrame macro="">
      <xdr:nvGraphicFramePr>
        <xdr:cNvPr id="13" name="图表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</xdr:colOff>
          <xdr:row>0</xdr:row>
          <xdr:rowOff>45720</xdr:rowOff>
        </xdr:from>
        <xdr:to>
          <xdr:col>4</xdr:col>
          <xdr:colOff>0</xdr:colOff>
          <xdr:row>4</xdr:row>
          <xdr:rowOff>45720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H273"/>
  <sheetViews>
    <sheetView workbookViewId="0">
      <selection sqref="A1:XFD1048576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6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6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6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6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6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6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6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6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6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6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6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6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5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5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5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5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5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 t="e">
        <f>(I3-I4)/(K3-K4)*(-K4)+I4</f>
        <v>#N/A</v>
      </c>
      <c r="J6" s="25"/>
      <c r="K6" s="2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27" t="e">
        <f>(Q3-Q4)/(S3-S4)*(-S4)+Q4</f>
        <v>#N/A</v>
      </c>
      <c r="R6" s="27"/>
      <c r="S6" s="2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27" t="e">
        <f>(AI3-AI4)/(AK3-AK4)*(-AK4)+AI4</f>
        <v>#N/A</v>
      </c>
      <c r="AJ6" s="27"/>
      <c r="AK6" s="2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5" t="e">
        <f>(AS3-AS4)/(AU3-AU4)*(-AU4)+AS4</f>
        <v>#N/A</v>
      </c>
      <c r="AT6" s="25"/>
      <c r="AU6" s="2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27" t="e">
        <f>(BA3-BA4)/(BC3-BC4)*(-BC4)+BA4</f>
        <v>#N/A</v>
      </c>
      <c r="BB6" s="27"/>
      <c r="BC6" s="2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2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2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2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2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2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 t="e">
        <f>(MAX(L2,T2)-MIN(L2,T2))/MAX(L2,T2)%</f>
        <v>#N/A</v>
      </c>
      <c r="J9" s="2"/>
      <c r="K9" s="2"/>
      <c r="L9" s="3" t="e">
        <f>(L6-L7)/(K6-K7)*(-K7)+L7</f>
        <v>#DIV/0!</v>
      </c>
      <c r="M9" s="15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5">
        <f>MAX(U11:U1056)</f>
        <v>-0.31565162935699997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#DIV/0!</v>
      </c>
      <c r="AE9" s="15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5">
        <f>MAX(AM11:AM1056)</f>
        <v>-0.31388441074300005</v>
      </c>
      <c r="AP9" s="9"/>
      <c r="AQ9" s="2"/>
      <c r="AR9" s="2"/>
      <c r="AS9" s="14" t="e">
        <f>(MAX(AV2,BD2)-MIN(AV2,BD2))/MAX(AV2,BD2)%</f>
        <v>#N/A</v>
      </c>
      <c r="AT9" s="2"/>
      <c r="AU9" s="2"/>
      <c r="AV9" s="3" t="e">
        <f>(AV6-AV7)/(AU6-AU7)*(-AU7)+AV7</f>
        <v>#DIV/0!</v>
      </c>
      <c r="AW9" s="15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5">
        <f>MAX(BE11:BE1056)</f>
        <v>-0.31263919547899999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-0.31069829211400002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-0.30907628534100001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-0.30788896499399998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0</v>
      </c>
      <c r="B11" s="18">
        <f>IFERROR(L9,0)</f>
        <v>0</v>
      </c>
      <c r="C11" s="19">
        <f>IFERROR(L4,0)</f>
        <v>0</v>
      </c>
      <c r="D11" s="20">
        <f>IFERROR(L2,0)</f>
        <v>0</v>
      </c>
      <c r="E11" s="20">
        <f>IFERROR(I9,0)</f>
        <v>0</v>
      </c>
      <c r="F11" s="9"/>
      <c r="G11" s="21">
        <v>1.2149000000000001</v>
      </c>
      <c r="H11" s="21">
        <v>129.94300000000001</v>
      </c>
      <c r="I11" s="21">
        <v>1E-4</v>
      </c>
      <c r="J11" s="21">
        <v>1</v>
      </c>
      <c r="K11" s="21">
        <v>1.2142900000000001</v>
      </c>
      <c r="L11">
        <f>-I11/$F$2*1000</f>
        <v>-0.1</v>
      </c>
      <c r="M11">
        <f>L11*G11</f>
        <v>-0.12149000000000001</v>
      </c>
      <c r="N11" s="9"/>
      <c r="O11" s="21">
        <v>-9.49097E-2</v>
      </c>
      <c r="P11" s="21">
        <v>156.53100000000001</v>
      </c>
      <c r="Q11" s="21">
        <v>-3.3258099999999998E-3</v>
      </c>
      <c r="R11" s="21">
        <v>1</v>
      </c>
      <c r="S11" s="21">
        <v>-9.5642099999999994E-2</v>
      </c>
      <c r="T11">
        <f>-Q11/$F$2*1000</f>
        <v>3.3258099999999997</v>
      </c>
      <c r="U11">
        <f>T11*O11</f>
        <v>-0.31565162935699997</v>
      </c>
      <c r="V11" s="22"/>
      <c r="W11" s="23"/>
      <c r="X11" s="9"/>
      <c r="Y11" s="21">
        <v>1.2149000000000001</v>
      </c>
      <c r="Z11" s="21">
        <v>206.221</v>
      </c>
      <c r="AA11" s="21">
        <v>3.6856100000000002E-3</v>
      </c>
      <c r="AB11" s="21">
        <v>1</v>
      </c>
      <c r="AC11" s="21">
        <v>1.2145999999999999</v>
      </c>
      <c r="AD11">
        <f>-AA11/$F$2*1000</f>
        <v>-3.6856100000000001</v>
      </c>
      <c r="AE11">
        <f>AD11*Y11</f>
        <v>-4.477647589</v>
      </c>
      <c r="AF11" s="9"/>
      <c r="AG11" s="21">
        <v>-9.49097E-2</v>
      </c>
      <c r="AH11" s="21">
        <v>232.809</v>
      </c>
      <c r="AI11" s="21">
        <v>-3.3071900000000002E-3</v>
      </c>
      <c r="AJ11" s="21">
        <v>1</v>
      </c>
      <c r="AK11" s="21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1">
        <v>1.2149000000000001</v>
      </c>
      <c r="AR11" s="21">
        <v>270.23200000000003</v>
      </c>
      <c r="AS11" s="21">
        <v>3.60992E-3</v>
      </c>
      <c r="AT11" s="21">
        <v>1</v>
      </c>
      <c r="AU11" s="21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1">
        <v>-9.49097E-2</v>
      </c>
      <c r="AZ11" s="21">
        <v>296.82</v>
      </c>
      <c r="BA11" s="21">
        <v>-3.2940700000000001E-3</v>
      </c>
      <c r="BB11" s="21">
        <v>1</v>
      </c>
      <c r="BC11" s="21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0</v>
      </c>
      <c r="B12" s="18">
        <f>IFERROR(T9,0)</f>
        <v>0</v>
      </c>
      <c r="C12" s="19">
        <f>IFERROR(T4,0)</f>
        <v>0</v>
      </c>
      <c r="D12" s="20">
        <f>IFERROR(T2,0)</f>
        <v>0</v>
      </c>
      <c r="E12" s="20"/>
      <c r="F12" s="9"/>
      <c r="G12" s="21"/>
      <c r="H12" s="21"/>
      <c r="I12" s="21"/>
      <c r="J12" s="21"/>
      <c r="K12" s="21"/>
      <c r="N12" s="9"/>
      <c r="O12" s="21"/>
      <c r="P12" s="21"/>
      <c r="Q12" s="21"/>
      <c r="R12" s="21"/>
      <c r="S12" s="21"/>
      <c r="V12" s="22"/>
      <c r="W12" s="23"/>
      <c r="X12" s="9"/>
      <c r="Y12" s="21"/>
      <c r="Z12" s="21"/>
      <c r="AA12" s="21"/>
      <c r="AB12" s="21"/>
      <c r="AC12" s="21"/>
      <c r="AF12" s="9"/>
      <c r="AG12" s="21"/>
      <c r="AH12" s="21"/>
      <c r="AI12" s="21"/>
      <c r="AJ12" s="21"/>
      <c r="AK12" s="21"/>
      <c r="AP12" s="9"/>
      <c r="AQ12" s="21"/>
      <c r="AR12" s="21"/>
      <c r="AS12" s="21"/>
      <c r="AT12" s="21"/>
      <c r="AU12" s="21"/>
      <c r="AX12" s="9"/>
      <c r="AY12" s="21"/>
      <c r="AZ12" s="21"/>
      <c r="BA12" s="21"/>
      <c r="BB12" s="21"/>
      <c r="BC12" s="21"/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/>
      <c r="H13" s="21"/>
      <c r="I13" s="21"/>
      <c r="J13" s="21"/>
      <c r="K13" s="21"/>
      <c r="N13" s="9"/>
      <c r="O13" s="21"/>
      <c r="P13" s="21"/>
      <c r="Q13" s="21"/>
      <c r="R13" s="21"/>
      <c r="S13" s="21"/>
      <c r="V13" s="22"/>
      <c r="W13" s="23"/>
      <c r="X13" s="9"/>
      <c r="Y13" s="21"/>
      <c r="Z13" s="21"/>
      <c r="AA13" s="21"/>
      <c r="AB13" s="21"/>
      <c r="AC13" s="21"/>
      <c r="AF13" s="9"/>
      <c r="AG13" s="21"/>
      <c r="AH13" s="21"/>
      <c r="AI13" s="21"/>
      <c r="AJ13" s="21"/>
      <c r="AK13" s="21"/>
      <c r="AP13" s="9"/>
      <c r="AQ13" s="21"/>
      <c r="AR13" s="21"/>
      <c r="AS13" s="21"/>
      <c r="AT13" s="21"/>
      <c r="AU13" s="21"/>
      <c r="AX13" s="9"/>
      <c r="AY13" s="21"/>
      <c r="AZ13" s="21"/>
      <c r="BA13" s="21"/>
      <c r="BB13" s="21"/>
      <c r="BC13" s="21"/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0</v>
      </c>
      <c r="B14" s="18">
        <f>IFERROR(AL9,0)</f>
        <v>0</v>
      </c>
      <c r="C14" s="19">
        <f>IFERROR(AL4,0)</f>
        <v>0</v>
      </c>
      <c r="D14" s="20">
        <f>IFERROR(AL2,0)</f>
        <v>0</v>
      </c>
      <c r="E14" s="20"/>
      <c r="F14" s="9"/>
      <c r="G14" s="21"/>
      <c r="H14" s="21"/>
      <c r="I14" s="21"/>
      <c r="J14" s="21"/>
      <c r="K14" s="21"/>
      <c r="N14" s="9"/>
      <c r="O14" s="21"/>
      <c r="P14" s="21"/>
      <c r="Q14" s="21"/>
      <c r="R14" s="21"/>
      <c r="S14" s="21"/>
      <c r="V14" s="22"/>
      <c r="W14" s="23"/>
      <c r="X14" s="9"/>
      <c r="Y14" s="21"/>
      <c r="Z14" s="21"/>
      <c r="AA14" s="21"/>
      <c r="AB14" s="21"/>
      <c r="AC14" s="21"/>
      <c r="AF14" s="9"/>
      <c r="AG14" s="21"/>
      <c r="AH14" s="21"/>
      <c r="AI14" s="21"/>
      <c r="AJ14" s="21"/>
      <c r="AK14" s="21"/>
      <c r="AP14" s="9"/>
      <c r="AQ14" s="21"/>
      <c r="AR14" s="21"/>
      <c r="AS14" s="21"/>
      <c r="AT14" s="21"/>
      <c r="AU14" s="21"/>
      <c r="AX14" s="9"/>
      <c r="AY14" s="21"/>
      <c r="AZ14" s="21"/>
      <c r="BA14" s="21"/>
      <c r="BB14" s="21"/>
      <c r="BC14" s="21"/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0</v>
      </c>
      <c r="B15" s="18">
        <f>IFERROR(AV9,0)</f>
        <v>0</v>
      </c>
      <c r="C15" s="19">
        <f>IFERROR(AV4,0)</f>
        <v>0</v>
      </c>
      <c r="D15" s="20">
        <f>IFERROR(AV2,0)</f>
        <v>0</v>
      </c>
      <c r="E15" s="20">
        <f>IFERROR(AS9,0)</f>
        <v>0</v>
      </c>
      <c r="F15" s="9"/>
      <c r="G15" s="21"/>
      <c r="H15" s="21"/>
      <c r="I15" s="21"/>
      <c r="J15" s="21"/>
      <c r="K15" s="21"/>
      <c r="N15" s="9"/>
      <c r="O15" s="21"/>
      <c r="P15" s="21"/>
      <c r="Q15" s="21"/>
      <c r="R15" s="21"/>
      <c r="S15" s="21"/>
      <c r="V15" s="22"/>
      <c r="W15" s="23"/>
      <c r="X15" s="9"/>
      <c r="Y15" s="21"/>
      <c r="Z15" s="21"/>
      <c r="AA15" s="21"/>
      <c r="AB15" s="21"/>
      <c r="AC15" s="21"/>
      <c r="AF15" s="9"/>
      <c r="AG15" s="21"/>
      <c r="AH15" s="21"/>
      <c r="AI15" s="21"/>
      <c r="AJ15" s="21"/>
      <c r="AK15" s="21"/>
      <c r="AP15" s="9"/>
      <c r="AQ15" s="21"/>
      <c r="AR15" s="21"/>
      <c r="AS15" s="21"/>
      <c r="AT15" s="21"/>
      <c r="AU15" s="21"/>
      <c r="AX15" s="9"/>
      <c r="AY15" s="21"/>
      <c r="AZ15" s="21"/>
      <c r="BA15" s="21"/>
      <c r="BB15" s="21"/>
      <c r="BC15" s="21"/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0</v>
      </c>
      <c r="B16" s="18">
        <f>IFERROR(BD9,0)</f>
        <v>0</v>
      </c>
      <c r="C16" s="19">
        <f>IFERROR(BD4,0)</f>
        <v>0</v>
      </c>
      <c r="D16" s="20">
        <f>IFERROR(BD2,0)</f>
        <v>0</v>
      </c>
      <c r="E16" s="20"/>
      <c r="F16" s="9"/>
      <c r="G16" s="21"/>
      <c r="H16" s="21"/>
      <c r="I16" s="21"/>
      <c r="J16" s="21"/>
      <c r="K16" s="21"/>
      <c r="N16" s="9"/>
      <c r="O16" s="21"/>
      <c r="P16" s="21"/>
      <c r="Q16" s="21"/>
      <c r="R16" s="21"/>
      <c r="S16" s="21"/>
      <c r="V16" s="22"/>
      <c r="W16" s="23"/>
      <c r="X16" s="9"/>
      <c r="Y16" s="21"/>
      <c r="Z16" s="21"/>
      <c r="AA16" s="21"/>
      <c r="AB16" s="21"/>
      <c r="AC16" s="21"/>
      <c r="AF16" s="9"/>
      <c r="AG16" s="21"/>
      <c r="AH16" s="21"/>
      <c r="AI16" s="21"/>
      <c r="AJ16" s="21"/>
      <c r="AK16" s="21"/>
      <c r="AP16" s="9"/>
      <c r="AQ16" s="21"/>
      <c r="AR16" s="21"/>
      <c r="AS16" s="21"/>
      <c r="AT16" s="21"/>
      <c r="AU16" s="21"/>
      <c r="AX16" s="9"/>
      <c r="AY16" s="21"/>
      <c r="AZ16" s="21"/>
      <c r="BA16" s="21"/>
      <c r="BB16" s="21"/>
      <c r="BC16" s="21"/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/>
      <c r="H17" s="21"/>
      <c r="I17" s="21"/>
      <c r="J17" s="21"/>
      <c r="K17" s="21"/>
      <c r="N17" s="9"/>
      <c r="O17" s="21"/>
      <c r="P17" s="21"/>
      <c r="Q17" s="21"/>
      <c r="R17" s="21"/>
      <c r="S17" s="21"/>
      <c r="V17" s="22"/>
      <c r="W17" s="23"/>
      <c r="X17" s="9"/>
      <c r="Y17" s="21"/>
      <c r="Z17" s="21"/>
      <c r="AA17" s="21"/>
      <c r="AB17" s="21"/>
      <c r="AC17" s="21"/>
      <c r="AF17" s="9"/>
      <c r="AG17" s="21"/>
      <c r="AH17" s="21"/>
      <c r="AI17" s="21"/>
      <c r="AJ17" s="21"/>
      <c r="AK17" s="21"/>
      <c r="AP17" s="9"/>
      <c r="AQ17" s="21"/>
      <c r="AR17" s="21"/>
      <c r="AS17" s="21"/>
      <c r="AT17" s="21"/>
      <c r="AU17" s="21"/>
      <c r="AX17" s="9"/>
      <c r="AY17" s="21"/>
      <c r="AZ17" s="21"/>
      <c r="BA17" s="21"/>
      <c r="BB17" s="21"/>
      <c r="BC17" s="21"/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/>
      <c r="H18" s="21"/>
      <c r="I18" s="21"/>
      <c r="J18" s="21"/>
      <c r="K18" s="21"/>
      <c r="N18" s="9"/>
      <c r="O18" s="21"/>
      <c r="P18" s="21"/>
      <c r="Q18" s="21"/>
      <c r="R18" s="21"/>
      <c r="S18" s="21"/>
      <c r="V18" s="22"/>
      <c r="W18" s="23"/>
      <c r="X18" s="9"/>
      <c r="Y18" s="21"/>
      <c r="Z18" s="21"/>
      <c r="AA18" s="21"/>
      <c r="AB18" s="21"/>
      <c r="AC18" s="21"/>
      <c r="AF18" s="9"/>
      <c r="AG18" s="21"/>
      <c r="AH18" s="21"/>
      <c r="AI18" s="21"/>
      <c r="AJ18" s="21"/>
      <c r="AK18" s="21"/>
      <c r="AP18" s="9"/>
      <c r="AQ18" s="21"/>
      <c r="AR18" s="21"/>
      <c r="AS18" s="21"/>
      <c r="AT18" s="21"/>
      <c r="AU18" s="21"/>
      <c r="AX18" s="9"/>
      <c r="AY18" s="21"/>
      <c r="AZ18" s="21"/>
      <c r="BA18" s="21"/>
      <c r="BB18" s="21"/>
      <c r="BC18" s="21"/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/>
      <c r="H19" s="21"/>
      <c r="I19" s="21"/>
      <c r="J19" s="21"/>
      <c r="K19" s="21"/>
      <c r="N19" s="9"/>
      <c r="O19" s="21"/>
      <c r="P19" s="21"/>
      <c r="Q19" s="21"/>
      <c r="R19" s="21"/>
      <c r="S19" s="21"/>
      <c r="V19" s="22"/>
      <c r="W19" s="23"/>
      <c r="X19" s="9"/>
      <c r="Y19" s="21"/>
      <c r="Z19" s="21"/>
      <c r="AA19" s="21"/>
      <c r="AB19" s="21"/>
      <c r="AC19" s="21"/>
      <c r="AF19" s="9"/>
      <c r="AG19" s="21"/>
      <c r="AH19" s="21"/>
      <c r="AI19" s="21"/>
      <c r="AJ19" s="21"/>
      <c r="AK19" s="21"/>
      <c r="AP19" s="9"/>
      <c r="AQ19" s="21"/>
      <c r="AR19" s="21"/>
      <c r="AS19" s="21"/>
      <c r="AT19" s="21"/>
      <c r="AU19" s="21"/>
      <c r="AX19" s="9"/>
      <c r="AY19" s="21"/>
      <c r="AZ19" s="21"/>
      <c r="BA19" s="21"/>
      <c r="BB19" s="21"/>
      <c r="BC19" s="21"/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/>
      <c r="H20" s="21"/>
      <c r="I20" s="21"/>
      <c r="J20" s="21"/>
      <c r="K20" s="21"/>
      <c r="N20" s="9"/>
      <c r="O20" s="21"/>
      <c r="P20" s="21"/>
      <c r="Q20" s="21"/>
      <c r="R20" s="21"/>
      <c r="S20" s="21"/>
      <c r="V20" s="22"/>
      <c r="W20" s="23"/>
      <c r="X20" s="9"/>
      <c r="Y20" s="21"/>
      <c r="Z20" s="21"/>
      <c r="AA20" s="21"/>
      <c r="AB20" s="21"/>
      <c r="AC20" s="21"/>
      <c r="AF20" s="9"/>
      <c r="AG20" s="21"/>
      <c r="AH20" s="21"/>
      <c r="AI20" s="21"/>
      <c r="AJ20" s="21"/>
      <c r="AK20" s="21"/>
      <c r="AP20" s="9"/>
      <c r="AQ20" s="21"/>
      <c r="AR20" s="21"/>
      <c r="AS20" s="21"/>
      <c r="AT20" s="21"/>
      <c r="AU20" s="21"/>
      <c r="AX20" s="9"/>
      <c r="AY20" s="21"/>
      <c r="AZ20" s="21"/>
      <c r="BA20" s="21"/>
      <c r="BB20" s="21"/>
      <c r="BC20" s="21"/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/>
      <c r="H21" s="21"/>
      <c r="I21" s="21"/>
      <c r="J21" s="21"/>
      <c r="K21" s="21"/>
      <c r="N21" s="9"/>
      <c r="O21" s="21"/>
      <c r="P21" s="21"/>
      <c r="Q21" s="21"/>
      <c r="R21" s="21"/>
      <c r="S21" s="21"/>
      <c r="V21" s="22"/>
      <c r="W21" s="23"/>
      <c r="X21" s="9"/>
      <c r="Y21" s="21"/>
      <c r="Z21" s="21"/>
      <c r="AA21" s="21"/>
      <c r="AB21" s="21"/>
      <c r="AC21" s="21"/>
      <c r="AF21" s="9"/>
      <c r="AG21" s="21"/>
      <c r="AH21" s="21"/>
      <c r="AI21" s="21"/>
      <c r="AJ21" s="21"/>
      <c r="AK21" s="21"/>
      <c r="AP21" s="9"/>
      <c r="AQ21" s="21"/>
      <c r="AR21" s="21"/>
      <c r="AS21" s="21"/>
      <c r="AT21" s="21"/>
      <c r="AU21" s="21"/>
      <c r="AX21" s="9"/>
      <c r="AY21" s="21"/>
      <c r="AZ21" s="21"/>
      <c r="BA21" s="21"/>
      <c r="BB21" s="21"/>
      <c r="BC21" s="21"/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/>
      <c r="H22" s="21"/>
      <c r="I22" s="21"/>
      <c r="J22" s="21"/>
      <c r="K22" s="21"/>
      <c r="N22" s="9"/>
      <c r="O22" s="21"/>
      <c r="P22" s="21"/>
      <c r="Q22" s="21"/>
      <c r="R22" s="21"/>
      <c r="S22" s="21"/>
      <c r="V22" s="22"/>
      <c r="W22" s="23"/>
      <c r="X22" s="9"/>
      <c r="Y22" s="21"/>
      <c r="Z22" s="21"/>
      <c r="AA22" s="21"/>
      <c r="AB22" s="21"/>
      <c r="AC22" s="21"/>
      <c r="AF22" s="9"/>
      <c r="AG22" s="21"/>
      <c r="AH22" s="21"/>
      <c r="AI22" s="21"/>
      <c r="AJ22" s="21"/>
      <c r="AK22" s="21"/>
      <c r="AP22" s="9"/>
      <c r="AQ22" s="21"/>
      <c r="AR22" s="21"/>
      <c r="AS22" s="21"/>
      <c r="AT22" s="21"/>
      <c r="AU22" s="21"/>
      <c r="AX22" s="9"/>
      <c r="AY22" s="21"/>
      <c r="AZ22" s="21"/>
      <c r="BA22" s="21"/>
      <c r="BB22" s="21"/>
      <c r="BC22" s="21"/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/>
      <c r="H23" s="21"/>
      <c r="I23" s="21"/>
      <c r="J23" s="21"/>
      <c r="K23" s="21"/>
      <c r="N23" s="9"/>
      <c r="O23" s="21"/>
      <c r="P23" s="21"/>
      <c r="Q23" s="21"/>
      <c r="R23" s="21"/>
      <c r="S23" s="21"/>
      <c r="V23" s="22"/>
      <c r="W23" s="23"/>
      <c r="X23" s="9"/>
      <c r="Y23" s="21"/>
      <c r="Z23" s="21"/>
      <c r="AA23" s="24"/>
      <c r="AB23" s="21"/>
      <c r="AC23" s="21"/>
      <c r="AF23" s="9"/>
      <c r="AG23" s="21"/>
      <c r="AH23" s="21"/>
      <c r="AI23" s="21"/>
      <c r="AJ23" s="21"/>
      <c r="AK23" s="21"/>
      <c r="AP23" s="9"/>
      <c r="AQ23" s="21"/>
      <c r="AR23" s="21"/>
      <c r="AS23" s="24"/>
      <c r="AT23" s="21"/>
      <c r="AU23" s="21"/>
      <c r="AX23" s="9"/>
      <c r="AY23" s="21"/>
      <c r="AZ23" s="21"/>
      <c r="BA23" s="21"/>
      <c r="BB23" s="21"/>
      <c r="BC23" s="21"/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/>
      <c r="H24" s="21"/>
      <c r="I24" s="24"/>
      <c r="J24" s="21"/>
      <c r="K24" s="21"/>
      <c r="N24" s="9"/>
      <c r="O24" s="21"/>
      <c r="P24" s="21"/>
      <c r="Q24" s="21"/>
      <c r="R24" s="21"/>
      <c r="S24" s="21"/>
      <c r="V24" s="22"/>
      <c r="W24" s="23"/>
      <c r="X24" s="9"/>
      <c r="Y24" s="21"/>
      <c r="Z24" s="21"/>
      <c r="AA24" s="21"/>
      <c r="AB24" s="21"/>
      <c r="AC24" s="21"/>
      <c r="AF24" s="9"/>
      <c r="AG24" s="21"/>
      <c r="AH24" s="21"/>
      <c r="AI24" s="21"/>
      <c r="AJ24" s="21"/>
      <c r="AK24" s="21"/>
      <c r="AP24" s="9"/>
      <c r="AQ24" s="21"/>
      <c r="AR24" s="21"/>
      <c r="AS24" s="21"/>
      <c r="AT24" s="21"/>
      <c r="AU24" s="21"/>
      <c r="AX24" s="9"/>
      <c r="AY24" s="21"/>
      <c r="AZ24" s="21"/>
      <c r="BA24" s="21"/>
      <c r="BB24" s="21"/>
      <c r="BC24" s="21"/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/>
      <c r="H25" s="21"/>
      <c r="I25" s="21"/>
      <c r="J25" s="21"/>
      <c r="K25" s="21"/>
      <c r="N25" s="9"/>
      <c r="O25" s="21"/>
      <c r="P25" s="21"/>
      <c r="Q25" s="21"/>
      <c r="R25" s="21"/>
      <c r="S25" s="21"/>
      <c r="V25" s="22"/>
      <c r="W25" s="23"/>
      <c r="X25" s="9"/>
      <c r="Y25" s="21"/>
      <c r="Z25" s="21"/>
      <c r="AA25" s="21"/>
      <c r="AB25" s="21"/>
      <c r="AC25" s="21"/>
      <c r="AF25" s="9"/>
      <c r="AG25" s="21"/>
      <c r="AH25" s="21"/>
      <c r="AI25" s="21"/>
      <c r="AJ25" s="21"/>
      <c r="AK25" s="21"/>
      <c r="AP25" s="9"/>
      <c r="AQ25" s="21"/>
      <c r="AR25" s="21"/>
      <c r="AS25" s="21"/>
      <c r="AT25" s="21"/>
      <c r="AU25" s="21"/>
      <c r="AX25" s="9"/>
      <c r="AY25" s="21"/>
      <c r="AZ25" s="21"/>
      <c r="BA25" s="21"/>
      <c r="BB25" s="21"/>
      <c r="BC25" s="21"/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/>
      <c r="H26" s="21"/>
      <c r="I26" s="21"/>
      <c r="J26" s="21"/>
      <c r="K26" s="21"/>
      <c r="N26" s="9"/>
      <c r="O26" s="21"/>
      <c r="P26" s="21"/>
      <c r="Q26" s="21"/>
      <c r="R26" s="21"/>
      <c r="S26" s="21"/>
      <c r="V26" s="22"/>
      <c r="W26" s="23"/>
      <c r="X26" s="9"/>
      <c r="Y26" s="21"/>
      <c r="Z26" s="21"/>
      <c r="AA26" s="21"/>
      <c r="AB26" s="21"/>
      <c r="AC26" s="21"/>
      <c r="AF26" s="9"/>
      <c r="AG26" s="21"/>
      <c r="AH26" s="21"/>
      <c r="AI26" s="21"/>
      <c r="AJ26" s="21"/>
      <c r="AK26" s="21"/>
      <c r="AP26" s="9"/>
      <c r="AQ26" s="21"/>
      <c r="AR26" s="21"/>
      <c r="AS26" s="21"/>
      <c r="AT26" s="21"/>
      <c r="AU26" s="21"/>
      <c r="AX26" s="9"/>
      <c r="AY26" s="21"/>
      <c r="AZ26" s="21"/>
      <c r="BA26" s="21"/>
      <c r="BB26" s="21"/>
      <c r="BC26" s="21"/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/>
      <c r="H27" s="21"/>
      <c r="I27" s="21"/>
      <c r="J27" s="21"/>
      <c r="K27" s="21"/>
      <c r="N27" s="9"/>
      <c r="O27" s="21"/>
      <c r="P27" s="21"/>
      <c r="Q27" s="21"/>
      <c r="R27" s="21"/>
      <c r="S27" s="21"/>
      <c r="X27" s="9"/>
      <c r="Y27" s="21"/>
      <c r="Z27" s="21"/>
      <c r="AA27" s="21"/>
      <c r="AB27" s="21"/>
      <c r="AC27" s="21"/>
      <c r="AF27" s="9"/>
      <c r="AG27" s="21"/>
      <c r="AH27" s="21"/>
      <c r="AI27" s="21"/>
      <c r="AJ27" s="21"/>
      <c r="AK27" s="21"/>
      <c r="AP27" s="9"/>
      <c r="AQ27" s="21"/>
      <c r="AR27" s="21"/>
      <c r="AS27" s="21"/>
      <c r="AT27" s="21"/>
      <c r="AU27" s="21"/>
      <c r="AX27" s="9"/>
      <c r="AY27" s="21"/>
      <c r="AZ27" s="21"/>
      <c r="BA27" s="21"/>
      <c r="BB27" s="21"/>
      <c r="BC27" s="21"/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/>
      <c r="H28" s="21"/>
      <c r="I28" s="21"/>
      <c r="J28" s="21"/>
      <c r="K28" s="21"/>
      <c r="N28" s="9"/>
      <c r="O28" s="21"/>
      <c r="P28" s="21"/>
      <c r="Q28" s="21"/>
      <c r="R28" s="21"/>
      <c r="S28" s="21"/>
      <c r="X28" s="9"/>
      <c r="Y28" s="21"/>
      <c r="Z28" s="21"/>
      <c r="AA28" s="21"/>
      <c r="AB28" s="21"/>
      <c r="AC28" s="21"/>
      <c r="AF28" s="9"/>
      <c r="AG28" s="21"/>
      <c r="AH28" s="21"/>
      <c r="AI28" s="21"/>
      <c r="AJ28" s="21"/>
      <c r="AK28" s="21"/>
      <c r="AP28" s="9"/>
      <c r="AQ28" s="21"/>
      <c r="AR28" s="21"/>
      <c r="AS28" s="21"/>
      <c r="AT28" s="21"/>
      <c r="AU28" s="21"/>
      <c r="AX28" s="9"/>
      <c r="AY28" s="21"/>
      <c r="AZ28" s="21"/>
      <c r="BA28" s="21"/>
      <c r="BB28" s="21"/>
      <c r="BC28" s="21"/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/>
      <c r="H29" s="21"/>
      <c r="I29" s="21"/>
      <c r="J29" s="21"/>
      <c r="K29" s="21"/>
      <c r="N29" s="9"/>
      <c r="O29" s="21"/>
      <c r="P29" s="21"/>
      <c r="Q29" s="21"/>
      <c r="R29" s="21"/>
      <c r="S29" s="21"/>
      <c r="X29" s="9"/>
      <c r="Y29" s="21"/>
      <c r="Z29" s="21"/>
      <c r="AA29" s="21"/>
      <c r="AB29" s="21"/>
      <c r="AC29" s="21"/>
      <c r="AF29" s="9"/>
      <c r="AG29" s="21"/>
      <c r="AH29" s="21"/>
      <c r="AI29" s="21"/>
      <c r="AJ29" s="21"/>
      <c r="AK29" s="21"/>
      <c r="AP29" s="9"/>
      <c r="AQ29" s="21"/>
      <c r="AR29" s="21"/>
      <c r="AS29" s="21"/>
      <c r="AT29" s="21"/>
      <c r="AU29" s="21"/>
      <c r="AX29" s="9"/>
      <c r="AY29" s="21"/>
      <c r="AZ29" s="21"/>
      <c r="BA29" s="21"/>
      <c r="BB29" s="21"/>
      <c r="BC29" s="21"/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/>
      <c r="H30" s="21"/>
      <c r="I30" s="21"/>
      <c r="J30" s="21"/>
      <c r="K30" s="21"/>
      <c r="N30" s="9"/>
      <c r="O30" s="21"/>
      <c r="P30" s="21"/>
      <c r="Q30" s="21"/>
      <c r="R30" s="21"/>
      <c r="S30" s="21"/>
      <c r="X30" s="9"/>
      <c r="Y30" s="21"/>
      <c r="Z30" s="21"/>
      <c r="AA30" s="21"/>
      <c r="AB30" s="21"/>
      <c r="AC30" s="21"/>
      <c r="AF30" s="9"/>
      <c r="AG30" s="21"/>
      <c r="AH30" s="21"/>
      <c r="AI30" s="21"/>
      <c r="AJ30" s="21"/>
      <c r="AK30" s="21"/>
      <c r="AP30" s="9"/>
      <c r="AQ30" s="21"/>
      <c r="AR30" s="21"/>
      <c r="AS30" s="21"/>
      <c r="AT30" s="21"/>
      <c r="AU30" s="21"/>
      <c r="AX30" s="9"/>
      <c r="AY30" s="21"/>
      <c r="AZ30" s="21"/>
      <c r="BA30" s="21"/>
      <c r="BB30" s="21"/>
      <c r="BC30" s="21"/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/>
      <c r="H31" s="21"/>
      <c r="I31" s="21"/>
      <c r="J31" s="21"/>
      <c r="K31" s="21"/>
      <c r="N31" s="9"/>
      <c r="O31" s="21"/>
      <c r="P31" s="21"/>
      <c r="Q31" s="21"/>
      <c r="R31" s="21"/>
      <c r="S31" s="21"/>
      <c r="X31" s="9"/>
      <c r="Y31" s="21"/>
      <c r="Z31" s="21"/>
      <c r="AA31" s="21"/>
      <c r="AB31" s="21"/>
      <c r="AC31" s="21"/>
      <c r="AF31" s="9"/>
      <c r="AG31" s="21"/>
      <c r="AH31" s="21"/>
      <c r="AI31" s="21"/>
      <c r="AJ31" s="21"/>
      <c r="AK31" s="21"/>
      <c r="AP31" s="9"/>
      <c r="AQ31" s="21"/>
      <c r="AR31" s="21"/>
      <c r="AS31" s="21"/>
      <c r="AT31" s="21"/>
      <c r="AU31" s="21"/>
      <c r="AX31" s="9"/>
      <c r="AY31" s="21"/>
      <c r="AZ31" s="21"/>
      <c r="BA31" s="21"/>
      <c r="BB31" s="21"/>
      <c r="BC31" s="21"/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/>
      <c r="H32" s="21"/>
      <c r="I32" s="21"/>
      <c r="J32" s="21"/>
      <c r="K32" s="21"/>
      <c r="N32" s="9"/>
      <c r="O32" s="21"/>
      <c r="P32" s="21"/>
      <c r="Q32" s="21"/>
      <c r="R32" s="21"/>
      <c r="S32" s="21"/>
      <c r="X32" s="9"/>
      <c r="Y32" s="21"/>
      <c r="Z32" s="21"/>
      <c r="AA32" s="21"/>
      <c r="AB32" s="21"/>
      <c r="AC32" s="21"/>
      <c r="AF32" s="9"/>
      <c r="AG32" s="21"/>
      <c r="AH32" s="21"/>
      <c r="AI32" s="21"/>
      <c r="AJ32" s="21"/>
      <c r="AK32" s="21"/>
      <c r="AP32" s="9"/>
      <c r="AQ32" s="21"/>
      <c r="AR32" s="21"/>
      <c r="AS32" s="21"/>
      <c r="AT32" s="21"/>
      <c r="AU32" s="21"/>
      <c r="AX32" s="9"/>
      <c r="AY32" s="21"/>
      <c r="AZ32" s="21"/>
      <c r="BA32" s="21"/>
      <c r="BB32" s="21"/>
      <c r="BC32" s="21"/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/>
      <c r="H33" s="21"/>
      <c r="I33" s="21"/>
      <c r="J33" s="21"/>
      <c r="K33" s="21"/>
      <c r="N33" s="9"/>
      <c r="O33" s="21"/>
      <c r="P33" s="21"/>
      <c r="Q33" s="21"/>
      <c r="R33" s="21"/>
      <c r="S33" s="21"/>
      <c r="X33" s="9"/>
      <c r="Y33" s="21"/>
      <c r="Z33" s="21"/>
      <c r="AA33" s="21"/>
      <c r="AB33" s="21"/>
      <c r="AC33" s="21"/>
      <c r="AF33" s="9"/>
      <c r="AG33" s="21"/>
      <c r="AH33" s="21"/>
      <c r="AI33" s="21"/>
      <c r="AJ33" s="21"/>
      <c r="AK33" s="21"/>
      <c r="AP33" s="9"/>
      <c r="AQ33" s="21"/>
      <c r="AR33" s="21"/>
      <c r="AS33" s="21"/>
      <c r="AT33" s="21"/>
      <c r="AU33" s="21"/>
      <c r="AX33" s="9"/>
      <c r="AY33" s="21"/>
      <c r="AZ33" s="21"/>
      <c r="BA33" s="21"/>
      <c r="BB33" s="21"/>
      <c r="BC33" s="21"/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/>
      <c r="H34" s="21"/>
      <c r="I34" s="21"/>
      <c r="J34" s="21"/>
      <c r="K34" s="21"/>
      <c r="N34" s="9"/>
      <c r="O34" s="21"/>
      <c r="P34" s="21"/>
      <c r="Q34" s="21"/>
      <c r="R34" s="21"/>
      <c r="S34" s="21"/>
      <c r="X34" s="9"/>
      <c r="Y34" s="21"/>
      <c r="Z34" s="21"/>
      <c r="AA34" s="21"/>
      <c r="AB34" s="21"/>
      <c r="AC34" s="21"/>
      <c r="AF34" s="9"/>
      <c r="AG34" s="21"/>
      <c r="AH34" s="21"/>
      <c r="AI34" s="21"/>
      <c r="AJ34" s="21"/>
      <c r="AK34" s="21"/>
      <c r="AP34" s="9"/>
      <c r="AQ34" s="21"/>
      <c r="AR34" s="21"/>
      <c r="AS34" s="21"/>
      <c r="AT34" s="21"/>
      <c r="AU34" s="21"/>
      <c r="AX34" s="9"/>
      <c r="AY34" s="21"/>
      <c r="AZ34" s="21"/>
      <c r="BA34" s="21"/>
      <c r="BB34" s="21"/>
      <c r="BC34" s="21"/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/>
      <c r="H35" s="21"/>
      <c r="I35" s="21"/>
      <c r="J35" s="21"/>
      <c r="K35" s="21"/>
      <c r="N35" s="9"/>
      <c r="O35" s="21"/>
      <c r="P35" s="21"/>
      <c r="Q35" s="21"/>
      <c r="R35" s="21"/>
      <c r="S35" s="21"/>
      <c r="X35" s="9"/>
      <c r="Y35" s="21"/>
      <c r="Z35" s="21"/>
      <c r="AA35" s="21"/>
      <c r="AB35" s="21"/>
      <c r="AC35" s="21"/>
      <c r="AF35" s="9"/>
      <c r="AG35" s="21"/>
      <c r="AH35" s="21"/>
      <c r="AI35" s="21"/>
      <c r="AJ35" s="21"/>
      <c r="AK35" s="21"/>
      <c r="AP35" s="9"/>
      <c r="AQ35" s="21"/>
      <c r="AR35" s="21"/>
      <c r="AS35" s="21"/>
      <c r="AT35" s="21"/>
      <c r="AU35" s="21"/>
      <c r="AX35" s="9"/>
      <c r="AY35" s="21"/>
      <c r="AZ35" s="21"/>
      <c r="BA35" s="21"/>
      <c r="BB35" s="21"/>
      <c r="BC35" s="21"/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/>
      <c r="H36" s="21"/>
      <c r="I36" s="21"/>
      <c r="J36" s="21"/>
      <c r="K36" s="21"/>
      <c r="N36" s="9"/>
      <c r="O36" s="21"/>
      <c r="P36" s="21"/>
      <c r="Q36" s="21"/>
      <c r="R36" s="21"/>
      <c r="S36" s="21"/>
      <c r="X36" s="9"/>
      <c r="Y36" s="21"/>
      <c r="Z36" s="21"/>
      <c r="AA36" s="21"/>
      <c r="AB36" s="21"/>
      <c r="AC36" s="21"/>
      <c r="AF36" s="9"/>
      <c r="AG36" s="21"/>
      <c r="AH36" s="21"/>
      <c r="AI36" s="21"/>
      <c r="AJ36" s="21"/>
      <c r="AK36" s="21"/>
      <c r="AP36" s="9"/>
      <c r="AQ36" s="21"/>
      <c r="AR36" s="21"/>
      <c r="AS36" s="21"/>
      <c r="AT36" s="21"/>
      <c r="AU36" s="21"/>
      <c r="AX36" s="9"/>
      <c r="AY36" s="21"/>
      <c r="AZ36" s="21"/>
      <c r="BA36" s="21"/>
      <c r="BB36" s="21"/>
      <c r="BC36" s="21"/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/>
      <c r="H37" s="21"/>
      <c r="I37" s="21"/>
      <c r="J37" s="21"/>
      <c r="K37" s="21"/>
      <c r="N37" s="9"/>
      <c r="O37" s="21"/>
      <c r="P37" s="21"/>
      <c r="Q37" s="21"/>
      <c r="R37" s="21"/>
      <c r="S37" s="21"/>
      <c r="X37" s="9"/>
      <c r="Y37" s="21"/>
      <c r="Z37" s="21"/>
      <c r="AA37" s="21"/>
      <c r="AB37" s="21"/>
      <c r="AC37" s="21"/>
      <c r="AF37" s="9"/>
      <c r="AG37" s="21"/>
      <c r="AH37" s="21"/>
      <c r="AI37" s="21"/>
      <c r="AJ37" s="21"/>
      <c r="AK37" s="21"/>
      <c r="AP37" s="9"/>
      <c r="AQ37" s="21"/>
      <c r="AR37" s="21"/>
      <c r="AS37" s="21"/>
      <c r="AT37" s="21"/>
      <c r="AU37" s="21"/>
      <c r="AX37" s="9"/>
      <c r="AY37" s="21"/>
      <c r="AZ37" s="21"/>
      <c r="BA37" s="21"/>
      <c r="BB37" s="21"/>
      <c r="BC37" s="21"/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/>
      <c r="H38" s="21"/>
      <c r="I38" s="21"/>
      <c r="J38" s="21"/>
      <c r="K38" s="21"/>
      <c r="N38" s="9"/>
      <c r="O38" s="21"/>
      <c r="P38" s="21"/>
      <c r="Q38" s="21"/>
      <c r="R38" s="21"/>
      <c r="S38" s="21"/>
      <c r="X38" s="9"/>
      <c r="Y38" s="21"/>
      <c r="Z38" s="21"/>
      <c r="AA38" s="21"/>
      <c r="AB38" s="21"/>
      <c r="AC38" s="21"/>
      <c r="AF38" s="9"/>
      <c r="AG38" s="21"/>
      <c r="AH38" s="21"/>
      <c r="AI38" s="21"/>
      <c r="AJ38" s="21"/>
      <c r="AK38" s="21"/>
      <c r="AP38" s="9"/>
      <c r="AQ38" s="21"/>
      <c r="AR38" s="21"/>
      <c r="AS38" s="21"/>
      <c r="AT38" s="21"/>
      <c r="AU38" s="21"/>
      <c r="AX38" s="9"/>
      <c r="AY38" s="21"/>
      <c r="AZ38" s="21"/>
      <c r="BA38" s="21"/>
      <c r="BB38" s="21"/>
      <c r="BC38" s="21"/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/>
      <c r="H39" s="21"/>
      <c r="I39" s="21"/>
      <c r="J39" s="21"/>
      <c r="K39" s="21"/>
      <c r="N39" s="9"/>
      <c r="O39" s="21"/>
      <c r="P39" s="21"/>
      <c r="Q39" s="21"/>
      <c r="R39" s="21"/>
      <c r="S39" s="21"/>
      <c r="X39" s="9"/>
      <c r="Y39" s="21"/>
      <c r="Z39" s="21"/>
      <c r="AA39" s="21"/>
      <c r="AB39" s="21"/>
      <c r="AC39" s="21"/>
      <c r="AF39" s="9"/>
      <c r="AG39" s="21"/>
      <c r="AH39" s="21"/>
      <c r="AI39" s="21"/>
      <c r="AJ39" s="21"/>
      <c r="AK39" s="21"/>
      <c r="AP39" s="9"/>
      <c r="AQ39" s="21"/>
      <c r="AR39" s="21"/>
      <c r="AS39" s="21"/>
      <c r="AT39" s="21"/>
      <c r="AU39" s="21"/>
      <c r="AX39" s="9"/>
      <c r="AY39" s="21"/>
      <c r="AZ39" s="21"/>
      <c r="BA39" s="21"/>
      <c r="BB39" s="21"/>
      <c r="BC39" s="21"/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/>
      <c r="H40" s="21"/>
      <c r="I40" s="21"/>
      <c r="J40" s="21"/>
      <c r="K40" s="21"/>
      <c r="N40" s="9"/>
      <c r="O40" s="21"/>
      <c r="P40" s="21"/>
      <c r="Q40" s="21"/>
      <c r="R40" s="21"/>
      <c r="S40" s="21"/>
      <c r="X40" s="9"/>
      <c r="Y40" s="21"/>
      <c r="Z40" s="21"/>
      <c r="AA40" s="21"/>
      <c r="AB40" s="21"/>
      <c r="AC40" s="21"/>
      <c r="AF40" s="9"/>
      <c r="AG40" s="21"/>
      <c r="AH40" s="21"/>
      <c r="AI40" s="21"/>
      <c r="AJ40" s="21"/>
      <c r="AK40" s="21"/>
      <c r="AP40" s="9"/>
      <c r="AQ40" s="21"/>
      <c r="AR40" s="21"/>
      <c r="AS40" s="21"/>
      <c r="AT40" s="21"/>
      <c r="AU40" s="21"/>
      <c r="AX40" s="9"/>
      <c r="AY40" s="21"/>
      <c r="AZ40" s="21"/>
      <c r="BA40" s="21"/>
      <c r="BB40" s="21"/>
      <c r="BC40" s="21"/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/>
      <c r="H41" s="21"/>
      <c r="I41" s="21"/>
      <c r="J41" s="21"/>
      <c r="K41" s="21"/>
      <c r="N41" s="9"/>
      <c r="O41" s="21"/>
      <c r="P41" s="21"/>
      <c r="Q41" s="21"/>
      <c r="R41" s="21"/>
      <c r="S41" s="21"/>
      <c r="X41" s="9"/>
      <c r="Y41" s="21"/>
      <c r="Z41" s="21"/>
      <c r="AA41" s="21"/>
      <c r="AB41" s="21"/>
      <c r="AC41" s="21"/>
      <c r="AF41" s="9"/>
      <c r="AG41" s="21"/>
      <c r="AH41" s="21"/>
      <c r="AI41" s="21"/>
      <c r="AJ41" s="21"/>
      <c r="AK41" s="21"/>
      <c r="AP41" s="9"/>
      <c r="AQ41" s="21"/>
      <c r="AR41" s="21"/>
      <c r="AS41" s="21"/>
      <c r="AT41" s="21"/>
      <c r="AU41" s="21"/>
      <c r="AX41" s="9"/>
      <c r="AY41" s="21"/>
      <c r="AZ41" s="21"/>
      <c r="BA41" s="21"/>
      <c r="BB41" s="21"/>
      <c r="BC41" s="21"/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/>
      <c r="H42" s="21"/>
      <c r="I42" s="21"/>
      <c r="J42" s="21"/>
      <c r="K42" s="21"/>
      <c r="N42" s="9"/>
      <c r="O42" s="21"/>
      <c r="P42" s="21"/>
      <c r="Q42" s="21"/>
      <c r="R42" s="21"/>
      <c r="S42" s="21"/>
      <c r="X42" s="9"/>
      <c r="Y42" s="21"/>
      <c r="Z42" s="21"/>
      <c r="AA42" s="21"/>
      <c r="AB42" s="21"/>
      <c r="AC42" s="21"/>
      <c r="AF42" s="9"/>
      <c r="AG42" s="21"/>
      <c r="AH42" s="21"/>
      <c r="AI42" s="21"/>
      <c r="AJ42" s="21"/>
      <c r="AK42" s="21"/>
      <c r="AP42" s="9"/>
      <c r="AQ42" s="21"/>
      <c r="AR42" s="21"/>
      <c r="AS42" s="21"/>
      <c r="AT42" s="21"/>
      <c r="AU42" s="21"/>
      <c r="AX42" s="9"/>
      <c r="AY42" s="21"/>
      <c r="AZ42" s="21"/>
      <c r="BA42" s="21"/>
      <c r="BB42" s="21"/>
      <c r="BC42" s="21"/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/>
      <c r="H43" s="21"/>
      <c r="I43" s="21"/>
      <c r="J43" s="21"/>
      <c r="K43" s="21"/>
      <c r="N43" s="9"/>
      <c r="O43" s="21"/>
      <c r="P43" s="21"/>
      <c r="Q43" s="21"/>
      <c r="R43" s="21"/>
      <c r="S43" s="21"/>
      <c r="X43" s="9"/>
      <c r="Y43" s="21"/>
      <c r="Z43" s="21"/>
      <c r="AA43" s="21"/>
      <c r="AB43" s="21"/>
      <c r="AC43" s="21"/>
      <c r="AF43" s="9"/>
      <c r="AG43" s="21"/>
      <c r="AH43" s="21"/>
      <c r="AI43" s="21"/>
      <c r="AJ43" s="21"/>
      <c r="AK43" s="21"/>
      <c r="AP43" s="9"/>
      <c r="AQ43" s="21"/>
      <c r="AR43" s="21"/>
      <c r="AS43" s="21"/>
      <c r="AT43" s="21"/>
      <c r="AU43" s="21"/>
      <c r="AX43" s="9"/>
      <c r="AY43" s="21"/>
      <c r="AZ43" s="21"/>
      <c r="BA43" s="21"/>
      <c r="BB43" s="21"/>
      <c r="BC43" s="21"/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/>
      <c r="H44" s="21"/>
      <c r="I44" s="21"/>
      <c r="J44" s="21"/>
      <c r="K44" s="21"/>
      <c r="N44" s="9"/>
      <c r="O44" s="21"/>
      <c r="P44" s="21"/>
      <c r="Q44" s="21"/>
      <c r="R44" s="21"/>
      <c r="S44" s="21"/>
      <c r="X44" s="9"/>
      <c r="Y44" s="21"/>
      <c r="Z44" s="21"/>
      <c r="AA44" s="21"/>
      <c r="AB44" s="21"/>
      <c r="AC44" s="21"/>
      <c r="AF44" s="9"/>
      <c r="AG44" s="21"/>
      <c r="AH44" s="21"/>
      <c r="AI44" s="21"/>
      <c r="AJ44" s="21"/>
      <c r="AK44" s="21"/>
      <c r="AP44" s="9"/>
      <c r="AQ44" s="21"/>
      <c r="AR44" s="21"/>
      <c r="AS44" s="21"/>
      <c r="AT44" s="21"/>
      <c r="AU44" s="21"/>
      <c r="AX44" s="9"/>
      <c r="AY44" s="21"/>
      <c r="AZ44" s="21"/>
      <c r="BA44" s="21"/>
      <c r="BB44" s="21"/>
      <c r="BC44" s="21"/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/>
      <c r="H45" s="21"/>
      <c r="I45" s="21"/>
      <c r="J45" s="21"/>
      <c r="K45" s="21"/>
      <c r="N45" s="9"/>
      <c r="O45" s="21"/>
      <c r="P45" s="21"/>
      <c r="Q45" s="21"/>
      <c r="R45" s="21"/>
      <c r="S45" s="21"/>
      <c r="X45" s="9"/>
      <c r="Y45" s="21"/>
      <c r="Z45" s="21"/>
      <c r="AA45" s="21"/>
      <c r="AB45" s="21"/>
      <c r="AC45" s="21"/>
      <c r="AF45" s="9"/>
      <c r="AG45" s="21"/>
      <c r="AH45" s="21"/>
      <c r="AI45" s="21"/>
      <c r="AJ45" s="21"/>
      <c r="AK45" s="21"/>
      <c r="AP45" s="9"/>
      <c r="AQ45" s="21"/>
      <c r="AR45" s="21"/>
      <c r="AS45" s="21"/>
      <c r="AT45" s="21"/>
      <c r="AU45" s="21"/>
      <c r="AX45" s="9"/>
      <c r="AY45" s="21"/>
      <c r="AZ45" s="21"/>
      <c r="BA45" s="21"/>
      <c r="BB45" s="21"/>
      <c r="BC45" s="21"/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/>
      <c r="H46" s="21"/>
      <c r="I46" s="21"/>
      <c r="J46" s="21"/>
      <c r="K46" s="21"/>
      <c r="N46" s="9"/>
      <c r="O46" s="21"/>
      <c r="P46" s="21"/>
      <c r="Q46" s="21"/>
      <c r="R46" s="21"/>
      <c r="S46" s="21"/>
      <c r="X46" s="9"/>
      <c r="Y46" s="21"/>
      <c r="Z46" s="21"/>
      <c r="AA46" s="21"/>
      <c r="AB46" s="21"/>
      <c r="AC46" s="21"/>
      <c r="AF46" s="9"/>
      <c r="AG46" s="21"/>
      <c r="AH46" s="21"/>
      <c r="AI46" s="21"/>
      <c r="AJ46" s="21"/>
      <c r="AK46" s="21"/>
      <c r="AP46" s="9"/>
      <c r="AQ46" s="21"/>
      <c r="AR46" s="21"/>
      <c r="AS46" s="21"/>
      <c r="AT46" s="21"/>
      <c r="AU46" s="21"/>
      <c r="AX46" s="9"/>
      <c r="AY46" s="21"/>
      <c r="AZ46" s="21"/>
      <c r="BA46" s="21"/>
      <c r="BB46" s="21"/>
      <c r="BC46" s="21"/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/>
      <c r="H47" s="21"/>
      <c r="I47" s="21"/>
      <c r="J47" s="21"/>
      <c r="K47" s="21"/>
      <c r="N47" s="9"/>
      <c r="O47" s="21"/>
      <c r="P47" s="21"/>
      <c r="Q47" s="21"/>
      <c r="R47" s="21"/>
      <c r="S47" s="21"/>
      <c r="X47" s="9"/>
      <c r="Y47" s="21"/>
      <c r="Z47" s="21"/>
      <c r="AA47" s="21"/>
      <c r="AB47" s="21"/>
      <c r="AC47" s="21"/>
      <c r="AF47" s="9"/>
      <c r="AG47" s="21"/>
      <c r="AH47" s="21"/>
      <c r="AI47" s="21"/>
      <c r="AJ47" s="21"/>
      <c r="AK47" s="21"/>
      <c r="AP47" s="9"/>
      <c r="AQ47" s="21"/>
      <c r="AR47" s="21"/>
      <c r="AS47" s="21"/>
      <c r="AT47" s="21"/>
      <c r="AU47" s="21"/>
      <c r="AX47" s="9"/>
      <c r="AY47" s="21"/>
      <c r="AZ47" s="21"/>
      <c r="BA47" s="21"/>
      <c r="BB47" s="21"/>
      <c r="BC47" s="21"/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/>
      <c r="H48" s="21"/>
      <c r="I48" s="21"/>
      <c r="J48" s="21"/>
      <c r="K48" s="21"/>
      <c r="N48" s="9"/>
      <c r="O48" s="21"/>
      <c r="P48" s="21"/>
      <c r="Q48" s="21"/>
      <c r="R48" s="21"/>
      <c r="S48" s="21"/>
      <c r="X48" s="9"/>
      <c r="Y48" s="21"/>
      <c r="Z48" s="21"/>
      <c r="AA48" s="21"/>
      <c r="AB48" s="21"/>
      <c r="AC48" s="21"/>
      <c r="AF48" s="9"/>
      <c r="AG48" s="21"/>
      <c r="AH48" s="21"/>
      <c r="AI48" s="21"/>
      <c r="AJ48" s="21"/>
      <c r="AK48" s="21"/>
      <c r="AP48" s="9"/>
      <c r="AQ48" s="21"/>
      <c r="AR48" s="21"/>
      <c r="AS48" s="21"/>
      <c r="AT48" s="21"/>
      <c r="AU48" s="21"/>
      <c r="AX48" s="9"/>
      <c r="AY48" s="21"/>
      <c r="AZ48" s="21"/>
      <c r="BA48" s="21"/>
      <c r="BB48" s="21"/>
      <c r="BC48" s="21"/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/>
      <c r="H49" s="21"/>
      <c r="I49" s="21"/>
      <c r="J49" s="21"/>
      <c r="K49" s="21"/>
      <c r="N49" s="9"/>
      <c r="O49" s="21"/>
      <c r="P49" s="21"/>
      <c r="Q49" s="21"/>
      <c r="R49" s="21"/>
      <c r="S49" s="21"/>
      <c r="X49" s="9"/>
      <c r="Y49" s="21"/>
      <c r="Z49" s="21"/>
      <c r="AA49" s="21"/>
      <c r="AB49" s="21"/>
      <c r="AC49" s="21"/>
      <c r="AF49" s="9"/>
      <c r="AG49" s="21"/>
      <c r="AH49" s="21"/>
      <c r="AI49" s="21"/>
      <c r="AJ49" s="21"/>
      <c r="AK49" s="21"/>
      <c r="AP49" s="9"/>
      <c r="AQ49" s="21"/>
      <c r="AR49" s="21"/>
      <c r="AS49" s="21"/>
      <c r="AT49" s="21"/>
      <c r="AU49" s="21"/>
      <c r="AX49" s="9"/>
      <c r="AY49" s="21"/>
      <c r="AZ49" s="21"/>
      <c r="BA49" s="21"/>
      <c r="BB49" s="21"/>
      <c r="BC49" s="21"/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/>
      <c r="H50" s="21"/>
      <c r="I50" s="21"/>
      <c r="J50" s="21"/>
      <c r="K50" s="21"/>
      <c r="N50" s="9"/>
      <c r="O50" s="21"/>
      <c r="P50" s="21"/>
      <c r="Q50" s="21"/>
      <c r="R50" s="21"/>
      <c r="S50" s="21"/>
      <c r="X50" s="9"/>
      <c r="Y50" s="21"/>
      <c r="Z50" s="21"/>
      <c r="AA50" s="21"/>
      <c r="AB50" s="21"/>
      <c r="AC50" s="21"/>
      <c r="AF50" s="9"/>
      <c r="AG50" s="21"/>
      <c r="AH50" s="21"/>
      <c r="AI50" s="21"/>
      <c r="AJ50" s="21"/>
      <c r="AK50" s="21"/>
      <c r="AP50" s="9"/>
      <c r="AQ50" s="21"/>
      <c r="AR50" s="21"/>
      <c r="AS50" s="21"/>
      <c r="AT50" s="21"/>
      <c r="AU50" s="21"/>
      <c r="AX50" s="9"/>
      <c r="AY50" s="21"/>
      <c r="AZ50" s="21"/>
      <c r="BA50" s="21"/>
      <c r="BB50" s="21"/>
      <c r="BC50" s="21"/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/>
      <c r="H51" s="21"/>
      <c r="I51" s="21"/>
      <c r="J51" s="21"/>
      <c r="K51" s="21"/>
      <c r="N51" s="9"/>
      <c r="O51" s="21"/>
      <c r="P51" s="21"/>
      <c r="Q51" s="21"/>
      <c r="R51" s="21"/>
      <c r="S51" s="21"/>
      <c r="X51" s="9"/>
      <c r="Y51" s="21"/>
      <c r="Z51" s="21"/>
      <c r="AA51" s="21"/>
      <c r="AB51" s="21"/>
      <c r="AC51" s="21"/>
      <c r="AF51" s="9"/>
      <c r="AG51" s="21"/>
      <c r="AH51" s="21"/>
      <c r="AI51" s="21"/>
      <c r="AJ51" s="21"/>
      <c r="AK51" s="21"/>
      <c r="AP51" s="9"/>
      <c r="AQ51" s="21"/>
      <c r="AR51" s="21"/>
      <c r="AS51" s="21"/>
      <c r="AT51" s="21"/>
      <c r="AU51" s="21"/>
      <c r="AX51" s="9"/>
      <c r="AY51" s="21"/>
      <c r="AZ51" s="21"/>
      <c r="BA51" s="21"/>
      <c r="BB51" s="21"/>
      <c r="BC51" s="21"/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/>
      <c r="H52" s="21"/>
      <c r="I52" s="21"/>
      <c r="J52" s="21"/>
      <c r="K52" s="21"/>
      <c r="N52" s="9"/>
      <c r="O52" s="21"/>
      <c r="P52" s="21"/>
      <c r="Q52" s="21"/>
      <c r="R52" s="21"/>
      <c r="S52" s="21"/>
      <c r="X52" s="9"/>
      <c r="Y52" s="21"/>
      <c r="Z52" s="21"/>
      <c r="AA52" s="21"/>
      <c r="AB52" s="21"/>
      <c r="AC52" s="21"/>
      <c r="AF52" s="9"/>
      <c r="AG52" s="21"/>
      <c r="AH52" s="21"/>
      <c r="AI52" s="21"/>
      <c r="AJ52" s="21"/>
      <c r="AK52" s="21"/>
      <c r="AP52" s="9"/>
      <c r="AQ52" s="21"/>
      <c r="AR52" s="21"/>
      <c r="AS52" s="21"/>
      <c r="AT52" s="21"/>
      <c r="AU52" s="21"/>
      <c r="AX52" s="9"/>
      <c r="AY52" s="21"/>
      <c r="AZ52" s="21"/>
      <c r="BA52" s="21"/>
      <c r="BB52" s="21"/>
      <c r="BC52" s="21"/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/>
      <c r="H53" s="21"/>
      <c r="I53" s="21"/>
      <c r="J53" s="21"/>
      <c r="K53" s="21"/>
      <c r="N53" s="9"/>
      <c r="O53" s="21"/>
      <c r="P53" s="21"/>
      <c r="Q53" s="21"/>
      <c r="R53" s="21"/>
      <c r="S53" s="21"/>
      <c r="X53" s="9"/>
      <c r="Y53" s="21"/>
      <c r="Z53" s="21"/>
      <c r="AA53" s="21"/>
      <c r="AB53" s="21"/>
      <c r="AC53" s="21"/>
      <c r="AF53" s="9"/>
      <c r="AG53" s="21"/>
      <c r="AH53" s="21"/>
      <c r="AI53" s="21"/>
      <c r="AJ53" s="21"/>
      <c r="AK53" s="21"/>
      <c r="AP53" s="9"/>
      <c r="AQ53" s="21"/>
      <c r="AR53" s="21"/>
      <c r="AS53" s="21"/>
      <c r="AT53" s="21"/>
      <c r="AU53" s="21"/>
      <c r="AX53" s="9"/>
      <c r="AY53" s="21"/>
      <c r="AZ53" s="21"/>
      <c r="BA53" s="21"/>
      <c r="BB53" s="21"/>
      <c r="BC53" s="21"/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/>
      <c r="H54" s="21"/>
      <c r="I54" s="21"/>
      <c r="J54" s="21"/>
      <c r="K54" s="21"/>
      <c r="N54" s="9"/>
      <c r="O54" s="21"/>
      <c r="P54" s="21"/>
      <c r="Q54" s="21"/>
      <c r="R54" s="21"/>
      <c r="S54" s="21"/>
      <c r="X54" s="9"/>
      <c r="Y54" s="21"/>
      <c r="Z54" s="21"/>
      <c r="AA54" s="21"/>
      <c r="AB54" s="21"/>
      <c r="AC54" s="21"/>
      <c r="AF54" s="9"/>
      <c r="AG54" s="21"/>
      <c r="AH54" s="21"/>
      <c r="AI54" s="21"/>
      <c r="AJ54" s="21"/>
      <c r="AK54" s="21"/>
      <c r="AP54" s="9"/>
      <c r="AQ54" s="21"/>
      <c r="AR54" s="21"/>
      <c r="AS54" s="21"/>
      <c r="AT54" s="21"/>
      <c r="AU54" s="21"/>
      <c r="AX54" s="9"/>
      <c r="AY54" s="21"/>
      <c r="AZ54" s="21"/>
      <c r="BA54" s="21"/>
      <c r="BB54" s="21"/>
      <c r="BC54" s="21"/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/>
      <c r="H55" s="21"/>
      <c r="I55" s="21"/>
      <c r="J55" s="21"/>
      <c r="K55" s="21"/>
      <c r="N55" s="9"/>
      <c r="O55" s="21"/>
      <c r="P55" s="21"/>
      <c r="Q55" s="21"/>
      <c r="R55" s="21"/>
      <c r="S55" s="21"/>
      <c r="X55" s="9"/>
      <c r="Y55" s="21"/>
      <c r="Z55" s="21"/>
      <c r="AA55" s="21"/>
      <c r="AB55" s="21"/>
      <c r="AC55" s="21"/>
      <c r="AF55" s="9"/>
      <c r="AG55" s="21"/>
      <c r="AH55" s="21"/>
      <c r="AI55" s="21"/>
      <c r="AJ55" s="21"/>
      <c r="AK55" s="21"/>
      <c r="AP55" s="9"/>
      <c r="AQ55" s="21"/>
      <c r="AR55" s="21"/>
      <c r="AS55" s="21"/>
      <c r="AT55" s="21"/>
      <c r="AU55" s="21"/>
      <c r="AX55" s="9"/>
      <c r="AY55" s="21"/>
      <c r="AZ55" s="21"/>
      <c r="BA55" s="21"/>
      <c r="BB55" s="21"/>
      <c r="BC55" s="21"/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/>
      <c r="H56" s="21"/>
      <c r="I56" s="21"/>
      <c r="J56" s="21"/>
      <c r="K56" s="21"/>
      <c r="N56" s="9"/>
      <c r="O56" s="21"/>
      <c r="P56" s="21"/>
      <c r="Q56" s="21"/>
      <c r="R56" s="21"/>
      <c r="S56" s="21"/>
      <c r="X56" s="9"/>
      <c r="Y56" s="21"/>
      <c r="Z56" s="21"/>
      <c r="AA56" s="21"/>
      <c r="AB56" s="21"/>
      <c r="AC56" s="21"/>
      <c r="AF56" s="9"/>
      <c r="AG56" s="21"/>
      <c r="AH56" s="21"/>
      <c r="AI56" s="21"/>
      <c r="AJ56" s="21"/>
      <c r="AK56" s="21"/>
      <c r="AP56" s="9"/>
      <c r="AQ56" s="21"/>
      <c r="AR56" s="21"/>
      <c r="AS56" s="21"/>
      <c r="AT56" s="21"/>
      <c r="AU56" s="21"/>
      <c r="AX56" s="9"/>
      <c r="AY56" s="21"/>
      <c r="AZ56" s="21"/>
      <c r="BA56" s="21"/>
      <c r="BB56" s="21"/>
      <c r="BC56" s="21"/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/>
      <c r="H57" s="21"/>
      <c r="I57" s="21"/>
      <c r="J57" s="21"/>
      <c r="K57" s="21"/>
      <c r="N57" s="9"/>
      <c r="O57" s="21"/>
      <c r="P57" s="21"/>
      <c r="Q57" s="21"/>
      <c r="R57" s="21"/>
      <c r="S57" s="21"/>
      <c r="X57" s="9"/>
      <c r="Y57" s="21"/>
      <c r="Z57" s="21"/>
      <c r="AA57" s="21"/>
      <c r="AB57" s="21"/>
      <c r="AC57" s="21"/>
      <c r="AF57" s="9"/>
      <c r="AG57" s="21"/>
      <c r="AH57" s="21"/>
      <c r="AI57" s="21"/>
      <c r="AJ57" s="21"/>
      <c r="AK57" s="21"/>
      <c r="AP57" s="9"/>
      <c r="AQ57" s="21"/>
      <c r="AR57" s="21"/>
      <c r="AS57" s="21"/>
      <c r="AT57" s="21"/>
      <c r="AU57" s="21"/>
      <c r="AX57" s="9"/>
      <c r="AY57" s="21"/>
      <c r="AZ57" s="21"/>
      <c r="BA57" s="21"/>
      <c r="BB57" s="21"/>
      <c r="BC57" s="21"/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/>
      <c r="H58" s="21"/>
      <c r="I58" s="21"/>
      <c r="J58" s="21"/>
      <c r="K58" s="21"/>
      <c r="N58" s="9"/>
      <c r="O58" s="21"/>
      <c r="P58" s="21"/>
      <c r="Q58" s="21"/>
      <c r="R58" s="21"/>
      <c r="S58" s="21"/>
      <c r="X58" s="9"/>
      <c r="Y58" s="21"/>
      <c r="Z58" s="21"/>
      <c r="AA58" s="21"/>
      <c r="AB58" s="21"/>
      <c r="AC58" s="21"/>
      <c r="AF58" s="9"/>
      <c r="AG58" s="21"/>
      <c r="AH58" s="21"/>
      <c r="AI58" s="21"/>
      <c r="AJ58" s="21"/>
      <c r="AK58" s="21"/>
      <c r="AP58" s="9"/>
      <c r="AQ58" s="21"/>
      <c r="AR58" s="21"/>
      <c r="AS58" s="21"/>
      <c r="AT58" s="21"/>
      <c r="AU58" s="21"/>
      <c r="AX58" s="9"/>
      <c r="AY58" s="21"/>
      <c r="AZ58" s="21"/>
      <c r="BA58" s="21"/>
      <c r="BB58" s="21"/>
      <c r="BC58" s="21"/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/>
      <c r="H59" s="21"/>
      <c r="I59" s="21"/>
      <c r="J59" s="21"/>
      <c r="K59" s="21"/>
      <c r="N59" s="9"/>
      <c r="O59" s="21"/>
      <c r="P59" s="21"/>
      <c r="Q59" s="21"/>
      <c r="R59" s="21"/>
      <c r="S59" s="21"/>
      <c r="X59" s="9"/>
      <c r="Y59" s="21"/>
      <c r="Z59" s="21"/>
      <c r="AA59" s="21"/>
      <c r="AB59" s="21"/>
      <c r="AC59" s="21"/>
      <c r="AF59" s="9"/>
      <c r="AG59" s="21"/>
      <c r="AH59" s="21"/>
      <c r="AI59" s="21"/>
      <c r="AJ59" s="21"/>
      <c r="AK59" s="21"/>
      <c r="AP59" s="9"/>
      <c r="AQ59" s="21"/>
      <c r="AR59" s="21"/>
      <c r="AS59" s="21"/>
      <c r="AT59" s="21"/>
      <c r="AU59" s="21"/>
      <c r="AX59" s="9"/>
      <c r="AY59" s="21"/>
      <c r="AZ59" s="21"/>
      <c r="BA59" s="21"/>
      <c r="BB59" s="21"/>
      <c r="BC59" s="21"/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/>
      <c r="H60" s="21"/>
      <c r="I60" s="21"/>
      <c r="J60" s="21"/>
      <c r="K60" s="21"/>
      <c r="N60" s="9"/>
      <c r="O60" s="21"/>
      <c r="P60" s="21"/>
      <c r="Q60" s="21"/>
      <c r="R60" s="21"/>
      <c r="S60" s="21"/>
      <c r="X60" s="9"/>
      <c r="Y60" s="21"/>
      <c r="Z60" s="21"/>
      <c r="AA60" s="21"/>
      <c r="AB60" s="21"/>
      <c r="AC60" s="21"/>
      <c r="AF60" s="9"/>
      <c r="AG60" s="21"/>
      <c r="AH60" s="21"/>
      <c r="AI60" s="21"/>
      <c r="AJ60" s="21"/>
      <c r="AK60" s="21"/>
      <c r="AP60" s="9"/>
      <c r="AQ60" s="21"/>
      <c r="AR60" s="21"/>
      <c r="AS60" s="21"/>
      <c r="AT60" s="21"/>
      <c r="AU60" s="21"/>
      <c r="AX60" s="9"/>
      <c r="AY60" s="21"/>
      <c r="AZ60" s="21"/>
      <c r="BA60" s="21"/>
      <c r="BB60" s="21"/>
      <c r="BC60" s="21"/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/>
      <c r="H61" s="21"/>
      <c r="I61" s="21"/>
      <c r="J61" s="21"/>
      <c r="K61" s="21"/>
      <c r="N61" s="9"/>
      <c r="O61" s="21"/>
      <c r="P61" s="21"/>
      <c r="Q61" s="21"/>
      <c r="R61" s="21"/>
      <c r="S61" s="21"/>
      <c r="X61" s="9"/>
      <c r="Y61" s="21"/>
      <c r="Z61" s="21"/>
      <c r="AA61" s="21"/>
      <c r="AB61" s="21"/>
      <c r="AC61" s="21"/>
      <c r="AF61" s="9"/>
      <c r="AG61" s="21"/>
      <c r="AH61" s="21"/>
      <c r="AI61" s="21"/>
      <c r="AJ61" s="21"/>
      <c r="AK61" s="21"/>
      <c r="AP61" s="9"/>
      <c r="AQ61" s="21"/>
      <c r="AR61" s="21"/>
      <c r="AS61" s="21"/>
      <c r="AT61" s="21"/>
      <c r="AU61" s="21"/>
      <c r="AX61" s="9"/>
      <c r="AY61" s="21"/>
      <c r="AZ61" s="21"/>
      <c r="BA61" s="21"/>
      <c r="BB61" s="21"/>
      <c r="BC61" s="21"/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/>
      <c r="H62" s="21"/>
      <c r="I62" s="21"/>
      <c r="J62" s="21"/>
      <c r="K62" s="21"/>
      <c r="N62" s="9"/>
      <c r="O62" s="21"/>
      <c r="P62" s="21"/>
      <c r="Q62" s="21"/>
      <c r="R62" s="21"/>
      <c r="S62" s="21"/>
      <c r="X62" s="9"/>
      <c r="Y62" s="21"/>
      <c r="Z62" s="21"/>
      <c r="AA62" s="21"/>
      <c r="AB62" s="21"/>
      <c r="AC62" s="21"/>
      <c r="AF62" s="9"/>
      <c r="AG62" s="21"/>
      <c r="AH62" s="21"/>
      <c r="AI62" s="21"/>
      <c r="AJ62" s="21"/>
      <c r="AK62" s="21"/>
      <c r="AP62" s="9"/>
      <c r="AQ62" s="21"/>
      <c r="AR62" s="21"/>
      <c r="AS62" s="21"/>
      <c r="AT62" s="21"/>
      <c r="AU62" s="21"/>
      <c r="AX62" s="9"/>
      <c r="AY62" s="21"/>
      <c r="AZ62" s="21"/>
      <c r="BA62" s="21"/>
      <c r="BB62" s="21"/>
      <c r="BC62" s="21"/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/>
      <c r="H63" s="21"/>
      <c r="I63" s="21"/>
      <c r="J63" s="21"/>
      <c r="K63" s="21"/>
      <c r="N63" s="9"/>
      <c r="O63" s="21"/>
      <c r="P63" s="21"/>
      <c r="Q63" s="21"/>
      <c r="R63" s="21"/>
      <c r="S63" s="21"/>
      <c r="X63" s="9"/>
      <c r="Y63" s="21"/>
      <c r="Z63" s="21"/>
      <c r="AA63" s="21"/>
      <c r="AB63" s="21"/>
      <c r="AC63" s="21"/>
      <c r="AF63" s="9"/>
      <c r="AG63" s="21"/>
      <c r="AH63" s="21"/>
      <c r="AI63" s="21"/>
      <c r="AJ63" s="21"/>
      <c r="AK63" s="21"/>
      <c r="AP63" s="9"/>
      <c r="AQ63" s="21"/>
      <c r="AR63" s="21"/>
      <c r="AS63" s="21"/>
      <c r="AT63" s="21"/>
      <c r="AU63" s="21"/>
      <c r="AX63" s="9"/>
      <c r="AY63" s="21"/>
      <c r="AZ63" s="21"/>
      <c r="BA63" s="21"/>
      <c r="BB63" s="21"/>
      <c r="BC63" s="21"/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/>
      <c r="H64" s="21"/>
      <c r="I64" s="21"/>
      <c r="J64" s="21"/>
      <c r="K64" s="21"/>
      <c r="N64" s="9"/>
      <c r="O64" s="21"/>
      <c r="P64" s="21"/>
      <c r="Q64" s="21"/>
      <c r="R64" s="21"/>
      <c r="S64" s="21"/>
      <c r="X64" s="9"/>
      <c r="Y64" s="21"/>
      <c r="Z64" s="21"/>
      <c r="AA64" s="21"/>
      <c r="AB64" s="21"/>
      <c r="AC64" s="21"/>
      <c r="AF64" s="9"/>
      <c r="AG64" s="21"/>
      <c r="AH64" s="21"/>
      <c r="AI64" s="21"/>
      <c r="AJ64" s="21"/>
      <c r="AK64" s="21"/>
      <c r="AP64" s="9"/>
      <c r="AQ64" s="21"/>
      <c r="AR64" s="21"/>
      <c r="AS64" s="21"/>
      <c r="AT64" s="21"/>
      <c r="AU64" s="21"/>
      <c r="AX64" s="9"/>
      <c r="AY64" s="21"/>
      <c r="AZ64" s="21"/>
      <c r="BA64" s="21"/>
      <c r="BB64" s="21"/>
      <c r="BC64" s="21"/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/>
      <c r="H65" s="21"/>
      <c r="I65" s="21"/>
      <c r="J65" s="21"/>
      <c r="K65" s="21"/>
      <c r="N65" s="9"/>
      <c r="O65" s="21"/>
      <c r="P65" s="21"/>
      <c r="Q65" s="21"/>
      <c r="R65" s="21"/>
      <c r="S65" s="21"/>
      <c r="X65" s="9"/>
      <c r="Y65" s="21"/>
      <c r="Z65" s="21"/>
      <c r="AA65" s="21"/>
      <c r="AB65" s="21"/>
      <c r="AC65" s="21"/>
      <c r="AF65" s="9"/>
      <c r="AG65" s="21"/>
      <c r="AH65" s="21"/>
      <c r="AI65" s="21"/>
      <c r="AJ65" s="21"/>
      <c r="AK65" s="21"/>
      <c r="AP65" s="9"/>
      <c r="AQ65" s="21"/>
      <c r="AR65" s="21"/>
      <c r="AS65" s="21"/>
      <c r="AT65" s="21"/>
      <c r="AU65" s="21"/>
      <c r="AX65" s="9"/>
      <c r="AY65" s="21"/>
      <c r="AZ65" s="21"/>
      <c r="BA65" s="21"/>
      <c r="BB65" s="21"/>
      <c r="BC65" s="21"/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/>
      <c r="H66" s="21"/>
      <c r="I66" s="21"/>
      <c r="J66" s="21"/>
      <c r="K66" s="21"/>
      <c r="N66" s="9"/>
      <c r="O66" s="21"/>
      <c r="P66" s="21"/>
      <c r="Q66" s="21"/>
      <c r="R66" s="21"/>
      <c r="S66" s="21"/>
      <c r="X66" s="9"/>
      <c r="Y66" s="21"/>
      <c r="Z66" s="21"/>
      <c r="AA66" s="21"/>
      <c r="AB66" s="21"/>
      <c r="AC66" s="21"/>
      <c r="AF66" s="9"/>
      <c r="AG66" s="21"/>
      <c r="AH66" s="21"/>
      <c r="AI66" s="21"/>
      <c r="AJ66" s="21"/>
      <c r="AK66" s="21"/>
      <c r="AP66" s="9"/>
      <c r="AQ66" s="21"/>
      <c r="AR66" s="21"/>
      <c r="AS66" s="21"/>
      <c r="AT66" s="21"/>
      <c r="AU66" s="21"/>
      <c r="AX66" s="9"/>
      <c r="AY66" s="21"/>
      <c r="AZ66" s="21"/>
      <c r="BA66" s="21"/>
      <c r="BB66" s="21"/>
      <c r="BC66" s="21"/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/>
      <c r="H67" s="21"/>
      <c r="I67" s="21"/>
      <c r="J67" s="21"/>
      <c r="K67" s="21"/>
      <c r="N67" s="9"/>
      <c r="O67" s="21"/>
      <c r="P67" s="21"/>
      <c r="Q67" s="21"/>
      <c r="R67" s="21"/>
      <c r="S67" s="21"/>
      <c r="X67" s="9"/>
      <c r="Y67" s="21"/>
      <c r="Z67" s="21"/>
      <c r="AA67" s="21"/>
      <c r="AB67" s="21"/>
      <c r="AC67" s="21"/>
      <c r="AF67" s="9"/>
      <c r="AG67" s="21"/>
      <c r="AH67" s="21"/>
      <c r="AI67" s="21"/>
      <c r="AJ67" s="21"/>
      <c r="AK67" s="21"/>
      <c r="AP67" s="9"/>
      <c r="AQ67" s="21"/>
      <c r="AR67" s="21"/>
      <c r="AS67" s="21"/>
      <c r="AT67" s="21"/>
      <c r="AU67" s="21"/>
      <c r="AX67" s="9"/>
      <c r="AY67" s="21"/>
      <c r="AZ67" s="21"/>
      <c r="BA67" s="21"/>
      <c r="BB67" s="21"/>
      <c r="BC67" s="21"/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/>
      <c r="H68" s="21"/>
      <c r="I68" s="21"/>
      <c r="J68" s="21"/>
      <c r="K68" s="21"/>
      <c r="N68" s="9"/>
      <c r="O68" s="21"/>
      <c r="P68" s="21"/>
      <c r="Q68" s="21"/>
      <c r="R68" s="21"/>
      <c r="S68" s="21"/>
      <c r="X68" s="9"/>
      <c r="Y68" s="21"/>
      <c r="Z68" s="21"/>
      <c r="AA68" s="21"/>
      <c r="AB68" s="21"/>
      <c r="AC68" s="21"/>
      <c r="AF68" s="9"/>
      <c r="AG68" s="21"/>
      <c r="AH68" s="21"/>
      <c r="AI68" s="21"/>
      <c r="AJ68" s="21"/>
      <c r="AK68" s="21"/>
      <c r="AP68" s="9"/>
      <c r="AQ68" s="21"/>
      <c r="AR68" s="21"/>
      <c r="AS68" s="21"/>
      <c r="AT68" s="21"/>
      <c r="AU68" s="21"/>
      <c r="AX68" s="9"/>
      <c r="AY68" s="21"/>
      <c r="AZ68" s="21"/>
      <c r="BA68" s="21"/>
      <c r="BB68" s="21"/>
      <c r="BC68" s="21"/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/>
      <c r="H69" s="21"/>
      <c r="I69" s="21"/>
      <c r="J69" s="21"/>
      <c r="K69" s="21"/>
      <c r="N69" s="9"/>
      <c r="O69" s="21"/>
      <c r="P69" s="21"/>
      <c r="Q69" s="21"/>
      <c r="R69" s="21"/>
      <c r="S69" s="21"/>
      <c r="X69" s="9"/>
      <c r="Y69" s="21"/>
      <c r="Z69" s="21"/>
      <c r="AA69" s="21"/>
      <c r="AB69" s="21"/>
      <c r="AC69" s="21"/>
      <c r="AF69" s="9"/>
      <c r="AG69" s="21"/>
      <c r="AH69" s="21"/>
      <c r="AI69" s="21"/>
      <c r="AJ69" s="21"/>
      <c r="AK69" s="21"/>
      <c r="AP69" s="9"/>
      <c r="AQ69" s="21"/>
      <c r="AR69" s="21"/>
      <c r="AS69" s="21"/>
      <c r="AT69" s="21"/>
      <c r="AU69" s="21"/>
      <c r="AX69" s="9"/>
      <c r="AY69" s="21"/>
      <c r="AZ69" s="21"/>
      <c r="BA69" s="21"/>
      <c r="BB69" s="21"/>
      <c r="BC69" s="21"/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/>
      <c r="H70" s="21"/>
      <c r="I70" s="21"/>
      <c r="J70" s="21"/>
      <c r="K70" s="21"/>
      <c r="N70" s="9"/>
      <c r="O70" s="21"/>
      <c r="P70" s="21"/>
      <c r="Q70" s="21"/>
      <c r="R70" s="21"/>
      <c r="S70" s="21"/>
      <c r="X70" s="9"/>
      <c r="Y70" s="21"/>
      <c r="Z70" s="21"/>
      <c r="AA70" s="21"/>
      <c r="AB70" s="21"/>
      <c r="AC70" s="21"/>
      <c r="AF70" s="9"/>
      <c r="AG70" s="21"/>
      <c r="AH70" s="21"/>
      <c r="AI70" s="21"/>
      <c r="AJ70" s="21"/>
      <c r="AK70" s="21"/>
      <c r="AP70" s="9"/>
      <c r="AQ70" s="21"/>
      <c r="AR70" s="21"/>
      <c r="AS70" s="21"/>
      <c r="AT70" s="21"/>
      <c r="AU70" s="21"/>
      <c r="AX70" s="9"/>
      <c r="AY70" s="21"/>
      <c r="AZ70" s="21"/>
      <c r="BA70" s="21"/>
      <c r="BB70" s="21"/>
      <c r="BC70" s="21"/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/>
      <c r="H71" s="21"/>
      <c r="I71" s="21"/>
      <c r="J71" s="21"/>
      <c r="K71" s="21"/>
      <c r="N71" s="9"/>
      <c r="O71" s="21"/>
      <c r="P71" s="21"/>
      <c r="Q71" s="21"/>
      <c r="R71" s="21"/>
      <c r="S71" s="21"/>
      <c r="X71" s="9"/>
      <c r="Y71" s="21"/>
      <c r="Z71" s="21"/>
      <c r="AA71" s="21"/>
      <c r="AB71" s="21"/>
      <c r="AC71" s="21"/>
      <c r="AF71" s="9"/>
      <c r="AG71" s="21"/>
      <c r="AH71" s="21"/>
      <c r="AI71" s="21"/>
      <c r="AJ71" s="21"/>
      <c r="AK71" s="21"/>
      <c r="AP71" s="9"/>
      <c r="AQ71" s="21"/>
      <c r="AR71" s="21"/>
      <c r="AS71" s="21"/>
      <c r="AT71" s="21"/>
      <c r="AU71" s="21"/>
      <c r="AX71" s="9"/>
      <c r="AY71" s="21"/>
      <c r="AZ71" s="21"/>
      <c r="BA71" s="21"/>
      <c r="BB71" s="21"/>
      <c r="BC71" s="21"/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/>
      <c r="H72" s="21"/>
      <c r="I72" s="21"/>
      <c r="J72" s="21"/>
      <c r="K72" s="21"/>
      <c r="N72" s="9"/>
      <c r="O72" s="21"/>
      <c r="P72" s="21"/>
      <c r="Q72" s="21"/>
      <c r="R72" s="21"/>
      <c r="S72" s="21"/>
      <c r="X72" s="9"/>
      <c r="Y72" s="21"/>
      <c r="Z72" s="21"/>
      <c r="AA72" s="21"/>
      <c r="AB72" s="21"/>
      <c r="AC72" s="21"/>
      <c r="AF72" s="9"/>
      <c r="AG72" s="21"/>
      <c r="AH72" s="21"/>
      <c r="AI72" s="21"/>
      <c r="AJ72" s="21"/>
      <c r="AK72" s="21"/>
      <c r="AP72" s="9"/>
      <c r="AQ72" s="21"/>
      <c r="AR72" s="21"/>
      <c r="AS72" s="21"/>
      <c r="AT72" s="21"/>
      <c r="AU72" s="21"/>
      <c r="AX72" s="9"/>
      <c r="AY72" s="21"/>
      <c r="AZ72" s="21"/>
      <c r="BA72" s="21"/>
      <c r="BB72" s="21"/>
      <c r="BC72" s="21"/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/>
      <c r="H73" s="21"/>
      <c r="I73" s="21"/>
      <c r="J73" s="21"/>
      <c r="K73" s="21"/>
      <c r="N73" s="9"/>
      <c r="O73" s="21"/>
      <c r="P73" s="21"/>
      <c r="Q73" s="21"/>
      <c r="R73" s="21"/>
      <c r="S73" s="21"/>
      <c r="X73" s="9"/>
      <c r="Y73" s="21"/>
      <c r="Z73" s="21"/>
      <c r="AA73" s="21"/>
      <c r="AB73" s="21"/>
      <c r="AC73" s="21"/>
      <c r="AF73" s="9"/>
      <c r="AG73" s="21"/>
      <c r="AH73" s="21"/>
      <c r="AI73" s="21"/>
      <c r="AJ73" s="21"/>
      <c r="AK73" s="21"/>
      <c r="AP73" s="9"/>
      <c r="AQ73" s="21"/>
      <c r="AR73" s="21"/>
      <c r="AS73" s="21"/>
      <c r="AT73" s="21"/>
      <c r="AU73" s="21"/>
      <c r="AX73" s="9"/>
      <c r="AY73" s="21"/>
      <c r="AZ73" s="21"/>
      <c r="BA73" s="21"/>
      <c r="BB73" s="21"/>
      <c r="BC73" s="21"/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/>
      <c r="H74" s="21"/>
      <c r="I74" s="21"/>
      <c r="J74" s="21"/>
      <c r="K74" s="21"/>
      <c r="N74" s="9"/>
      <c r="O74" s="21"/>
      <c r="P74" s="21"/>
      <c r="Q74" s="21"/>
      <c r="R74" s="21"/>
      <c r="S74" s="21"/>
      <c r="X74" s="9"/>
      <c r="Y74" s="21"/>
      <c r="Z74" s="21"/>
      <c r="AA74" s="21"/>
      <c r="AB74" s="21"/>
      <c r="AC74" s="21"/>
      <c r="AF74" s="9"/>
      <c r="AG74" s="21"/>
      <c r="AH74" s="21"/>
      <c r="AI74" s="21"/>
      <c r="AJ74" s="21"/>
      <c r="AK74" s="21"/>
      <c r="AP74" s="9"/>
      <c r="AQ74" s="21"/>
      <c r="AR74" s="21"/>
      <c r="AS74" s="21"/>
      <c r="AT74" s="21"/>
      <c r="AU74" s="21"/>
      <c r="AX74" s="9"/>
      <c r="AY74" s="21"/>
      <c r="AZ74" s="21"/>
      <c r="BA74" s="21"/>
      <c r="BB74" s="21"/>
      <c r="BC74" s="21"/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/>
      <c r="H75" s="21"/>
      <c r="I75" s="21"/>
      <c r="J75" s="21"/>
      <c r="K75" s="21"/>
      <c r="N75" s="9"/>
      <c r="O75" s="21"/>
      <c r="P75" s="21"/>
      <c r="Q75" s="21"/>
      <c r="R75" s="21"/>
      <c r="S75" s="21"/>
      <c r="X75" s="9"/>
      <c r="Y75" s="21"/>
      <c r="Z75" s="21"/>
      <c r="AA75" s="21"/>
      <c r="AB75" s="21"/>
      <c r="AC75" s="21"/>
      <c r="AF75" s="9"/>
      <c r="AG75" s="21"/>
      <c r="AH75" s="21"/>
      <c r="AI75" s="21"/>
      <c r="AJ75" s="21"/>
      <c r="AK75" s="21"/>
      <c r="AP75" s="9"/>
      <c r="AQ75" s="21"/>
      <c r="AR75" s="21"/>
      <c r="AS75" s="21"/>
      <c r="AT75" s="21"/>
      <c r="AU75" s="21"/>
      <c r="AX75" s="9"/>
      <c r="AY75" s="21"/>
      <c r="AZ75" s="21"/>
      <c r="BA75" s="21"/>
      <c r="BB75" s="21"/>
      <c r="BC75" s="21"/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/>
      <c r="H76" s="21"/>
      <c r="I76" s="21"/>
      <c r="J76" s="21"/>
      <c r="K76" s="21"/>
      <c r="N76" s="9"/>
      <c r="O76" s="21"/>
      <c r="P76" s="21"/>
      <c r="Q76" s="21"/>
      <c r="R76" s="21"/>
      <c r="S76" s="21"/>
      <c r="X76" s="9"/>
      <c r="Y76" s="21"/>
      <c r="Z76" s="21"/>
      <c r="AA76" s="21"/>
      <c r="AB76" s="21"/>
      <c r="AC76" s="21"/>
      <c r="AF76" s="9"/>
      <c r="AG76" s="21"/>
      <c r="AH76" s="21"/>
      <c r="AI76" s="21"/>
      <c r="AJ76" s="21"/>
      <c r="AK76" s="21"/>
      <c r="AP76" s="9"/>
      <c r="AQ76" s="21"/>
      <c r="AR76" s="21"/>
      <c r="AS76" s="21"/>
      <c r="AT76" s="21"/>
      <c r="AU76" s="21"/>
      <c r="AX76" s="9"/>
      <c r="AY76" s="21"/>
      <c r="AZ76" s="21"/>
      <c r="BA76" s="21"/>
      <c r="BB76" s="21"/>
      <c r="BC76" s="21"/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/>
      <c r="H77" s="21"/>
      <c r="I77" s="21"/>
      <c r="J77" s="21"/>
      <c r="K77" s="21"/>
      <c r="N77" s="9"/>
      <c r="O77" s="21"/>
      <c r="P77" s="21"/>
      <c r="Q77" s="21"/>
      <c r="R77" s="21"/>
      <c r="S77" s="21"/>
      <c r="X77" s="9"/>
      <c r="Y77" s="21"/>
      <c r="Z77" s="21"/>
      <c r="AA77" s="21"/>
      <c r="AB77" s="21"/>
      <c r="AC77" s="21"/>
      <c r="AF77" s="9"/>
      <c r="AG77" s="21"/>
      <c r="AH77" s="21"/>
      <c r="AI77" s="21"/>
      <c r="AJ77" s="21"/>
      <c r="AK77" s="21"/>
      <c r="AP77" s="9"/>
      <c r="AQ77" s="21"/>
      <c r="AR77" s="21"/>
      <c r="AS77" s="21"/>
      <c r="AT77" s="21"/>
      <c r="AU77" s="21"/>
      <c r="AX77" s="9"/>
      <c r="AY77" s="21"/>
      <c r="AZ77" s="21"/>
      <c r="BA77" s="21"/>
      <c r="BB77" s="21"/>
      <c r="BC77" s="21"/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/>
      <c r="H78" s="21"/>
      <c r="I78" s="21"/>
      <c r="J78" s="21"/>
      <c r="K78" s="21"/>
      <c r="N78" s="9"/>
      <c r="O78" s="21"/>
      <c r="P78" s="21"/>
      <c r="Q78" s="21"/>
      <c r="R78" s="21"/>
      <c r="S78" s="21"/>
      <c r="X78" s="9"/>
      <c r="Y78" s="21"/>
      <c r="Z78" s="21"/>
      <c r="AA78" s="21"/>
      <c r="AB78" s="21"/>
      <c r="AC78" s="21"/>
      <c r="AF78" s="9"/>
      <c r="AG78" s="21"/>
      <c r="AH78" s="21"/>
      <c r="AI78" s="21"/>
      <c r="AJ78" s="21"/>
      <c r="AK78" s="21"/>
      <c r="AP78" s="9"/>
      <c r="AQ78" s="21"/>
      <c r="AR78" s="21"/>
      <c r="AS78" s="21"/>
      <c r="AT78" s="21"/>
      <c r="AU78" s="21"/>
      <c r="AX78" s="9"/>
      <c r="AY78" s="21"/>
      <c r="AZ78" s="21"/>
      <c r="BA78" s="21"/>
      <c r="BB78" s="21"/>
      <c r="BC78" s="21"/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/>
      <c r="H79" s="21"/>
      <c r="I79" s="21"/>
      <c r="J79" s="21"/>
      <c r="K79" s="21"/>
      <c r="N79" s="9"/>
      <c r="O79" s="21"/>
      <c r="P79" s="21"/>
      <c r="Q79" s="21"/>
      <c r="R79" s="21"/>
      <c r="S79" s="21"/>
      <c r="X79" s="9"/>
      <c r="Y79" s="21"/>
      <c r="Z79" s="21"/>
      <c r="AA79" s="21"/>
      <c r="AB79" s="21"/>
      <c r="AC79" s="21"/>
      <c r="AF79" s="9"/>
      <c r="AG79" s="21"/>
      <c r="AH79" s="21"/>
      <c r="AI79" s="21"/>
      <c r="AJ79" s="21"/>
      <c r="AK79" s="21"/>
      <c r="AP79" s="9"/>
      <c r="AQ79" s="21"/>
      <c r="AR79" s="21"/>
      <c r="AS79" s="21"/>
      <c r="AT79" s="21"/>
      <c r="AU79" s="21"/>
      <c r="AX79" s="9"/>
      <c r="AY79" s="21"/>
      <c r="AZ79" s="21"/>
      <c r="BA79" s="21"/>
      <c r="BB79" s="21"/>
      <c r="BC79" s="21"/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/>
      <c r="H80" s="21"/>
      <c r="I80" s="21"/>
      <c r="J80" s="21"/>
      <c r="K80" s="21"/>
      <c r="N80" s="9"/>
      <c r="O80" s="21"/>
      <c r="P80" s="21"/>
      <c r="Q80" s="21"/>
      <c r="R80" s="21"/>
      <c r="S80" s="21"/>
      <c r="X80" s="9"/>
      <c r="Y80" s="21"/>
      <c r="Z80" s="21"/>
      <c r="AA80" s="21"/>
      <c r="AB80" s="21"/>
      <c r="AC80" s="21"/>
      <c r="AF80" s="9"/>
      <c r="AG80" s="21"/>
      <c r="AH80" s="21"/>
      <c r="AI80" s="21"/>
      <c r="AJ80" s="21"/>
      <c r="AK80" s="21"/>
      <c r="AP80" s="9"/>
      <c r="AQ80" s="21"/>
      <c r="AR80" s="21"/>
      <c r="AS80" s="21"/>
      <c r="AT80" s="21"/>
      <c r="AU80" s="21"/>
      <c r="AX80" s="9"/>
      <c r="AY80" s="21"/>
      <c r="AZ80" s="21"/>
      <c r="BA80" s="21"/>
      <c r="BB80" s="21"/>
      <c r="BC80" s="21"/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/>
      <c r="H81" s="21"/>
      <c r="I81" s="21"/>
      <c r="J81" s="21"/>
      <c r="K81" s="21"/>
      <c r="N81" s="9"/>
      <c r="O81" s="21"/>
      <c r="P81" s="21"/>
      <c r="Q81" s="21"/>
      <c r="R81" s="21"/>
      <c r="S81" s="21"/>
      <c r="X81" s="9"/>
      <c r="Y81" s="21"/>
      <c r="Z81" s="21"/>
      <c r="AA81" s="21"/>
      <c r="AB81" s="21"/>
      <c r="AC81" s="21"/>
      <c r="AF81" s="9"/>
      <c r="AG81" s="21"/>
      <c r="AH81" s="21"/>
      <c r="AI81" s="21"/>
      <c r="AJ81" s="21"/>
      <c r="AK81" s="21"/>
      <c r="AP81" s="9"/>
      <c r="AQ81" s="21"/>
      <c r="AR81" s="21"/>
      <c r="AS81" s="21"/>
      <c r="AT81" s="21"/>
      <c r="AU81" s="21"/>
      <c r="AX81" s="9"/>
      <c r="AY81" s="21"/>
      <c r="AZ81" s="21"/>
      <c r="BA81" s="21"/>
      <c r="BB81" s="21"/>
      <c r="BC81" s="21"/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/>
      <c r="H82" s="21"/>
      <c r="I82" s="21"/>
      <c r="J82" s="21"/>
      <c r="K82" s="21"/>
      <c r="N82" s="9"/>
      <c r="O82" s="21"/>
      <c r="P82" s="21"/>
      <c r="Q82" s="21"/>
      <c r="R82" s="21"/>
      <c r="S82" s="21"/>
      <c r="X82" s="9"/>
      <c r="Y82" s="21"/>
      <c r="Z82" s="21"/>
      <c r="AA82" s="21"/>
      <c r="AB82" s="21"/>
      <c r="AC82" s="21"/>
      <c r="AF82" s="9"/>
      <c r="AG82" s="21"/>
      <c r="AH82" s="21"/>
      <c r="AI82" s="21"/>
      <c r="AJ82" s="21"/>
      <c r="AK82" s="21"/>
      <c r="AP82" s="9"/>
      <c r="AQ82" s="21"/>
      <c r="AR82" s="21"/>
      <c r="AS82" s="21"/>
      <c r="AT82" s="21"/>
      <c r="AU82" s="21"/>
      <c r="AX82" s="9"/>
      <c r="AY82" s="21"/>
      <c r="AZ82" s="21"/>
      <c r="BA82" s="21"/>
      <c r="BB82" s="21"/>
      <c r="BC82" s="21"/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/>
      <c r="H83" s="21"/>
      <c r="I83" s="21"/>
      <c r="J83" s="21"/>
      <c r="K83" s="21"/>
      <c r="N83" s="9"/>
      <c r="O83" s="21"/>
      <c r="P83" s="21"/>
      <c r="Q83" s="21"/>
      <c r="R83" s="21"/>
      <c r="S83" s="21"/>
      <c r="X83" s="9"/>
      <c r="Y83" s="21"/>
      <c r="Z83" s="21"/>
      <c r="AA83" s="21"/>
      <c r="AB83" s="21"/>
      <c r="AC83" s="21"/>
      <c r="AF83" s="9"/>
      <c r="AG83" s="21"/>
      <c r="AH83" s="21"/>
      <c r="AI83" s="21"/>
      <c r="AJ83" s="21"/>
      <c r="AK83" s="21"/>
      <c r="AP83" s="9"/>
      <c r="AQ83" s="21"/>
      <c r="AR83" s="21"/>
      <c r="AS83" s="21"/>
      <c r="AT83" s="21"/>
      <c r="AU83" s="21"/>
      <c r="AX83" s="9"/>
      <c r="AY83" s="21"/>
      <c r="AZ83" s="21"/>
      <c r="BA83" s="21"/>
      <c r="BB83" s="21"/>
      <c r="BC83" s="21"/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/>
      <c r="H84" s="21"/>
      <c r="I84" s="21"/>
      <c r="J84" s="21"/>
      <c r="K84" s="21"/>
      <c r="N84" s="9"/>
      <c r="O84" s="21"/>
      <c r="P84" s="21"/>
      <c r="Q84" s="21"/>
      <c r="R84" s="21"/>
      <c r="S84" s="21"/>
      <c r="X84" s="9"/>
      <c r="Y84" s="21"/>
      <c r="Z84" s="21"/>
      <c r="AA84" s="21"/>
      <c r="AB84" s="21"/>
      <c r="AC84" s="21"/>
      <c r="AF84" s="9"/>
      <c r="AG84" s="21"/>
      <c r="AH84" s="21"/>
      <c r="AI84" s="21"/>
      <c r="AJ84" s="21"/>
      <c r="AK84" s="21"/>
      <c r="AP84" s="9"/>
      <c r="AQ84" s="21"/>
      <c r="AR84" s="21"/>
      <c r="AS84" s="21"/>
      <c r="AT84" s="21"/>
      <c r="AU84" s="21"/>
      <c r="AX84" s="9"/>
      <c r="AY84" s="21"/>
      <c r="AZ84" s="21"/>
      <c r="BA84" s="21"/>
      <c r="BB84" s="21"/>
      <c r="BC84" s="21"/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/>
      <c r="H85" s="21"/>
      <c r="I85" s="21"/>
      <c r="J85" s="21"/>
      <c r="K85" s="21"/>
      <c r="N85" s="9"/>
      <c r="O85" s="21"/>
      <c r="P85" s="21"/>
      <c r="Q85" s="21"/>
      <c r="R85" s="21"/>
      <c r="S85" s="21"/>
      <c r="X85" s="9"/>
      <c r="Y85" s="21"/>
      <c r="Z85" s="21"/>
      <c r="AA85" s="21"/>
      <c r="AB85" s="21"/>
      <c r="AC85" s="21"/>
      <c r="AF85" s="9"/>
      <c r="AG85" s="21"/>
      <c r="AH85" s="21"/>
      <c r="AI85" s="21"/>
      <c r="AJ85" s="21"/>
      <c r="AK85" s="21"/>
      <c r="AP85" s="9"/>
      <c r="AQ85" s="21"/>
      <c r="AR85" s="21"/>
      <c r="AS85" s="21"/>
      <c r="AT85" s="21"/>
      <c r="AU85" s="21"/>
      <c r="AX85" s="9"/>
      <c r="AY85" s="21"/>
      <c r="AZ85" s="21"/>
      <c r="BA85" s="21"/>
      <c r="BB85" s="21"/>
      <c r="BC85" s="21"/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/>
      <c r="H86" s="21"/>
      <c r="I86" s="21"/>
      <c r="J86" s="21"/>
      <c r="K86" s="21"/>
      <c r="N86" s="9"/>
      <c r="O86" s="21"/>
      <c r="P86" s="21"/>
      <c r="Q86" s="21"/>
      <c r="R86" s="21"/>
      <c r="S86" s="21"/>
      <c r="X86" s="9"/>
      <c r="Y86" s="21"/>
      <c r="Z86" s="21"/>
      <c r="AA86" s="21"/>
      <c r="AB86" s="21"/>
      <c r="AC86" s="21"/>
      <c r="AF86" s="9"/>
      <c r="AG86" s="21"/>
      <c r="AH86" s="21"/>
      <c r="AI86" s="21"/>
      <c r="AJ86" s="21"/>
      <c r="AK86" s="21"/>
      <c r="AP86" s="9"/>
      <c r="AQ86" s="21"/>
      <c r="AR86" s="21"/>
      <c r="AS86" s="21"/>
      <c r="AT86" s="21"/>
      <c r="AU86" s="21"/>
      <c r="AX86" s="9"/>
      <c r="AY86" s="21"/>
      <c r="AZ86" s="21"/>
      <c r="BA86" s="21"/>
      <c r="BB86" s="21"/>
      <c r="BC86" s="21"/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/>
      <c r="H87" s="21"/>
      <c r="I87" s="21"/>
      <c r="J87" s="21"/>
      <c r="K87" s="21"/>
      <c r="N87" s="9"/>
      <c r="O87" s="21"/>
      <c r="P87" s="21"/>
      <c r="Q87" s="21"/>
      <c r="R87" s="21"/>
      <c r="S87" s="21"/>
      <c r="X87" s="9"/>
      <c r="Y87" s="21"/>
      <c r="Z87" s="21"/>
      <c r="AA87" s="21"/>
      <c r="AB87" s="21"/>
      <c r="AC87" s="21"/>
      <c r="AF87" s="9"/>
      <c r="AG87" s="21"/>
      <c r="AH87" s="21"/>
      <c r="AI87" s="21"/>
      <c r="AJ87" s="21"/>
      <c r="AK87" s="21"/>
      <c r="AP87" s="9"/>
      <c r="AQ87" s="21"/>
      <c r="AR87" s="21"/>
      <c r="AS87" s="21"/>
      <c r="AT87" s="21"/>
      <c r="AU87" s="21"/>
      <c r="AX87" s="9"/>
      <c r="AY87" s="21"/>
      <c r="AZ87" s="21"/>
      <c r="BA87" s="21"/>
      <c r="BB87" s="21"/>
      <c r="BC87" s="21"/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/>
      <c r="H88" s="21"/>
      <c r="I88" s="21"/>
      <c r="J88" s="21"/>
      <c r="K88" s="21"/>
      <c r="N88" s="9"/>
      <c r="O88" s="21"/>
      <c r="P88" s="21"/>
      <c r="Q88" s="21"/>
      <c r="R88" s="21"/>
      <c r="S88" s="21"/>
      <c r="X88" s="9"/>
      <c r="Y88" s="21"/>
      <c r="Z88" s="21"/>
      <c r="AA88" s="21"/>
      <c r="AB88" s="21"/>
      <c r="AC88" s="21"/>
      <c r="AF88" s="9"/>
      <c r="AG88" s="21"/>
      <c r="AH88" s="21"/>
      <c r="AI88" s="21"/>
      <c r="AJ88" s="21"/>
      <c r="AK88" s="21"/>
      <c r="AP88" s="9"/>
      <c r="AQ88" s="21"/>
      <c r="AR88" s="21"/>
      <c r="AS88" s="21"/>
      <c r="AT88" s="21"/>
      <c r="AU88" s="21"/>
      <c r="AX88" s="9"/>
      <c r="AY88" s="21"/>
      <c r="AZ88" s="21"/>
      <c r="BA88" s="21"/>
      <c r="BB88" s="21"/>
      <c r="BC88" s="21"/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/>
      <c r="H89" s="21"/>
      <c r="I89" s="21"/>
      <c r="J89" s="21"/>
      <c r="K89" s="21"/>
      <c r="N89" s="9"/>
      <c r="O89" s="21"/>
      <c r="P89" s="21"/>
      <c r="Q89" s="21"/>
      <c r="R89" s="21"/>
      <c r="S89" s="21"/>
      <c r="X89" s="9"/>
      <c r="Y89" s="21"/>
      <c r="Z89" s="21"/>
      <c r="AA89" s="21"/>
      <c r="AB89" s="21"/>
      <c r="AC89" s="21"/>
      <c r="AF89" s="9"/>
      <c r="AG89" s="21"/>
      <c r="AH89" s="21"/>
      <c r="AI89" s="21"/>
      <c r="AJ89" s="21"/>
      <c r="AK89" s="21"/>
      <c r="AP89" s="9"/>
      <c r="AQ89" s="21"/>
      <c r="AR89" s="21"/>
      <c r="AS89" s="21"/>
      <c r="AT89" s="21"/>
      <c r="AU89" s="21"/>
      <c r="AX89" s="9"/>
      <c r="AY89" s="21"/>
      <c r="AZ89" s="21"/>
      <c r="BA89" s="21"/>
      <c r="BB89" s="21"/>
      <c r="BC89" s="21"/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/>
      <c r="H90" s="21"/>
      <c r="I90" s="21"/>
      <c r="J90" s="21"/>
      <c r="K90" s="21"/>
      <c r="N90" s="9"/>
      <c r="O90" s="21"/>
      <c r="P90" s="21"/>
      <c r="Q90" s="21"/>
      <c r="R90" s="21"/>
      <c r="S90" s="21"/>
      <c r="X90" s="9"/>
      <c r="Y90" s="21"/>
      <c r="Z90" s="21"/>
      <c r="AA90" s="21"/>
      <c r="AB90" s="21"/>
      <c r="AC90" s="21"/>
      <c r="AF90" s="9"/>
      <c r="AG90" s="21"/>
      <c r="AH90" s="21"/>
      <c r="AI90" s="21"/>
      <c r="AJ90" s="21"/>
      <c r="AK90" s="21"/>
      <c r="AP90" s="9"/>
      <c r="AQ90" s="21"/>
      <c r="AR90" s="21"/>
      <c r="AS90" s="21"/>
      <c r="AT90" s="21"/>
      <c r="AU90" s="21"/>
      <c r="AX90" s="9"/>
      <c r="AY90" s="21"/>
      <c r="AZ90" s="21"/>
      <c r="BA90" s="21"/>
      <c r="BB90" s="21"/>
      <c r="BC90" s="21"/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/>
      <c r="H91" s="21"/>
      <c r="I91" s="21"/>
      <c r="J91" s="21"/>
      <c r="K91" s="21"/>
      <c r="N91" s="9"/>
      <c r="O91" s="21"/>
      <c r="P91" s="21"/>
      <c r="Q91" s="21"/>
      <c r="R91" s="21"/>
      <c r="S91" s="21"/>
      <c r="X91" s="9"/>
      <c r="Y91" s="21"/>
      <c r="Z91" s="21"/>
      <c r="AA91" s="21"/>
      <c r="AB91" s="21"/>
      <c r="AC91" s="21"/>
      <c r="AF91" s="9"/>
      <c r="AG91" s="21"/>
      <c r="AH91" s="21"/>
      <c r="AI91" s="21"/>
      <c r="AJ91" s="21"/>
      <c r="AK91" s="21"/>
      <c r="AP91" s="9"/>
      <c r="AQ91" s="21"/>
      <c r="AR91" s="21"/>
      <c r="AS91" s="21"/>
      <c r="AT91" s="21"/>
      <c r="AU91" s="21"/>
      <c r="AX91" s="9"/>
      <c r="AY91" s="21"/>
      <c r="AZ91" s="21"/>
      <c r="BA91" s="21"/>
      <c r="BB91" s="21"/>
      <c r="BC91" s="21"/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/>
      <c r="H92" s="21"/>
      <c r="I92" s="21"/>
      <c r="J92" s="21"/>
      <c r="K92" s="21"/>
      <c r="N92" s="9"/>
      <c r="O92" s="21"/>
      <c r="P92" s="21"/>
      <c r="Q92" s="21"/>
      <c r="R92" s="21"/>
      <c r="S92" s="21"/>
      <c r="X92" s="9"/>
      <c r="Y92" s="21"/>
      <c r="Z92" s="21"/>
      <c r="AA92" s="21"/>
      <c r="AB92" s="21"/>
      <c r="AC92" s="21"/>
      <c r="AF92" s="9"/>
      <c r="AG92" s="21"/>
      <c r="AH92" s="21"/>
      <c r="AI92" s="21"/>
      <c r="AJ92" s="21"/>
      <c r="AK92" s="21"/>
      <c r="AP92" s="9"/>
      <c r="AQ92" s="21"/>
      <c r="AR92" s="21"/>
      <c r="AS92" s="21"/>
      <c r="AT92" s="21"/>
      <c r="AU92" s="21"/>
      <c r="AX92" s="9"/>
      <c r="AY92" s="21"/>
      <c r="AZ92" s="21"/>
      <c r="BA92" s="21"/>
      <c r="BB92" s="21"/>
      <c r="BC92" s="21"/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/>
      <c r="H93" s="21"/>
      <c r="I93" s="21"/>
      <c r="J93" s="21"/>
      <c r="K93" s="21"/>
      <c r="N93" s="9"/>
      <c r="O93" s="21"/>
      <c r="P93" s="21"/>
      <c r="Q93" s="21"/>
      <c r="R93" s="21"/>
      <c r="S93" s="21"/>
      <c r="X93" s="9"/>
      <c r="Y93" s="21"/>
      <c r="Z93" s="21"/>
      <c r="AA93" s="21"/>
      <c r="AB93" s="21"/>
      <c r="AC93" s="21"/>
      <c r="AF93" s="9"/>
      <c r="AG93" s="21"/>
      <c r="AH93" s="21"/>
      <c r="AI93" s="21"/>
      <c r="AJ93" s="21"/>
      <c r="AK93" s="21"/>
      <c r="AP93" s="9"/>
      <c r="AQ93" s="21"/>
      <c r="AR93" s="21"/>
      <c r="AS93" s="21"/>
      <c r="AT93" s="21"/>
      <c r="AU93" s="21"/>
      <c r="AX93" s="9"/>
      <c r="AY93" s="21"/>
      <c r="AZ93" s="21"/>
      <c r="BA93" s="21"/>
      <c r="BB93" s="21"/>
      <c r="BC93" s="21"/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/>
      <c r="H94" s="21"/>
      <c r="I94" s="21"/>
      <c r="J94" s="21"/>
      <c r="K94" s="21"/>
      <c r="N94" s="9"/>
      <c r="O94" s="21"/>
      <c r="P94" s="21"/>
      <c r="Q94" s="21"/>
      <c r="R94" s="21"/>
      <c r="S94" s="21"/>
      <c r="X94" s="9"/>
      <c r="Y94" s="21"/>
      <c r="Z94" s="21"/>
      <c r="AA94" s="21"/>
      <c r="AB94" s="21"/>
      <c r="AC94" s="21"/>
      <c r="AF94" s="9"/>
      <c r="AG94" s="21"/>
      <c r="AH94" s="21"/>
      <c r="AI94" s="21"/>
      <c r="AJ94" s="21"/>
      <c r="AK94" s="21"/>
      <c r="AP94" s="9"/>
      <c r="AQ94" s="21"/>
      <c r="AR94" s="21"/>
      <c r="AS94" s="21"/>
      <c r="AT94" s="21"/>
      <c r="AU94" s="21"/>
      <c r="AX94" s="9"/>
      <c r="AY94" s="21"/>
      <c r="AZ94" s="21"/>
      <c r="BA94" s="21"/>
      <c r="BB94" s="21"/>
      <c r="BC94" s="21"/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/>
      <c r="H95" s="21"/>
      <c r="I95" s="21"/>
      <c r="J95" s="21"/>
      <c r="K95" s="21"/>
      <c r="N95" s="9"/>
      <c r="O95" s="21"/>
      <c r="P95" s="21"/>
      <c r="Q95" s="21"/>
      <c r="R95" s="21"/>
      <c r="S95" s="21"/>
      <c r="X95" s="9"/>
      <c r="Y95" s="21"/>
      <c r="Z95" s="21"/>
      <c r="AA95" s="21"/>
      <c r="AB95" s="21"/>
      <c r="AC95" s="21"/>
      <c r="AF95" s="9"/>
      <c r="AG95" s="21"/>
      <c r="AH95" s="21"/>
      <c r="AI95" s="21"/>
      <c r="AJ95" s="21"/>
      <c r="AK95" s="21"/>
      <c r="AP95" s="9"/>
      <c r="AQ95" s="21"/>
      <c r="AR95" s="21"/>
      <c r="AS95" s="21"/>
      <c r="AT95" s="21"/>
      <c r="AU95" s="21"/>
      <c r="AX95" s="9"/>
      <c r="AY95" s="21"/>
      <c r="AZ95" s="21"/>
      <c r="BA95" s="21"/>
      <c r="BB95" s="21"/>
      <c r="BC95" s="21"/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/>
      <c r="H96" s="21"/>
      <c r="I96" s="21"/>
      <c r="J96" s="21"/>
      <c r="K96" s="21"/>
      <c r="N96" s="9"/>
      <c r="O96" s="21"/>
      <c r="P96" s="21"/>
      <c r="Q96" s="21"/>
      <c r="R96" s="21"/>
      <c r="S96" s="21"/>
      <c r="X96" s="9"/>
      <c r="Y96" s="21"/>
      <c r="Z96" s="21"/>
      <c r="AA96" s="21"/>
      <c r="AB96" s="21"/>
      <c r="AC96" s="21"/>
      <c r="AF96" s="9"/>
      <c r="AG96" s="21"/>
      <c r="AH96" s="21"/>
      <c r="AI96" s="21"/>
      <c r="AJ96" s="21"/>
      <c r="AK96" s="21"/>
      <c r="AP96" s="9"/>
      <c r="AQ96" s="21"/>
      <c r="AR96" s="21"/>
      <c r="AS96" s="21"/>
      <c r="AT96" s="21"/>
      <c r="AU96" s="21"/>
      <c r="AX96" s="9"/>
      <c r="AY96" s="21"/>
      <c r="AZ96" s="21"/>
      <c r="BA96" s="21"/>
      <c r="BB96" s="21"/>
      <c r="BC96" s="21"/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/>
      <c r="H97" s="21"/>
      <c r="I97" s="21"/>
      <c r="J97" s="21"/>
      <c r="K97" s="21"/>
      <c r="N97" s="9"/>
      <c r="O97" s="21"/>
      <c r="P97" s="21"/>
      <c r="Q97" s="21"/>
      <c r="R97" s="21"/>
      <c r="S97" s="21"/>
      <c r="X97" s="9"/>
      <c r="Y97" s="21"/>
      <c r="Z97" s="21"/>
      <c r="AA97" s="21"/>
      <c r="AB97" s="21"/>
      <c r="AC97" s="21"/>
      <c r="AF97" s="9"/>
      <c r="AG97" s="21"/>
      <c r="AH97" s="21"/>
      <c r="AI97" s="21"/>
      <c r="AJ97" s="21"/>
      <c r="AK97" s="21"/>
      <c r="AP97" s="9"/>
      <c r="AQ97" s="21"/>
      <c r="AR97" s="21"/>
      <c r="AS97" s="21"/>
      <c r="AT97" s="21"/>
      <c r="AU97" s="21"/>
      <c r="AX97" s="9"/>
      <c r="AY97" s="21"/>
      <c r="AZ97" s="21"/>
      <c r="BA97" s="21"/>
      <c r="BB97" s="21"/>
      <c r="BC97" s="21"/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/>
      <c r="H98" s="21"/>
      <c r="I98" s="21"/>
      <c r="J98" s="21"/>
      <c r="K98" s="21"/>
      <c r="N98" s="9"/>
      <c r="O98" s="21"/>
      <c r="P98" s="21"/>
      <c r="Q98" s="21"/>
      <c r="R98" s="21"/>
      <c r="S98" s="21"/>
      <c r="X98" s="9"/>
      <c r="Y98" s="21"/>
      <c r="Z98" s="21"/>
      <c r="AA98" s="21"/>
      <c r="AB98" s="21"/>
      <c r="AC98" s="21"/>
      <c r="AF98" s="9"/>
      <c r="AG98" s="21"/>
      <c r="AH98" s="21"/>
      <c r="AI98" s="21"/>
      <c r="AJ98" s="21"/>
      <c r="AK98" s="21"/>
      <c r="AP98" s="9"/>
      <c r="AQ98" s="21"/>
      <c r="AR98" s="21"/>
      <c r="AS98" s="21"/>
      <c r="AT98" s="21"/>
      <c r="AU98" s="21"/>
      <c r="AX98" s="9"/>
      <c r="AY98" s="21"/>
      <c r="AZ98" s="21"/>
      <c r="BA98" s="21"/>
      <c r="BB98" s="21"/>
      <c r="BC98" s="21"/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/>
      <c r="H99" s="21"/>
      <c r="I99" s="21"/>
      <c r="J99" s="21"/>
      <c r="K99" s="21"/>
      <c r="N99" s="9"/>
      <c r="O99" s="21"/>
      <c r="P99" s="21"/>
      <c r="Q99" s="21"/>
      <c r="R99" s="21"/>
      <c r="S99" s="21"/>
      <c r="X99" s="9"/>
      <c r="Y99" s="21"/>
      <c r="Z99" s="21"/>
      <c r="AA99" s="21"/>
      <c r="AB99" s="21"/>
      <c r="AC99" s="21"/>
      <c r="AF99" s="9"/>
      <c r="AG99" s="21"/>
      <c r="AH99" s="21"/>
      <c r="AI99" s="21"/>
      <c r="AJ99" s="21"/>
      <c r="AK99" s="21"/>
      <c r="AP99" s="9"/>
      <c r="AQ99" s="21"/>
      <c r="AR99" s="21"/>
      <c r="AS99" s="21"/>
      <c r="AT99" s="21"/>
      <c r="AU99" s="21"/>
      <c r="AX99" s="9"/>
      <c r="AY99" s="21"/>
      <c r="AZ99" s="21"/>
      <c r="BA99" s="21"/>
      <c r="BB99" s="21"/>
      <c r="BC99" s="21"/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/>
      <c r="H100" s="21"/>
      <c r="I100" s="21"/>
      <c r="J100" s="21"/>
      <c r="K100" s="21"/>
      <c r="N100" s="9"/>
      <c r="O100" s="21"/>
      <c r="P100" s="21"/>
      <c r="Q100" s="21"/>
      <c r="R100" s="21"/>
      <c r="S100" s="21"/>
      <c r="X100" s="9"/>
      <c r="Y100" s="21"/>
      <c r="Z100" s="21"/>
      <c r="AA100" s="21"/>
      <c r="AB100" s="21"/>
      <c r="AC100" s="21"/>
      <c r="AF100" s="9"/>
      <c r="AG100" s="21"/>
      <c r="AH100" s="21"/>
      <c r="AI100" s="21"/>
      <c r="AJ100" s="21"/>
      <c r="AK100" s="21"/>
      <c r="AP100" s="9"/>
      <c r="AQ100" s="21"/>
      <c r="AR100" s="21"/>
      <c r="AS100" s="21"/>
      <c r="AT100" s="21"/>
      <c r="AU100" s="21"/>
      <c r="AX100" s="9"/>
      <c r="AY100" s="21"/>
      <c r="AZ100" s="21"/>
      <c r="BA100" s="21"/>
      <c r="BB100" s="21"/>
      <c r="BC100" s="21"/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/>
      <c r="H101" s="21"/>
      <c r="I101" s="21"/>
      <c r="J101" s="21"/>
      <c r="K101" s="21"/>
      <c r="N101" s="9"/>
      <c r="O101" s="21"/>
      <c r="P101" s="21"/>
      <c r="Q101" s="21"/>
      <c r="R101" s="21"/>
      <c r="S101" s="21"/>
      <c r="X101" s="9"/>
      <c r="Y101" s="21"/>
      <c r="Z101" s="21"/>
      <c r="AA101" s="21"/>
      <c r="AB101" s="21"/>
      <c r="AC101" s="21"/>
      <c r="AF101" s="9"/>
      <c r="AG101" s="21"/>
      <c r="AH101" s="21"/>
      <c r="AI101" s="21"/>
      <c r="AJ101" s="21"/>
      <c r="AK101" s="21"/>
      <c r="AP101" s="9"/>
      <c r="AQ101" s="21"/>
      <c r="AR101" s="21"/>
      <c r="AS101" s="21"/>
      <c r="AT101" s="21"/>
      <c r="AU101" s="21"/>
      <c r="AX101" s="9"/>
      <c r="AY101" s="21"/>
      <c r="AZ101" s="21"/>
      <c r="BA101" s="21"/>
      <c r="BB101" s="21"/>
      <c r="BC101" s="21"/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/>
      <c r="H102" s="21"/>
      <c r="I102" s="21"/>
      <c r="J102" s="21"/>
      <c r="K102" s="21"/>
      <c r="N102" s="9"/>
      <c r="O102" s="21"/>
      <c r="P102" s="21"/>
      <c r="Q102" s="21"/>
      <c r="R102" s="21"/>
      <c r="S102" s="21"/>
      <c r="X102" s="9"/>
      <c r="Y102" s="21"/>
      <c r="Z102" s="21"/>
      <c r="AA102" s="21"/>
      <c r="AB102" s="21"/>
      <c r="AC102" s="21"/>
      <c r="AF102" s="9"/>
      <c r="AG102" s="21"/>
      <c r="AH102" s="21"/>
      <c r="AI102" s="21"/>
      <c r="AJ102" s="21"/>
      <c r="AK102" s="21"/>
      <c r="AP102" s="9"/>
      <c r="AQ102" s="21"/>
      <c r="AR102" s="21"/>
      <c r="AS102" s="21"/>
      <c r="AT102" s="21"/>
      <c r="AU102" s="21"/>
      <c r="AX102" s="9"/>
      <c r="AY102" s="21"/>
      <c r="AZ102" s="21"/>
      <c r="BA102" s="21"/>
      <c r="BB102" s="21"/>
      <c r="BC102" s="21"/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/>
      <c r="H103" s="21"/>
      <c r="I103" s="21"/>
      <c r="J103" s="21"/>
      <c r="K103" s="21"/>
      <c r="N103" s="9"/>
      <c r="O103" s="21"/>
      <c r="P103" s="21"/>
      <c r="Q103" s="21"/>
      <c r="R103" s="21"/>
      <c r="S103" s="21"/>
      <c r="X103" s="9"/>
      <c r="Y103" s="21"/>
      <c r="Z103" s="21"/>
      <c r="AA103" s="21"/>
      <c r="AB103" s="21"/>
      <c r="AC103" s="21"/>
      <c r="AF103" s="9"/>
      <c r="AG103" s="21"/>
      <c r="AH103" s="21"/>
      <c r="AI103" s="21"/>
      <c r="AJ103" s="21"/>
      <c r="AK103" s="21"/>
      <c r="AP103" s="9"/>
      <c r="AQ103" s="21"/>
      <c r="AR103" s="21"/>
      <c r="AS103" s="21"/>
      <c r="AT103" s="21"/>
      <c r="AU103" s="21"/>
      <c r="AX103" s="9"/>
      <c r="AY103" s="21"/>
      <c r="AZ103" s="21"/>
      <c r="BA103" s="21"/>
      <c r="BB103" s="21"/>
      <c r="BC103" s="21"/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/>
      <c r="H104" s="21"/>
      <c r="I104" s="21"/>
      <c r="J104" s="21"/>
      <c r="K104" s="21"/>
      <c r="N104" s="9"/>
      <c r="O104" s="21"/>
      <c r="P104" s="21"/>
      <c r="Q104" s="21"/>
      <c r="R104" s="21"/>
      <c r="S104" s="21"/>
      <c r="X104" s="9"/>
      <c r="Y104" s="21"/>
      <c r="Z104" s="21"/>
      <c r="AA104" s="21"/>
      <c r="AB104" s="21"/>
      <c r="AC104" s="21"/>
      <c r="AF104" s="9"/>
      <c r="AG104" s="21"/>
      <c r="AH104" s="21"/>
      <c r="AI104" s="21"/>
      <c r="AJ104" s="21"/>
      <c r="AK104" s="21"/>
      <c r="AP104" s="9"/>
      <c r="AQ104" s="21"/>
      <c r="AR104" s="21"/>
      <c r="AS104" s="21"/>
      <c r="AT104" s="21"/>
      <c r="AU104" s="21"/>
      <c r="AX104" s="9"/>
      <c r="AY104" s="21"/>
      <c r="AZ104" s="21"/>
      <c r="BA104" s="21"/>
      <c r="BB104" s="21"/>
      <c r="BC104" s="21"/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/>
      <c r="H105" s="21"/>
      <c r="I105" s="21"/>
      <c r="J105" s="21"/>
      <c r="K105" s="21"/>
      <c r="N105" s="9"/>
      <c r="O105" s="21"/>
      <c r="P105" s="21"/>
      <c r="Q105" s="21"/>
      <c r="R105" s="21"/>
      <c r="S105" s="21"/>
      <c r="X105" s="9"/>
      <c r="Y105" s="21"/>
      <c r="Z105" s="21"/>
      <c r="AA105" s="21"/>
      <c r="AB105" s="21"/>
      <c r="AC105" s="21"/>
      <c r="AF105" s="9"/>
      <c r="AG105" s="21"/>
      <c r="AH105" s="21"/>
      <c r="AI105" s="21"/>
      <c r="AJ105" s="21"/>
      <c r="AK105" s="21"/>
      <c r="AP105" s="9"/>
      <c r="AQ105" s="21"/>
      <c r="AR105" s="21"/>
      <c r="AS105" s="21"/>
      <c r="AT105" s="21"/>
      <c r="AU105" s="21"/>
      <c r="AX105" s="9"/>
      <c r="AY105" s="21"/>
      <c r="AZ105" s="21"/>
      <c r="BA105" s="21"/>
      <c r="BB105" s="21"/>
      <c r="BC105" s="21"/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/>
      <c r="H106" s="21"/>
      <c r="I106" s="21"/>
      <c r="J106" s="21"/>
      <c r="K106" s="21"/>
      <c r="N106" s="9"/>
      <c r="O106" s="21"/>
      <c r="P106" s="21"/>
      <c r="Q106" s="21"/>
      <c r="R106" s="21"/>
      <c r="S106" s="21"/>
      <c r="X106" s="9"/>
      <c r="Y106" s="21"/>
      <c r="Z106" s="21"/>
      <c r="AA106" s="21"/>
      <c r="AB106" s="21"/>
      <c r="AC106" s="21"/>
      <c r="AF106" s="9"/>
      <c r="AG106" s="21"/>
      <c r="AH106" s="21"/>
      <c r="AI106" s="21"/>
      <c r="AJ106" s="21"/>
      <c r="AK106" s="21"/>
      <c r="AP106" s="9"/>
      <c r="AQ106" s="21"/>
      <c r="AR106" s="21"/>
      <c r="AS106" s="21"/>
      <c r="AT106" s="21"/>
      <c r="AU106" s="21"/>
      <c r="AX106" s="9"/>
      <c r="AY106" s="21"/>
      <c r="AZ106" s="21"/>
      <c r="BA106" s="21"/>
      <c r="BB106" s="21"/>
      <c r="BC106" s="21"/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/>
      <c r="H107" s="21"/>
      <c r="I107" s="21"/>
      <c r="J107" s="21"/>
      <c r="K107" s="21"/>
      <c r="N107" s="9"/>
      <c r="O107" s="21"/>
      <c r="P107" s="21"/>
      <c r="Q107" s="21"/>
      <c r="R107" s="21"/>
      <c r="S107" s="21"/>
      <c r="X107" s="9"/>
      <c r="Y107" s="21"/>
      <c r="Z107" s="21"/>
      <c r="AA107" s="21"/>
      <c r="AB107" s="21"/>
      <c r="AC107" s="21"/>
      <c r="AF107" s="9"/>
      <c r="AG107" s="21"/>
      <c r="AH107" s="21"/>
      <c r="AI107" s="21"/>
      <c r="AJ107" s="21"/>
      <c r="AK107" s="21"/>
      <c r="AP107" s="9"/>
      <c r="AQ107" s="21"/>
      <c r="AR107" s="21"/>
      <c r="AS107" s="21"/>
      <c r="AT107" s="21"/>
      <c r="AU107" s="21"/>
      <c r="AX107" s="9"/>
      <c r="AY107" s="21"/>
      <c r="AZ107" s="21"/>
      <c r="BA107" s="21"/>
      <c r="BB107" s="21"/>
      <c r="BC107" s="21"/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/>
      <c r="H108" s="21"/>
      <c r="I108" s="21"/>
      <c r="J108" s="21"/>
      <c r="K108" s="21"/>
      <c r="N108" s="9"/>
      <c r="O108" s="21"/>
      <c r="P108" s="21"/>
      <c r="Q108" s="21"/>
      <c r="R108" s="21"/>
      <c r="S108" s="21"/>
      <c r="X108" s="9"/>
      <c r="Y108" s="21"/>
      <c r="Z108" s="21"/>
      <c r="AA108" s="21"/>
      <c r="AB108" s="21"/>
      <c r="AC108" s="21"/>
      <c r="AF108" s="9"/>
      <c r="AG108" s="21"/>
      <c r="AH108" s="21"/>
      <c r="AI108" s="21"/>
      <c r="AJ108" s="21"/>
      <c r="AK108" s="21"/>
      <c r="AP108" s="9"/>
      <c r="AQ108" s="21"/>
      <c r="AR108" s="21"/>
      <c r="AS108" s="21"/>
      <c r="AT108" s="21"/>
      <c r="AU108" s="21"/>
      <c r="AX108" s="9"/>
      <c r="AY108" s="21"/>
      <c r="AZ108" s="21"/>
      <c r="BA108" s="21"/>
      <c r="BB108" s="21"/>
      <c r="BC108" s="21"/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/>
      <c r="H109" s="21"/>
      <c r="I109" s="21"/>
      <c r="J109" s="21"/>
      <c r="K109" s="21"/>
      <c r="N109" s="9"/>
      <c r="O109" s="21"/>
      <c r="P109" s="21"/>
      <c r="Q109" s="21"/>
      <c r="R109" s="21"/>
      <c r="S109" s="21"/>
      <c r="X109" s="9"/>
      <c r="Y109" s="21"/>
      <c r="Z109" s="21"/>
      <c r="AA109" s="21"/>
      <c r="AB109" s="21"/>
      <c r="AC109" s="21"/>
      <c r="AF109" s="9"/>
      <c r="AG109" s="21"/>
      <c r="AH109" s="21"/>
      <c r="AI109" s="21"/>
      <c r="AJ109" s="21"/>
      <c r="AK109" s="21"/>
      <c r="AP109" s="9"/>
      <c r="AQ109" s="21"/>
      <c r="AR109" s="21"/>
      <c r="AS109" s="21"/>
      <c r="AT109" s="21"/>
      <c r="AU109" s="21"/>
      <c r="AX109" s="9"/>
      <c r="AY109" s="21"/>
      <c r="AZ109" s="21"/>
      <c r="BA109" s="21"/>
      <c r="BB109" s="21"/>
      <c r="BC109" s="21"/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/>
      <c r="H110" s="21"/>
      <c r="I110" s="21"/>
      <c r="J110" s="21"/>
      <c r="K110" s="21"/>
      <c r="N110" s="9"/>
      <c r="O110" s="21"/>
      <c r="P110" s="21"/>
      <c r="Q110" s="21"/>
      <c r="R110" s="21"/>
      <c r="S110" s="21"/>
      <c r="X110" s="9"/>
      <c r="Y110" s="21"/>
      <c r="Z110" s="21"/>
      <c r="AA110" s="21"/>
      <c r="AB110" s="21"/>
      <c r="AC110" s="21"/>
      <c r="AF110" s="9"/>
      <c r="AG110" s="21"/>
      <c r="AH110" s="21"/>
      <c r="AI110" s="21"/>
      <c r="AJ110" s="21"/>
      <c r="AK110" s="21"/>
      <c r="AP110" s="9"/>
      <c r="AQ110" s="21"/>
      <c r="AR110" s="21"/>
      <c r="AS110" s="21"/>
      <c r="AT110" s="21"/>
      <c r="AU110" s="21"/>
      <c r="AX110" s="9"/>
      <c r="AY110" s="21"/>
      <c r="AZ110" s="21"/>
      <c r="BA110" s="21"/>
      <c r="BB110" s="21"/>
      <c r="BC110" s="21"/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/>
      <c r="H111" s="21"/>
      <c r="I111" s="21"/>
      <c r="J111" s="21"/>
      <c r="K111" s="21"/>
      <c r="N111" s="9"/>
      <c r="O111" s="21"/>
      <c r="P111" s="21"/>
      <c r="Q111" s="21"/>
      <c r="R111" s="21"/>
      <c r="S111" s="21"/>
      <c r="X111" s="9"/>
      <c r="Y111" s="21"/>
      <c r="Z111" s="21"/>
      <c r="AA111" s="21"/>
      <c r="AB111" s="21"/>
      <c r="AC111" s="21"/>
      <c r="AF111" s="9"/>
      <c r="AG111" s="21"/>
      <c r="AH111" s="21"/>
      <c r="AI111" s="21"/>
      <c r="AJ111" s="21"/>
      <c r="AK111" s="21"/>
      <c r="AP111" s="9"/>
      <c r="AQ111" s="21"/>
      <c r="AR111" s="21"/>
      <c r="AS111" s="21"/>
      <c r="AT111" s="21"/>
      <c r="AU111" s="21"/>
      <c r="AX111" s="9"/>
      <c r="AY111" s="21"/>
      <c r="AZ111" s="21"/>
      <c r="BA111" s="21"/>
      <c r="BB111" s="21"/>
      <c r="BC111" s="21"/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/>
      <c r="H112" s="21"/>
      <c r="I112" s="21"/>
      <c r="J112" s="21"/>
      <c r="K112" s="21"/>
      <c r="N112" s="9"/>
      <c r="O112" s="21"/>
      <c r="P112" s="21"/>
      <c r="Q112" s="21"/>
      <c r="R112" s="21"/>
      <c r="S112" s="21"/>
      <c r="X112" s="9"/>
      <c r="Y112" s="21"/>
      <c r="Z112" s="21"/>
      <c r="AA112" s="21"/>
      <c r="AB112" s="21"/>
      <c r="AC112" s="21"/>
      <c r="AF112" s="9"/>
      <c r="AG112" s="21"/>
      <c r="AH112" s="21"/>
      <c r="AI112" s="21"/>
      <c r="AJ112" s="21"/>
      <c r="AK112" s="21"/>
      <c r="AP112" s="9"/>
      <c r="AQ112" s="21"/>
      <c r="AR112" s="21"/>
      <c r="AS112" s="21"/>
      <c r="AT112" s="21"/>
      <c r="AU112" s="21"/>
      <c r="AX112" s="9"/>
      <c r="AY112" s="21"/>
      <c r="AZ112" s="21"/>
      <c r="BA112" s="21"/>
      <c r="BB112" s="21"/>
      <c r="BC112" s="21"/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/>
      <c r="H113" s="21"/>
      <c r="I113" s="21"/>
      <c r="J113" s="21"/>
      <c r="K113" s="21"/>
      <c r="N113" s="9"/>
      <c r="O113" s="21"/>
      <c r="P113" s="21"/>
      <c r="Q113" s="21"/>
      <c r="R113" s="21"/>
      <c r="S113" s="21"/>
      <c r="X113" s="9"/>
      <c r="Y113" s="21"/>
      <c r="Z113" s="21"/>
      <c r="AA113" s="21"/>
      <c r="AB113" s="21"/>
      <c r="AC113" s="21"/>
      <c r="AF113" s="9"/>
      <c r="AG113" s="21"/>
      <c r="AH113" s="21"/>
      <c r="AI113" s="21"/>
      <c r="AJ113" s="21"/>
      <c r="AK113" s="21"/>
      <c r="AP113" s="9"/>
      <c r="AQ113" s="21"/>
      <c r="AR113" s="21"/>
      <c r="AS113" s="21"/>
      <c r="AT113" s="21"/>
      <c r="AU113" s="21"/>
      <c r="AX113" s="9"/>
      <c r="AY113" s="21"/>
      <c r="AZ113" s="21"/>
      <c r="BA113" s="21"/>
      <c r="BB113" s="21"/>
      <c r="BC113" s="21"/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/>
      <c r="H114" s="21"/>
      <c r="I114" s="21"/>
      <c r="J114" s="21"/>
      <c r="K114" s="21"/>
      <c r="N114" s="9"/>
      <c r="O114" s="21"/>
      <c r="P114" s="21"/>
      <c r="Q114" s="21"/>
      <c r="R114" s="21"/>
      <c r="S114" s="21"/>
      <c r="X114" s="9"/>
      <c r="Y114" s="21"/>
      <c r="Z114" s="21"/>
      <c r="AA114" s="21"/>
      <c r="AB114" s="21"/>
      <c r="AC114" s="21"/>
      <c r="AF114" s="9"/>
      <c r="AG114" s="21"/>
      <c r="AH114" s="21"/>
      <c r="AI114" s="21"/>
      <c r="AJ114" s="21"/>
      <c r="AK114" s="21"/>
      <c r="AP114" s="9"/>
      <c r="AQ114" s="21"/>
      <c r="AR114" s="21"/>
      <c r="AS114" s="21"/>
      <c r="AT114" s="21"/>
      <c r="AU114" s="21"/>
      <c r="AX114" s="9"/>
      <c r="AY114" s="21"/>
      <c r="AZ114" s="21"/>
      <c r="BA114" s="21"/>
      <c r="BB114" s="21"/>
      <c r="BC114" s="21"/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/>
      <c r="H115" s="21"/>
      <c r="I115" s="21"/>
      <c r="J115" s="21"/>
      <c r="K115" s="21"/>
      <c r="N115" s="9"/>
      <c r="O115" s="21"/>
      <c r="P115" s="21"/>
      <c r="Q115" s="21"/>
      <c r="R115" s="21"/>
      <c r="S115" s="21"/>
      <c r="X115" s="9"/>
      <c r="Y115" s="21"/>
      <c r="Z115" s="21"/>
      <c r="AA115" s="21"/>
      <c r="AB115" s="21"/>
      <c r="AC115" s="21"/>
      <c r="AF115" s="9"/>
      <c r="AG115" s="21"/>
      <c r="AH115" s="21"/>
      <c r="AI115" s="21"/>
      <c r="AJ115" s="21"/>
      <c r="AK115" s="21"/>
      <c r="AP115" s="9"/>
      <c r="AQ115" s="21"/>
      <c r="AR115" s="21"/>
      <c r="AS115" s="21"/>
      <c r="AT115" s="21"/>
      <c r="AU115" s="21"/>
      <c r="AX115" s="9"/>
      <c r="AY115" s="21"/>
      <c r="AZ115" s="21"/>
      <c r="BA115" s="21"/>
      <c r="BB115" s="21"/>
      <c r="BC115" s="21"/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/>
      <c r="H116" s="21"/>
      <c r="I116" s="21"/>
      <c r="J116" s="21"/>
      <c r="K116" s="21"/>
      <c r="N116" s="9"/>
      <c r="O116" s="21"/>
      <c r="P116" s="21"/>
      <c r="Q116" s="21"/>
      <c r="R116" s="21"/>
      <c r="S116" s="21"/>
      <c r="X116" s="9"/>
      <c r="Y116" s="21"/>
      <c r="Z116" s="21"/>
      <c r="AA116" s="21"/>
      <c r="AB116" s="21"/>
      <c r="AC116" s="21"/>
      <c r="AF116" s="9"/>
      <c r="AG116" s="21"/>
      <c r="AH116" s="21"/>
      <c r="AI116" s="21"/>
      <c r="AJ116" s="21"/>
      <c r="AK116" s="21"/>
      <c r="AP116" s="9"/>
      <c r="AQ116" s="21"/>
      <c r="AR116" s="21"/>
      <c r="AS116" s="21"/>
      <c r="AT116" s="21"/>
      <c r="AU116" s="21"/>
      <c r="AX116" s="9"/>
      <c r="AY116" s="21"/>
      <c r="AZ116" s="21"/>
      <c r="BA116" s="21"/>
      <c r="BB116" s="21"/>
      <c r="BC116" s="21"/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/>
      <c r="H117" s="21"/>
      <c r="I117" s="21"/>
      <c r="J117" s="21"/>
      <c r="K117" s="21"/>
      <c r="N117" s="9"/>
      <c r="O117" s="21"/>
      <c r="P117" s="21"/>
      <c r="Q117" s="21"/>
      <c r="R117" s="21"/>
      <c r="S117" s="21"/>
      <c r="X117" s="9"/>
      <c r="Y117" s="21"/>
      <c r="Z117" s="21"/>
      <c r="AA117" s="21"/>
      <c r="AB117" s="21"/>
      <c r="AC117" s="21"/>
      <c r="AF117" s="9"/>
      <c r="AG117" s="21"/>
      <c r="AH117" s="21"/>
      <c r="AI117" s="21"/>
      <c r="AJ117" s="21"/>
      <c r="AK117" s="21"/>
      <c r="AP117" s="9"/>
      <c r="AQ117" s="21"/>
      <c r="AR117" s="21"/>
      <c r="AS117" s="21"/>
      <c r="AT117" s="21"/>
      <c r="AU117" s="21"/>
      <c r="AX117" s="9"/>
      <c r="AY117" s="21"/>
      <c r="AZ117" s="21"/>
      <c r="BA117" s="21"/>
      <c r="BB117" s="21"/>
      <c r="BC117" s="21"/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/>
      <c r="H118" s="21"/>
      <c r="I118" s="21"/>
      <c r="J118" s="21"/>
      <c r="K118" s="21"/>
      <c r="N118" s="9"/>
      <c r="O118" s="21"/>
      <c r="P118" s="21"/>
      <c r="Q118" s="21"/>
      <c r="R118" s="21"/>
      <c r="S118" s="21"/>
      <c r="X118" s="9"/>
      <c r="Y118" s="21"/>
      <c r="Z118" s="21"/>
      <c r="AA118" s="21"/>
      <c r="AB118" s="21"/>
      <c r="AC118" s="21"/>
      <c r="AF118" s="9"/>
      <c r="AG118" s="21"/>
      <c r="AH118" s="21"/>
      <c r="AI118" s="21"/>
      <c r="AJ118" s="21"/>
      <c r="AK118" s="21"/>
      <c r="AP118" s="9"/>
      <c r="AQ118" s="21"/>
      <c r="AR118" s="21"/>
      <c r="AS118" s="21"/>
      <c r="AT118" s="21"/>
      <c r="AU118" s="21"/>
      <c r="AX118" s="9"/>
      <c r="AY118" s="21"/>
      <c r="AZ118" s="21"/>
      <c r="BA118" s="21"/>
      <c r="BB118" s="21"/>
      <c r="BC118" s="21"/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/>
      <c r="H119" s="21"/>
      <c r="I119" s="21"/>
      <c r="J119" s="21"/>
      <c r="K119" s="21"/>
      <c r="N119" s="9"/>
      <c r="O119" s="21"/>
      <c r="P119" s="21"/>
      <c r="Q119" s="21"/>
      <c r="R119" s="21"/>
      <c r="S119" s="21"/>
      <c r="X119" s="9"/>
      <c r="Y119" s="21"/>
      <c r="Z119" s="21"/>
      <c r="AA119" s="21"/>
      <c r="AB119" s="21"/>
      <c r="AC119" s="21"/>
      <c r="AF119" s="9"/>
      <c r="AG119" s="21"/>
      <c r="AH119" s="21"/>
      <c r="AI119" s="21"/>
      <c r="AJ119" s="21"/>
      <c r="AK119" s="21"/>
      <c r="AP119" s="9"/>
      <c r="AQ119" s="21"/>
      <c r="AR119" s="21"/>
      <c r="AS119" s="21"/>
      <c r="AT119" s="21"/>
      <c r="AU119" s="21"/>
      <c r="AX119" s="9"/>
      <c r="AY119" s="21"/>
      <c r="AZ119" s="21"/>
      <c r="BA119" s="21"/>
      <c r="BB119" s="21"/>
      <c r="BC119" s="21"/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/>
      <c r="H120" s="21"/>
      <c r="I120" s="21"/>
      <c r="J120" s="21"/>
      <c r="K120" s="21"/>
      <c r="N120" s="9"/>
      <c r="O120" s="21"/>
      <c r="P120" s="21"/>
      <c r="Q120" s="21"/>
      <c r="R120" s="21"/>
      <c r="S120" s="21"/>
      <c r="X120" s="9"/>
      <c r="Y120" s="21"/>
      <c r="Z120" s="21"/>
      <c r="AA120" s="21"/>
      <c r="AB120" s="21"/>
      <c r="AC120" s="21"/>
      <c r="AF120" s="9"/>
      <c r="AG120" s="21"/>
      <c r="AH120" s="21"/>
      <c r="AI120" s="21"/>
      <c r="AJ120" s="21"/>
      <c r="AK120" s="21"/>
      <c r="AP120" s="9"/>
      <c r="AQ120" s="21"/>
      <c r="AR120" s="21"/>
      <c r="AS120" s="21"/>
      <c r="AT120" s="21"/>
      <c r="AU120" s="21"/>
      <c r="AX120" s="9"/>
      <c r="AY120" s="21"/>
      <c r="AZ120" s="21"/>
      <c r="BA120" s="21"/>
      <c r="BB120" s="21"/>
      <c r="BC120" s="21"/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/>
      <c r="H121" s="21"/>
      <c r="I121" s="21"/>
      <c r="J121" s="21"/>
      <c r="K121" s="21"/>
      <c r="N121" s="9"/>
      <c r="O121" s="21"/>
      <c r="P121" s="21"/>
      <c r="Q121" s="21"/>
      <c r="R121" s="21"/>
      <c r="S121" s="21"/>
      <c r="X121" s="9"/>
      <c r="Y121" s="21"/>
      <c r="Z121" s="21"/>
      <c r="AA121" s="21"/>
      <c r="AB121" s="21"/>
      <c r="AC121" s="21"/>
      <c r="AF121" s="9"/>
      <c r="AG121" s="21"/>
      <c r="AH121" s="21"/>
      <c r="AI121" s="21"/>
      <c r="AJ121" s="21"/>
      <c r="AK121" s="21"/>
      <c r="AP121" s="9"/>
      <c r="AQ121" s="21"/>
      <c r="AR121" s="21"/>
      <c r="AS121" s="21"/>
      <c r="AT121" s="21"/>
      <c r="AU121" s="21"/>
      <c r="AX121" s="9"/>
      <c r="AY121" s="21"/>
      <c r="AZ121" s="21"/>
      <c r="BA121" s="21"/>
      <c r="BB121" s="21"/>
      <c r="BC121" s="21"/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/>
      <c r="H122" s="21"/>
      <c r="I122" s="21"/>
      <c r="J122" s="21"/>
      <c r="K122" s="21"/>
      <c r="N122" s="9"/>
      <c r="O122" s="21"/>
      <c r="P122" s="21"/>
      <c r="Q122" s="21"/>
      <c r="R122" s="21"/>
      <c r="S122" s="21"/>
      <c r="X122" s="9"/>
      <c r="Y122" s="21"/>
      <c r="Z122" s="21"/>
      <c r="AA122" s="21"/>
      <c r="AB122" s="21"/>
      <c r="AC122" s="21"/>
      <c r="AF122" s="9"/>
      <c r="AG122" s="21"/>
      <c r="AH122" s="21"/>
      <c r="AI122" s="21"/>
      <c r="AJ122" s="21"/>
      <c r="AK122" s="21"/>
      <c r="AP122" s="9"/>
      <c r="AQ122" s="21"/>
      <c r="AR122" s="21"/>
      <c r="AS122" s="21"/>
      <c r="AT122" s="21"/>
      <c r="AU122" s="21"/>
      <c r="AX122" s="9"/>
      <c r="AY122" s="21"/>
      <c r="AZ122" s="21"/>
      <c r="BA122" s="21"/>
      <c r="BB122" s="21"/>
      <c r="BC122" s="21"/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/>
      <c r="H123" s="21"/>
      <c r="I123" s="21"/>
      <c r="J123" s="21"/>
      <c r="K123" s="21"/>
      <c r="N123" s="9"/>
      <c r="O123" s="21"/>
      <c r="P123" s="21"/>
      <c r="Q123" s="21"/>
      <c r="R123" s="21"/>
      <c r="S123" s="21"/>
      <c r="X123" s="9"/>
      <c r="Y123" s="21"/>
      <c r="Z123" s="21"/>
      <c r="AA123" s="21"/>
      <c r="AB123" s="21"/>
      <c r="AC123" s="21"/>
      <c r="AF123" s="9"/>
      <c r="AG123" s="21"/>
      <c r="AH123" s="21"/>
      <c r="AI123" s="21"/>
      <c r="AJ123" s="21"/>
      <c r="AK123" s="21"/>
      <c r="AP123" s="9"/>
      <c r="AQ123" s="21"/>
      <c r="AR123" s="21"/>
      <c r="AS123" s="21"/>
      <c r="AT123" s="21"/>
      <c r="AU123" s="21"/>
      <c r="AX123" s="9"/>
      <c r="AY123" s="21"/>
      <c r="AZ123" s="21"/>
      <c r="BA123" s="21"/>
      <c r="BB123" s="21"/>
      <c r="BC123" s="21"/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/>
      <c r="H124" s="21"/>
      <c r="I124" s="21"/>
      <c r="J124" s="21"/>
      <c r="K124" s="21"/>
      <c r="N124" s="9"/>
      <c r="O124" s="21"/>
      <c r="P124" s="21"/>
      <c r="Q124" s="21"/>
      <c r="R124" s="21"/>
      <c r="S124" s="21"/>
      <c r="X124" s="9"/>
      <c r="Y124" s="21"/>
      <c r="Z124" s="21"/>
      <c r="AA124" s="21"/>
      <c r="AB124" s="21"/>
      <c r="AC124" s="21"/>
      <c r="AF124" s="9"/>
      <c r="AG124" s="21"/>
      <c r="AH124" s="21"/>
      <c r="AI124" s="21"/>
      <c r="AJ124" s="21"/>
      <c r="AK124" s="21"/>
      <c r="AP124" s="9"/>
      <c r="AQ124" s="21"/>
      <c r="AR124" s="21"/>
      <c r="AS124" s="21"/>
      <c r="AT124" s="21"/>
      <c r="AU124" s="21"/>
      <c r="AX124" s="9"/>
      <c r="AY124" s="21"/>
      <c r="AZ124" s="21"/>
      <c r="BA124" s="21"/>
      <c r="BB124" s="21"/>
      <c r="BC124" s="21"/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/>
      <c r="H125" s="21"/>
      <c r="I125" s="21"/>
      <c r="J125" s="21"/>
      <c r="K125" s="21"/>
      <c r="N125" s="9"/>
      <c r="O125" s="21"/>
      <c r="P125" s="21"/>
      <c r="Q125" s="21"/>
      <c r="R125" s="21"/>
      <c r="S125" s="21"/>
      <c r="X125" s="9"/>
      <c r="Y125" s="21"/>
      <c r="Z125" s="21"/>
      <c r="AA125" s="21"/>
      <c r="AB125" s="21"/>
      <c r="AC125" s="21"/>
      <c r="AF125" s="9"/>
      <c r="AG125" s="21"/>
      <c r="AH125" s="21"/>
      <c r="AI125" s="21"/>
      <c r="AJ125" s="21"/>
      <c r="AK125" s="21"/>
      <c r="AP125" s="9"/>
      <c r="AQ125" s="21"/>
      <c r="AR125" s="21"/>
      <c r="AS125" s="21"/>
      <c r="AT125" s="21"/>
      <c r="AU125" s="21"/>
      <c r="AX125" s="9"/>
      <c r="AY125" s="21"/>
      <c r="AZ125" s="21"/>
      <c r="BA125" s="21"/>
      <c r="BB125" s="21"/>
      <c r="BC125" s="21"/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/>
      <c r="H126" s="21"/>
      <c r="I126" s="21"/>
      <c r="J126" s="21"/>
      <c r="K126" s="21"/>
      <c r="N126" s="9"/>
      <c r="O126" s="21"/>
      <c r="P126" s="21"/>
      <c r="Q126" s="21"/>
      <c r="R126" s="21"/>
      <c r="S126" s="21"/>
      <c r="X126" s="9"/>
      <c r="Y126" s="21"/>
      <c r="Z126" s="21"/>
      <c r="AA126" s="21"/>
      <c r="AB126" s="21"/>
      <c r="AC126" s="21"/>
      <c r="AF126" s="9"/>
      <c r="AG126" s="21"/>
      <c r="AH126" s="21"/>
      <c r="AI126" s="21"/>
      <c r="AJ126" s="21"/>
      <c r="AK126" s="21"/>
      <c r="AP126" s="9"/>
      <c r="AQ126" s="21"/>
      <c r="AR126" s="21"/>
      <c r="AS126" s="21"/>
      <c r="AT126" s="21"/>
      <c r="AU126" s="21"/>
      <c r="AX126" s="9"/>
      <c r="AY126" s="21"/>
      <c r="AZ126" s="21"/>
      <c r="BA126" s="21"/>
      <c r="BB126" s="21"/>
      <c r="BC126" s="21"/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/>
      <c r="H127" s="21"/>
      <c r="I127" s="21"/>
      <c r="J127" s="21"/>
      <c r="K127" s="21"/>
      <c r="N127" s="9"/>
      <c r="O127" s="21"/>
      <c r="P127" s="21"/>
      <c r="Q127" s="21"/>
      <c r="R127" s="21"/>
      <c r="S127" s="21"/>
      <c r="X127" s="9"/>
      <c r="Y127" s="21"/>
      <c r="Z127" s="21"/>
      <c r="AA127" s="21"/>
      <c r="AB127" s="21"/>
      <c r="AC127" s="21"/>
      <c r="AF127" s="9"/>
      <c r="AG127" s="21"/>
      <c r="AH127" s="21"/>
      <c r="AI127" s="21"/>
      <c r="AJ127" s="21"/>
      <c r="AK127" s="21"/>
      <c r="AP127" s="9"/>
      <c r="AQ127" s="21"/>
      <c r="AR127" s="21"/>
      <c r="AS127" s="21"/>
      <c r="AT127" s="21"/>
      <c r="AU127" s="21"/>
      <c r="AX127" s="9"/>
      <c r="AY127" s="21"/>
      <c r="AZ127" s="21"/>
      <c r="BA127" s="21"/>
      <c r="BB127" s="21"/>
      <c r="BC127" s="21"/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/>
      <c r="H128" s="21"/>
      <c r="I128" s="21"/>
      <c r="J128" s="21"/>
      <c r="K128" s="21"/>
      <c r="N128" s="9"/>
      <c r="O128" s="21"/>
      <c r="P128" s="21"/>
      <c r="Q128" s="21"/>
      <c r="R128" s="21"/>
      <c r="S128" s="21"/>
      <c r="X128" s="9"/>
      <c r="Y128" s="21"/>
      <c r="Z128" s="21"/>
      <c r="AA128" s="21"/>
      <c r="AB128" s="21"/>
      <c r="AC128" s="21"/>
      <c r="AF128" s="9"/>
      <c r="AG128" s="21"/>
      <c r="AH128" s="21"/>
      <c r="AI128" s="21"/>
      <c r="AJ128" s="21"/>
      <c r="AK128" s="21"/>
      <c r="AP128" s="9"/>
      <c r="AQ128" s="21"/>
      <c r="AR128" s="21"/>
      <c r="AS128" s="21"/>
      <c r="AT128" s="21"/>
      <c r="AU128" s="21"/>
      <c r="AX128" s="9"/>
      <c r="AY128" s="21"/>
      <c r="AZ128" s="21"/>
      <c r="BA128" s="21"/>
      <c r="BB128" s="21"/>
      <c r="BC128" s="21"/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/>
      <c r="H129" s="21"/>
      <c r="I129" s="21"/>
      <c r="J129" s="21"/>
      <c r="K129" s="21"/>
      <c r="N129" s="9"/>
      <c r="O129" s="21"/>
      <c r="P129" s="21"/>
      <c r="Q129" s="21"/>
      <c r="R129" s="21"/>
      <c r="S129" s="21"/>
      <c r="X129" s="9"/>
      <c r="Y129" s="21"/>
      <c r="Z129" s="21"/>
      <c r="AA129" s="21"/>
      <c r="AB129" s="21"/>
      <c r="AC129" s="21"/>
      <c r="AF129" s="9"/>
      <c r="AG129" s="21"/>
      <c r="AH129" s="21"/>
      <c r="AI129" s="21"/>
      <c r="AJ129" s="21"/>
      <c r="AK129" s="21"/>
      <c r="AP129" s="9"/>
      <c r="AQ129" s="21"/>
      <c r="AR129" s="21"/>
      <c r="AS129" s="21"/>
      <c r="AT129" s="21"/>
      <c r="AU129" s="21"/>
      <c r="AX129" s="9"/>
      <c r="AY129" s="21"/>
      <c r="AZ129" s="21"/>
      <c r="BA129" s="21"/>
      <c r="BB129" s="21"/>
      <c r="BC129" s="21"/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/>
      <c r="H130" s="21"/>
      <c r="I130" s="21"/>
      <c r="J130" s="21"/>
      <c r="K130" s="21"/>
      <c r="N130" s="9"/>
      <c r="O130" s="21"/>
      <c r="P130" s="21"/>
      <c r="Q130" s="21"/>
      <c r="R130" s="21"/>
      <c r="S130" s="21"/>
      <c r="X130" s="9"/>
      <c r="Y130" s="21"/>
      <c r="Z130" s="21"/>
      <c r="AA130" s="21"/>
      <c r="AB130" s="21"/>
      <c r="AC130" s="21"/>
      <c r="AF130" s="9"/>
      <c r="AG130" s="21"/>
      <c r="AH130" s="21"/>
      <c r="AI130" s="21"/>
      <c r="AJ130" s="21"/>
      <c r="AK130" s="21"/>
      <c r="AP130" s="9"/>
      <c r="AQ130" s="21"/>
      <c r="AR130" s="21"/>
      <c r="AS130" s="21"/>
      <c r="AT130" s="21"/>
      <c r="AU130" s="21"/>
      <c r="AX130" s="9"/>
      <c r="AY130" s="21"/>
      <c r="AZ130" s="21"/>
      <c r="BA130" s="21"/>
      <c r="BB130" s="21"/>
      <c r="BC130" s="21"/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/>
      <c r="H131" s="21"/>
      <c r="I131" s="21"/>
      <c r="J131" s="21"/>
      <c r="K131" s="21"/>
      <c r="N131" s="9"/>
      <c r="O131" s="21"/>
      <c r="P131" s="21"/>
      <c r="Q131" s="21"/>
      <c r="R131" s="21"/>
      <c r="S131" s="21"/>
      <c r="X131" s="9"/>
      <c r="Y131" s="21"/>
      <c r="Z131" s="21"/>
      <c r="AA131" s="21"/>
      <c r="AB131" s="21"/>
      <c r="AC131" s="21"/>
      <c r="AF131" s="9"/>
      <c r="AG131" s="21"/>
      <c r="AH131" s="21"/>
      <c r="AI131" s="21"/>
      <c r="AJ131" s="21"/>
      <c r="AK131" s="21"/>
      <c r="AP131" s="9"/>
      <c r="AQ131" s="21"/>
      <c r="AR131" s="21"/>
      <c r="AS131" s="21"/>
      <c r="AT131" s="21"/>
      <c r="AU131" s="21"/>
      <c r="AX131" s="9"/>
      <c r="AY131" s="21"/>
      <c r="AZ131" s="21"/>
      <c r="BA131" s="21"/>
      <c r="BB131" s="21"/>
      <c r="BC131" s="21"/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/>
      <c r="H132" s="21"/>
      <c r="I132" s="21"/>
      <c r="J132" s="21"/>
      <c r="K132" s="21"/>
      <c r="N132" s="9"/>
      <c r="O132" s="21"/>
      <c r="P132" s="21"/>
      <c r="Q132" s="21"/>
      <c r="R132" s="21"/>
      <c r="S132" s="21"/>
      <c r="X132" s="9"/>
      <c r="Y132" s="21"/>
      <c r="Z132" s="21"/>
      <c r="AA132" s="21"/>
      <c r="AB132" s="21"/>
      <c r="AC132" s="21"/>
      <c r="AF132" s="9"/>
      <c r="AG132" s="21"/>
      <c r="AH132" s="21"/>
      <c r="AI132" s="21"/>
      <c r="AJ132" s="21"/>
      <c r="AK132" s="21"/>
      <c r="AP132" s="9"/>
      <c r="AQ132" s="21"/>
      <c r="AR132" s="21"/>
      <c r="AS132" s="21"/>
      <c r="AT132" s="21"/>
      <c r="AU132" s="21"/>
      <c r="AX132" s="9"/>
      <c r="AY132" s="21"/>
      <c r="AZ132" s="21"/>
      <c r="BA132" s="21"/>
      <c r="BB132" s="21"/>
      <c r="BC132" s="21"/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/>
      <c r="H133" s="21"/>
      <c r="I133" s="21"/>
      <c r="J133" s="21"/>
      <c r="K133" s="21"/>
      <c r="N133" s="9"/>
      <c r="O133" s="21"/>
      <c r="P133" s="21"/>
      <c r="Q133" s="21"/>
      <c r="R133" s="21"/>
      <c r="S133" s="21"/>
      <c r="X133" s="9"/>
      <c r="Y133" s="21"/>
      <c r="Z133" s="21"/>
      <c r="AA133" s="21"/>
      <c r="AB133" s="21"/>
      <c r="AC133" s="21"/>
      <c r="AF133" s="9"/>
      <c r="AG133" s="21"/>
      <c r="AH133" s="21"/>
      <c r="AI133" s="21"/>
      <c r="AJ133" s="21"/>
      <c r="AK133" s="21"/>
      <c r="AP133" s="9"/>
      <c r="AQ133" s="21"/>
      <c r="AR133" s="21"/>
      <c r="AS133" s="21"/>
      <c r="AT133" s="21"/>
      <c r="AU133" s="21"/>
      <c r="AX133" s="9"/>
      <c r="AY133" s="21"/>
      <c r="AZ133" s="21"/>
      <c r="BA133" s="21"/>
      <c r="BB133" s="21"/>
      <c r="BC133" s="21"/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/>
      <c r="H134" s="21"/>
      <c r="I134" s="21"/>
      <c r="J134" s="21"/>
      <c r="K134" s="21"/>
      <c r="N134" s="9"/>
      <c r="O134" s="21"/>
      <c r="P134" s="21"/>
      <c r="Q134" s="21"/>
      <c r="R134" s="21"/>
      <c r="S134" s="21"/>
      <c r="X134" s="9"/>
      <c r="Y134" s="21"/>
      <c r="Z134" s="21"/>
      <c r="AA134" s="21"/>
      <c r="AB134" s="21"/>
      <c r="AC134" s="21"/>
      <c r="AF134" s="9"/>
      <c r="AG134" s="21"/>
      <c r="AH134" s="21"/>
      <c r="AI134" s="21"/>
      <c r="AJ134" s="21"/>
      <c r="AK134" s="21"/>
      <c r="AP134" s="9"/>
      <c r="AQ134" s="21"/>
      <c r="AR134" s="21"/>
      <c r="AS134" s="21"/>
      <c r="AT134" s="21"/>
      <c r="AU134" s="21"/>
      <c r="AX134" s="9"/>
      <c r="AY134" s="21"/>
      <c r="AZ134" s="21"/>
      <c r="BA134" s="21"/>
      <c r="BB134" s="21"/>
      <c r="BC134" s="21"/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/>
      <c r="H135" s="21"/>
      <c r="I135" s="21"/>
      <c r="J135" s="21"/>
      <c r="K135" s="21"/>
      <c r="N135" s="9"/>
      <c r="O135" s="21"/>
      <c r="P135" s="21"/>
      <c r="Q135" s="21"/>
      <c r="R135" s="21"/>
      <c r="S135" s="21"/>
      <c r="X135" s="9"/>
      <c r="Y135" s="21"/>
      <c r="Z135" s="21"/>
      <c r="AA135" s="21"/>
      <c r="AB135" s="21"/>
      <c r="AC135" s="21"/>
      <c r="AF135" s="9"/>
      <c r="AG135" s="21"/>
      <c r="AH135" s="21"/>
      <c r="AI135" s="21"/>
      <c r="AJ135" s="21"/>
      <c r="AK135" s="21"/>
      <c r="AP135" s="9"/>
      <c r="AQ135" s="21"/>
      <c r="AR135" s="21"/>
      <c r="AS135" s="21"/>
      <c r="AT135" s="21"/>
      <c r="AU135" s="21"/>
      <c r="AX135" s="9"/>
      <c r="AY135" s="21"/>
      <c r="AZ135" s="21"/>
      <c r="BA135" s="21"/>
      <c r="BB135" s="21"/>
      <c r="BC135" s="21"/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/>
      <c r="H136" s="21"/>
      <c r="I136" s="21"/>
      <c r="J136" s="21"/>
      <c r="K136" s="21"/>
      <c r="N136" s="9"/>
      <c r="O136" s="21"/>
      <c r="P136" s="21"/>
      <c r="Q136" s="21"/>
      <c r="R136" s="21"/>
      <c r="S136" s="21"/>
      <c r="X136" s="9"/>
      <c r="Y136" s="21"/>
      <c r="Z136" s="21"/>
      <c r="AA136" s="21"/>
      <c r="AB136" s="21"/>
      <c r="AC136" s="21"/>
      <c r="AF136" s="9"/>
      <c r="AG136" s="21"/>
      <c r="AH136" s="21"/>
      <c r="AI136" s="21"/>
      <c r="AJ136" s="21"/>
      <c r="AK136" s="21"/>
      <c r="AP136" s="9"/>
      <c r="AQ136" s="21"/>
      <c r="AR136" s="21"/>
      <c r="AS136" s="21"/>
      <c r="AT136" s="21"/>
      <c r="AU136" s="21"/>
      <c r="AX136" s="9"/>
      <c r="AY136" s="21"/>
      <c r="AZ136" s="21"/>
      <c r="BA136" s="21"/>
      <c r="BB136" s="21"/>
      <c r="BC136" s="21"/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/>
      <c r="H137" s="21"/>
      <c r="I137" s="21"/>
      <c r="J137" s="21"/>
      <c r="K137" s="21"/>
      <c r="N137" s="9"/>
      <c r="O137" s="21"/>
      <c r="P137" s="21"/>
      <c r="Q137" s="21"/>
      <c r="R137" s="21"/>
      <c r="S137" s="21"/>
      <c r="X137" s="9"/>
      <c r="Y137" s="21"/>
      <c r="Z137" s="21"/>
      <c r="AA137" s="21"/>
      <c r="AB137" s="21"/>
      <c r="AC137" s="21"/>
      <c r="AF137" s="9"/>
      <c r="AG137" s="21"/>
      <c r="AH137" s="21"/>
      <c r="AI137" s="21"/>
      <c r="AJ137" s="21"/>
      <c r="AK137" s="21"/>
      <c r="AP137" s="9"/>
      <c r="AQ137" s="21"/>
      <c r="AR137" s="21"/>
      <c r="AS137" s="21"/>
      <c r="AT137" s="21"/>
      <c r="AU137" s="21"/>
      <c r="AX137" s="9"/>
      <c r="AY137" s="21"/>
      <c r="AZ137" s="21"/>
      <c r="BA137" s="21"/>
      <c r="BB137" s="21"/>
      <c r="BC137" s="21"/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/>
      <c r="H138" s="21"/>
      <c r="I138" s="21"/>
      <c r="J138" s="21"/>
      <c r="K138" s="21"/>
      <c r="N138" s="9"/>
      <c r="O138" s="21"/>
      <c r="P138" s="21"/>
      <c r="Q138" s="21"/>
      <c r="R138" s="21"/>
      <c r="S138" s="21"/>
      <c r="X138" s="9"/>
      <c r="Y138" s="21"/>
      <c r="Z138" s="21"/>
      <c r="AA138" s="21"/>
      <c r="AB138" s="21"/>
      <c r="AC138" s="21"/>
      <c r="AF138" s="9"/>
      <c r="AG138" s="21"/>
      <c r="AH138" s="21"/>
      <c r="AI138" s="21"/>
      <c r="AJ138" s="21"/>
      <c r="AK138" s="21"/>
      <c r="AP138" s="9"/>
      <c r="AQ138" s="21"/>
      <c r="AR138" s="21"/>
      <c r="AS138" s="21"/>
      <c r="AT138" s="21"/>
      <c r="AU138" s="21"/>
      <c r="AX138" s="9"/>
      <c r="AY138" s="21"/>
      <c r="AZ138" s="21"/>
      <c r="BA138" s="21"/>
      <c r="BB138" s="21"/>
      <c r="BC138" s="21"/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/>
      <c r="H139" s="21"/>
      <c r="I139" s="21"/>
      <c r="J139" s="21"/>
      <c r="K139" s="21"/>
      <c r="N139" s="9"/>
      <c r="O139" s="21"/>
      <c r="P139" s="21"/>
      <c r="Q139" s="21"/>
      <c r="R139" s="21"/>
      <c r="S139" s="21"/>
      <c r="X139" s="9"/>
      <c r="Y139" s="21"/>
      <c r="Z139" s="21"/>
      <c r="AA139" s="21"/>
      <c r="AB139" s="21"/>
      <c r="AC139" s="21"/>
      <c r="AF139" s="9"/>
      <c r="AG139" s="21"/>
      <c r="AH139" s="21"/>
      <c r="AI139" s="21"/>
      <c r="AJ139" s="21"/>
      <c r="AK139" s="21"/>
      <c r="AP139" s="9"/>
      <c r="AQ139" s="21"/>
      <c r="AR139" s="21"/>
      <c r="AS139" s="21"/>
      <c r="AT139" s="21"/>
      <c r="AU139" s="21"/>
      <c r="AX139" s="9"/>
      <c r="AY139" s="21"/>
      <c r="AZ139" s="21"/>
      <c r="BA139" s="21"/>
      <c r="BB139" s="21"/>
      <c r="BC139" s="21"/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/>
      <c r="H140" s="21"/>
      <c r="I140" s="21"/>
      <c r="J140" s="21"/>
      <c r="K140" s="21"/>
      <c r="N140" s="9"/>
      <c r="O140" s="21"/>
      <c r="P140" s="21"/>
      <c r="Q140" s="21"/>
      <c r="R140" s="21"/>
      <c r="S140" s="21"/>
      <c r="X140" s="9"/>
      <c r="Y140" s="21"/>
      <c r="Z140" s="21"/>
      <c r="AA140" s="21"/>
      <c r="AB140" s="21"/>
      <c r="AC140" s="21"/>
      <c r="AF140" s="9"/>
      <c r="AG140" s="21"/>
      <c r="AH140" s="21"/>
      <c r="AI140" s="21"/>
      <c r="AJ140" s="21"/>
      <c r="AK140" s="21"/>
      <c r="AP140" s="9"/>
      <c r="AQ140" s="21"/>
      <c r="AR140" s="21"/>
      <c r="AS140" s="21"/>
      <c r="AT140" s="21"/>
      <c r="AU140" s="21"/>
      <c r="AX140" s="9"/>
      <c r="AY140" s="21"/>
      <c r="AZ140" s="21"/>
      <c r="BA140" s="21"/>
      <c r="BB140" s="21"/>
      <c r="BC140" s="21"/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/>
      <c r="H141" s="21"/>
      <c r="I141" s="21"/>
      <c r="J141" s="21"/>
      <c r="K141" s="21"/>
      <c r="N141" s="9"/>
      <c r="O141" s="21"/>
      <c r="P141" s="21"/>
      <c r="Q141" s="21"/>
      <c r="R141" s="21"/>
      <c r="S141" s="21"/>
      <c r="X141" s="9"/>
      <c r="Y141" s="21"/>
      <c r="Z141" s="21"/>
      <c r="AA141" s="21"/>
      <c r="AB141" s="21"/>
      <c r="AC141" s="21"/>
      <c r="AF141" s="9"/>
      <c r="AG141" s="21"/>
      <c r="AH141" s="21"/>
      <c r="AI141" s="21"/>
      <c r="AJ141" s="21"/>
      <c r="AK141" s="21"/>
      <c r="AP141" s="9"/>
      <c r="AQ141" s="21"/>
      <c r="AR141" s="21"/>
      <c r="AS141" s="21"/>
      <c r="AT141" s="21"/>
      <c r="AU141" s="21"/>
      <c r="AX141" s="9"/>
      <c r="AY141" s="21"/>
      <c r="AZ141" s="21"/>
      <c r="BA141" s="21"/>
      <c r="BB141" s="21"/>
      <c r="BC141" s="21"/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/>
      <c r="H142" s="21"/>
      <c r="I142" s="21"/>
      <c r="J142" s="21"/>
      <c r="K142" s="21"/>
      <c r="N142" s="9"/>
      <c r="O142" s="21"/>
      <c r="P142" s="21"/>
      <c r="Q142" s="21"/>
      <c r="R142" s="21"/>
      <c r="S142" s="21"/>
      <c r="X142" s="9"/>
      <c r="Y142" s="21"/>
      <c r="Z142" s="21"/>
      <c r="AA142" s="21"/>
      <c r="AB142" s="21"/>
      <c r="AC142" s="21"/>
      <c r="AF142" s="9"/>
      <c r="AG142" s="21"/>
      <c r="AH142" s="21"/>
      <c r="AI142" s="21"/>
      <c r="AJ142" s="21"/>
      <c r="AK142" s="21"/>
      <c r="AP142" s="9"/>
      <c r="AQ142" s="21"/>
      <c r="AR142" s="21"/>
      <c r="AS142" s="21"/>
      <c r="AT142" s="21"/>
      <c r="AU142" s="21"/>
      <c r="AX142" s="9"/>
      <c r="AY142" s="21"/>
      <c r="AZ142" s="21"/>
      <c r="BA142" s="21"/>
      <c r="BB142" s="21"/>
      <c r="BC142" s="21"/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/>
      <c r="H143" s="21"/>
      <c r="I143" s="21"/>
      <c r="J143" s="21"/>
      <c r="K143" s="21"/>
      <c r="N143" s="9"/>
      <c r="O143" s="21"/>
      <c r="P143" s="21"/>
      <c r="Q143" s="21"/>
      <c r="R143" s="21"/>
      <c r="S143" s="21"/>
      <c r="X143" s="9"/>
      <c r="Y143" s="21"/>
      <c r="Z143" s="21"/>
      <c r="AA143" s="21"/>
      <c r="AB143" s="21"/>
      <c r="AC143" s="21"/>
      <c r="AF143" s="9"/>
      <c r="AG143" s="21"/>
      <c r="AH143" s="21"/>
      <c r="AI143" s="21"/>
      <c r="AJ143" s="21"/>
      <c r="AK143" s="21"/>
      <c r="AP143" s="9"/>
      <c r="AQ143" s="21"/>
      <c r="AR143" s="21"/>
      <c r="AS143" s="21"/>
      <c r="AT143" s="21"/>
      <c r="AU143" s="21"/>
      <c r="AX143" s="9"/>
      <c r="AY143" s="21"/>
      <c r="AZ143" s="21"/>
      <c r="BA143" s="21"/>
      <c r="BB143" s="21"/>
      <c r="BC143" s="21"/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/>
      <c r="H144" s="21"/>
      <c r="I144" s="21"/>
      <c r="J144" s="21"/>
      <c r="K144" s="21"/>
      <c r="N144" s="9"/>
      <c r="O144" s="21"/>
      <c r="P144" s="21"/>
      <c r="Q144" s="21"/>
      <c r="R144" s="21"/>
      <c r="S144" s="21"/>
      <c r="X144" s="9"/>
      <c r="Y144" s="21"/>
      <c r="Z144" s="21"/>
      <c r="AA144" s="21"/>
      <c r="AB144" s="21"/>
      <c r="AC144" s="21"/>
      <c r="AF144" s="9"/>
      <c r="AG144" s="21"/>
      <c r="AH144" s="21"/>
      <c r="AI144" s="21"/>
      <c r="AJ144" s="21"/>
      <c r="AK144" s="21"/>
      <c r="AP144" s="9"/>
      <c r="AQ144" s="21"/>
      <c r="AR144" s="21"/>
      <c r="AS144" s="21"/>
      <c r="AT144" s="21"/>
      <c r="AU144" s="21"/>
      <c r="AX144" s="9"/>
      <c r="AY144" s="21"/>
      <c r="AZ144" s="21"/>
      <c r="BA144" s="21"/>
      <c r="BB144" s="21"/>
      <c r="BC144" s="21"/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/>
      <c r="H145" s="21"/>
      <c r="I145" s="21"/>
      <c r="J145" s="21"/>
      <c r="K145" s="21"/>
      <c r="N145" s="9"/>
      <c r="O145" s="21"/>
      <c r="P145" s="21"/>
      <c r="Q145" s="21"/>
      <c r="R145" s="21"/>
      <c r="S145" s="21"/>
      <c r="X145" s="9"/>
      <c r="Y145" s="21"/>
      <c r="Z145" s="21"/>
      <c r="AA145" s="21"/>
      <c r="AB145" s="21"/>
      <c r="AC145" s="21"/>
      <c r="AF145" s="9"/>
      <c r="AG145" s="21"/>
      <c r="AH145" s="21"/>
      <c r="AI145" s="21"/>
      <c r="AJ145" s="21"/>
      <c r="AK145" s="21"/>
      <c r="AP145" s="9"/>
      <c r="AQ145" s="21"/>
      <c r="AR145" s="21"/>
      <c r="AS145" s="21"/>
      <c r="AT145" s="21"/>
      <c r="AU145" s="21"/>
      <c r="AX145" s="9"/>
      <c r="AY145" s="21"/>
      <c r="AZ145" s="21"/>
      <c r="BA145" s="21"/>
      <c r="BB145" s="21"/>
      <c r="BC145" s="21"/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/>
      <c r="H146" s="21"/>
      <c r="I146" s="21"/>
      <c r="J146" s="21"/>
      <c r="K146" s="21"/>
      <c r="N146" s="9"/>
      <c r="O146" s="21"/>
      <c r="P146" s="21"/>
      <c r="Q146" s="21"/>
      <c r="R146" s="21"/>
      <c r="S146" s="21"/>
      <c r="X146" s="9"/>
      <c r="Y146" s="21"/>
      <c r="Z146" s="21"/>
      <c r="AA146" s="21"/>
      <c r="AB146" s="21"/>
      <c r="AC146" s="21"/>
      <c r="AF146" s="9"/>
      <c r="AG146" s="21"/>
      <c r="AH146" s="21"/>
      <c r="AI146" s="21"/>
      <c r="AJ146" s="21"/>
      <c r="AK146" s="21"/>
      <c r="AP146" s="9"/>
      <c r="AQ146" s="21"/>
      <c r="AR146" s="21"/>
      <c r="AS146" s="21"/>
      <c r="AT146" s="21"/>
      <c r="AU146" s="21"/>
      <c r="AX146" s="9"/>
      <c r="AY146" s="21"/>
      <c r="AZ146" s="21"/>
      <c r="BA146" s="21"/>
      <c r="BB146" s="21"/>
      <c r="BC146" s="21"/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/>
      <c r="H147" s="21"/>
      <c r="I147" s="21"/>
      <c r="J147" s="21"/>
      <c r="K147" s="21"/>
      <c r="N147" s="9"/>
      <c r="O147" s="21"/>
      <c r="P147" s="21"/>
      <c r="Q147" s="21"/>
      <c r="R147" s="21"/>
      <c r="S147" s="21"/>
      <c r="X147" s="9"/>
      <c r="Y147" s="21"/>
      <c r="Z147" s="21"/>
      <c r="AA147" s="21"/>
      <c r="AB147" s="21"/>
      <c r="AC147" s="21"/>
      <c r="AF147" s="9"/>
      <c r="AG147" s="21"/>
      <c r="AH147" s="21"/>
      <c r="AI147" s="21"/>
      <c r="AJ147" s="21"/>
      <c r="AK147" s="21"/>
      <c r="AP147" s="9"/>
      <c r="AQ147" s="21"/>
      <c r="AR147" s="21"/>
      <c r="AS147" s="21"/>
      <c r="AT147" s="21"/>
      <c r="AU147" s="21"/>
      <c r="AX147" s="9"/>
      <c r="AY147" s="21"/>
      <c r="AZ147" s="21"/>
      <c r="BA147" s="21"/>
      <c r="BB147" s="21"/>
      <c r="BC147" s="21"/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/>
      <c r="H148" s="21"/>
      <c r="I148" s="21"/>
      <c r="J148" s="21"/>
      <c r="K148" s="21"/>
      <c r="N148" s="9"/>
      <c r="O148" s="21"/>
      <c r="P148" s="21"/>
      <c r="Q148" s="21"/>
      <c r="R148" s="21"/>
      <c r="S148" s="21"/>
      <c r="X148" s="9"/>
      <c r="Y148" s="21"/>
      <c r="Z148" s="21"/>
      <c r="AA148" s="21"/>
      <c r="AB148" s="21"/>
      <c r="AC148" s="21"/>
      <c r="AF148" s="9"/>
      <c r="AG148" s="21"/>
      <c r="AH148" s="21"/>
      <c r="AI148" s="21"/>
      <c r="AJ148" s="21"/>
      <c r="AK148" s="21"/>
      <c r="AP148" s="9"/>
      <c r="AQ148" s="21"/>
      <c r="AR148" s="21"/>
      <c r="AS148" s="21"/>
      <c r="AT148" s="21"/>
      <c r="AU148" s="21"/>
      <c r="AX148" s="9"/>
      <c r="AY148" s="21"/>
      <c r="AZ148" s="21"/>
      <c r="BA148" s="21"/>
      <c r="BB148" s="21"/>
      <c r="BC148" s="21"/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/>
      <c r="H149" s="21"/>
      <c r="I149" s="21"/>
      <c r="J149" s="21"/>
      <c r="K149" s="21"/>
      <c r="N149" s="9"/>
      <c r="O149" s="21"/>
      <c r="P149" s="21"/>
      <c r="Q149" s="21"/>
      <c r="R149" s="21"/>
      <c r="S149" s="21"/>
      <c r="X149" s="9"/>
      <c r="Y149" s="21"/>
      <c r="Z149" s="21"/>
      <c r="AA149" s="21"/>
      <c r="AB149" s="21"/>
      <c r="AC149" s="21"/>
      <c r="AF149" s="9"/>
      <c r="AG149" s="21"/>
      <c r="AH149" s="21"/>
      <c r="AI149" s="21"/>
      <c r="AJ149" s="21"/>
      <c r="AK149" s="21"/>
      <c r="AP149" s="9"/>
      <c r="AQ149" s="21"/>
      <c r="AR149" s="21"/>
      <c r="AS149" s="21"/>
      <c r="AT149" s="21"/>
      <c r="AU149" s="21"/>
      <c r="AX149" s="9"/>
      <c r="AY149" s="21"/>
      <c r="AZ149" s="21"/>
      <c r="BA149" s="21"/>
      <c r="BB149" s="21"/>
      <c r="BC149" s="21"/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/>
      <c r="H150" s="21"/>
      <c r="I150" s="21"/>
      <c r="J150" s="21"/>
      <c r="K150" s="21"/>
      <c r="N150" s="9"/>
      <c r="O150" s="21"/>
      <c r="P150" s="21"/>
      <c r="Q150" s="21"/>
      <c r="R150" s="21"/>
      <c r="S150" s="21"/>
      <c r="X150" s="9"/>
      <c r="Y150" s="21"/>
      <c r="Z150" s="21"/>
      <c r="AA150" s="21"/>
      <c r="AB150" s="21"/>
      <c r="AC150" s="21"/>
      <c r="AF150" s="9"/>
      <c r="AG150" s="21"/>
      <c r="AH150" s="21"/>
      <c r="AI150" s="21"/>
      <c r="AJ150" s="21"/>
      <c r="AK150" s="21"/>
      <c r="AP150" s="9"/>
      <c r="AQ150" s="21"/>
      <c r="AR150" s="21"/>
      <c r="AS150" s="21"/>
      <c r="AT150" s="21"/>
      <c r="AU150" s="21"/>
      <c r="AX150" s="9"/>
      <c r="AY150" s="21"/>
      <c r="AZ150" s="21"/>
      <c r="BA150" s="21"/>
      <c r="BB150" s="21"/>
      <c r="BC150" s="21"/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/>
      <c r="H151" s="21"/>
      <c r="I151" s="21"/>
      <c r="J151" s="21"/>
      <c r="K151" s="21"/>
      <c r="N151" s="9"/>
      <c r="O151" s="21"/>
      <c r="P151" s="21"/>
      <c r="Q151" s="21"/>
      <c r="R151" s="21"/>
      <c r="S151" s="21"/>
      <c r="X151" s="9"/>
      <c r="Y151" s="21"/>
      <c r="Z151" s="21"/>
      <c r="AA151" s="21"/>
      <c r="AB151" s="21"/>
      <c r="AC151" s="21"/>
      <c r="AF151" s="9"/>
      <c r="AG151" s="21"/>
      <c r="AH151" s="21"/>
      <c r="AI151" s="21"/>
      <c r="AJ151" s="21"/>
      <c r="AK151" s="21"/>
      <c r="AP151" s="9"/>
      <c r="AQ151" s="21"/>
      <c r="AR151" s="21"/>
      <c r="AS151" s="21"/>
      <c r="AT151" s="21"/>
      <c r="AU151" s="21"/>
      <c r="AX151" s="9"/>
      <c r="AY151" s="21"/>
      <c r="AZ151" s="21"/>
      <c r="BA151" s="21"/>
      <c r="BB151" s="21"/>
      <c r="BC151" s="21"/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/>
      <c r="H152" s="21"/>
      <c r="I152" s="21"/>
      <c r="J152" s="21"/>
      <c r="K152" s="21"/>
      <c r="N152" s="9"/>
      <c r="O152" s="21"/>
      <c r="P152" s="21"/>
      <c r="Q152" s="21"/>
      <c r="R152" s="21"/>
      <c r="S152" s="21"/>
      <c r="X152" s="9"/>
      <c r="Y152" s="21"/>
      <c r="Z152" s="21"/>
      <c r="AA152" s="21"/>
      <c r="AB152" s="21"/>
      <c r="AC152" s="21"/>
      <c r="AF152" s="9"/>
      <c r="AG152" s="21"/>
      <c r="AH152" s="21"/>
      <c r="AI152" s="21"/>
      <c r="AJ152" s="21"/>
      <c r="AK152" s="21"/>
      <c r="AP152" s="9"/>
      <c r="AQ152" s="21"/>
      <c r="AR152" s="21"/>
      <c r="AS152" s="21"/>
      <c r="AT152" s="21"/>
      <c r="AU152" s="21"/>
      <c r="AX152" s="9"/>
      <c r="AY152" s="21"/>
      <c r="AZ152" s="21"/>
      <c r="BA152" s="21"/>
      <c r="BB152" s="21"/>
      <c r="BC152" s="21"/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/>
      <c r="H153" s="21"/>
      <c r="I153" s="21"/>
      <c r="J153" s="21"/>
      <c r="K153" s="21"/>
      <c r="N153" s="9"/>
      <c r="O153" s="21"/>
      <c r="P153" s="21"/>
      <c r="Q153" s="21"/>
      <c r="R153" s="21"/>
      <c r="S153" s="21"/>
      <c r="X153" s="9"/>
      <c r="Y153" s="21"/>
      <c r="Z153" s="21"/>
      <c r="AA153" s="21"/>
      <c r="AB153" s="21"/>
      <c r="AC153" s="21"/>
      <c r="AF153" s="9"/>
      <c r="AG153" s="21"/>
      <c r="AH153" s="21"/>
      <c r="AI153" s="21"/>
      <c r="AJ153" s="21"/>
      <c r="AK153" s="21"/>
      <c r="AP153" s="9"/>
      <c r="AQ153" s="21"/>
      <c r="AR153" s="21"/>
      <c r="AS153" s="21"/>
      <c r="AT153" s="21"/>
      <c r="AU153" s="21"/>
      <c r="AX153" s="9"/>
      <c r="AY153" s="21"/>
      <c r="AZ153" s="21"/>
      <c r="BA153" s="21"/>
      <c r="BB153" s="21"/>
      <c r="BC153" s="21"/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/>
      <c r="H154" s="21"/>
      <c r="I154" s="21"/>
      <c r="J154" s="21"/>
      <c r="K154" s="21"/>
      <c r="N154" s="9"/>
      <c r="O154" s="21"/>
      <c r="P154" s="21"/>
      <c r="Q154" s="21"/>
      <c r="R154" s="21"/>
      <c r="S154" s="21"/>
      <c r="X154" s="9"/>
      <c r="Y154" s="21"/>
      <c r="Z154" s="21"/>
      <c r="AA154" s="21"/>
      <c r="AB154" s="21"/>
      <c r="AC154" s="21"/>
      <c r="AF154" s="9"/>
      <c r="AG154" s="21"/>
      <c r="AH154" s="21"/>
      <c r="AI154" s="21"/>
      <c r="AJ154" s="21"/>
      <c r="AK154" s="21"/>
      <c r="AP154" s="9"/>
      <c r="AQ154" s="21"/>
      <c r="AR154" s="21"/>
      <c r="AS154" s="21"/>
      <c r="AT154" s="21"/>
      <c r="AU154" s="21"/>
      <c r="AX154" s="9"/>
      <c r="AY154" s="21"/>
      <c r="AZ154" s="21"/>
      <c r="BA154" s="21"/>
      <c r="BB154" s="21"/>
      <c r="BC154" s="21"/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/>
      <c r="H155" s="21"/>
      <c r="I155" s="21"/>
      <c r="J155" s="21"/>
      <c r="K155" s="21"/>
      <c r="N155" s="9"/>
      <c r="O155" s="21"/>
      <c r="P155" s="21"/>
      <c r="Q155" s="21"/>
      <c r="R155" s="21"/>
      <c r="S155" s="21"/>
      <c r="X155" s="9"/>
      <c r="Y155" s="21"/>
      <c r="Z155" s="21"/>
      <c r="AA155" s="21"/>
      <c r="AB155" s="21"/>
      <c r="AC155" s="21"/>
      <c r="AF155" s="9"/>
      <c r="AG155" s="21"/>
      <c r="AH155" s="21"/>
      <c r="AI155" s="21"/>
      <c r="AJ155" s="21"/>
      <c r="AK155" s="21"/>
      <c r="AP155" s="9"/>
      <c r="AQ155" s="21"/>
      <c r="AR155" s="21"/>
      <c r="AS155" s="21"/>
      <c r="AT155" s="21"/>
      <c r="AU155" s="21"/>
      <c r="AX155" s="9"/>
      <c r="AY155" s="21"/>
      <c r="AZ155" s="21"/>
      <c r="BA155" s="21"/>
      <c r="BB155" s="21"/>
      <c r="BC155" s="21"/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/>
      <c r="H156" s="21"/>
      <c r="I156" s="21"/>
      <c r="J156" s="21"/>
      <c r="K156" s="21"/>
      <c r="N156" s="9"/>
      <c r="O156" s="21"/>
      <c r="P156" s="21"/>
      <c r="Q156" s="21"/>
      <c r="R156" s="21"/>
      <c r="S156" s="21"/>
      <c r="X156" s="9"/>
      <c r="Y156" s="21"/>
      <c r="Z156" s="21"/>
      <c r="AA156" s="21"/>
      <c r="AB156" s="21"/>
      <c r="AC156" s="21"/>
      <c r="AF156" s="9"/>
      <c r="AG156" s="21"/>
      <c r="AH156" s="21"/>
      <c r="AI156" s="21"/>
      <c r="AJ156" s="21"/>
      <c r="AK156" s="21"/>
      <c r="AP156" s="9"/>
      <c r="AQ156" s="21"/>
      <c r="AR156" s="21"/>
      <c r="AS156" s="21"/>
      <c r="AT156" s="21"/>
      <c r="AU156" s="21"/>
      <c r="AX156" s="9"/>
      <c r="AY156" s="21"/>
      <c r="AZ156" s="21"/>
      <c r="BA156" s="21"/>
      <c r="BB156" s="21"/>
      <c r="BC156" s="21"/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/>
      <c r="H157" s="21"/>
      <c r="I157" s="21"/>
      <c r="J157" s="21"/>
      <c r="K157" s="21"/>
      <c r="N157" s="9"/>
      <c r="O157" s="21"/>
      <c r="P157" s="21"/>
      <c r="Q157" s="21"/>
      <c r="R157" s="21"/>
      <c r="S157" s="21"/>
      <c r="X157" s="9"/>
      <c r="Y157" s="21"/>
      <c r="Z157" s="21"/>
      <c r="AA157" s="21"/>
      <c r="AB157" s="21"/>
      <c r="AC157" s="21"/>
      <c r="AF157" s="9"/>
      <c r="AG157" s="21"/>
      <c r="AH157" s="21"/>
      <c r="AI157" s="21"/>
      <c r="AJ157" s="21"/>
      <c r="AK157" s="21"/>
      <c r="AP157" s="9"/>
      <c r="AQ157" s="21"/>
      <c r="AR157" s="21"/>
      <c r="AS157" s="21"/>
      <c r="AT157" s="21"/>
      <c r="AU157" s="21"/>
      <c r="AX157" s="9"/>
      <c r="AY157" s="21"/>
      <c r="AZ157" s="21"/>
      <c r="BA157" s="21"/>
      <c r="BB157" s="21"/>
      <c r="BC157" s="21"/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/>
      <c r="H158" s="21"/>
      <c r="I158" s="21"/>
      <c r="J158" s="21"/>
      <c r="K158" s="21"/>
      <c r="N158" s="9"/>
      <c r="O158" s="21"/>
      <c r="P158" s="21"/>
      <c r="Q158" s="21"/>
      <c r="R158" s="21"/>
      <c r="S158" s="21"/>
      <c r="X158" s="9"/>
      <c r="Y158" s="21"/>
      <c r="Z158" s="21"/>
      <c r="AA158" s="21"/>
      <c r="AB158" s="21"/>
      <c r="AC158" s="21"/>
      <c r="AF158" s="9"/>
      <c r="AG158" s="21"/>
      <c r="AH158" s="21"/>
      <c r="AI158" s="21"/>
      <c r="AJ158" s="21"/>
      <c r="AK158" s="21"/>
      <c r="AP158" s="9"/>
      <c r="AQ158" s="21"/>
      <c r="AR158" s="21"/>
      <c r="AS158" s="21"/>
      <c r="AT158" s="21"/>
      <c r="AU158" s="21"/>
      <c r="AX158" s="9"/>
      <c r="AY158" s="21"/>
      <c r="AZ158" s="21"/>
      <c r="BA158" s="21"/>
      <c r="BB158" s="21"/>
      <c r="BC158" s="21"/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/>
      <c r="H159" s="21"/>
      <c r="I159" s="21"/>
      <c r="J159" s="21"/>
      <c r="K159" s="21"/>
      <c r="N159" s="9"/>
      <c r="O159" s="21"/>
      <c r="P159" s="21"/>
      <c r="Q159" s="21"/>
      <c r="R159" s="21"/>
      <c r="S159" s="21"/>
      <c r="X159" s="9"/>
      <c r="Y159" s="21"/>
      <c r="Z159" s="21"/>
      <c r="AA159" s="21"/>
      <c r="AB159" s="21"/>
      <c r="AC159" s="21"/>
      <c r="AF159" s="9"/>
      <c r="AG159" s="21"/>
      <c r="AH159" s="21"/>
      <c r="AI159" s="21"/>
      <c r="AJ159" s="21"/>
      <c r="AK159" s="21"/>
      <c r="AP159" s="9"/>
      <c r="AQ159" s="21"/>
      <c r="AR159" s="21"/>
      <c r="AS159" s="21"/>
      <c r="AT159" s="21"/>
      <c r="AU159" s="21"/>
      <c r="AX159" s="9"/>
      <c r="AY159" s="21"/>
      <c r="AZ159" s="21"/>
      <c r="BA159" s="21"/>
      <c r="BB159" s="21"/>
      <c r="BC159" s="21"/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/>
      <c r="H160" s="21"/>
      <c r="I160" s="21"/>
      <c r="J160" s="21"/>
      <c r="K160" s="21"/>
      <c r="N160" s="9"/>
      <c r="O160" s="21"/>
      <c r="P160" s="21"/>
      <c r="Q160" s="21"/>
      <c r="R160" s="21"/>
      <c r="S160" s="21"/>
      <c r="X160" s="9"/>
      <c r="Y160" s="21"/>
      <c r="Z160" s="21"/>
      <c r="AA160" s="21"/>
      <c r="AB160" s="21"/>
      <c r="AC160" s="21"/>
      <c r="AF160" s="9"/>
      <c r="AG160" s="21"/>
      <c r="AH160" s="21"/>
      <c r="AI160" s="21"/>
      <c r="AJ160" s="21"/>
      <c r="AK160" s="21"/>
      <c r="AP160" s="9"/>
      <c r="AQ160" s="21"/>
      <c r="AR160" s="21"/>
      <c r="AS160" s="21"/>
      <c r="AT160" s="21"/>
      <c r="AU160" s="21"/>
      <c r="AX160" s="9"/>
      <c r="AY160" s="21"/>
      <c r="AZ160" s="21"/>
      <c r="BA160" s="21"/>
      <c r="BB160" s="21"/>
      <c r="BC160" s="21"/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/>
      <c r="H161" s="21"/>
      <c r="I161" s="21"/>
      <c r="J161" s="21"/>
      <c r="K161" s="21"/>
      <c r="N161" s="9"/>
      <c r="O161" s="21"/>
      <c r="P161" s="21"/>
      <c r="Q161" s="21"/>
      <c r="R161" s="21"/>
      <c r="S161" s="21"/>
      <c r="X161" s="9"/>
      <c r="Y161" s="21"/>
      <c r="Z161" s="21"/>
      <c r="AA161" s="21"/>
      <c r="AB161" s="21"/>
      <c r="AC161" s="21"/>
      <c r="AF161" s="9"/>
      <c r="AG161" s="21"/>
      <c r="AH161" s="21"/>
      <c r="AI161" s="21"/>
      <c r="AJ161" s="21"/>
      <c r="AK161" s="21"/>
      <c r="AP161" s="9"/>
      <c r="AQ161" s="21"/>
      <c r="AR161" s="21"/>
      <c r="AS161" s="21"/>
      <c r="AT161" s="21"/>
      <c r="AU161" s="21"/>
      <c r="AX161" s="9"/>
      <c r="AY161" s="21"/>
      <c r="AZ161" s="21"/>
      <c r="BA161" s="21"/>
      <c r="BB161" s="21"/>
      <c r="BC161" s="21"/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/>
      <c r="H162" s="21"/>
      <c r="I162" s="21"/>
      <c r="J162" s="21"/>
      <c r="K162" s="21"/>
      <c r="N162" s="9"/>
      <c r="O162" s="21"/>
      <c r="P162" s="21"/>
      <c r="Q162" s="21"/>
      <c r="R162" s="21"/>
      <c r="S162" s="21"/>
      <c r="X162" s="9"/>
      <c r="Y162" s="21"/>
      <c r="Z162" s="21"/>
      <c r="AA162" s="21"/>
      <c r="AB162" s="21"/>
      <c r="AC162" s="21"/>
      <c r="AF162" s="9"/>
      <c r="AG162" s="21"/>
      <c r="AH162" s="21"/>
      <c r="AI162" s="21"/>
      <c r="AJ162" s="21"/>
      <c r="AK162" s="21"/>
      <c r="AP162" s="9"/>
      <c r="AQ162" s="21"/>
      <c r="AR162" s="21"/>
      <c r="AS162" s="21"/>
      <c r="AT162" s="21"/>
      <c r="AU162" s="21"/>
      <c r="AX162" s="9"/>
      <c r="AY162" s="21"/>
      <c r="AZ162" s="21"/>
      <c r="BA162" s="21"/>
      <c r="BB162" s="21"/>
      <c r="BC162" s="21"/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/>
      <c r="H163" s="21"/>
      <c r="I163" s="21"/>
      <c r="J163" s="21"/>
      <c r="K163" s="21"/>
      <c r="N163" s="9"/>
      <c r="O163" s="21"/>
      <c r="P163" s="21"/>
      <c r="Q163" s="21"/>
      <c r="R163" s="21"/>
      <c r="S163" s="21"/>
      <c r="X163" s="9"/>
      <c r="Y163" s="21"/>
      <c r="Z163" s="21"/>
      <c r="AA163" s="21"/>
      <c r="AB163" s="21"/>
      <c r="AC163" s="21"/>
      <c r="AF163" s="9"/>
      <c r="AG163" s="21"/>
      <c r="AH163" s="21"/>
      <c r="AI163" s="21"/>
      <c r="AJ163" s="21"/>
      <c r="AK163" s="21"/>
      <c r="AP163" s="9"/>
      <c r="AQ163" s="21"/>
      <c r="AR163" s="21"/>
      <c r="AS163" s="21"/>
      <c r="AT163" s="21"/>
      <c r="AU163" s="21"/>
      <c r="AX163" s="9"/>
      <c r="AY163" s="21"/>
      <c r="AZ163" s="21"/>
      <c r="BA163" s="21"/>
      <c r="BB163" s="21"/>
      <c r="BC163" s="21"/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/>
      <c r="H164" s="21"/>
      <c r="I164" s="21"/>
      <c r="J164" s="21"/>
      <c r="K164" s="21"/>
      <c r="N164" s="9"/>
      <c r="O164" s="21"/>
      <c r="P164" s="21"/>
      <c r="Q164" s="21"/>
      <c r="R164" s="21"/>
      <c r="S164" s="21"/>
      <c r="X164" s="9"/>
      <c r="Y164" s="21"/>
      <c r="Z164" s="21"/>
      <c r="AA164" s="21"/>
      <c r="AB164" s="21"/>
      <c r="AC164" s="21"/>
      <c r="AF164" s="9"/>
      <c r="AG164" s="21"/>
      <c r="AH164" s="21"/>
      <c r="AI164" s="21"/>
      <c r="AJ164" s="21"/>
      <c r="AK164" s="21"/>
      <c r="AP164" s="9"/>
      <c r="AQ164" s="21"/>
      <c r="AR164" s="21"/>
      <c r="AS164" s="21"/>
      <c r="AT164" s="21"/>
      <c r="AU164" s="21"/>
      <c r="AX164" s="9"/>
      <c r="AY164" s="21"/>
      <c r="AZ164" s="21"/>
      <c r="BA164" s="21"/>
      <c r="BB164" s="21"/>
      <c r="BC164" s="21"/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/>
      <c r="H165" s="21"/>
      <c r="I165" s="21"/>
      <c r="J165" s="21"/>
      <c r="K165" s="21"/>
      <c r="N165" s="9"/>
      <c r="O165" s="21"/>
      <c r="P165" s="21"/>
      <c r="Q165" s="21"/>
      <c r="R165" s="21"/>
      <c r="S165" s="21"/>
      <c r="X165" s="9"/>
      <c r="Y165" s="21"/>
      <c r="Z165" s="21"/>
      <c r="AA165" s="21"/>
      <c r="AB165" s="21"/>
      <c r="AC165" s="21"/>
      <c r="AF165" s="9"/>
      <c r="AG165" s="21"/>
      <c r="AH165" s="21"/>
      <c r="AI165" s="21"/>
      <c r="AJ165" s="21"/>
      <c r="AK165" s="21"/>
      <c r="AP165" s="9"/>
      <c r="AQ165" s="21"/>
      <c r="AR165" s="21"/>
      <c r="AS165" s="21"/>
      <c r="AT165" s="21"/>
      <c r="AU165" s="21"/>
      <c r="AX165" s="9"/>
      <c r="AY165" s="21"/>
      <c r="AZ165" s="21"/>
      <c r="BA165" s="21"/>
      <c r="BB165" s="21"/>
      <c r="BC165" s="21"/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/>
      <c r="H166" s="21"/>
      <c r="I166" s="21"/>
      <c r="J166" s="21"/>
      <c r="K166" s="21"/>
      <c r="N166" s="9"/>
      <c r="O166" s="21"/>
      <c r="P166" s="21"/>
      <c r="Q166" s="21"/>
      <c r="R166" s="21"/>
      <c r="S166" s="21"/>
      <c r="X166" s="9"/>
      <c r="Y166" s="21"/>
      <c r="Z166" s="21"/>
      <c r="AA166" s="21"/>
      <c r="AB166" s="21"/>
      <c r="AC166" s="21"/>
      <c r="AF166" s="9"/>
      <c r="AG166" s="21"/>
      <c r="AH166" s="21"/>
      <c r="AI166" s="21"/>
      <c r="AJ166" s="21"/>
      <c r="AK166" s="21"/>
      <c r="AP166" s="9"/>
      <c r="AQ166" s="21"/>
      <c r="AR166" s="21"/>
      <c r="AS166" s="21"/>
      <c r="AT166" s="21"/>
      <c r="AU166" s="21"/>
      <c r="AX166" s="9"/>
      <c r="AY166" s="21"/>
      <c r="AZ166" s="21"/>
      <c r="BA166" s="21"/>
      <c r="BB166" s="21"/>
      <c r="BC166" s="21"/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/>
      <c r="H167" s="21"/>
      <c r="I167" s="21"/>
      <c r="J167" s="21"/>
      <c r="K167" s="21"/>
      <c r="N167" s="9"/>
      <c r="O167" s="21"/>
      <c r="P167" s="21"/>
      <c r="Q167" s="21"/>
      <c r="R167" s="21"/>
      <c r="S167" s="21"/>
      <c r="X167" s="9"/>
      <c r="Y167" s="21"/>
      <c r="Z167" s="21"/>
      <c r="AA167" s="21"/>
      <c r="AB167" s="21"/>
      <c r="AC167" s="21"/>
      <c r="AF167" s="9"/>
      <c r="AG167" s="21"/>
      <c r="AH167" s="21"/>
      <c r="AI167" s="21"/>
      <c r="AJ167" s="21"/>
      <c r="AK167" s="21"/>
      <c r="AP167" s="9"/>
      <c r="AQ167" s="21"/>
      <c r="AR167" s="21"/>
      <c r="AS167" s="21"/>
      <c r="AT167" s="21"/>
      <c r="AU167" s="21"/>
      <c r="AX167" s="9"/>
      <c r="AY167" s="21"/>
      <c r="AZ167" s="21"/>
      <c r="BA167" s="21"/>
      <c r="BB167" s="21"/>
      <c r="BC167" s="21"/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/>
      <c r="H168" s="21"/>
      <c r="I168" s="21"/>
      <c r="J168" s="21"/>
      <c r="K168" s="21"/>
      <c r="N168" s="9"/>
      <c r="O168" s="21"/>
      <c r="P168" s="21"/>
      <c r="Q168" s="21"/>
      <c r="R168" s="21"/>
      <c r="S168" s="21"/>
      <c r="X168" s="9"/>
      <c r="Y168" s="21"/>
      <c r="Z168" s="21"/>
      <c r="AA168" s="21"/>
      <c r="AB168" s="21"/>
      <c r="AC168" s="21"/>
      <c r="AF168" s="9"/>
      <c r="AG168" s="21"/>
      <c r="AH168" s="21"/>
      <c r="AI168" s="21"/>
      <c r="AJ168" s="21"/>
      <c r="AK168" s="21"/>
      <c r="AP168" s="9"/>
      <c r="AQ168" s="21"/>
      <c r="AR168" s="21"/>
      <c r="AS168" s="21"/>
      <c r="AT168" s="21"/>
      <c r="AU168" s="21"/>
      <c r="AX168" s="9"/>
      <c r="AY168" s="21"/>
      <c r="AZ168" s="21"/>
      <c r="BA168" s="21"/>
      <c r="BB168" s="21"/>
      <c r="BC168" s="21"/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/>
      <c r="H169" s="21"/>
      <c r="I169" s="21"/>
      <c r="J169" s="21"/>
      <c r="K169" s="21"/>
      <c r="N169" s="9"/>
      <c r="O169" s="21"/>
      <c r="P169" s="21"/>
      <c r="Q169" s="21"/>
      <c r="R169" s="21"/>
      <c r="S169" s="21"/>
      <c r="X169" s="9"/>
      <c r="Y169" s="21"/>
      <c r="Z169" s="21"/>
      <c r="AA169" s="21"/>
      <c r="AB169" s="21"/>
      <c r="AC169" s="21"/>
      <c r="AF169" s="9"/>
      <c r="AG169" s="21"/>
      <c r="AH169" s="21"/>
      <c r="AI169" s="21"/>
      <c r="AJ169" s="21"/>
      <c r="AK169" s="21"/>
      <c r="AP169" s="9"/>
      <c r="AQ169" s="21"/>
      <c r="AR169" s="21"/>
      <c r="AS169" s="21"/>
      <c r="AT169" s="21"/>
      <c r="AU169" s="21"/>
      <c r="AX169" s="9"/>
      <c r="AY169" s="21"/>
      <c r="AZ169" s="21"/>
      <c r="BA169" s="21"/>
      <c r="BB169" s="21"/>
      <c r="BC169" s="21"/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/>
      <c r="H170" s="21"/>
      <c r="I170" s="21"/>
      <c r="J170" s="21"/>
      <c r="K170" s="21"/>
      <c r="N170" s="9"/>
      <c r="O170" s="21"/>
      <c r="P170" s="21"/>
      <c r="Q170" s="21"/>
      <c r="R170" s="21"/>
      <c r="S170" s="21"/>
      <c r="X170" s="9"/>
      <c r="Y170" s="21"/>
      <c r="Z170" s="21"/>
      <c r="AA170" s="21"/>
      <c r="AB170" s="21"/>
      <c r="AC170" s="21"/>
      <c r="AF170" s="9"/>
      <c r="AG170" s="21"/>
      <c r="AH170" s="21"/>
      <c r="AI170" s="21"/>
      <c r="AJ170" s="21"/>
      <c r="AK170" s="21"/>
      <c r="AP170" s="9"/>
      <c r="AQ170" s="21"/>
      <c r="AR170" s="21"/>
      <c r="AS170" s="21"/>
      <c r="AT170" s="21"/>
      <c r="AU170" s="21"/>
      <c r="AX170" s="9"/>
      <c r="AY170" s="21"/>
      <c r="AZ170" s="21"/>
      <c r="BA170" s="21"/>
      <c r="BB170" s="21"/>
      <c r="BC170" s="21"/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/>
      <c r="H171" s="21"/>
      <c r="I171" s="21"/>
      <c r="J171" s="21"/>
      <c r="K171" s="21"/>
      <c r="N171" s="9"/>
      <c r="O171" s="21"/>
      <c r="P171" s="21"/>
      <c r="Q171" s="21"/>
      <c r="R171" s="21"/>
      <c r="S171" s="21"/>
      <c r="X171" s="9"/>
      <c r="Y171" s="21"/>
      <c r="Z171" s="21"/>
      <c r="AA171" s="21"/>
      <c r="AB171" s="21"/>
      <c r="AC171" s="21"/>
      <c r="AF171" s="9"/>
      <c r="AG171" s="21"/>
      <c r="AH171" s="21"/>
      <c r="AI171" s="21"/>
      <c r="AJ171" s="21"/>
      <c r="AK171" s="21"/>
      <c r="AP171" s="9"/>
      <c r="AQ171" s="21"/>
      <c r="AR171" s="21"/>
      <c r="AS171" s="21"/>
      <c r="AT171" s="21"/>
      <c r="AU171" s="21"/>
      <c r="AX171" s="9"/>
      <c r="AY171" s="21"/>
      <c r="AZ171" s="21"/>
      <c r="BA171" s="21"/>
      <c r="BB171" s="21"/>
      <c r="BC171" s="21"/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/>
      <c r="H172" s="21"/>
      <c r="I172" s="21"/>
      <c r="J172" s="21"/>
      <c r="K172" s="21"/>
      <c r="N172" s="9"/>
      <c r="O172" s="21"/>
      <c r="P172" s="21"/>
      <c r="Q172" s="21"/>
      <c r="R172" s="21"/>
      <c r="S172" s="21"/>
      <c r="X172" s="9"/>
      <c r="Y172" s="21"/>
      <c r="Z172" s="21"/>
      <c r="AA172" s="21"/>
      <c r="AB172" s="21"/>
      <c r="AC172" s="21"/>
      <c r="AF172" s="9"/>
      <c r="AG172" s="21"/>
      <c r="AH172" s="21"/>
      <c r="AI172" s="21"/>
      <c r="AJ172" s="21"/>
      <c r="AK172" s="21"/>
      <c r="AP172" s="9"/>
      <c r="AQ172" s="21"/>
      <c r="AR172" s="21"/>
      <c r="AS172" s="21"/>
      <c r="AT172" s="21"/>
      <c r="AU172" s="21"/>
      <c r="AX172" s="9"/>
      <c r="AY172" s="21"/>
      <c r="AZ172" s="21"/>
      <c r="BA172" s="21"/>
      <c r="BB172" s="21"/>
      <c r="BC172" s="21"/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/>
      <c r="H173" s="21"/>
      <c r="I173" s="21"/>
      <c r="J173" s="21"/>
      <c r="K173" s="21"/>
      <c r="N173" s="9"/>
      <c r="O173" s="21"/>
      <c r="P173" s="21"/>
      <c r="Q173" s="21"/>
      <c r="R173" s="21"/>
      <c r="S173" s="21"/>
      <c r="X173" s="9"/>
      <c r="Y173" s="21"/>
      <c r="Z173" s="21"/>
      <c r="AA173" s="21"/>
      <c r="AB173" s="21"/>
      <c r="AC173" s="21"/>
      <c r="AF173" s="9"/>
      <c r="AG173" s="21"/>
      <c r="AH173" s="21"/>
      <c r="AI173" s="21"/>
      <c r="AJ173" s="21"/>
      <c r="AK173" s="21"/>
      <c r="AP173" s="9"/>
      <c r="AQ173" s="21"/>
      <c r="AR173" s="21"/>
      <c r="AS173" s="21"/>
      <c r="AT173" s="21"/>
      <c r="AU173" s="21"/>
      <c r="AX173" s="9"/>
      <c r="AY173" s="21"/>
      <c r="AZ173" s="21"/>
      <c r="BA173" s="21"/>
      <c r="BB173" s="21"/>
      <c r="BC173" s="21"/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/>
      <c r="H174" s="21"/>
      <c r="I174" s="21"/>
      <c r="J174" s="21"/>
      <c r="K174" s="21"/>
      <c r="N174" s="9"/>
      <c r="O174" s="21"/>
      <c r="P174" s="21"/>
      <c r="Q174" s="21"/>
      <c r="R174" s="21"/>
      <c r="S174" s="21"/>
      <c r="X174" s="9"/>
      <c r="Y174" s="21"/>
      <c r="Z174" s="21"/>
      <c r="AA174" s="21"/>
      <c r="AB174" s="21"/>
      <c r="AC174" s="21"/>
      <c r="AF174" s="9"/>
      <c r="AG174" s="21"/>
      <c r="AH174" s="21"/>
      <c r="AI174" s="21"/>
      <c r="AJ174" s="21"/>
      <c r="AK174" s="21"/>
      <c r="AP174" s="9"/>
      <c r="AQ174" s="21"/>
      <c r="AR174" s="21"/>
      <c r="AS174" s="21"/>
      <c r="AT174" s="21"/>
      <c r="AU174" s="21"/>
      <c r="AX174" s="9"/>
      <c r="AY174" s="21"/>
      <c r="AZ174" s="21"/>
      <c r="BA174" s="21"/>
      <c r="BB174" s="21"/>
      <c r="BC174" s="21"/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/>
      <c r="H175" s="21"/>
      <c r="I175" s="21"/>
      <c r="J175" s="21"/>
      <c r="K175" s="21"/>
      <c r="N175" s="9"/>
      <c r="O175" s="21"/>
      <c r="P175" s="21"/>
      <c r="Q175" s="21"/>
      <c r="R175" s="21"/>
      <c r="S175" s="21"/>
      <c r="X175" s="9"/>
      <c r="Y175" s="21"/>
      <c r="Z175" s="21"/>
      <c r="AA175" s="21"/>
      <c r="AB175" s="21"/>
      <c r="AC175" s="21"/>
      <c r="AF175" s="9"/>
      <c r="AG175" s="21"/>
      <c r="AH175" s="21"/>
      <c r="AI175" s="21"/>
      <c r="AJ175" s="21"/>
      <c r="AK175" s="21"/>
      <c r="AP175" s="9"/>
      <c r="AQ175" s="21"/>
      <c r="AR175" s="21"/>
      <c r="AS175" s="21"/>
      <c r="AT175" s="21"/>
      <c r="AU175" s="21"/>
      <c r="AX175" s="9"/>
      <c r="AY175" s="21"/>
      <c r="AZ175" s="21"/>
      <c r="BA175" s="21"/>
      <c r="BB175" s="21"/>
      <c r="BC175" s="21"/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/>
      <c r="H176" s="21"/>
      <c r="I176" s="21"/>
      <c r="J176" s="21"/>
      <c r="K176" s="21"/>
      <c r="N176" s="9"/>
      <c r="O176" s="21"/>
      <c r="P176" s="21"/>
      <c r="Q176" s="21"/>
      <c r="R176" s="21"/>
      <c r="S176" s="21"/>
      <c r="X176" s="9"/>
      <c r="Y176" s="21"/>
      <c r="Z176" s="21"/>
      <c r="AA176" s="21"/>
      <c r="AB176" s="21"/>
      <c r="AC176" s="21"/>
      <c r="AF176" s="9"/>
      <c r="AG176" s="21"/>
      <c r="AH176" s="21"/>
      <c r="AI176" s="21"/>
      <c r="AJ176" s="21"/>
      <c r="AK176" s="21"/>
      <c r="AP176" s="9"/>
      <c r="AQ176" s="21"/>
      <c r="AR176" s="21"/>
      <c r="AS176" s="21"/>
      <c r="AT176" s="21"/>
      <c r="AU176" s="21"/>
      <c r="AX176" s="9"/>
      <c r="AY176" s="21"/>
      <c r="AZ176" s="21"/>
      <c r="BA176" s="21"/>
      <c r="BB176" s="21"/>
      <c r="BC176" s="21"/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/>
      <c r="H177" s="21"/>
      <c r="I177" s="21"/>
      <c r="J177" s="21"/>
      <c r="K177" s="21"/>
      <c r="N177" s="9"/>
      <c r="O177" s="21"/>
      <c r="P177" s="21"/>
      <c r="Q177" s="21"/>
      <c r="R177" s="21"/>
      <c r="S177" s="21"/>
      <c r="X177" s="9"/>
      <c r="Y177" s="21"/>
      <c r="Z177" s="21"/>
      <c r="AA177" s="21"/>
      <c r="AB177" s="21"/>
      <c r="AC177" s="21"/>
      <c r="AF177" s="9"/>
      <c r="AG177" s="21"/>
      <c r="AH177" s="21"/>
      <c r="AI177" s="21"/>
      <c r="AJ177" s="21"/>
      <c r="AK177" s="21"/>
      <c r="AP177" s="9"/>
      <c r="AQ177" s="21"/>
      <c r="AR177" s="21"/>
      <c r="AS177" s="21"/>
      <c r="AT177" s="21"/>
      <c r="AU177" s="21"/>
      <c r="AX177" s="9"/>
      <c r="AY177" s="21"/>
      <c r="AZ177" s="21"/>
      <c r="BA177" s="21"/>
      <c r="BB177" s="21"/>
      <c r="BC177" s="21"/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/>
      <c r="H178" s="21"/>
      <c r="I178" s="21"/>
      <c r="J178" s="21"/>
      <c r="K178" s="21"/>
      <c r="N178" s="9"/>
      <c r="O178" s="21"/>
      <c r="P178" s="21"/>
      <c r="Q178" s="21"/>
      <c r="R178" s="21"/>
      <c r="S178" s="21"/>
      <c r="X178" s="9"/>
      <c r="Y178" s="21"/>
      <c r="Z178" s="21"/>
      <c r="AA178" s="21"/>
      <c r="AB178" s="21"/>
      <c r="AC178" s="21"/>
      <c r="AF178" s="9"/>
      <c r="AG178" s="21"/>
      <c r="AH178" s="21"/>
      <c r="AI178" s="21"/>
      <c r="AJ178" s="21"/>
      <c r="AK178" s="21"/>
      <c r="AP178" s="9"/>
      <c r="AQ178" s="21"/>
      <c r="AR178" s="21"/>
      <c r="AS178" s="21"/>
      <c r="AT178" s="21"/>
      <c r="AU178" s="21"/>
      <c r="AX178" s="9"/>
      <c r="AY178" s="21"/>
      <c r="AZ178" s="21"/>
      <c r="BA178" s="21"/>
      <c r="BB178" s="21"/>
      <c r="BC178" s="21"/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/>
      <c r="H179" s="21"/>
      <c r="I179" s="21"/>
      <c r="J179" s="21"/>
      <c r="K179" s="21"/>
      <c r="N179" s="9"/>
      <c r="O179" s="21"/>
      <c r="P179" s="21"/>
      <c r="Q179" s="21"/>
      <c r="R179" s="21"/>
      <c r="S179" s="21"/>
      <c r="X179" s="9"/>
      <c r="Y179" s="21"/>
      <c r="Z179" s="21"/>
      <c r="AA179" s="21"/>
      <c r="AB179" s="21"/>
      <c r="AC179" s="21"/>
      <c r="AF179" s="9"/>
      <c r="AG179" s="21"/>
      <c r="AH179" s="21"/>
      <c r="AI179" s="21"/>
      <c r="AJ179" s="21"/>
      <c r="AK179" s="21"/>
      <c r="AP179" s="9"/>
      <c r="AQ179" s="21"/>
      <c r="AR179" s="21"/>
      <c r="AS179" s="21"/>
      <c r="AT179" s="21"/>
      <c r="AU179" s="21"/>
      <c r="AX179" s="9"/>
      <c r="AY179" s="21"/>
      <c r="AZ179" s="21"/>
      <c r="BA179" s="21"/>
      <c r="BB179" s="21"/>
      <c r="BC179" s="21"/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/>
      <c r="H180" s="21"/>
      <c r="I180" s="21"/>
      <c r="J180" s="21"/>
      <c r="K180" s="21"/>
      <c r="N180" s="9"/>
      <c r="O180" s="21"/>
      <c r="P180" s="21"/>
      <c r="Q180" s="21"/>
      <c r="R180" s="21"/>
      <c r="S180" s="21"/>
      <c r="X180" s="9"/>
      <c r="Y180" s="21"/>
      <c r="Z180" s="21"/>
      <c r="AA180" s="21"/>
      <c r="AB180" s="21"/>
      <c r="AC180" s="21"/>
      <c r="AF180" s="9"/>
      <c r="AG180" s="21"/>
      <c r="AH180" s="21"/>
      <c r="AI180" s="21"/>
      <c r="AJ180" s="21"/>
      <c r="AK180" s="21"/>
      <c r="AP180" s="9"/>
      <c r="AQ180" s="21"/>
      <c r="AR180" s="21"/>
      <c r="AS180" s="21"/>
      <c r="AT180" s="21"/>
      <c r="AU180" s="21"/>
      <c r="AX180" s="9"/>
      <c r="AY180" s="21"/>
      <c r="AZ180" s="21"/>
      <c r="BA180" s="21"/>
      <c r="BB180" s="21"/>
      <c r="BC180" s="21"/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/>
      <c r="H181" s="21"/>
      <c r="I181" s="21"/>
      <c r="J181" s="21"/>
      <c r="K181" s="21"/>
      <c r="N181" s="9"/>
      <c r="O181" s="21"/>
      <c r="P181" s="21"/>
      <c r="Q181" s="21"/>
      <c r="R181" s="21"/>
      <c r="S181" s="21"/>
      <c r="X181" s="9"/>
      <c r="Y181" s="21"/>
      <c r="Z181" s="21"/>
      <c r="AA181" s="21"/>
      <c r="AB181" s="21"/>
      <c r="AC181" s="21"/>
      <c r="AF181" s="9"/>
      <c r="AG181" s="21"/>
      <c r="AH181" s="21"/>
      <c r="AI181" s="21"/>
      <c r="AJ181" s="21"/>
      <c r="AK181" s="21"/>
      <c r="AP181" s="9"/>
      <c r="AQ181" s="21"/>
      <c r="AR181" s="21"/>
      <c r="AS181" s="21"/>
      <c r="AT181" s="21"/>
      <c r="AU181" s="21"/>
      <c r="AX181" s="9"/>
      <c r="AY181" s="21"/>
      <c r="AZ181" s="21"/>
      <c r="BA181" s="21"/>
      <c r="BB181" s="21"/>
      <c r="BC181" s="21"/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/>
      <c r="H182" s="21"/>
      <c r="I182" s="21"/>
      <c r="J182" s="21"/>
      <c r="K182" s="21"/>
      <c r="N182" s="9"/>
      <c r="O182" s="21"/>
      <c r="P182" s="21"/>
      <c r="Q182" s="21"/>
      <c r="R182" s="21"/>
      <c r="S182" s="21"/>
      <c r="X182" s="9"/>
      <c r="Y182" s="21"/>
      <c r="Z182" s="21"/>
      <c r="AA182" s="21"/>
      <c r="AB182" s="21"/>
      <c r="AC182" s="21"/>
      <c r="AF182" s="9"/>
      <c r="AG182" s="21"/>
      <c r="AH182" s="21"/>
      <c r="AI182" s="21"/>
      <c r="AJ182" s="21"/>
      <c r="AK182" s="21"/>
      <c r="AP182" s="9"/>
      <c r="AQ182" s="21"/>
      <c r="AR182" s="21"/>
      <c r="AS182" s="21"/>
      <c r="AT182" s="21"/>
      <c r="AU182" s="21"/>
      <c r="AX182" s="9"/>
      <c r="AY182" s="21"/>
      <c r="AZ182" s="21"/>
      <c r="BA182" s="21"/>
      <c r="BB182" s="21"/>
      <c r="BC182" s="21"/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/>
      <c r="H183" s="21"/>
      <c r="I183" s="21"/>
      <c r="J183" s="21"/>
      <c r="K183" s="21"/>
      <c r="N183" s="9"/>
      <c r="O183" s="21"/>
      <c r="P183" s="21"/>
      <c r="Q183" s="21"/>
      <c r="R183" s="21"/>
      <c r="S183" s="21"/>
      <c r="X183" s="9"/>
      <c r="Y183" s="21"/>
      <c r="Z183" s="21"/>
      <c r="AA183" s="21"/>
      <c r="AB183" s="21"/>
      <c r="AC183" s="21"/>
      <c r="AF183" s="9"/>
      <c r="AG183" s="21"/>
      <c r="AH183" s="21"/>
      <c r="AI183" s="21"/>
      <c r="AJ183" s="21"/>
      <c r="AK183" s="21"/>
      <c r="AP183" s="9"/>
      <c r="AQ183" s="21"/>
      <c r="AR183" s="21"/>
      <c r="AS183" s="21"/>
      <c r="AT183" s="21"/>
      <c r="AU183" s="21"/>
      <c r="AX183" s="9"/>
      <c r="AY183" s="21"/>
      <c r="AZ183" s="21"/>
      <c r="BA183" s="21"/>
      <c r="BB183" s="21"/>
      <c r="BC183" s="21"/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/>
      <c r="H184" s="21"/>
      <c r="I184" s="21"/>
      <c r="J184" s="21"/>
      <c r="K184" s="21"/>
      <c r="N184" s="9"/>
      <c r="O184" s="21"/>
      <c r="P184" s="21"/>
      <c r="Q184" s="21"/>
      <c r="R184" s="21"/>
      <c r="S184" s="21"/>
      <c r="X184" s="9"/>
      <c r="Y184" s="21"/>
      <c r="Z184" s="21"/>
      <c r="AA184" s="21"/>
      <c r="AB184" s="21"/>
      <c r="AC184" s="21"/>
      <c r="AF184" s="9"/>
      <c r="AG184" s="21"/>
      <c r="AH184" s="21"/>
      <c r="AI184" s="21"/>
      <c r="AJ184" s="21"/>
      <c r="AK184" s="21"/>
      <c r="AP184" s="9"/>
      <c r="AQ184" s="21"/>
      <c r="AR184" s="21"/>
      <c r="AS184" s="21"/>
      <c r="AT184" s="21"/>
      <c r="AU184" s="21"/>
      <c r="AX184" s="9"/>
      <c r="AY184" s="21"/>
      <c r="AZ184" s="21"/>
      <c r="BA184" s="21"/>
      <c r="BB184" s="21"/>
      <c r="BC184" s="21"/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/>
      <c r="H185" s="21"/>
      <c r="I185" s="21"/>
      <c r="J185" s="21"/>
      <c r="K185" s="21"/>
      <c r="N185" s="9"/>
      <c r="O185" s="21"/>
      <c r="P185" s="21"/>
      <c r="Q185" s="21"/>
      <c r="R185" s="21"/>
      <c r="S185" s="21"/>
      <c r="X185" s="9"/>
      <c r="Y185" s="21"/>
      <c r="Z185" s="21"/>
      <c r="AA185" s="21"/>
      <c r="AB185" s="21"/>
      <c r="AC185" s="21"/>
      <c r="AF185" s="9"/>
      <c r="AG185" s="21"/>
      <c r="AH185" s="21"/>
      <c r="AI185" s="21"/>
      <c r="AJ185" s="21"/>
      <c r="AK185" s="21"/>
      <c r="AP185" s="9"/>
      <c r="AQ185" s="21"/>
      <c r="AR185" s="21"/>
      <c r="AS185" s="21"/>
      <c r="AT185" s="21"/>
      <c r="AU185" s="21"/>
      <c r="AX185" s="9"/>
      <c r="AY185" s="21"/>
      <c r="AZ185" s="21"/>
      <c r="BA185" s="21"/>
      <c r="BB185" s="21"/>
      <c r="BC185" s="21"/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/>
      <c r="H186" s="21"/>
      <c r="I186" s="21"/>
      <c r="J186" s="21"/>
      <c r="K186" s="21"/>
      <c r="N186" s="9"/>
      <c r="O186" s="21"/>
      <c r="P186" s="21"/>
      <c r="Q186" s="21"/>
      <c r="R186" s="21"/>
      <c r="S186" s="21"/>
      <c r="X186" s="9"/>
      <c r="Y186" s="21"/>
      <c r="Z186" s="21"/>
      <c r="AA186" s="21"/>
      <c r="AB186" s="21"/>
      <c r="AC186" s="21"/>
      <c r="AF186" s="9"/>
      <c r="AG186" s="21"/>
      <c r="AH186" s="21"/>
      <c r="AI186" s="21"/>
      <c r="AJ186" s="21"/>
      <c r="AK186" s="21"/>
      <c r="AP186" s="9"/>
      <c r="AQ186" s="21"/>
      <c r="AR186" s="21"/>
      <c r="AS186" s="21"/>
      <c r="AT186" s="21"/>
      <c r="AU186" s="21"/>
      <c r="AX186" s="9"/>
      <c r="AY186" s="21"/>
      <c r="AZ186" s="21"/>
      <c r="BA186" s="21"/>
      <c r="BB186" s="21"/>
      <c r="BC186" s="21"/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/>
      <c r="H187" s="21"/>
      <c r="I187" s="21"/>
      <c r="J187" s="21"/>
      <c r="K187" s="21"/>
      <c r="N187" s="9"/>
      <c r="O187" s="21"/>
      <c r="P187" s="21"/>
      <c r="Q187" s="21"/>
      <c r="R187" s="21"/>
      <c r="S187" s="21"/>
      <c r="X187" s="9"/>
      <c r="Y187" s="21"/>
      <c r="Z187" s="21"/>
      <c r="AA187" s="21"/>
      <c r="AB187" s="21"/>
      <c r="AC187" s="21"/>
      <c r="AF187" s="9"/>
      <c r="AG187" s="21"/>
      <c r="AH187" s="21"/>
      <c r="AI187" s="21"/>
      <c r="AJ187" s="21"/>
      <c r="AK187" s="21"/>
      <c r="AP187" s="9"/>
      <c r="AQ187" s="21"/>
      <c r="AR187" s="21"/>
      <c r="AS187" s="21"/>
      <c r="AT187" s="21"/>
      <c r="AU187" s="21"/>
      <c r="AX187" s="9"/>
      <c r="AY187" s="21"/>
      <c r="AZ187" s="21"/>
      <c r="BA187" s="21"/>
      <c r="BB187" s="21"/>
      <c r="BC187" s="21"/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/>
      <c r="H188" s="21"/>
      <c r="I188" s="21"/>
      <c r="J188" s="21"/>
      <c r="K188" s="21"/>
      <c r="N188" s="9"/>
      <c r="O188" s="21"/>
      <c r="P188" s="21"/>
      <c r="Q188" s="21"/>
      <c r="R188" s="21"/>
      <c r="S188" s="21"/>
      <c r="X188" s="9"/>
      <c r="Y188" s="21"/>
      <c r="Z188" s="21"/>
      <c r="AA188" s="21"/>
      <c r="AB188" s="21"/>
      <c r="AC188" s="21"/>
      <c r="AF188" s="9"/>
      <c r="AG188" s="21"/>
      <c r="AH188" s="21"/>
      <c r="AI188" s="21"/>
      <c r="AJ188" s="21"/>
      <c r="AK188" s="21"/>
      <c r="AP188" s="9"/>
      <c r="AQ188" s="21"/>
      <c r="AR188" s="21"/>
      <c r="AS188" s="21"/>
      <c r="AT188" s="21"/>
      <c r="AU188" s="21"/>
      <c r="AX188" s="9"/>
      <c r="AY188" s="21"/>
      <c r="AZ188" s="21"/>
      <c r="BA188" s="21"/>
      <c r="BB188" s="21"/>
      <c r="BC188" s="21"/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/>
      <c r="H189" s="21"/>
      <c r="I189" s="21"/>
      <c r="J189" s="21"/>
      <c r="K189" s="21"/>
      <c r="N189" s="9"/>
      <c r="O189" s="21"/>
      <c r="P189" s="21"/>
      <c r="Q189" s="21"/>
      <c r="R189" s="21"/>
      <c r="S189" s="21"/>
      <c r="X189" s="9"/>
      <c r="Y189" s="21"/>
      <c r="Z189" s="21"/>
      <c r="AA189" s="21"/>
      <c r="AB189" s="21"/>
      <c r="AC189" s="21"/>
      <c r="AF189" s="9"/>
      <c r="AG189" s="21"/>
      <c r="AH189" s="21"/>
      <c r="AI189" s="21"/>
      <c r="AJ189" s="21"/>
      <c r="AK189" s="21"/>
      <c r="AP189" s="9"/>
      <c r="AQ189" s="21"/>
      <c r="AR189" s="21"/>
      <c r="AS189" s="21"/>
      <c r="AT189" s="21"/>
      <c r="AU189" s="21"/>
      <c r="AX189" s="9"/>
      <c r="AY189" s="21"/>
      <c r="AZ189" s="21"/>
      <c r="BA189" s="21"/>
      <c r="BB189" s="21"/>
      <c r="BC189" s="21"/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/>
      <c r="H190" s="21"/>
      <c r="I190" s="21"/>
      <c r="J190" s="21"/>
      <c r="K190" s="21"/>
      <c r="N190" s="9"/>
      <c r="O190" s="21"/>
      <c r="P190" s="21"/>
      <c r="Q190" s="21"/>
      <c r="R190" s="21"/>
      <c r="S190" s="21"/>
      <c r="X190" s="9"/>
      <c r="Y190" s="21"/>
      <c r="Z190" s="21"/>
      <c r="AA190" s="21"/>
      <c r="AB190" s="21"/>
      <c r="AC190" s="21"/>
      <c r="AF190" s="9"/>
      <c r="AG190" s="21"/>
      <c r="AH190" s="21"/>
      <c r="AI190" s="21"/>
      <c r="AJ190" s="21"/>
      <c r="AK190" s="21"/>
      <c r="AP190" s="9"/>
      <c r="AQ190" s="21"/>
      <c r="AR190" s="21"/>
      <c r="AS190" s="21"/>
      <c r="AT190" s="21"/>
      <c r="AU190" s="21"/>
      <c r="AX190" s="9"/>
      <c r="AY190" s="21"/>
      <c r="AZ190" s="21"/>
      <c r="BA190" s="21"/>
      <c r="BB190" s="21"/>
      <c r="BC190" s="21"/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/>
      <c r="H191" s="21"/>
      <c r="I191" s="21"/>
      <c r="J191" s="21"/>
      <c r="K191" s="21"/>
      <c r="N191" s="9"/>
      <c r="O191" s="21"/>
      <c r="P191" s="21"/>
      <c r="Q191" s="21"/>
      <c r="R191" s="21"/>
      <c r="S191" s="21"/>
      <c r="X191" s="9"/>
      <c r="Y191" s="21"/>
      <c r="Z191" s="21"/>
      <c r="AA191" s="21"/>
      <c r="AB191" s="21"/>
      <c r="AC191" s="21"/>
      <c r="AF191" s="9"/>
      <c r="AG191" s="21"/>
      <c r="AH191" s="21"/>
      <c r="AI191" s="21"/>
      <c r="AJ191" s="21"/>
      <c r="AK191" s="21"/>
      <c r="AP191" s="9"/>
      <c r="AQ191" s="21"/>
      <c r="AR191" s="21"/>
      <c r="AS191" s="21"/>
      <c r="AT191" s="21"/>
      <c r="AU191" s="21"/>
      <c r="AX191" s="9"/>
      <c r="AY191" s="21"/>
      <c r="AZ191" s="21"/>
      <c r="BA191" s="21"/>
      <c r="BB191" s="21"/>
      <c r="BC191" s="21"/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/>
      <c r="H192" s="21"/>
      <c r="I192" s="21"/>
      <c r="J192" s="21"/>
      <c r="K192" s="21"/>
      <c r="N192" s="9"/>
      <c r="O192" s="21"/>
      <c r="P192" s="21"/>
      <c r="Q192" s="21"/>
      <c r="R192" s="21"/>
      <c r="S192" s="21"/>
      <c r="X192" s="9"/>
      <c r="Y192" s="21"/>
      <c r="Z192" s="21"/>
      <c r="AA192" s="21"/>
      <c r="AB192" s="21"/>
      <c r="AC192" s="21"/>
      <c r="AF192" s="9"/>
      <c r="AG192" s="21"/>
      <c r="AH192" s="21"/>
      <c r="AI192" s="21"/>
      <c r="AJ192" s="21"/>
      <c r="AK192" s="21"/>
      <c r="AP192" s="9"/>
      <c r="AQ192" s="21"/>
      <c r="AR192" s="21"/>
      <c r="AS192" s="21"/>
      <c r="AT192" s="21"/>
      <c r="AU192" s="21"/>
      <c r="AX192" s="9"/>
      <c r="AY192" s="21"/>
      <c r="AZ192" s="21"/>
      <c r="BA192" s="21"/>
      <c r="BB192" s="21"/>
      <c r="BC192" s="21"/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/>
      <c r="H193" s="21"/>
      <c r="I193" s="21"/>
      <c r="J193" s="21"/>
      <c r="K193" s="21"/>
      <c r="N193" s="9"/>
      <c r="O193" s="21"/>
      <c r="P193" s="21"/>
      <c r="Q193" s="21"/>
      <c r="R193" s="21"/>
      <c r="S193" s="21"/>
      <c r="X193" s="9"/>
      <c r="Y193" s="21"/>
      <c r="Z193" s="21"/>
      <c r="AA193" s="21"/>
      <c r="AB193" s="21"/>
      <c r="AC193" s="21"/>
      <c r="AF193" s="9"/>
      <c r="AG193" s="21"/>
      <c r="AH193" s="21"/>
      <c r="AI193" s="21"/>
      <c r="AJ193" s="21"/>
      <c r="AK193" s="21"/>
      <c r="AP193" s="9"/>
      <c r="AQ193" s="21"/>
      <c r="AR193" s="21"/>
      <c r="AS193" s="21"/>
      <c r="AT193" s="21"/>
      <c r="AU193" s="21"/>
      <c r="AX193" s="9"/>
      <c r="AY193" s="21"/>
      <c r="AZ193" s="21"/>
      <c r="BA193" s="21"/>
      <c r="BB193" s="21"/>
      <c r="BC193" s="21"/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/>
      <c r="H194" s="21"/>
      <c r="I194" s="21"/>
      <c r="J194" s="21"/>
      <c r="K194" s="21"/>
      <c r="N194" s="9"/>
      <c r="O194" s="21"/>
      <c r="P194" s="21"/>
      <c r="Q194" s="21"/>
      <c r="R194" s="21"/>
      <c r="S194" s="21"/>
      <c r="X194" s="9"/>
      <c r="Y194" s="21"/>
      <c r="Z194" s="21"/>
      <c r="AA194" s="21"/>
      <c r="AB194" s="21"/>
      <c r="AC194" s="21"/>
      <c r="AF194" s="9"/>
      <c r="AG194" s="21"/>
      <c r="AH194" s="21"/>
      <c r="AI194" s="21"/>
      <c r="AJ194" s="21"/>
      <c r="AK194" s="21"/>
      <c r="AP194" s="9"/>
      <c r="AQ194" s="21"/>
      <c r="AR194" s="21"/>
      <c r="AS194" s="21"/>
      <c r="AT194" s="21"/>
      <c r="AU194" s="21"/>
      <c r="AX194" s="9"/>
      <c r="AY194" s="21"/>
      <c r="AZ194" s="21"/>
      <c r="BA194" s="21"/>
      <c r="BB194" s="21"/>
      <c r="BC194" s="21"/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/>
      <c r="H195" s="21"/>
      <c r="I195" s="21"/>
      <c r="J195" s="21"/>
      <c r="K195" s="21"/>
      <c r="N195" s="9"/>
      <c r="O195" s="21"/>
      <c r="P195" s="21"/>
      <c r="Q195" s="21"/>
      <c r="R195" s="21"/>
      <c r="S195" s="21"/>
      <c r="X195" s="9"/>
      <c r="Y195" s="21"/>
      <c r="Z195" s="21"/>
      <c r="AA195" s="21"/>
      <c r="AB195" s="21"/>
      <c r="AC195" s="21"/>
      <c r="AF195" s="9"/>
      <c r="AG195" s="21"/>
      <c r="AH195" s="21"/>
      <c r="AI195" s="21"/>
      <c r="AJ195" s="21"/>
      <c r="AK195" s="21"/>
      <c r="AP195" s="9"/>
      <c r="AQ195" s="21"/>
      <c r="AR195" s="21"/>
      <c r="AS195" s="21"/>
      <c r="AT195" s="21"/>
      <c r="AU195" s="21"/>
      <c r="AX195" s="9"/>
      <c r="AY195" s="21"/>
      <c r="AZ195" s="21"/>
      <c r="BA195" s="21"/>
      <c r="BB195" s="21"/>
      <c r="BC195" s="21"/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/>
      <c r="H196" s="21"/>
      <c r="I196" s="21"/>
      <c r="J196" s="21"/>
      <c r="K196" s="21"/>
      <c r="N196" s="9"/>
      <c r="O196" s="21"/>
      <c r="P196" s="21"/>
      <c r="Q196" s="21"/>
      <c r="R196" s="21"/>
      <c r="S196" s="21"/>
      <c r="X196" s="9"/>
      <c r="Y196" s="21"/>
      <c r="Z196" s="21"/>
      <c r="AA196" s="21"/>
      <c r="AB196" s="21"/>
      <c r="AC196" s="21"/>
      <c r="AF196" s="9"/>
      <c r="AG196" s="21"/>
      <c r="AH196" s="21"/>
      <c r="AI196" s="21"/>
      <c r="AJ196" s="21"/>
      <c r="AK196" s="21"/>
      <c r="AP196" s="9"/>
      <c r="AQ196" s="21"/>
      <c r="AR196" s="21"/>
      <c r="AS196" s="21"/>
      <c r="AT196" s="21"/>
      <c r="AU196" s="21"/>
      <c r="AX196" s="9"/>
      <c r="AY196" s="21"/>
      <c r="AZ196" s="21"/>
      <c r="BA196" s="21"/>
      <c r="BB196" s="21"/>
      <c r="BC196" s="21"/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/>
      <c r="H197" s="21"/>
      <c r="I197" s="21"/>
      <c r="J197" s="21"/>
      <c r="K197" s="21"/>
      <c r="N197" s="9"/>
      <c r="O197" s="21"/>
      <c r="P197" s="21"/>
      <c r="Q197" s="21"/>
      <c r="R197" s="21"/>
      <c r="S197" s="21"/>
      <c r="X197" s="9"/>
      <c r="Y197" s="21"/>
      <c r="Z197" s="21"/>
      <c r="AA197" s="21"/>
      <c r="AB197" s="21"/>
      <c r="AC197" s="21"/>
      <c r="AF197" s="9"/>
      <c r="AG197" s="21"/>
      <c r="AH197" s="21"/>
      <c r="AI197" s="21"/>
      <c r="AJ197" s="21"/>
      <c r="AK197" s="21"/>
      <c r="AP197" s="9"/>
      <c r="AQ197" s="21"/>
      <c r="AR197" s="21"/>
      <c r="AS197" s="21"/>
      <c r="AT197" s="21"/>
      <c r="AU197" s="21"/>
      <c r="AX197" s="9"/>
      <c r="AY197" s="21"/>
      <c r="AZ197" s="21"/>
      <c r="BA197" s="21"/>
      <c r="BB197" s="21"/>
      <c r="BC197" s="21"/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/>
      <c r="H198" s="21"/>
      <c r="I198" s="21"/>
      <c r="J198" s="21"/>
      <c r="K198" s="21"/>
      <c r="N198" s="9"/>
      <c r="O198" s="21"/>
      <c r="P198" s="21"/>
      <c r="Q198" s="21"/>
      <c r="R198" s="21"/>
      <c r="S198" s="21"/>
      <c r="X198" s="9"/>
      <c r="Y198" s="21"/>
      <c r="Z198" s="21"/>
      <c r="AA198" s="21"/>
      <c r="AB198" s="21"/>
      <c r="AC198" s="21"/>
      <c r="AF198" s="9"/>
      <c r="AG198" s="21"/>
      <c r="AH198" s="21"/>
      <c r="AI198" s="21"/>
      <c r="AJ198" s="21"/>
      <c r="AK198" s="21"/>
      <c r="AP198" s="9"/>
      <c r="AQ198" s="21"/>
      <c r="AR198" s="21"/>
      <c r="AS198" s="21"/>
      <c r="AT198" s="21"/>
      <c r="AU198" s="21"/>
      <c r="AX198" s="9"/>
      <c r="AY198" s="21"/>
      <c r="AZ198" s="21"/>
      <c r="BA198" s="21"/>
      <c r="BB198" s="21"/>
      <c r="BC198" s="21"/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/>
      <c r="H199" s="21"/>
      <c r="I199" s="21"/>
      <c r="J199" s="21"/>
      <c r="K199" s="21"/>
      <c r="N199" s="9"/>
      <c r="O199" s="21"/>
      <c r="P199" s="21"/>
      <c r="Q199" s="21"/>
      <c r="R199" s="21"/>
      <c r="S199" s="21"/>
      <c r="X199" s="9"/>
      <c r="Y199" s="21"/>
      <c r="Z199" s="21"/>
      <c r="AA199" s="21"/>
      <c r="AB199" s="21"/>
      <c r="AC199" s="21"/>
      <c r="AF199" s="9"/>
      <c r="AG199" s="21"/>
      <c r="AH199" s="21"/>
      <c r="AI199" s="21"/>
      <c r="AJ199" s="21"/>
      <c r="AK199" s="21"/>
      <c r="AP199" s="9"/>
      <c r="AQ199" s="21"/>
      <c r="AR199" s="21"/>
      <c r="AS199" s="21"/>
      <c r="AT199" s="21"/>
      <c r="AU199" s="21"/>
      <c r="AX199" s="9"/>
      <c r="AY199" s="21"/>
      <c r="AZ199" s="21"/>
      <c r="BA199" s="21"/>
      <c r="BB199" s="21"/>
      <c r="BC199" s="21"/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/>
      <c r="H200" s="21"/>
      <c r="I200" s="21"/>
      <c r="J200" s="21"/>
      <c r="K200" s="21"/>
      <c r="N200" s="9"/>
      <c r="O200" s="21"/>
      <c r="P200" s="21"/>
      <c r="Q200" s="21"/>
      <c r="R200" s="21"/>
      <c r="S200" s="21"/>
      <c r="X200" s="9"/>
      <c r="Y200" s="21"/>
      <c r="Z200" s="21"/>
      <c r="AA200" s="21"/>
      <c r="AB200" s="21"/>
      <c r="AC200" s="21"/>
      <c r="AF200" s="9"/>
      <c r="AG200" s="21"/>
      <c r="AH200" s="21"/>
      <c r="AI200" s="21"/>
      <c r="AJ200" s="21"/>
      <c r="AK200" s="21"/>
      <c r="AP200" s="9"/>
      <c r="AQ200" s="21"/>
      <c r="AR200" s="21"/>
      <c r="AS200" s="21"/>
      <c r="AT200" s="21"/>
      <c r="AU200" s="21"/>
      <c r="AX200" s="9"/>
      <c r="AY200" s="21"/>
      <c r="AZ200" s="21"/>
      <c r="BA200" s="21"/>
      <c r="BB200" s="21"/>
      <c r="BC200" s="21"/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/>
      <c r="H201" s="21"/>
      <c r="I201" s="21"/>
      <c r="J201" s="21"/>
      <c r="K201" s="21"/>
      <c r="N201" s="9"/>
      <c r="O201" s="21"/>
      <c r="P201" s="21"/>
      <c r="Q201" s="21"/>
      <c r="R201" s="21"/>
      <c r="S201" s="21"/>
      <c r="X201" s="9"/>
      <c r="Y201" s="21"/>
      <c r="Z201" s="21"/>
      <c r="AA201" s="21"/>
      <c r="AB201" s="21"/>
      <c r="AC201" s="21"/>
      <c r="AF201" s="9"/>
      <c r="AG201" s="21"/>
      <c r="AH201" s="21"/>
      <c r="AI201" s="21"/>
      <c r="AJ201" s="21"/>
      <c r="AK201" s="21"/>
      <c r="AP201" s="9"/>
      <c r="AQ201" s="21"/>
      <c r="AR201" s="21"/>
      <c r="AS201" s="21"/>
      <c r="AT201" s="21"/>
      <c r="AU201" s="21"/>
      <c r="AX201" s="9"/>
      <c r="AY201" s="21"/>
      <c r="AZ201" s="21"/>
      <c r="BA201" s="21"/>
      <c r="BB201" s="21"/>
      <c r="BC201" s="21"/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/>
      <c r="H202" s="21"/>
      <c r="I202" s="21"/>
      <c r="J202" s="21"/>
      <c r="K202" s="21"/>
      <c r="N202" s="9"/>
      <c r="O202" s="21"/>
      <c r="P202" s="21"/>
      <c r="Q202" s="21"/>
      <c r="R202" s="21"/>
      <c r="S202" s="21"/>
      <c r="X202" s="9"/>
      <c r="Y202" s="21"/>
      <c r="Z202" s="21"/>
      <c r="AA202" s="21"/>
      <c r="AB202" s="21"/>
      <c r="AC202" s="21"/>
      <c r="AF202" s="9"/>
      <c r="AG202" s="21"/>
      <c r="AH202" s="21"/>
      <c r="AI202" s="21"/>
      <c r="AJ202" s="21"/>
      <c r="AK202" s="21"/>
      <c r="AP202" s="9"/>
      <c r="AQ202" s="21"/>
      <c r="AR202" s="21"/>
      <c r="AS202" s="21"/>
      <c r="AT202" s="21"/>
      <c r="AU202" s="21"/>
      <c r="AX202" s="9"/>
      <c r="AY202" s="21"/>
      <c r="AZ202" s="21"/>
      <c r="BA202" s="21"/>
      <c r="BB202" s="21"/>
      <c r="BC202" s="21"/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/>
      <c r="H203" s="21"/>
      <c r="I203" s="21"/>
      <c r="J203" s="21"/>
      <c r="K203" s="21"/>
      <c r="N203" s="9"/>
      <c r="O203" s="21"/>
      <c r="P203" s="21"/>
      <c r="Q203" s="21"/>
      <c r="R203" s="21"/>
      <c r="S203" s="21"/>
      <c r="X203" s="9"/>
      <c r="Y203" s="21"/>
      <c r="Z203" s="21"/>
      <c r="AA203" s="21"/>
      <c r="AB203" s="21"/>
      <c r="AC203" s="21"/>
      <c r="AF203" s="9"/>
      <c r="AG203" s="21"/>
      <c r="AH203" s="21"/>
      <c r="AI203" s="21"/>
      <c r="AJ203" s="21"/>
      <c r="AK203" s="21"/>
      <c r="AP203" s="9"/>
      <c r="AQ203" s="21"/>
      <c r="AR203" s="21"/>
      <c r="AS203" s="21"/>
      <c r="AT203" s="21"/>
      <c r="AU203" s="21"/>
      <c r="AX203" s="9"/>
      <c r="AY203" s="21"/>
      <c r="AZ203" s="21"/>
      <c r="BA203" s="21"/>
      <c r="BB203" s="21"/>
      <c r="BC203" s="21"/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/>
      <c r="H204" s="21"/>
      <c r="I204" s="21"/>
      <c r="J204" s="21"/>
      <c r="K204" s="21"/>
      <c r="N204" s="9"/>
      <c r="O204" s="21"/>
      <c r="P204" s="21"/>
      <c r="Q204" s="21"/>
      <c r="R204" s="21"/>
      <c r="S204" s="21"/>
      <c r="X204" s="9"/>
      <c r="Y204" s="21"/>
      <c r="Z204" s="21"/>
      <c r="AA204" s="21"/>
      <c r="AB204" s="21"/>
      <c r="AC204" s="21"/>
      <c r="AF204" s="9"/>
      <c r="AG204" s="21"/>
      <c r="AH204" s="21"/>
      <c r="AI204" s="21"/>
      <c r="AJ204" s="21"/>
      <c r="AK204" s="21"/>
      <c r="AP204" s="9"/>
      <c r="AQ204" s="21"/>
      <c r="AR204" s="21"/>
      <c r="AS204" s="21"/>
      <c r="AT204" s="21"/>
      <c r="AU204" s="21"/>
      <c r="AX204" s="9"/>
      <c r="AY204" s="21"/>
      <c r="AZ204" s="21"/>
      <c r="BA204" s="21"/>
      <c r="BB204" s="21"/>
      <c r="BC204" s="21"/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/>
      <c r="H205" s="21"/>
      <c r="I205" s="21"/>
      <c r="J205" s="21"/>
      <c r="K205" s="21"/>
      <c r="N205" s="9"/>
      <c r="O205" s="21"/>
      <c r="P205" s="21"/>
      <c r="Q205" s="21"/>
      <c r="R205" s="21"/>
      <c r="S205" s="21"/>
      <c r="X205" s="9"/>
      <c r="Y205" s="21"/>
      <c r="Z205" s="21"/>
      <c r="AA205" s="21"/>
      <c r="AB205" s="21"/>
      <c r="AC205" s="21"/>
      <c r="AF205" s="9"/>
      <c r="AG205" s="21"/>
      <c r="AH205" s="21"/>
      <c r="AI205" s="21"/>
      <c r="AJ205" s="21"/>
      <c r="AK205" s="21"/>
      <c r="AP205" s="9"/>
      <c r="AQ205" s="21"/>
      <c r="AR205" s="21"/>
      <c r="AS205" s="21"/>
      <c r="AT205" s="21"/>
      <c r="AU205" s="21"/>
      <c r="AX205" s="9"/>
      <c r="AY205" s="21"/>
      <c r="AZ205" s="21"/>
      <c r="BA205" s="21"/>
      <c r="BB205" s="21"/>
      <c r="BC205" s="21"/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/>
      <c r="H206" s="21"/>
      <c r="I206" s="21"/>
      <c r="J206" s="21"/>
      <c r="K206" s="21"/>
      <c r="N206" s="9"/>
      <c r="O206" s="21"/>
      <c r="P206" s="21"/>
      <c r="Q206" s="21"/>
      <c r="R206" s="21"/>
      <c r="S206" s="21"/>
      <c r="X206" s="9"/>
      <c r="Y206" s="21"/>
      <c r="Z206" s="21"/>
      <c r="AA206" s="21"/>
      <c r="AB206" s="21"/>
      <c r="AC206" s="21"/>
      <c r="AF206" s="9"/>
      <c r="AG206" s="21"/>
      <c r="AH206" s="21"/>
      <c r="AI206" s="21"/>
      <c r="AJ206" s="21"/>
      <c r="AK206" s="21"/>
      <c r="AP206" s="9"/>
      <c r="AQ206" s="21"/>
      <c r="AR206" s="21"/>
      <c r="AS206" s="21"/>
      <c r="AT206" s="21"/>
      <c r="AU206" s="21"/>
      <c r="AX206" s="9"/>
      <c r="AY206" s="21"/>
      <c r="AZ206" s="21"/>
      <c r="BA206" s="21"/>
      <c r="BB206" s="21"/>
      <c r="BC206" s="21"/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/>
      <c r="H207" s="21"/>
      <c r="I207" s="21"/>
      <c r="J207" s="21"/>
      <c r="K207" s="21"/>
      <c r="N207" s="9"/>
      <c r="O207" s="21"/>
      <c r="P207" s="21"/>
      <c r="Q207" s="21"/>
      <c r="R207" s="21"/>
      <c r="S207" s="21"/>
      <c r="X207" s="9"/>
      <c r="Y207" s="21"/>
      <c r="Z207" s="21"/>
      <c r="AA207" s="21"/>
      <c r="AB207" s="21"/>
      <c r="AC207" s="21"/>
      <c r="AF207" s="9"/>
      <c r="AG207" s="21"/>
      <c r="AH207" s="21"/>
      <c r="AI207" s="21"/>
      <c r="AJ207" s="21"/>
      <c r="AK207" s="21"/>
      <c r="AP207" s="9"/>
      <c r="AQ207" s="21"/>
      <c r="AR207" s="21"/>
      <c r="AS207" s="21"/>
      <c r="AT207" s="21"/>
      <c r="AU207" s="21"/>
      <c r="AX207" s="9"/>
      <c r="AY207" s="21"/>
      <c r="AZ207" s="21"/>
      <c r="BA207" s="21"/>
      <c r="BB207" s="21"/>
      <c r="BC207" s="21"/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/>
      <c r="H208" s="21"/>
      <c r="I208" s="21"/>
      <c r="J208" s="21"/>
      <c r="K208" s="21"/>
      <c r="N208" s="9"/>
      <c r="O208" s="21"/>
      <c r="P208" s="21"/>
      <c r="Q208" s="21"/>
      <c r="R208" s="21"/>
      <c r="S208" s="21"/>
      <c r="X208" s="9"/>
      <c r="Y208" s="21"/>
      <c r="Z208" s="21"/>
      <c r="AA208" s="21"/>
      <c r="AB208" s="21"/>
      <c r="AC208" s="21"/>
      <c r="AF208" s="9"/>
      <c r="AG208" s="21"/>
      <c r="AH208" s="21"/>
      <c r="AI208" s="21"/>
      <c r="AJ208" s="21"/>
      <c r="AK208" s="21"/>
      <c r="AP208" s="9"/>
      <c r="AQ208" s="21"/>
      <c r="AR208" s="21"/>
      <c r="AS208" s="21"/>
      <c r="AT208" s="21"/>
      <c r="AU208" s="21"/>
      <c r="AX208" s="9"/>
      <c r="AY208" s="21"/>
      <c r="AZ208" s="21"/>
      <c r="BA208" s="21"/>
      <c r="BB208" s="21"/>
      <c r="BC208" s="21"/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/>
      <c r="H209" s="21"/>
      <c r="I209" s="21"/>
      <c r="J209" s="21"/>
      <c r="K209" s="21"/>
      <c r="N209" s="9"/>
      <c r="O209" s="21"/>
      <c r="P209" s="21"/>
      <c r="Q209" s="21"/>
      <c r="R209" s="21"/>
      <c r="S209" s="21"/>
      <c r="X209" s="9"/>
      <c r="Y209" s="21"/>
      <c r="Z209" s="21"/>
      <c r="AA209" s="21"/>
      <c r="AB209" s="21"/>
      <c r="AC209" s="21"/>
      <c r="AF209" s="9"/>
      <c r="AG209" s="21"/>
      <c r="AH209" s="21"/>
      <c r="AI209" s="21"/>
      <c r="AJ209" s="21"/>
      <c r="AK209" s="21"/>
      <c r="AP209" s="9"/>
      <c r="AQ209" s="21"/>
      <c r="AR209" s="21"/>
      <c r="AS209" s="21"/>
      <c r="AT209" s="21"/>
      <c r="AU209" s="21"/>
      <c r="AX209" s="9"/>
      <c r="AY209" s="21"/>
      <c r="AZ209" s="21"/>
      <c r="BA209" s="21"/>
      <c r="BB209" s="21"/>
      <c r="BC209" s="21"/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/>
      <c r="H210" s="21"/>
      <c r="I210" s="21"/>
      <c r="J210" s="21"/>
      <c r="K210" s="21"/>
      <c r="N210" s="9"/>
      <c r="O210" s="21"/>
      <c r="P210" s="21"/>
      <c r="Q210" s="21"/>
      <c r="R210" s="21"/>
      <c r="S210" s="21"/>
      <c r="X210" s="9"/>
      <c r="Y210" s="21"/>
      <c r="Z210" s="21"/>
      <c r="AA210" s="21"/>
      <c r="AB210" s="21"/>
      <c r="AC210" s="21"/>
      <c r="AF210" s="9"/>
      <c r="AG210" s="21"/>
      <c r="AH210" s="21"/>
      <c r="AI210" s="21"/>
      <c r="AJ210" s="21"/>
      <c r="AK210" s="21"/>
      <c r="AP210" s="9"/>
      <c r="AQ210" s="21"/>
      <c r="AR210" s="21"/>
      <c r="AS210" s="21"/>
      <c r="AT210" s="21"/>
      <c r="AU210" s="21"/>
      <c r="AX210" s="9"/>
      <c r="AY210" s="21"/>
      <c r="AZ210" s="21"/>
      <c r="BA210" s="21"/>
      <c r="BB210" s="21"/>
      <c r="BC210" s="21"/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/>
      <c r="H211" s="21"/>
      <c r="I211" s="21"/>
      <c r="J211" s="21"/>
      <c r="K211" s="21"/>
      <c r="N211" s="9"/>
      <c r="O211" s="21"/>
      <c r="P211" s="21"/>
      <c r="Q211" s="21"/>
      <c r="R211" s="21"/>
      <c r="S211" s="21"/>
      <c r="X211" s="9"/>
      <c r="Y211" s="21"/>
      <c r="Z211" s="21"/>
      <c r="AA211" s="21"/>
      <c r="AB211" s="21"/>
      <c r="AC211" s="21"/>
      <c r="AF211" s="9"/>
      <c r="AG211" s="21"/>
      <c r="AH211" s="21"/>
      <c r="AI211" s="21"/>
      <c r="AJ211" s="21"/>
      <c r="AK211" s="21"/>
      <c r="AP211" s="9"/>
      <c r="AQ211" s="21"/>
      <c r="AR211" s="21"/>
      <c r="AS211" s="21"/>
      <c r="AT211" s="21"/>
      <c r="AU211" s="21"/>
      <c r="AX211" s="9"/>
      <c r="AY211" s="21"/>
      <c r="AZ211" s="21"/>
      <c r="BA211" s="21"/>
      <c r="BB211" s="21"/>
      <c r="BC211" s="21"/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/>
      <c r="H212" s="21"/>
      <c r="I212" s="21"/>
      <c r="J212" s="21"/>
      <c r="K212" s="21"/>
      <c r="N212" s="9"/>
      <c r="O212" s="21"/>
      <c r="P212" s="21"/>
      <c r="Q212" s="21"/>
      <c r="R212" s="21"/>
      <c r="S212" s="21"/>
      <c r="X212" s="9"/>
      <c r="Y212" s="21"/>
      <c r="Z212" s="21"/>
      <c r="AA212" s="21"/>
      <c r="AB212" s="21"/>
      <c r="AC212" s="21"/>
      <c r="AF212" s="9"/>
      <c r="AG212" s="21"/>
      <c r="AH212" s="21"/>
      <c r="AI212" s="21"/>
      <c r="AJ212" s="21"/>
      <c r="AK212" s="21"/>
      <c r="AP212" s="9"/>
      <c r="AQ212" s="21"/>
      <c r="AR212" s="21"/>
      <c r="AS212" s="21"/>
      <c r="AT212" s="21"/>
      <c r="AU212" s="21"/>
      <c r="AX212" s="9"/>
      <c r="AY212" s="21"/>
      <c r="AZ212" s="21"/>
      <c r="BA212" s="21"/>
      <c r="BB212" s="21"/>
      <c r="BC212" s="21"/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/>
      <c r="H213" s="21"/>
      <c r="I213" s="21"/>
      <c r="J213" s="21"/>
      <c r="K213" s="21"/>
      <c r="N213" s="9"/>
      <c r="O213" s="21"/>
      <c r="P213" s="21"/>
      <c r="Q213" s="21"/>
      <c r="R213" s="21"/>
      <c r="S213" s="21"/>
      <c r="X213" s="9"/>
      <c r="Y213" s="21"/>
      <c r="Z213" s="21"/>
      <c r="AA213" s="21"/>
      <c r="AB213" s="21"/>
      <c r="AC213" s="21"/>
      <c r="AF213" s="9"/>
      <c r="AG213" s="21"/>
      <c r="AH213" s="21"/>
      <c r="AI213" s="21"/>
      <c r="AJ213" s="21"/>
      <c r="AK213" s="21"/>
      <c r="AP213" s="9"/>
      <c r="AQ213" s="21"/>
      <c r="AR213" s="21"/>
      <c r="AS213" s="21"/>
      <c r="AT213" s="21"/>
      <c r="AU213" s="21"/>
      <c r="AX213" s="9"/>
      <c r="AY213" s="21"/>
      <c r="AZ213" s="21"/>
      <c r="BA213" s="21"/>
      <c r="BB213" s="21"/>
      <c r="BC213" s="21"/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/>
      <c r="H214" s="21"/>
      <c r="I214" s="21"/>
      <c r="J214" s="21"/>
      <c r="K214" s="21"/>
      <c r="N214" s="9"/>
      <c r="O214" s="21"/>
      <c r="P214" s="21"/>
      <c r="Q214" s="21"/>
      <c r="R214" s="21"/>
      <c r="S214" s="21"/>
      <c r="X214" s="9"/>
      <c r="Y214" s="21"/>
      <c r="Z214" s="21"/>
      <c r="AA214" s="21"/>
      <c r="AB214" s="21"/>
      <c r="AC214" s="21"/>
      <c r="AF214" s="9"/>
      <c r="AG214" s="21"/>
      <c r="AH214" s="21"/>
      <c r="AI214" s="21"/>
      <c r="AJ214" s="21"/>
      <c r="AK214" s="21"/>
      <c r="AP214" s="9"/>
      <c r="AQ214" s="21"/>
      <c r="AR214" s="21"/>
      <c r="AS214" s="21"/>
      <c r="AT214" s="21"/>
      <c r="AU214" s="21"/>
      <c r="AX214" s="9"/>
      <c r="AY214" s="21"/>
      <c r="AZ214" s="21"/>
      <c r="BA214" s="21"/>
      <c r="BB214" s="21"/>
      <c r="BC214" s="21"/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/>
      <c r="H215" s="21"/>
      <c r="I215" s="21"/>
      <c r="J215" s="21"/>
      <c r="K215" s="21"/>
      <c r="N215" s="9"/>
      <c r="O215" s="21"/>
      <c r="P215" s="21"/>
      <c r="Q215" s="21"/>
      <c r="R215" s="21"/>
      <c r="S215" s="21"/>
      <c r="X215" s="9"/>
      <c r="Y215" s="21"/>
      <c r="Z215" s="21"/>
      <c r="AA215" s="21"/>
      <c r="AB215" s="21"/>
      <c r="AC215" s="21"/>
      <c r="AF215" s="9"/>
      <c r="AG215" s="21"/>
      <c r="AH215" s="21"/>
      <c r="AI215" s="21"/>
      <c r="AJ215" s="21"/>
      <c r="AK215" s="21"/>
      <c r="AP215" s="9"/>
      <c r="AQ215" s="21"/>
      <c r="AR215" s="21"/>
      <c r="AS215" s="21"/>
      <c r="AT215" s="21"/>
      <c r="AU215" s="21"/>
      <c r="AX215" s="9"/>
      <c r="AY215" s="21"/>
      <c r="AZ215" s="21"/>
      <c r="BA215" s="21"/>
      <c r="BB215" s="21"/>
      <c r="BC215" s="21"/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/>
      <c r="H216" s="21"/>
      <c r="I216" s="21"/>
      <c r="J216" s="21"/>
      <c r="K216" s="21"/>
      <c r="N216" s="9"/>
      <c r="O216" s="21"/>
      <c r="P216" s="21"/>
      <c r="Q216" s="21"/>
      <c r="R216" s="21"/>
      <c r="S216" s="21"/>
      <c r="X216" s="9"/>
      <c r="Y216" s="21"/>
      <c r="Z216" s="21"/>
      <c r="AA216" s="21"/>
      <c r="AB216" s="21"/>
      <c r="AC216" s="21"/>
      <c r="AF216" s="9"/>
      <c r="AG216" s="21"/>
      <c r="AH216" s="21"/>
      <c r="AI216" s="21"/>
      <c r="AJ216" s="21"/>
      <c r="AK216" s="21"/>
      <c r="AP216" s="9"/>
      <c r="AQ216" s="21"/>
      <c r="AR216" s="21"/>
      <c r="AS216" s="21"/>
      <c r="AT216" s="21"/>
      <c r="AU216" s="21"/>
      <c r="AX216" s="9"/>
      <c r="AY216" s="21"/>
      <c r="AZ216" s="21"/>
      <c r="BA216" s="21"/>
      <c r="BB216" s="21"/>
      <c r="BC216" s="21"/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/>
      <c r="H217" s="21"/>
      <c r="I217" s="21"/>
      <c r="J217" s="21"/>
      <c r="K217" s="21"/>
      <c r="N217" s="9"/>
      <c r="O217" s="21"/>
      <c r="P217" s="21"/>
      <c r="Q217" s="21"/>
      <c r="R217" s="21"/>
      <c r="S217" s="21"/>
      <c r="X217" s="9"/>
      <c r="Y217" s="21"/>
      <c r="Z217" s="21"/>
      <c r="AA217" s="21"/>
      <c r="AB217" s="21"/>
      <c r="AC217" s="21"/>
      <c r="AF217" s="9"/>
      <c r="AG217" s="21"/>
      <c r="AH217" s="21"/>
      <c r="AI217" s="21"/>
      <c r="AJ217" s="21"/>
      <c r="AK217" s="21"/>
      <c r="AP217" s="9"/>
      <c r="AQ217" s="21"/>
      <c r="AR217" s="21"/>
      <c r="AS217" s="21"/>
      <c r="AT217" s="21"/>
      <c r="AU217" s="21"/>
      <c r="AX217" s="9"/>
      <c r="AY217" s="21"/>
      <c r="AZ217" s="21"/>
      <c r="BA217" s="21"/>
      <c r="BB217" s="21"/>
      <c r="BC217" s="21"/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/>
      <c r="H218" s="21"/>
      <c r="I218" s="21"/>
      <c r="J218" s="21"/>
      <c r="K218" s="21"/>
      <c r="N218" s="9"/>
      <c r="O218" s="21"/>
      <c r="P218" s="21"/>
      <c r="Q218" s="21"/>
      <c r="R218" s="21"/>
      <c r="S218" s="21"/>
      <c r="X218" s="9"/>
      <c r="Y218" s="21"/>
      <c r="Z218" s="21"/>
      <c r="AA218" s="21"/>
      <c r="AB218" s="21"/>
      <c r="AC218" s="21"/>
      <c r="AF218" s="9"/>
      <c r="AG218" s="21"/>
      <c r="AH218" s="21"/>
      <c r="AI218" s="21"/>
      <c r="AJ218" s="21"/>
      <c r="AK218" s="21"/>
      <c r="AP218" s="9"/>
      <c r="AQ218" s="21"/>
      <c r="AR218" s="21"/>
      <c r="AS218" s="21"/>
      <c r="AT218" s="21"/>
      <c r="AU218" s="21"/>
      <c r="AX218" s="9"/>
      <c r="AY218" s="21"/>
      <c r="AZ218" s="21"/>
      <c r="BA218" s="21"/>
      <c r="BB218" s="21"/>
      <c r="BC218" s="21"/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/>
      <c r="H219" s="21"/>
      <c r="I219" s="21"/>
      <c r="J219" s="21"/>
      <c r="K219" s="21"/>
      <c r="N219" s="9"/>
      <c r="O219" s="21"/>
      <c r="P219" s="21"/>
      <c r="Q219" s="21"/>
      <c r="R219" s="21"/>
      <c r="S219" s="21"/>
      <c r="X219" s="9"/>
      <c r="Y219" s="21"/>
      <c r="Z219" s="21"/>
      <c r="AA219" s="21"/>
      <c r="AB219" s="21"/>
      <c r="AC219" s="21"/>
      <c r="AF219" s="9"/>
      <c r="AG219" s="21"/>
      <c r="AH219" s="21"/>
      <c r="AI219" s="21"/>
      <c r="AJ219" s="21"/>
      <c r="AK219" s="21"/>
      <c r="AP219" s="9"/>
      <c r="AQ219" s="21"/>
      <c r="AR219" s="21"/>
      <c r="AS219" s="21"/>
      <c r="AT219" s="21"/>
      <c r="AU219" s="21"/>
      <c r="AX219" s="9"/>
      <c r="AY219" s="21"/>
      <c r="AZ219" s="21"/>
      <c r="BA219" s="21"/>
      <c r="BB219" s="21"/>
      <c r="BC219" s="21"/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/>
      <c r="H220" s="21"/>
      <c r="I220" s="21"/>
      <c r="J220" s="21"/>
      <c r="K220" s="21"/>
      <c r="N220" s="9"/>
      <c r="O220" s="21"/>
      <c r="P220" s="21"/>
      <c r="Q220" s="21"/>
      <c r="R220" s="21"/>
      <c r="S220" s="21"/>
      <c r="X220" s="9"/>
      <c r="Y220" s="21"/>
      <c r="Z220" s="21"/>
      <c r="AA220" s="21"/>
      <c r="AB220" s="21"/>
      <c r="AC220" s="21"/>
      <c r="AF220" s="9"/>
      <c r="AG220" s="21"/>
      <c r="AH220" s="21"/>
      <c r="AI220" s="21"/>
      <c r="AJ220" s="21"/>
      <c r="AK220" s="21"/>
      <c r="AP220" s="9"/>
      <c r="AQ220" s="21"/>
      <c r="AR220" s="21"/>
      <c r="AS220" s="21"/>
      <c r="AT220" s="21"/>
      <c r="AU220" s="21"/>
      <c r="AX220" s="9"/>
      <c r="AY220" s="21"/>
      <c r="AZ220" s="21"/>
      <c r="BA220" s="21"/>
      <c r="BB220" s="21"/>
      <c r="BC220" s="21"/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/>
      <c r="H221" s="21"/>
      <c r="I221" s="21"/>
      <c r="J221" s="21"/>
      <c r="K221" s="21"/>
      <c r="N221" s="9"/>
      <c r="O221" s="21"/>
      <c r="P221" s="21"/>
      <c r="Q221" s="21"/>
      <c r="R221" s="21"/>
      <c r="S221" s="21"/>
      <c r="X221" s="9"/>
      <c r="Y221" s="21"/>
      <c r="Z221" s="21"/>
      <c r="AA221" s="21"/>
      <c r="AB221" s="21"/>
      <c r="AC221" s="21"/>
      <c r="AF221" s="9"/>
      <c r="AG221" s="21"/>
      <c r="AH221" s="21"/>
      <c r="AI221" s="21"/>
      <c r="AJ221" s="21"/>
      <c r="AK221" s="21"/>
      <c r="AP221" s="9"/>
      <c r="AQ221" s="21"/>
      <c r="AR221" s="21"/>
      <c r="AS221" s="21"/>
      <c r="AT221" s="21"/>
      <c r="AU221" s="21"/>
      <c r="AX221" s="9"/>
      <c r="AY221" s="21"/>
      <c r="AZ221" s="21"/>
      <c r="BA221" s="21"/>
      <c r="BB221" s="21"/>
      <c r="BC221" s="21"/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/>
      <c r="H222" s="21"/>
      <c r="I222" s="21"/>
      <c r="J222" s="21"/>
      <c r="K222" s="21"/>
      <c r="N222" s="9"/>
      <c r="O222" s="21"/>
      <c r="P222" s="21"/>
      <c r="Q222" s="21"/>
      <c r="R222" s="21"/>
      <c r="S222" s="21"/>
      <c r="X222" s="9"/>
      <c r="Y222" s="21"/>
      <c r="Z222" s="21"/>
      <c r="AA222" s="21"/>
      <c r="AB222" s="21"/>
      <c r="AC222" s="21"/>
      <c r="AF222" s="9"/>
      <c r="AG222" s="21"/>
      <c r="AH222" s="21"/>
      <c r="AI222" s="21"/>
      <c r="AJ222" s="21"/>
      <c r="AK222" s="21"/>
      <c r="AP222" s="9"/>
      <c r="AQ222" s="21"/>
      <c r="AR222" s="21"/>
      <c r="AS222" s="21"/>
      <c r="AT222" s="21"/>
      <c r="AU222" s="21"/>
      <c r="AX222" s="9"/>
      <c r="AY222" s="21"/>
      <c r="AZ222" s="21"/>
      <c r="BA222" s="21"/>
      <c r="BB222" s="21"/>
      <c r="BC222" s="21"/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/>
      <c r="H223" s="21"/>
      <c r="I223" s="21"/>
      <c r="J223" s="21"/>
      <c r="K223" s="21"/>
      <c r="N223" s="9"/>
      <c r="O223" s="21"/>
      <c r="P223" s="21"/>
      <c r="Q223" s="21"/>
      <c r="R223" s="21"/>
      <c r="S223" s="21"/>
      <c r="X223" s="9"/>
      <c r="Y223" s="21"/>
      <c r="Z223" s="21"/>
      <c r="AA223" s="21"/>
      <c r="AB223" s="21"/>
      <c r="AC223" s="21"/>
      <c r="AF223" s="9"/>
      <c r="AG223" s="21"/>
      <c r="AH223" s="21"/>
      <c r="AI223" s="21"/>
      <c r="AJ223" s="21"/>
      <c r="AK223" s="21"/>
      <c r="AP223" s="9"/>
      <c r="AQ223" s="21"/>
      <c r="AR223" s="21"/>
      <c r="AS223" s="21"/>
      <c r="AT223" s="21"/>
      <c r="AU223" s="21"/>
      <c r="AX223" s="9"/>
      <c r="AY223" s="21"/>
      <c r="AZ223" s="21"/>
      <c r="BA223" s="21"/>
      <c r="BB223" s="21"/>
      <c r="BC223" s="21"/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/>
      <c r="H224" s="21"/>
      <c r="I224" s="21"/>
      <c r="J224" s="21"/>
      <c r="K224" s="21"/>
      <c r="N224" s="9"/>
      <c r="O224" s="21"/>
      <c r="P224" s="21"/>
      <c r="Q224" s="21"/>
      <c r="R224" s="21"/>
      <c r="S224" s="21"/>
      <c r="X224" s="9"/>
      <c r="Y224" s="21"/>
      <c r="Z224" s="21"/>
      <c r="AA224" s="21"/>
      <c r="AB224" s="21"/>
      <c r="AC224" s="21"/>
      <c r="AF224" s="9"/>
      <c r="AG224" s="21"/>
      <c r="AH224" s="21"/>
      <c r="AI224" s="21"/>
      <c r="AJ224" s="21"/>
      <c r="AK224" s="21"/>
      <c r="AP224" s="9"/>
      <c r="AQ224" s="21"/>
      <c r="AR224" s="21"/>
      <c r="AS224" s="21"/>
      <c r="AT224" s="21"/>
      <c r="AU224" s="21"/>
      <c r="AX224" s="9"/>
      <c r="AY224" s="21"/>
      <c r="AZ224" s="21"/>
      <c r="BA224" s="21"/>
      <c r="BB224" s="21"/>
      <c r="BC224" s="21"/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/>
      <c r="H225" s="21"/>
      <c r="I225" s="21"/>
      <c r="J225" s="21"/>
      <c r="K225" s="21"/>
      <c r="N225" s="9"/>
      <c r="O225" s="21"/>
      <c r="P225" s="21"/>
      <c r="Q225" s="21"/>
      <c r="R225" s="21"/>
      <c r="S225" s="21"/>
      <c r="X225" s="9"/>
      <c r="Y225" s="21"/>
      <c r="Z225" s="21"/>
      <c r="AA225" s="21"/>
      <c r="AB225" s="21"/>
      <c r="AC225" s="21"/>
      <c r="AF225" s="9"/>
      <c r="AG225" s="21"/>
      <c r="AH225" s="21"/>
      <c r="AI225" s="21"/>
      <c r="AJ225" s="21"/>
      <c r="AK225" s="21"/>
      <c r="AP225" s="9"/>
      <c r="AQ225" s="21"/>
      <c r="AR225" s="21"/>
      <c r="AS225" s="21"/>
      <c r="AT225" s="21"/>
      <c r="AU225" s="21"/>
      <c r="AX225" s="9"/>
      <c r="AY225" s="21"/>
      <c r="AZ225" s="21"/>
      <c r="BA225" s="21"/>
      <c r="BB225" s="21"/>
      <c r="BC225" s="21"/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/>
      <c r="H226" s="21"/>
      <c r="I226" s="21"/>
      <c r="J226" s="21"/>
      <c r="K226" s="21"/>
      <c r="N226" s="9"/>
      <c r="O226" s="21"/>
      <c r="P226" s="21"/>
      <c r="Q226" s="21"/>
      <c r="R226" s="21"/>
      <c r="S226" s="21"/>
      <c r="X226" s="9"/>
      <c r="Y226" s="21"/>
      <c r="Z226" s="21"/>
      <c r="AA226" s="21"/>
      <c r="AB226" s="21"/>
      <c r="AC226" s="21"/>
      <c r="AF226" s="9"/>
      <c r="AG226" s="21"/>
      <c r="AH226" s="21"/>
      <c r="AI226" s="21"/>
      <c r="AJ226" s="21"/>
      <c r="AK226" s="21"/>
      <c r="AP226" s="9"/>
      <c r="AQ226" s="21"/>
      <c r="AR226" s="21"/>
      <c r="AS226" s="21"/>
      <c r="AT226" s="21"/>
      <c r="AU226" s="21"/>
      <c r="AX226" s="9"/>
      <c r="AY226" s="21"/>
      <c r="AZ226" s="21"/>
      <c r="BA226" s="21"/>
      <c r="BB226" s="21"/>
      <c r="BC226" s="21"/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/>
      <c r="H227" s="21"/>
      <c r="I227" s="21"/>
      <c r="J227" s="21"/>
      <c r="K227" s="21"/>
      <c r="N227" s="9"/>
      <c r="O227" s="21"/>
      <c r="P227" s="21"/>
      <c r="Q227" s="21"/>
      <c r="R227" s="21"/>
      <c r="S227" s="21"/>
      <c r="X227" s="9"/>
      <c r="Y227" s="21"/>
      <c r="Z227" s="21"/>
      <c r="AA227" s="21"/>
      <c r="AB227" s="21"/>
      <c r="AC227" s="21"/>
      <c r="AF227" s="9"/>
      <c r="AG227" s="21"/>
      <c r="AH227" s="21"/>
      <c r="AI227" s="21"/>
      <c r="AJ227" s="21"/>
      <c r="AK227" s="21"/>
      <c r="AP227" s="9"/>
      <c r="AQ227" s="21"/>
      <c r="AR227" s="21"/>
      <c r="AS227" s="21"/>
      <c r="AT227" s="21"/>
      <c r="AU227" s="21"/>
      <c r="AX227" s="9"/>
      <c r="AY227" s="21"/>
      <c r="AZ227" s="21"/>
      <c r="BA227" s="21"/>
      <c r="BB227" s="21"/>
      <c r="BC227" s="21"/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/>
      <c r="H228" s="21"/>
      <c r="I228" s="21"/>
      <c r="J228" s="21"/>
      <c r="K228" s="21"/>
      <c r="N228" s="9"/>
      <c r="O228" s="21"/>
      <c r="P228" s="21"/>
      <c r="Q228" s="21"/>
      <c r="R228" s="21"/>
      <c r="S228" s="21"/>
      <c r="X228" s="9"/>
      <c r="Y228" s="21"/>
      <c r="Z228" s="21"/>
      <c r="AA228" s="21"/>
      <c r="AB228" s="21"/>
      <c r="AC228" s="21"/>
      <c r="AF228" s="9"/>
      <c r="AG228" s="21"/>
      <c r="AH228" s="21"/>
      <c r="AI228" s="21"/>
      <c r="AJ228" s="21"/>
      <c r="AK228" s="21"/>
      <c r="AP228" s="9"/>
      <c r="AQ228" s="21"/>
      <c r="AR228" s="21"/>
      <c r="AS228" s="21"/>
      <c r="AT228" s="21"/>
      <c r="AU228" s="21"/>
      <c r="AX228" s="9"/>
      <c r="AY228" s="21"/>
      <c r="AZ228" s="21"/>
      <c r="BA228" s="21"/>
      <c r="BB228" s="21"/>
      <c r="BC228" s="21"/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/>
      <c r="H229" s="21"/>
      <c r="I229" s="21"/>
      <c r="J229" s="21"/>
      <c r="K229" s="21"/>
      <c r="N229" s="9"/>
      <c r="O229" s="21"/>
      <c r="P229" s="21"/>
      <c r="Q229" s="21"/>
      <c r="R229" s="21"/>
      <c r="S229" s="21"/>
      <c r="X229" s="9"/>
      <c r="Y229" s="21"/>
      <c r="Z229" s="21"/>
      <c r="AA229" s="21"/>
      <c r="AB229" s="21"/>
      <c r="AC229" s="21"/>
      <c r="AF229" s="9"/>
      <c r="AG229" s="21"/>
      <c r="AH229" s="21"/>
      <c r="AI229" s="21"/>
      <c r="AJ229" s="21"/>
      <c r="AK229" s="21"/>
      <c r="AP229" s="9"/>
      <c r="AQ229" s="21"/>
      <c r="AR229" s="21"/>
      <c r="AS229" s="21"/>
      <c r="AT229" s="21"/>
      <c r="AU229" s="21"/>
      <c r="AX229" s="9"/>
      <c r="AY229" s="21"/>
      <c r="AZ229" s="21"/>
      <c r="BA229" s="21"/>
      <c r="BB229" s="21"/>
      <c r="BC229" s="21"/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/>
      <c r="H230" s="21"/>
      <c r="I230" s="21"/>
      <c r="J230" s="21"/>
      <c r="K230" s="21"/>
      <c r="N230" s="9"/>
      <c r="O230" s="21"/>
      <c r="P230" s="21"/>
      <c r="Q230" s="21"/>
      <c r="R230" s="21"/>
      <c r="S230" s="21"/>
      <c r="X230" s="9"/>
      <c r="Y230" s="21"/>
      <c r="Z230" s="21"/>
      <c r="AA230" s="21"/>
      <c r="AB230" s="21"/>
      <c r="AC230" s="21"/>
      <c r="AF230" s="9"/>
      <c r="AG230" s="21"/>
      <c r="AH230" s="21"/>
      <c r="AI230" s="21"/>
      <c r="AJ230" s="21"/>
      <c r="AK230" s="21"/>
      <c r="AP230" s="9"/>
      <c r="AQ230" s="21"/>
      <c r="AR230" s="21"/>
      <c r="AS230" s="21"/>
      <c r="AT230" s="21"/>
      <c r="AU230" s="21"/>
      <c r="AX230" s="9"/>
      <c r="AY230" s="21"/>
      <c r="AZ230" s="21"/>
      <c r="BA230" s="21"/>
      <c r="BB230" s="21"/>
      <c r="BC230" s="21"/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/>
      <c r="H231" s="21"/>
      <c r="I231" s="21"/>
      <c r="J231" s="21"/>
      <c r="K231" s="21"/>
      <c r="N231" s="9"/>
      <c r="O231" s="21"/>
      <c r="P231" s="21"/>
      <c r="Q231" s="21"/>
      <c r="R231" s="21"/>
      <c r="S231" s="21"/>
      <c r="X231" s="9"/>
      <c r="Y231" s="21"/>
      <c r="Z231" s="21"/>
      <c r="AA231" s="21"/>
      <c r="AB231" s="21"/>
      <c r="AC231" s="21"/>
      <c r="AF231" s="9"/>
      <c r="AG231" s="21"/>
      <c r="AH231" s="21"/>
      <c r="AI231" s="21"/>
      <c r="AJ231" s="21"/>
      <c r="AK231" s="21"/>
      <c r="AP231" s="9"/>
      <c r="AQ231" s="21"/>
      <c r="AR231" s="21"/>
      <c r="AS231" s="21"/>
      <c r="AT231" s="21"/>
      <c r="AU231" s="21"/>
      <c r="AX231" s="9"/>
      <c r="AY231" s="21"/>
      <c r="AZ231" s="21"/>
      <c r="BA231" s="21"/>
      <c r="BB231" s="21"/>
      <c r="BC231" s="21"/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/>
      <c r="H232" s="21"/>
      <c r="I232" s="21"/>
      <c r="J232" s="21"/>
      <c r="K232" s="21"/>
      <c r="N232" s="9"/>
      <c r="O232" s="21"/>
      <c r="P232" s="21"/>
      <c r="Q232" s="21"/>
      <c r="R232" s="21"/>
      <c r="S232" s="21"/>
      <c r="X232" s="9"/>
      <c r="Y232" s="21"/>
      <c r="Z232" s="21"/>
      <c r="AA232" s="21"/>
      <c r="AB232" s="21"/>
      <c r="AC232" s="21"/>
      <c r="AF232" s="9"/>
      <c r="AG232" s="21"/>
      <c r="AH232" s="21"/>
      <c r="AI232" s="21"/>
      <c r="AJ232" s="21"/>
      <c r="AK232" s="21"/>
      <c r="AP232" s="9"/>
      <c r="AQ232" s="21"/>
      <c r="AR232" s="21"/>
      <c r="AS232" s="21"/>
      <c r="AT232" s="21"/>
      <c r="AU232" s="21"/>
      <c r="AX232" s="9"/>
      <c r="AY232" s="21"/>
      <c r="AZ232" s="21"/>
      <c r="BA232" s="21"/>
      <c r="BB232" s="21"/>
      <c r="BC232" s="21"/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/>
      <c r="H233" s="21"/>
      <c r="I233" s="21"/>
      <c r="J233" s="21"/>
      <c r="K233" s="21"/>
      <c r="N233" s="9"/>
      <c r="O233" s="21"/>
      <c r="P233" s="21"/>
      <c r="Q233" s="21"/>
      <c r="R233" s="21"/>
      <c r="S233" s="21"/>
      <c r="X233" s="9"/>
      <c r="Y233" s="21"/>
      <c r="Z233" s="21"/>
      <c r="AA233" s="21"/>
      <c r="AB233" s="21"/>
      <c r="AC233" s="21"/>
      <c r="AF233" s="9"/>
      <c r="AG233" s="21"/>
      <c r="AH233" s="21"/>
      <c r="AI233" s="21"/>
      <c r="AJ233" s="21"/>
      <c r="AK233" s="21"/>
      <c r="AP233" s="9"/>
      <c r="AQ233" s="21"/>
      <c r="AR233" s="21"/>
      <c r="AS233" s="21"/>
      <c r="AT233" s="21"/>
      <c r="AU233" s="21"/>
      <c r="AX233" s="9"/>
      <c r="AY233" s="21"/>
      <c r="AZ233" s="21"/>
      <c r="BA233" s="21"/>
      <c r="BB233" s="21"/>
      <c r="BC233" s="21"/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/>
      <c r="H234" s="21"/>
      <c r="I234" s="21"/>
      <c r="J234" s="21"/>
      <c r="K234" s="21"/>
      <c r="N234" s="9"/>
      <c r="O234" s="21"/>
      <c r="P234" s="21"/>
      <c r="Q234" s="21"/>
      <c r="R234" s="21"/>
      <c r="S234" s="21"/>
      <c r="X234" s="9"/>
      <c r="Y234" s="21"/>
      <c r="Z234" s="21"/>
      <c r="AA234" s="21"/>
      <c r="AB234" s="21"/>
      <c r="AC234" s="21"/>
      <c r="AF234" s="9"/>
      <c r="AG234" s="21"/>
      <c r="AH234" s="21"/>
      <c r="AI234" s="21"/>
      <c r="AJ234" s="21"/>
      <c r="AK234" s="21"/>
      <c r="AP234" s="9"/>
      <c r="AQ234" s="21"/>
      <c r="AR234" s="21"/>
      <c r="AS234" s="21"/>
      <c r="AT234" s="21"/>
      <c r="AU234" s="21"/>
      <c r="AX234" s="9"/>
      <c r="AY234" s="21"/>
      <c r="AZ234" s="21"/>
      <c r="BA234" s="21"/>
      <c r="BB234" s="21"/>
      <c r="BC234" s="21"/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/>
      <c r="H235" s="21"/>
      <c r="I235" s="21"/>
      <c r="J235" s="21"/>
      <c r="K235" s="21"/>
      <c r="N235" s="9"/>
      <c r="O235" s="21"/>
      <c r="P235" s="21"/>
      <c r="Q235" s="21"/>
      <c r="R235" s="21"/>
      <c r="S235" s="21"/>
      <c r="X235" s="9"/>
      <c r="Y235" s="21"/>
      <c r="Z235" s="21"/>
      <c r="AA235" s="21"/>
      <c r="AB235" s="21"/>
      <c r="AC235" s="21"/>
      <c r="AF235" s="9"/>
      <c r="AG235" s="21"/>
      <c r="AH235" s="21"/>
      <c r="AI235" s="21"/>
      <c r="AJ235" s="21"/>
      <c r="AK235" s="21"/>
      <c r="AP235" s="9"/>
      <c r="AQ235" s="21"/>
      <c r="AR235" s="21"/>
      <c r="AS235" s="21"/>
      <c r="AT235" s="21"/>
      <c r="AU235" s="21"/>
      <c r="AX235" s="9"/>
      <c r="AY235" s="21"/>
      <c r="AZ235" s="21"/>
      <c r="BA235" s="21"/>
      <c r="BB235" s="21"/>
      <c r="BC235" s="21"/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/>
      <c r="H236" s="21"/>
      <c r="I236" s="21"/>
      <c r="J236" s="21"/>
      <c r="K236" s="21"/>
      <c r="N236" s="9"/>
      <c r="O236" s="21"/>
      <c r="P236" s="21"/>
      <c r="Q236" s="21"/>
      <c r="R236" s="21"/>
      <c r="S236" s="21"/>
      <c r="X236" s="9"/>
      <c r="Y236" s="21"/>
      <c r="Z236" s="21"/>
      <c r="AA236" s="21"/>
      <c r="AB236" s="21"/>
      <c r="AC236" s="21"/>
      <c r="AF236" s="9"/>
      <c r="AG236" s="21"/>
      <c r="AH236" s="21"/>
      <c r="AI236" s="21"/>
      <c r="AJ236" s="21"/>
      <c r="AK236" s="21"/>
      <c r="AP236" s="9"/>
      <c r="AQ236" s="21"/>
      <c r="AR236" s="21"/>
      <c r="AS236" s="21"/>
      <c r="AT236" s="21"/>
      <c r="AU236" s="21"/>
      <c r="AX236" s="9"/>
      <c r="AY236" s="21"/>
      <c r="AZ236" s="21"/>
      <c r="BA236" s="21"/>
      <c r="BB236" s="21"/>
      <c r="BC236" s="21"/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/>
      <c r="H237" s="21"/>
      <c r="I237" s="21"/>
      <c r="J237" s="21"/>
      <c r="K237" s="21"/>
      <c r="N237" s="9"/>
      <c r="O237" s="21"/>
      <c r="P237" s="21"/>
      <c r="Q237" s="21"/>
      <c r="R237" s="21"/>
      <c r="S237" s="21"/>
      <c r="X237" s="9"/>
      <c r="Y237" s="21"/>
      <c r="Z237" s="21"/>
      <c r="AA237" s="21"/>
      <c r="AB237" s="21"/>
      <c r="AC237" s="21"/>
      <c r="AF237" s="9"/>
      <c r="AG237" s="21"/>
      <c r="AH237" s="21"/>
      <c r="AI237" s="21"/>
      <c r="AJ237" s="21"/>
      <c r="AK237" s="21"/>
      <c r="AP237" s="9"/>
      <c r="AQ237" s="21"/>
      <c r="AR237" s="21"/>
      <c r="AS237" s="21"/>
      <c r="AT237" s="21"/>
      <c r="AU237" s="21"/>
      <c r="AX237" s="9"/>
      <c r="AY237" s="21"/>
      <c r="AZ237" s="21"/>
      <c r="BA237" s="21"/>
      <c r="BB237" s="21"/>
      <c r="BC237" s="21"/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/>
      <c r="H238" s="21"/>
      <c r="I238" s="21"/>
      <c r="J238" s="21"/>
      <c r="K238" s="21"/>
      <c r="N238" s="9"/>
      <c r="O238" s="21"/>
      <c r="P238" s="21"/>
      <c r="Q238" s="21"/>
      <c r="R238" s="21"/>
      <c r="S238" s="21"/>
      <c r="X238" s="9"/>
      <c r="Y238" s="21"/>
      <c r="Z238" s="21"/>
      <c r="AA238" s="21"/>
      <c r="AB238" s="21"/>
      <c r="AC238" s="21"/>
      <c r="AF238" s="9"/>
      <c r="AG238" s="21"/>
      <c r="AH238" s="21"/>
      <c r="AI238" s="21"/>
      <c r="AJ238" s="21"/>
      <c r="AK238" s="21"/>
      <c r="AP238" s="9"/>
      <c r="AQ238" s="21"/>
      <c r="AR238" s="21"/>
      <c r="AS238" s="21"/>
      <c r="AT238" s="21"/>
      <c r="AU238" s="21"/>
      <c r="AX238" s="9"/>
      <c r="AY238" s="21"/>
      <c r="AZ238" s="21"/>
      <c r="BA238" s="21"/>
      <c r="BB238" s="21"/>
      <c r="BC238" s="21"/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/>
      <c r="H239" s="21"/>
      <c r="I239" s="21"/>
      <c r="J239" s="21"/>
      <c r="K239" s="21"/>
      <c r="N239" s="9"/>
      <c r="O239" s="21"/>
      <c r="P239" s="21"/>
      <c r="Q239" s="21"/>
      <c r="R239" s="21"/>
      <c r="S239" s="21"/>
      <c r="X239" s="9"/>
      <c r="Y239" s="21"/>
      <c r="Z239" s="21"/>
      <c r="AA239" s="21"/>
      <c r="AB239" s="21"/>
      <c r="AC239" s="21"/>
      <c r="AF239" s="9"/>
      <c r="AG239" s="21"/>
      <c r="AH239" s="21"/>
      <c r="AI239" s="21"/>
      <c r="AJ239" s="21"/>
      <c r="AK239" s="21"/>
      <c r="AP239" s="9"/>
      <c r="AQ239" s="21"/>
      <c r="AR239" s="21"/>
      <c r="AS239" s="21"/>
      <c r="AT239" s="21"/>
      <c r="AU239" s="21"/>
      <c r="AX239" s="9"/>
      <c r="AY239" s="21"/>
      <c r="AZ239" s="21"/>
      <c r="BA239" s="21"/>
      <c r="BB239" s="21"/>
      <c r="BC239" s="21"/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/>
      <c r="H240" s="21"/>
      <c r="I240" s="21"/>
      <c r="J240" s="21"/>
      <c r="K240" s="21"/>
      <c r="N240" s="9"/>
      <c r="O240" s="21"/>
      <c r="P240" s="21"/>
      <c r="Q240" s="21"/>
      <c r="R240" s="21"/>
      <c r="S240" s="21"/>
      <c r="X240" s="9"/>
      <c r="Y240" s="21"/>
      <c r="Z240" s="21"/>
      <c r="AA240" s="21"/>
      <c r="AB240" s="21"/>
      <c r="AC240" s="21"/>
      <c r="AF240" s="9"/>
      <c r="AG240" s="21"/>
      <c r="AH240" s="21"/>
      <c r="AI240" s="21"/>
      <c r="AJ240" s="21"/>
      <c r="AK240" s="21"/>
      <c r="AP240" s="9"/>
      <c r="AQ240" s="21"/>
      <c r="AR240" s="21"/>
      <c r="AS240" s="21"/>
      <c r="AT240" s="21"/>
      <c r="AU240" s="21"/>
      <c r="AX240" s="9"/>
      <c r="AY240" s="21"/>
      <c r="AZ240" s="21"/>
      <c r="BA240" s="21"/>
      <c r="BB240" s="21"/>
      <c r="BC240" s="21"/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/>
      <c r="H241" s="21"/>
      <c r="I241" s="21"/>
      <c r="J241" s="21"/>
      <c r="K241" s="21"/>
      <c r="N241" s="9"/>
      <c r="O241" s="21"/>
      <c r="P241" s="21"/>
      <c r="Q241" s="21"/>
      <c r="R241" s="21"/>
      <c r="S241" s="21"/>
      <c r="X241" s="9"/>
      <c r="Y241" s="21"/>
      <c r="Z241" s="21"/>
      <c r="AA241" s="21"/>
      <c r="AB241" s="21"/>
      <c r="AC241" s="21"/>
      <c r="AF241" s="9"/>
      <c r="AG241" s="21"/>
      <c r="AH241" s="21"/>
      <c r="AI241" s="21"/>
      <c r="AJ241" s="21"/>
      <c r="AK241" s="21"/>
      <c r="AP241" s="9"/>
      <c r="AQ241" s="21"/>
      <c r="AR241" s="21"/>
      <c r="AS241" s="21"/>
      <c r="AT241" s="21"/>
      <c r="AU241" s="21"/>
      <c r="AX241" s="9"/>
      <c r="AY241" s="21"/>
      <c r="AZ241" s="21"/>
      <c r="BA241" s="21"/>
      <c r="BB241" s="21"/>
      <c r="BC241" s="21"/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/>
      <c r="H242" s="21"/>
      <c r="I242" s="21"/>
      <c r="J242" s="21"/>
      <c r="K242" s="21"/>
      <c r="N242" s="9"/>
      <c r="O242" s="21"/>
      <c r="P242" s="21"/>
      <c r="Q242" s="21"/>
      <c r="R242" s="21"/>
      <c r="S242" s="21"/>
      <c r="X242" s="9"/>
      <c r="Y242" s="21"/>
      <c r="Z242" s="21"/>
      <c r="AA242" s="21"/>
      <c r="AB242" s="21"/>
      <c r="AC242" s="21"/>
      <c r="AF242" s="9"/>
      <c r="AG242" s="21"/>
      <c r="AH242" s="21"/>
      <c r="AI242" s="21"/>
      <c r="AJ242" s="21"/>
      <c r="AK242" s="21"/>
      <c r="AP242" s="9"/>
      <c r="AQ242" s="21"/>
      <c r="AR242" s="21"/>
      <c r="AS242" s="21"/>
      <c r="AT242" s="21"/>
      <c r="AU242" s="21"/>
      <c r="AX242" s="9"/>
      <c r="AY242" s="21"/>
      <c r="AZ242" s="21"/>
      <c r="BA242" s="21"/>
      <c r="BB242" s="21"/>
      <c r="BC242" s="21"/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/>
      <c r="H243" s="21"/>
      <c r="I243" s="21"/>
      <c r="J243" s="21"/>
      <c r="K243" s="21"/>
      <c r="N243" s="9"/>
      <c r="O243" s="21"/>
      <c r="P243" s="21"/>
      <c r="Q243" s="21"/>
      <c r="R243" s="21"/>
      <c r="S243" s="21"/>
      <c r="X243" s="9"/>
      <c r="Y243" s="21"/>
      <c r="Z243" s="21"/>
      <c r="AA243" s="21"/>
      <c r="AB243" s="21"/>
      <c r="AC243" s="21"/>
      <c r="AF243" s="9"/>
      <c r="AG243" s="21"/>
      <c r="AH243" s="21"/>
      <c r="AI243" s="21"/>
      <c r="AJ243" s="21"/>
      <c r="AK243" s="21"/>
      <c r="AP243" s="9"/>
      <c r="AQ243" s="21"/>
      <c r="AR243" s="21"/>
      <c r="AS243" s="21"/>
      <c r="AT243" s="21"/>
      <c r="AU243" s="21"/>
      <c r="AX243" s="9"/>
      <c r="AY243" s="21"/>
      <c r="AZ243" s="21"/>
      <c r="BA243" s="21"/>
      <c r="BB243" s="21"/>
      <c r="BC243" s="21"/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/>
      <c r="H244" s="21"/>
      <c r="I244" s="21"/>
      <c r="J244" s="21"/>
      <c r="K244" s="21"/>
      <c r="N244" s="9"/>
      <c r="O244" s="21"/>
      <c r="P244" s="21"/>
      <c r="Q244" s="21"/>
      <c r="R244" s="21"/>
      <c r="S244" s="21"/>
      <c r="X244" s="9"/>
      <c r="Y244" s="21"/>
      <c r="Z244" s="21"/>
      <c r="AA244" s="21"/>
      <c r="AB244" s="21"/>
      <c r="AC244" s="21"/>
      <c r="AF244" s="9"/>
      <c r="AG244" s="21"/>
      <c r="AH244" s="21"/>
      <c r="AI244" s="21"/>
      <c r="AJ244" s="21"/>
      <c r="AK244" s="21"/>
      <c r="AP244" s="9"/>
      <c r="AQ244" s="21"/>
      <c r="AR244" s="21"/>
      <c r="AS244" s="21"/>
      <c r="AT244" s="21"/>
      <c r="AU244" s="21"/>
      <c r="AX244" s="9"/>
      <c r="AY244" s="21"/>
      <c r="AZ244" s="21"/>
      <c r="BA244" s="21"/>
      <c r="BB244" s="21"/>
      <c r="BC244" s="21"/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/>
      <c r="H245" s="21"/>
      <c r="I245" s="21"/>
      <c r="J245" s="21"/>
      <c r="K245" s="21"/>
      <c r="N245" s="9"/>
      <c r="O245" s="21"/>
      <c r="P245" s="21"/>
      <c r="Q245" s="21"/>
      <c r="R245" s="21"/>
      <c r="S245" s="21"/>
      <c r="X245" s="9"/>
      <c r="Y245" s="21"/>
      <c r="Z245" s="21"/>
      <c r="AA245" s="21"/>
      <c r="AB245" s="21"/>
      <c r="AC245" s="21"/>
      <c r="AF245" s="9"/>
      <c r="AG245" s="21"/>
      <c r="AH245" s="21"/>
      <c r="AI245" s="21"/>
      <c r="AJ245" s="21"/>
      <c r="AK245" s="21"/>
      <c r="AP245" s="9"/>
      <c r="AQ245" s="21"/>
      <c r="AR245" s="21"/>
      <c r="AS245" s="21"/>
      <c r="AT245" s="21"/>
      <c r="AU245" s="21"/>
      <c r="AX245" s="9"/>
      <c r="AY245" s="21"/>
      <c r="AZ245" s="21"/>
      <c r="BA245" s="21"/>
      <c r="BB245" s="21"/>
      <c r="BC245" s="21"/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/>
      <c r="H246" s="21"/>
      <c r="I246" s="21"/>
      <c r="J246" s="21"/>
      <c r="K246" s="21"/>
      <c r="N246" s="9"/>
      <c r="O246" s="21"/>
      <c r="P246" s="21"/>
      <c r="Q246" s="21"/>
      <c r="R246" s="21"/>
      <c r="S246" s="21"/>
      <c r="X246" s="9"/>
      <c r="Y246" s="21"/>
      <c r="Z246" s="21"/>
      <c r="AA246" s="21"/>
      <c r="AB246" s="21"/>
      <c r="AC246" s="21"/>
      <c r="AF246" s="9"/>
      <c r="AG246" s="21"/>
      <c r="AH246" s="21"/>
      <c r="AI246" s="21"/>
      <c r="AJ246" s="21"/>
      <c r="AK246" s="21"/>
      <c r="AP246" s="9"/>
      <c r="AQ246" s="21"/>
      <c r="AR246" s="21"/>
      <c r="AS246" s="21"/>
      <c r="AT246" s="21"/>
      <c r="AU246" s="21"/>
      <c r="AX246" s="9"/>
      <c r="AY246" s="21"/>
      <c r="AZ246" s="21"/>
      <c r="BA246" s="21"/>
      <c r="BB246" s="21"/>
      <c r="BC246" s="21"/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/>
      <c r="H247" s="21"/>
      <c r="I247" s="21"/>
      <c r="J247" s="21"/>
      <c r="K247" s="21"/>
      <c r="N247" s="9"/>
      <c r="O247" s="21"/>
      <c r="P247" s="21"/>
      <c r="Q247" s="21"/>
      <c r="R247" s="21"/>
      <c r="S247" s="21"/>
      <c r="X247" s="9"/>
      <c r="Y247" s="21"/>
      <c r="Z247" s="21"/>
      <c r="AA247" s="21"/>
      <c r="AB247" s="21"/>
      <c r="AC247" s="21"/>
      <c r="AF247" s="9"/>
      <c r="AG247" s="21"/>
      <c r="AH247" s="21"/>
      <c r="AI247" s="21"/>
      <c r="AJ247" s="21"/>
      <c r="AK247" s="21"/>
      <c r="AP247" s="9"/>
      <c r="AQ247" s="21"/>
      <c r="AR247" s="21"/>
      <c r="AS247" s="21"/>
      <c r="AT247" s="21"/>
      <c r="AU247" s="21"/>
      <c r="AX247" s="9"/>
      <c r="AY247" s="21"/>
      <c r="AZ247" s="21"/>
      <c r="BA247" s="21"/>
      <c r="BB247" s="21"/>
      <c r="BC247" s="21"/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/>
      <c r="H248" s="21"/>
      <c r="I248" s="21"/>
      <c r="J248" s="21"/>
      <c r="K248" s="21"/>
      <c r="N248" s="9"/>
      <c r="O248" s="21"/>
      <c r="P248" s="21"/>
      <c r="Q248" s="21"/>
      <c r="R248" s="21"/>
      <c r="S248" s="21"/>
      <c r="X248" s="9"/>
      <c r="Y248" s="21"/>
      <c r="Z248" s="21"/>
      <c r="AA248" s="21"/>
      <c r="AB248" s="21"/>
      <c r="AC248" s="21"/>
      <c r="AF248" s="9"/>
      <c r="AG248" s="21"/>
      <c r="AH248" s="21"/>
      <c r="AI248" s="21"/>
      <c r="AJ248" s="21"/>
      <c r="AK248" s="21"/>
      <c r="AP248" s="9"/>
      <c r="AQ248" s="21"/>
      <c r="AR248" s="21"/>
      <c r="AS248" s="21"/>
      <c r="AT248" s="21"/>
      <c r="AU248" s="21"/>
      <c r="AX248" s="9"/>
      <c r="AY248" s="21"/>
      <c r="AZ248" s="21"/>
      <c r="BA248" s="21"/>
      <c r="BB248" s="21"/>
      <c r="BC248" s="21"/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/>
      <c r="H249" s="21"/>
      <c r="I249" s="21"/>
      <c r="J249" s="21"/>
      <c r="K249" s="21"/>
      <c r="N249" s="9"/>
      <c r="O249" s="21"/>
      <c r="P249" s="21"/>
      <c r="Q249" s="21"/>
      <c r="R249" s="21"/>
      <c r="S249" s="21"/>
      <c r="X249" s="9"/>
      <c r="Y249" s="21"/>
      <c r="Z249" s="21"/>
      <c r="AA249" s="21"/>
      <c r="AB249" s="21"/>
      <c r="AC249" s="21"/>
      <c r="AF249" s="9"/>
      <c r="AG249" s="21"/>
      <c r="AH249" s="21"/>
      <c r="AI249" s="21"/>
      <c r="AJ249" s="21"/>
      <c r="AK249" s="21"/>
      <c r="AP249" s="9"/>
      <c r="AQ249" s="21"/>
      <c r="AR249" s="21"/>
      <c r="AS249" s="21"/>
      <c r="AT249" s="21"/>
      <c r="AU249" s="21"/>
      <c r="AX249" s="9"/>
      <c r="AY249" s="21"/>
      <c r="AZ249" s="21"/>
      <c r="BA249" s="21"/>
      <c r="BB249" s="21"/>
      <c r="BC249" s="21"/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/>
      <c r="H250" s="21"/>
      <c r="I250" s="21"/>
      <c r="J250" s="21"/>
      <c r="K250" s="21"/>
      <c r="N250" s="9"/>
      <c r="O250" s="21"/>
      <c r="P250" s="21"/>
      <c r="Q250" s="21"/>
      <c r="R250" s="21"/>
      <c r="S250" s="21"/>
      <c r="X250" s="9"/>
      <c r="Y250" s="21"/>
      <c r="Z250" s="21"/>
      <c r="AA250" s="21"/>
      <c r="AB250" s="21"/>
      <c r="AC250" s="21"/>
      <c r="AF250" s="9"/>
      <c r="AG250" s="21"/>
      <c r="AH250" s="21"/>
      <c r="AI250" s="21"/>
      <c r="AJ250" s="21"/>
      <c r="AK250" s="21"/>
      <c r="AP250" s="9"/>
      <c r="AQ250" s="21"/>
      <c r="AR250" s="21"/>
      <c r="AS250" s="21"/>
      <c r="AT250" s="21"/>
      <c r="AU250" s="21"/>
      <c r="AX250" s="9"/>
      <c r="AY250" s="21"/>
      <c r="AZ250" s="21"/>
      <c r="BA250" s="21"/>
      <c r="BB250" s="21"/>
      <c r="BC250" s="21"/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/>
      <c r="H251" s="21"/>
      <c r="I251" s="21"/>
      <c r="J251" s="21"/>
      <c r="K251" s="21"/>
      <c r="N251" s="9"/>
      <c r="O251" s="21"/>
      <c r="P251" s="21"/>
      <c r="Q251" s="21"/>
      <c r="R251" s="21"/>
      <c r="S251" s="21"/>
      <c r="X251" s="9"/>
      <c r="Y251" s="21"/>
      <c r="Z251" s="21"/>
      <c r="AA251" s="21"/>
      <c r="AB251" s="21"/>
      <c r="AC251" s="21"/>
      <c r="AF251" s="9"/>
      <c r="AG251" s="21"/>
      <c r="AH251" s="21"/>
      <c r="AI251" s="21"/>
      <c r="AJ251" s="21"/>
      <c r="AK251" s="21"/>
      <c r="AP251" s="9"/>
      <c r="AQ251" s="21"/>
      <c r="AR251" s="21"/>
      <c r="AS251" s="21"/>
      <c r="AT251" s="21"/>
      <c r="AU251" s="21"/>
      <c r="AX251" s="9"/>
      <c r="AY251" s="21"/>
      <c r="AZ251" s="21"/>
      <c r="BA251" s="21"/>
      <c r="BB251" s="21"/>
      <c r="BC251" s="21"/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/>
      <c r="H252" s="21"/>
      <c r="I252" s="21"/>
      <c r="J252" s="21"/>
      <c r="K252" s="21"/>
      <c r="N252" s="9"/>
      <c r="O252" s="21"/>
      <c r="P252" s="21"/>
      <c r="Q252" s="21"/>
      <c r="R252" s="21"/>
      <c r="S252" s="21"/>
      <c r="X252" s="9"/>
      <c r="Y252" s="21"/>
      <c r="Z252" s="21"/>
      <c r="AA252" s="21"/>
      <c r="AB252" s="21"/>
      <c r="AC252" s="21"/>
      <c r="AF252" s="9"/>
      <c r="AG252" s="21"/>
      <c r="AH252" s="21"/>
      <c r="AI252" s="21"/>
      <c r="AJ252" s="21"/>
      <c r="AK252" s="21"/>
      <c r="AP252" s="9"/>
      <c r="AQ252" s="21"/>
      <c r="AR252" s="21"/>
      <c r="AS252" s="21"/>
      <c r="AT252" s="21"/>
      <c r="AU252" s="21"/>
      <c r="AX252" s="9"/>
      <c r="AY252" s="21"/>
      <c r="AZ252" s="21"/>
      <c r="BA252" s="21"/>
      <c r="BB252" s="21"/>
      <c r="BC252" s="21"/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/>
      <c r="H253" s="21"/>
      <c r="I253" s="21"/>
      <c r="J253" s="21"/>
      <c r="K253" s="21"/>
      <c r="N253" s="9"/>
      <c r="O253" s="21"/>
      <c r="P253" s="21"/>
      <c r="Q253" s="21"/>
      <c r="R253" s="21"/>
      <c r="S253" s="21"/>
      <c r="X253" s="9"/>
      <c r="Y253" s="21"/>
      <c r="Z253" s="21"/>
      <c r="AA253" s="21"/>
      <c r="AB253" s="21"/>
      <c r="AC253" s="21"/>
      <c r="AF253" s="9"/>
      <c r="AG253" s="21"/>
      <c r="AH253" s="21"/>
      <c r="AI253" s="21"/>
      <c r="AJ253" s="21"/>
      <c r="AK253" s="21"/>
      <c r="AP253" s="9"/>
      <c r="AQ253" s="21"/>
      <c r="AR253" s="21"/>
      <c r="AS253" s="21"/>
      <c r="AT253" s="21"/>
      <c r="AU253" s="21"/>
      <c r="AX253" s="9"/>
      <c r="AY253" s="21"/>
      <c r="AZ253" s="21"/>
      <c r="BA253" s="21"/>
      <c r="BB253" s="21"/>
      <c r="BC253" s="21"/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/>
      <c r="H254" s="21"/>
      <c r="I254" s="21"/>
      <c r="J254" s="21"/>
      <c r="K254" s="21"/>
      <c r="N254" s="9"/>
      <c r="O254" s="21"/>
      <c r="P254" s="21"/>
      <c r="Q254" s="21"/>
      <c r="R254" s="21"/>
      <c r="S254" s="21"/>
      <c r="X254" s="9"/>
      <c r="Y254" s="21"/>
      <c r="Z254" s="21"/>
      <c r="AA254" s="21"/>
      <c r="AB254" s="21"/>
      <c r="AC254" s="21"/>
      <c r="AF254" s="9"/>
      <c r="AG254" s="21"/>
      <c r="AH254" s="21"/>
      <c r="AI254" s="21"/>
      <c r="AJ254" s="21"/>
      <c r="AK254" s="21"/>
      <c r="AP254" s="9"/>
      <c r="AQ254" s="21"/>
      <c r="AR254" s="21"/>
      <c r="AS254" s="21"/>
      <c r="AT254" s="21"/>
      <c r="AU254" s="21"/>
      <c r="AX254" s="9"/>
      <c r="AY254" s="21"/>
      <c r="AZ254" s="21"/>
      <c r="BA254" s="21"/>
      <c r="BB254" s="21"/>
      <c r="BC254" s="21"/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/>
      <c r="H255" s="21"/>
      <c r="I255" s="21"/>
      <c r="J255" s="21"/>
      <c r="K255" s="21"/>
      <c r="N255" s="9"/>
      <c r="O255" s="21"/>
      <c r="P255" s="21"/>
      <c r="Q255" s="21"/>
      <c r="R255" s="21"/>
      <c r="S255" s="21"/>
      <c r="X255" s="9"/>
      <c r="Y255" s="21"/>
      <c r="Z255" s="21"/>
      <c r="AA255" s="21"/>
      <c r="AB255" s="21"/>
      <c r="AC255" s="21"/>
      <c r="AF255" s="9"/>
      <c r="AG255" s="21"/>
      <c r="AH255" s="21"/>
      <c r="AI255" s="21"/>
      <c r="AJ255" s="21"/>
      <c r="AK255" s="21"/>
      <c r="AP255" s="9"/>
      <c r="AQ255" s="21"/>
      <c r="AR255" s="21"/>
      <c r="AS255" s="21"/>
      <c r="AT255" s="21"/>
      <c r="AU255" s="21"/>
      <c r="AX255" s="9"/>
      <c r="AY255" s="21"/>
      <c r="AZ255" s="21"/>
      <c r="BA255" s="21"/>
      <c r="BB255" s="21"/>
      <c r="BC255" s="21"/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/>
      <c r="H256" s="21"/>
      <c r="I256" s="21"/>
      <c r="J256" s="21"/>
      <c r="K256" s="21"/>
      <c r="N256" s="9"/>
      <c r="O256" s="21"/>
      <c r="P256" s="21"/>
      <c r="Q256" s="21"/>
      <c r="R256" s="21"/>
      <c r="S256" s="21"/>
      <c r="X256" s="9"/>
      <c r="Y256" s="21"/>
      <c r="Z256" s="21"/>
      <c r="AA256" s="21"/>
      <c r="AB256" s="21"/>
      <c r="AC256" s="21"/>
      <c r="AF256" s="9"/>
      <c r="AG256" s="21"/>
      <c r="AH256" s="21"/>
      <c r="AI256" s="21"/>
      <c r="AJ256" s="21"/>
      <c r="AK256" s="21"/>
      <c r="AP256" s="9"/>
      <c r="AQ256" s="21"/>
      <c r="AR256" s="21"/>
      <c r="AS256" s="21"/>
      <c r="AT256" s="21"/>
      <c r="AU256" s="21"/>
      <c r="AX256" s="9"/>
      <c r="AY256" s="21"/>
      <c r="AZ256" s="21"/>
      <c r="BA256" s="21"/>
      <c r="BB256" s="21"/>
      <c r="BC256" s="21"/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/>
      <c r="H257" s="21"/>
      <c r="I257" s="21"/>
      <c r="J257" s="21"/>
      <c r="K257" s="21"/>
      <c r="N257" s="9"/>
      <c r="O257" s="21"/>
      <c r="P257" s="21"/>
      <c r="Q257" s="24"/>
      <c r="R257" s="21"/>
      <c r="S257" s="21"/>
      <c r="X257" s="9"/>
      <c r="Y257" s="21"/>
      <c r="Z257" s="21"/>
      <c r="AA257" s="21"/>
      <c r="AB257" s="21"/>
      <c r="AC257" s="21"/>
      <c r="AF257" s="9"/>
      <c r="AG257" s="21"/>
      <c r="AH257" s="21"/>
      <c r="AI257" s="21"/>
      <c r="AJ257" s="21"/>
      <c r="AK257" s="21"/>
      <c r="AP257" s="9"/>
      <c r="AQ257" s="21"/>
      <c r="AR257" s="21"/>
      <c r="AS257" s="21"/>
      <c r="AT257" s="21"/>
      <c r="AU257" s="21"/>
      <c r="AX257" s="9"/>
      <c r="AY257" s="21"/>
      <c r="AZ257" s="21"/>
      <c r="BA257" s="21"/>
      <c r="BB257" s="21"/>
      <c r="BC257" s="21"/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/>
      <c r="H258" s="21"/>
      <c r="I258" s="21"/>
      <c r="J258" s="21"/>
      <c r="K258" s="21"/>
      <c r="N258" s="9"/>
      <c r="O258" s="21"/>
      <c r="P258" s="21"/>
      <c r="Q258" s="21"/>
      <c r="R258" s="21"/>
      <c r="S258" s="21"/>
      <c r="X258" s="9"/>
      <c r="Y258" s="21"/>
      <c r="Z258" s="21"/>
      <c r="AA258" s="21"/>
      <c r="AB258" s="21"/>
      <c r="AC258" s="21"/>
      <c r="AF258" s="9"/>
      <c r="AG258" s="21"/>
      <c r="AH258" s="21"/>
      <c r="AI258" s="24"/>
      <c r="AJ258" s="21"/>
      <c r="AK258" s="21"/>
      <c r="AP258" s="9"/>
      <c r="AQ258" s="21"/>
      <c r="AR258" s="21"/>
      <c r="AS258" s="21"/>
      <c r="AT258" s="21"/>
      <c r="AU258" s="21"/>
      <c r="AX258" s="9"/>
      <c r="AY258" s="21"/>
      <c r="AZ258" s="21"/>
      <c r="BA258" s="21"/>
      <c r="BB258" s="21"/>
      <c r="BC258" s="21"/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/>
      <c r="H259" s="21"/>
      <c r="I259" s="21"/>
      <c r="J259" s="21"/>
      <c r="K259" s="21"/>
      <c r="X259" s="9"/>
      <c r="Y259" s="21"/>
      <c r="Z259" s="21"/>
      <c r="AA259" s="21"/>
      <c r="AB259" s="21"/>
      <c r="AC259" s="21"/>
      <c r="AF259" s="9"/>
      <c r="AG259" s="21"/>
      <c r="AH259" s="21"/>
      <c r="AI259" s="21"/>
      <c r="AJ259" s="21"/>
      <c r="AK259" s="21"/>
      <c r="AP259" s="9"/>
      <c r="AQ259" s="21"/>
      <c r="AR259" s="21"/>
      <c r="AS259" s="21"/>
      <c r="AT259" s="21"/>
      <c r="AU259" s="21"/>
      <c r="AX259" s="9"/>
      <c r="AY259" s="21"/>
      <c r="AZ259" s="21"/>
      <c r="BA259" s="24"/>
      <c r="BB259" s="21"/>
      <c r="BC259" s="21"/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/>
      <c r="H260" s="21"/>
      <c r="I260" s="21"/>
      <c r="J260" s="21"/>
      <c r="K260" s="21"/>
      <c r="X260" s="9"/>
      <c r="Y260" s="21"/>
      <c r="Z260" s="21"/>
      <c r="AA260" s="21"/>
      <c r="AB260" s="21"/>
      <c r="AC260" s="21"/>
      <c r="AP260" s="9"/>
      <c r="AQ260" s="21"/>
      <c r="AR260" s="21"/>
      <c r="AS260" s="21"/>
      <c r="AT260" s="21"/>
      <c r="AU260" s="21"/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/>
      <c r="H261" s="21"/>
      <c r="I261" s="21"/>
      <c r="J261" s="21"/>
      <c r="K261" s="21"/>
      <c r="X261" s="9"/>
      <c r="Y261" s="21"/>
      <c r="Z261" s="21"/>
      <c r="AA261" s="21"/>
      <c r="AB261" s="21"/>
      <c r="AC261" s="21"/>
      <c r="AP261" s="9"/>
      <c r="AQ261" s="21"/>
      <c r="AR261" s="21"/>
      <c r="AS261" s="21"/>
      <c r="AT261" s="21"/>
      <c r="AU261" s="21"/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/>
      <c r="H262" s="21"/>
      <c r="I262" s="21"/>
      <c r="J262" s="21"/>
      <c r="K262" s="21"/>
      <c r="X262" s="9"/>
      <c r="Y262" s="21"/>
      <c r="Z262" s="21"/>
      <c r="AA262" s="21"/>
      <c r="AB262" s="21"/>
      <c r="AC262" s="21"/>
      <c r="AP262" s="9"/>
      <c r="AQ262" s="21"/>
      <c r="AR262" s="21"/>
      <c r="AS262" s="21"/>
      <c r="AT262" s="21"/>
      <c r="AU262" s="21"/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/>
      <c r="H263" s="21"/>
      <c r="I263" s="21"/>
      <c r="J263" s="21"/>
      <c r="K263" s="21"/>
      <c r="X263" s="9"/>
      <c r="Y263" s="21"/>
      <c r="Z263" s="21"/>
      <c r="AA263" s="21"/>
      <c r="AB263" s="21"/>
      <c r="AC263" s="21"/>
      <c r="AP263" s="9"/>
      <c r="AQ263" s="21"/>
      <c r="AR263" s="21"/>
      <c r="AS263" s="21"/>
      <c r="AT263" s="21"/>
      <c r="AU263" s="21"/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/>
      <c r="H264" s="21"/>
      <c r="I264" s="21"/>
      <c r="J264" s="21"/>
      <c r="K264" s="21"/>
      <c r="X264" s="9"/>
      <c r="Y264" s="21"/>
      <c r="Z264" s="21"/>
      <c r="AA264" s="21"/>
      <c r="AB264" s="21"/>
      <c r="AC264" s="21"/>
      <c r="AP264" s="9"/>
      <c r="AQ264" s="21"/>
      <c r="AR264" s="21"/>
      <c r="AS264" s="21"/>
      <c r="AT264" s="21"/>
      <c r="AU264" s="21"/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/>
      <c r="H265" s="21"/>
      <c r="I265" s="21"/>
      <c r="J265" s="21"/>
      <c r="K265" s="21"/>
      <c r="X265" s="9"/>
      <c r="Y265" s="21"/>
      <c r="Z265" s="21"/>
      <c r="AA265" s="21"/>
      <c r="AB265" s="21"/>
      <c r="AC265" s="21"/>
      <c r="AP265" s="9"/>
      <c r="AQ265" s="21"/>
      <c r="AR265" s="21"/>
      <c r="AS265" s="21"/>
      <c r="AT265" s="21"/>
      <c r="AU265" s="21"/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/>
      <c r="H266" s="21"/>
      <c r="I266" s="21"/>
      <c r="J266" s="21"/>
      <c r="K266" s="21"/>
      <c r="X266" s="9"/>
      <c r="Y266" s="21"/>
      <c r="Z266" s="21"/>
      <c r="AA266" s="21"/>
      <c r="AB266" s="21"/>
      <c r="AC266" s="21"/>
      <c r="AP266" s="9"/>
      <c r="AQ266" s="21"/>
      <c r="AR266" s="21"/>
      <c r="AS266" s="21"/>
      <c r="AT266" s="21"/>
      <c r="AU266" s="21"/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/>
      <c r="H267" s="21"/>
      <c r="I267" s="21"/>
      <c r="J267" s="21"/>
      <c r="K267" s="21"/>
      <c r="X267" s="9"/>
      <c r="Y267" s="21"/>
      <c r="Z267" s="21"/>
      <c r="AA267" s="21"/>
      <c r="AB267" s="21"/>
      <c r="AC267" s="21"/>
      <c r="AP267" s="9"/>
      <c r="AQ267" s="21"/>
      <c r="AR267" s="21"/>
      <c r="AS267" s="21"/>
      <c r="AT267" s="21"/>
      <c r="AU267" s="21"/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/>
      <c r="H268" s="21"/>
      <c r="I268" s="21"/>
      <c r="J268" s="21"/>
      <c r="K268" s="21"/>
      <c r="X268" s="9"/>
      <c r="Y268" s="21"/>
      <c r="Z268" s="21"/>
      <c r="AA268" s="21"/>
      <c r="AB268" s="21"/>
      <c r="AC268" s="21"/>
      <c r="AP268" s="9"/>
      <c r="AQ268" s="21"/>
      <c r="AR268" s="21"/>
      <c r="AS268" s="21"/>
      <c r="AT268" s="21"/>
      <c r="AU268" s="21"/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/>
      <c r="H269" s="21"/>
      <c r="I269" s="21"/>
      <c r="J269" s="21"/>
      <c r="K269" s="21"/>
      <c r="X269" s="9"/>
      <c r="Y269" s="21"/>
      <c r="Z269" s="21"/>
      <c r="AA269" s="21"/>
      <c r="AB269" s="21"/>
      <c r="AC269" s="21"/>
      <c r="AP269" s="9"/>
      <c r="AQ269" s="21"/>
      <c r="AR269" s="21"/>
      <c r="AS269" s="21"/>
      <c r="AT269" s="21"/>
      <c r="AU269" s="21"/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H398"/>
  <sheetViews>
    <sheetView workbookViewId="0">
      <selection activeCell="BD11" sqref="BD11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55709.100000009108</v>
      </c>
      <c r="H2" s="2"/>
      <c r="I2" s="6" t="s">
        <v>12</v>
      </c>
      <c r="J2" s="2"/>
      <c r="K2" s="7" t="s">
        <v>13</v>
      </c>
      <c r="L2" s="3">
        <f>L4*I6*L9/100*100</f>
        <v>24.118295859259259</v>
      </c>
      <c r="M2" s="8" t="s">
        <v>14</v>
      </c>
      <c r="N2" s="9"/>
      <c r="O2" s="2">
        <f>ABS(S7-S6)/ABS(T7-T6)*1000</f>
        <v>1981.9977639345318</v>
      </c>
      <c r="P2" s="2"/>
      <c r="Q2" s="6" t="s">
        <v>15</v>
      </c>
      <c r="R2" s="2"/>
      <c r="S2" s="7" t="s">
        <v>13</v>
      </c>
      <c r="T2" s="3">
        <f>T4*Q6*T9/100*100</f>
        <v>23.051209392592586</v>
      </c>
      <c r="U2" s="8" t="s">
        <v>14</v>
      </c>
      <c r="X2" s="9"/>
      <c r="Y2" s="2" t="e">
        <f>ABS(AC7-AC6)/ABS(AD7-AD6)*1000</f>
        <v>#N/A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>
        <f>ABS(AK7-AK6)/ABS(AL7-AL6)*1000</f>
        <v>1399.4268096773451</v>
      </c>
      <c r="AH2" s="2"/>
      <c r="AI2" s="6" t="s">
        <v>15</v>
      </c>
      <c r="AJ2" s="2"/>
      <c r="AK2" s="7" t="s">
        <v>13</v>
      </c>
      <c r="AL2" s="3">
        <f>AL4*AI6*AL9/100*100</f>
        <v>22.908042637037038</v>
      </c>
      <c r="AM2" s="8" t="s">
        <v>14</v>
      </c>
      <c r="AP2" s="9"/>
      <c r="AQ2" s="2">
        <f>ABS(AU7-AU6)/ABS(AV7-AV6)*1000</f>
        <v>2736.4203000004472</v>
      </c>
      <c r="AR2" s="2"/>
      <c r="AS2" s="6" t="s">
        <v>12</v>
      </c>
      <c r="AT2" s="2"/>
      <c r="AU2" s="7" t="s">
        <v>13</v>
      </c>
      <c r="AV2" s="3">
        <f>AV4*AS6*AV9/100*100</f>
        <v>23.992870274074072</v>
      </c>
      <c r="AW2" s="8" t="s">
        <v>14</v>
      </c>
      <c r="AX2" s="9"/>
      <c r="AY2" s="2">
        <f>ABS(BC7-BC6)/ABS(BD7-BD6)*1000</f>
        <v>1357.0872300002218</v>
      </c>
      <c r="AZ2" s="2"/>
      <c r="BA2" s="6" t="s">
        <v>15</v>
      </c>
      <c r="BB2" s="2"/>
      <c r="BC2" s="7" t="s">
        <v>13</v>
      </c>
      <c r="BD2" s="3">
        <f>BD4*BA6*BD9/100*100</f>
        <v>23.004332179012344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1.7492700000000001</v>
      </c>
      <c r="J3" s="2"/>
      <c r="K3" s="10">
        <f>INDEX(L11:L1056,MATCH(I3,K11:K1056,0))</f>
        <v>-0.87898148148148147</v>
      </c>
      <c r="L3" s="26" t="s">
        <v>16</v>
      </c>
      <c r="M3" s="11">
        <f>M9</f>
        <v>24.118295859259256</v>
      </c>
      <c r="N3" s="9"/>
      <c r="O3" s="2" t="s">
        <v>44</v>
      </c>
      <c r="P3" s="2"/>
      <c r="Q3" s="2">
        <f>INDEX(S11:S1056,MATCH(0,T11:T1056,-1))</f>
        <v>1.74194</v>
      </c>
      <c r="R3" s="2"/>
      <c r="S3" s="10">
        <f>INDEX(T11:T1056,MATCH(Q3,S11:S1056,0))</f>
        <v>0.95998518518518516</v>
      </c>
      <c r="T3" s="26" t="s">
        <v>16</v>
      </c>
      <c r="U3" s="11">
        <f>U9</f>
        <v>23.05120939259259</v>
      </c>
      <c r="X3" s="9"/>
      <c r="Y3" s="2" t="s">
        <v>44</v>
      </c>
      <c r="Z3" s="2"/>
      <c r="AA3" s="2" t="e">
        <f>INDEX(AC11:AC856,MATCH(0,AD11:AD856,1))</f>
        <v>#N/A</v>
      </c>
      <c r="AB3" s="2"/>
      <c r="AC3" s="10" t="e">
        <f>INDEX(AD11:AD1056,MATCH(AA3,AC11:AC1056,0))</f>
        <v>#N/A</v>
      </c>
      <c r="AD3" s="26" t="s">
        <v>16</v>
      </c>
      <c r="AE3" s="11">
        <f>AE9</f>
        <v>23.05120939259259</v>
      </c>
      <c r="AF3" s="9"/>
      <c r="AG3" s="2" t="s">
        <v>44</v>
      </c>
      <c r="AH3" s="2"/>
      <c r="AI3" s="2">
        <f>INDEX(AK11:AK1056,MATCH(0,AL11:AL1056,-1))</f>
        <v>1.74255</v>
      </c>
      <c r="AJ3" s="2"/>
      <c r="AK3" s="10">
        <f>INDEX(AL11:AL1056,MATCH(AI3,AK11:AK1056,0))</f>
        <v>1.3631234567901234</v>
      </c>
      <c r="AL3" s="26" t="s">
        <v>16</v>
      </c>
      <c r="AM3" s="11">
        <f>AM9</f>
        <v>22.908042637037038</v>
      </c>
      <c r="AP3" s="9"/>
      <c r="AQ3" s="2" t="s">
        <v>44</v>
      </c>
      <c r="AR3" s="2"/>
      <c r="AS3" s="2">
        <f>INDEX(AU11:AU856,MATCH(0,AV11:AV856,1))</f>
        <v>1.7446900000000001</v>
      </c>
      <c r="AT3" s="2"/>
      <c r="AU3" s="10">
        <f>INDEX(AV11:AV1056,MATCH(AS3,AU11:AU1056,0))</f>
        <v>-4.5286543209876538E-2</v>
      </c>
      <c r="AV3" s="26" t="s">
        <v>16</v>
      </c>
      <c r="AW3" s="11">
        <f>AW9</f>
        <v>23.992870274074072</v>
      </c>
      <c r="AX3" s="9"/>
      <c r="AY3" s="2" t="s">
        <v>44</v>
      </c>
      <c r="AZ3" s="2"/>
      <c r="BA3" s="2">
        <f>INDEX(BC11:BC1056,MATCH(0,BD11:BD1056,-1))</f>
        <v>1.74255</v>
      </c>
      <c r="BB3" s="2"/>
      <c r="BC3" s="10">
        <f>INDEX(BD11:BD1056,MATCH(BA3,BC11:BC1056,0))</f>
        <v>1.1796358024691358</v>
      </c>
      <c r="BD3" s="26" t="s">
        <v>16</v>
      </c>
      <c r="BE3" s="11">
        <f>BE9</f>
        <v>23.004332179012344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2.1063258920407262</v>
      </c>
      <c r="H4" s="2"/>
      <c r="I4" s="2">
        <f>INDEX(K11:K1000,1+MATCH(0,L11:L856,1))</f>
        <v>1.7440800000000001</v>
      </c>
      <c r="J4" s="2"/>
      <c r="K4" s="10">
        <f>INDEX(L11:L1056,MATCH(I4,K11:K1056,0))</f>
        <v>1.5850246913580246</v>
      </c>
      <c r="L4" s="25">
        <f>M3/(I6*L9)</f>
        <v>0.78706759512231261</v>
      </c>
      <c r="M4" s="8" t="s">
        <v>17</v>
      </c>
      <c r="N4" s="9"/>
      <c r="O4" s="2">
        <f>ABS(Q3-Q4)/ABS(S3-S4)*1000</f>
        <v>2.6619518351036153</v>
      </c>
      <c r="P4" s="2"/>
      <c r="Q4" s="2">
        <f>INDEX(S11:S856,1+MATCH(0,T11:T856,-1))</f>
        <v>1.7474400000000001</v>
      </c>
      <c r="R4" s="2"/>
      <c r="S4" s="10">
        <f>INDEX(T11:T856,MATCH(Q4,S11:S856,0))</f>
        <v>-1.1061679012345678</v>
      </c>
      <c r="T4" s="25">
        <f>U3/(Q6*T9)</f>
        <v>0.75408055265452945</v>
      </c>
      <c r="U4" s="8" t="s">
        <v>17</v>
      </c>
      <c r="X4" s="9"/>
      <c r="Y4" s="2" t="e">
        <f>ABS(AA3-AA4)/ABS(AC3-AC4)*1000</f>
        <v>#N/A</v>
      </c>
      <c r="Z4" s="2"/>
      <c r="AA4" s="2" t="e">
        <f>INDEX(AC11:AC1000,1+MATCH(0,AD11:AD856,1))</f>
        <v>#N/A</v>
      </c>
      <c r="AB4" s="2"/>
      <c r="AC4" s="10" t="e">
        <f>INDEX(AD11:AD1056,MATCH(AA4,AC11:AC1056,0))</f>
        <v>#N/A</v>
      </c>
      <c r="AD4" s="25" t="e">
        <f>AE3/(AA6*AD9)</f>
        <v>#N/A</v>
      </c>
      <c r="AE4" s="8" t="s">
        <v>17</v>
      </c>
      <c r="AF4" s="9"/>
      <c r="AG4" s="2">
        <f>ABS(AI3-AI4)/ABS(AK3-AK4)*1000</f>
        <v>2.4228192394198844</v>
      </c>
      <c r="AH4" s="2"/>
      <c r="AI4" s="2">
        <f>INDEX(AK11:AK856,1+MATCH(0,AL11:AL856,-1))</f>
        <v>1.7474400000000001</v>
      </c>
      <c r="AJ4" s="2"/>
      <c r="AK4" s="10">
        <f>INDEX(AL11:AL856,MATCH(AI4,AK11:AK856,0))</f>
        <v>-0.65518641975308634</v>
      </c>
      <c r="AL4" s="25">
        <f>AM3/(AI6*AL9)</f>
        <v>0.75120736320160619</v>
      </c>
      <c r="AM4" s="8" t="s">
        <v>17</v>
      </c>
      <c r="AP4" s="9"/>
      <c r="AQ4" s="2">
        <f>ABS(AS3-AS4)/ABS(AU3-AU4)*1000</f>
        <v>2.6619191054229447</v>
      </c>
      <c r="AR4" s="2"/>
      <c r="AS4" s="2">
        <f>INDEX(AU11:AU1000,1+MATCH(0,AV11:AV856,1))</f>
        <v>1.73889</v>
      </c>
      <c r="AT4" s="2"/>
      <c r="AU4" s="10">
        <f>INDEX(AV11:AV1056,MATCH(AS4,AU11:AU1056,0))</f>
        <v>2.1335925925925925</v>
      </c>
      <c r="AV4" s="25">
        <f>AW3/(AS6*AV9)</f>
        <v>0.79023953716679862</v>
      </c>
      <c r="AW4" s="8" t="s">
        <v>17</v>
      </c>
      <c r="AX4" s="9"/>
      <c r="AY4" s="2">
        <f>ABS(BA3-BA4)/ABS(BC3-BC4)*1000</f>
        <v>2.1801064842565636</v>
      </c>
      <c r="AZ4" s="2"/>
      <c r="BA4" s="2">
        <f>INDEX(BC11:BC856,1+MATCH(0,BD11:BD856,-1))</f>
        <v>1.7471300000000001</v>
      </c>
      <c r="BB4" s="2"/>
      <c r="BC4" s="10">
        <f>INDEX(BD11:BD856,MATCH(BA4,BC11:BC856,0))</f>
        <v>-0.92117901234567889</v>
      </c>
      <c r="BD4" s="25">
        <f>BE3/(BA6*BD9)</f>
        <v>0.75778748825156295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15.782469135802467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15.405679012345677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15.405679012345677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15.157037037037037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15.752345679012343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15.322839506172839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1.7474185785469314</v>
      </c>
      <c r="J6" s="25"/>
      <c r="K6" s="2">
        <f>INDEX(K11:K1056,MATCH(L6,L11:L1056,0))</f>
        <v>0.102631</v>
      </c>
      <c r="L6" s="10">
        <f>INDEX(L11:L1056,MATCH(0,K11:K1056,-1))</f>
        <v>17.534444444444443</v>
      </c>
      <c r="M6" s="8" t="s">
        <v>22</v>
      </c>
      <c r="N6" s="9"/>
      <c r="O6" s="2"/>
      <c r="P6" s="2"/>
      <c r="Q6" s="27">
        <f>(Q3-Q4)/(S3-S4)*(-S4)+Q4</f>
        <v>1.744495434325376</v>
      </c>
      <c r="R6" s="27"/>
      <c r="S6" s="2">
        <f>INDEX(S11:S1056,MATCH(T6,T11:T1056,0))</f>
        <v>-1.45691E-2</v>
      </c>
      <c r="T6" s="10">
        <f>INDEX(T11:T1056,MATCH(0,S11:S1056,1))</f>
        <v>17.515555555555554</v>
      </c>
      <c r="U6" s="8" t="s">
        <v>22</v>
      </c>
      <c r="X6" s="9"/>
      <c r="Y6" s="2"/>
      <c r="Z6" s="2"/>
      <c r="AA6" s="25" t="e">
        <f>(AA3-AA4)/(AC3-AC4)*(-AC4)+AA4</f>
        <v>#N/A</v>
      </c>
      <c r="AB6" s="25"/>
      <c r="AC6" s="2" t="e">
        <f>INDEX(AC11:AC1056,MATCH(AD6,AD11:AD1056,0))</f>
        <v>#N/A</v>
      </c>
      <c r="AD6" s="10" t="e">
        <f>INDEX(AD11:AD1056,MATCH(0,AC11:AC1056,-1))</f>
        <v>#N/A</v>
      </c>
      <c r="AE6" s="8" t="s">
        <v>22</v>
      </c>
      <c r="AF6" s="9"/>
      <c r="AG6" s="2"/>
      <c r="AH6" s="2"/>
      <c r="AI6" s="27">
        <f>(AI3-AI4)/(AK3-AK4)*(-AK4)+AI4</f>
        <v>1.7458526017368157</v>
      </c>
      <c r="AJ6" s="27"/>
      <c r="AK6" s="2">
        <f>INDEX(AK11:AK1056,MATCH(AL6,AL11:AL1056,0))</f>
        <v>-4.5898400000000004E-3</v>
      </c>
      <c r="AL6" s="10">
        <f>INDEX(AL11:AL1056,MATCH(0,AK11:AK1056,1))</f>
        <v>17.470370370370368</v>
      </c>
      <c r="AM6" s="8" t="s">
        <v>22</v>
      </c>
      <c r="AP6" s="9"/>
      <c r="AQ6" s="2"/>
      <c r="AR6" s="2"/>
      <c r="AS6" s="25">
        <f>(AS3-AS4)/(AU3-AU4)*(-AU4)+AS4</f>
        <v>1.744569450885411</v>
      </c>
      <c r="AT6" s="25"/>
      <c r="AU6" s="2">
        <f>INDEX(AU11:AU1056,MATCH(AV6,AV11:AV1056,0))</f>
        <v>2.3284899999999999E-3</v>
      </c>
      <c r="AV6" s="10">
        <f>INDEX(AV11:AV1056,MATCH(0,AU11:AU1056,-1))</f>
        <v>17.40259259259259</v>
      </c>
      <c r="AW6" s="8" t="s">
        <v>22</v>
      </c>
      <c r="AX6" s="9"/>
      <c r="AY6" s="2"/>
      <c r="AZ6" s="2"/>
      <c r="BA6" s="27">
        <f>(BA3-BA4)/(BC3-BC4)*(-BC4)+BA4</f>
        <v>1.7451217316620242</v>
      </c>
      <c r="BB6" s="27"/>
      <c r="BC6" s="2">
        <f>INDEX(BC11:BC1056,MATCH(BD6,BD11:BD1056,0))</f>
        <v>-4.4555699999999998E-3</v>
      </c>
      <c r="BD6" s="10">
        <f>INDEX(BD11:BD1056,MATCH(0,BC11:BC1056,1))</f>
        <v>17.398765432098763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-0.103699</v>
      </c>
      <c r="L7" s="10">
        <f>INDEX(L11:L856,1+MATCH(0,K11:K856,-1))</f>
        <v>17.538148148148146</v>
      </c>
      <c r="M7" s="12">
        <f>INDEX(K11:K1056,MATCH(M9,M11:M1056,0))</f>
        <v>1.5277099999999999</v>
      </c>
      <c r="N7" s="9"/>
      <c r="O7" s="2"/>
      <c r="P7" s="2"/>
      <c r="Q7" s="2"/>
      <c r="R7" s="2"/>
      <c r="S7" s="2">
        <f>INDEX(S11:S1056,MATCH(T7,T11:T1056,0))</f>
        <v>3.5705600000000002E-4</v>
      </c>
      <c r="T7" s="10">
        <f>INDEX(T11:T1056,1+MATCH(0,S11:S1056,1))</f>
        <v>17.523086419753085</v>
      </c>
      <c r="U7" s="12">
        <f>INDEX(S11:S1056,MATCH(U9,U11:U1056,0))</f>
        <v>1.4956700000000001</v>
      </c>
      <c r="X7" s="9"/>
      <c r="Y7" s="2"/>
      <c r="Z7" s="2"/>
      <c r="AA7" s="2"/>
      <c r="AB7" s="2"/>
      <c r="AC7" s="2" t="e">
        <f>INDEX(AC11:AC856,MATCH(AD7,AD11:AD856,1))</f>
        <v>#N/A</v>
      </c>
      <c r="AD7" s="10" t="e">
        <f>INDEX(AD11:AD856,1+MATCH(0,AC11:AC856,-1))</f>
        <v>#N/A</v>
      </c>
      <c r="AE7" s="12">
        <f>INDEX(AC11:AC1056,MATCH(AE9,AE11:AE1056,0))</f>
        <v>1.4956700000000001</v>
      </c>
      <c r="AF7" s="9"/>
      <c r="AG7" s="2"/>
      <c r="AH7" s="2"/>
      <c r="AI7" s="2"/>
      <c r="AJ7" s="2"/>
      <c r="AK7" s="2">
        <f>INDEX(AK11:AK1056,MATCH(AL7,AL11:AL1056,0))</f>
        <v>7.6599100000000005E-4</v>
      </c>
      <c r="AL7" s="10">
        <f>INDEX(AL11:AL1056,1+MATCH(0,AK11:AK1056,1))</f>
        <v>17.466543209876541</v>
      </c>
      <c r="AM7" s="12">
        <f>INDEX(AK11:AK1056,MATCH(AM9,AM11:AM1056,0))</f>
        <v>1.5106200000000001</v>
      </c>
      <c r="AP7" s="9"/>
      <c r="AQ7" s="2"/>
      <c r="AR7" s="2"/>
      <c r="AS7" s="2"/>
      <c r="AT7" s="2"/>
      <c r="AU7" s="2">
        <f>INDEX(AU11:AU856,MATCH(AV7,AV11:AV856,1))</f>
        <v>-7.8063999999999998E-3</v>
      </c>
      <c r="AV7" s="10">
        <f>INDEX(AV11:AV856,1+MATCH(0,AU11:AU856,-1))</f>
        <v>17.406296296296293</v>
      </c>
      <c r="AW7" s="12">
        <f>INDEX(AU11:AU1056,MATCH(AW9,AW11:AW1056,0))</f>
        <v>1.5219100000000001</v>
      </c>
      <c r="AX7" s="9"/>
      <c r="AY7" s="2"/>
      <c r="AZ7" s="2"/>
      <c r="BA7" s="2"/>
      <c r="BB7" s="2"/>
      <c r="BC7" s="2">
        <f>INDEX(BC11:BC1056,MATCH(BD7,BD11:BD1056,0))</f>
        <v>5.7067900000000004E-4</v>
      </c>
      <c r="BD7" s="10">
        <f>INDEX(BD11:BD1056,1+MATCH(0,BC11:BC1056,1))</f>
        <v>17.39506172839506</v>
      </c>
      <c r="BE7" s="12">
        <f>INDEX(BC11:BC1056,MATCH(BE9,BE11:BE1056,0))</f>
        <v>1.5005500000000001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4.4243858392549225</v>
      </c>
      <c r="J9" s="2"/>
      <c r="K9" s="2"/>
      <c r="L9" s="3">
        <f>(L6-L7)/(K6-K7)*(-K7)+L7</f>
        <v>17.536286710788719</v>
      </c>
      <c r="M9" s="15">
        <f>MAX(M11:M1056)</f>
        <v>24.118295859259256</v>
      </c>
      <c r="N9" s="9"/>
      <c r="O9" s="2"/>
      <c r="P9" s="2"/>
      <c r="Q9" s="2"/>
      <c r="R9" s="2"/>
      <c r="S9" s="2"/>
      <c r="T9" s="3">
        <f>(T6-T7)/(S6-S7)*(-S7)+T7</f>
        <v>17.522906270205745</v>
      </c>
      <c r="U9" s="15">
        <f>MAX(U11:U1056)</f>
        <v>23.05120939259259</v>
      </c>
      <c r="X9" s="9"/>
      <c r="Y9" s="2"/>
      <c r="Z9" s="2"/>
      <c r="AA9" s="14" t="e">
        <f>(MAX(AD2,AL2)-MIN(AD2,AL2))/MAX(AD2,AL2)%</f>
        <v>#N/A</v>
      </c>
      <c r="AB9" s="2"/>
      <c r="AC9" s="2"/>
      <c r="AD9" s="3" t="e">
        <f>(AD6-AD7)/(AC6-AC7)*(-AC7)+AD7</f>
        <v>#N/A</v>
      </c>
      <c r="AE9" s="15">
        <f>MAX(AE11:AE1056)</f>
        <v>23.05120939259259</v>
      </c>
      <c r="AF9" s="9"/>
      <c r="AG9" s="2"/>
      <c r="AH9" s="2"/>
      <c r="AI9" s="2"/>
      <c r="AJ9" s="2"/>
      <c r="AK9" s="2"/>
      <c r="AL9" s="3">
        <f>(AL6-AL7)/(AK6-AK7)*(-AK7)+AL7</f>
        <v>17.46709057040637</v>
      </c>
      <c r="AM9" s="15">
        <f>MAX(AM11:AM1056)</f>
        <v>22.908042637037038</v>
      </c>
      <c r="AP9" s="9"/>
      <c r="AQ9" s="2"/>
      <c r="AR9" s="2"/>
      <c r="AS9" s="14">
        <f>(MAX(AV2,BD2)-MIN(AV2,BD2))/MAX(AV2,BD2)%</f>
        <v>4.120132705130783</v>
      </c>
      <c r="AT9" s="2"/>
      <c r="AU9" s="2"/>
      <c r="AV9" s="3">
        <f>(AV6-AV7)/(AU6-AU7)*(-AU7)+AV7</f>
        <v>17.403443518161296</v>
      </c>
      <c r="AW9" s="15">
        <f>MAX(AW11:AW1056)</f>
        <v>23.992870274074072</v>
      </c>
      <c r="AX9" s="9"/>
      <c r="AY9" s="2"/>
      <c r="AZ9" s="2"/>
      <c r="BA9" s="2"/>
      <c r="BB9" s="2"/>
      <c r="BC9" s="2"/>
      <c r="BD9" s="3">
        <f>(BD6-BD7)/(BC6-BC7)*(-BC7)+BD7</f>
        <v>17.3954822459472</v>
      </c>
      <c r="BE9" s="15">
        <f>MAX(BE11:BE1056)</f>
        <v>23.004332179012344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1.7474185785469314</v>
      </c>
      <c r="B11" s="18">
        <f>IFERROR(L9,0)</f>
        <v>17.536286710788719</v>
      </c>
      <c r="C11" s="19">
        <f>IFERROR(L4,0)</f>
        <v>0.78706759512231261</v>
      </c>
      <c r="D11" s="20">
        <f>IFERROR(L2,0)</f>
        <v>24.118295859259259</v>
      </c>
      <c r="E11" s="20">
        <f>IFERROR(I9,0)</f>
        <v>4.4243858392549225</v>
      </c>
      <c r="F11" s="9"/>
      <c r="G11" s="21">
        <v>1.7849699999999999</v>
      </c>
      <c r="H11" s="21">
        <v>5.3823999999999996</v>
      </c>
      <c r="I11" s="21">
        <v>2.23053E-2</v>
      </c>
      <c r="J11" s="21">
        <v>1</v>
      </c>
      <c r="K11" s="21">
        <v>1.7843599999999999</v>
      </c>
      <c r="L11">
        <f>-I11/$F$2*1000</f>
        <v>-27.537407407407407</v>
      </c>
      <c r="M11">
        <f>L11*G11</f>
        <v>-49.153446099999996</v>
      </c>
      <c r="N11" s="9"/>
      <c r="O11" s="21">
        <v>-9.49097E-2</v>
      </c>
      <c r="P11" s="21">
        <v>9.1814400000000003</v>
      </c>
      <c r="Q11" s="21">
        <v>-1.42273E-2</v>
      </c>
      <c r="R11" s="21">
        <v>1</v>
      </c>
      <c r="S11" s="21">
        <v>-9.5306399999999999E-2</v>
      </c>
      <c r="T11">
        <f>-Q11/$F$2*1000</f>
        <v>17.564567901234565</v>
      </c>
      <c r="U11">
        <f>T11*O11</f>
        <v>-1.6670478701358022</v>
      </c>
      <c r="V11" s="22"/>
      <c r="W11" s="23"/>
      <c r="X11" s="9"/>
      <c r="Y11" s="21">
        <v>-9.49097E-2</v>
      </c>
      <c r="Z11" s="21">
        <v>9.1814400000000003</v>
      </c>
      <c r="AA11" s="21">
        <v>-1.42273E-2</v>
      </c>
      <c r="AB11" s="21">
        <v>1</v>
      </c>
      <c r="AC11" s="21">
        <v>-9.5306399999999999E-2</v>
      </c>
      <c r="AD11">
        <f>-AA11/$F$2*1000</f>
        <v>17.564567901234565</v>
      </c>
      <c r="AE11">
        <f>AD11*Y11</f>
        <v>-1.6670478701358022</v>
      </c>
      <c r="AF11" s="9"/>
      <c r="AG11" s="21">
        <v>-9.49097E-2</v>
      </c>
      <c r="AH11" s="21">
        <v>18.480699999999999</v>
      </c>
      <c r="AI11" s="21">
        <v>-1.4123500000000001E-2</v>
      </c>
      <c r="AJ11" s="21">
        <v>1</v>
      </c>
      <c r="AK11" s="21">
        <v>-9.5397899999999994E-2</v>
      </c>
      <c r="AL11">
        <f>-AI11/$F$2*1000</f>
        <v>17.436419753086419</v>
      </c>
      <c r="AM11">
        <f>AL11*AG11</f>
        <v>-1.6548853678395061</v>
      </c>
      <c r="AP11" s="9"/>
      <c r="AQ11" s="21">
        <v>1.7849699999999999</v>
      </c>
      <c r="AR11" s="21">
        <v>23.959800000000001</v>
      </c>
      <c r="AS11" s="21">
        <v>2.31262E-2</v>
      </c>
      <c r="AT11" s="21">
        <v>1</v>
      </c>
      <c r="AU11" s="21">
        <v>1.78467</v>
      </c>
      <c r="AV11">
        <f>-AS11/$F$2*1000</f>
        <v>-28.550864197530863</v>
      </c>
      <c r="AW11">
        <f>AV11*AQ11</f>
        <v>-50.962436066666662</v>
      </c>
      <c r="AX11" s="9"/>
      <c r="AY11" s="21">
        <v>-9.49097E-2</v>
      </c>
      <c r="AZ11" s="21">
        <v>27.758900000000001</v>
      </c>
      <c r="BA11" s="21">
        <v>-1.41327E-2</v>
      </c>
      <c r="BB11" s="21">
        <v>1</v>
      </c>
      <c r="BC11" s="21">
        <v>-9.5550499999999997E-2</v>
      </c>
      <c r="BD11">
        <f>-BA11/$F$2*1000</f>
        <v>17.447777777777777</v>
      </c>
      <c r="BE11">
        <f>BD11*AY11</f>
        <v>-1.6559633545555554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1.744495434325376</v>
      </c>
      <c r="B12" s="18">
        <f>IFERROR(T9,0)</f>
        <v>17.522906270205745</v>
      </c>
      <c r="C12" s="19">
        <f>IFERROR(T4,0)</f>
        <v>0.75408055265452945</v>
      </c>
      <c r="D12" s="20">
        <f>IFERROR(T2,0)</f>
        <v>23.051209392592586</v>
      </c>
      <c r="E12" s="20"/>
      <c r="F12" s="9"/>
      <c r="G12" s="21">
        <v>1.7799400000000001</v>
      </c>
      <c r="H12" s="21">
        <v>5.3924700000000003</v>
      </c>
      <c r="I12" s="21">
        <v>1.87073E-2</v>
      </c>
      <c r="J12" s="21">
        <v>2</v>
      </c>
      <c r="K12" s="21">
        <v>1.77948</v>
      </c>
      <c r="L12">
        <f t="shared" ref="L12:L75" si="0">-I12/$F$2*1000</f>
        <v>-23.095432098765428</v>
      </c>
      <c r="M12">
        <f t="shared" ref="M12:M75" si="1">L12*G12</f>
        <v>-41.108483409876541</v>
      </c>
      <c r="N12" s="9"/>
      <c r="O12" s="21">
        <v>-8.9874300000000004E-2</v>
      </c>
      <c r="P12" s="21">
        <v>9.1915099999999992</v>
      </c>
      <c r="Q12" s="21">
        <v>-1.42212E-2</v>
      </c>
      <c r="R12" s="21">
        <v>2</v>
      </c>
      <c r="S12" s="21">
        <v>-9.0393100000000004E-2</v>
      </c>
      <c r="T12">
        <f t="shared" ref="T12:T75" si="2">-Q12/$F$2*1000</f>
        <v>17.557037037037034</v>
      </c>
      <c r="U12">
        <f t="shared" ref="U12:U75" si="3">T12*O12</f>
        <v>-1.5779264137777775</v>
      </c>
      <c r="V12" s="22"/>
      <c r="W12" s="23"/>
      <c r="X12" s="9"/>
      <c r="Y12" s="21">
        <v>-8.9874300000000004E-2</v>
      </c>
      <c r="Z12" s="21">
        <v>9.1915099999999992</v>
      </c>
      <c r="AA12" s="21">
        <v>-1.42212E-2</v>
      </c>
      <c r="AB12" s="21">
        <v>2</v>
      </c>
      <c r="AC12" s="21">
        <v>-9.0393100000000004E-2</v>
      </c>
      <c r="AD12">
        <f t="shared" ref="AD12:AD75" si="4">-AA12/$F$2*1000</f>
        <v>17.557037037037034</v>
      </c>
      <c r="AE12">
        <f t="shared" ref="AE12:AE75" si="5">AD12*Y12</f>
        <v>-1.5779264137777775</v>
      </c>
      <c r="AF12" s="9"/>
      <c r="AG12" s="21">
        <v>-8.9874300000000004E-2</v>
      </c>
      <c r="AH12" s="21">
        <v>18.4907</v>
      </c>
      <c r="AI12" s="21">
        <v>-1.4123500000000001E-2</v>
      </c>
      <c r="AJ12" s="21">
        <v>2</v>
      </c>
      <c r="AK12" s="21">
        <v>-9.0423600000000007E-2</v>
      </c>
      <c r="AL12">
        <f t="shared" ref="AL12:AL75" si="6">-AI12/$F$2*1000</f>
        <v>17.436419753086419</v>
      </c>
      <c r="AM12">
        <f t="shared" ref="AM12:AM75" si="7">AL12*AG12</f>
        <v>-1.5670860198148149</v>
      </c>
      <c r="AP12" s="9"/>
      <c r="AQ12" s="21">
        <v>1.7799400000000001</v>
      </c>
      <c r="AR12" s="21">
        <v>23.969899999999999</v>
      </c>
      <c r="AS12" s="21">
        <v>1.96075E-2</v>
      </c>
      <c r="AT12" s="21">
        <v>2</v>
      </c>
      <c r="AU12" s="21">
        <v>1.77948</v>
      </c>
      <c r="AV12">
        <f t="shared" ref="AV12:AV75" si="8">-AS12/$F$2*1000</f>
        <v>-24.206790123456788</v>
      </c>
      <c r="AW12">
        <f t="shared" ref="AW12:AW75" si="9">AV12*AQ12</f>
        <v>-43.086634012345677</v>
      </c>
      <c r="AX12" s="9"/>
      <c r="AY12" s="21">
        <v>-8.9874300000000004E-2</v>
      </c>
      <c r="AZ12" s="21">
        <v>27.768999999999998</v>
      </c>
      <c r="BA12" s="21">
        <v>-1.4135699999999999E-2</v>
      </c>
      <c r="BB12" s="21">
        <v>2</v>
      </c>
      <c r="BC12" s="21">
        <v>-9.0331999999999996E-2</v>
      </c>
      <c r="BD12">
        <f t="shared" ref="BD12:BD75" si="10">-BA12/$F$2*1000</f>
        <v>17.45148148148148</v>
      </c>
      <c r="BE12">
        <f t="shared" ref="BE12:BE75" si="11">BD12*AY12</f>
        <v>-1.5684396821111111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0</v>
      </c>
      <c r="B13" s="18">
        <f>IFERROR(AD9,0)</f>
        <v>0</v>
      </c>
      <c r="C13" s="19">
        <f>IFERROR(AD4,0)</f>
        <v>0</v>
      </c>
      <c r="D13" s="20">
        <f>IFERROR(AD2,0)</f>
        <v>0</v>
      </c>
      <c r="E13" s="20">
        <f>IFERROR(AA9,0)</f>
        <v>0</v>
      </c>
      <c r="F13" s="9"/>
      <c r="G13" s="21">
        <v>1.7748999999999999</v>
      </c>
      <c r="H13" s="21">
        <v>5.4025400000000001</v>
      </c>
      <c r="I13" s="21">
        <v>1.5271E-2</v>
      </c>
      <c r="J13" s="21">
        <v>3</v>
      </c>
      <c r="K13" s="21">
        <v>1.77399</v>
      </c>
      <c r="L13">
        <f t="shared" si="0"/>
        <v>-18.853086419753083</v>
      </c>
      <c r="M13">
        <f t="shared" si="1"/>
        <v>-33.462343086419743</v>
      </c>
      <c r="N13" s="9"/>
      <c r="O13" s="21">
        <v>-8.4838899999999995E-2</v>
      </c>
      <c r="P13" s="21">
        <v>9.2015899999999995</v>
      </c>
      <c r="Q13" s="21">
        <v>-1.42151E-2</v>
      </c>
      <c r="R13" s="21">
        <v>3</v>
      </c>
      <c r="S13" s="21">
        <v>-8.5449200000000003E-2</v>
      </c>
      <c r="T13">
        <f t="shared" si="2"/>
        <v>17.549506172839507</v>
      </c>
      <c r="U13">
        <f t="shared" si="3"/>
        <v>-1.4888807992469135</v>
      </c>
      <c r="V13" s="22"/>
      <c r="W13" s="23"/>
      <c r="X13" s="9"/>
      <c r="Y13" s="21">
        <v>-8.4838899999999995E-2</v>
      </c>
      <c r="Z13" s="21">
        <v>9.2015899999999995</v>
      </c>
      <c r="AA13" s="21">
        <v>-1.42151E-2</v>
      </c>
      <c r="AB13" s="21">
        <v>3</v>
      </c>
      <c r="AC13" s="21">
        <v>-8.5449200000000003E-2</v>
      </c>
      <c r="AD13">
        <f t="shared" si="4"/>
        <v>17.549506172839507</v>
      </c>
      <c r="AE13">
        <f t="shared" si="5"/>
        <v>-1.4888807992469135</v>
      </c>
      <c r="AF13" s="9"/>
      <c r="AG13" s="21">
        <v>-8.4838899999999995E-2</v>
      </c>
      <c r="AH13" s="21">
        <v>18.500800000000002</v>
      </c>
      <c r="AI13" s="21">
        <v>-1.41266E-2</v>
      </c>
      <c r="AJ13" s="21">
        <v>3</v>
      </c>
      <c r="AK13" s="21">
        <v>-8.5266099999999997E-2</v>
      </c>
      <c r="AL13">
        <f t="shared" si="6"/>
        <v>17.440246913580246</v>
      </c>
      <c r="AM13">
        <f t="shared" si="7"/>
        <v>-1.4796113638765431</v>
      </c>
      <c r="AP13" s="9"/>
      <c r="AQ13" s="21">
        <v>1.7748999999999999</v>
      </c>
      <c r="AR13" s="21">
        <v>23.98</v>
      </c>
      <c r="AS13" s="21">
        <v>1.6275000000000001E-2</v>
      </c>
      <c r="AT13" s="21">
        <v>3</v>
      </c>
      <c r="AU13" s="21">
        <v>1.7742899999999999</v>
      </c>
      <c r="AV13">
        <f t="shared" si="8"/>
        <v>-20.092592592592592</v>
      </c>
      <c r="AW13">
        <f t="shared" si="9"/>
        <v>-35.662342592592587</v>
      </c>
      <c r="AX13" s="9"/>
      <c r="AY13" s="21">
        <v>-8.4838899999999995E-2</v>
      </c>
      <c r="AZ13" s="21">
        <v>27.779</v>
      </c>
      <c r="BA13" s="21">
        <v>-1.4135699999999999E-2</v>
      </c>
      <c r="BB13" s="21">
        <v>3</v>
      </c>
      <c r="BC13" s="21">
        <v>-8.52966E-2</v>
      </c>
      <c r="BD13">
        <f t="shared" si="10"/>
        <v>17.45148148148148</v>
      </c>
      <c r="BE13">
        <f t="shared" si="11"/>
        <v>-1.4805644922592591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1.7458526017368157</v>
      </c>
      <c r="B14" s="18">
        <f>IFERROR(AL9,0)</f>
        <v>17.46709057040637</v>
      </c>
      <c r="C14" s="19">
        <f>IFERROR(AL4,0)</f>
        <v>0.75120736320160619</v>
      </c>
      <c r="D14" s="20">
        <f>IFERROR(AL2,0)</f>
        <v>22.908042637037038</v>
      </c>
      <c r="E14" s="20"/>
      <c r="F14" s="9"/>
      <c r="G14" s="21">
        <v>1.7698700000000001</v>
      </c>
      <c r="H14" s="21">
        <v>5.4126099999999999</v>
      </c>
      <c r="I14" s="21">
        <v>1.19781E-2</v>
      </c>
      <c r="J14" s="21">
        <v>4</v>
      </c>
      <c r="K14" s="21">
        <v>1.7694099999999999</v>
      </c>
      <c r="L14">
        <f t="shared" si="0"/>
        <v>-14.787777777777777</v>
      </c>
      <c r="M14">
        <f t="shared" si="1"/>
        <v>-26.172444255555554</v>
      </c>
      <c r="N14" s="9"/>
      <c r="O14" s="21">
        <v>-7.9803499999999999E-2</v>
      </c>
      <c r="P14" s="21">
        <v>9.2116600000000002</v>
      </c>
      <c r="Q14" s="21">
        <v>-1.4208999999999999E-2</v>
      </c>
      <c r="R14" s="21">
        <v>4</v>
      </c>
      <c r="S14" s="21">
        <v>-8.0230700000000002E-2</v>
      </c>
      <c r="T14">
        <f t="shared" si="2"/>
        <v>17.541975308641973</v>
      </c>
      <c r="U14">
        <f t="shared" si="3"/>
        <v>-1.3999110265432098</v>
      </c>
      <c r="V14" s="22"/>
      <c r="W14" s="23"/>
      <c r="X14" s="9"/>
      <c r="Y14" s="21">
        <v>-7.9803499999999999E-2</v>
      </c>
      <c r="Z14" s="21">
        <v>9.2116600000000002</v>
      </c>
      <c r="AA14" s="21">
        <v>-1.4208999999999999E-2</v>
      </c>
      <c r="AB14" s="21">
        <v>4</v>
      </c>
      <c r="AC14" s="21">
        <v>-8.0230700000000002E-2</v>
      </c>
      <c r="AD14">
        <f t="shared" si="4"/>
        <v>17.541975308641973</v>
      </c>
      <c r="AE14">
        <f t="shared" si="5"/>
        <v>-1.3999110265432098</v>
      </c>
      <c r="AF14" s="9"/>
      <c r="AG14" s="21">
        <v>-7.9803499999999999E-2</v>
      </c>
      <c r="AH14" s="21">
        <v>18.510899999999999</v>
      </c>
      <c r="AI14" s="21">
        <v>-1.41266E-2</v>
      </c>
      <c r="AJ14" s="21">
        <v>4</v>
      </c>
      <c r="AK14" s="21">
        <v>-8.0200199999999999E-2</v>
      </c>
      <c r="AL14">
        <f t="shared" si="6"/>
        <v>17.440246913580246</v>
      </c>
      <c r="AM14">
        <f t="shared" si="7"/>
        <v>-1.3917927445679013</v>
      </c>
      <c r="AP14" s="9"/>
      <c r="AQ14" s="21">
        <v>1.7698700000000001</v>
      </c>
      <c r="AR14" s="21">
        <v>23.990100000000002</v>
      </c>
      <c r="AS14" s="21">
        <v>1.31348E-2</v>
      </c>
      <c r="AT14" s="21">
        <v>4</v>
      </c>
      <c r="AU14" s="21">
        <v>1.7694099999999999</v>
      </c>
      <c r="AV14">
        <f t="shared" si="8"/>
        <v>-16.215802469135802</v>
      </c>
      <c r="AW14">
        <f t="shared" si="9"/>
        <v>-28.699862316049384</v>
      </c>
      <c r="AX14" s="9"/>
      <c r="AY14" s="21">
        <v>-7.9803499999999999E-2</v>
      </c>
      <c r="AZ14" s="21">
        <v>27.789100000000001</v>
      </c>
      <c r="BA14" s="21">
        <v>-1.4120499999999999E-2</v>
      </c>
      <c r="BB14" s="21">
        <v>4</v>
      </c>
      <c r="BC14" s="21">
        <v>-8.0200199999999999E-2</v>
      </c>
      <c r="BD14">
        <f t="shared" si="10"/>
        <v>17.432716049382716</v>
      </c>
      <c r="BE14">
        <f t="shared" si="11"/>
        <v>-1.3911917552469135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1.744569450885411</v>
      </c>
      <c r="B15" s="18">
        <f>IFERROR(AV9,0)</f>
        <v>17.403443518161296</v>
      </c>
      <c r="C15" s="19">
        <f>IFERROR(AV4,0)</f>
        <v>0.79023953716679862</v>
      </c>
      <c r="D15" s="20">
        <f>IFERROR(AV2,0)</f>
        <v>23.992870274074072</v>
      </c>
      <c r="E15" s="20">
        <f>IFERROR(AS9,0)</f>
        <v>4.120132705130783</v>
      </c>
      <c r="F15" s="9"/>
      <c r="G15" s="21">
        <v>1.7648299999999999</v>
      </c>
      <c r="H15" s="21">
        <v>5.4226799999999997</v>
      </c>
      <c r="I15" s="21">
        <v>8.7493899999999993E-3</v>
      </c>
      <c r="J15" s="21">
        <v>5</v>
      </c>
      <c r="K15" s="21">
        <v>1.7639199999999999</v>
      </c>
      <c r="L15">
        <f t="shared" si="0"/>
        <v>-10.801716049382714</v>
      </c>
      <c r="M15">
        <f t="shared" si="1"/>
        <v>-19.063192535432094</v>
      </c>
      <c r="N15" s="9"/>
      <c r="O15" s="21">
        <v>-7.4768100000000004E-2</v>
      </c>
      <c r="P15" s="21">
        <v>9.2217300000000009</v>
      </c>
      <c r="Q15" s="21">
        <v>-1.4212000000000001E-2</v>
      </c>
      <c r="R15" s="21">
        <v>5</v>
      </c>
      <c r="S15" s="21">
        <v>-7.5256299999999998E-2</v>
      </c>
      <c r="T15">
        <f t="shared" si="2"/>
        <v>17.54567901234568</v>
      </c>
      <c r="U15">
        <f t="shared" si="3"/>
        <v>-1.311857082962963</v>
      </c>
      <c r="V15" s="22"/>
      <c r="W15" s="23"/>
      <c r="X15" s="9"/>
      <c r="Y15" s="21">
        <v>-7.4768100000000004E-2</v>
      </c>
      <c r="Z15" s="21">
        <v>9.2217300000000009</v>
      </c>
      <c r="AA15" s="21">
        <v>-1.4212000000000001E-2</v>
      </c>
      <c r="AB15" s="21">
        <v>5</v>
      </c>
      <c r="AC15" s="21">
        <v>-7.5256299999999998E-2</v>
      </c>
      <c r="AD15">
        <f t="shared" si="4"/>
        <v>17.54567901234568</v>
      </c>
      <c r="AE15">
        <f t="shared" si="5"/>
        <v>-1.311857082962963</v>
      </c>
      <c r="AF15" s="9"/>
      <c r="AG15" s="21">
        <v>-7.4768100000000004E-2</v>
      </c>
      <c r="AH15" s="21">
        <v>18.520900000000001</v>
      </c>
      <c r="AI15" s="21">
        <v>-1.4135699999999999E-2</v>
      </c>
      <c r="AJ15" s="21">
        <v>5</v>
      </c>
      <c r="AK15" s="21">
        <v>-7.5134300000000001E-2</v>
      </c>
      <c r="AL15">
        <f t="shared" si="6"/>
        <v>17.45148148148148</v>
      </c>
      <c r="AM15">
        <f t="shared" si="7"/>
        <v>-1.3048141125555555</v>
      </c>
      <c r="AP15" s="9"/>
      <c r="AQ15" s="21">
        <v>1.7648299999999999</v>
      </c>
      <c r="AR15" s="21">
        <v>24.0001</v>
      </c>
      <c r="AS15" s="21">
        <v>1.00464E-2</v>
      </c>
      <c r="AT15" s="21">
        <v>5</v>
      </c>
      <c r="AU15" s="21">
        <v>1.7645299999999999</v>
      </c>
      <c r="AV15">
        <f t="shared" si="8"/>
        <v>-12.402962962962963</v>
      </c>
      <c r="AW15">
        <f t="shared" si="9"/>
        <v>-21.889121125925925</v>
      </c>
      <c r="AX15" s="9"/>
      <c r="AY15" s="21">
        <v>-7.4768100000000004E-2</v>
      </c>
      <c r="AZ15" s="21">
        <v>27.799199999999999</v>
      </c>
      <c r="BA15" s="21">
        <v>-1.4108300000000001E-2</v>
      </c>
      <c r="BB15" s="21">
        <v>5</v>
      </c>
      <c r="BC15" s="21">
        <v>-7.5225799999999995E-2</v>
      </c>
      <c r="BD15">
        <f t="shared" si="10"/>
        <v>17.417654320987655</v>
      </c>
      <c r="BE15">
        <f t="shared" si="11"/>
        <v>-1.3022849200370372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1.7451217316620242</v>
      </c>
      <c r="B16" s="18">
        <f>IFERROR(BD9,0)</f>
        <v>17.3954822459472</v>
      </c>
      <c r="C16" s="19">
        <f>IFERROR(BD4,0)</f>
        <v>0.75778748825156295</v>
      </c>
      <c r="D16" s="20">
        <f>IFERROR(BD2,0)</f>
        <v>23.004332179012344</v>
      </c>
      <c r="E16" s="20"/>
      <c r="F16" s="9"/>
      <c r="G16" s="21">
        <v>1.7598</v>
      </c>
      <c r="H16" s="21">
        <v>5.4327500000000004</v>
      </c>
      <c r="I16" s="21">
        <v>5.8196999999999997E-3</v>
      </c>
      <c r="J16" s="21">
        <v>6</v>
      </c>
      <c r="K16" s="21">
        <v>1.7593399999999999</v>
      </c>
      <c r="L16">
        <f t="shared" si="0"/>
        <v>-7.1848148148148141</v>
      </c>
      <c r="M16">
        <f t="shared" si="1"/>
        <v>-12.643837111111109</v>
      </c>
      <c r="N16" s="9"/>
      <c r="O16" s="21">
        <v>-6.9732699999999995E-2</v>
      </c>
      <c r="P16" s="21">
        <v>9.2317999999999998</v>
      </c>
      <c r="Q16" s="21">
        <v>-1.42151E-2</v>
      </c>
      <c r="R16" s="21">
        <v>6</v>
      </c>
      <c r="S16" s="21">
        <v>-7.0251499999999995E-2</v>
      </c>
      <c r="T16">
        <f t="shared" si="2"/>
        <v>17.549506172839507</v>
      </c>
      <c r="U16">
        <f t="shared" si="3"/>
        <v>-1.2237744490987654</v>
      </c>
      <c r="V16" s="22"/>
      <c r="W16" s="23"/>
      <c r="X16" s="9"/>
      <c r="Y16" s="21">
        <v>-6.9732699999999995E-2</v>
      </c>
      <c r="Z16" s="21">
        <v>9.2317999999999998</v>
      </c>
      <c r="AA16" s="21">
        <v>-1.42151E-2</v>
      </c>
      <c r="AB16" s="21">
        <v>6</v>
      </c>
      <c r="AC16" s="21">
        <v>-7.0251499999999995E-2</v>
      </c>
      <c r="AD16">
        <f t="shared" si="4"/>
        <v>17.549506172839507</v>
      </c>
      <c r="AE16">
        <f t="shared" si="5"/>
        <v>-1.2237744490987654</v>
      </c>
      <c r="AF16" s="9"/>
      <c r="AG16" s="21">
        <v>-6.9732699999999995E-2</v>
      </c>
      <c r="AH16" s="21">
        <v>18.530999999999999</v>
      </c>
      <c r="AI16" s="21">
        <v>-1.4154099999999999E-2</v>
      </c>
      <c r="AJ16" s="21">
        <v>6</v>
      </c>
      <c r="AK16" s="21">
        <v>-7.01904E-2</v>
      </c>
      <c r="AL16">
        <f t="shared" si="6"/>
        <v>17.474197530864195</v>
      </c>
      <c r="AM16">
        <f t="shared" si="7"/>
        <v>-1.2185229741604935</v>
      </c>
      <c r="AP16" s="9"/>
      <c r="AQ16" s="21">
        <v>1.7598</v>
      </c>
      <c r="AR16" s="21">
        <v>24.010200000000001</v>
      </c>
      <c r="AS16" s="21">
        <v>7.1838400000000004E-3</v>
      </c>
      <c r="AT16" s="21">
        <v>6</v>
      </c>
      <c r="AU16" s="21">
        <v>1.7596400000000001</v>
      </c>
      <c r="AV16">
        <f t="shared" si="8"/>
        <v>-8.8689382716049376</v>
      </c>
      <c r="AW16">
        <f t="shared" si="9"/>
        <v>-15.60755757037037</v>
      </c>
      <c r="AX16" s="9"/>
      <c r="AY16" s="21">
        <v>-6.9732699999999995E-2</v>
      </c>
      <c r="AZ16" s="21">
        <v>27.809200000000001</v>
      </c>
      <c r="BA16" s="21">
        <v>-1.4108300000000001E-2</v>
      </c>
      <c r="BB16" s="21">
        <v>6</v>
      </c>
      <c r="BC16" s="21">
        <v>-7.01904E-2</v>
      </c>
      <c r="BD16">
        <f t="shared" si="10"/>
        <v>17.417654320987655</v>
      </c>
      <c r="BE16">
        <f t="shared" si="11"/>
        <v>-1.2145800634691357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1.7547600000000001</v>
      </c>
      <c r="H17" s="21">
        <v>5.4428200000000002</v>
      </c>
      <c r="I17" s="21">
        <v>3.1042499999999998E-3</v>
      </c>
      <c r="J17" s="21">
        <v>7</v>
      </c>
      <c r="K17" s="21">
        <v>1.7544599999999999</v>
      </c>
      <c r="L17">
        <f t="shared" si="0"/>
        <v>-3.8324074074074068</v>
      </c>
      <c r="M17">
        <f t="shared" si="1"/>
        <v>-6.7249552222222215</v>
      </c>
      <c r="N17" s="9"/>
      <c r="O17" s="21">
        <v>-6.4697299999999999E-2</v>
      </c>
      <c r="P17" s="21">
        <v>9.2418700000000005</v>
      </c>
      <c r="Q17" s="21">
        <v>-1.42212E-2</v>
      </c>
      <c r="R17" s="21">
        <v>7</v>
      </c>
      <c r="S17" s="21">
        <v>-6.5093999999999999E-2</v>
      </c>
      <c r="T17">
        <f t="shared" si="2"/>
        <v>17.557037037037034</v>
      </c>
      <c r="U17">
        <f t="shared" si="3"/>
        <v>-1.1358928922962961</v>
      </c>
      <c r="V17" s="22"/>
      <c r="W17" s="23"/>
      <c r="X17" s="9"/>
      <c r="Y17" s="21">
        <v>-6.4697299999999999E-2</v>
      </c>
      <c r="Z17" s="21">
        <v>9.2418700000000005</v>
      </c>
      <c r="AA17" s="21">
        <v>-1.42212E-2</v>
      </c>
      <c r="AB17" s="21">
        <v>7</v>
      </c>
      <c r="AC17" s="21">
        <v>-6.5093999999999999E-2</v>
      </c>
      <c r="AD17">
        <f t="shared" si="4"/>
        <v>17.557037037037034</v>
      </c>
      <c r="AE17">
        <f t="shared" si="5"/>
        <v>-1.1358928922962961</v>
      </c>
      <c r="AF17" s="9"/>
      <c r="AG17" s="21">
        <v>-6.4697299999999999E-2</v>
      </c>
      <c r="AH17" s="21">
        <v>18.5411</v>
      </c>
      <c r="AI17" s="21">
        <v>-1.41602E-2</v>
      </c>
      <c r="AJ17" s="21">
        <v>7</v>
      </c>
      <c r="AK17" s="21">
        <v>-6.5155000000000005E-2</v>
      </c>
      <c r="AL17">
        <f t="shared" si="6"/>
        <v>17.481728395061729</v>
      </c>
      <c r="AM17">
        <f t="shared" si="7"/>
        <v>-1.1310206264938272</v>
      </c>
      <c r="AP17" s="9"/>
      <c r="AQ17" s="21">
        <v>1.7547600000000001</v>
      </c>
      <c r="AR17" s="21">
        <v>24.020299999999999</v>
      </c>
      <c r="AS17" s="21">
        <v>4.5233199999999999E-3</v>
      </c>
      <c r="AT17" s="21">
        <v>7</v>
      </c>
      <c r="AU17" s="21">
        <v>1.7538499999999999</v>
      </c>
      <c r="AV17">
        <f t="shared" si="8"/>
        <v>-5.5843456790123458</v>
      </c>
      <c r="AW17">
        <f t="shared" si="9"/>
        <v>-9.7991864237037039</v>
      </c>
      <c r="AX17" s="9"/>
      <c r="AY17" s="21">
        <v>-6.4697299999999999E-2</v>
      </c>
      <c r="AZ17" s="21">
        <v>27.819299999999998</v>
      </c>
      <c r="BA17" s="21">
        <v>-1.41113E-2</v>
      </c>
      <c r="BB17" s="21">
        <v>7</v>
      </c>
      <c r="BC17" s="21">
        <v>-6.5093999999999999E-2</v>
      </c>
      <c r="BD17">
        <f t="shared" si="10"/>
        <v>17.421358024691358</v>
      </c>
      <c r="BE17">
        <f t="shared" si="11"/>
        <v>-1.1271148265308641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1.74973</v>
      </c>
      <c r="H18" s="21">
        <v>5.45289</v>
      </c>
      <c r="I18" s="21">
        <v>7.11975E-4</v>
      </c>
      <c r="J18" s="21">
        <v>8</v>
      </c>
      <c r="K18" s="21">
        <v>1.7492700000000001</v>
      </c>
      <c r="L18">
        <f t="shared" si="0"/>
        <v>-0.87898148148148147</v>
      </c>
      <c r="M18">
        <f t="shared" si="1"/>
        <v>-1.5379802675925927</v>
      </c>
      <c r="N18" s="9"/>
      <c r="O18" s="21">
        <v>-5.9661899999999997E-2</v>
      </c>
      <c r="P18" s="21">
        <v>9.2519399999999994</v>
      </c>
      <c r="Q18" s="21">
        <v>-1.4224199999999999E-2</v>
      </c>
      <c r="R18" s="21">
        <v>8</v>
      </c>
      <c r="S18" s="21">
        <v>-6.0119600000000002E-2</v>
      </c>
      <c r="T18">
        <f t="shared" si="2"/>
        <v>17.560740740740737</v>
      </c>
      <c r="U18">
        <f t="shared" si="3"/>
        <v>-1.0477071579999997</v>
      </c>
      <c r="V18" s="22"/>
      <c r="W18" s="23"/>
      <c r="X18" s="9"/>
      <c r="Y18" s="21">
        <v>-5.9661899999999997E-2</v>
      </c>
      <c r="Z18" s="21">
        <v>9.2519399999999994</v>
      </c>
      <c r="AA18" s="21">
        <v>-1.4224199999999999E-2</v>
      </c>
      <c r="AB18" s="21">
        <v>8</v>
      </c>
      <c r="AC18" s="21">
        <v>-6.0119600000000002E-2</v>
      </c>
      <c r="AD18">
        <f t="shared" si="4"/>
        <v>17.560740740740737</v>
      </c>
      <c r="AE18">
        <f t="shared" si="5"/>
        <v>-1.0477071579999997</v>
      </c>
      <c r="AF18" s="9"/>
      <c r="AG18" s="21">
        <v>-5.9661899999999997E-2</v>
      </c>
      <c r="AH18" s="21">
        <v>18.551200000000001</v>
      </c>
      <c r="AI18" s="21">
        <v>-1.4163200000000001E-2</v>
      </c>
      <c r="AJ18" s="21">
        <v>8</v>
      </c>
      <c r="AK18" s="21">
        <v>-6.0180699999999997E-2</v>
      </c>
      <c r="AL18">
        <f t="shared" si="6"/>
        <v>17.485432098765433</v>
      </c>
      <c r="AM18">
        <f t="shared" si="7"/>
        <v>-1.0432141013333334</v>
      </c>
      <c r="AP18" s="9"/>
      <c r="AQ18" s="21">
        <v>1.74973</v>
      </c>
      <c r="AR18" s="21">
        <v>24.0303</v>
      </c>
      <c r="AS18" s="21">
        <v>2.1362299999999998E-3</v>
      </c>
      <c r="AT18" s="21">
        <v>8</v>
      </c>
      <c r="AU18" s="21">
        <v>1.7486600000000001</v>
      </c>
      <c r="AV18">
        <f t="shared" si="8"/>
        <v>-2.6373209876543204</v>
      </c>
      <c r="AW18">
        <f t="shared" si="9"/>
        <v>-4.614599651728394</v>
      </c>
      <c r="AX18" s="9"/>
      <c r="AY18" s="21">
        <v>-5.9661899999999997E-2</v>
      </c>
      <c r="AZ18" s="21">
        <v>27.8294</v>
      </c>
      <c r="BA18" s="21">
        <v>-1.41174E-2</v>
      </c>
      <c r="BB18" s="21">
        <v>8</v>
      </c>
      <c r="BC18" s="21">
        <v>-6.0119600000000002E-2</v>
      </c>
      <c r="BD18">
        <f t="shared" si="10"/>
        <v>17.428888888888888</v>
      </c>
      <c r="BE18">
        <f t="shared" si="11"/>
        <v>-1.0398406259999999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1.7446900000000001</v>
      </c>
      <c r="H19" s="21">
        <v>5.4629700000000003</v>
      </c>
      <c r="I19" s="21">
        <v>-1.2838700000000001E-3</v>
      </c>
      <c r="J19" s="21">
        <v>9</v>
      </c>
      <c r="K19" s="21">
        <v>1.7440800000000001</v>
      </c>
      <c r="L19">
        <f t="shared" si="0"/>
        <v>1.5850246913580246</v>
      </c>
      <c r="M19">
        <f t="shared" si="1"/>
        <v>2.7653767287654318</v>
      </c>
      <c r="N19" s="9"/>
      <c r="O19" s="21">
        <v>-5.4626500000000001E-2</v>
      </c>
      <c r="P19" s="21">
        <v>9.2620100000000001</v>
      </c>
      <c r="Q19" s="21">
        <v>-1.42334E-2</v>
      </c>
      <c r="R19" s="21">
        <v>9</v>
      </c>
      <c r="S19" s="21">
        <v>-5.5114700000000003E-2</v>
      </c>
      <c r="T19">
        <f t="shared" si="2"/>
        <v>17.572098765432099</v>
      </c>
      <c r="U19">
        <f t="shared" si="3"/>
        <v>-0.95990225320987654</v>
      </c>
      <c r="V19" s="22"/>
      <c r="W19" s="23"/>
      <c r="X19" s="9"/>
      <c r="Y19" s="21">
        <v>-5.4626500000000001E-2</v>
      </c>
      <c r="Z19" s="21">
        <v>9.2620100000000001</v>
      </c>
      <c r="AA19" s="21">
        <v>-1.42334E-2</v>
      </c>
      <c r="AB19" s="21">
        <v>9</v>
      </c>
      <c r="AC19" s="21">
        <v>-5.5114700000000003E-2</v>
      </c>
      <c r="AD19">
        <f t="shared" si="4"/>
        <v>17.572098765432099</v>
      </c>
      <c r="AE19">
        <f t="shared" si="5"/>
        <v>-0.95990225320987654</v>
      </c>
      <c r="AF19" s="9"/>
      <c r="AG19" s="21">
        <v>-5.4626500000000001E-2</v>
      </c>
      <c r="AH19" s="21">
        <v>18.561199999999999</v>
      </c>
      <c r="AI19" s="21">
        <v>-1.41663E-2</v>
      </c>
      <c r="AJ19" s="21">
        <v>9</v>
      </c>
      <c r="AK19" s="21">
        <v>-5.4992699999999999E-2</v>
      </c>
      <c r="AL19">
        <f t="shared" si="6"/>
        <v>17.489259259259256</v>
      </c>
      <c r="AM19">
        <f t="shared" si="7"/>
        <v>-0.9553770209259258</v>
      </c>
      <c r="AP19" s="9"/>
      <c r="AQ19" s="21">
        <v>1.7446900000000001</v>
      </c>
      <c r="AR19" s="21">
        <v>24.040400000000002</v>
      </c>
      <c r="AS19" s="24">
        <v>3.6682099999999999E-5</v>
      </c>
      <c r="AT19" s="21">
        <v>9</v>
      </c>
      <c r="AU19" s="21">
        <v>1.7446900000000001</v>
      </c>
      <c r="AV19">
        <f t="shared" si="8"/>
        <v>-4.5286543209876538E-2</v>
      </c>
      <c r="AW19">
        <f t="shared" si="9"/>
        <v>-7.9010979072839507E-2</v>
      </c>
      <c r="AX19" s="9"/>
      <c r="AY19" s="21">
        <v>-5.4626500000000001E-2</v>
      </c>
      <c r="AZ19" s="21">
        <v>27.839500000000001</v>
      </c>
      <c r="BA19" s="21">
        <v>-1.41174E-2</v>
      </c>
      <c r="BB19" s="21">
        <v>9</v>
      </c>
      <c r="BC19" s="21">
        <v>-5.5053699999999997E-2</v>
      </c>
      <c r="BD19">
        <f t="shared" si="10"/>
        <v>17.428888888888888</v>
      </c>
      <c r="BE19">
        <f t="shared" si="11"/>
        <v>-0.95207919888888892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1.7396499999999999</v>
      </c>
      <c r="H20" s="21">
        <v>5.4730400000000001</v>
      </c>
      <c r="I20" s="21">
        <v>-2.9122900000000001E-3</v>
      </c>
      <c r="J20" s="21">
        <v>10</v>
      </c>
      <c r="K20" s="21">
        <v>1.7392000000000001</v>
      </c>
      <c r="L20">
        <f t="shared" si="0"/>
        <v>3.5954197530864196</v>
      </c>
      <c r="M20">
        <f t="shared" si="1"/>
        <v>6.2547719734567897</v>
      </c>
      <c r="N20" s="9"/>
      <c r="O20" s="21">
        <v>-4.9591099999999999E-2</v>
      </c>
      <c r="P20" s="21">
        <v>9.2720800000000008</v>
      </c>
      <c r="Q20" s="21">
        <v>-1.4236499999999999E-2</v>
      </c>
      <c r="R20" s="21">
        <v>10</v>
      </c>
      <c r="S20" s="21">
        <v>-4.9987799999999999E-2</v>
      </c>
      <c r="T20">
        <f t="shared" si="2"/>
        <v>17.575925925925926</v>
      </c>
      <c r="U20">
        <f t="shared" si="3"/>
        <v>-0.87160950018518513</v>
      </c>
      <c r="V20" s="22"/>
      <c r="W20" s="23"/>
      <c r="X20" s="9"/>
      <c r="Y20" s="21">
        <v>-4.9591099999999999E-2</v>
      </c>
      <c r="Z20" s="21">
        <v>9.2720800000000008</v>
      </c>
      <c r="AA20" s="21">
        <v>-1.4236499999999999E-2</v>
      </c>
      <c r="AB20" s="21">
        <v>10</v>
      </c>
      <c r="AC20" s="21">
        <v>-4.9987799999999999E-2</v>
      </c>
      <c r="AD20">
        <f t="shared" si="4"/>
        <v>17.575925925925926</v>
      </c>
      <c r="AE20">
        <f t="shared" si="5"/>
        <v>-0.87160950018518513</v>
      </c>
      <c r="AF20" s="9"/>
      <c r="AG20" s="21">
        <v>-4.9591099999999999E-2</v>
      </c>
      <c r="AH20" s="21">
        <v>18.571300000000001</v>
      </c>
      <c r="AI20" s="21">
        <v>-1.41724E-2</v>
      </c>
      <c r="AJ20" s="21">
        <v>10</v>
      </c>
      <c r="AK20" s="21">
        <v>-5.0231900000000003E-2</v>
      </c>
      <c r="AL20">
        <f t="shared" si="6"/>
        <v>17.496790123456787</v>
      </c>
      <c r="AM20">
        <f t="shared" si="7"/>
        <v>-0.86768506869135786</v>
      </c>
      <c r="AP20" s="9"/>
      <c r="AQ20" s="21">
        <v>1.7396499999999999</v>
      </c>
      <c r="AR20" s="21">
        <v>24.0505</v>
      </c>
      <c r="AS20" s="21">
        <v>-1.72821E-3</v>
      </c>
      <c r="AT20" s="21">
        <v>10</v>
      </c>
      <c r="AU20" s="21">
        <v>1.73889</v>
      </c>
      <c r="AV20">
        <f t="shared" si="8"/>
        <v>2.1335925925925925</v>
      </c>
      <c r="AW20">
        <f t="shared" si="9"/>
        <v>3.7117043537037033</v>
      </c>
      <c r="AX20" s="9"/>
      <c r="AY20" s="21">
        <v>-4.9591099999999999E-2</v>
      </c>
      <c r="AZ20" s="21">
        <v>27.849499999999999</v>
      </c>
      <c r="BA20" s="21">
        <v>-1.4120499999999999E-2</v>
      </c>
      <c r="BB20" s="21">
        <v>10</v>
      </c>
      <c r="BC20" s="21">
        <v>-5.0170899999999997E-2</v>
      </c>
      <c r="BD20">
        <f t="shared" si="10"/>
        <v>17.432716049382716</v>
      </c>
      <c r="BE20">
        <f t="shared" si="11"/>
        <v>-0.86450756487654323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1.7346200000000001</v>
      </c>
      <c r="H21" s="21">
        <v>5.4831099999999999</v>
      </c>
      <c r="I21" s="21">
        <v>-4.1836499999999997E-3</v>
      </c>
      <c r="J21" s="21">
        <v>11</v>
      </c>
      <c r="K21" s="21">
        <v>1.73431</v>
      </c>
      <c r="L21">
        <f t="shared" si="0"/>
        <v>5.1649999999999991</v>
      </c>
      <c r="M21">
        <f t="shared" si="1"/>
        <v>8.9593122999999988</v>
      </c>
      <c r="N21" s="9"/>
      <c r="O21" s="21">
        <v>-4.4555699999999997E-2</v>
      </c>
      <c r="P21" s="21">
        <v>9.2821499999999997</v>
      </c>
      <c r="Q21" s="21">
        <v>-1.42303E-2</v>
      </c>
      <c r="R21" s="21">
        <v>11</v>
      </c>
      <c r="S21" s="21">
        <v>-4.4845599999999999E-2</v>
      </c>
      <c r="T21">
        <f t="shared" si="2"/>
        <v>17.568271604938271</v>
      </c>
      <c r="U21">
        <f t="shared" si="3"/>
        <v>-0.78276663914814804</v>
      </c>
      <c r="V21" s="22"/>
      <c r="W21" s="23"/>
      <c r="X21" s="9"/>
      <c r="Y21" s="21">
        <v>-4.4555699999999997E-2</v>
      </c>
      <c r="Z21" s="21">
        <v>9.2821499999999997</v>
      </c>
      <c r="AA21" s="21">
        <v>-1.42303E-2</v>
      </c>
      <c r="AB21" s="21">
        <v>11</v>
      </c>
      <c r="AC21" s="21">
        <v>-4.4845599999999999E-2</v>
      </c>
      <c r="AD21">
        <f t="shared" si="4"/>
        <v>17.568271604938271</v>
      </c>
      <c r="AE21">
        <f t="shared" si="5"/>
        <v>-0.78276663914814804</v>
      </c>
      <c r="AF21" s="9"/>
      <c r="AG21" s="21">
        <v>-4.4555699999999997E-2</v>
      </c>
      <c r="AH21" s="21">
        <v>18.581399999999999</v>
      </c>
      <c r="AI21" s="21">
        <v>-1.41724E-2</v>
      </c>
      <c r="AJ21" s="21">
        <v>11</v>
      </c>
      <c r="AK21" s="21">
        <v>-4.4845599999999999E-2</v>
      </c>
      <c r="AL21">
        <f t="shared" si="6"/>
        <v>17.496790123456787</v>
      </c>
      <c r="AM21">
        <f t="shared" si="7"/>
        <v>-0.77958173170370348</v>
      </c>
      <c r="AP21" s="9"/>
      <c r="AQ21" s="21">
        <v>1.7346200000000001</v>
      </c>
      <c r="AR21" s="21">
        <v>24.060600000000001</v>
      </c>
      <c r="AS21" s="21">
        <v>-3.1729100000000001E-3</v>
      </c>
      <c r="AT21" s="21">
        <v>11</v>
      </c>
      <c r="AU21" s="21">
        <v>1.7340100000000001</v>
      </c>
      <c r="AV21">
        <f t="shared" si="8"/>
        <v>3.9171728395061729</v>
      </c>
      <c r="AW21">
        <f t="shared" si="9"/>
        <v>6.7948063508641976</v>
      </c>
      <c r="AX21" s="9"/>
      <c r="AY21" s="21">
        <v>-4.4555699999999997E-2</v>
      </c>
      <c r="AZ21" s="21">
        <v>27.8596</v>
      </c>
      <c r="BA21" s="21">
        <v>-1.41113E-2</v>
      </c>
      <c r="BB21" s="21">
        <v>11</v>
      </c>
      <c r="BC21" s="21">
        <v>-4.4848600000000002E-2</v>
      </c>
      <c r="BD21">
        <f t="shared" si="10"/>
        <v>17.421358024691358</v>
      </c>
      <c r="BE21">
        <f t="shared" si="11"/>
        <v>-0.77622080174074071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1.7295799999999999</v>
      </c>
      <c r="H22" s="21">
        <v>5.4931799999999997</v>
      </c>
      <c r="I22" s="21">
        <v>-5.1727300000000004E-3</v>
      </c>
      <c r="J22" s="21">
        <v>12</v>
      </c>
      <c r="K22" s="21">
        <v>1.72821</v>
      </c>
      <c r="L22">
        <f t="shared" si="0"/>
        <v>6.3860864197530862</v>
      </c>
      <c r="M22">
        <f t="shared" si="1"/>
        <v>11.045247349876542</v>
      </c>
      <c r="N22" s="9"/>
      <c r="O22" s="21">
        <v>-3.9520300000000001E-2</v>
      </c>
      <c r="P22" s="21">
        <v>9.2922200000000004</v>
      </c>
      <c r="Q22" s="21">
        <v>-1.42212E-2</v>
      </c>
      <c r="R22" s="21">
        <v>12</v>
      </c>
      <c r="S22" s="21">
        <v>-3.9798E-2</v>
      </c>
      <c r="T22">
        <f t="shared" si="2"/>
        <v>17.557037037037034</v>
      </c>
      <c r="U22">
        <f t="shared" si="3"/>
        <v>-0.69385937081481475</v>
      </c>
      <c r="V22" s="22"/>
      <c r="W22" s="23"/>
      <c r="X22" s="9"/>
      <c r="Y22" s="21">
        <v>-3.9520300000000001E-2</v>
      </c>
      <c r="Z22" s="21">
        <v>9.2922200000000004</v>
      </c>
      <c r="AA22" s="21">
        <v>-1.42212E-2</v>
      </c>
      <c r="AB22" s="21">
        <v>12</v>
      </c>
      <c r="AC22" s="21">
        <v>-3.9798E-2</v>
      </c>
      <c r="AD22">
        <f t="shared" si="4"/>
        <v>17.557037037037034</v>
      </c>
      <c r="AE22">
        <f t="shared" si="5"/>
        <v>-0.69385937081481475</v>
      </c>
      <c r="AF22" s="9"/>
      <c r="AG22" s="21">
        <v>-3.9520300000000001E-2</v>
      </c>
      <c r="AH22" s="21">
        <v>18.5914</v>
      </c>
      <c r="AI22" s="21">
        <v>-1.4175399999999999E-2</v>
      </c>
      <c r="AJ22" s="21">
        <v>12</v>
      </c>
      <c r="AK22" s="21">
        <v>-3.9819300000000002E-2</v>
      </c>
      <c r="AL22">
        <f t="shared" si="6"/>
        <v>17.500493827160494</v>
      </c>
      <c r="AM22">
        <f t="shared" si="7"/>
        <v>-0.69162476619753088</v>
      </c>
      <c r="AP22" s="9"/>
      <c r="AQ22" s="21">
        <v>1.7295799999999999</v>
      </c>
      <c r="AR22" s="21">
        <v>24.070599999999999</v>
      </c>
      <c r="AS22" s="21">
        <v>-4.3313600000000002E-3</v>
      </c>
      <c r="AT22" s="21">
        <v>12</v>
      </c>
      <c r="AU22" s="21">
        <v>1.7291300000000001</v>
      </c>
      <c r="AV22">
        <f t="shared" si="8"/>
        <v>5.3473580246913581</v>
      </c>
      <c r="AW22">
        <f t="shared" si="9"/>
        <v>9.2486834923456787</v>
      </c>
      <c r="AX22" s="9"/>
      <c r="AY22" s="21">
        <v>-3.9520300000000001E-2</v>
      </c>
      <c r="AZ22" s="21">
        <v>27.869700000000002</v>
      </c>
      <c r="BA22" s="21">
        <v>-1.4108300000000001E-2</v>
      </c>
      <c r="BB22" s="21">
        <v>12</v>
      </c>
      <c r="BC22" s="21">
        <v>-3.9788799999999999E-2</v>
      </c>
      <c r="BD22">
        <f t="shared" si="10"/>
        <v>17.417654320987655</v>
      </c>
      <c r="BE22">
        <f t="shared" si="11"/>
        <v>-0.68835092406172849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1.72455</v>
      </c>
      <c r="H23" s="21">
        <v>5.5032500000000004</v>
      </c>
      <c r="I23" s="21">
        <v>-5.9875500000000003E-3</v>
      </c>
      <c r="J23" s="21">
        <v>13</v>
      </c>
      <c r="K23" s="21">
        <v>1.72455</v>
      </c>
      <c r="L23">
        <f t="shared" si="0"/>
        <v>7.3920370370370376</v>
      </c>
      <c r="M23">
        <f t="shared" si="1"/>
        <v>12.747937472222224</v>
      </c>
      <c r="N23" s="9"/>
      <c r="O23" s="21">
        <v>-3.4484899999999999E-2</v>
      </c>
      <c r="P23" s="21">
        <v>9.3023000000000007</v>
      </c>
      <c r="Q23" s="21">
        <v>-1.4212000000000001E-2</v>
      </c>
      <c r="R23" s="21">
        <v>13</v>
      </c>
      <c r="S23" s="21">
        <v>-3.4719800000000002E-2</v>
      </c>
      <c r="T23">
        <f t="shared" si="2"/>
        <v>17.54567901234568</v>
      </c>
      <c r="U23">
        <f t="shared" si="3"/>
        <v>-0.60506098617283954</v>
      </c>
      <c r="V23" s="22"/>
      <c r="W23" s="23"/>
      <c r="X23" s="9"/>
      <c r="Y23" s="21">
        <v>-3.4484899999999999E-2</v>
      </c>
      <c r="Z23" s="21">
        <v>9.3023000000000007</v>
      </c>
      <c r="AA23" s="21">
        <v>-1.4212000000000001E-2</v>
      </c>
      <c r="AB23" s="21">
        <v>13</v>
      </c>
      <c r="AC23" s="21">
        <v>-3.4719800000000002E-2</v>
      </c>
      <c r="AD23">
        <f t="shared" si="4"/>
        <v>17.54567901234568</v>
      </c>
      <c r="AE23">
        <f t="shared" si="5"/>
        <v>-0.60506098617283954</v>
      </c>
      <c r="AF23" s="9"/>
      <c r="AG23" s="21">
        <v>-3.4484899999999999E-2</v>
      </c>
      <c r="AH23" s="21">
        <v>18.601500000000001</v>
      </c>
      <c r="AI23" s="21">
        <v>-1.41724E-2</v>
      </c>
      <c r="AJ23" s="21">
        <v>13</v>
      </c>
      <c r="AK23" s="21">
        <v>-3.4729000000000003E-2</v>
      </c>
      <c r="AL23">
        <f t="shared" si="6"/>
        <v>17.496790123456787</v>
      </c>
      <c r="AM23">
        <f t="shared" si="7"/>
        <v>-0.60337505772839495</v>
      </c>
      <c r="AP23" s="9"/>
      <c r="AQ23" s="21">
        <v>1.72455</v>
      </c>
      <c r="AR23" s="21">
        <v>24.0807</v>
      </c>
      <c r="AS23" s="21">
        <v>-5.2703899999999998E-3</v>
      </c>
      <c r="AT23" s="21">
        <v>13</v>
      </c>
      <c r="AU23" s="21">
        <v>1.72394</v>
      </c>
      <c r="AV23">
        <f t="shared" si="8"/>
        <v>6.5066543209876535</v>
      </c>
      <c r="AW23">
        <f t="shared" si="9"/>
        <v>11.221050709259258</v>
      </c>
      <c r="AX23" s="9"/>
      <c r="AY23" s="21">
        <v>-3.4484899999999999E-2</v>
      </c>
      <c r="AZ23" s="21">
        <v>27.8797</v>
      </c>
      <c r="BA23" s="21">
        <v>-1.4108300000000001E-2</v>
      </c>
      <c r="BB23" s="21">
        <v>13</v>
      </c>
      <c r="BC23" s="21">
        <v>-3.4701500000000003E-2</v>
      </c>
      <c r="BD23">
        <f t="shared" si="10"/>
        <v>17.417654320987655</v>
      </c>
      <c r="BE23">
        <f t="shared" si="11"/>
        <v>-0.60064606749382721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1.7195100000000001</v>
      </c>
      <c r="H24" s="21">
        <v>5.5133200000000002</v>
      </c>
      <c r="I24" s="21">
        <v>-6.6619899999999996E-3</v>
      </c>
      <c r="J24" s="21">
        <v>14</v>
      </c>
      <c r="K24" s="21">
        <v>1.71936</v>
      </c>
      <c r="L24">
        <f t="shared" si="0"/>
        <v>8.2246790123456783</v>
      </c>
      <c r="M24">
        <f t="shared" si="1"/>
        <v>14.142417808518518</v>
      </c>
      <c r="N24" s="9"/>
      <c r="O24" s="21">
        <v>-2.94495E-2</v>
      </c>
      <c r="P24" s="21">
        <v>9.3123699999999996</v>
      </c>
      <c r="Q24" s="21">
        <v>-1.4202899999999999E-2</v>
      </c>
      <c r="R24" s="21">
        <v>14</v>
      </c>
      <c r="S24" s="21">
        <v>-2.96295E-2</v>
      </c>
      <c r="T24">
        <f t="shared" si="2"/>
        <v>17.534444444444443</v>
      </c>
      <c r="U24">
        <f t="shared" si="3"/>
        <v>-0.51638062166666665</v>
      </c>
      <c r="V24" s="22"/>
      <c r="W24" s="23"/>
      <c r="X24" s="9"/>
      <c r="Y24" s="21">
        <v>-2.94495E-2</v>
      </c>
      <c r="Z24" s="21">
        <v>9.3123699999999996</v>
      </c>
      <c r="AA24" s="21">
        <v>-1.4202899999999999E-2</v>
      </c>
      <c r="AB24" s="21">
        <v>14</v>
      </c>
      <c r="AC24" s="21">
        <v>-2.96295E-2</v>
      </c>
      <c r="AD24">
        <f t="shared" si="4"/>
        <v>17.534444444444443</v>
      </c>
      <c r="AE24">
        <f t="shared" si="5"/>
        <v>-0.51638062166666665</v>
      </c>
      <c r="AF24" s="9"/>
      <c r="AG24" s="21">
        <v>-2.94495E-2</v>
      </c>
      <c r="AH24" s="21">
        <v>18.611599999999999</v>
      </c>
      <c r="AI24" s="21">
        <v>-1.4163200000000001E-2</v>
      </c>
      <c r="AJ24" s="21">
        <v>14</v>
      </c>
      <c r="AK24" s="21">
        <v>-2.9739399999999999E-2</v>
      </c>
      <c r="AL24">
        <f t="shared" si="6"/>
        <v>17.485432098765433</v>
      </c>
      <c r="AM24">
        <f t="shared" si="7"/>
        <v>-0.51493723259259261</v>
      </c>
      <c r="AP24" s="9"/>
      <c r="AQ24" s="21">
        <v>1.7195100000000001</v>
      </c>
      <c r="AR24" s="21">
        <v>24.090800000000002</v>
      </c>
      <c r="AS24" s="21">
        <v>-6.0424800000000002E-3</v>
      </c>
      <c r="AT24" s="21">
        <v>14</v>
      </c>
      <c r="AU24" s="21">
        <v>1.71844</v>
      </c>
      <c r="AV24">
        <f t="shared" si="8"/>
        <v>7.4598518518518517</v>
      </c>
      <c r="AW24">
        <f t="shared" si="9"/>
        <v>12.827289857777778</v>
      </c>
      <c r="AX24" s="9"/>
      <c r="AY24" s="21">
        <v>-2.94495E-2</v>
      </c>
      <c r="AZ24" s="21">
        <v>27.889800000000001</v>
      </c>
      <c r="BA24" s="21">
        <v>-1.4108300000000001E-2</v>
      </c>
      <c r="BB24" s="21">
        <v>14</v>
      </c>
      <c r="BC24" s="21">
        <v>-2.96539E-2</v>
      </c>
      <c r="BD24">
        <f t="shared" si="10"/>
        <v>17.417654320987655</v>
      </c>
      <c r="BE24">
        <f t="shared" si="11"/>
        <v>-0.51294121092592593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1.71448</v>
      </c>
      <c r="H25" s="21">
        <v>5.52339</v>
      </c>
      <c r="I25" s="21">
        <v>-7.2357200000000002E-3</v>
      </c>
      <c r="J25" s="21">
        <v>15</v>
      </c>
      <c r="K25" s="21">
        <v>1.71387</v>
      </c>
      <c r="L25">
        <f t="shared" si="0"/>
        <v>8.9329876543209874</v>
      </c>
      <c r="M25">
        <f t="shared" si="1"/>
        <v>15.315428673580247</v>
      </c>
      <c r="N25" s="9"/>
      <c r="O25" s="21">
        <v>-2.4414100000000001E-2</v>
      </c>
      <c r="P25" s="21">
        <v>9.3224400000000003</v>
      </c>
      <c r="Q25" s="21">
        <v>-1.4196800000000001E-2</v>
      </c>
      <c r="R25" s="21">
        <v>15</v>
      </c>
      <c r="S25" s="21">
        <v>-2.46521E-2</v>
      </c>
      <c r="T25">
        <f t="shared" si="2"/>
        <v>17.526913580246916</v>
      </c>
      <c r="U25">
        <f t="shared" si="3"/>
        <v>-0.42790382083950623</v>
      </c>
      <c r="V25" s="22"/>
      <c r="W25" s="23"/>
      <c r="X25" s="9"/>
      <c r="Y25" s="21">
        <v>-2.4414100000000001E-2</v>
      </c>
      <c r="Z25" s="21">
        <v>9.3224400000000003</v>
      </c>
      <c r="AA25" s="21">
        <v>-1.4196800000000001E-2</v>
      </c>
      <c r="AB25" s="21">
        <v>15</v>
      </c>
      <c r="AC25" s="21">
        <v>-2.46521E-2</v>
      </c>
      <c r="AD25">
        <f t="shared" si="4"/>
        <v>17.526913580246916</v>
      </c>
      <c r="AE25">
        <f t="shared" si="5"/>
        <v>-0.42790382083950623</v>
      </c>
      <c r="AF25" s="9"/>
      <c r="AG25" s="21">
        <v>-2.4414100000000001E-2</v>
      </c>
      <c r="AH25" s="21">
        <v>18.621700000000001</v>
      </c>
      <c r="AI25" s="21">
        <v>-1.4169299999999999E-2</v>
      </c>
      <c r="AJ25" s="21">
        <v>15</v>
      </c>
      <c r="AK25" s="21">
        <v>-2.46368E-2</v>
      </c>
      <c r="AL25">
        <f t="shared" si="6"/>
        <v>17.492962962962959</v>
      </c>
      <c r="AM25">
        <f t="shared" si="7"/>
        <v>-0.42707494707407401</v>
      </c>
      <c r="AP25" s="9"/>
      <c r="AQ25" s="21">
        <v>1.71448</v>
      </c>
      <c r="AR25" s="21">
        <v>24.1008</v>
      </c>
      <c r="AS25" s="21">
        <v>-6.6955599999999997E-3</v>
      </c>
      <c r="AT25" s="21">
        <v>15</v>
      </c>
      <c r="AU25" s="21">
        <v>1.71387</v>
      </c>
      <c r="AV25">
        <f t="shared" si="8"/>
        <v>8.2661234567901225</v>
      </c>
      <c r="AW25">
        <f t="shared" si="9"/>
        <v>14.172103344197529</v>
      </c>
      <c r="AX25" s="9"/>
      <c r="AY25" s="21">
        <v>-2.4414100000000001E-2</v>
      </c>
      <c r="AZ25" s="21">
        <v>27.899899999999999</v>
      </c>
      <c r="BA25" s="21">
        <v>-1.4108300000000001E-2</v>
      </c>
      <c r="BB25" s="21">
        <v>15</v>
      </c>
      <c r="BC25" s="21">
        <v>-2.4853500000000001E-2</v>
      </c>
      <c r="BD25">
        <f t="shared" si="10"/>
        <v>17.417654320987655</v>
      </c>
      <c r="BE25">
        <f t="shared" si="11"/>
        <v>-0.4252363543580247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1.7094400000000001</v>
      </c>
      <c r="H26" s="21">
        <v>5.5334599999999998</v>
      </c>
      <c r="I26" s="21">
        <v>-7.7270500000000001E-3</v>
      </c>
      <c r="J26" s="21">
        <v>16</v>
      </c>
      <c r="K26" s="21">
        <v>1.7083699999999999</v>
      </c>
      <c r="L26">
        <f t="shared" si="0"/>
        <v>9.539567901234566</v>
      </c>
      <c r="M26">
        <f t="shared" si="1"/>
        <v>16.307318953086416</v>
      </c>
      <c r="N26" s="9"/>
      <c r="O26" s="21">
        <v>-1.9378699999999999E-2</v>
      </c>
      <c r="P26" s="21">
        <v>9.3325099999999992</v>
      </c>
      <c r="Q26" s="21">
        <v>-1.4190700000000001E-2</v>
      </c>
      <c r="R26" s="21">
        <v>16</v>
      </c>
      <c r="S26" s="21">
        <v>-1.96045E-2</v>
      </c>
      <c r="T26">
        <f t="shared" si="2"/>
        <v>17.519382716049382</v>
      </c>
      <c r="U26">
        <f t="shared" si="3"/>
        <v>-0.33950286183950612</v>
      </c>
      <c r="V26" s="22"/>
      <c r="W26" s="23"/>
      <c r="X26" s="9"/>
      <c r="Y26" s="21">
        <v>-1.9378699999999999E-2</v>
      </c>
      <c r="Z26" s="21">
        <v>9.3325099999999992</v>
      </c>
      <c r="AA26" s="21">
        <v>-1.4190700000000001E-2</v>
      </c>
      <c r="AB26" s="21">
        <v>16</v>
      </c>
      <c r="AC26" s="21">
        <v>-1.96045E-2</v>
      </c>
      <c r="AD26">
        <f t="shared" si="4"/>
        <v>17.519382716049382</v>
      </c>
      <c r="AE26">
        <f t="shared" si="5"/>
        <v>-0.33950286183950612</v>
      </c>
      <c r="AF26" s="9"/>
      <c r="AG26" s="21">
        <v>-1.9378699999999999E-2</v>
      </c>
      <c r="AH26" s="21">
        <v>18.631699999999999</v>
      </c>
      <c r="AI26" s="21">
        <v>-1.41663E-2</v>
      </c>
      <c r="AJ26" s="21">
        <v>16</v>
      </c>
      <c r="AK26" s="21">
        <v>-1.9473299999999999E-2</v>
      </c>
      <c r="AL26">
        <f t="shared" si="6"/>
        <v>17.489259259259256</v>
      </c>
      <c r="AM26">
        <f t="shared" si="7"/>
        <v>-0.33891910840740735</v>
      </c>
      <c r="AP26" s="9"/>
      <c r="AQ26" s="21">
        <v>1.7094400000000001</v>
      </c>
      <c r="AR26" s="21">
        <v>24.110900000000001</v>
      </c>
      <c r="AS26" s="21">
        <v>-7.2601300000000001E-3</v>
      </c>
      <c r="AT26" s="21">
        <v>16</v>
      </c>
      <c r="AU26" s="21">
        <v>1.70868</v>
      </c>
      <c r="AV26">
        <f t="shared" si="8"/>
        <v>8.9631234567901235</v>
      </c>
      <c r="AW26">
        <f t="shared" si="9"/>
        <v>15.321921761975309</v>
      </c>
      <c r="AX26" s="9"/>
      <c r="AY26" s="21">
        <v>-1.9378699999999999E-2</v>
      </c>
      <c r="AZ26" s="21">
        <v>27.91</v>
      </c>
      <c r="BA26" s="21">
        <v>-1.41022E-2</v>
      </c>
      <c r="BB26" s="21">
        <v>16</v>
      </c>
      <c r="BC26" s="21">
        <v>-1.95129E-2</v>
      </c>
      <c r="BD26">
        <f t="shared" si="10"/>
        <v>17.410123456790124</v>
      </c>
      <c r="BE26">
        <f t="shared" si="11"/>
        <v>-0.33738555943209875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1.70441</v>
      </c>
      <c r="H27" s="21">
        <v>5.5435299999999996</v>
      </c>
      <c r="I27" s="21">
        <v>-8.1695599999999993E-3</v>
      </c>
      <c r="J27" s="21">
        <v>17</v>
      </c>
      <c r="K27" s="21">
        <v>1.7034899999999999</v>
      </c>
      <c r="L27">
        <f t="shared" si="0"/>
        <v>10.085876543209876</v>
      </c>
      <c r="M27">
        <f t="shared" si="1"/>
        <v>17.190468839012343</v>
      </c>
      <c r="N27" s="9"/>
      <c r="O27" s="21">
        <v>-1.43433E-2</v>
      </c>
      <c r="P27" s="21">
        <v>9.3425799999999999</v>
      </c>
      <c r="Q27" s="21">
        <v>-1.41876E-2</v>
      </c>
      <c r="R27" s="21">
        <v>17</v>
      </c>
      <c r="S27" s="21">
        <v>-1.45691E-2</v>
      </c>
      <c r="T27">
        <f t="shared" si="2"/>
        <v>17.515555555555554</v>
      </c>
      <c r="U27">
        <f t="shared" si="3"/>
        <v>-0.251230868</v>
      </c>
      <c r="X27" s="9"/>
      <c r="Y27" s="21">
        <v>-1.43433E-2</v>
      </c>
      <c r="Z27" s="21">
        <v>9.3425799999999999</v>
      </c>
      <c r="AA27" s="21">
        <v>-1.41876E-2</v>
      </c>
      <c r="AB27" s="21">
        <v>17</v>
      </c>
      <c r="AC27" s="21">
        <v>-1.45691E-2</v>
      </c>
      <c r="AD27">
        <f t="shared" si="4"/>
        <v>17.515555555555554</v>
      </c>
      <c r="AE27">
        <f t="shared" si="5"/>
        <v>-0.251230868</v>
      </c>
      <c r="AF27" s="9"/>
      <c r="AG27" s="21">
        <v>-1.43433E-2</v>
      </c>
      <c r="AH27" s="21">
        <v>18.6418</v>
      </c>
      <c r="AI27" s="21">
        <v>-1.4163200000000001E-2</v>
      </c>
      <c r="AJ27" s="21">
        <v>17</v>
      </c>
      <c r="AK27" s="21">
        <v>-1.4593500000000001E-2</v>
      </c>
      <c r="AL27">
        <f t="shared" si="6"/>
        <v>17.485432098765433</v>
      </c>
      <c r="AM27">
        <f t="shared" si="7"/>
        <v>-0.25079879822222223</v>
      </c>
      <c r="AP27" s="9"/>
      <c r="AQ27" s="21">
        <v>1.70441</v>
      </c>
      <c r="AR27" s="21">
        <v>24.120999999999999</v>
      </c>
      <c r="AS27" s="21">
        <v>-7.7453599999999997E-3</v>
      </c>
      <c r="AT27" s="21">
        <v>17</v>
      </c>
      <c r="AU27" s="21">
        <v>1.7038</v>
      </c>
      <c r="AV27">
        <f t="shared" si="8"/>
        <v>9.5621728395061716</v>
      </c>
      <c r="AW27">
        <f t="shared" si="9"/>
        <v>16.297863009382713</v>
      </c>
      <c r="AX27" s="9"/>
      <c r="AY27" s="21">
        <v>-1.43433E-2</v>
      </c>
      <c r="AZ27" s="21">
        <v>27.92</v>
      </c>
      <c r="BA27" s="21">
        <v>-1.41022E-2</v>
      </c>
      <c r="BB27" s="21">
        <v>17</v>
      </c>
      <c r="BC27" s="21">
        <v>-1.4489699999999999E-2</v>
      </c>
      <c r="BD27">
        <f t="shared" si="10"/>
        <v>17.410123456790124</v>
      </c>
      <c r="BE27">
        <f t="shared" si="11"/>
        <v>-0.24971862377777779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1.69937</v>
      </c>
      <c r="H28" s="21">
        <v>5.5536000000000003</v>
      </c>
      <c r="I28" s="21">
        <v>-8.5662800000000008E-3</v>
      </c>
      <c r="J28" s="21">
        <v>18</v>
      </c>
      <c r="K28" s="21">
        <v>1.69922</v>
      </c>
      <c r="L28">
        <f t="shared" si="0"/>
        <v>10.575654320987654</v>
      </c>
      <c r="M28">
        <f t="shared" si="1"/>
        <v>17.971949683456792</v>
      </c>
      <c r="N28" s="9"/>
      <c r="O28" s="21">
        <v>-9.3078599999999994E-3</v>
      </c>
      <c r="P28" s="21">
        <v>9.3526500000000006</v>
      </c>
      <c r="Q28" s="21">
        <v>-1.41846E-2</v>
      </c>
      <c r="R28" s="21">
        <v>18</v>
      </c>
      <c r="S28" s="21">
        <v>-9.6466099999999999E-3</v>
      </c>
      <c r="T28">
        <f t="shared" si="2"/>
        <v>17.511851851851851</v>
      </c>
      <c r="U28">
        <f t="shared" si="3"/>
        <v>-0.16299786537777777</v>
      </c>
      <c r="X28" s="9"/>
      <c r="Y28" s="21">
        <v>-9.3078599999999994E-3</v>
      </c>
      <c r="Z28" s="21">
        <v>9.3526500000000006</v>
      </c>
      <c r="AA28" s="21">
        <v>-1.41846E-2</v>
      </c>
      <c r="AB28" s="21">
        <v>18</v>
      </c>
      <c r="AC28" s="21">
        <v>-9.6466099999999999E-3</v>
      </c>
      <c r="AD28">
        <f t="shared" si="4"/>
        <v>17.511851851851851</v>
      </c>
      <c r="AE28">
        <f t="shared" si="5"/>
        <v>-0.16299786537777777</v>
      </c>
      <c r="AF28" s="9"/>
      <c r="AG28" s="21">
        <v>-9.3078599999999994E-3</v>
      </c>
      <c r="AH28" s="21">
        <v>18.651900000000001</v>
      </c>
      <c r="AI28" s="21">
        <v>-1.41602E-2</v>
      </c>
      <c r="AJ28" s="21">
        <v>18</v>
      </c>
      <c r="AK28" s="21">
        <v>-9.5214800000000006E-3</v>
      </c>
      <c r="AL28">
        <f t="shared" si="6"/>
        <v>17.481728395061729</v>
      </c>
      <c r="AM28">
        <f t="shared" si="7"/>
        <v>-0.16271748045925927</v>
      </c>
      <c r="AP28" s="9"/>
      <c r="AQ28" s="21">
        <v>1.69937</v>
      </c>
      <c r="AR28" s="21">
        <v>24.131</v>
      </c>
      <c r="AS28" s="21">
        <v>-8.1634499999999992E-3</v>
      </c>
      <c r="AT28" s="21">
        <v>18</v>
      </c>
      <c r="AU28" s="21">
        <v>1.698</v>
      </c>
      <c r="AV28">
        <f t="shared" si="8"/>
        <v>10.078333333333331</v>
      </c>
      <c r="AW28">
        <f t="shared" si="9"/>
        <v>17.126817316666664</v>
      </c>
      <c r="AX28" s="9"/>
      <c r="AY28" s="21">
        <v>-9.3078599999999994E-3</v>
      </c>
      <c r="AZ28" s="21">
        <v>27.930099999999999</v>
      </c>
      <c r="BA28" s="21">
        <v>-1.40961E-2</v>
      </c>
      <c r="BB28" s="21">
        <v>18</v>
      </c>
      <c r="BC28" s="21">
        <v>-9.5519999999999997E-3</v>
      </c>
      <c r="BD28">
        <f t="shared" si="10"/>
        <v>17.40259259259259</v>
      </c>
      <c r="BE28">
        <f t="shared" si="11"/>
        <v>-0.16198089548888886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1.69434</v>
      </c>
      <c r="H29" s="21">
        <v>5.5636799999999997</v>
      </c>
      <c r="I29" s="21">
        <v>-8.9111299999999997E-3</v>
      </c>
      <c r="J29" s="21">
        <v>19</v>
      </c>
      <c r="K29" s="21">
        <v>1.69373</v>
      </c>
      <c r="L29">
        <f t="shared" si="0"/>
        <v>11.001395061728394</v>
      </c>
      <c r="M29">
        <f t="shared" si="1"/>
        <v>18.640103708888887</v>
      </c>
      <c r="N29" s="9"/>
      <c r="O29" s="21">
        <v>-4.2724599999999996E-3</v>
      </c>
      <c r="P29" s="21">
        <v>9.3627199999999995</v>
      </c>
      <c r="Q29" s="21">
        <v>-1.41876E-2</v>
      </c>
      <c r="R29" s="21">
        <v>19</v>
      </c>
      <c r="S29" s="21">
        <v>-4.31519E-3</v>
      </c>
      <c r="T29">
        <f t="shared" si="2"/>
        <v>17.515555555555554</v>
      </c>
      <c r="U29">
        <f t="shared" si="3"/>
        <v>-7.4834510488888881E-2</v>
      </c>
      <c r="X29" s="9"/>
      <c r="Y29" s="21">
        <v>-4.2724599999999996E-3</v>
      </c>
      <c r="Z29" s="21">
        <v>9.3627199999999995</v>
      </c>
      <c r="AA29" s="21">
        <v>-1.41876E-2</v>
      </c>
      <c r="AB29" s="21">
        <v>19</v>
      </c>
      <c r="AC29" s="21">
        <v>-4.31519E-3</v>
      </c>
      <c r="AD29">
        <f t="shared" si="4"/>
        <v>17.515555555555554</v>
      </c>
      <c r="AE29">
        <f t="shared" si="5"/>
        <v>-7.4834510488888881E-2</v>
      </c>
      <c r="AF29" s="9"/>
      <c r="AG29" s="21">
        <v>-4.2724599999999996E-3</v>
      </c>
      <c r="AH29" s="21">
        <v>18.661899999999999</v>
      </c>
      <c r="AI29" s="21">
        <v>-1.4151E-2</v>
      </c>
      <c r="AJ29" s="21">
        <v>19</v>
      </c>
      <c r="AK29" s="21">
        <v>-4.5898400000000004E-3</v>
      </c>
      <c r="AL29">
        <f t="shared" si="6"/>
        <v>17.470370370370368</v>
      </c>
      <c r="AM29">
        <f t="shared" si="7"/>
        <v>-7.464145859259258E-2</v>
      </c>
      <c r="AP29" s="9"/>
      <c r="AQ29" s="21">
        <v>1.69434</v>
      </c>
      <c r="AR29" s="21">
        <v>24.141100000000002</v>
      </c>
      <c r="AS29" s="21">
        <v>-8.5388200000000008E-3</v>
      </c>
      <c r="AT29" s="21">
        <v>19</v>
      </c>
      <c r="AU29" s="21">
        <v>1.69312</v>
      </c>
      <c r="AV29">
        <f t="shared" si="8"/>
        <v>10.541753086419755</v>
      </c>
      <c r="AW29">
        <f t="shared" si="9"/>
        <v>17.861313924444445</v>
      </c>
      <c r="AX29" s="9"/>
      <c r="AY29" s="21">
        <v>-4.2724599999999996E-3</v>
      </c>
      <c r="AZ29" s="21">
        <v>27.940200000000001</v>
      </c>
      <c r="BA29" s="21">
        <v>-1.4093E-2</v>
      </c>
      <c r="BB29" s="21">
        <v>19</v>
      </c>
      <c r="BC29" s="21">
        <v>-4.4555699999999998E-3</v>
      </c>
      <c r="BD29">
        <f t="shared" si="10"/>
        <v>17.398765432098763</v>
      </c>
      <c r="BE29">
        <f t="shared" si="11"/>
        <v>-7.4335529358024677E-2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1.6893</v>
      </c>
      <c r="H30" s="21">
        <v>5.5737500000000004</v>
      </c>
      <c r="I30" s="21">
        <v>-9.2132599999999992E-3</v>
      </c>
      <c r="J30" s="21">
        <v>20</v>
      </c>
      <c r="K30" s="21">
        <v>1.6885399999999999</v>
      </c>
      <c r="L30">
        <f t="shared" si="0"/>
        <v>11.374395061728395</v>
      </c>
      <c r="M30">
        <f t="shared" si="1"/>
        <v>19.214765577777776</v>
      </c>
      <c r="N30" s="9"/>
      <c r="O30" s="21">
        <v>7.6293900000000002E-4</v>
      </c>
      <c r="P30" s="21">
        <v>9.3727900000000002</v>
      </c>
      <c r="Q30" s="21">
        <v>-1.41937E-2</v>
      </c>
      <c r="R30" s="21">
        <v>20</v>
      </c>
      <c r="S30" s="21">
        <v>3.5705600000000002E-4</v>
      </c>
      <c r="T30">
        <f t="shared" si="2"/>
        <v>17.523086419753085</v>
      </c>
      <c r="U30">
        <f t="shared" si="3"/>
        <v>1.336904603E-2</v>
      </c>
      <c r="X30" s="9"/>
      <c r="Y30" s="21">
        <v>7.6293900000000002E-4</v>
      </c>
      <c r="Z30" s="21">
        <v>9.3727900000000002</v>
      </c>
      <c r="AA30" s="21">
        <v>-1.41937E-2</v>
      </c>
      <c r="AB30" s="21">
        <v>20</v>
      </c>
      <c r="AC30" s="21">
        <v>3.5705600000000002E-4</v>
      </c>
      <c r="AD30">
        <f t="shared" si="4"/>
        <v>17.523086419753085</v>
      </c>
      <c r="AE30">
        <f t="shared" si="5"/>
        <v>1.336904603E-2</v>
      </c>
      <c r="AF30" s="9"/>
      <c r="AG30" s="21">
        <v>7.6293900000000002E-4</v>
      </c>
      <c r="AH30" s="21">
        <v>18.672000000000001</v>
      </c>
      <c r="AI30" s="21">
        <v>-1.41479E-2</v>
      </c>
      <c r="AJ30" s="21">
        <v>20</v>
      </c>
      <c r="AK30" s="21">
        <v>7.6599100000000005E-4</v>
      </c>
      <c r="AL30">
        <f t="shared" si="6"/>
        <v>17.466543209876541</v>
      </c>
      <c r="AM30">
        <f t="shared" si="7"/>
        <v>1.3325907009999999E-2</v>
      </c>
      <c r="AP30" s="9"/>
      <c r="AQ30" s="21">
        <v>1.6893</v>
      </c>
      <c r="AR30" s="21">
        <v>24.151199999999999</v>
      </c>
      <c r="AS30" s="21">
        <v>-8.8775599999999996E-3</v>
      </c>
      <c r="AT30" s="21">
        <v>20</v>
      </c>
      <c r="AU30" s="21">
        <v>1.6891499999999999</v>
      </c>
      <c r="AV30">
        <f t="shared" si="8"/>
        <v>10.959950617283949</v>
      </c>
      <c r="AW30">
        <f t="shared" si="9"/>
        <v>18.514644577777776</v>
      </c>
      <c r="AX30" s="9"/>
      <c r="AY30" s="21">
        <v>7.6293900000000002E-4</v>
      </c>
      <c r="AZ30" s="21">
        <v>27.950199999999999</v>
      </c>
      <c r="BA30" s="21">
        <v>-1.409E-2</v>
      </c>
      <c r="BB30" s="21">
        <v>20</v>
      </c>
      <c r="BC30" s="21">
        <v>5.7067900000000004E-4</v>
      </c>
      <c r="BD30">
        <f t="shared" si="10"/>
        <v>17.39506172839506</v>
      </c>
      <c r="BE30">
        <f t="shared" si="11"/>
        <v>1.3271370999999999E-2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1.6842699999999999</v>
      </c>
      <c r="H31" s="21">
        <v>5.5838200000000002</v>
      </c>
      <c r="I31" s="21">
        <v>-9.4818100000000002E-3</v>
      </c>
      <c r="J31" s="21">
        <v>21</v>
      </c>
      <c r="K31" s="21">
        <v>1.6836500000000001</v>
      </c>
      <c r="L31">
        <f t="shared" si="0"/>
        <v>11.705938271604937</v>
      </c>
      <c r="M31">
        <f t="shared" si="1"/>
        <v>19.715960652716046</v>
      </c>
      <c r="N31" s="9"/>
      <c r="O31" s="21">
        <v>5.7983399999999999E-3</v>
      </c>
      <c r="P31" s="21">
        <v>9.3828600000000009</v>
      </c>
      <c r="Q31" s="21">
        <v>-1.41785E-2</v>
      </c>
      <c r="R31" s="21">
        <v>21</v>
      </c>
      <c r="S31" s="21">
        <v>5.7495100000000002E-3</v>
      </c>
      <c r="T31">
        <f t="shared" si="2"/>
        <v>17.504320987654321</v>
      </c>
      <c r="U31">
        <f t="shared" si="3"/>
        <v>0.10149600455555555</v>
      </c>
      <c r="X31" s="9"/>
      <c r="Y31" s="21">
        <v>5.7983399999999999E-3</v>
      </c>
      <c r="Z31" s="21">
        <v>9.3828600000000009</v>
      </c>
      <c r="AA31" s="21">
        <v>-1.41785E-2</v>
      </c>
      <c r="AB31" s="21">
        <v>21</v>
      </c>
      <c r="AC31" s="21">
        <v>5.7495100000000002E-3</v>
      </c>
      <c r="AD31">
        <f t="shared" si="4"/>
        <v>17.504320987654321</v>
      </c>
      <c r="AE31">
        <f t="shared" si="5"/>
        <v>0.10149600455555555</v>
      </c>
      <c r="AF31" s="9"/>
      <c r="AG31" s="21">
        <v>5.7983399999999999E-3</v>
      </c>
      <c r="AH31" s="21">
        <v>18.682099999999998</v>
      </c>
      <c r="AI31" s="21">
        <v>-1.4151E-2</v>
      </c>
      <c r="AJ31" s="21">
        <v>21</v>
      </c>
      <c r="AK31" s="21">
        <v>5.6366000000000003E-3</v>
      </c>
      <c r="AL31">
        <f t="shared" si="6"/>
        <v>17.470370370370368</v>
      </c>
      <c r="AM31">
        <f t="shared" si="7"/>
        <v>0.10129914733333333</v>
      </c>
      <c r="AP31" s="9"/>
      <c r="AQ31" s="21">
        <v>1.6842699999999999</v>
      </c>
      <c r="AR31" s="21">
        <v>24.161300000000001</v>
      </c>
      <c r="AS31" s="21">
        <v>-9.1796900000000008E-3</v>
      </c>
      <c r="AT31" s="21">
        <v>21</v>
      </c>
      <c r="AU31" s="21">
        <v>1.6833499999999999</v>
      </c>
      <c r="AV31">
        <f t="shared" si="8"/>
        <v>11.33295061728395</v>
      </c>
      <c r="AW31">
        <f t="shared" si="9"/>
        <v>19.087748736172838</v>
      </c>
      <c r="AX31" s="9"/>
      <c r="AY31" s="21">
        <v>5.7983399999999999E-3</v>
      </c>
      <c r="AZ31" s="21">
        <v>27.9603</v>
      </c>
      <c r="BA31" s="21">
        <v>-1.40839E-2</v>
      </c>
      <c r="BB31" s="21">
        <v>21</v>
      </c>
      <c r="BC31" s="21">
        <v>5.4168699999999998E-3</v>
      </c>
      <c r="BD31">
        <f t="shared" si="10"/>
        <v>17.387530864197529</v>
      </c>
      <c r="BE31">
        <f t="shared" si="11"/>
        <v>0.10081881571111111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1.67923</v>
      </c>
      <c r="H32" s="21">
        <v>5.59389</v>
      </c>
      <c r="I32" s="21">
        <v>-9.7381599999999992E-3</v>
      </c>
      <c r="J32" s="21">
        <v>22</v>
      </c>
      <c r="K32" s="21">
        <v>1.6784699999999999</v>
      </c>
      <c r="L32">
        <f t="shared" si="0"/>
        <v>12.022419753086417</v>
      </c>
      <c r="M32">
        <f t="shared" si="1"/>
        <v>20.188407921975305</v>
      </c>
      <c r="N32" s="9"/>
      <c r="O32" s="21">
        <v>1.08337E-2</v>
      </c>
      <c r="P32" s="21">
        <v>9.3929299999999998</v>
      </c>
      <c r="Q32" s="21">
        <v>-1.4175399999999999E-2</v>
      </c>
      <c r="R32" s="21">
        <v>22</v>
      </c>
      <c r="S32" s="21">
        <v>1.08337E-2</v>
      </c>
      <c r="T32">
        <f t="shared" si="2"/>
        <v>17.500493827160494</v>
      </c>
      <c r="U32">
        <f t="shared" si="3"/>
        <v>0.18959509997530863</v>
      </c>
      <c r="X32" s="9"/>
      <c r="Y32" s="21">
        <v>1.08337E-2</v>
      </c>
      <c r="Z32" s="21">
        <v>9.3929299999999998</v>
      </c>
      <c r="AA32" s="21">
        <v>-1.4175399999999999E-2</v>
      </c>
      <c r="AB32" s="21">
        <v>22</v>
      </c>
      <c r="AC32" s="21">
        <v>1.08337E-2</v>
      </c>
      <c r="AD32">
        <f t="shared" si="4"/>
        <v>17.500493827160494</v>
      </c>
      <c r="AE32">
        <f t="shared" si="5"/>
        <v>0.18959509997530863</v>
      </c>
      <c r="AF32" s="9"/>
      <c r="AG32" s="21">
        <v>1.08337E-2</v>
      </c>
      <c r="AH32" s="21">
        <v>18.6922</v>
      </c>
      <c r="AI32" s="21">
        <v>-1.41479E-2</v>
      </c>
      <c r="AJ32" s="21">
        <v>22</v>
      </c>
      <c r="AK32" s="21">
        <v>1.0549899999999999E-2</v>
      </c>
      <c r="AL32">
        <f t="shared" si="6"/>
        <v>17.466543209876541</v>
      </c>
      <c r="AM32">
        <f t="shared" si="7"/>
        <v>0.18922728917283949</v>
      </c>
      <c r="AP32" s="9"/>
      <c r="AQ32" s="21">
        <v>1.67923</v>
      </c>
      <c r="AR32" s="21">
        <v>24.171299999999999</v>
      </c>
      <c r="AS32" s="21">
        <v>-9.4482400000000001E-3</v>
      </c>
      <c r="AT32" s="21">
        <v>22</v>
      </c>
      <c r="AU32" s="21">
        <v>1.6787700000000001</v>
      </c>
      <c r="AV32">
        <f t="shared" si="8"/>
        <v>11.664493827160493</v>
      </c>
      <c r="AW32">
        <f t="shared" si="9"/>
        <v>19.587367969382715</v>
      </c>
      <c r="AX32" s="9"/>
      <c r="AY32" s="21">
        <v>1.08337E-2</v>
      </c>
      <c r="AZ32" s="21">
        <v>27.970400000000001</v>
      </c>
      <c r="BA32" s="21">
        <v>-1.40839E-2</v>
      </c>
      <c r="BB32" s="21">
        <v>22</v>
      </c>
      <c r="BC32" s="21">
        <v>1.0705599999999999E-2</v>
      </c>
      <c r="BD32">
        <f t="shared" si="10"/>
        <v>17.387530864197529</v>
      </c>
      <c r="BE32">
        <f t="shared" si="11"/>
        <v>0.18837129312345677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1.6741900000000001</v>
      </c>
      <c r="H33" s="21">
        <v>5.6039599999999998</v>
      </c>
      <c r="I33" s="21">
        <v>-9.9700899999999992E-3</v>
      </c>
      <c r="J33" s="21">
        <v>23</v>
      </c>
      <c r="K33" s="21">
        <v>1.6732800000000001</v>
      </c>
      <c r="L33">
        <f t="shared" si="0"/>
        <v>12.308753086419753</v>
      </c>
      <c r="M33">
        <f t="shared" si="1"/>
        <v>20.607191329753086</v>
      </c>
      <c r="N33" s="9"/>
      <c r="O33" s="21">
        <v>1.5869100000000001E-2</v>
      </c>
      <c r="P33" s="21">
        <v>9.4030100000000001</v>
      </c>
      <c r="Q33" s="21">
        <v>-1.41815E-2</v>
      </c>
      <c r="R33" s="21">
        <v>23</v>
      </c>
      <c r="S33" s="21">
        <v>1.5698199999999999E-2</v>
      </c>
      <c r="T33">
        <f t="shared" si="2"/>
        <v>17.508024691358024</v>
      </c>
      <c r="U33">
        <f t="shared" si="3"/>
        <v>0.27783659462962962</v>
      </c>
      <c r="X33" s="9"/>
      <c r="Y33" s="21">
        <v>1.5869100000000001E-2</v>
      </c>
      <c r="Z33" s="21">
        <v>9.4030100000000001</v>
      </c>
      <c r="AA33" s="21">
        <v>-1.41815E-2</v>
      </c>
      <c r="AB33" s="21">
        <v>23</v>
      </c>
      <c r="AC33" s="21">
        <v>1.5698199999999999E-2</v>
      </c>
      <c r="AD33">
        <f t="shared" si="4"/>
        <v>17.508024691358024</v>
      </c>
      <c r="AE33">
        <f t="shared" si="5"/>
        <v>0.27783659462962962</v>
      </c>
      <c r="AF33" s="9"/>
      <c r="AG33" s="21">
        <v>1.5869100000000001E-2</v>
      </c>
      <c r="AH33" s="21">
        <v>18.702200000000001</v>
      </c>
      <c r="AI33" s="21">
        <v>-1.41327E-2</v>
      </c>
      <c r="AJ33" s="21">
        <v>23</v>
      </c>
      <c r="AK33" s="21">
        <v>1.5835599999999998E-2</v>
      </c>
      <c r="AL33">
        <f t="shared" si="6"/>
        <v>17.447777777777777</v>
      </c>
      <c r="AM33">
        <f t="shared" si="7"/>
        <v>0.27688053033333332</v>
      </c>
      <c r="AP33" s="9"/>
      <c r="AQ33" s="21">
        <v>1.6741900000000001</v>
      </c>
      <c r="AR33" s="21">
        <v>24.1814</v>
      </c>
      <c r="AS33" s="21">
        <v>-9.6954299999999997E-3</v>
      </c>
      <c r="AT33" s="21">
        <v>23</v>
      </c>
      <c r="AU33" s="21">
        <v>1.6732800000000001</v>
      </c>
      <c r="AV33">
        <f t="shared" si="8"/>
        <v>11.969666666666665</v>
      </c>
      <c r="AW33">
        <f t="shared" si="9"/>
        <v>20.039496236666665</v>
      </c>
      <c r="AX33" s="9"/>
      <c r="AY33" s="21">
        <v>1.5869100000000001E-2</v>
      </c>
      <c r="AZ33" s="21">
        <v>27.980499999999999</v>
      </c>
      <c r="BA33" s="21">
        <v>-1.4071699999999999E-2</v>
      </c>
      <c r="BB33" s="21">
        <v>23</v>
      </c>
      <c r="BC33" s="21">
        <v>1.57349E-2</v>
      </c>
      <c r="BD33">
        <f t="shared" si="10"/>
        <v>17.372469135802469</v>
      </c>
      <c r="BE33">
        <f t="shared" si="11"/>
        <v>0.27568544996296296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1.66916</v>
      </c>
      <c r="H34" s="21">
        <v>5.6140299999999996</v>
      </c>
      <c r="I34" s="21">
        <v>-1.0180700000000001E-2</v>
      </c>
      <c r="J34" s="21">
        <v>24</v>
      </c>
      <c r="K34" s="21">
        <v>1.6687000000000001</v>
      </c>
      <c r="L34">
        <f t="shared" si="0"/>
        <v>12.568765432098765</v>
      </c>
      <c r="M34">
        <f t="shared" si="1"/>
        <v>20.979280508641974</v>
      </c>
      <c r="N34" s="9"/>
      <c r="O34" s="21">
        <v>2.0904499999999999E-2</v>
      </c>
      <c r="P34" s="21">
        <v>9.4130800000000008</v>
      </c>
      <c r="Q34" s="21">
        <v>-1.41724E-2</v>
      </c>
      <c r="R34" s="21">
        <v>24</v>
      </c>
      <c r="S34" s="21">
        <v>2.0770299999999998E-2</v>
      </c>
      <c r="T34">
        <f t="shared" si="2"/>
        <v>17.496790123456787</v>
      </c>
      <c r="U34">
        <f t="shared" si="3"/>
        <v>0.36576164913580239</v>
      </c>
      <c r="X34" s="9"/>
      <c r="Y34" s="21">
        <v>2.0904499999999999E-2</v>
      </c>
      <c r="Z34" s="21">
        <v>9.4130800000000008</v>
      </c>
      <c r="AA34" s="21">
        <v>-1.41724E-2</v>
      </c>
      <c r="AB34" s="21">
        <v>24</v>
      </c>
      <c r="AC34" s="21">
        <v>2.0770299999999998E-2</v>
      </c>
      <c r="AD34">
        <f t="shared" si="4"/>
        <v>17.496790123456787</v>
      </c>
      <c r="AE34">
        <f t="shared" si="5"/>
        <v>0.36576164913580239</v>
      </c>
      <c r="AF34" s="9"/>
      <c r="AG34" s="21">
        <v>2.0904499999999999E-2</v>
      </c>
      <c r="AH34" s="21">
        <v>18.712299999999999</v>
      </c>
      <c r="AI34" s="21">
        <v>-1.4129600000000001E-2</v>
      </c>
      <c r="AJ34" s="21">
        <v>24</v>
      </c>
      <c r="AK34" s="21">
        <v>2.0660399999999999E-2</v>
      </c>
      <c r="AL34">
        <f t="shared" si="6"/>
        <v>17.443950617283949</v>
      </c>
      <c r="AM34">
        <f t="shared" si="7"/>
        <v>0.36465706567901229</v>
      </c>
      <c r="AP34" s="9"/>
      <c r="AQ34" s="21">
        <v>1.66916</v>
      </c>
      <c r="AR34" s="21">
        <v>24.191500000000001</v>
      </c>
      <c r="AS34" s="21">
        <v>-9.9212599999999995E-3</v>
      </c>
      <c r="AT34" s="21">
        <v>24</v>
      </c>
      <c r="AU34" s="21">
        <v>1.6684000000000001</v>
      </c>
      <c r="AV34">
        <f t="shared" si="8"/>
        <v>12.248469135802468</v>
      </c>
      <c r="AW34">
        <f t="shared" si="9"/>
        <v>20.444654742716047</v>
      </c>
      <c r="AX34" s="9"/>
      <c r="AY34" s="21">
        <v>2.0904499999999999E-2</v>
      </c>
      <c r="AZ34" s="21">
        <v>27.990500000000001</v>
      </c>
      <c r="BA34" s="21">
        <v>-1.4068600000000001E-2</v>
      </c>
      <c r="BB34" s="21">
        <v>24</v>
      </c>
      <c r="BC34" s="21">
        <v>2.0803800000000001E-2</v>
      </c>
      <c r="BD34">
        <f t="shared" si="10"/>
        <v>17.368641975308641</v>
      </c>
      <c r="BE34">
        <f t="shared" si="11"/>
        <v>0.36308277617283946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1.66412</v>
      </c>
      <c r="H35" s="21">
        <v>5.6241000000000003</v>
      </c>
      <c r="I35" s="21">
        <v>-1.03882E-2</v>
      </c>
      <c r="J35" s="21">
        <v>25</v>
      </c>
      <c r="K35" s="21">
        <v>1.66351</v>
      </c>
      <c r="L35">
        <f t="shared" si="0"/>
        <v>12.824938271604937</v>
      </c>
      <c r="M35">
        <f t="shared" si="1"/>
        <v>21.342236276543208</v>
      </c>
      <c r="N35" s="9"/>
      <c r="O35" s="21">
        <v>2.5939899999999998E-2</v>
      </c>
      <c r="P35" s="21">
        <v>9.4231499999999997</v>
      </c>
      <c r="Q35" s="21">
        <v>-1.41663E-2</v>
      </c>
      <c r="R35" s="21">
        <v>25</v>
      </c>
      <c r="S35" s="21">
        <v>2.5826999999999999E-2</v>
      </c>
      <c r="T35">
        <f t="shared" si="2"/>
        <v>17.489259259259256</v>
      </c>
      <c r="U35">
        <f t="shared" si="3"/>
        <v>0.45366963625925916</v>
      </c>
      <c r="X35" s="9"/>
      <c r="Y35" s="21">
        <v>2.5939899999999998E-2</v>
      </c>
      <c r="Z35" s="21">
        <v>9.4231499999999997</v>
      </c>
      <c r="AA35" s="21">
        <v>-1.41663E-2</v>
      </c>
      <c r="AB35" s="21">
        <v>25</v>
      </c>
      <c r="AC35" s="21">
        <v>2.5826999999999999E-2</v>
      </c>
      <c r="AD35">
        <f t="shared" si="4"/>
        <v>17.489259259259256</v>
      </c>
      <c r="AE35">
        <f t="shared" si="5"/>
        <v>0.45366963625925916</v>
      </c>
      <c r="AF35" s="9"/>
      <c r="AG35" s="21">
        <v>2.5939899999999998E-2</v>
      </c>
      <c r="AH35" s="21">
        <v>18.7224</v>
      </c>
      <c r="AI35" s="21">
        <v>-1.4129600000000001E-2</v>
      </c>
      <c r="AJ35" s="21">
        <v>25</v>
      </c>
      <c r="AK35" s="21">
        <v>2.5817900000000001E-2</v>
      </c>
      <c r="AL35">
        <f t="shared" si="6"/>
        <v>17.443950617283949</v>
      </c>
      <c r="AM35">
        <f t="shared" si="7"/>
        <v>0.45249433461728389</v>
      </c>
      <c r="AP35" s="9"/>
      <c r="AQ35" s="21">
        <v>1.66412</v>
      </c>
      <c r="AR35" s="21">
        <v>24.201499999999999</v>
      </c>
      <c r="AS35" s="21">
        <v>-1.01227E-2</v>
      </c>
      <c r="AT35" s="21">
        <v>25</v>
      </c>
      <c r="AU35" s="21">
        <v>1.6632100000000001</v>
      </c>
      <c r="AV35">
        <f t="shared" si="8"/>
        <v>12.49716049382716</v>
      </c>
      <c r="AW35">
        <f t="shared" si="9"/>
        <v>20.796774720987653</v>
      </c>
      <c r="AX35" s="9"/>
      <c r="AY35" s="21">
        <v>2.5939899999999998E-2</v>
      </c>
      <c r="AZ35" s="21">
        <v>28.000599999999999</v>
      </c>
      <c r="BA35" s="21">
        <v>-1.4071699999999999E-2</v>
      </c>
      <c r="BB35" s="21">
        <v>25</v>
      </c>
      <c r="BC35" s="21">
        <v>2.5866699999999999E-2</v>
      </c>
      <c r="BD35">
        <f t="shared" si="10"/>
        <v>17.372469135802469</v>
      </c>
      <c r="BE35">
        <f t="shared" si="11"/>
        <v>0.45064011213580241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1.65909</v>
      </c>
      <c r="H36" s="21">
        <v>5.6341700000000001</v>
      </c>
      <c r="I36" s="21">
        <v>-1.05682E-2</v>
      </c>
      <c r="J36" s="21">
        <v>26</v>
      </c>
      <c r="K36" s="21">
        <v>1.65802</v>
      </c>
      <c r="L36">
        <f t="shared" si="0"/>
        <v>13.04716049382716</v>
      </c>
      <c r="M36">
        <f t="shared" si="1"/>
        <v>21.646413503703702</v>
      </c>
      <c r="N36" s="9"/>
      <c r="O36" s="21">
        <v>3.0975300000000001E-2</v>
      </c>
      <c r="P36" s="21">
        <v>9.4332200000000004</v>
      </c>
      <c r="Q36" s="21">
        <v>-1.41602E-2</v>
      </c>
      <c r="R36" s="21">
        <v>26</v>
      </c>
      <c r="S36" s="21">
        <v>3.0996699999999999E-2</v>
      </c>
      <c r="T36">
        <f t="shared" si="2"/>
        <v>17.481728395061729</v>
      </c>
      <c r="U36">
        <f t="shared" si="3"/>
        <v>0.54150178155555562</v>
      </c>
      <c r="X36" s="9"/>
      <c r="Y36" s="21">
        <v>3.0975300000000001E-2</v>
      </c>
      <c r="Z36" s="21">
        <v>9.4332200000000004</v>
      </c>
      <c r="AA36" s="21">
        <v>-1.41602E-2</v>
      </c>
      <c r="AB36" s="21">
        <v>26</v>
      </c>
      <c r="AC36" s="21">
        <v>3.0996699999999999E-2</v>
      </c>
      <c r="AD36">
        <f t="shared" si="4"/>
        <v>17.481728395061729</v>
      </c>
      <c r="AE36">
        <f t="shared" si="5"/>
        <v>0.54150178155555562</v>
      </c>
      <c r="AF36" s="9"/>
      <c r="AG36" s="21">
        <v>3.0975300000000001E-2</v>
      </c>
      <c r="AH36" s="21">
        <v>18.732399999999998</v>
      </c>
      <c r="AI36" s="21">
        <v>-1.4123500000000001E-2</v>
      </c>
      <c r="AJ36" s="21">
        <v>26</v>
      </c>
      <c r="AK36" s="21">
        <v>3.0880700000000001E-2</v>
      </c>
      <c r="AL36">
        <f t="shared" si="6"/>
        <v>17.436419753086419</v>
      </c>
      <c r="AM36">
        <f t="shared" si="7"/>
        <v>0.54009833277777775</v>
      </c>
      <c r="AP36" s="9"/>
      <c r="AQ36" s="21">
        <v>1.65909</v>
      </c>
      <c r="AR36" s="21">
        <v>24.211600000000001</v>
      </c>
      <c r="AS36" s="21">
        <v>-1.03149E-2</v>
      </c>
      <c r="AT36" s="21">
        <v>26</v>
      </c>
      <c r="AU36" s="21">
        <v>1.6583300000000001</v>
      </c>
      <c r="AV36">
        <f t="shared" si="8"/>
        <v>12.734444444444444</v>
      </c>
      <c r="AW36">
        <f t="shared" si="9"/>
        <v>21.127589433333331</v>
      </c>
      <c r="AX36" s="9"/>
      <c r="AY36" s="21">
        <v>3.0975300000000001E-2</v>
      </c>
      <c r="AZ36" s="21">
        <v>28.0107</v>
      </c>
      <c r="BA36" s="21">
        <v>-1.40625E-2</v>
      </c>
      <c r="BB36" s="21">
        <v>26</v>
      </c>
      <c r="BC36" s="21">
        <v>3.0831899999999999E-2</v>
      </c>
      <c r="BD36">
        <f t="shared" si="10"/>
        <v>17.361111111111111</v>
      </c>
      <c r="BE36">
        <f t="shared" si="11"/>
        <v>0.53776562500000002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1.65405</v>
      </c>
      <c r="H37" s="21">
        <v>5.6442399999999999</v>
      </c>
      <c r="I37" s="21">
        <v>-1.0726899999999999E-2</v>
      </c>
      <c r="J37" s="21">
        <v>27</v>
      </c>
      <c r="K37" s="21">
        <v>1.65283</v>
      </c>
      <c r="L37">
        <f t="shared" si="0"/>
        <v>13.243086419753084</v>
      </c>
      <c r="M37">
        <f t="shared" si="1"/>
        <v>21.904727092592587</v>
      </c>
      <c r="N37" s="9"/>
      <c r="O37" s="21">
        <v>3.60107E-2</v>
      </c>
      <c r="P37" s="21">
        <v>9.4432899999999993</v>
      </c>
      <c r="Q37" s="21">
        <v>-1.4151E-2</v>
      </c>
      <c r="R37" s="21">
        <v>27</v>
      </c>
      <c r="S37" s="21">
        <v>3.6001600000000002E-2</v>
      </c>
      <c r="T37">
        <f t="shared" si="2"/>
        <v>17.470370370370368</v>
      </c>
      <c r="U37">
        <f t="shared" si="3"/>
        <v>0.62912026629629625</v>
      </c>
      <c r="X37" s="9"/>
      <c r="Y37" s="21">
        <v>3.60107E-2</v>
      </c>
      <c r="Z37" s="21">
        <v>9.4432899999999993</v>
      </c>
      <c r="AA37" s="21">
        <v>-1.4151E-2</v>
      </c>
      <c r="AB37" s="21">
        <v>27</v>
      </c>
      <c r="AC37" s="21">
        <v>3.6001600000000002E-2</v>
      </c>
      <c r="AD37">
        <f t="shared" si="4"/>
        <v>17.470370370370368</v>
      </c>
      <c r="AE37">
        <f t="shared" si="5"/>
        <v>0.62912026629629625</v>
      </c>
      <c r="AF37" s="9"/>
      <c r="AG37" s="21">
        <v>3.60107E-2</v>
      </c>
      <c r="AH37" s="21">
        <v>18.7425</v>
      </c>
      <c r="AI37" s="21">
        <v>-1.41266E-2</v>
      </c>
      <c r="AJ37" s="21">
        <v>27</v>
      </c>
      <c r="AK37" s="21">
        <v>3.5937499999999997E-2</v>
      </c>
      <c r="AL37">
        <f t="shared" si="6"/>
        <v>17.440246913580246</v>
      </c>
      <c r="AM37">
        <f t="shared" si="7"/>
        <v>0.62803549953086413</v>
      </c>
      <c r="AP37" s="9"/>
      <c r="AQ37" s="21">
        <v>1.65405</v>
      </c>
      <c r="AR37" s="21">
        <v>24.221699999999998</v>
      </c>
      <c r="AS37" s="21">
        <v>-1.04919E-2</v>
      </c>
      <c r="AT37" s="21">
        <v>27</v>
      </c>
      <c r="AU37" s="21">
        <v>1.6531400000000001</v>
      </c>
      <c r="AV37">
        <f t="shared" si="8"/>
        <v>12.952962962962962</v>
      </c>
      <c r="AW37">
        <f t="shared" si="9"/>
        <v>21.424848388888886</v>
      </c>
      <c r="AX37" s="9"/>
      <c r="AY37" s="21">
        <v>3.60107E-2</v>
      </c>
      <c r="AZ37" s="21">
        <v>28.020700000000001</v>
      </c>
      <c r="BA37" s="21">
        <v>-1.40564E-2</v>
      </c>
      <c r="BB37" s="21">
        <v>27</v>
      </c>
      <c r="BC37" s="21">
        <v>3.5913100000000003E-2</v>
      </c>
      <c r="BD37">
        <f t="shared" si="10"/>
        <v>17.35358024691358</v>
      </c>
      <c r="BE37">
        <f t="shared" si="11"/>
        <v>0.62491457219753088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1.6490199999999999</v>
      </c>
      <c r="H38" s="21">
        <v>5.6543099999999997</v>
      </c>
      <c r="I38" s="21">
        <v>-1.0870400000000001E-2</v>
      </c>
      <c r="J38" s="21">
        <v>28</v>
      </c>
      <c r="K38" s="21">
        <v>1.64856</v>
      </c>
      <c r="L38">
        <f t="shared" si="0"/>
        <v>13.420246913580247</v>
      </c>
      <c r="M38">
        <f t="shared" si="1"/>
        <v>22.130255565432098</v>
      </c>
      <c r="N38" s="9"/>
      <c r="O38" s="21">
        <v>4.1046100000000002E-2</v>
      </c>
      <c r="P38" s="21">
        <v>9.45336</v>
      </c>
      <c r="Q38" s="21">
        <v>-1.4129600000000001E-2</v>
      </c>
      <c r="R38" s="21">
        <v>28</v>
      </c>
      <c r="S38" s="21">
        <v>4.0942399999999997E-2</v>
      </c>
      <c r="T38">
        <f t="shared" si="2"/>
        <v>17.443950617283949</v>
      </c>
      <c r="U38">
        <f t="shared" si="3"/>
        <v>0.71600614143209873</v>
      </c>
      <c r="X38" s="9"/>
      <c r="Y38" s="21">
        <v>4.1046100000000002E-2</v>
      </c>
      <c r="Z38" s="21">
        <v>9.45336</v>
      </c>
      <c r="AA38" s="21">
        <v>-1.4129600000000001E-2</v>
      </c>
      <c r="AB38" s="21">
        <v>28</v>
      </c>
      <c r="AC38" s="21">
        <v>4.0942399999999997E-2</v>
      </c>
      <c r="AD38">
        <f t="shared" si="4"/>
        <v>17.443950617283949</v>
      </c>
      <c r="AE38">
        <f t="shared" si="5"/>
        <v>0.71600614143209873</v>
      </c>
      <c r="AF38" s="9"/>
      <c r="AG38" s="21">
        <v>4.1046100000000002E-2</v>
      </c>
      <c r="AH38" s="21">
        <v>18.752600000000001</v>
      </c>
      <c r="AI38" s="21">
        <v>-1.41174E-2</v>
      </c>
      <c r="AJ38" s="21">
        <v>28</v>
      </c>
      <c r="AK38" s="21">
        <v>4.0869099999999998E-2</v>
      </c>
      <c r="AL38">
        <f t="shared" si="6"/>
        <v>17.428888888888888</v>
      </c>
      <c r="AM38">
        <f t="shared" si="7"/>
        <v>0.7153879162222222</v>
      </c>
      <c r="AP38" s="9"/>
      <c r="AQ38" s="21">
        <v>1.6490199999999999</v>
      </c>
      <c r="AR38" s="21">
        <v>24.2318</v>
      </c>
      <c r="AS38" s="21">
        <v>-1.06689E-2</v>
      </c>
      <c r="AT38" s="21">
        <v>28</v>
      </c>
      <c r="AU38" s="21">
        <v>1.64795</v>
      </c>
      <c r="AV38">
        <f t="shared" si="8"/>
        <v>13.17148148148148</v>
      </c>
      <c r="AW38">
        <f t="shared" si="9"/>
        <v>21.72003639259259</v>
      </c>
      <c r="AX38" s="9"/>
      <c r="AY38" s="21">
        <v>4.1046100000000002E-2</v>
      </c>
      <c r="AZ38" s="21">
        <v>28.030799999999999</v>
      </c>
      <c r="BA38" s="21">
        <v>-1.40594E-2</v>
      </c>
      <c r="BB38" s="21">
        <v>28</v>
      </c>
      <c r="BC38" s="21">
        <v>4.09027E-2</v>
      </c>
      <c r="BD38">
        <f t="shared" si="10"/>
        <v>17.357283950617283</v>
      </c>
      <c r="BE38">
        <f t="shared" si="11"/>
        <v>0.71244881276543215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1.64398</v>
      </c>
      <c r="H39" s="21">
        <v>5.66439</v>
      </c>
      <c r="I39" s="21">
        <v>-1.10077E-2</v>
      </c>
      <c r="J39" s="21">
        <v>29</v>
      </c>
      <c r="K39" s="21">
        <v>1.64368</v>
      </c>
      <c r="L39">
        <f t="shared" si="0"/>
        <v>13.589753086419753</v>
      </c>
      <c r="M39">
        <f t="shared" si="1"/>
        <v>22.341282279012347</v>
      </c>
      <c r="N39" s="9"/>
      <c r="O39" s="21">
        <v>4.6081499999999997E-2</v>
      </c>
      <c r="P39" s="21">
        <v>9.4634300000000007</v>
      </c>
      <c r="Q39" s="21">
        <v>-1.41113E-2</v>
      </c>
      <c r="R39" s="21">
        <v>29</v>
      </c>
      <c r="S39" s="21">
        <v>4.5990000000000003E-2</v>
      </c>
      <c r="T39">
        <f t="shared" si="2"/>
        <v>17.421358024691358</v>
      </c>
      <c r="U39">
        <f t="shared" si="3"/>
        <v>0.80280230981481482</v>
      </c>
      <c r="X39" s="9"/>
      <c r="Y39" s="21">
        <v>4.6081499999999997E-2</v>
      </c>
      <c r="Z39" s="21">
        <v>9.4634300000000007</v>
      </c>
      <c r="AA39" s="21">
        <v>-1.41113E-2</v>
      </c>
      <c r="AB39" s="21">
        <v>29</v>
      </c>
      <c r="AC39" s="21">
        <v>4.5990000000000003E-2</v>
      </c>
      <c r="AD39">
        <f t="shared" si="4"/>
        <v>17.421358024691358</v>
      </c>
      <c r="AE39">
        <f t="shared" si="5"/>
        <v>0.80280230981481482</v>
      </c>
      <c r="AF39" s="9"/>
      <c r="AG39" s="21">
        <v>4.6081499999999997E-2</v>
      </c>
      <c r="AH39" s="21">
        <v>18.762699999999999</v>
      </c>
      <c r="AI39" s="21">
        <v>-1.4120499999999999E-2</v>
      </c>
      <c r="AJ39" s="21">
        <v>29</v>
      </c>
      <c r="AK39" s="21">
        <v>4.5968599999999998E-2</v>
      </c>
      <c r="AL39">
        <f t="shared" si="6"/>
        <v>17.432716049382716</v>
      </c>
      <c r="AM39">
        <f t="shared" si="7"/>
        <v>0.8033257046296296</v>
      </c>
      <c r="AP39" s="9"/>
      <c r="AQ39" s="21">
        <v>1.64398</v>
      </c>
      <c r="AR39" s="21">
        <v>24.241800000000001</v>
      </c>
      <c r="AS39" s="21">
        <v>-1.08307E-2</v>
      </c>
      <c r="AT39" s="21">
        <v>29</v>
      </c>
      <c r="AU39" s="21">
        <v>1.64368</v>
      </c>
      <c r="AV39">
        <f t="shared" si="8"/>
        <v>13.371234567901235</v>
      </c>
      <c r="AW39">
        <f t="shared" si="9"/>
        <v>21.982042204938271</v>
      </c>
      <c r="AX39" s="9"/>
      <c r="AY39" s="21">
        <v>4.6081499999999997E-2</v>
      </c>
      <c r="AZ39" s="21">
        <v>28.040900000000001</v>
      </c>
      <c r="BA39" s="21">
        <v>-1.40778E-2</v>
      </c>
      <c r="BB39" s="21">
        <v>29</v>
      </c>
      <c r="BC39" s="21">
        <v>4.5932000000000001E-2</v>
      </c>
      <c r="BD39">
        <f t="shared" si="10"/>
        <v>17.38</v>
      </c>
      <c r="BE39">
        <f t="shared" si="11"/>
        <v>0.80089646999999986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1.6389499999999999</v>
      </c>
      <c r="H40" s="21">
        <v>5.6744599999999998</v>
      </c>
      <c r="I40" s="21">
        <v>-1.1148099999999999E-2</v>
      </c>
      <c r="J40" s="21">
        <v>30</v>
      </c>
      <c r="K40" s="21">
        <v>1.63788</v>
      </c>
      <c r="L40">
        <f t="shared" si="0"/>
        <v>13.763086419753085</v>
      </c>
      <c r="M40">
        <f t="shared" si="1"/>
        <v>22.557010487654317</v>
      </c>
      <c r="N40" s="9"/>
      <c r="O40" s="21">
        <v>5.11169E-2</v>
      </c>
      <c r="P40" s="21">
        <v>9.4734999999999996</v>
      </c>
      <c r="Q40" s="21">
        <v>-1.4108300000000001E-2</v>
      </c>
      <c r="R40" s="21">
        <v>30</v>
      </c>
      <c r="S40" s="21">
        <v>5.05981E-2</v>
      </c>
      <c r="T40">
        <f t="shared" si="2"/>
        <v>17.417654320987655</v>
      </c>
      <c r="U40">
        <f t="shared" si="3"/>
        <v>0.89033649416049387</v>
      </c>
      <c r="X40" s="9"/>
      <c r="Y40" s="21">
        <v>5.11169E-2</v>
      </c>
      <c r="Z40" s="21">
        <v>9.4734999999999996</v>
      </c>
      <c r="AA40" s="21">
        <v>-1.4108300000000001E-2</v>
      </c>
      <c r="AB40" s="21">
        <v>30</v>
      </c>
      <c r="AC40" s="21">
        <v>5.05981E-2</v>
      </c>
      <c r="AD40">
        <f t="shared" si="4"/>
        <v>17.417654320987655</v>
      </c>
      <c r="AE40">
        <f t="shared" si="5"/>
        <v>0.89033649416049387</v>
      </c>
      <c r="AF40" s="9"/>
      <c r="AG40" s="21">
        <v>5.11169E-2</v>
      </c>
      <c r="AH40" s="21">
        <v>18.7727</v>
      </c>
      <c r="AI40" s="21">
        <v>-1.4129600000000001E-2</v>
      </c>
      <c r="AJ40" s="21">
        <v>30</v>
      </c>
      <c r="AK40" s="21">
        <v>5.0689699999999997E-2</v>
      </c>
      <c r="AL40">
        <f t="shared" si="6"/>
        <v>17.443950617283949</v>
      </c>
      <c r="AM40">
        <f t="shared" si="7"/>
        <v>0.89168067930864192</v>
      </c>
      <c r="AP40" s="9"/>
      <c r="AQ40" s="21">
        <v>1.6389499999999999</v>
      </c>
      <c r="AR40" s="21">
        <v>24.251899999999999</v>
      </c>
      <c r="AS40" s="21">
        <v>-1.0974100000000001E-2</v>
      </c>
      <c r="AT40" s="21">
        <v>30</v>
      </c>
      <c r="AU40" s="21">
        <v>1.63788</v>
      </c>
      <c r="AV40">
        <f t="shared" si="8"/>
        <v>13.548271604938272</v>
      </c>
      <c r="AW40">
        <f t="shared" si="9"/>
        <v>22.204939746913578</v>
      </c>
      <c r="AX40" s="9"/>
      <c r="AY40" s="21">
        <v>5.11169E-2</v>
      </c>
      <c r="AZ40" s="21">
        <v>28.050899999999999</v>
      </c>
      <c r="BA40" s="21">
        <v>-1.4080799999999999E-2</v>
      </c>
      <c r="BB40" s="21">
        <v>30</v>
      </c>
      <c r="BC40" s="21">
        <v>5.05981E-2</v>
      </c>
      <c r="BD40">
        <f t="shared" si="10"/>
        <v>17.383703703703702</v>
      </c>
      <c r="BE40">
        <f t="shared" si="11"/>
        <v>0.88860104385185179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1.63391</v>
      </c>
      <c r="H41" s="21">
        <v>5.6845299999999996</v>
      </c>
      <c r="I41" s="21">
        <v>-1.12701E-2</v>
      </c>
      <c r="J41" s="21">
        <v>31</v>
      </c>
      <c r="K41" s="21">
        <v>1.6333</v>
      </c>
      <c r="L41">
        <f t="shared" si="0"/>
        <v>13.913703703703703</v>
      </c>
      <c r="M41">
        <f t="shared" si="1"/>
        <v>22.733739618518516</v>
      </c>
      <c r="N41" s="9"/>
      <c r="O41" s="21">
        <v>5.6152300000000002E-2</v>
      </c>
      <c r="P41" s="21">
        <v>9.4835700000000003</v>
      </c>
      <c r="Q41" s="21">
        <v>-1.41022E-2</v>
      </c>
      <c r="R41" s="21">
        <v>31</v>
      </c>
      <c r="S41" s="21">
        <v>5.5694599999999997E-2</v>
      </c>
      <c r="T41">
        <f t="shared" si="2"/>
        <v>17.410123456790124</v>
      </c>
      <c r="U41">
        <f t="shared" si="3"/>
        <v>0.97761847538271618</v>
      </c>
      <c r="X41" s="9"/>
      <c r="Y41" s="21">
        <v>5.6152300000000002E-2</v>
      </c>
      <c r="Z41" s="21">
        <v>9.4835700000000003</v>
      </c>
      <c r="AA41" s="21">
        <v>-1.41022E-2</v>
      </c>
      <c r="AB41" s="21">
        <v>31</v>
      </c>
      <c r="AC41" s="21">
        <v>5.5694599999999997E-2</v>
      </c>
      <c r="AD41">
        <f t="shared" si="4"/>
        <v>17.410123456790124</v>
      </c>
      <c r="AE41">
        <f t="shared" si="5"/>
        <v>0.97761847538271618</v>
      </c>
      <c r="AF41" s="9"/>
      <c r="AG41" s="21">
        <v>5.6152300000000002E-2</v>
      </c>
      <c r="AH41" s="21">
        <v>18.782800000000002</v>
      </c>
      <c r="AI41" s="21">
        <v>-1.41388E-2</v>
      </c>
      <c r="AJ41" s="21">
        <v>31</v>
      </c>
      <c r="AK41" s="21">
        <v>5.5633500000000002E-2</v>
      </c>
      <c r="AL41">
        <f t="shared" si="6"/>
        <v>17.455308641975307</v>
      </c>
      <c r="AM41">
        <f t="shared" si="7"/>
        <v>0.98015572745679003</v>
      </c>
      <c r="AP41" s="9"/>
      <c r="AQ41" s="21">
        <v>1.63391</v>
      </c>
      <c r="AR41" s="21">
        <v>24.262</v>
      </c>
      <c r="AS41" s="21">
        <v>-1.11115E-2</v>
      </c>
      <c r="AT41" s="21">
        <v>31</v>
      </c>
      <c r="AU41" s="21">
        <v>1.63361</v>
      </c>
      <c r="AV41">
        <f t="shared" si="8"/>
        <v>13.717901234567901</v>
      </c>
      <c r="AW41">
        <f t="shared" si="9"/>
        <v>22.413816006172837</v>
      </c>
      <c r="AX41" s="9"/>
      <c r="AY41" s="21">
        <v>5.6152300000000002E-2</v>
      </c>
      <c r="AZ41" s="21">
        <v>28.061</v>
      </c>
      <c r="BA41" s="21">
        <v>-1.4074700000000001E-2</v>
      </c>
      <c r="BB41" s="21">
        <v>31</v>
      </c>
      <c r="BC41" s="21">
        <v>5.5603E-2</v>
      </c>
      <c r="BD41">
        <f t="shared" si="10"/>
        <v>17.376172839506172</v>
      </c>
      <c r="BE41">
        <f t="shared" si="11"/>
        <v>0.97571207013580241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1.6288800000000001</v>
      </c>
      <c r="H42" s="21">
        <v>5.6946000000000003</v>
      </c>
      <c r="I42" s="21">
        <v>-1.13831E-2</v>
      </c>
      <c r="J42" s="21">
        <v>32</v>
      </c>
      <c r="K42" s="21">
        <v>1.62842</v>
      </c>
      <c r="L42">
        <f t="shared" si="0"/>
        <v>14.053209876543209</v>
      </c>
      <c r="M42">
        <f t="shared" si="1"/>
        <v>22.890992503703703</v>
      </c>
      <c r="N42" s="9"/>
      <c r="O42" s="21">
        <v>6.1187699999999998E-2</v>
      </c>
      <c r="P42" s="21">
        <v>9.4936399999999992</v>
      </c>
      <c r="Q42" s="21">
        <v>-1.4114399999999999E-2</v>
      </c>
      <c r="R42" s="21">
        <v>32</v>
      </c>
      <c r="S42" s="21">
        <v>6.0516399999999998E-2</v>
      </c>
      <c r="T42">
        <f t="shared" si="2"/>
        <v>17.425185185185182</v>
      </c>
      <c r="U42">
        <f t="shared" si="3"/>
        <v>1.0662070035555553</v>
      </c>
      <c r="X42" s="9"/>
      <c r="Y42" s="21">
        <v>6.1187699999999998E-2</v>
      </c>
      <c r="Z42" s="21">
        <v>9.4936399999999992</v>
      </c>
      <c r="AA42" s="21">
        <v>-1.4114399999999999E-2</v>
      </c>
      <c r="AB42" s="21">
        <v>32</v>
      </c>
      <c r="AC42" s="21">
        <v>6.0516399999999998E-2</v>
      </c>
      <c r="AD42">
        <f t="shared" si="4"/>
        <v>17.425185185185182</v>
      </c>
      <c r="AE42">
        <f t="shared" si="5"/>
        <v>1.0662070035555553</v>
      </c>
      <c r="AF42" s="9"/>
      <c r="AG42" s="21">
        <v>6.1187699999999998E-2</v>
      </c>
      <c r="AH42" s="21">
        <v>18.792899999999999</v>
      </c>
      <c r="AI42" s="21">
        <v>-1.41388E-2</v>
      </c>
      <c r="AJ42" s="21">
        <v>32</v>
      </c>
      <c r="AK42" s="21">
        <v>6.0699500000000003E-2</v>
      </c>
      <c r="AL42">
        <f t="shared" si="6"/>
        <v>17.455308641975307</v>
      </c>
      <c r="AM42">
        <f t="shared" si="7"/>
        <v>1.0680501885925924</v>
      </c>
      <c r="AP42" s="9"/>
      <c r="AQ42" s="21">
        <v>1.6288800000000001</v>
      </c>
      <c r="AR42" s="21">
        <v>24.271999999999998</v>
      </c>
      <c r="AS42" s="21">
        <v>-1.1239600000000001E-2</v>
      </c>
      <c r="AT42" s="21">
        <v>32</v>
      </c>
      <c r="AU42" s="21">
        <v>1.6281099999999999</v>
      </c>
      <c r="AV42">
        <f t="shared" si="8"/>
        <v>13.876049382716049</v>
      </c>
      <c r="AW42">
        <f t="shared" si="9"/>
        <v>22.602419318518521</v>
      </c>
      <c r="AX42" s="9"/>
      <c r="AY42" s="21">
        <v>6.1187699999999998E-2</v>
      </c>
      <c r="AZ42" s="21">
        <v>28.071100000000001</v>
      </c>
      <c r="BA42" s="21">
        <v>-1.4080799999999999E-2</v>
      </c>
      <c r="BB42" s="21">
        <v>32</v>
      </c>
      <c r="BC42" s="21">
        <v>6.0699500000000003E-2</v>
      </c>
      <c r="BD42">
        <f t="shared" si="10"/>
        <v>17.383703703703702</v>
      </c>
      <c r="BE42">
        <f t="shared" si="11"/>
        <v>1.0636688471111109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1.62384</v>
      </c>
      <c r="H43" s="21">
        <v>5.7046700000000001</v>
      </c>
      <c r="I43" s="21">
        <v>-1.14868E-2</v>
      </c>
      <c r="J43" s="21">
        <v>33</v>
      </c>
      <c r="K43" s="21">
        <v>1.62323</v>
      </c>
      <c r="L43">
        <f t="shared" si="0"/>
        <v>14.181234567901233</v>
      </c>
      <c r="M43">
        <f t="shared" si="1"/>
        <v>23.028055940740739</v>
      </c>
      <c r="N43" s="9"/>
      <c r="O43" s="21">
        <v>6.6223099999999993E-2</v>
      </c>
      <c r="P43" s="21">
        <v>9.5037199999999995</v>
      </c>
      <c r="Q43" s="21">
        <v>-1.4114399999999999E-2</v>
      </c>
      <c r="R43" s="21">
        <v>33</v>
      </c>
      <c r="S43" s="21">
        <v>6.5673800000000004E-2</v>
      </c>
      <c r="T43">
        <f t="shared" si="2"/>
        <v>17.425185185185182</v>
      </c>
      <c r="U43">
        <f t="shared" si="3"/>
        <v>1.1539497810370367</v>
      </c>
      <c r="X43" s="9"/>
      <c r="Y43" s="21">
        <v>6.6223099999999993E-2</v>
      </c>
      <c r="Z43" s="21">
        <v>9.5037199999999995</v>
      </c>
      <c r="AA43" s="21">
        <v>-1.4114399999999999E-2</v>
      </c>
      <c r="AB43" s="21">
        <v>33</v>
      </c>
      <c r="AC43" s="21">
        <v>6.5673800000000004E-2</v>
      </c>
      <c r="AD43">
        <f t="shared" si="4"/>
        <v>17.425185185185182</v>
      </c>
      <c r="AE43">
        <f t="shared" si="5"/>
        <v>1.1539497810370367</v>
      </c>
      <c r="AF43" s="9"/>
      <c r="AG43" s="21">
        <v>6.6223099999999993E-2</v>
      </c>
      <c r="AH43" s="21">
        <v>18.802900000000001</v>
      </c>
      <c r="AI43" s="21">
        <v>-1.41266E-2</v>
      </c>
      <c r="AJ43" s="21">
        <v>33</v>
      </c>
      <c r="AK43" s="21">
        <v>6.5765400000000002E-2</v>
      </c>
      <c r="AL43">
        <f t="shared" si="6"/>
        <v>17.440246913580246</v>
      </c>
      <c r="AM43">
        <f t="shared" si="7"/>
        <v>1.1549472153827158</v>
      </c>
      <c r="AP43" s="9"/>
      <c r="AQ43" s="21">
        <v>1.62384</v>
      </c>
      <c r="AR43" s="21">
        <v>24.2821</v>
      </c>
      <c r="AS43" s="21">
        <v>-1.13586E-2</v>
      </c>
      <c r="AT43" s="21">
        <v>33</v>
      </c>
      <c r="AU43" s="21">
        <v>1.62354</v>
      </c>
      <c r="AV43">
        <f t="shared" si="8"/>
        <v>14.022962962962962</v>
      </c>
      <c r="AW43">
        <f t="shared" si="9"/>
        <v>22.771048177777775</v>
      </c>
      <c r="AX43" s="9"/>
      <c r="AY43" s="21">
        <v>6.6223099999999993E-2</v>
      </c>
      <c r="AZ43" s="21">
        <v>28.081199999999999</v>
      </c>
      <c r="BA43" s="21">
        <v>-1.4080799999999999E-2</v>
      </c>
      <c r="BB43" s="21">
        <v>33</v>
      </c>
      <c r="BC43" s="21">
        <v>6.5734899999999999E-2</v>
      </c>
      <c r="BD43">
        <f t="shared" si="10"/>
        <v>17.383703703703702</v>
      </c>
      <c r="BE43">
        <f t="shared" si="11"/>
        <v>1.1512027487407406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1.6188</v>
      </c>
      <c r="H44" s="21">
        <v>5.7147399999999999</v>
      </c>
      <c r="I44" s="21">
        <v>-1.15906E-2</v>
      </c>
      <c r="J44" s="21">
        <v>34</v>
      </c>
      <c r="K44" s="21">
        <v>1.61774</v>
      </c>
      <c r="L44">
        <f t="shared" si="0"/>
        <v>14.309382716049383</v>
      </c>
      <c r="M44">
        <f t="shared" si="1"/>
        <v>23.16402874074074</v>
      </c>
      <c r="N44" s="9"/>
      <c r="O44" s="21">
        <v>7.1258500000000002E-2</v>
      </c>
      <c r="P44" s="21">
        <v>9.5137900000000002</v>
      </c>
      <c r="Q44" s="21">
        <v>-1.4129600000000001E-2</v>
      </c>
      <c r="R44" s="21">
        <v>34</v>
      </c>
      <c r="S44" s="21">
        <v>7.0678699999999997E-2</v>
      </c>
      <c r="T44">
        <f t="shared" si="2"/>
        <v>17.443950617283949</v>
      </c>
      <c r="U44">
        <f t="shared" si="3"/>
        <v>1.2430297550617284</v>
      </c>
      <c r="X44" s="9"/>
      <c r="Y44" s="21">
        <v>7.1258500000000002E-2</v>
      </c>
      <c r="Z44" s="21">
        <v>9.5137900000000002</v>
      </c>
      <c r="AA44" s="21">
        <v>-1.4129600000000001E-2</v>
      </c>
      <c r="AB44" s="21">
        <v>34</v>
      </c>
      <c r="AC44" s="21">
        <v>7.0678699999999997E-2</v>
      </c>
      <c r="AD44">
        <f t="shared" si="4"/>
        <v>17.443950617283949</v>
      </c>
      <c r="AE44">
        <f t="shared" si="5"/>
        <v>1.2430297550617284</v>
      </c>
      <c r="AF44" s="9"/>
      <c r="AG44" s="21">
        <v>7.1258500000000002E-2</v>
      </c>
      <c r="AH44" s="21">
        <v>18.812999999999999</v>
      </c>
      <c r="AI44" s="21">
        <v>-1.4120499999999999E-2</v>
      </c>
      <c r="AJ44" s="21">
        <v>34</v>
      </c>
      <c r="AK44" s="21">
        <v>7.0678699999999997E-2</v>
      </c>
      <c r="AL44">
        <f t="shared" si="6"/>
        <v>17.432716049382716</v>
      </c>
      <c r="AM44">
        <f t="shared" si="7"/>
        <v>1.2422291966049384</v>
      </c>
      <c r="AP44" s="9"/>
      <c r="AQ44" s="21">
        <v>1.6188</v>
      </c>
      <c r="AR44" s="21">
        <v>24.292200000000001</v>
      </c>
      <c r="AS44" s="21">
        <v>-1.14685E-2</v>
      </c>
      <c r="AT44" s="21">
        <v>34</v>
      </c>
      <c r="AU44" s="21">
        <v>1.61774</v>
      </c>
      <c r="AV44">
        <f t="shared" si="8"/>
        <v>14.15864197530864</v>
      </c>
      <c r="AW44">
        <f t="shared" si="9"/>
        <v>22.920009629629629</v>
      </c>
      <c r="AX44" s="9"/>
      <c r="AY44" s="21">
        <v>7.1258500000000002E-2</v>
      </c>
      <c r="AZ44" s="21">
        <v>28.091200000000001</v>
      </c>
      <c r="BA44" s="21">
        <v>-1.40778E-2</v>
      </c>
      <c r="BB44" s="21">
        <v>34</v>
      </c>
      <c r="BC44" s="21">
        <v>7.0739700000000003E-2</v>
      </c>
      <c r="BD44">
        <f t="shared" si="10"/>
        <v>17.38</v>
      </c>
      <c r="BE44">
        <f t="shared" si="11"/>
        <v>1.23847273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1.6137699999999999</v>
      </c>
      <c r="H45" s="21">
        <v>5.7248099999999997</v>
      </c>
      <c r="I45" s="21">
        <v>-1.1688199999999999E-2</v>
      </c>
      <c r="J45" s="21">
        <v>35</v>
      </c>
      <c r="K45" s="21">
        <v>1.6125499999999999</v>
      </c>
      <c r="L45">
        <f t="shared" si="0"/>
        <v>14.429876543209874</v>
      </c>
      <c r="M45">
        <f t="shared" si="1"/>
        <v>23.286501869135797</v>
      </c>
      <c r="N45" s="9"/>
      <c r="O45" s="21">
        <v>7.6293899999999998E-2</v>
      </c>
      <c r="P45" s="21">
        <v>9.5238600000000009</v>
      </c>
      <c r="Q45" s="21">
        <v>-1.41266E-2</v>
      </c>
      <c r="R45" s="21">
        <v>35</v>
      </c>
      <c r="S45" s="21">
        <v>7.5805700000000004E-2</v>
      </c>
      <c r="T45">
        <f t="shared" si="2"/>
        <v>17.440246913580246</v>
      </c>
      <c r="U45">
        <f t="shared" si="3"/>
        <v>1.3305844539999998</v>
      </c>
      <c r="X45" s="9"/>
      <c r="Y45" s="21">
        <v>7.6293899999999998E-2</v>
      </c>
      <c r="Z45" s="21">
        <v>9.5238600000000009</v>
      </c>
      <c r="AA45" s="21">
        <v>-1.41266E-2</v>
      </c>
      <c r="AB45" s="21">
        <v>35</v>
      </c>
      <c r="AC45" s="21">
        <v>7.5805700000000004E-2</v>
      </c>
      <c r="AD45">
        <f t="shared" si="4"/>
        <v>17.440246913580246</v>
      </c>
      <c r="AE45">
        <f t="shared" si="5"/>
        <v>1.3305844539999998</v>
      </c>
      <c r="AF45" s="9"/>
      <c r="AG45" s="21">
        <v>7.6293899999999998E-2</v>
      </c>
      <c r="AH45" s="21">
        <v>18.8231</v>
      </c>
      <c r="AI45" s="21">
        <v>-1.4123500000000001E-2</v>
      </c>
      <c r="AJ45" s="21">
        <v>35</v>
      </c>
      <c r="AK45" s="21">
        <v>7.5744599999999995E-2</v>
      </c>
      <c r="AL45">
        <f t="shared" si="6"/>
        <v>17.436419753086419</v>
      </c>
      <c r="AM45">
        <f t="shared" si="7"/>
        <v>1.3302924649999999</v>
      </c>
      <c r="AP45" s="9"/>
      <c r="AQ45" s="21">
        <v>1.6137699999999999</v>
      </c>
      <c r="AR45" s="21">
        <v>24.302299999999999</v>
      </c>
      <c r="AS45" s="21">
        <v>-1.15753E-2</v>
      </c>
      <c r="AT45" s="21">
        <v>35</v>
      </c>
      <c r="AU45" s="21">
        <v>1.6134599999999999</v>
      </c>
      <c r="AV45">
        <f t="shared" si="8"/>
        <v>14.290493827160493</v>
      </c>
      <c r="AW45">
        <f t="shared" si="9"/>
        <v>23.061570223456787</v>
      </c>
      <c r="AX45" s="9"/>
      <c r="AY45" s="21">
        <v>7.6293899999999998E-2</v>
      </c>
      <c r="AZ45" s="21">
        <v>28.101299999999998</v>
      </c>
      <c r="BA45" s="21">
        <v>-1.4065599999999999E-2</v>
      </c>
      <c r="BB45" s="21">
        <v>35</v>
      </c>
      <c r="BC45" s="21">
        <v>7.5836200000000006E-2</v>
      </c>
      <c r="BD45">
        <f t="shared" si="10"/>
        <v>17.364938271604938</v>
      </c>
      <c r="BE45">
        <f t="shared" si="11"/>
        <v>1.3248388639999999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1.60873</v>
      </c>
      <c r="H46" s="21">
        <v>5.7348800000000004</v>
      </c>
      <c r="I46" s="21">
        <v>-1.17859E-2</v>
      </c>
      <c r="J46" s="21">
        <v>36</v>
      </c>
      <c r="K46" s="21">
        <v>1.6079699999999999</v>
      </c>
      <c r="L46">
        <f t="shared" si="0"/>
        <v>14.550493827160492</v>
      </c>
      <c r="M46">
        <f t="shared" si="1"/>
        <v>23.4078159345679</v>
      </c>
      <c r="N46" s="9"/>
      <c r="O46" s="21">
        <v>8.1329299999999993E-2</v>
      </c>
      <c r="P46" s="21">
        <v>9.5339299999999998</v>
      </c>
      <c r="Q46" s="21">
        <v>-1.41174E-2</v>
      </c>
      <c r="R46" s="21">
        <v>36</v>
      </c>
      <c r="S46" s="21">
        <v>8.0932599999999993E-2</v>
      </c>
      <c r="T46">
        <f t="shared" si="2"/>
        <v>17.428888888888888</v>
      </c>
      <c r="U46">
        <f t="shared" si="3"/>
        <v>1.4174793331111109</v>
      </c>
      <c r="X46" s="9"/>
      <c r="Y46" s="21">
        <v>8.1329299999999993E-2</v>
      </c>
      <c r="Z46" s="21">
        <v>9.5339299999999998</v>
      </c>
      <c r="AA46" s="21">
        <v>-1.41174E-2</v>
      </c>
      <c r="AB46" s="21">
        <v>36</v>
      </c>
      <c r="AC46" s="21">
        <v>8.0932599999999993E-2</v>
      </c>
      <c r="AD46">
        <f t="shared" si="4"/>
        <v>17.428888888888888</v>
      </c>
      <c r="AE46">
        <f t="shared" si="5"/>
        <v>1.4174793331111109</v>
      </c>
      <c r="AF46" s="9"/>
      <c r="AG46" s="21">
        <v>8.1329299999999993E-2</v>
      </c>
      <c r="AH46" s="21">
        <v>18.833100000000002</v>
      </c>
      <c r="AI46" s="21">
        <v>-1.4129600000000001E-2</v>
      </c>
      <c r="AJ46" s="21">
        <v>36</v>
      </c>
      <c r="AK46" s="21">
        <v>8.0841099999999999E-2</v>
      </c>
      <c r="AL46">
        <f t="shared" si="6"/>
        <v>17.443950617283949</v>
      </c>
      <c r="AM46">
        <f t="shared" si="7"/>
        <v>1.4187042929382714</v>
      </c>
      <c r="AP46" s="9"/>
      <c r="AQ46" s="21">
        <v>1.60873</v>
      </c>
      <c r="AR46" s="21">
        <v>24.3123</v>
      </c>
      <c r="AS46" s="21">
        <v>-1.16699E-2</v>
      </c>
      <c r="AT46" s="21">
        <v>36</v>
      </c>
      <c r="AU46" s="21">
        <v>1.6085799999999999</v>
      </c>
      <c r="AV46">
        <f t="shared" si="8"/>
        <v>14.407283950617282</v>
      </c>
      <c r="AW46">
        <f t="shared" si="9"/>
        <v>23.17742990987654</v>
      </c>
      <c r="AX46" s="9"/>
      <c r="AY46" s="21">
        <v>8.1329299999999993E-2</v>
      </c>
      <c r="AZ46" s="21">
        <v>28.1114</v>
      </c>
      <c r="BA46" s="21">
        <v>-1.40594E-2</v>
      </c>
      <c r="BB46" s="21">
        <v>36</v>
      </c>
      <c r="BC46" s="21">
        <v>8.0871600000000002E-2</v>
      </c>
      <c r="BD46">
        <f t="shared" si="10"/>
        <v>17.357283950617283</v>
      </c>
      <c r="BE46">
        <f t="shared" si="11"/>
        <v>1.4116557536049381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1.6036999999999999</v>
      </c>
      <c r="H47" s="21">
        <v>5.7449500000000002</v>
      </c>
      <c r="I47" s="21">
        <v>-1.18835E-2</v>
      </c>
      <c r="J47" s="21">
        <v>37</v>
      </c>
      <c r="K47" s="21">
        <v>1.6027800000000001</v>
      </c>
      <c r="L47">
        <f t="shared" si="0"/>
        <v>14.670987654320987</v>
      </c>
      <c r="M47">
        <f t="shared" si="1"/>
        <v>23.527862901234567</v>
      </c>
      <c r="N47" s="9"/>
      <c r="O47" s="21">
        <v>8.6364700000000003E-2</v>
      </c>
      <c r="P47" s="21">
        <v>9.5440000000000005</v>
      </c>
      <c r="Q47" s="21">
        <v>-1.41113E-2</v>
      </c>
      <c r="R47" s="21">
        <v>37</v>
      </c>
      <c r="S47" s="21">
        <v>8.5906999999999997E-2</v>
      </c>
      <c r="T47">
        <f t="shared" si="2"/>
        <v>17.421358024691358</v>
      </c>
      <c r="U47">
        <f t="shared" si="3"/>
        <v>1.5045903593950618</v>
      </c>
      <c r="X47" s="9"/>
      <c r="Y47" s="21">
        <v>8.6364700000000003E-2</v>
      </c>
      <c r="Z47" s="21">
        <v>9.5440000000000005</v>
      </c>
      <c r="AA47" s="21">
        <v>-1.41113E-2</v>
      </c>
      <c r="AB47" s="21">
        <v>37</v>
      </c>
      <c r="AC47" s="21">
        <v>8.5906999999999997E-2</v>
      </c>
      <c r="AD47">
        <f t="shared" si="4"/>
        <v>17.421358024691358</v>
      </c>
      <c r="AE47">
        <f t="shared" si="5"/>
        <v>1.5045903593950618</v>
      </c>
      <c r="AF47" s="9"/>
      <c r="AG47" s="21">
        <v>8.6364700000000003E-2</v>
      </c>
      <c r="AH47" s="21">
        <v>18.8432</v>
      </c>
      <c r="AI47" s="21">
        <v>-1.4135699999999999E-2</v>
      </c>
      <c r="AJ47" s="21">
        <v>37</v>
      </c>
      <c r="AK47" s="21">
        <v>8.5784899999999997E-2</v>
      </c>
      <c r="AL47">
        <f t="shared" si="6"/>
        <v>17.45148148148148</v>
      </c>
      <c r="AM47">
        <f t="shared" si="7"/>
        <v>1.5071919627037036</v>
      </c>
      <c r="AP47" s="9"/>
      <c r="AQ47" s="21">
        <v>1.6036999999999999</v>
      </c>
      <c r="AR47" s="21">
        <v>24.322399999999998</v>
      </c>
      <c r="AS47" s="21">
        <v>-1.1764500000000001E-2</v>
      </c>
      <c r="AT47" s="21">
        <v>37</v>
      </c>
      <c r="AU47" s="21">
        <v>1.6030899999999999</v>
      </c>
      <c r="AV47">
        <f t="shared" si="8"/>
        <v>14.524074074074075</v>
      </c>
      <c r="AW47">
        <f t="shared" si="9"/>
        <v>23.292257592592595</v>
      </c>
      <c r="AX47" s="9"/>
      <c r="AY47" s="21">
        <v>8.6364700000000003E-2</v>
      </c>
      <c r="AZ47" s="21">
        <v>28.121400000000001</v>
      </c>
      <c r="BA47" s="21">
        <v>-1.40594E-2</v>
      </c>
      <c r="BB47" s="21">
        <v>37</v>
      </c>
      <c r="BC47" s="21">
        <v>8.59375E-2</v>
      </c>
      <c r="BD47">
        <f t="shared" si="10"/>
        <v>17.357283950617283</v>
      </c>
      <c r="BE47">
        <f t="shared" si="11"/>
        <v>1.4990566212098766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1.59866</v>
      </c>
      <c r="H48" s="21">
        <v>5.75502</v>
      </c>
      <c r="I48" s="21">
        <v>-1.19598E-2</v>
      </c>
      <c r="J48" s="21">
        <v>38</v>
      </c>
      <c r="K48" s="21">
        <v>1.5982099999999999</v>
      </c>
      <c r="L48">
        <f t="shared" si="0"/>
        <v>14.765185185185183</v>
      </c>
      <c r="M48">
        <f t="shared" si="1"/>
        <v>23.604510948148146</v>
      </c>
      <c r="N48" s="9"/>
      <c r="O48" s="21">
        <v>9.1400099999999998E-2</v>
      </c>
      <c r="P48" s="21">
        <v>9.5540699999999994</v>
      </c>
      <c r="Q48" s="21">
        <v>-1.4086899999999999E-2</v>
      </c>
      <c r="R48" s="21">
        <v>38</v>
      </c>
      <c r="S48" s="21">
        <v>9.1156000000000001E-2</v>
      </c>
      <c r="T48">
        <f t="shared" si="2"/>
        <v>17.391234567901233</v>
      </c>
      <c r="U48">
        <f t="shared" si="3"/>
        <v>1.5895605786296294</v>
      </c>
      <c r="X48" s="9"/>
      <c r="Y48" s="21">
        <v>9.1400099999999998E-2</v>
      </c>
      <c r="Z48" s="21">
        <v>9.5540699999999994</v>
      </c>
      <c r="AA48" s="21">
        <v>-1.4086899999999999E-2</v>
      </c>
      <c r="AB48" s="21">
        <v>38</v>
      </c>
      <c r="AC48" s="21">
        <v>9.1156000000000001E-2</v>
      </c>
      <c r="AD48">
        <f t="shared" si="4"/>
        <v>17.391234567901233</v>
      </c>
      <c r="AE48">
        <f t="shared" si="5"/>
        <v>1.5895605786296294</v>
      </c>
      <c r="AF48" s="9"/>
      <c r="AG48" s="21">
        <v>9.1400099999999998E-2</v>
      </c>
      <c r="AH48" s="21">
        <v>18.853300000000001</v>
      </c>
      <c r="AI48" s="21">
        <v>-1.41266E-2</v>
      </c>
      <c r="AJ48" s="21">
        <v>38</v>
      </c>
      <c r="AK48" s="21">
        <v>9.0942400000000007E-2</v>
      </c>
      <c r="AL48">
        <f t="shared" si="6"/>
        <v>17.440246913580246</v>
      </c>
      <c r="AM48">
        <f t="shared" si="7"/>
        <v>1.5940403119259259</v>
      </c>
      <c r="AP48" s="9"/>
      <c r="AQ48" s="21">
        <v>1.59866</v>
      </c>
      <c r="AR48" s="21">
        <v>24.3325</v>
      </c>
      <c r="AS48" s="21">
        <v>-1.18469E-2</v>
      </c>
      <c r="AT48" s="21">
        <v>38</v>
      </c>
      <c r="AU48" s="21">
        <v>1.5979000000000001</v>
      </c>
      <c r="AV48">
        <f t="shared" si="8"/>
        <v>14.625802469135802</v>
      </c>
      <c r="AW48">
        <f t="shared" si="9"/>
        <v>23.381685375308642</v>
      </c>
      <c r="AX48" s="9"/>
      <c r="AY48" s="21">
        <v>9.1400099999999998E-2</v>
      </c>
      <c r="AZ48" s="21">
        <v>28.131499999999999</v>
      </c>
      <c r="BA48" s="21">
        <v>-1.4065599999999999E-2</v>
      </c>
      <c r="BB48" s="21">
        <v>38</v>
      </c>
      <c r="BC48" s="21">
        <v>9.0881299999999998E-2</v>
      </c>
      <c r="BD48">
        <f t="shared" si="10"/>
        <v>17.364938271604938</v>
      </c>
      <c r="BE48">
        <f t="shared" si="11"/>
        <v>1.5871570945185185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1.5936300000000001</v>
      </c>
      <c r="H49" s="21">
        <v>5.7651000000000003</v>
      </c>
      <c r="I49" s="21">
        <v>-1.2042199999999999E-2</v>
      </c>
      <c r="J49" s="21">
        <v>39</v>
      </c>
      <c r="K49" s="21">
        <v>1.5924100000000001</v>
      </c>
      <c r="L49">
        <f t="shared" si="0"/>
        <v>14.866913580246912</v>
      </c>
      <c r="M49">
        <f t="shared" si="1"/>
        <v>23.692359488888886</v>
      </c>
      <c r="N49" s="9"/>
      <c r="O49" s="21">
        <v>9.6435499999999993E-2</v>
      </c>
      <c r="P49" s="21">
        <v>9.5641400000000001</v>
      </c>
      <c r="Q49" s="21">
        <v>-1.4086899999999999E-2</v>
      </c>
      <c r="R49" s="21">
        <v>39</v>
      </c>
      <c r="S49" s="21">
        <v>9.5916699999999994E-2</v>
      </c>
      <c r="T49">
        <f t="shared" si="2"/>
        <v>17.391234567901233</v>
      </c>
      <c r="U49">
        <f t="shared" si="3"/>
        <v>1.6771324011728392</v>
      </c>
      <c r="X49" s="9"/>
      <c r="Y49" s="21">
        <v>9.6435499999999993E-2</v>
      </c>
      <c r="Z49" s="21">
        <v>9.5641400000000001</v>
      </c>
      <c r="AA49" s="21">
        <v>-1.4086899999999999E-2</v>
      </c>
      <c r="AB49" s="21">
        <v>39</v>
      </c>
      <c r="AC49" s="21">
        <v>9.5916699999999994E-2</v>
      </c>
      <c r="AD49">
        <f t="shared" si="4"/>
        <v>17.391234567901233</v>
      </c>
      <c r="AE49">
        <f t="shared" si="5"/>
        <v>1.6771324011728392</v>
      </c>
      <c r="AF49" s="9"/>
      <c r="AG49" s="21">
        <v>9.6435499999999993E-2</v>
      </c>
      <c r="AH49" s="21">
        <v>18.863399999999999</v>
      </c>
      <c r="AI49" s="21">
        <v>-1.41174E-2</v>
      </c>
      <c r="AJ49" s="21">
        <v>39</v>
      </c>
      <c r="AK49" s="21">
        <v>9.5947299999999999E-2</v>
      </c>
      <c r="AL49">
        <f t="shared" si="6"/>
        <v>17.428888888888888</v>
      </c>
      <c r="AM49">
        <f t="shared" si="7"/>
        <v>1.6807636144444442</v>
      </c>
      <c r="AP49" s="9"/>
      <c r="AQ49" s="21">
        <v>1.5936300000000001</v>
      </c>
      <c r="AR49" s="21">
        <v>24.342500000000001</v>
      </c>
      <c r="AS49" s="21">
        <v>-1.1926300000000001E-2</v>
      </c>
      <c r="AT49" s="21">
        <v>39</v>
      </c>
      <c r="AU49" s="21">
        <v>1.5933200000000001</v>
      </c>
      <c r="AV49">
        <f t="shared" si="8"/>
        <v>14.723827160493826</v>
      </c>
      <c r="AW49">
        <f t="shared" si="9"/>
        <v>23.464332677777779</v>
      </c>
      <c r="AX49" s="9"/>
      <c r="AY49" s="21">
        <v>9.6435499999999993E-2</v>
      </c>
      <c r="AZ49" s="21">
        <v>28.1416</v>
      </c>
      <c r="BA49" s="21">
        <v>-1.4071699999999999E-2</v>
      </c>
      <c r="BB49" s="21">
        <v>39</v>
      </c>
      <c r="BC49" s="21">
        <v>9.6008300000000005E-2</v>
      </c>
      <c r="BD49">
        <f t="shared" si="10"/>
        <v>17.372469135802469</v>
      </c>
      <c r="BE49">
        <f t="shared" si="11"/>
        <v>1.6753227473456789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1.5885899999999999</v>
      </c>
      <c r="H50" s="21">
        <v>5.7751700000000001</v>
      </c>
      <c r="I50" s="21">
        <v>-1.2118500000000001E-2</v>
      </c>
      <c r="J50" s="21">
        <v>40</v>
      </c>
      <c r="K50" s="21">
        <v>1.58752</v>
      </c>
      <c r="L50">
        <f t="shared" si="0"/>
        <v>14.96111111111111</v>
      </c>
      <c r="M50">
        <f t="shared" si="1"/>
        <v>23.767071499999997</v>
      </c>
      <c r="N50" s="9"/>
      <c r="O50" s="21">
        <v>0.10147100000000001</v>
      </c>
      <c r="P50" s="21">
        <v>9.5742100000000008</v>
      </c>
      <c r="Q50" s="21">
        <v>-1.4080799999999999E-2</v>
      </c>
      <c r="R50" s="21">
        <v>40</v>
      </c>
      <c r="S50" s="21">
        <v>0.10083</v>
      </c>
      <c r="T50">
        <f t="shared" si="2"/>
        <v>17.383703703703702</v>
      </c>
      <c r="U50">
        <f t="shared" si="3"/>
        <v>1.7639417985185184</v>
      </c>
      <c r="X50" s="9"/>
      <c r="Y50" s="21">
        <v>0.10147100000000001</v>
      </c>
      <c r="Z50" s="21">
        <v>9.5742100000000008</v>
      </c>
      <c r="AA50" s="21">
        <v>-1.4080799999999999E-2</v>
      </c>
      <c r="AB50" s="21">
        <v>40</v>
      </c>
      <c r="AC50" s="21">
        <v>0.10083</v>
      </c>
      <c r="AD50">
        <f t="shared" si="4"/>
        <v>17.383703703703702</v>
      </c>
      <c r="AE50">
        <f t="shared" si="5"/>
        <v>1.7639417985185184</v>
      </c>
      <c r="AF50" s="9"/>
      <c r="AG50" s="21">
        <v>0.10147100000000001</v>
      </c>
      <c r="AH50" s="21">
        <v>18.8734</v>
      </c>
      <c r="AI50" s="21">
        <v>-1.4120499999999999E-2</v>
      </c>
      <c r="AJ50" s="21">
        <v>40</v>
      </c>
      <c r="AK50" s="21">
        <v>0.100983</v>
      </c>
      <c r="AL50">
        <f t="shared" si="6"/>
        <v>17.432716049382716</v>
      </c>
      <c r="AM50">
        <f t="shared" si="7"/>
        <v>1.7689151302469137</v>
      </c>
      <c r="AP50" s="9"/>
      <c r="AQ50" s="21">
        <v>1.5885899999999999</v>
      </c>
      <c r="AR50" s="21">
        <v>24.352599999999999</v>
      </c>
      <c r="AS50" s="21">
        <v>-1.20117E-2</v>
      </c>
      <c r="AT50" s="21">
        <v>40</v>
      </c>
      <c r="AU50" s="21">
        <v>1.5884400000000001</v>
      </c>
      <c r="AV50">
        <f t="shared" si="8"/>
        <v>14.82925925925926</v>
      </c>
      <c r="AW50">
        <f t="shared" si="9"/>
        <v>23.557612966666667</v>
      </c>
      <c r="AX50" s="9"/>
      <c r="AY50" s="21">
        <v>0.10147100000000001</v>
      </c>
      <c r="AZ50" s="21">
        <v>28.151700000000002</v>
      </c>
      <c r="BA50" s="21">
        <v>-1.4080799999999999E-2</v>
      </c>
      <c r="BB50" s="21">
        <v>40</v>
      </c>
      <c r="BC50" s="21">
        <v>0.100922</v>
      </c>
      <c r="BD50">
        <f t="shared" si="10"/>
        <v>17.383703703703702</v>
      </c>
      <c r="BE50">
        <f t="shared" si="11"/>
        <v>1.7639417985185184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1.5835600000000001</v>
      </c>
      <c r="H51" s="21">
        <v>5.7852399999999999</v>
      </c>
      <c r="I51" s="21">
        <v>-1.2185700000000001E-2</v>
      </c>
      <c r="J51" s="21">
        <v>41</v>
      </c>
      <c r="K51" s="21">
        <v>1.58264</v>
      </c>
      <c r="L51">
        <f t="shared" si="0"/>
        <v>15.044074074074075</v>
      </c>
      <c r="M51">
        <f t="shared" si="1"/>
        <v>23.823193940740744</v>
      </c>
      <c r="N51" s="9"/>
      <c r="O51" s="21">
        <v>0.106506</v>
      </c>
      <c r="P51" s="21">
        <v>9.5842799999999997</v>
      </c>
      <c r="Q51" s="21">
        <v>-1.4080799999999999E-2</v>
      </c>
      <c r="R51" s="21">
        <v>41</v>
      </c>
      <c r="S51" s="21">
        <v>0.105957</v>
      </c>
      <c r="T51">
        <f t="shared" si="2"/>
        <v>17.383703703703702</v>
      </c>
      <c r="U51">
        <f t="shared" si="3"/>
        <v>1.8514687466666666</v>
      </c>
      <c r="X51" s="9"/>
      <c r="Y51" s="21">
        <v>0.106506</v>
      </c>
      <c r="Z51" s="21">
        <v>9.5842799999999997</v>
      </c>
      <c r="AA51" s="21">
        <v>-1.4080799999999999E-2</v>
      </c>
      <c r="AB51" s="21">
        <v>41</v>
      </c>
      <c r="AC51" s="21">
        <v>0.105957</v>
      </c>
      <c r="AD51">
        <f t="shared" si="4"/>
        <v>17.383703703703702</v>
      </c>
      <c r="AE51">
        <f t="shared" si="5"/>
        <v>1.8514687466666666</v>
      </c>
      <c r="AF51" s="9"/>
      <c r="AG51" s="21">
        <v>0.106506</v>
      </c>
      <c r="AH51" s="21">
        <v>18.883500000000002</v>
      </c>
      <c r="AI51" s="21">
        <v>-1.41266E-2</v>
      </c>
      <c r="AJ51" s="21">
        <v>41</v>
      </c>
      <c r="AK51" s="21">
        <v>0.10614</v>
      </c>
      <c r="AL51">
        <f t="shared" si="6"/>
        <v>17.440246913580246</v>
      </c>
      <c r="AM51">
        <f t="shared" si="7"/>
        <v>1.8574909377777777</v>
      </c>
      <c r="AP51" s="9"/>
      <c r="AQ51" s="21">
        <v>1.5835600000000001</v>
      </c>
      <c r="AR51" s="21">
        <v>24.3627</v>
      </c>
      <c r="AS51" s="21">
        <v>-1.2088E-2</v>
      </c>
      <c r="AT51" s="21">
        <v>41</v>
      </c>
      <c r="AU51" s="21">
        <v>1.58264</v>
      </c>
      <c r="AV51">
        <f t="shared" si="8"/>
        <v>14.923456790123456</v>
      </c>
      <c r="AW51">
        <f t="shared" si="9"/>
        <v>23.632189234567903</v>
      </c>
      <c r="AX51" s="9"/>
      <c r="AY51" s="21">
        <v>0.106506</v>
      </c>
      <c r="AZ51" s="21">
        <v>28.1617</v>
      </c>
      <c r="BA51" s="21">
        <v>-1.40839E-2</v>
      </c>
      <c r="BB51" s="21">
        <v>41</v>
      </c>
      <c r="BC51" s="21">
        <v>0.106201</v>
      </c>
      <c r="BD51">
        <f t="shared" si="10"/>
        <v>17.387530864197529</v>
      </c>
      <c r="BE51">
        <f t="shared" si="11"/>
        <v>1.8518763622222221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1.5785199999999999</v>
      </c>
      <c r="H52" s="21">
        <v>5.7953099999999997</v>
      </c>
      <c r="I52" s="21">
        <v>-1.2252799999999999E-2</v>
      </c>
      <c r="J52" s="21">
        <v>42</v>
      </c>
      <c r="K52" s="21">
        <v>1.57745</v>
      </c>
      <c r="L52">
        <f t="shared" si="0"/>
        <v>15.126913580246912</v>
      </c>
      <c r="M52">
        <f t="shared" si="1"/>
        <v>23.878135624691353</v>
      </c>
      <c r="N52" s="9"/>
      <c r="O52" s="21">
        <v>0.111542</v>
      </c>
      <c r="P52" s="21">
        <v>9.5943500000000004</v>
      </c>
      <c r="Q52" s="21">
        <v>-1.40839E-2</v>
      </c>
      <c r="R52" s="21">
        <v>42</v>
      </c>
      <c r="S52" s="21">
        <v>0.110809</v>
      </c>
      <c r="T52">
        <f t="shared" si="2"/>
        <v>17.387530864197529</v>
      </c>
      <c r="U52">
        <f t="shared" si="3"/>
        <v>1.9394399676543208</v>
      </c>
      <c r="X52" s="9"/>
      <c r="Y52" s="21">
        <v>0.111542</v>
      </c>
      <c r="Z52" s="21">
        <v>9.5943500000000004</v>
      </c>
      <c r="AA52" s="21">
        <v>-1.40839E-2</v>
      </c>
      <c r="AB52" s="21">
        <v>42</v>
      </c>
      <c r="AC52" s="21">
        <v>0.110809</v>
      </c>
      <c r="AD52">
        <f t="shared" si="4"/>
        <v>17.387530864197529</v>
      </c>
      <c r="AE52">
        <f t="shared" si="5"/>
        <v>1.9394399676543208</v>
      </c>
      <c r="AF52" s="9"/>
      <c r="AG52" s="21">
        <v>0.111542</v>
      </c>
      <c r="AH52" s="21">
        <v>18.893599999999999</v>
      </c>
      <c r="AI52" s="21">
        <v>-1.4135699999999999E-2</v>
      </c>
      <c r="AJ52" s="21">
        <v>42</v>
      </c>
      <c r="AK52" s="21">
        <v>0.111023</v>
      </c>
      <c r="AL52">
        <f t="shared" si="6"/>
        <v>17.45148148148148</v>
      </c>
      <c r="AM52">
        <f t="shared" si="7"/>
        <v>1.9465731474074073</v>
      </c>
      <c r="AP52" s="9"/>
      <c r="AQ52" s="21">
        <v>1.5785199999999999</v>
      </c>
      <c r="AR52" s="21">
        <v>24.372800000000002</v>
      </c>
      <c r="AS52" s="21">
        <v>-1.21735E-2</v>
      </c>
      <c r="AT52" s="21">
        <v>42</v>
      </c>
      <c r="AU52" s="21">
        <v>1.57684</v>
      </c>
      <c r="AV52">
        <f t="shared" si="8"/>
        <v>15.029012345679011</v>
      </c>
      <c r="AW52">
        <f t="shared" si="9"/>
        <v>23.723596567901229</v>
      </c>
      <c r="AX52" s="9"/>
      <c r="AY52" s="21">
        <v>0.111542</v>
      </c>
      <c r="AZ52" s="21">
        <v>28.171800000000001</v>
      </c>
      <c r="BA52" s="21">
        <v>-1.40839E-2</v>
      </c>
      <c r="BB52" s="21">
        <v>42</v>
      </c>
      <c r="BC52" s="21">
        <v>0.111053</v>
      </c>
      <c r="BD52">
        <f t="shared" si="10"/>
        <v>17.387530864197529</v>
      </c>
      <c r="BE52">
        <f t="shared" si="11"/>
        <v>1.9394399676543208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1.5734900000000001</v>
      </c>
      <c r="H53" s="21">
        <v>5.8053800000000004</v>
      </c>
      <c r="I53" s="21">
        <v>-1.23138E-2</v>
      </c>
      <c r="J53" s="21">
        <v>43</v>
      </c>
      <c r="K53" s="21">
        <v>1.5722700000000001</v>
      </c>
      <c r="L53">
        <f t="shared" si="0"/>
        <v>15.202222222222222</v>
      </c>
      <c r="M53">
        <f t="shared" si="1"/>
        <v>23.920544644444444</v>
      </c>
      <c r="N53" s="9"/>
      <c r="O53" s="21">
        <v>0.116577</v>
      </c>
      <c r="P53" s="21">
        <v>9.6044300000000007</v>
      </c>
      <c r="Q53" s="21">
        <v>-1.409E-2</v>
      </c>
      <c r="R53" s="21">
        <v>43</v>
      </c>
      <c r="S53" s="21">
        <v>0.11633300000000001</v>
      </c>
      <c r="T53">
        <f t="shared" si="2"/>
        <v>17.39506172839506</v>
      </c>
      <c r="U53">
        <f t="shared" si="3"/>
        <v>2.0278641111111111</v>
      </c>
      <c r="X53" s="9"/>
      <c r="Y53" s="21">
        <v>0.116577</v>
      </c>
      <c r="Z53" s="21">
        <v>9.6044300000000007</v>
      </c>
      <c r="AA53" s="21">
        <v>-1.409E-2</v>
      </c>
      <c r="AB53" s="21">
        <v>43</v>
      </c>
      <c r="AC53" s="21">
        <v>0.11633300000000001</v>
      </c>
      <c r="AD53">
        <f t="shared" si="4"/>
        <v>17.39506172839506</v>
      </c>
      <c r="AE53">
        <f t="shared" si="5"/>
        <v>2.0278641111111111</v>
      </c>
      <c r="AF53" s="9"/>
      <c r="AG53" s="21">
        <v>0.116577</v>
      </c>
      <c r="AH53" s="21">
        <v>18.903600000000001</v>
      </c>
      <c r="AI53" s="21">
        <v>-1.4135699999999999E-2</v>
      </c>
      <c r="AJ53" s="21">
        <v>43</v>
      </c>
      <c r="AK53" s="21">
        <v>0.116119</v>
      </c>
      <c r="AL53">
        <f t="shared" si="6"/>
        <v>17.45148148148148</v>
      </c>
      <c r="AM53">
        <f t="shared" si="7"/>
        <v>2.0344413566666666</v>
      </c>
      <c r="AP53" s="9"/>
      <c r="AQ53" s="21">
        <v>1.5734900000000001</v>
      </c>
      <c r="AR53" s="21">
        <v>24.3828</v>
      </c>
      <c r="AS53" s="21">
        <v>-1.22498E-2</v>
      </c>
      <c r="AT53" s="21">
        <v>43</v>
      </c>
      <c r="AU53" s="21">
        <v>1.57196</v>
      </c>
      <c r="AV53">
        <f t="shared" si="8"/>
        <v>15.123209876543209</v>
      </c>
      <c r="AW53">
        <f t="shared" si="9"/>
        <v>23.796219508641975</v>
      </c>
      <c r="AX53" s="9"/>
      <c r="AY53" s="21">
        <v>0.116577</v>
      </c>
      <c r="AZ53" s="21">
        <v>28.181899999999999</v>
      </c>
      <c r="BA53" s="21">
        <v>-1.4068600000000001E-2</v>
      </c>
      <c r="BB53" s="21">
        <v>43</v>
      </c>
      <c r="BC53" s="21">
        <v>0.116119</v>
      </c>
      <c r="BD53">
        <f t="shared" si="10"/>
        <v>17.368641975308641</v>
      </c>
      <c r="BE53">
        <f t="shared" si="11"/>
        <v>2.0247841755555553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1.5684499999999999</v>
      </c>
      <c r="H54" s="21">
        <v>5.8154500000000002</v>
      </c>
      <c r="I54" s="21">
        <v>-1.2377900000000001E-2</v>
      </c>
      <c r="J54" s="21">
        <v>44</v>
      </c>
      <c r="K54" s="21">
        <v>1.56769</v>
      </c>
      <c r="L54">
        <f t="shared" si="0"/>
        <v>15.281358024691359</v>
      </c>
      <c r="M54">
        <f t="shared" si="1"/>
        <v>23.968045993827161</v>
      </c>
      <c r="N54" s="9"/>
      <c r="O54" s="21">
        <v>0.121613</v>
      </c>
      <c r="P54" s="21">
        <v>9.6144999999999996</v>
      </c>
      <c r="Q54" s="21">
        <v>-1.41022E-2</v>
      </c>
      <c r="R54" s="21">
        <v>44</v>
      </c>
      <c r="S54" s="21">
        <v>0.12109399999999999</v>
      </c>
      <c r="T54">
        <f t="shared" si="2"/>
        <v>17.410123456790124</v>
      </c>
      <c r="U54">
        <f t="shared" si="3"/>
        <v>2.1172973439506175</v>
      </c>
      <c r="X54" s="9"/>
      <c r="Y54" s="21">
        <v>0.121613</v>
      </c>
      <c r="Z54" s="21">
        <v>9.6144999999999996</v>
      </c>
      <c r="AA54" s="21">
        <v>-1.41022E-2</v>
      </c>
      <c r="AB54" s="21">
        <v>44</v>
      </c>
      <c r="AC54" s="21">
        <v>0.12109399999999999</v>
      </c>
      <c r="AD54">
        <f t="shared" si="4"/>
        <v>17.410123456790124</v>
      </c>
      <c r="AE54">
        <f t="shared" si="5"/>
        <v>2.1172973439506175</v>
      </c>
      <c r="AF54" s="9"/>
      <c r="AG54" s="21">
        <v>0.121613</v>
      </c>
      <c r="AH54" s="21">
        <v>18.913699999999999</v>
      </c>
      <c r="AI54" s="21">
        <v>-1.41327E-2</v>
      </c>
      <c r="AJ54" s="21">
        <v>44</v>
      </c>
      <c r="AK54" s="21">
        <v>0.121155</v>
      </c>
      <c r="AL54">
        <f t="shared" si="6"/>
        <v>17.447777777777777</v>
      </c>
      <c r="AM54">
        <f t="shared" si="7"/>
        <v>2.1218765988888886</v>
      </c>
      <c r="AP54" s="9"/>
      <c r="AQ54" s="21">
        <v>1.5684499999999999</v>
      </c>
      <c r="AR54" s="21">
        <v>24.392900000000001</v>
      </c>
      <c r="AS54" s="21">
        <v>-1.23138E-2</v>
      </c>
      <c r="AT54" s="21">
        <v>44</v>
      </c>
      <c r="AU54" s="21">
        <v>1.56738</v>
      </c>
      <c r="AV54">
        <f t="shared" si="8"/>
        <v>15.202222222222222</v>
      </c>
      <c r="AW54">
        <f t="shared" si="9"/>
        <v>23.843925444444441</v>
      </c>
      <c r="AX54" s="9"/>
      <c r="AY54" s="21">
        <v>0.121613</v>
      </c>
      <c r="AZ54" s="21">
        <v>28.1919</v>
      </c>
      <c r="BA54" s="21">
        <v>-1.4053299999999999E-2</v>
      </c>
      <c r="BB54" s="21">
        <v>44</v>
      </c>
      <c r="BC54" s="21">
        <v>0.121155</v>
      </c>
      <c r="BD54">
        <f t="shared" si="10"/>
        <v>17.349753086419753</v>
      </c>
      <c r="BE54">
        <f t="shared" si="11"/>
        <v>2.1099555220987654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1.56342</v>
      </c>
      <c r="H55" s="21">
        <v>5.82552</v>
      </c>
      <c r="I55" s="21">
        <v>-1.2439E-2</v>
      </c>
      <c r="J55" s="21">
        <v>45</v>
      </c>
      <c r="K55" s="21">
        <v>1.56311</v>
      </c>
      <c r="L55">
        <f t="shared" si="0"/>
        <v>15.35679012345679</v>
      </c>
      <c r="M55">
        <f t="shared" si="1"/>
        <v>24.009112814814817</v>
      </c>
      <c r="N55" s="9"/>
      <c r="O55" s="21">
        <v>0.12664800000000001</v>
      </c>
      <c r="P55" s="21">
        <v>9.6245700000000003</v>
      </c>
      <c r="Q55" s="21">
        <v>-1.41113E-2</v>
      </c>
      <c r="R55" s="21">
        <v>45</v>
      </c>
      <c r="S55" s="21">
        <v>0.12612899999999999</v>
      </c>
      <c r="T55">
        <f t="shared" si="2"/>
        <v>17.421358024691358</v>
      </c>
      <c r="U55">
        <f t="shared" si="3"/>
        <v>2.2063801511111114</v>
      </c>
      <c r="X55" s="9"/>
      <c r="Y55" s="21">
        <v>0.12664800000000001</v>
      </c>
      <c r="Z55" s="21">
        <v>9.6245700000000003</v>
      </c>
      <c r="AA55" s="21">
        <v>-1.41113E-2</v>
      </c>
      <c r="AB55" s="21">
        <v>45</v>
      </c>
      <c r="AC55" s="21">
        <v>0.12612899999999999</v>
      </c>
      <c r="AD55">
        <f t="shared" si="4"/>
        <v>17.421358024691358</v>
      </c>
      <c r="AE55">
        <f t="shared" si="5"/>
        <v>2.2063801511111114</v>
      </c>
      <c r="AF55" s="9"/>
      <c r="AG55" s="21">
        <v>0.12664800000000001</v>
      </c>
      <c r="AH55" s="21">
        <v>18.9238</v>
      </c>
      <c r="AI55" s="21">
        <v>-1.41266E-2</v>
      </c>
      <c r="AJ55" s="21">
        <v>45</v>
      </c>
      <c r="AK55" s="21">
        <v>0.12609899999999999</v>
      </c>
      <c r="AL55">
        <f t="shared" si="6"/>
        <v>17.440246913580246</v>
      </c>
      <c r="AM55">
        <f t="shared" si="7"/>
        <v>2.2087723911111112</v>
      </c>
      <c r="AP55" s="9"/>
      <c r="AQ55" s="21">
        <v>1.56342</v>
      </c>
      <c r="AR55" s="21">
        <v>24.402999999999999</v>
      </c>
      <c r="AS55" s="21">
        <v>-1.2374899999999999E-2</v>
      </c>
      <c r="AT55" s="21">
        <v>45</v>
      </c>
      <c r="AU55" s="21">
        <v>1.56281</v>
      </c>
      <c r="AV55">
        <f t="shared" si="8"/>
        <v>15.277654320987653</v>
      </c>
      <c r="AW55">
        <f t="shared" si="9"/>
        <v>23.885390318518517</v>
      </c>
      <c r="AX55" s="9"/>
      <c r="AY55" s="21">
        <v>0.12664800000000001</v>
      </c>
      <c r="AZ55" s="21">
        <v>28.202000000000002</v>
      </c>
      <c r="BA55" s="21">
        <v>-1.40442E-2</v>
      </c>
      <c r="BB55" s="21">
        <v>45</v>
      </c>
      <c r="BC55" s="21">
        <v>0.12612899999999999</v>
      </c>
      <c r="BD55">
        <f t="shared" si="10"/>
        <v>17.338518518518516</v>
      </c>
      <c r="BE55">
        <f t="shared" si="11"/>
        <v>2.195888693333333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1.5583800000000001</v>
      </c>
      <c r="H56" s="21">
        <v>5.8355899999999998</v>
      </c>
      <c r="I56" s="21">
        <v>-1.24878E-2</v>
      </c>
      <c r="J56" s="21">
        <v>46</v>
      </c>
      <c r="K56" s="21">
        <v>1.55731</v>
      </c>
      <c r="L56">
        <f t="shared" si="0"/>
        <v>15.417037037037037</v>
      </c>
      <c r="M56">
        <f t="shared" si="1"/>
        <v>24.025602177777781</v>
      </c>
      <c r="N56" s="9"/>
      <c r="O56" s="21">
        <v>0.13168299999999999</v>
      </c>
      <c r="P56" s="21">
        <v>9.6346399999999992</v>
      </c>
      <c r="Q56" s="21">
        <v>-1.4114399999999999E-2</v>
      </c>
      <c r="R56" s="21">
        <v>46</v>
      </c>
      <c r="S56" s="21">
        <v>0.13122600000000001</v>
      </c>
      <c r="T56">
        <f t="shared" si="2"/>
        <v>17.425185185185182</v>
      </c>
      <c r="U56">
        <f t="shared" si="3"/>
        <v>2.2946006607407403</v>
      </c>
      <c r="X56" s="9"/>
      <c r="Y56" s="21">
        <v>0.13168299999999999</v>
      </c>
      <c r="Z56" s="21">
        <v>9.6346399999999992</v>
      </c>
      <c r="AA56" s="21">
        <v>-1.4114399999999999E-2</v>
      </c>
      <c r="AB56" s="21">
        <v>46</v>
      </c>
      <c r="AC56" s="21">
        <v>0.13122600000000001</v>
      </c>
      <c r="AD56">
        <f t="shared" si="4"/>
        <v>17.425185185185182</v>
      </c>
      <c r="AE56">
        <f t="shared" si="5"/>
        <v>2.2946006607407403</v>
      </c>
      <c r="AF56" s="9"/>
      <c r="AG56" s="21">
        <v>0.13168299999999999</v>
      </c>
      <c r="AH56" s="21">
        <v>18.933900000000001</v>
      </c>
      <c r="AI56" s="21">
        <v>-1.4114399999999999E-2</v>
      </c>
      <c r="AJ56" s="21">
        <v>46</v>
      </c>
      <c r="AK56" s="21">
        <v>0.131134</v>
      </c>
      <c r="AL56">
        <f t="shared" si="6"/>
        <v>17.425185185185182</v>
      </c>
      <c r="AM56">
        <f t="shared" si="7"/>
        <v>2.2946006607407403</v>
      </c>
      <c r="AP56" s="9"/>
      <c r="AQ56" s="21">
        <v>1.5583800000000001</v>
      </c>
      <c r="AR56" s="21">
        <v>24.413</v>
      </c>
      <c r="AS56" s="21">
        <v>-1.24298E-2</v>
      </c>
      <c r="AT56" s="21">
        <v>46</v>
      </c>
      <c r="AU56" s="21">
        <v>1.55762</v>
      </c>
      <c r="AV56">
        <f t="shared" si="8"/>
        <v>15.34543209876543</v>
      </c>
      <c r="AW56">
        <f t="shared" si="9"/>
        <v>23.914014474074072</v>
      </c>
      <c r="AX56" s="9"/>
      <c r="AY56" s="21">
        <v>0.13168299999999999</v>
      </c>
      <c r="AZ56" s="21">
        <v>28.2121</v>
      </c>
      <c r="BA56" s="21">
        <v>-1.40503E-2</v>
      </c>
      <c r="BB56" s="21">
        <v>46</v>
      </c>
      <c r="BC56" s="21">
        <v>0.13134799999999999</v>
      </c>
      <c r="BD56">
        <f t="shared" si="10"/>
        <v>17.34604938271605</v>
      </c>
      <c r="BE56">
        <f t="shared" si="11"/>
        <v>2.2841798208641975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1.5533399999999999</v>
      </c>
      <c r="H57" s="21">
        <v>5.8456599999999996</v>
      </c>
      <c r="I57" s="21">
        <v>-1.25427E-2</v>
      </c>
      <c r="J57" s="21">
        <v>47</v>
      </c>
      <c r="K57" s="21">
        <v>1.55243</v>
      </c>
      <c r="L57">
        <f t="shared" si="0"/>
        <v>15.484814814814815</v>
      </c>
      <c r="M57">
        <f t="shared" si="1"/>
        <v>24.053182244444443</v>
      </c>
      <c r="N57" s="9"/>
      <c r="O57" s="21">
        <v>0.13671900000000001</v>
      </c>
      <c r="P57" s="21">
        <v>9.6447099999999999</v>
      </c>
      <c r="Q57" s="21">
        <v>-1.4108300000000001E-2</v>
      </c>
      <c r="R57" s="21">
        <v>47</v>
      </c>
      <c r="S57" s="21">
        <v>0.13626099999999999</v>
      </c>
      <c r="T57">
        <f t="shared" si="2"/>
        <v>17.417654320987655</v>
      </c>
      <c r="U57">
        <f t="shared" si="3"/>
        <v>2.3813242811111115</v>
      </c>
      <c r="X57" s="9"/>
      <c r="Y57" s="21">
        <v>0.13671900000000001</v>
      </c>
      <c r="Z57" s="21">
        <v>9.6447099999999999</v>
      </c>
      <c r="AA57" s="21">
        <v>-1.4108300000000001E-2</v>
      </c>
      <c r="AB57" s="21">
        <v>47</v>
      </c>
      <c r="AC57" s="21">
        <v>0.13626099999999999</v>
      </c>
      <c r="AD57">
        <f t="shared" si="4"/>
        <v>17.417654320987655</v>
      </c>
      <c r="AE57">
        <f t="shared" si="5"/>
        <v>2.3813242811111115</v>
      </c>
      <c r="AF57" s="9"/>
      <c r="AG57" s="21">
        <v>0.13671900000000001</v>
      </c>
      <c r="AH57" s="21">
        <v>18.943899999999999</v>
      </c>
      <c r="AI57" s="21">
        <v>-1.4093E-2</v>
      </c>
      <c r="AJ57" s="21">
        <v>47</v>
      </c>
      <c r="AK57" s="21">
        <v>0.13619999999999999</v>
      </c>
      <c r="AL57">
        <f t="shared" si="6"/>
        <v>17.398765432098763</v>
      </c>
      <c r="AM57">
        <f t="shared" si="7"/>
        <v>2.3787418111111109</v>
      </c>
      <c r="AP57" s="9"/>
      <c r="AQ57" s="21">
        <v>1.5533399999999999</v>
      </c>
      <c r="AR57" s="21">
        <v>24.423100000000002</v>
      </c>
      <c r="AS57" s="21">
        <v>-1.24756E-2</v>
      </c>
      <c r="AT57" s="21">
        <v>47</v>
      </c>
      <c r="AU57" s="21">
        <v>1.5527299999999999</v>
      </c>
      <c r="AV57">
        <f t="shared" si="8"/>
        <v>15.401975308641974</v>
      </c>
      <c r="AW57">
        <f t="shared" si="9"/>
        <v>23.924504325925923</v>
      </c>
      <c r="AX57" s="9"/>
      <c r="AY57" s="21">
        <v>0.13671900000000001</v>
      </c>
      <c r="AZ57" s="21">
        <v>28.222200000000001</v>
      </c>
      <c r="BA57" s="21">
        <v>-1.40503E-2</v>
      </c>
      <c r="BB57" s="21">
        <v>47</v>
      </c>
      <c r="BC57" s="21">
        <v>0.13619999999999999</v>
      </c>
      <c r="BD57">
        <f t="shared" si="10"/>
        <v>17.34604938271605</v>
      </c>
      <c r="BE57">
        <f t="shared" si="11"/>
        <v>2.3715345255555556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1.5483100000000001</v>
      </c>
      <c r="H58" s="21">
        <v>5.8557300000000003</v>
      </c>
      <c r="I58" s="21">
        <v>-1.25916E-2</v>
      </c>
      <c r="J58" s="21">
        <v>48</v>
      </c>
      <c r="K58" s="21">
        <v>1.5478499999999999</v>
      </c>
      <c r="L58">
        <f t="shared" si="0"/>
        <v>15.545185185185185</v>
      </c>
      <c r="M58">
        <f t="shared" si="1"/>
        <v>24.068765674074076</v>
      </c>
      <c r="N58" s="9"/>
      <c r="O58" s="21">
        <v>0.14175399999999999</v>
      </c>
      <c r="P58" s="21">
        <v>9.6547800000000006</v>
      </c>
      <c r="Q58" s="21">
        <v>-1.4108300000000001E-2</v>
      </c>
      <c r="R58" s="21">
        <v>48</v>
      </c>
      <c r="S58" s="21">
        <v>0.14117399999999999</v>
      </c>
      <c r="T58">
        <f t="shared" si="2"/>
        <v>17.417654320987655</v>
      </c>
      <c r="U58">
        <f t="shared" si="3"/>
        <v>2.4690221706172837</v>
      </c>
      <c r="X58" s="9"/>
      <c r="Y58" s="21">
        <v>0.14175399999999999</v>
      </c>
      <c r="Z58" s="21">
        <v>9.6547800000000006</v>
      </c>
      <c r="AA58" s="21">
        <v>-1.4108300000000001E-2</v>
      </c>
      <c r="AB58" s="21">
        <v>48</v>
      </c>
      <c r="AC58" s="21">
        <v>0.14117399999999999</v>
      </c>
      <c r="AD58">
        <f t="shared" si="4"/>
        <v>17.417654320987655</v>
      </c>
      <c r="AE58">
        <f t="shared" si="5"/>
        <v>2.4690221706172837</v>
      </c>
      <c r="AF58" s="9"/>
      <c r="AG58" s="21">
        <v>0.14175399999999999</v>
      </c>
      <c r="AH58" s="21">
        <v>18.954000000000001</v>
      </c>
      <c r="AI58" s="21">
        <v>-1.4068600000000001E-2</v>
      </c>
      <c r="AJ58" s="21">
        <v>48</v>
      </c>
      <c r="AK58" s="21">
        <v>0.141205</v>
      </c>
      <c r="AL58">
        <f t="shared" si="6"/>
        <v>17.368641975308641</v>
      </c>
      <c r="AM58">
        <f t="shared" si="7"/>
        <v>2.4620744745679009</v>
      </c>
      <c r="AP58" s="9"/>
      <c r="AQ58" s="21">
        <v>1.5483100000000001</v>
      </c>
      <c r="AR58" s="21">
        <v>24.433199999999999</v>
      </c>
      <c r="AS58" s="21">
        <v>-1.25275E-2</v>
      </c>
      <c r="AT58" s="21">
        <v>48</v>
      </c>
      <c r="AU58" s="21">
        <v>1.54816</v>
      </c>
      <c r="AV58">
        <f t="shared" si="8"/>
        <v>15.466049382716049</v>
      </c>
      <c r="AW58">
        <f t="shared" si="9"/>
        <v>23.946238919753085</v>
      </c>
      <c r="AX58" s="9"/>
      <c r="AY58" s="21">
        <v>0.14175399999999999</v>
      </c>
      <c r="AZ58" s="21">
        <v>28.232199999999999</v>
      </c>
      <c r="BA58" s="21">
        <v>-1.40442E-2</v>
      </c>
      <c r="BB58" s="21">
        <v>48</v>
      </c>
      <c r="BC58" s="21">
        <v>0.14117399999999999</v>
      </c>
      <c r="BD58">
        <f t="shared" si="10"/>
        <v>17.338518518518516</v>
      </c>
      <c r="BE58">
        <f t="shared" si="11"/>
        <v>2.4578043540740735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1.5432699999999999</v>
      </c>
      <c r="H59" s="21">
        <v>5.8658099999999997</v>
      </c>
      <c r="I59" s="21">
        <v>-1.2643400000000001E-2</v>
      </c>
      <c r="J59" s="21">
        <v>49</v>
      </c>
      <c r="K59" s="21">
        <v>1.54236</v>
      </c>
      <c r="L59">
        <f t="shared" si="0"/>
        <v>15.609135802469137</v>
      </c>
      <c r="M59">
        <f t="shared" si="1"/>
        <v>24.089111009876543</v>
      </c>
      <c r="N59" s="9"/>
      <c r="O59" s="21">
        <v>0.14679</v>
      </c>
      <c r="P59" s="21">
        <v>9.6648499999999995</v>
      </c>
      <c r="Q59" s="21">
        <v>-1.40991E-2</v>
      </c>
      <c r="R59" s="21">
        <v>49</v>
      </c>
      <c r="S59" s="21">
        <v>0.14624000000000001</v>
      </c>
      <c r="T59">
        <f t="shared" si="2"/>
        <v>17.406296296296293</v>
      </c>
      <c r="U59">
        <f t="shared" si="3"/>
        <v>2.5550702333333328</v>
      </c>
      <c r="X59" s="9"/>
      <c r="Y59" s="21">
        <v>0.14679</v>
      </c>
      <c r="Z59" s="21">
        <v>9.6648499999999995</v>
      </c>
      <c r="AA59" s="21">
        <v>-1.40991E-2</v>
      </c>
      <c r="AB59" s="21">
        <v>49</v>
      </c>
      <c r="AC59" s="21">
        <v>0.14624000000000001</v>
      </c>
      <c r="AD59">
        <f t="shared" si="4"/>
        <v>17.406296296296293</v>
      </c>
      <c r="AE59">
        <f t="shared" si="5"/>
        <v>2.5550702333333328</v>
      </c>
      <c r="AF59" s="9"/>
      <c r="AG59" s="21">
        <v>0.14679</v>
      </c>
      <c r="AH59" s="21">
        <v>18.964099999999998</v>
      </c>
      <c r="AI59" s="21">
        <v>-1.40594E-2</v>
      </c>
      <c r="AJ59" s="21">
        <v>49</v>
      </c>
      <c r="AK59" s="21">
        <v>0.14624000000000001</v>
      </c>
      <c r="AL59">
        <f t="shared" si="6"/>
        <v>17.357283950617283</v>
      </c>
      <c r="AM59">
        <f t="shared" si="7"/>
        <v>2.5478757111111112</v>
      </c>
      <c r="AP59" s="9"/>
      <c r="AQ59" s="21">
        <v>1.5432699999999999</v>
      </c>
      <c r="AR59" s="21">
        <v>24.443300000000001</v>
      </c>
      <c r="AS59" s="21">
        <v>-1.25732E-2</v>
      </c>
      <c r="AT59" s="21">
        <v>49</v>
      </c>
      <c r="AU59" s="21">
        <v>1.5426599999999999</v>
      </c>
      <c r="AV59">
        <f t="shared" si="8"/>
        <v>15.522469135802467</v>
      </c>
      <c r="AW59">
        <f t="shared" si="9"/>
        <v>23.955360943209872</v>
      </c>
      <c r="AX59" s="9"/>
      <c r="AY59" s="21">
        <v>0.14679</v>
      </c>
      <c r="AZ59" s="21">
        <v>28.2423</v>
      </c>
      <c r="BA59" s="21">
        <v>-1.40564E-2</v>
      </c>
      <c r="BB59" s="21">
        <v>49</v>
      </c>
      <c r="BC59" s="21">
        <v>0.14630099999999999</v>
      </c>
      <c r="BD59">
        <f t="shared" si="10"/>
        <v>17.35358024691358</v>
      </c>
      <c r="BE59">
        <f t="shared" si="11"/>
        <v>2.5473320444444445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1.5382400000000001</v>
      </c>
      <c r="H60" s="21">
        <v>5.8758800000000004</v>
      </c>
      <c r="I60" s="21">
        <v>-1.26923E-2</v>
      </c>
      <c r="J60" s="21">
        <v>50</v>
      </c>
      <c r="K60" s="21">
        <v>1.53748</v>
      </c>
      <c r="L60">
        <f t="shared" si="0"/>
        <v>15.669506172839506</v>
      </c>
      <c r="M60">
        <f t="shared" si="1"/>
        <v>24.103461175308642</v>
      </c>
      <c r="N60" s="9"/>
      <c r="O60" s="21">
        <v>0.15182499999999999</v>
      </c>
      <c r="P60" s="21">
        <v>9.6749200000000002</v>
      </c>
      <c r="Q60" s="21">
        <v>-1.40991E-2</v>
      </c>
      <c r="R60" s="21">
        <v>50</v>
      </c>
      <c r="S60" s="21">
        <v>0.15118400000000001</v>
      </c>
      <c r="T60">
        <f t="shared" si="2"/>
        <v>17.406296296296293</v>
      </c>
      <c r="U60">
        <f t="shared" si="3"/>
        <v>2.6427109351851845</v>
      </c>
      <c r="X60" s="9"/>
      <c r="Y60" s="21">
        <v>0.15182499999999999</v>
      </c>
      <c r="Z60" s="21">
        <v>9.6749200000000002</v>
      </c>
      <c r="AA60" s="21">
        <v>-1.40991E-2</v>
      </c>
      <c r="AB60" s="21">
        <v>50</v>
      </c>
      <c r="AC60" s="21">
        <v>0.15118400000000001</v>
      </c>
      <c r="AD60">
        <f t="shared" si="4"/>
        <v>17.406296296296293</v>
      </c>
      <c r="AE60">
        <f t="shared" si="5"/>
        <v>2.6427109351851845</v>
      </c>
      <c r="AF60" s="9"/>
      <c r="AG60" s="21">
        <v>0.15182499999999999</v>
      </c>
      <c r="AH60" s="21">
        <v>18.9741</v>
      </c>
      <c r="AI60" s="21">
        <v>-1.40503E-2</v>
      </c>
      <c r="AJ60" s="21">
        <v>50</v>
      </c>
      <c r="AK60" s="21">
        <v>0.151337</v>
      </c>
      <c r="AL60">
        <f t="shared" si="6"/>
        <v>17.34604938271605</v>
      </c>
      <c r="AM60">
        <f t="shared" si="7"/>
        <v>2.6335639475308641</v>
      </c>
      <c r="AP60" s="9"/>
      <c r="AQ60" s="21">
        <v>1.5382400000000001</v>
      </c>
      <c r="AR60" s="21">
        <v>24.453299999999999</v>
      </c>
      <c r="AS60" s="21">
        <v>-1.2622100000000001E-2</v>
      </c>
      <c r="AT60" s="21">
        <v>50</v>
      </c>
      <c r="AU60" s="21">
        <v>1.5371699999999999</v>
      </c>
      <c r="AV60">
        <f t="shared" si="8"/>
        <v>15.582839506172839</v>
      </c>
      <c r="AW60">
        <f t="shared" si="9"/>
        <v>23.970147041975309</v>
      </c>
      <c r="AX60" s="9"/>
      <c r="AY60" s="21">
        <v>0.15182499999999999</v>
      </c>
      <c r="AZ60" s="21">
        <v>28.252400000000002</v>
      </c>
      <c r="BA60" s="21">
        <v>-1.4053299999999999E-2</v>
      </c>
      <c r="BB60" s="21">
        <v>50</v>
      </c>
      <c r="BC60" s="21">
        <v>0.15151999999999999</v>
      </c>
      <c r="BD60">
        <f t="shared" si="10"/>
        <v>17.349753086419753</v>
      </c>
      <c r="BE60">
        <f t="shared" si="11"/>
        <v>2.6341262623456787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1.5331999999999999</v>
      </c>
      <c r="H61" s="21">
        <v>5.8859500000000002</v>
      </c>
      <c r="I61" s="21">
        <v>-1.27411E-2</v>
      </c>
      <c r="J61" s="21">
        <v>51</v>
      </c>
      <c r="K61" s="21">
        <v>1.5322899999999999</v>
      </c>
      <c r="L61">
        <f t="shared" si="0"/>
        <v>15.729753086419752</v>
      </c>
      <c r="M61">
        <f t="shared" si="1"/>
        <v>24.116857432098762</v>
      </c>
      <c r="N61" s="9"/>
      <c r="O61" s="21">
        <v>0.15686</v>
      </c>
      <c r="P61" s="21">
        <v>9.6849900000000009</v>
      </c>
      <c r="Q61" s="21">
        <v>-1.40961E-2</v>
      </c>
      <c r="R61" s="21">
        <v>51</v>
      </c>
      <c r="S61" s="21">
        <v>0.15646399999999999</v>
      </c>
      <c r="T61">
        <f t="shared" si="2"/>
        <v>17.40259259259259</v>
      </c>
      <c r="U61">
        <f t="shared" si="3"/>
        <v>2.7297706740740737</v>
      </c>
      <c r="X61" s="9"/>
      <c r="Y61" s="21">
        <v>0.15686</v>
      </c>
      <c r="Z61" s="21">
        <v>9.6849900000000009</v>
      </c>
      <c r="AA61" s="21">
        <v>-1.40961E-2</v>
      </c>
      <c r="AB61" s="21">
        <v>51</v>
      </c>
      <c r="AC61" s="21">
        <v>0.15646399999999999</v>
      </c>
      <c r="AD61">
        <f t="shared" si="4"/>
        <v>17.40259259259259</v>
      </c>
      <c r="AE61">
        <f t="shared" si="5"/>
        <v>2.7297706740740737</v>
      </c>
      <c r="AF61" s="9"/>
      <c r="AG61" s="21">
        <v>0.15686</v>
      </c>
      <c r="AH61" s="21">
        <v>18.984200000000001</v>
      </c>
      <c r="AI61" s="21">
        <v>-1.40503E-2</v>
      </c>
      <c r="AJ61" s="21">
        <v>51</v>
      </c>
      <c r="AK61" s="21">
        <v>0.15634200000000001</v>
      </c>
      <c r="AL61">
        <f t="shared" si="6"/>
        <v>17.34604938271605</v>
      </c>
      <c r="AM61">
        <f t="shared" si="7"/>
        <v>2.7209013061728395</v>
      </c>
      <c r="AP61" s="9"/>
      <c r="AQ61" s="21">
        <v>1.5331999999999999</v>
      </c>
      <c r="AR61" s="21">
        <v>24.4634</v>
      </c>
      <c r="AS61" s="21">
        <v>-1.26678E-2</v>
      </c>
      <c r="AT61" s="21">
        <v>51</v>
      </c>
      <c r="AU61" s="21">
        <v>1.5325899999999999</v>
      </c>
      <c r="AV61">
        <f t="shared" si="8"/>
        <v>15.639259259259259</v>
      </c>
      <c r="AW61">
        <f t="shared" si="9"/>
        <v>23.978112296296292</v>
      </c>
      <c r="AX61" s="9"/>
      <c r="AY61" s="21">
        <v>0.15686</v>
      </c>
      <c r="AZ61" s="21">
        <v>28.2624</v>
      </c>
      <c r="BA61" s="21">
        <v>-1.40594E-2</v>
      </c>
      <c r="BB61" s="21">
        <v>51</v>
      </c>
      <c r="BC61" s="21">
        <v>0.15634200000000001</v>
      </c>
      <c r="BD61">
        <f t="shared" si="10"/>
        <v>17.357283950617283</v>
      </c>
      <c r="BE61">
        <f t="shared" si="11"/>
        <v>2.7226635604938272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1.52817</v>
      </c>
      <c r="H62" s="21">
        <v>5.89602</v>
      </c>
      <c r="I62" s="21">
        <v>-1.27838E-2</v>
      </c>
      <c r="J62" s="21">
        <v>52</v>
      </c>
      <c r="K62" s="21">
        <v>1.5277099999999999</v>
      </c>
      <c r="L62">
        <f t="shared" si="0"/>
        <v>15.782469135802467</v>
      </c>
      <c r="M62">
        <f t="shared" si="1"/>
        <v>24.118295859259256</v>
      </c>
      <c r="N62" s="9"/>
      <c r="O62" s="21">
        <v>0.16189600000000001</v>
      </c>
      <c r="P62" s="21">
        <v>9.6950599999999998</v>
      </c>
      <c r="Q62" s="21">
        <v>-1.41052E-2</v>
      </c>
      <c r="R62" s="21">
        <v>52</v>
      </c>
      <c r="S62" s="21">
        <v>0.16134599999999999</v>
      </c>
      <c r="T62">
        <f t="shared" si="2"/>
        <v>17.413827160493828</v>
      </c>
      <c r="U62">
        <f t="shared" si="3"/>
        <v>2.819228961975309</v>
      </c>
      <c r="X62" s="9"/>
      <c r="Y62" s="21">
        <v>0.16189600000000001</v>
      </c>
      <c r="Z62" s="21">
        <v>9.6950599999999998</v>
      </c>
      <c r="AA62" s="21">
        <v>-1.41052E-2</v>
      </c>
      <c r="AB62" s="21">
        <v>52</v>
      </c>
      <c r="AC62" s="21">
        <v>0.16134599999999999</v>
      </c>
      <c r="AD62">
        <f t="shared" si="4"/>
        <v>17.413827160493828</v>
      </c>
      <c r="AE62">
        <f t="shared" si="5"/>
        <v>2.819228961975309</v>
      </c>
      <c r="AF62" s="9"/>
      <c r="AG62" s="21">
        <v>0.16189600000000001</v>
      </c>
      <c r="AH62" s="21">
        <v>18.994299999999999</v>
      </c>
      <c r="AI62" s="21">
        <v>-1.40381E-2</v>
      </c>
      <c r="AJ62" s="21">
        <v>52</v>
      </c>
      <c r="AK62" s="21">
        <v>0.161438</v>
      </c>
      <c r="AL62">
        <f t="shared" si="6"/>
        <v>17.330987654320985</v>
      </c>
      <c r="AM62">
        <f t="shared" si="7"/>
        <v>2.8058175772839506</v>
      </c>
      <c r="AP62" s="9"/>
      <c r="AQ62" s="21">
        <v>1.52817</v>
      </c>
      <c r="AR62" s="21">
        <v>24.473500000000001</v>
      </c>
      <c r="AS62" s="21">
        <v>-1.2716699999999999E-2</v>
      </c>
      <c r="AT62" s="21">
        <v>52</v>
      </c>
      <c r="AU62" s="21">
        <v>1.5267900000000001</v>
      </c>
      <c r="AV62">
        <f t="shared" si="8"/>
        <v>15.699629629629626</v>
      </c>
      <c r="AW62">
        <f t="shared" si="9"/>
        <v>23.991703011111106</v>
      </c>
      <c r="AX62" s="9"/>
      <c r="AY62" s="21">
        <v>0.16189600000000001</v>
      </c>
      <c r="AZ62" s="21">
        <v>28.272500000000001</v>
      </c>
      <c r="BA62" s="21">
        <v>-1.4071699999999999E-2</v>
      </c>
      <c r="BB62" s="21">
        <v>52</v>
      </c>
      <c r="BC62" s="21">
        <v>0.16131599999999999</v>
      </c>
      <c r="BD62">
        <f t="shared" si="10"/>
        <v>17.372469135802469</v>
      </c>
      <c r="BE62">
        <f t="shared" si="11"/>
        <v>2.8125332632098767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1.5231300000000001</v>
      </c>
      <c r="H63" s="21">
        <v>5.9060899999999998</v>
      </c>
      <c r="I63" s="21">
        <v>-1.2814300000000001E-2</v>
      </c>
      <c r="J63" s="21">
        <v>53</v>
      </c>
      <c r="K63" s="21">
        <v>1.5219100000000001</v>
      </c>
      <c r="L63">
        <f t="shared" si="0"/>
        <v>15.820123456790125</v>
      </c>
      <c r="M63">
        <f t="shared" si="1"/>
        <v>24.096104640740744</v>
      </c>
      <c r="N63" s="9"/>
      <c r="O63" s="21">
        <v>0.166931</v>
      </c>
      <c r="P63" s="21">
        <v>9.7051400000000001</v>
      </c>
      <c r="Q63" s="21">
        <v>-1.41113E-2</v>
      </c>
      <c r="R63" s="21">
        <v>53</v>
      </c>
      <c r="S63" s="21">
        <v>0.166382</v>
      </c>
      <c r="T63">
        <f t="shared" si="2"/>
        <v>17.421358024691358</v>
      </c>
      <c r="U63">
        <f t="shared" si="3"/>
        <v>2.908164716419753</v>
      </c>
      <c r="X63" s="9"/>
      <c r="Y63" s="21">
        <v>0.166931</v>
      </c>
      <c r="Z63" s="21">
        <v>9.7051400000000001</v>
      </c>
      <c r="AA63" s="21">
        <v>-1.41113E-2</v>
      </c>
      <c r="AB63" s="21">
        <v>53</v>
      </c>
      <c r="AC63" s="21">
        <v>0.166382</v>
      </c>
      <c r="AD63">
        <f t="shared" si="4"/>
        <v>17.421358024691358</v>
      </c>
      <c r="AE63">
        <f t="shared" si="5"/>
        <v>2.908164716419753</v>
      </c>
      <c r="AF63" s="9"/>
      <c r="AG63" s="21">
        <v>0.166931</v>
      </c>
      <c r="AH63" s="21">
        <v>19.0044</v>
      </c>
      <c r="AI63" s="21">
        <v>-1.4041100000000001E-2</v>
      </c>
      <c r="AJ63" s="21">
        <v>53</v>
      </c>
      <c r="AK63" s="21">
        <v>0.166351</v>
      </c>
      <c r="AL63">
        <f t="shared" si="6"/>
        <v>17.334691358024692</v>
      </c>
      <c r="AM63">
        <f t="shared" si="7"/>
        <v>2.89369736308642</v>
      </c>
      <c r="AP63" s="9"/>
      <c r="AQ63" s="21">
        <v>1.5231300000000001</v>
      </c>
      <c r="AR63" s="21">
        <v>24.483499999999999</v>
      </c>
      <c r="AS63" s="21">
        <v>-1.2759400000000001E-2</v>
      </c>
      <c r="AT63" s="21">
        <v>53</v>
      </c>
      <c r="AU63" s="21">
        <v>1.5219100000000001</v>
      </c>
      <c r="AV63">
        <f t="shared" si="8"/>
        <v>15.752345679012343</v>
      </c>
      <c r="AW63">
        <f t="shared" si="9"/>
        <v>23.992870274074072</v>
      </c>
      <c r="AX63" s="9"/>
      <c r="AY63" s="21">
        <v>0.166931</v>
      </c>
      <c r="AZ63" s="21">
        <v>28.282599999999999</v>
      </c>
      <c r="BA63" s="21">
        <v>-1.4080799999999999E-2</v>
      </c>
      <c r="BB63" s="21">
        <v>53</v>
      </c>
      <c r="BC63" s="21">
        <v>0.166351</v>
      </c>
      <c r="BD63">
        <f t="shared" si="10"/>
        <v>17.383703703703702</v>
      </c>
      <c r="BE63">
        <f t="shared" si="11"/>
        <v>2.9018790429629626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1.5181</v>
      </c>
      <c r="H64" s="21">
        <v>5.9161599999999996</v>
      </c>
      <c r="I64" s="21">
        <v>-1.2847900000000001E-2</v>
      </c>
      <c r="J64" s="21">
        <v>54</v>
      </c>
      <c r="K64" s="21">
        <v>1.5179400000000001</v>
      </c>
      <c r="L64">
        <f t="shared" si="0"/>
        <v>15.861604938271604</v>
      </c>
      <c r="M64">
        <f t="shared" si="1"/>
        <v>24.079502456790124</v>
      </c>
      <c r="N64" s="9"/>
      <c r="O64" s="21">
        <v>0.17196700000000001</v>
      </c>
      <c r="P64" s="21">
        <v>9.7152100000000008</v>
      </c>
      <c r="Q64" s="21">
        <v>-1.4120499999999999E-2</v>
      </c>
      <c r="R64" s="21">
        <v>54</v>
      </c>
      <c r="S64" s="21">
        <v>0.17147799999999999</v>
      </c>
      <c r="T64">
        <f t="shared" si="2"/>
        <v>17.432716049382716</v>
      </c>
      <c r="U64">
        <f t="shared" si="3"/>
        <v>2.9978518808641978</v>
      </c>
      <c r="X64" s="9"/>
      <c r="Y64" s="21">
        <v>0.17196700000000001</v>
      </c>
      <c r="Z64" s="21">
        <v>9.7152100000000008</v>
      </c>
      <c r="AA64" s="21">
        <v>-1.4120499999999999E-2</v>
      </c>
      <c r="AB64" s="21">
        <v>54</v>
      </c>
      <c r="AC64" s="21">
        <v>0.17147799999999999</v>
      </c>
      <c r="AD64">
        <f t="shared" si="4"/>
        <v>17.432716049382716</v>
      </c>
      <c r="AE64">
        <f t="shared" si="5"/>
        <v>2.9978518808641978</v>
      </c>
      <c r="AF64" s="9"/>
      <c r="AG64" s="21">
        <v>0.17196700000000001</v>
      </c>
      <c r="AH64" s="21">
        <v>19.014399999999998</v>
      </c>
      <c r="AI64" s="21">
        <v>-1.40564E-2</v>
      </c>
      <c r="AJ64" s="21">
        <v>54</v>
      </c>
      <c r="AK64" s="21">
        <v>0.17147799999999999</v>
      </c>
      <c r="AL64">
        <f t="shared" si="6"/>
        <v>17.35358024691358</v>
      </c>
      <c r="AM64">
        <f t="shared" si="7"/>
        <v>2.9842431343209879</v>
      </c>
      <c r="AP64" s="9"/>
      <c r="AQ64" s="21">
        <v>1.5181</v>
      </c>
      <c r="AR64" s="21">
        <v>24.493600000000001</v>
      </c>
      <c r="AS64" s="21">
        <v>-1.2793000000000001E-2</v>
      </c>
      <c r="AT64" s="21">
        <v>54</v>
      </c>
      <c r="AU64" s="21">
        <v>1.5176400000000001</v>
      </c>
      <c r="AV64">
        <f t="shared" si="8"/>
        <v>15.793827160493827</v>
      </c>
      <c r="AW64">
        <f t="shared" si="9"/>
        <v>23.97660901234568</v>
      </c>
      <c r="AX64" s="9"/>
      <c r="AY64" s="21">
        <v>0.17196700000000001</v>
      </c>
      <c r="AZ64" s="21">
        <v>28.2927</v>
      </c>
      <c r="BA64" s="21">
        <v>-1.4080799999999999E-2</v>
      </c>
      <c r="BB64" s="21">
        <v>54</v>
      </c>
      <c r="BC64" s="21">
        <v>0.17138700000000001</v>
      </c>
      <c r="BD64">
        <f t="shared" si="10"/>
        <v>17.383703703703702</v>
      </c>
      <c r="BE64">
        <f t="shared" si="11"/>
        <v>2.9894233748148147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1.5130600000000001</v>
      </c>
      <c r="H65" s="21">
        <v>5.9262300000000003</v>
      </c>
      <c r="I65" s="21">
        <v>-1.2893699999999999E-2</v>
      </c>
      <c r="J65" s="21">
        <v>55</v>
      </c>
      <c r="K65" s="21">
        <v>1.5124500000000001</v>
      </c>
      <c r="L65">
        <f t="shared" si="0"/>
        <v>15.918148148148147</v>
      </c>
      <c r="M65">
        <f t="shared" si="1"/>
        <v>24.085113237037035</v>
      </c>
      <c r="N65" s="9"/>
      <c r="O65" s="21">
        <v>0.17700199999999999</v>
      </c>
      <c r="P65" s="21">
        <v>9.7252799999999997</v>
      </c>
      <c r="Q65" s="21">
        <v>-1.4123500000000001E-2</v>
      </c>
      <c r="R65" s="21">
        <v>55</v>
      </c>
      <c r="S65" s="21">
        <v>0.176483</v>
      </c>
      <c r="T65">
        <f t="shared" si="2"/>
        <v>17.436419753086419</v>
      </c>
      <c r="U65">
        <f t="shared" si="3"/>
        <v>3.0862811691358023</v>
      </c>
      <c r="X65" s="9"/>
      <c r="Y65" s="21">
        <v>0.17700199999999999</v>
      </c>
      <c r="Z65" s="21">
        <v>9.7252799999999997</v>
      </c>
      <c r="AA65" s="21">
        <v>-1.4123500000000001E-2</v>
      </c>
      <c r="AB65" s="21">
        <v>55</v>
      </c>
      <c r="AC65" s="21">
        <v>0.176483</v>
      </c>
      <c r="AD65">
        <f t="shared" si="4"/>
        <v>17.436419753086419</v>
      </c>
      <c r="AE65">
        <f t="shared" si="5"/>
        <v>3.0862811691358023</v>
      </c>
      <c r="AF65" s="9"/>
      <c r="AG65" s="21">
        <v>0.17700199999999999</v>
      </c>
      <c r="AH65" s="21">
        <v>19.0245</v>
      </c>
      <c r="AI65" s="21">
        <v>-1.40564E-2</v>
      </c>
      <c r="AJ65" s="21">
        <v>55</v>
      </c>
      <c r="AK65" s="21">
        <v>0.176453</v>
      </c>
      <c r="AL65">
        <f t="shared" si="6"/>
        <v>17.35358024691358</v>
      </c>
      <c r="AM65">
        <f t="shared" si="7"/>
        <v>3.0716184108641973</v>
      </c>
      <c r="AP65" s="9"/>
      <c r="AQ65" s="21">
        <v>1.5130600000000001</v>
      </c>
      <c r="AR65" s="21">
        <v>24.503699999999998</v>
      </c>
      <c r="AS65" s="21">
        <v>-1.2826499999999999E-2</v>
      </c>
      <c r="AT65" s="21">
        <v>55</v>
      </c>
      <c r="AU65" s="21">
        <v>1.5124500000000001</v>
      </c>
      <c r="AV65">
        <f t="shared" si="8"/>
        <v>15.835185185185185</v>
      </c>
      <c r="AW65">
        <f t="shared" si="9"/>
        <v>23.959585296296297</v>
      </c>
      <c r="AX65" s="9"/>
      <c r="AY65" s="21">
        <v>0.17700199999999999</v>
      </c>
      <c r="AZ65" s="21">
        <v>28.302700000000002</v>
      </c>
      <c r="BA65" s="21">
        <v>-1.40594E-2</v>
      </c>
      <c r="BB65" s="21">
        <v>55</v>
      </c>
      <c r="BC65" s="21">
        <v>0.17657500000000001</v>
      </c>
      <c r="BD65">
        <f t="shared" si="10"/>
        <v>17.357283950617283</v>
      </c>
      <c r="BE65">
        <f t="shared" si="11"/>
        <v>3.0722739738271603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1.50803</v>
      </c>
      <c r="H66" s="21">
        <v>5.9363000000000001</v>
      </c>
      <c r="I66" s="21">
        <v>-1.2936400000000001E-2</v>
      </c>
      <c r="J66" s="21">
        <v>56</v>
      </c>
      <c r="K66" s="21">
        <v>1.50726</v>
      </c>
      <c r="L66">
        <f t="shared" si="0"/>
        <v>15.970864197530865</v>
      </c>
      <c r="M66">
        <f t="shared" si="1"/>
        <v>24.084542335802471</v>
      </c>
      <c r="N66" s="9"/>
      <c r="O66" s="21">
        <v>0.182037</v>
      </c>
      <c r="P66" s="21">
        <v>9.7353500000000004</v>
      </c>
      <c r="Q66" s="21">
        <v>-1.4120499999999999E-2</v>
      </c>
      <c r="R66" s="21">
        <v>56</v>
      </c>
      <c r="S66" s="21">
        <v>0.18145800000000001</v>
      </c>
      <c r="T66">
        <f t="shared" si="2"/>
        <v>17.432716049382716</v>
      </c>
      <c r="U66">
        <f t="shared" si="3"/>
        <v>3.1733993314814817</v>
      </c>
      <c r="X66" s="9"/>
      <c r="Y66" s="21">
        <v>0.182037</v>
      </c>
      <c r="Z66" s="21">
        <v>9.7353500000000004</v>
      </c>
      <c r="AA66" s="21">
        <v>-1.4120499999999999E-2</v>
      </c>
      <c r="AB66" s="21">
        <v>56</v>
      </c>
      <c r="AC66" s="21">
        <v>0.18145800000000001</v>
      </c>
      <c r="AD66">
        <f t="shared" si="4"/>
        <v>17.432716049382716</v>
      </c>
      <c r="AE66">
        <f t="shared" si="5"/>
        <v>3.1733993314814817</v>
      </c>
      <c r="AF66" s="9"/>
      <c r="AG66" s="21">
        <v>0.182037</v>
      </c>
      <c r="AH66" s="21">
        <v>19.034600000000001</v>
      </c>
      <c r="AI66" s="21">
        <v>-1.40625E-2</v>
      </c>
      <c r="AJ66" s="21">
        <v>56</v>
      </c>
      <c r="AK66" s="21">
        <v>0.18157999999999999</v>
      </c>
      <c r="AL66">
        <f t="shared" si="6"/>
        <v>17.361111111111111</v>
      </c>
      <c r="AM66">
        <f t="shared" si="7"/>
        <v>3.1603645833333331</v>
      </c>
      <c r="AP66" s="9"/>
      <c r="AQ66" s="21">
        <v>1.50803</v>
      </c>
      <c r="AR66" s="21">
        <v>24.5137</v>
      </c>
      <c r="AS66" s="21">
        <v>-1.28632E-2</v>
      </c>
      <c r="AT66" s="21">
        <v>56</v>
      </c>
      <c r="AU66" s="21">
        <v>1.50726</v>
      </c>
      <c r="AV66">
        <f t="shared" si="8"/>
        <v>15.880493827160493</v>
      </c>
      <c r="AW66">
        <f t="shared" si="9"/>
        <v>23.948261106172836</v>
      </c>
      <c r="AX66" s="9"/>
      <c r="AY66" s="21">
        <v>0.182037</v>
      </c>
      <c r="AZ66" s="21">
        <v>28.312799999999999</v>
      </c>
      <c r="BA66" s="21">
        <v>-1.4041100000000001E-2</v>
      </c>
      <c r="BB66" s="21">
        <v>56</v>
      </c>
      <c r="BC66" s="21">
        <v>0.18151900000000001</v>
      </c>
      <c r="BD66">
        <f t="shared" si="10"/>
        <v>17.334691358024692</v>
      </c>
      <c r="BE66">
        <f t="shared" si="11"/>
        <v>3.155555210740741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1.50299</v>
      </c>
      <c r="H67" s="21">
        <v>5.9463699999999999</v>
      </c>
      <c r="I67" s="21">
        <v>-1.2973E-2</v>
      </c>
      <c r="J67" s="21">
        <v>57</v>
      </c>
      <c r="K67" s="21">
        <v>1.50177</v>
      </c>
      <c r="L67">
        <f t="shared" si="0"/>
        <v>16.016049382716048</v>
      </c>
      <c r="M67">
        <f t="shared" si="1"/>
        <v>24.071962061728392</v>
      </c>
      <c r="N67" s="9"/>
      <c r="O67" s="21">
        <v>0.18707299999999999</v>
      </c>
      <c r="P67" s="21">
        <v>9.7454199999999993</v>
      </c>
      <c r="Q67" s="21">
        <v>-1.41113E-2</v>
      </c>
      <c r="R67" s="21">
        <v>57</v>
      </c>
      <c r="S67" s="21">
        <v>0.186584</v>
      </c>
      <c r="T67">
        <f t="shared" si="2"/>
        <v>17.421358024691358</v>
      </c>
      <c r="U67">
        <f t="shared" si="3"/>
        <v>3.2590657097530862</v>
      </c>
      <c r="X67" s="9"/>
      <c r="Y67" s="21">
        <v>0.18707299999999999</v>
      </c>
      <c r="Z67" s="21">
        <v>9.7454199999999993</v>
      </c>
      <c r="AA67" s="21">
        <v>-1.41113E-2</v>
      </c>
      <c r="AB67" s="21">
        <v>57</v>
      </c>
      <c r="AC67" s="21">
        <v>0.186584</v>
      </c>
      <c r="AD67">
        <f t="shared" si="4"/>
        <v>17.421358024691358</v>
      </c>
      <c r="AE67">
        <f t="shared" si="5"/>
        <v>3.2590657097530862</v>
      </c>
      <c r="AF67" s="9"/>
      <c r="AG67" s="21">
        <v>0.18707299999999999</v>
      </c>
      <c r="AH67" s="21">
        <v>19.044599999999999</v>
      </c>
      <c r="AI67" s="21">
        <v>-1.4071699999999999E-2</v>
      </c>
      <c r="AJ67" s="21">
        <v>57</v>
      </c>
      <c r="AK67" s="21">
        <v>0.18649299999999999</v>
      </c>
      <c r="AL67">
        <f t="shared" si="6"/>
        <v>17.372469135802469</v>
      </c>
      <c r="AM67">
        <f t="shared" si="7"/>
        <v>3.2499199186419752</v>
      </c>
      <c r="AP67" s="9"/>
      <c r="AQ67" s="21">
        <v>1.50299</v>
      </c>
      <c r="AR67" s="21">
        <v>24.523800000000001</v>
      </c>
      <c r="AS67" s="21">
        <v>-1.2896700000000001E-2</v>
      </c>
      <c r="AT67" s="21">
        <v>57</v>
      </c>
      <c r="AU67" s="21">
        <v>1.50177</v>
      </c>
      <c r="AV67">
        <f t="shared" si="8"/>
        <v>15.92185185185185</v>
      </c>
      <c r="AW67">
        <f t="shared" si="9"/>
        <v>23.930384114814814</v>
      </c>
      <c r="AX67" s="9"/>
      <c r="AY67" s="21">
        <v>0.18707299999999999</v>
      </c>
      <c r="AZ67" s="21">
        <v>28.322900000000001</v>
      </c>
      <c r="BA67" s="21">
        <v>-1.4019800000000001E-2</v>
      </c>
      <c r="BB67" s="21">
        <v>57</v>
      </c>
      <c r="BC67" s="21">
        <v>0.18643199999999999</v>
      </c>
      <c r="BD67">
        <f t="shared" si="10"/>
        <v>17.308395061728394</v>
      </c>
      <c r="BE67">
        <f t="shared" si="11"/>
        <v>3.2379333893827158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1.49796</v>
      </c>
      <c r="H68" s="21">
        <v>5.9564399999999997</v>
      </c>
      <c r="I68" s="21">
        <v>-1.3003499999999999E-2</v>
      </c>
      <c r="J68" s="21">
        <v>58</v>
      </c>
      <c r="K68" s="21">
        <v>1.4975000000000001</v>
      </c>
      <c r="L68">
        <f t="shared" si="0"/>
        <v>16.0537037037037</v>
      </c>
      <c r="M68">
        <f t="shared" si="1"/>
        <v>24.047805999999994</v>
      </c>
      <c r="N68" s="9"/>
      <c r="O68" s="21">
        <v>0.192108</v>
      </c>
      <c r="P68" s="21">
        <v>9.75549</v>
      </c>
      <c r="Q68" s="21">
        <v>-1.41113E-2</v>
      </c>
      <c r="R68" s="21">
        <v>58</v>
      </c>
      <c r="S68" s="21">
        <v>0.191528</v>
      </c>
      <c r="T68">
        <f t="shared" si="2"/>
        <v>17.421358024691358</v>
      </c>
      <c r="U68">
        <f t="shared" si="3"/>
        <v>3.3467822474074076</v>
      </c>
      <c r="X68" s="9"/>
      <c r="Y68" s="21">
        <v>0.192108</v>
      </c>
      <c r="Z68" s="21">
        <v>9.75549</v>
      </c>
      <c r="AA68" s="21">
        <v>-1.41113E-2</v>
      </c>
      <c r="AB68" s="21">
        <v>58</v>
      </c>
      <c r="AC68" s="21">
        <v>0.191528</v>
      </c>
      <c r="AD68">
        <f t="shared" si="4"/>
        <v>17.421358024691358</v>
      </c>
      <c r="AE68">
        <f t="shared" si="5"/>
        <v>3.3467822474074076</v>
      </c>
      <c r="AF68" s="9"/>
      <c r="AG68" s="21">
        <v>0.192108</v>
      </c>
      <c r="AH68" s="21">
        <v>19.0547</v>
      </c>
      <c r="AI68" s="21">
        <v>-1.40839E-2</v>
      </c>
      <c r="AJ68" s="21">
        <v>58</v>
      </c>
      <c r="AK68" s="21">
        <v>0.19158900000000001</v>
      </c>
      <c r="AL68">
        <f t="shared" si="6"/>
        <v>17.387530864197529</v>
      </c>
      <c r="AM68">
        <f t="shared" si="7"/>
        <v>3.3402837792592588</v>
      </c>
      <c r="AP68" s="9"/>
      <c r="AQ68" s="21">
        <v>1.49796</v>
      </c>
      <c r="AR68" s="21">
        <v>24.533899999999999</v>
      </c>
      <c r="AS68" s="21">
        <v>-1.29333E-2</v>
      </c>
      <c r="AT68" s="21">
        <v>58</v>
      </c>
      <c r="AU68" s="21">
        <v>1.4975000000000001</v>
      </c>
      <c r="AV68">
        <f t="shared" si="8"/>
        <v>15.967037037037036</v>
      </c>
      <c r="AW68">
        <f t="shared" si="9"/>
        <v>23.917982799999997</v>
      </c>
      <c r="AX68" s="9"/>
      <c r="AY68" s="21">
        <v>0.192108</v>
      </c>
      <c r="AZ68" s="21">
        <v>28.332899999999999</v>
      </c>
      <c r="BA68" s="21">
        <v>-1.4025900000000001E-2</v>
      </c>
      <c r="BB68" s="21">
        <v>58</v>
      </c>
      <c r="BC68" s="21">
        <v>0.191498</v>
      </c>
      <c r="BD68">
        <f t="shared" si="10"/>
        <v>17.315925925925924</v>
      </c>
      <c r="BE68">
        <f t="shared" si="11"/>
        <v>3.3265278977777775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1.49292</v>
      </c>
      <c r="H69" s="21">
        <v>5.96652</v>
      </c>
      <c r="I69" s="21">
        <v>-1.30341E-2</v>
      </c>
      <c r="J69" s="21">
        <v>59</v>
      </c>
      <c r="K69" s="21">
        <v>1.4917</v>
      </c>
      <c r="L69">
        <f t="shared" si="0"/>
        <v>16.09148148148148</v>
      </c>
      <c r="M69">
        <f t="shared" si="1"/>
        <v>24.023294533333331</v>
      </c>
      <c r="N69" s="9"/>
      <c r="O69" s="21">
        <v>0.19714400000000001</v>
      </c>
      <c r="P69" s="21">
        <v>9.7655600000000007</v>
      </c>
      <c r="Q69" s="21">
        <v>-1.4120499999999999E-2</v>
      </c>
      <c r="R69" s="21">
        <v>59</v>
      </c>
      <c r="S69" s="21">
        <v>0.19662499999999999</v>
      </c>
      <c r="T69">
        <f t="shared" si="2"/>
        <v>17.432716049382716</v>
      </c>
      <c r="U69">
        <f t="shared" si="3"/>
        <v>3.4367553728395062</v>
      </c>
      <c r="X69" s="9"/>
      <c r="Y69" s="21">
        <v>0.19714400000000001</v>
      </c>
      <c r="Z69" s="21">
        <v>9.7655600000000007</v>
      </c>
      <c r="AA69" s="21">
        <v>-1.4120499999999999E-2</v>
      </c>
      <c r="AB69" s="21">
        <v>59</v>
      </c>
      <c r="AC69" s="21">
        <v>0.19662499999999999</v>
      </c>
      <c r="AD69">
        <f t="shared" si="4"/>
        <v>17.432716049382716</v>
      </c>
      <c r="AE69">
        <f t="shared" si="5"/>
        <v>3.4367553728395062</v>
      </c>
      <c r="AF69" s="9"/>
      <c r="AG69" s="21">
        <v>0.19714400000000001</v>
      </c>
      <c r="AH69" s="21">
        <v>19.064800000000002</v>
      </c>
      <c r="AI69" s="21">
        <v>-1.40839E-2</v>
      </c>
      <c r="AJ69" s="21">
        <v>59</v>
      </c>
      <c r="AK69" s="21">
        <v>0.19662499999999999</v>
      </c>
      <c r="AL69">
        <f t="shared" si="6"/>
        <v>17.387530864197529</v>
      </c>
      <c r="AM69">
        <f t="shared" si="7"/>
        <v>3.4278473846913582</v>
      </c>
      <c r="AP69" s="9"/>
      <c r="AQ69" s="21">
        <v>1.49292</v>
      </c>
      <c r="AR69" s="21">
        <v>24.544</v>
      </c>
      <c r="AS69" s="21">
        <v>-1.29791E-2</v>
      </c>
      <c r="AT69" s="21">
        <v>59</v>
      </c>
      <c r="AU69" s="21">
        <v>1.4917</v>
      </c>
      <c r="AV69">
        <f t="shared" si="8"/>
        <v>16.023580246913578</v>
      </c>
      <c r="AW69">
        <f t="shared" si="9"/>
        <v>23.921923422222221</v>
      </c>
      <c r="AX69" s="9"/>
      <c r="AY69" s="21">
        <v>0.19714400000000001</v>
      </c>
      <c r="AZ69" s="21">
        <v>28.343</v>
      </c>
      <c r="BA69" s="21">
        <v>-1.40289E-2</v>
      </c>
      <c r="BB69" s="21">
        <v>59</v>
      </c>
      <c r="BC69" s="21">
        <v>0.19656399999999999</v>
      </c>
      <c r="BD69">
        <f t="shared" si="10"/>
        <v>17.319629629629631</v>
      </c>
      <c r="BE69">
        <f t="shared" si="11"/>
        <v>3.4144610637037043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1.4878800000000001</v>
      </c>
      <c r="H70" s="21">
        <v>5.9765899999999998</v>
      </c>
      <c r="I70" s="21">
        <v>-1.3064600000000001E-2</v>
      </c>
      <c r="J70" s="21">
        <v>60</v>
      </c>
      <c r="K70" s="21">
        <v>1.48712</v>
      </c>
      <c r="L70">
        <f t="shared" si="0"/>
        <v>16.129135802469136</v>
      </c>
      <c r="M70">
        <f t="shared" si="1"/>
        <v>23.998218577777781</v>
      </c>
      <c r="N70" s="9"/>
      <c r="O70" s="21">
        <v>0.202179</v>
      </c>
      <c r="P70" s="21">
        <v>9.7756299999999996</v>
      </c>
      <c r="Q70" s="21">
        <v>-1.41174E-2</v>
      </c>
      <c r="R70" s="21">
        <v>60</v>
      </c>
      <c r="S70" s="21">
        <v>0.20169100000000001</v>
      </c>
      <c r="T70">
        <f t="shared" si="2"/>
        <v>17.428888888888888</v>
      </c>
      <c r="U70">
        <f t="shared" si="3"/>
        <v>3.5237553266666666</v>
      </c>
      <c r="X70" s="9"/>
      <c r="Y70" s="21">
        <v>0.202179</v>
      </c>
      <c r="Z70" s="21">
        <v>9.7756299999999996</v>
      </c>
      <c r="AA70" s="21">
        <v>-1.41174E-2</v>
      </c>
      <c r="AB70" s="21">
        <v>60</v>
      </c>
      <c r="AC70" s="21">
        <v>0.20169100000000001</v>
      </c>
      <c r="AD70">
        <f t="shared" si="4"/>
        <v>17.428888888888888</v>
      </c>
      <c r="AE70">
        <f t="shared" si="5"/>
        <v>3.5237553266666666</v>
      </c>
      <c r="AF70" s="9"/>
      <c r="AG70" s="21">
        <v>0.202179</v>
      </c>
      <c r="AH70" s="21">
        <v>19.0749</v>
      </c>
      <c r="AI70" s="21">
        <v>-1.4071699999999999E-2</v>
      </c>
      <c r="AJ70" s="21">
        <v>60</v>
      </c>
      <c r="AK70" s="21">
        <v>0.20175199999999999</v>
      </c>
      <c r="AL70">
        <f t="shared" si="6"/>
        <v>17.372469135802469</v>
      </c>
      <c r="AM70">
        <f t="shared" si="7"/>
        <v>3.5123484374074074</v>
      </c>
      <c r="AP70" s="9"/>
      <c r="AQ70" s="21">
        <v>1.4878800000000001</v>
      </c>
      <c r="AR70" s="21">
        <v>24.553999999999998</v>
      </c>
      <c r="AS70" s="21">
        <v>-1.30066E-2</v>
      </c>
      <c r="AT70" s="21">
        <v>60</v>
      </c>
      <c r="AU70" s="21">
        <v>1.48682</v>
      </c>
      <c r="AV70">
        <f t="shared" si="8"/>
        <v>16.057530864197531</v>
      </c>
      <c r="AW70">
        <f t="shared" si="9"/>
        <v>23.891679022222224</v>
      </c>
      <c r="AX70" s="9"/>
      <c r="AY70" s="21">
        <v>0.202179</v>
      </c>
      <c r="AZ70" s="21">
        <v>28.353100000000001</v>
      </c>
      <c r="BA70" s="21">
        <v>-1.40289E-2</v>
      </c>
      <c r="BB70" s="21">
        <v>60</v>
      </c>
      <c r="BC70" s="21">
        <v>0.201599</v>
      </c>
      <c r="BD70">
        <f t="shared" si="10"/>
        <v>17.319629629629631</v>
      </c>
      <c r="BE70">
        <f t="shared" si="11"/>
        <v>3.5016653988888891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1.48285</v>
      </c>
      <c r="H71" s="21">
        <v>5.9866599999999996</v>
      </c>
      <c r="I71" s="21">
        <v>-1.3091999999999999E-2</v>
      </c>
      <c r="J71" s="21">
        <v>61</v>
      </c>
      <c r="K71" s="21">
        <v>1.48224</v>
      </c>
      <c r="L71">
        <f t="shared" si="0"/>
        <v>16.162962962962961</v>
      </c>
      <c r="M71">
        <f t="shared" si="1"/>
        <v>23.967249629629627</v>
      </c>
      <c r="N71" s="9"/>
      <c r="O71" s="21">
        <v>0.20721400000000001</v>
      </c>
      <c r="P71" s="21">
        <v>9.7857000000000003</v>
      </c>
      <c r="Q71" s="21">
        <v>-1.4123500000000001E-2</v>
      </c>
      <c r="R71" s="21">
        <v>61</v>
      </c>
      <c r="S71" s="21">
        <v>0.20663500000000001</v>
      </c>
      <c r="T71">
        <f t="shared" si="2"/>
        <v>17.436419753086419</v>
      </c>
      <c r="U71">
        <f t="shared" si="3"/>
        <v>3.6130702827160492</v>
      </c>
      <c r="X71" s="9"/>
      <c r="Y71" s="21">
        <v>0.20721400000000001</v>
      </c>
      <c r="Z71" s="21">
        <v>9.7857000000000003</v>
      </c>
      <c r="AA71" s="21">
        <v>-1.4123500000000001E-2</v>
      </c>
      <c r="AB71" s="21">
        <v>61</v>
      </c>
      <c r="AC71" s="21">
        <v>0.20663500000000001</v>
      </c>
      <c r="AD71">
        <f t="shared" si="4"/>
        <v>17.436419753086419</v>
      </c>
      <c r="AE71">
        <f t="shared" si="5"/>
        <v>3.6130702827160492</v>
      </c>
      <c r="AF71" s="9"/>
      <c r="AG71" s="21">
        <v>0.20721400000000001</v>
      </c>
      <c r="AH71" s="21">
        <v>19.084900000000001</v>
      </c>
      <c r="AI71" s="21">
        <v>-1.4068600000000001E-2</v>
      </c>
      <c r="AJ71" s="21">
        <v>61</v>
      </c>
      <c r="AK71" s="21">
        <v>0.20666499999999999</v>
      </c>
      <c r="AL71">
        <f t="shared" si="6"/>
        <v>17.368641975308641</v>
      </c>
      <c r="AM71">
        <f t="shared" si="7"/>
        <v>3.5990257782716051</v>
      </c>
      <c r="AP71" s="9"/>
      <c r="AQ71" s="21">
        <v>1.48285</v>
      </c>
      <c r="AR71" s="21">
        <v>24.5641</v>
      </c>
      <c r="AS71" s="21">
        <v>-1.30341E-2</v>
      </c>
      <c r="AT71" s="21">
        <v>61</v>
      </c>
      <c r="AU71" s="21">
        <v>1.48193</v>
      </c>
      <c r="AV71">
        <f t="shared" si="8"/>
        <v>16.09148148148148</v>
      </c>
      <c r="AW71">
        <f t="shared" si="9"/>
        <v>23.861253314814814</v>
      </c>
      <c r="AX71" s="9"/>
      <c r="AY71" s="21">
        <v>0.20721400000000001</v>
      </c>
      <c r="AZ71" s="21">
        <v>28.363099999999999</v>
      </c>
      <c r="BA71" s="21">
        <v>-1.40228E-2</v>
      </c>
      <c r="BB71" s="21">
        <v>61</v>
      </c>
      <c r="BC71" s="21">
        <v>0.20669599999999999</v>
      </c>
      <c r="BD71">
        <f t="shared" si="10"/>
        <v>17.312098765432097</v>
      </c>
      <c r="BE71">
        <f t="shared" si="11"/>
        <v>3.5873092335802466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1.4778100000000001</v>
      </c>
      <c r="H72" s="21">
        <v>5.9967300000000003</v>
      </c>
      <c r="I72" s="21">
        <v>-1.31226E-2</v>
      </c>
      <c r="J72" s="21">
        <v>62</v>
      </c>
      <c r="K72" s="21">
        <v>1.47705</v>
      </c>
      <c r="L72">
        <f t="shared" si="0"/>
        <v>16.200740740740741</v>
      </c>
      <c r="M72">
        <f t="shared" si="1"/>
        <v>23.941616674074076</v>
      </c>
      <c r="N72" s="9"/>
      <c r="O72" s="21">
        <v>0.21224999999999999</v>
      </c>
      <c r="P72" s="21">
        <v>9.7957699999999992</v>
      </c>
      <c r="Q72" s="21">
        <v>-1.4123500000000001E-2</v>
      </c>
      <c r="R72" s="21">
        <v>62</v>
      </c>
      <c r="S72" s="21">
        <v>0.211731</v>
      </c>
      <c r="T72">
        <f t="shared" si="2"/>
        <v>17.436419753086419</v>
      </c>
      <c r="U72">
        <f t="shared" si="3"/>
        <v>3.7008800925925924</v>
      </c>
      <c r="X72" s="9"/>
      <c r="Y72" s="21">
        <v>0.21224999999999999</v>
      </c>
      <c r="Z72" s="21">
        <v>9.7957699999999992</v>
      </c>
      <c r="AA72" s="21">
        <v>-1.4123500000000001E-2</v>
      </c>
      <c r="AB72" s="21">
        <v>62</v>
      </c>
      <c r="AC72" s="21">
        <v>0.211731</v>
      </c>
      <c r="AD72">
        <f t="shared" si="4"/>
        <v>17.436419753086419</v>
      </c>
      <c r="AE72">
        <f t="shared" si="5"/>
        <v>3.7008800925925924</v>
      </c>
      <c r="AF72" s="9"/>
      <c r="AG72" s="21">
        <v>0.21224999999999999</v>
      </c>
      <c r="AH72" s="21">
        <v>19.094999999999999</v>
      </c>
      <c r="AI72" s="21">
        <v>-1.40564E-2</v>
      </c>
      <c r="AJ72" s="21">
        <v>62</v>
      </c>
      <c r="AK72" s="21">
        <v>0.211731</v>
      </c>
      <c r="AL72">
        <f t="shared" si="6"/>
        <v>17.35358024691358</v>
      </c>
      <c r="AM72">
        <f t="shared" si="7"/>
        <v>3.6832974074074074</v>
      </c>
      <c r="AP72" s="9"/>
      <c r="AQ72" s="21">
        <v>1.4778100000000001</v>
      </c>
      <c r="AR72" s="21">
        <v>24.574200000000001</v>
      </c>
      <c r="AS72" s="21">
        <v>-1.30615E-2</v>
      </c>
      <c r="AT72" s="21">
        <v>62</v>
      </c>
      <c r="AU72" s="21">
        <v>1.47736</v>
      </c>
      <c r="AV72">
        <f t="shared" si="8"/>
        <v>16.125308641975309</v>
      </c>
      <c r="AW72">
        <f t="shared" si="9"/>
        <v>23.830142364197531</v>
      </c>
      <c r="AX72" s="9"/>
      <c r="AY72" s="21">
        <v>0.21224999999999999</v>
      </c>
      <c r="AZ72" s="21">
        <v>28.373200000000001</v>
      </c>
      <c r="BA72" s="21">
        <v>-1.4025900000000001E-2</v>
      </c>
      <c r="BB72" s="21">
        <v>62</v>
      </c>
      <c r="BC72" s="21">
        <v>0.2117</v>
      </c>
      <c r="BD72">
        <f t="shared" si="10"/>
        <v>17.315925925925924</v>
      </c>
      <c r="BE72">
        <f t="shared" si="11"/>
        <v>3.6753052777777775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1.47278</v>
      </c>
      <c r="H73" s="21">
        <v>6.0068000000000001</v>
      </c>
      <c r="I73" s="21">
        <v>-1.3153099999999999E-2</v>
      </c>
      <c r="J73" s="21">
        <v>63</v>
      </c>
      <c r="K73" s="21">
        <v>1.4724699999999999</v>
      </c>
      <c r="L73">
        <f t="shared" si="0"/>
        <v>16.238395061728394</v>
      </c>
      <c r="M73">
        <f t="shared" si="1"/>
        <v>23.915583479012344</v>
      </c>
      <c r="N73" s="9"/>
      <c r="O73" s="21">
        <v>0.21728500000000001</v>
      </c>
      <c r="P73" s="21">
        <v>9.8058499999999995</v>
      </c>
      <c r="Q73" s="21">
        <v>-1.4123500000000001E-2</v>
      </c>
      <c r="R73" s="21">
        <v>63</v>
      </c>
      <c r="S73" s="21">
        <v>0.216888</v>
      </c>
      <c r="T73">
        <f t="shared" si="2"/>
        <v>17.436419753086419</v>
      </c>
      <c r="U73">
        <f t="shared" si="3"/>
        <v>3.7886724660493827</v>
      </c>
      <c r="X73" s="9"/>
      <c r="Y73" s="21">
        <v>0.21728500000000001</v>
      </c>
      <c r="Z73" s="21">
        <v>9.8058499999999995</v>
      </c>
      <c r="AA73" s="21">
        <v>-1.4123500000000001E-2</v>
      </c>
      <c r="AB73" s="21">
        <v>63</v>
      </c>
      <c r="AC73" s="21">
        <v>0.216888</v>
      </c>
      <c r="AD73">
        <f t="shared" si="4"/>
        <v>17.436419753086419</v>
      </c>
      <c r="AE73">
        <f t="shared" si="5"/>
        <v>3.7886724660493827</v>
      </c>
      <c r="AF73" s="9"/>
      <c r="AG73" s="21">
        <v>0.21728500000000001</v>
      </c>
      <c r="AH73" s="21">
        <v>19.1051</v>
      </c>
      <c r="AI73" s="21">
        <v>-1.4053299999999999E-2</v>
      </c>
      <c r="AJ73" s="21">
        <v>63</v>
      </c>
      <c r="AK73" s="21">
        <v>0.21673600000000001</v>
      </c>
      <c r="AL73">
        <f t="shared" si="6"/>
        <v>17.349753086419753</v>
      </c>
      <c r="AM73">
        <f t="shared" si="7"/>
        <v>3.7698410993827163</v>
      </c>
      <c r="AP73" s="9"/>
      <c r="AQ73" s="21">
        <v>1.47278</v>
      </c>
      <c r="AR73" s="21">
        <v>24.584199999999999</v>
      </c>
      <c r="AS73" s="21">
        <v>-1.3091999999999999E-2</v>
      </c>
      <c r="AT73" s="21">
        <v>63</v>
      </c>
      <c r="AU73" s="21">
        <v>1.47156</v>
      </c>
      <c r="AV73">
        <f t="shared" si="8"/>
        <v>16.162962962962961</v>
      </c>
      <c r="AW73">
        <f t="shared" si="9"/>
        <v>23.804488592592591</v>
      </c>
      <c r="AX73" s="9"/>
      <c r="AY73" s="21">
        <v>0.21728500000000001</v>
      </c>
      <c r="AZ73" s="21">
        <v>28.383299999999998</v>
      </c>
      <c r="BA73" s="21">
        <v>-1.4025900000000001E-2</v>
      </c>
      <c r="BB73" s="21">
        <v>63</v>
      </c>
      <c r="BC73" s="21">
        <v>0.216644</v>
      </c>
      <c r="BD73">
        <f t="shared" si="10"/>
        <v>17.315925925925924</v>
      </c>
      <c r="BE73">
        <f t="shared" si="11"/>
        <v>3.7624909648148144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1.46774</v>
      </c>
      <c r="H74" s="21">
        <v>6.0168699999999999</v>
      </c>
      <c r="I74" s="21">
        <v>-1.3168300000000001E-2</v>
      </c>
      <c r="J74" s="21">
        <v>64</v>
      </c>
      <c r="K74" s="21">
        <v>1.4666699999999999</v>
      </c>
      <c r="L74">
        <f t="shared" si="0"/>
        <v>16.257160493827158</v>
      </c>
      <c r="M74">
        <f t="shared" si="1"/>
        <v>23.861284743209872</v>
      </c>
      <c r="N74" s="9"/>
      <c r="O74" s="21">
        <v>0.22232099999999999</v>
      </c>
      <c r="P74" s="21">
        <v>9.8159200000000002</v>
      </c>
      <c r="Q74" s="21">
        <v>-1.4120499999999999E-2</v>
      </c>
      <c r="R74" s="21">
        <v>64</v>
      </c>
      <c r="S74" s="21">
        <v>0.22167999999999999</v>
      </c>
      <c r="T74">
        <f t="shared" si="2"/>
        <v>17.432716049382716</v>
      </c>
      <c r="U74">
        <f t="shared" si="3"/>
        <v>3.8756588648148145</v>
      </c>
      <c r="X74" s="9"/>
      <c r="Y74" s="21">
        <v>0.22232099999999999</v>
      </c>
      <c r="Z74" s="21">
        <v>9.8159200000000002</v>
      </c>
      <c r="AA74" s="21">
        <v>-1.4120499999999999E-2</v>
      </c>
      <c r="AB74" s="21">
        <v>64</v>
      </c>
      <c r="AC74" s="21">
        <v>0.22167999999999999</v>
      </c>
      <c r="AD74">
        <f t="shared" si="4"/>
        <v>17.432716049382716</v>
      </c>
      <c r="AE74">
        <f t="shared" si="5"/>
        <v>3.8756588648148145</v>
      </c>
      <c r="AF74" s="9"/>
      <c r="AG74" s="21">
        <v>0.22232099999999999</v>
      </c>
      <c r="AH74" s="21">
        <v>19.115100000000002</v>
      </c>
      <c r="AI74" s="21">
        <v>-1.40503E-2</v>
      </c>
      <c r="AJ74" s="21">
        <v>64</v>
      </c>
      <c r="AK74" s="21">
        <v>0.221802</v>
      </c>
      <c r="AL74">
        <f t="shared" si="6"/>
        <v>17.34604938271605</v>
      </c>
      <c r="AM74">
        <f t="shared" si="7"/>
        <v>3.8563910448148149</v>
      </c>
      <c r="AP74" s="9"/>
      <c r="AQ74" s="21">
        <v>1.46774</v>
      </c>
      <c r="AR74" s="21">
        <v>24.5943</v>
      </c>
      <c r="AS74" s="21">
        <v>-1.31226E-2</v>
      </c>
      <c r="AT74" s="21">
        <v>64</v>
      </c>
      <c r="AU74" s="21">
        <v>1.46698</v>
      </c>
      <c r="AV74">
        <f t="shared" si="8"/>
        <v>16.200740740740741</v>
      </c>
      <c r="AW74">
        <f t="shared" si="9"/>
        <v>23.778475214814815</v>
      </c>
      <c r="AX74" s="9"/>
      <c r="AY74" s="21">
        <v>0.22232099999999999</v>
      </c>
      <c r="AZ74" s="21">
        <v>28.3934</v>
      </c>
      <c r="BA74" s="21">
        <v>-1.4025900000000001E-2</v>
      </c>
      <c r="BB74" s="21">
        <v>64</v>
      </c>
      <c r="BC74" s="21">
        <v>0.221832</v>
      </c>
      <c r="BD74">
        <f t="shared" si="10"/>
        <v>17.315925925925924</v>
      </c>
      <c r="BE74">
        <f t="shared" si="11"/>
        <v>3.8496939677777773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1.46271</v>
      </c>
      <c r="H75" s="21">
        <v>6.0269399999999997</v>
      </c>
      <c r="I75" s="21">
        <v>-1.31805E-2</v>
      </c>
      <c r="J75" s="21">
        <v>65</v>
      </c>
      <c r="K75" s="21">
        <v>1.4621</v>
      </c>
      <c r="L75">
        <f t="shared" si="0"/>
        <v>16.272222222222219</v>
      </c>
      <c r="M75">
        <f t="shared" si="1"/>
        <v>23.80154216666666</v>
      </c>
      <c r="N75" s="9"/>
      <c r="O75" s="21">
        <v>0.227356</v>
      </c>
      <c r="P75" s="21">
        <v>9.8259899999999991</v>
      </c>
      <c r="Q75" s="21">
        <v>-1.41113E-2</v>
      </c>
      <c r="R75" s="21">
        <v>65</v>
      </c>
      <c r="S75" s="21">
        <v>0.22680700000000001</v>
      </c>
      <c r="T75">
        <f t="shared" si="2"/>
        <v>17.421358024691358</v>
      </c>
      <c r="U75">
        <f t="shared" si="3"/>
        <v>3.9608502750617283</v>
      </c>
      <c r="X75" s="9"/>
      <c r="Y75" s="21">
        <v>0.227356</v>
      </c>
      <c r="Z75" s="21">
        <v>9.8259899999999991</v>
      </c>
      <c r="AA75" s="21">
        <v>-1.41113E-2</v>
      </c>
      <c r="AB75" s="21">
        <v>65</v>
      </c>
      <c r="AC75" s="21">
        <v>0.22680700000000001</v>
      </c>
      <c r="AD75">
        <f t="shared" si="4"/>
        <v>17.421358024691358</v>
      </c>
      <c r="AE75">
        <f t="shared" si="5"/>
        <v>3.9608502750617283</v>
      </c>
      <c r="AF75" s="9"/>
      <c r="AG75" s="21">
        <v>0.227356</v>
      </c>
      <c r="AH75" s="21">
        <v>19.1252</v>
      </c>
      <c r="AI75" s="21">
        <v>-1.4047199999999999E-2</v>
      </c>
      <c r="AJ75" s="21">
        <v>65</v>
      </c>
      <c r="AK75" s="21">
        <v>0.22680700000000001</v>
      </c>
      <c r="AL75">
        <f t="shared" si="6"/>
        <v>17.342222222222222</v>
      </c>
      <c r="AM75">
        <f t="shared" si="7"/>
        <v>3.9428582755555555</v>
      </c>
      <c r="AP75" s="9"/>
      <c r="AQ75" s="21">
        <v>1.46271</v>
      </c>
      <c r="AR75" s="21">
        <v>24.604399999999998</v>
      </c>
      <c r="AS75" s="21">
        <v>-1.3159199999999999E-2</v>
      </c>
      <c r="AT75" s="21">
        <v>65</v>
      </c>
      <c r="AU75" s="21">
        <v>1.4623999999999999</v>
      </c>
      <c r="AV75">
        <f t="shared" si="8"/>
        <v>16.245925925925924</v>
      </c>
      <c r="AW75">
        <f t="shared" si="9"/>
        <v>23.763078311111109</v>
      </c>
      <c r="AX75" s="9"/>
      <c r="AY75" s="21">
        <v>0.227356</v>
      </c>
      <c r="AZ75" s="21">
        <v>28.403400000000001</v>
      </c>
      <c r="BA75" s="21">
        <v>-1.4019800000000001E-2</v>
      </c>
      <c r="BB75" s="21">
        <v>65</v>
      </c>
      <c r="BC75" s="21">
        <v>0.22683700000000001</v>
      </c>
      <c r="BD75">
        <f t="shared" si="10"/>
        <v>17.308395061728394</v>
      </c>
      <c r="BE75">
        <f t="shared" si="11"/>
        <v>3.9351674676543209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1.45767</v>
      </c>
      <c r="H76" s="21">
        <v>6.0370100000000004</v>
      </c>
      <c r="I76" s="21">
        <v>-1.32111E-2</v>
      </c>
      <c r="J76" s="21">
        <v>66</v>
      </c>
      <c r="K76" s="21">
        <v>1.4572099999999999</v>
      </c>
      <c r="L76">
        <f t="shared" ref="L76:L139" si="12">-I76/$F$2*1000</f>
        <v>16.309999999999999</v>
      </c>
      <c r="M76">
        <f t="shared" ref="M76:M139" si="13">L76*G76</f>
        <v>23.774597699999998</v>
      </c>
      <c r="N76" s="9"/>
      <c r="O76" s="21">
        <v>0.23239099999999999</v>
      </c>
      <c r="P76" s="21">
        <v>9.8360599999999998</v>
      </c>
      <c r="Q76" s="21">
        <v>-1.41113E-2</v>
      </c>
      <c r="R76" s="21">
        <v>66</v>
      </c>
      <c r="S76" s="21">
        <v>0.23184199999999999</v>
      </c>
      <c r="T76">
        <f t="shared" ref="T76:T139" si="14">-Q76/$F$2*1000</f>
        <v>17.421358024691358</v>
      </c>
      <c r="U76">
        <f t="shared" ref="U76:U139" si="15">T76*O76</f>
        <v>4.0485668127160492</v>
      </c>
      <c r="X76" s="9"/>
      <c r="Y76" s="21">
        <v>0.23239099999999999</v>
      </c>
      <c r="Z76" s="21">
        <v>9.8360599999999998</v>
      </c>
      <c r="AA76" s="21">
        <v>-1.41113E-2</v>
      </c>
      <c r="AB76" s="21">
        <v>66</v>
      </c>
      <c r="AC76" s="21">
        <v>0.23184199999999999</v>
      </c>
      <c r="AD76">
        <f t="shared" ref="AD76:AD139" si="16">-AA76/$F$2*1000</f>
        <v>17.421358024691358</v>
      </c>
      <c r="AE76">
        <f t="shared" ref="AE76:AE139" si="17">AD76*Y76</f>
        <v>4.0485668127160492</v>
      </c>
      <c r="AF76" s="9"/>
      <c r="AG76" s="21">
        <v>0.23239099999999999</v>
      </c>
      <c r="AH76" s="21">
        <v>19.135300000000001</v>
      </c>
      <c r="AI76" s="21">
        <v>-1.4047199999999999E-2</v>
      </c>
      <c r="AJ76" s="21">
        <v>66</v>
      </c>
      <c r="AK76" s="21">
        <v>0.23178099999999999</v>
      </c>
      <c r="AL76">
        <f t="shared" ref="AL76:AL139" si="18">-AI76/$F$2*1000</f>
        <v>17.342222222222222</v>
      </c>
      <c r="AM76">
        <f t="shared" ref="AM76:AM139" si="19">AL76*AG76</f>
        <v>4.0301763644444444</v>
      </c>
      <c r="AP76" s="9"/>
      <c r="AQ76" s="21">
        <v>1.45767</v>
      </c>
      <c r="AR76" s="21">
        <v>24.6145</v>
      </c>
      <c r="AS76" s="21">
        <v>-1.31927E-2</v>
      </c>
      <c r="AT76" s="21">
        <v>66</v>
      </c>
      <c r="AU76" s="21">
        <v>1.4572099999999999</v>
      </c>
      <c r="AV76">
        <f t="shared" ref="AV76:AV139" si="20">-AS76/$F$2*1000</f>
        <v>16.287283950617283</v>
      </c>
      <c r="AW76">
        <f t="shared" ref="AW76:AW139" si="21">AV76*AQ76</f>
        <v>23.741485196296296</v>
      </c>
      <c r="AX76" s="9"/>
      <c r="AY76" s="21">
        <v>0.23239099999999999</v>
      </c>
      <c r="AZ76" s="21">
        <v>28.413499999999999</v>
      </c>
      <c r="BA76" s="21">
        <v>-1.40106E-2</v>
      </c>
      <c r="BB76" s="21">
        <v>66</v>
      </c>
      <c r="BC76" s="21">
        <v>0.23211699999999999</v>
      </c>
      <c r="BD76">
        <f t="shared" ref="BD76:BD139" si="22">-BA76/$F$2*1000</f>
        <v>17.297037037037036</v>
      </c>
      <c r="BE76">
        <f t="shared" ref="BE76:BE139" si="23">BD76*AY76</f>
        <v>4.0196757340740739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1.4526399999999999</v>
      </c>
      <c r="H77" s="21">
        <v>6.0470800000000002</v>
      </c>
      <c r="I77" s="21">
        <v>-1.32385E-2</v>
      </c>
      <c r="J77" s="21">
        <v>67</v>
      </c>
      <c r="K77" s="21">
        <v>1.4517199999999999</v>
      </c>
      <c r="L77">
        <f t="shared" si="12"/>
        <v>16.343827160493824</v>
      </c>
      <c r="M77">
        <f t="shared" si="13"/>
        <v>23.741697086419748</v>
      </c>
      <c r="N77" s="9"/>
      <c r="O77" s="21">
        <v>0.237427</v>
      </c>
      <c r="P77" s="21">
        <v>9.8461300000000005</v>
      </c>
      <c r="Q77" s="21">
        <v>-1.4114399999999999E-2</v>
      </c>
      <c r="R77" s="21">
        <v>67</v>
      </c>
      <c r="S77" s="21">
        <v>0.23696900000000001</v>
      </c>
      <c r="T77">
        <f t="shared" si="14"/>
        <v>17.425185185185182</v>
      </c>
      <c r="U77">
        <f t="shared" si="15"/>
        <v>4.1372094429629618</v>
      </c>
      <c r="X77" s="9"/>
      <c r="Y77" s="21">
        <v>0.237427</v>
      </c>
      <c r="Z77" s="21">
        <v>9.8461300000000005</v>
      </c>
      <c r="AA77" s="21">
        <v>-1.4114399999999999E-2</v>
      </c>
      <c r="AB77" s="21">
        <v>67</v>
      </c>
      <c r="AC77" s="21">
        <v>0.23696900000000001</v>
      </c>
      <c r="AD77">
        <f t="shared" si="16"/>
        <v>17.425185185185182</v>
      </c>
      <c r="AE77">
        <f t="shared" si="17"/>
        <v>4.1372094429629618</v>
      </c>
      <c r="AF77" s="9"/>
      <c r="AG77" s="21">
        <v>0.237427</v>
      </c>
      <c r="AH77" s="21">
        <v>19.145299999999999</v>
      </c>
      <c r="AI77" s="21">
        <v>-1.4047199999999999E-2</v>
      </c>
      <c r="AJ77" s="21">
        <v>67</v>
      </c>
      <c r="AK77" s="21">
        <v>0.23690800000000001</v>
      </c>
      <c r="AL77">
        <f t="shared" si="18"/>
        <v>17.342222222222222</v>
      </c>
      <c r="AM77">
        <f t="shared" si="19"/>
        <v>4.117511795555556</v>
      </c>
      <c r="AP77" s="9"/>
      <c r="AQ77" s="21">
        <v>1.4526399999999999</v>
      </c>
      <c r="AR77" s="21">
        <v>24.624500000000001</v>
      </c>
      <c r="AS77" s="21">
        <v>-1.3214099999999999E-2</v>
      </c>
      <c r="AT77" s="21">
        <v>67</v>
      </c>
      <c r="AU77" s="21">
        <v>1.4520299999999999</v>
      </c>
      <c r="AV77">
        <f t="shared" si="20"/>
        <v>16.313703703703702</v>
      </c>
      <c r="AW77">
        <f t="shared" si="21"/>
        <v>23.697938548148144</v>
      </c>
      <c r="AX77" s="9"/>
      <c r="AY77" s="21">
        <v>0.237427</v>
      </c>
      <c r="AZ77" s="21">
        <v>28.4236</v>
      </c>
      <c r="BA77" s="21">
        <v>-1.40137E-2</v>
      </c>
      <c r="BB77" s="21">
        <v>67</v>
      </c>
      <c r="BC77" s="21">
        <v>0.23693800000000001</v>
      </c>
      <c r="BD77">
        <f t="shared" si="22"/>
        <v>17.300864197530863</v>
      </c>
      <c r="BE77">
        <f t="shared" si="23"/>
        <v>4.1076922838271601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1.4476</v>
      </c>
      <c r="H78" s="21">
        <v>6.05715</v>
      </c>
      <c r="I78" s="21">
        <v>-1.3256799999999999E-2</v>
      </c>
      <c r="J78" s="21">
        <v>68</v>
      </c>
      <c r="K78" s="21">
        <v>1.4468399999999999</v>
      </c>
      <c r="L78">
        <f t="shared" si="12"/>
        <v>16.366419753086415</v>
      </c>
      <c r="M78">
        <f t="shared" si="13"/>
        <v>23.692029234567894</v>
      </c>
      <c r="N78" s="9"/>
      <c r="O78" s="21">
        <v>0.24246200000000001</v>
      </c>
      <c r="P78" s="21">
        <v>9.8561999999999994</v>
      </c>
      <c r="Q78" s="21">
        <v>-1.4120499999999999E-2</v>
      </c>
      <c r="R78" s="21">
        <v>68</v>
      </c>
      <c r="S78" s="21">
        <v>0.24197399999999999</v>
      </c>
      <c r="T78">
        <f t="shared" si="14"/>
        <v>17.432716049382716</v>
      </c>
      <c r="U78">
        <f t="shared" si="15"/>
        <v>4.2267711987654319</v>
      </c>
      <c r="X78" s="9"/>
      <c r="Y78" s="21">
        <v>0.24246200000000001</v>
      </c>
      <c r="Z78" s="21">
        <v>9.8561999999999994</v>
      </c>
      <c r="AA78" s="21">
        <v>-1.4120499999999999E-2</v>
      </c>
      <c r="AB78" s="21">
        <v>68</v>
      </c>
      <c r="AC78" s="21">
        <v>0.24197399999999999</v>
      </c>
      <c r="AD78">
        <f t="shared" si="16"/>
        <v>17.432716049382716</v>
      </c>
      <c r="AE78">
        <f t="shared" si="17"/>
        <v>4.2267711987654319</v>
      </c>
      <c r="AF78" s="9"/>
      <c r="AG78" s="21">
        <v>0.24246200000000001</v>
      </c>
      <c r="AH78" s="21">
        <v>19.1554</v>
      </c>
      <c r="AI78" s="21">
        <v>-1.4053299999999999E-2</v>
      </c>
      <c r="AJ78" s="21">
        <v>68</v>
      </c>
      <c r="AK78" s="21">
        <v>0.24194299999999999</v>
      </c>
      <c r="AL78">
        <f t="shared" si="18"/>
        <v>17.349753086419753</v>
      </c>
      <c r="AM78">
        <f t="shared" si="19"/>
        <v>4.2066558328395063</v>
      </c>
      <c r="AP78" s="9"/>
      <c r="AQ78" s="21">
        <v>1.4476</v>
      </c>
      <c r="AR78" s="21">
        <v>24.634599999999999</v>
      </c>
      <c r="AS78" s="21">
        <v>-1.3235500000000001E-2</v>
      </c>
      <c r="AT78" s="21">
        <v>68</v>
      </c>
      <c r="AU78" s="21">
        <v>1.4468399999999999</v>
      </c>
      <c r="AV78">
        <f t="shared" si="20"/>
        <v>16.340123456790124</v>
      </c>
      <c r="AW78">
        <f t="shared" si="21"/>
        <v>23.653962716049385</v>
      </c>
      <c r="AX78" s="9"/>
      <c r="AY78" s="21">
        <v>0.24246200000000001</v>
      </c>
      <c r="AZ78" s="21">
        <v>28.433599999999998</v>
      </c>
      <c r="BA78" s="21">
        <v>-1.40228E-2</v>
      </c>
      <c r="BB78" s="21">
        <v>68</v>
      </c>
      <c r="BC78" s="21">
        <v>0.24191299999999999</v>
      </c>
      <c r="BD78">
        <f t="shared" si="22"/>
        <v>17.312098765432097</v>
      </c>
      <c r="BE78">
        <f t="shared" si="23"/>
        <v>4.1975260908641969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1.4425699999999999</v>
      </c>
      <c r="H79" s="21">
        <v>6.0672300000000003</v>
      </c>
      <c r="I79" s="21">
        <v>-1.32721E-2</v>
      </c>
      <c r="J79" s="21">
        <v>69</v>
      </c>
      <c r="K79" s="21">
        <v>1.4416500000000001</v>
      </c>
      <c r="L79">
        <f t="shared" si="12"/>
        <v>16.385308641975307</v>
      </c>
      <c r="M79">
        <f t="shared" si="13"/>
        <v>23.636954687654317</v>
      </c>
      <c r="N79" s="9"/>
      <c r="O79" s="21">
        <v>0.247498</v>
      </c>
      <c r="P79" s="21">
        <v>9.8662700000000001</v>
      </c>
      <c r="Q79" s="21">
        <v>-1.4120499999999999E-2</v>
      </c>
      <c r="R79" s="21">
        <v>69</v>
      </c>
      <c r="S79" s="21">
        <v>0.246948</v>
      </c>
      <c r="T79">
        <f t="shared" si="14"/>
        <v>17.432716049382716</v>
      </c>
      <c r="U79">
        <f t="shared" si="15"/>
        <v>4.3145623567901232</v>
      </c>
      <c r="X79" s="9"/>
      <c r="Y79" s="21">
        <v>0.247498</v>
      </c>
      <c r="Z79" s="21">
        <v>9.8662700000000001</v>
      </c>
      <c r="AA79" s="21">
        <v>-1.4120499999999999E-2</v>
      </c>
      <c r="AB79" s="21">
        <v>69</v>
      </c>
      <c r="AC79" s="21">
        <v>0.246948</v>
      </c>
      <c r="AD79">
        <f t="shared" si="16"/>
        <v>17.432716049382716</v>
      </c>
      <c r="AE79">
        <f t="shared" si="17"/>
        <v>4.3145623567901232</v>
      </c>
      <c r="AF79" s="9"/>
      <c r="AG79" s="21">
        <v>0.247498</v>
      </c>
      <c r="AH79" s="21">
        <v>19.165500000000002</v>
      </c>
      <c r="AI79" s="21">
        <v>-1.40503E-2</v>
      </c>
      <c r="AJ79" s="21">
        <v>69</v>
      </c>
      <c r="AK79" s="21">
        <v>0.24682599999999999</v>
      </c>
      <c r="AL79">
        <f t="shared" si="18"/>
        <v>17.34604938271605</v>
      </c>
      <c r="AM79">
        <f t="shared" si="19"/>
        <v>4.2931125301234569</v>
      </c>
      <c r="AP79" s="9"/>
      <c r="AQ79" s="21">
        <v>1.4425699999999999</v>
      </c>
      <c r="AR79" s="21">
        <v>24.6447</v>
      </c>
      <c r="AS79" s="21">
        <v>-1.3269E-2</v>
      </c>
      <c r="AT79" s="21">
        <v>69</v>
      </c>
      <c r="AU79" s="21">
        <v>1.4419599999999999</v>
      </c>
      <c r="AV79">
        <f t="shared" si="20"/>
        <v>16.38148148148148</v>
      </c>
      <c r="AW79">
        <f t="shared" si="21"/>
        <v>23.631433740740736</v>
      </c>
      <c r="AX79" s="9"/>
      <c r="AY79" s="21">
        <v>0.247498</v>
      </c>
      <c r="AZ79" s="21">
        <v>28.4437</v>
      </c>
      <c r="BA79" s="21">
        <v>-1.4019800000000001E-2</v>
      </c>
      <c r="BB79" s="21">
        <v>69</v>
      </c>
      <c r="BC79" s="21">
        <v>0.246887</v>
      </c>
      <c r="BD79">
        <f t="shared" si="22"/>
        <v>17.308395061728394</v>
      </c>
      <c r="BE79">
        <f t="shared" si="23"/>
        <v>4.2837931609876536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1.43753</v>
      </c>
      <c r="H80" s="21">
        <v>6.0773000000000001</v>
      </c>
      <c r="I80" s="21">
        <v>-1.32874E-2</v>
      </c>
      <c r="J80" s="21">
        <v>70</v>
      </c>
      <c r="K80" s="21">
        <v>1.4370700000000001</v>
      </c>
      <c r="L80">
        <f t="shared" si="12"/>
        <v>16.404197530864195</v>
      </c>
      <c r="M80">
        <f t="shared" si="13"/>
        <v>23.581526076543206</v>
      </c>
      <c r="N80" s="9"/>
      <c r="O80" s="21">
        <v>0.25253300000000001</v>
      </c>
      <c r="P80" s="21">
        <v>9.8763400000000008</v>
      </c>
      <c r="Q80" s="21">
        <v>-1.4108300000000001E-2</v>
      </c>
      <c r="R80" s="21">
        <v>70</v>
      </c>
      <c r="S80" s="21">
        <v>0.25174000000000002</v>
      </c>
      <c r="T80">
        <f t="shared" si="14"/>
        <v>17.417654320987655</v>
      </c>
      <c r="U80">
        <f t="shared" si="15"/>
        <v>4.3985324986419752</v>
      </c>
      <c r="X80" s="9"/>
      <c r="Y80" s="21">
        <v>0.25253300000000001</v>
      </c>
      <c r="Z80" s="21">
        <v>9.8763400000000008</v>
      </c>
      <c r="AA80" s="21">
        <v>-1.4108300000000001E-2</v>
      </c>
      <c r="AB80" s="21">
        <v>70</v>
      </c>
      <c r="AC80" s="21">
        <v>0.25174000000000002</v>
      </c>
      <c r="AD80">
        <f t="shared" si="16"/>
        <v>17.417654320987655</v>
      </c>
      <c r="AE80">
        <f t="shared" si="17"/>
        <v>4.3985324986419752</v>
      </c>
      <c r="AF80" s="9"/>
      <c r="AG80" s="21">
        <v>0.25253300000000001</v>
      </c>
      <c r="AH80" s="21">
        <v>19.175599999999999</v>
      </c>
      <c r="AI80" s="21">
        <v>-1.4053299999999999E-2</v>
      </c>
      <c r="AJ80" s="21">
        <v>70</v>
      </c>
      <c r="AK80" s="21">
        <v>0.25195299999999998</v>
      </c>
      <c r="AL80">
        <f t="shared" si="18"/>
        <v>17.349753086419753</v>
      </c>
      <c r="AM80">
        <f t="shared" si="19"/>
        <v>4.3813851961728396</v>
      </c>
      <c r="AP80" s="9"/>
      <c r="AQ80" s="21">
        <v>1.43753</v>
      </c>
      <c r="AR80" s="21">
        <v>24.654699999999998</v>
      </c>
      <c r="AS80" s="21">
        <v>-1.3290400000000001E-2</v>
      </c>
      <c r="AT80" s="21">
        <v>70</v>
      </c>
      <c r="AU80" s="21">
        <v>1.4370700000000001</v>
      </c>
      <c r="AV80">
        <f t="shared" si="20"/>
        <v>16.407901234567902</v>
      </c>
      <c r="AW80">
        <f t="shared" si="21"/>
        <v>23.586850261728397</v>
      </c>
      <c r="AX80" s="9"/>
      <c r="AY80" s="21">
        <v>0.25253300000000001</v>
      </c>
      <c r="AZ80" s="21">
        <v>28.453800000000001</v>
      </c>
      <c r="BA80" s="21">
        <v>-1.4025900000000001E-2</v>
      </c>
      <c r="BB80" s="21">
        <v>70</v>
      </c>
      <c r="BC80" s="21">
        <v>0.25198399999999999</v>
      </c>
      <c r="BD80">
        <f t="shared" si="22"/>
        <v>17.315925925925924</v>
      </c>
      <c r="BE80">
        <f t="shared" si="23"/>
        <v>4.3728427218518515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1.4325000000000001</v>
      </c>
      <c r="H81" s="21">
        <v>6.0873699999999999</v>
      </c>
      <c r="I81" s="21">
        <v>-1.3302599999999999E-2</v>
      </c>
      <c r="J81" s="21">
        <v>71</v>
      </c>
      <c r="K81" s="21">
        <v>1.43188</v>
      </c>
      <c r="L81">
        <f t="shared" si="12"/>
        <v>16.422962962962963</v>
      </c>
      <c r="M81">
        <f t="shared" si="13"/>
        <v>23.525894444444447</v>
      </c>
      <c r="N81" s="9"/>
      <c r="O81" s="21">
        <v>0.25756800000000002</v>
      </c>
      <c r="P81" s="21">
        <v>9.8864099999999997</v>
      </c>
      <c r="Q81" s="21">
        <v>-1.40991E-2</v>
      </c>
      <c r="R81" s="21">
        <v>71</v>
      </c>
      <c r="S81" s="21">
        <v>0.25698900000000002</v>
      </c>
      <c r="T81">
        <f t="shared" si="14"/>
        <v>17.406296296296293</v>
      </c>
      <c r="U81">
        <f t="shared" si="15"/>
        <v>4.4833049244444441</v>
      </c>
      <c r="X81" s="9"/>
      <c r="Y81" s="21">
        <v>0.25756800000000002</v>
      </c>
      <c r="Z81" s="21">
        <v>9.8864099999999997</v>
      </c>
      <c r="AA81" s="21">
        <v>-1.40991E-2</v>
      </c>
      <c r="AB81" s="21">
        <v>71</v>
      </c>
      <c r="AC81" s="21">
        <v>0.25698900000000002</v>
      </c>
      <c r="AD81">
        <f t="shared" si="16"/>
        <v>17.406296296296293</v>
      </c>
      <c r="AE81">
        <f t="shared" si="17"/>
        <v>4.4833049244444441</v>
      </c>
      <c r="AF81" s="9"/>
      <c r="AG81" s="21">
        <v>0.25756800000000002</v>
      </c>
      <c r="AH81" s="21">
        <v>19.185600000000001</v>
      </c>
      <c r="AI81" s="21">
        <v>-1.4047199999999999E-2</v>
      </c>
      <c r="AJ81" s="21">
        <v>71</v>
      </c>
      <c r="AK81" s="21">
        <v>0.25686599999999998</v>
      </c>
      <c r="AL81">
        <f t="shared" si="18"/>
        <v>17.342222222222222</v>
      </c>
      <c r="AM81">
        <f t="shared" si="19"/>
        <v>4.4668014933333335</v>
      </c>
      <c r="AP81" s="9"/>
      <c r="AQ81" s="21">
        <v>1.4325000000000001</v>
      </c>
      <c r="AR81" s="21">
        <v>24.6648</v>
      </c>
      <c r="AS81" s="21">
        <v>-1.3317900000000001E-2</v>
      </c>
      <c r="AT81" s="21">
        <v>71</v>
      </c>
      <c r="AU81" s="21">
        <v>1.4315800000000001</v>
      </c>
      <c r="AV81">
        <f t="shared" si="20"/>
        <v>16.441851851851851</v>
      </c>
      <c r="AW81">
        <f t="shared" si="21"/>
        <v>23.552952777777779</v>
      </c>
      <c r="AX81" s="9"/>
      <c r="AY81" s="21">
        <v>0.25756800000000002</v>
      </c>
      <c r="AZ81" s="21">
        <v>28.463899999999999</v>
      </c>
      <c r="BA81" s="21">
        <v>-1.4031999999999999E-2</v>
      </c>
      <c r="BB81" s="21">
        <v>71</v>
      </c>
      <c r="BC81" s="21">
        <v>0.257019</v>
      </c>
      <c r="BD81">
        <f t="shared" si="22"/>
        <v>17.323456790123455</v>
      </c>
      <c r="BE81">
        <f t="shared" si="23"/>
        <v>4.4619681185185183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1.42746</v>
      </c>
      <c r="H82" s="21">
        <v>6.0974399999999997</v>
      </c>
      <c r="I82" s="21">
        <v>-1.33209E-2</v>
      </c>
      <c r="J82" s="21">
        <v>72</v>
      </c>
      <c r="K82" s="21">
        <v>1.427</v>
      </c>
      <c r="L82">
        <f t="shared" si="12"/>
        <v>16.445555555555554</v>
      </c>
      <c r="M82">
        <f t="shared" si="13"/>
        <v>23.47537273333333</v>
      </c>
      <c r="N82" s="9"/>
      <c r="O82" s="21">
        <v>0.262604</v>
      </c>
      <c r="P82" s="21">
        <v>9.8964800000000004</v>
      </c>
      <c r="Q82" s="21">
        <v>-1.40991E-2</v>
      </c>
      <c r="R82" s="21">
        <v>72</v>
      </c>
      <c r="S82" s="21">
        <v>0.261963</v>
      </c>
      <c r="T82">
        <f t="shared" si="14"/>
        <v>17.406296296296293</v>
      </c>
      <c r="U82">
        <f t="shared" si="15"/>
        <v>4.5709630325925916</v>
      </c>
      <c r="X82" s="9"/>
      <c r="Y82" s="21">
        <v>0.262604</v>
      </c>
      <c r="Z82" s="21">
        <v>9.8964800000000004</v>
      </c>
      <c r="AA82" s="21">
        <v>-1.40991E-2</v>
      </c>
      <c r="AB82" s="21">
        <v>72</v>
      </c>
      <c r="AC82" s="21">
        <v>0.261963</v>
      </c>
      <c r="AD82">
        <f t="shared" si="16"/>
        <v>17.406296296296293</v>
      </c>
      <c r="AE82">
        <f t="shared" si="17"/>
        <v>4.5709630325925916</v>
      </c>
      <c r="AF82" s="9"/>
      <c r="AG82" s="21">
        <v>0.262604</v>
      </c>
      <c r="AH82" s="21">
        <v>19.195699999999999</v>
      </c>
      <c r="AI82" s="21">
        <v>-1.4035000000000001E-2</v>
      </c>
      <c r="AJ82" s="21">
        <v>72</v>
      </c>
      <c r="AK82" s="21">
        <v>0.26199299999999998</v>
      </c>
      <c r="AL82">
        <f t="shared" si="18"/>
        <v>17.327160493827162</v>
      </c>
      <c r="AM82">
        <f t="shared" si="19"/>
        <v>4.5501816543209879</v>
      </c>
      <c r="AP82" s="9"/>
      <c r="AQ82" s="21">
        <v>1.42746</v>
      </c>
      <c r="AR82" s="21">
        <v>24.674900000000001</v>
      </c>
      <c r="AS82" s="21">
        <v>-1.3330099999999999E-2</v>
      </c>
      <c r="AT82" s="21">
        <v>72</v>
      </c>
      <c r="AU82" s="21">
        <v>1.42639</v>
      </c>
      <c r="AV82">
        <f t="shared" si="20"/>
        <v>16.456913580246912</v>
      </c>
      <c r="AW82">
        <f t="shared" si="21"/>
        <v>23.491585859259256</v>
      </c>
      <c r="AX82" s="9"/>
      <c r="AY82" s="21">
        <v>0.262604</v>
      </c>
      <c r="AZ82" s="21">
        <v>28.4739</v>
      </c>
      <c r="BA82" s="21">
        <v>-1.4041100000000001E-2</v>
      </c>
      <c r="BB82" s="21">
        <v>72</v>
      </c>
      <c r="BC82" s="21">
        <v>0.26205400000000001</v>
      </c>
      <c r="BD82">
        <f t="shared" si="22"/>
        <v>17.334691358024692</v>
      </c>
      <c r="BE82">
        <f t="shared" si="23"/>
        <v>4.5521592893827165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1.42242</v>
      </c>
      <c r="H83" s="21">
        <v>6.1075100000000004</v>
      </c>
      <c r="I83" s="21">
        <v>-1.33423E-2</v>
      </c>
      <c r="J83" s="21">
        <v>73</v>
      </c>
      <c r="K83" s="21">
        <v>1.4215100000000001</v>
      </c>
      <c r="L83">
        <f t="shared" si="12"/>
        <v>16.471975308641973</v>
      </c>
      <c r="M83">
        <f t="shared" si="13"/>
        <v>23.430067118518515</v>
      </c>
      <c r="N83" s="9"/>
      <c r="O83" s="21">
        <v>0.26763900000000002</v>
      </c>
      <c r="P83" s="21">
        <v>9.9065600000000007</v>
      </c>
      <c r="Q83" s="21">
        <v>-1.40961E-2</v>
      </c>
      <c r="R83" s="21">
        <v>73</v>
      </c>
      <c r="S83" s="21">
        <v>0.26715100000000003</v>
      </c>
      <c r="T83">
        <f t="shared" si="14"/>
        <v>17.40259259259259</v>
      </c>
      <c r="U83">
        <f t="shared" si="15"/>
        <v>4.6576124788888889</v>
      </c>
      <c r="X83" s="9"/>
      <c r="Y83" s="21">
        <v>0.26763900000000002</v>
      </c>
      <c r="Z83" s="21">
        <v>9.9065600000000007</v>
      </c>
      <c r="AA83" s="21">
        <v>-1.40961E-2</v>
      </c>
      <c r="AB83" s="21">
        <v>73</v>
      </c>
      <c r="AC83" s="21">
        <v>0.26715100000000003</v>
      </c>
      <c r="AD83">
        <f t="shared" si="16"/>
        <v>17.40259259259259</v>
      </c>
      <c r="AE83">
        <f t="shared" si="17"/>
        <v>4.6576124788888889</v>
      </c>
      <c r="AF83" s="9"/>
      <c r="AG83" s="21">
        <v>0.26763900000000002</v>
      </c>
      <c r="AH83" s="21">
        <v>19.2058</v>
      </c>
      <c r="AI83" s="21">
        <v>-1.4035000000000001E-2</v>
      </c>
      <c r="AJ83" s="21">
        <v>73</v>
      </c>
      <c r="AK83" s="21">
        <v>0.26708999999999999</v>
      </c>
      <c r="AL83">
        <f t="shared" si="18"/>
        <v>17.327160493827162</v>
      </c>
      <c r="AM83">
        <f t="shared" si="19"/>
        <v>4.637423907407408</v>
      </c>
      <c r="AP83" s="9"/>
      <c r="AQ83" s="21">
        <v>1.42242</v>
      </c>
      <c r="AR83" s="21">
        <v>24.684999999999999</v>
      </c>
      <c r="AS83" s="21">
        <v>-1.3339200000000001E-2</v>
      </c>
      <c r="AT83" s="21">
        <v>73</v>
      </c>
      <c r="AU83" s="21">
        <v>1.4215100000000001</v>
      </c>
      <c r="AV83">
        <f t="shared" si="20"/>
        <v>16.468148148148149</v>
      </c>
      <c r="AW83">
        <f t="shared" si="21"/>
        <v>23.424623288888892</v>
      </c>
      <c r="AX83" s="9"/>
      <c r="AY83" s="21">
        <v>0.26763900000000002</v>
      </c>
      <c r="AZ83" s="21">
        <v>28.484000000000002</v>
      </c>
      <c r="BA83" s="21">
        <v>-1.4053299999999999E-2</v>
      </c>
      <c r="BB83" s="21">
        <v>73</v>
      </c>
      <c r="BC83" s="21">
        <v>0.26693699999999998</v>
      </c>
      <c r="BD83">
        <f t="shared" si="22"/>
        <v>17.349753086419753</v>
      </c>
      <c r="BE83">
        <f t="shared" si="23"/>
        <v>4.6434705662962967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1.4173899999999999</v>
      </c>
      <c r="H84" s="21">
        <v>6.1175800000000002</v>
      </c>
      <c r="I84" s="21">
        <v>-1.3351399999999999E-2</v>
      </c>
      <c r="J84" s="21">
        <v>74</v>
      </c>
      <c r="K84" s="21">
        <v>1.4166300000000001</v>
      </c>
      <c r="L84">
        <f t="shared" si="12"/>
        <v>16.483209876543206</v>
      </c>
      <c r="M84">
        <f t="shared" si="13"/>
        <v>23.363136846913573</v>
      </c>
      <c r="N84" s="9"/>
      <c r="O84" s="21">
        <v>0.272675</v>
      </c>
      <c r="P84" s="21">
        <v>9.9166299999999996</v>
      </c>
      <c r="Q84" s="21">
        <v>-1.409E-2</v>
      </c>
      <c r="R84" s="21">
        <v>74</v>
      </c>
      <c r="S84" s="21">
        <v>0.27215600000000001</v>
      </c>
      <c r="T84">
        <f t="shared" si="14"/>
        <v>17.39506172839506</v>
      </c>
      <c r="U84">
        <f t="shared" si="15"/>
        <v>4.7431984567901226</v>
      </c>
      <c r="X84" s="9"/>
      <c r="Y84" s="21">
        <v>0.272675</v>
      </c>
      <c r="Z84" s="21">
        <v>9.9166299999999996</v>
      </c>
      <c r="AA84" s="21">
        <v>-1.409E-2</v>
      </c>
      <c r="AB84" s="21">
        <v>74</v>
      </c>
      <c r="AC84" s="21">
        <v>0.27215600000000001</v>
      </c>
      <c r="AD84">
        <f t="shared" si="16"/>
        <v>17.39506172839506</v>
      </c>
      <c r="AE84">
        <f t="shared" si="17"/>
        <v>4.7431984567901226</v>
      </c>
      <c r="AF84" s="9"/>
      <c r="AG84" s="21">
        <v>0.272675</v>
      </c>
      <c r="AH84" s="21">
        <v>19.215800000000002</v>
      </c>
      <c r="AI84" s="21">
        <v>-1.4031999999999999E-2</v>
      </c>
      <c r="AJ84" s="21">
        <v>74</v>
      </c>
      <c r="AK84" s="21">
        <v>0.27209499999999998</v>
      </c>
      <c r="AL84">
        <f t="shared" si="18"/>
        <v>17.323456790123455</v>
      </c>
      <c r="AM84">
        <f t="shared" si="19"/>
        <v>4.7236735802469134</v>
      </c>
      <c r="AP84" s="9"/>
      <c r="AQ84" s="21">
        <v>1.4173899999999999</v>
      </c>
      <c r="AR84" s="21">
        <v>24.695</v>
      </c>
      <c r="AS84" s="21">
        <v>-1.33606E-2</v>
      </c>
      <c r="AT84" s="21">
        <v>74</v>
      </c>
      <c r="AU84" s="21">
        <v>1.41693</v>
      </c>
      <c r="AV84">
        <f t="shared" si="20"/>
        <v>16.494567901234568</v>
      </c>
      <c r="AW84">
        <f t="shared" si="21"/>
        <v>23.379235597530862</v>
      </c>
      <c r="AX84" s="9"/>
      <c r="AY84" s="21">
        <v>0.272675</v>
      </c>
      <c r="AZ84" s="21">
        <v>28.4941</v>
      </c>
      <c r="BA84" s="21">
        <v>-1.40503E-2</v>
      </c>
      <c r="BB84" s="21">
        <v>74</v>
      </c>
      <c r="BC84" s="21">
        <v>0.27209499999999998</v>
      </c>
      <c r="BD84">
        <f t="shared" si="22"/>
        <v>17.34604938271605</v>
      </c>
      <c r="BE84">
        <f t="shared" si="23"/>
        <v>4.7298340154320986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1.41235</v>
      </c>
      <c r="H85" s="21">
        <v>6.12765</v>
      </c>
      <c r="I85" s="21">
        <v>-1.33606E-2</v>
      </c>
      <c r="J85" s="21">
        <v>75</v>
      </c>
      <c r="K85" s="21">
        <v>1.41174</v>
      </c>
      <c r="L85">
        <f t="shared" si="12"/>
        <v>16.494567901234568</v>
      </c>
      <c r="M85">
        <f t="shared" si="13"/>
        <v>23.296102975308642</v>
      </c>
      <c r="N85" s="9"/>
      <c r="O85" s="21">
        <v>0.27771000000000001</v>
      </c>
      <c r="P85" s="21">
        <v>9.9267000000000003</v>
      </c>
      <c r="Q85" s="21">
        <v>-1.4086899999999999E-2</v>
      </c>
      <c r="R85" s="21">
        <v>75</v>
      </c>
      <c r="S85" s="21">
        <v>0.27719100000000002</v>
      </c>
      <c r="T85">
        <f t="shared" si="14"/>
        <v>17.391234567901233</v>
      </c>
      <c r="U85">
        <f t="shared" si="15"/>
        <v>4.8297197518518518</v>
      </c>
      <c r="X85" s="9"/>
      <c r="Y85" s="21">
        <v>0.27771000000000001</v>
      </c>
      <c r="Z85" s="21">
        <v>9.9267000000000003</v>
      </c>
      <c r="AA85" s="21">
        <v>-1.4086899999999999E-2</v>
      </c>
      <c r="AB85" s="21">
        <v>75</v>
      </c>
      <c r="AC85" s="21">
        <v>0.27719100000000002</v>
      </c>
      <c r="AD85">
        <f t="shared" si="16"/>
        <v>17.391234567901233</v>
      </c>
      <c r="AE85">
        <f t="shared" si="17"/>
        <v>4.8297197518518518</v>
      </c>
      <c r="AF85" s="9"/>
      <c r="AG85" s="21">
        <v>0.27771000000000001</v>
      </c>
      <c r="AH85" s="21">
        <v>19.225899999999999</v>
      </c>
      <c r="AI85" s="21">
        <v>-1.4041100000000001E-2</v>
      </c>
      <c r="AJ85" s="21">
        <v>75</v>
      </c>
      <c r="AK85" s="21">
        <v>0.27710000000000001</v>
      </c>
      <c r="AL85">
        <f t="shared" si="18"/>
        <v>17.334691358024692</v>
      </c>
      <c r="AM85">
        <f t="shared" si="19"/>
        <v>4.8140171370370375</v>
      </c>
      <c r="AP85" s="9"/>
      <c r="AQ85" s="21">
        <v>1.41235</v>
      </c>
      <c r="AR85" s="21">
        <v>24.705100000000002</v>
      </c>
      <c r="AS85" s="21">
        <v>-1.33759E-2</v>
      </c>
      <c r="AT85" s="21">
        <v>75</v>
      </c>
      <c r="AU85" s="21">
        <v>1.41205</v>
      </c>
      <c r="AV85">
        <f t="shared" si="20"/>
        <v>16.513456790123456</v>
      </c>
      <c r="AW85">
        <f t="shared" si="21"/>
        <v>23.322780697530863</v>
      </c>
      <c r="AX85" s="9"/>
      <c r="AY85" s="21">
        <v>0.27771000000000001</v>
      </c>
      <c r="AZ85" s="21">
        <v>28.504100000000001</v>
      </c>
      <c r="BA85" s="21">
        <v>-1.40442E-2</v>
      </c>
      <c r="BB85" s="21">
        <v>75</v>
      </c>
      <c r="BC85" s="21">
        <v>0.27719100000000002</v>
      </c>
      <c r="BD85">
        <f t="shared" si="22"/>
        <v>17.338518518518516</v>
      </c>
      <c r="BE85">
        <f t="shared" si="23"/>
        <v>4.8150799777777769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1.4073199999999999</v>
      </c>
      <c r="H86" s="21">
        <v>6.1377199999999998</v>
      </c>
      <c r="I86" s="21">
        <v>-1.33667E-2</v>
      </c>
      <c r="J86" s="21">
        <v>76</v>
      </c>
      <c r="K86" s="21">
        <v>1.40656</v>
      </c>
      <c r="L86">
        <f t="shared" si="12"/>
        <v>16.502098765432098</v>
      </c>
      <c r="M86">
        <f t="shared" si="13"/>
        <v>23.2237336345679</v>
      </c>
      <c r="N86" s="9"/>
      <c r="O86" s="21">
        <v>0.28274500000000002</v>
      </c>
      <c r="P86" s="21">
        <v>9.9367699999999992</v>
      </c>
      <c r="Q86" s="21">
        <v>-1.4086899999999999E-2</v>
      </c>
      <c r="R86" s="21">
        <v>76</v>
      </c>
      <c r="S86" s="21">
        <v>0.28213500000000002</v>
      </c>
      <c r="T86">
        <f t="shared" si="14"/>
        <v>17.391234567901233</v>
      </c>
      <c r="U86">
        <f t="shared" si="15"/>
        <v>4.9172846179012346</v>
      </c>
      <c r="X86" s="9"/>
      <c r="Y86" s="21">
        <v>0.28274500000000002</v>
      </c>
      <c r="Z86" s="21">
        <v>9.9367699999999992</v>
      </c>
      <c r="AA86" s="21">
        <v>-1.4086899999999999E-2</v>
      </c>
      <c r="AB86" s="21">
        <v>76</v>
      </c>
      <c r="AC86" s="21">
        <v>0.28213500000000002</v>
      </c>
      <c r="AD86">
        <f t="shared" si="16"/>
        <v>17.391234567901233</v>
      </c>
      <c r="AE86">
        <f t="shared" si="17"/>
        <v>4.9172846179012346</v>
      </c>
      <c r="AF86" s="9"/>
      <c r="AG86" s="21">
        <v>0.28274500000000002</v>
      </c>
      <c r="AH86" s="21">
        <v>19.236000000000001</v>
      </c>
      <c r="AI86" s="21">
        <v>-1.4047199999999999E-2</v>
      </c>
      <c r="AJ86" s="21">
        <v>76</v>
      </c>
      <c r="AK86" s="21">
        <v>0.28216599999999997</v>
      </c>
      <c r="AL86">
        <f t="shared" si="18"/>
        <v>17.342222222222222</v>
      </c>
      <c r="AM86">
        <f t="shared" si="19"/>
        <v>4.9034266222222227</v>
      </c>
      <c r="AP86" s="9"/>
      <c r="AQ86" s="21">
        <v>1.4073199999999999</v>
      </c>
      <c r="AR86" s="21">
        <v>24.715199999999999</v>
      </c>
      <c r="AS86" s="21">
        <v>-1.33911E-2</v>
      </c>
      <c r="AT86" s="21">
        <v>76</v>
      </c>
      <c r="AU86" s="21">
        <v>1.40625</v>
      </c>
      <c r="AV86">
        <f t="shared" si="20"/>
        <v>16.53222222222222</v>
      </c>
      <c r="AW86">
        <f t="shared" si="21"/>
        <v>23.266126977777773</v>
      </c>
      <c r="AX86" s="9"/>
      <c r="AY86" s="21">
        <v>0.28274500000000002</v>
      </c>
      <c r="AZ86" s="21">
        <v>28.514199999999999</v>
      </c>
      <c r="BA86" s="21">
        <v>-1.4041100000000001E-2</v>
      </c>
      <c r="BB86" s="21">
        <v>76</v>
      </c>
      <c r="BC86" s="21">
        <v>0.28213500000000002</v>
      </c>
      <c r="BD86">
        <f t="shared" si="22"/>
        <v>17.334691358024692</v>
      </c>
      <c r="BE86">
        <f t="shared" si="23"/>
        <v>4.9012973080246915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1.40228</v>
      </c>
      <c r="H87" s="21">
        <v>6.1477899999999996</v>
      </c>
      <c r="I87" s="21">
        <v>-1.3378900000000001E-2</v>
      </c>
      <c r="J87" s="21">
        <v>77</v>
      </c>
      <c r="K87" s="21">
        <v>1.40137</v>
      </c>
      <c r="L87">
        <f t="shared" si="12"/>
        <v>16.517160493827159</v>
      </c>
      <c r="M87">
        <f t="shared" si="13"/>
        <v>23.161683817283947</v>
      </c>
      <c r="N87" s="9"/>
      <c r="O87" s="21">
        <v>0.28778100000000001</v>
      </c>
      <c r="P87" s="21">
        <v>9.9468399999999999</v>
      </c>
      <c r="Q87" s="21">
        <v>-1.40961E-2</v>
      </c>
      <c r="R87" s="21">
        <v>77</v>
      </c>
      <c r="S87" s="21">
        <v>0.28726200000000002</v>
      </c>
      <c r="T87">
        <f t="shared" si="14"/>
        <v>17.40259259259259</v>
      </c>
      <c r="U87">
        <f t="shared" si="15"/>
        <v>5.0081354988888886</v>
      </c>
      <c r="X87" s="9"/>
      <c r="Y87" s="21">
        <v>0.28778100000000001</v>
      </c>
      <c r="Z87" s="21">
        <v>9.9468399999999999</v>
      </c>
      <c r="AA87" s="21">
        <v>-1.40961E-2</v>
      </c>
      <c r="AB87" s="21">
        <v>77</v>
      </c>
      <c r="AC87" s="21">
        <v>0.28726200000000002</v>
      </c>
      <c r="AD87">
        <f t="shared" si="16"/>
        <v>17.40259259259259</v>
      </c>
      <c r="AE87">
        <f t="shared" si="17"/>
        <v>5.0081354988888886</v>
      </c>
      <c r="AF87" s="9"/>
      <c r="AG87" s="21">
        <v>0.28778100000000001</v>
      </c>
      <c r="AH87" s="21">
        <v>19.246099999999998</v>
      </c>
      <c r="AI87" s="21">
        <v>-1.4041100000000001E-2</v>
      </c>
      <c r="AJ87" s="21">
        <v>77</v>
      </c>
      <c r="AK87" s="21">
        <v>0.28729199999999999</v>
      </c>
      <c r="AL87">
        <f t="shared" si="18"/>
        <v>17.334691358024692</v>
      </c>
      <c r="AM87">
        <f t="shared" si="19"/>
        <v>4.9885948137037044</v>
      </c>
      <c r="AP87" s="9"/>
      <c r="AQ87" s="21">
        <v>1.40228</v>
      </c>
      <c r="AR87" s="21">
        <v>24.725200000000001</v>
      </c>
      <c r="AS87" s="21">
        <v>-1.34003E-2</v>
      </c>
      <c r="AT87" s="21">
        <v>77</v>
      </c>
      <c r="AU87" s="21">
        <v>1.40198</v>
      </c>
      <c r="AV87">
        <f t="shared" si="20"/>
        <v>16.543580246913578</v>
      </c>
      <c r="AW87">
        <f t="shared" si="21"/>
        <v>23.198731708641972</v>
      </c>
      <c r="AX87" s="9"/>
      <c r="AY87" s="21">
        <v>0.28778100000000001</v>
      </c>
      <c r="AZ87" s="21">
        <v>28.5243</v>
      </c>
      <c r="BA87" s="21">
        <v>-1.4035000000000001E-2</v>
      </c>
      <c r="BB87" s="21">
        <v>77</v>
      </c>
      <c r="BC87" s="21">
        <v>0.28720099999999998</v>
      </c>
      <c r="BD87">
        <f t="shared" si="22"/>
        <v>17.327160493827162</v>
      </c>
      <c r="BE87">
        <f t="shared" si="23"/>
        <v>4.9864275740740744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1.3972500000000001</v>
      </c>
      <c r="H88" s="21">
        <v>6.1578600000000003</v>
      </c>
      <c r="I88" s="21">
        <v>-1.33972E-2</v>
      </c>
      <c r="J88" s="21">
        <v>78</v>
      </c>
      <c r="K88" s="21">
        <v>1.3958699999999999</v>
      </c>
      <c r="L88">
        <f t="shared" si="12"/>
        <v>16.539753086419751</v>
      </c>
      <c r="M88">
        <f t="shared" si="13"/>
        <v>23.110169999999997</v>
      </c>
      <c r="N88" s="9"/>
      <c r="O88" s="21">
        <v>0.29281600000000002</v>
      </c>
      <c r="P88" s="21">
        <v>9.9569100000000006</v>
      </c>
      <c r="Q88" s="21">
        <v>-1.40991E-2</v>
      </c>
      <c r="R88" s="21">
        <v>78</v>
      </c>
      <c r="S88" s="21">
        <v>0.29229699999999997</v>
      </c>
      <c r="T88">
        <f t="shared" si="14"/>
        <v>17.406296296296293</v>
      </c>
      <c r="U88">
        <f t="shared" si="15"/>
        <v>5.0968420562962962</v>
      </c>
      <c r="X88" s="9"/>
      <c r="Y88" s="21">
        <v>0.29281600000000002</v>
      </c>
      <c r="Z88" s="21">
        <v>9.9569100000000006</v>
      </c>
      <c r="AA88" s="21">
        <v>-1.40991E-2</v>
      </c>
      <c r="AB88" s="21">
        <v>78</v>
      </c>
      <c r="AC88" s="21">
        <v>0.29229699999999997</v>
      </c>
      <c r="AD88">
        <f t="shared" si="16"/>
        <v>17.406296296296293</v>
      </c>
      <c r="AE88">
        <f t="shared" si="17"/>
        <v>5.0968420562962962</v>
      </c>
      <c r="AF88" s="9"/>
      <c r="AG88" s="21">
        <v>0.29281600000000002</v>
      </c>
      <c r="AH88" s="21">
        <v>19.2561</v>
      </c>
      <c r="AI88" s="21">
        <v>-1.40381E-2</v>
      </c>
      <c r="AJ88" s="21">
        <v>78</v>
      </c>
      <c r="AK88" s="21">
        <v>0.29220600000000002</v>
      </c>
      <c r="AL88">
        <f t="shared" si="18"/>
        <v>17.330987654320985</v>
      </c>
      <c r="AM88">
        <f t="shared" si="19"/>
        <v>5.0747904809876543</v>
      </c>
      <c r="AP88" s="9"/>
      <c r="AQ88" s="21">
        <v>1.3972500000000001</v>
      </c>
      <c r="AR88" s="21">
        <v>24.735299999999999</v>
      </c>
      <c r="AS88" s="21">
        <v>-1.3412500000000001E-2</v>
      </c>
      <c r="AT88" s="21">
        <v>78</v>
      </c>
      <c r="AU88" s="21">
        <v>1.39679</v>
      </c>
      <c r="AV88">
        <f t="shared" si="20"/>
        <v>16.558641975308642</v>
      </c>
      <c r="AW88">
        <f t="shared" si="21"/>
        <v>23.136562500000004</v>
      </c>
      <c r="AX88" s="9"/>
      <c r="AY88" s="21">
        <v>0.29281600000000002</v>
      </c>
      <c r="AZ88" s="21">
        <v>28.534400000000002</v>
      </c>
      <c r="BA88" s="21">
        <v>-1.4025900000000001E-2</v>
      </c>
      <c r="BB88" s="21">
        <v>78</v>
      </c>
      <c r="BC88" s="21">
        <v>0.292236</v>
      </c>
      <c r="BD88">
        <f t="shared" si="22"/>
        <v>17.315925925925924</v>
      </c>
      <c r="BE88">
        <f t="shared" si="23"/>
        <v>5.0703801659259256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1.3922099999999999</v>
      </c>
      <c r="H89" s="21">
        <v>6.1679399999999998</v>
      </c>
      <c r="I89" s="21">
        <v>-1.34094E-2</v>
      </c>
      <c r="J89" s="21">
        <v>79</v>
      </c>
      <c r="K89" s="21">
        <v>1.39191</v>
      </c>
      <c r="L89">
        <f t="shared" si="12"/>
        <v>16.554814814814815</v>
      </c>
      <c r="M89">
        <f t="shared" si="13"/>
        <v>23.047778733333335</v>
      </c>
      <c r="N89" s="9"/>
      <c r="O89" s="21">
        <v>0.29785200000000001</v>
      </c>
      <c r="P89" s="21">
        <v>9.9669799999999995</v>
      </c>
      <c r="Q89" s="21">
        <v>-1.41022E-2</v>
      </c>
      <c r="R89" s="21">
        <v>79</v>
      </c>
      <c r="S89" s="21">
        <v>0.29727199999999998</v>
      </c>
      <c r="T89">
        <f t="shared" si="14"/>
        <v>17.410123456790124</v>
      </c>
      <c r="U89">
        <f t="shared" si="15"/>
        <v>5.1856400918518526</v>
      </c>
      <c r="X89" s="9"/>
      <c r="Y89" s="21">
        <v>0.29785200000000001</v>
      </c>
      <c r="Z89" s="21">
        <v>9.9669799999999995</v>
      </c>
      <c r="AA89" s="21">
        <v>-1.41022E-2</v>
      </c>
      <c r="AB89" s="21">
        <v>79</v>
      </c>
      <c r="AC89" s="21">
        <v>0.29727199999999998</v>
      </c>
      <c r="AD89">
        <f t="shared" si="16"/>
        <v>17.410123456790124</v>
      </c>
      <c r="AE89">
        <f t="shared" si="17"/>
        <v>5.1856400918518526</v>
      </c>
      <c r="AF89" s="9"/>
      <c r="AG89" s="21">
        <v>0.29785200000000001</v>
      </c>
      <c r="AH89" s="21">
        <v>19.266200000000001</v>
      </c>
      <c r="AI89" s="21">
        <v>-1.40442E-2</v>
      </c>
      <c r="AJ89" s="21">
        <v>79</v>
      </c>
      <c r="AK89" s="21">
        <v>0.29727199999999998</v>
      </c>
      <c r="AL89">
        <f t="shared" si="18"/>
        <v>17.338518518518516</v>
      </c>
      <c r="AM89">
        <f t="shared" si="19"/>
        <v>5.1643124177777775</v>
      </c>
      <c r="AP89" s="9"/>
      <c r="AQ89" s="21">
        <v>1.3922099999999999</v>
      </c>
      <c r="AR89" s="21">
        <v>24.7454</v>
      </c>
      <c r="AS89" s="21">
        <v>-1.3424699999999999E-2</v>
      </c>
      <c r="AT89" s="21">
        <v>79</v>
      </c>
      <c r="AU89" s="21">
        <v>1.3913</v>
      </c>
      <c r="AV89">
        <f t="shared" si="20"/>
        <v>16.5737037037037</v>
      </c>
      <c r="AW89">
        <f t="shared" si="21"/>
        <v>23.074076033333327</v>
      </c>
      <c r="AX89" s="9"/>
      <c r="AY89" s="21">
        <v>0.29785200000000001</v>
      </c>
      <c r="AZ89" s="21">
        <v>28.5444</v>
      </c>
      <c r="BA89" s="21">
        <v>-1.40228E-2</v>
      </c>
      <c r="BB89" s="21">
        <v>79</v>
      </c>
      <c r="BC89" s="21">
        <v>0.29715000000000003</v>
      </c>
      <c r="BD89">
        <f t="shared" si="22"/>
        <v>17.312098765432097</v>
      </c>
      <c r="BE89">
        <f t="shared" si="23"/>
        <v>5.1564432414814814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1.3871800000000001</v>
      </c>
      <c r="H90" s="21">
        <v>6.1780099999999996</v>
      </c>
      <c r="I90" s="21">
        <v>-1.3424699999999999E-2</v>
      </c>
      <c r="J90" s="21">
        <v>80</v>
      </c>
      <c r="K90" s="21">
        <v>1.3864099999999999</v>
      </c>
      <c r="L90">
        <f t="shared" si="12"/>
        <v>16.5737037037037</v>
      </c>
      <c r="M90">
        <f t="shared" si="13"/>
        <v>22.9907103037037</v>
      </c>
      <c r="N90" s="9"/>
      <c r="O90" s="21">
        <v>0.30288700000000002</v>
      </c>
      <c r="P90" s="21">
        <v>9.9770500000000002</v>
      </c>
      <c r="Q90" s="21">
        <v>-1.4108300000000001E-2</v>
      </c>
      <c r="R90" s="21">
        <v>80</v>
      </c>
      <c r="S90" s="21">
        <v>0.30227700000000002</v>
      </c>
      <c r="T90">
        <f t="shared" si="14"/>
        <v>17.417654320987655</v>
      </c>
      <c r="U90">
        <f t="shared" si="15"/>
        <v>5.2755810643209884</v>
      </c>
      <c r="X90" s="9"/>
      <c r="Y90" s="21">
        <v>0.30288700000000002</v>
      </c>
      <c r="Z90" s="21">
        <v>9.9770500000000002</v>
      </c>
      <c r="AA90" s="21">
        <v>-1.4108300000000001E-2</v>
      </c>
      <c r="AB90" s="21">
        <v>80</v>
      </c>
      <c r="AC90" s="21">
        <v>0.30227700000000002</v>
      </c>
      <c r="AD90">
        <f t="shared" si="16"/>
        <v>17.417654320987655</v>
      </c>
      <c r="AE90">
        <f t="shared" si="17"/>
        <v>5.2755810643209884</v>
      </c>
      <c r="AF90" s="9"/>
      <c r="AG90" s="21">
        <v>0.30288700000000002</v>
      </c>
      <c r="AH90" s="21">
        <v>19.276299999999999</v>
      </c>
      <c r="AI90" s="21">
        <v>-1.40503E-2</v>
      </c>
      <c r="AJ90" s="21">
        <v>80</v>
      </c>
      <c r="AK90" s="21">
        <v>0.302338</v>
      </c>
      <c r="AL90">
        <f t="shared" si="18"/>
        <v>17.34604938271605</v>
      </c>
      <c r="AM90">
        <f t="shared" si="19"/>
        <v>5.2538928593827166</v>
      </c>
      <c r="AP90" s="9"/>
      <c r="AQ90" s="21">
        <v>1.3871800000000001</v>
      </c>
      <c r="AR90" s="21">
        <v>24.755500000000001</v>
      </c>
      <c r="AS90" s="21">
        <v>-1.34369E-2</v>
      </c>
      <c r="AT90" s="21">
        <v>80</v>
      </c>
      <c r="AU90" s="21">
        <v>1.38611</v>
      </c>
      <c r="AV90">
        <f t="shared" si="20"/>
        <v>16.588765432098764</v>
      </c>
      <c r="AW90">
        <f t="shared" si="21"/>
        <v>23.011603632098765</v>
      </c>
      <c r="AX90" s="9"/>
      <c r="AY90" s="21">
        <v>0.30288700000000002</v>
      </c>
      <c r="AZ90" s="21">
        <v>28.554500000000001</v>
      </c>
      <c r="BA90" s="21">
        <v>-1.40228E-2</v>
      </c>
      <c r="BB90" s="21">
        <v>80</v>
      </c>
      <c r="BC90" s="21">
        <v>0.302338</v>
      </c>
      <c r="BD90">
        <f t="shared" si="22"/>
        <v>17.312098765432097</v>
      </c>
      <c r="BE90">
        <f t="shared" si="23"/>
        <v>5.2436096587654317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1.3821399999999999</v>
      </c>
      <c r="H91" s="21">
        <v>6.1880800000000002</v>
      </c>
      <c r="I91" s="21">
        <v>-1.3439899999999999E-2</v>
      </c>
      <c r="J91" s="21">
        <v>81</v>
      </c>
      <c r="K91" s="21">
        <v>1.38123</v>
      </c>
      <c r="L91">
        <f t="shared" si="12"/>
        <v>16.592469135802467</v>
      </c>
      <c r="M91">
        <f t="shared" si="13"/>
        <v>22.933115291358021</v>
      </c>
      <c r="N91" s="9"/>
      <c r="O91" s="21">
        <v>0.30792199999999997</v>
      </c>
      <c r="P91" s="21">
        <v>9.9871200000000009</v>
      </c>
      <c r="Q91" s="21">
        <v>-1.41113E-2</v>
      </c>
      <c r="R91" s="21">
        <v>81</v>
      </c>
      <c r="S91" s="21">
        <v>0.30746499999999999</v>
      </c>
      <c r="T91">
        <f t="shared" si="14"/>
        <v>17.421358024691358</v>
      </c>
      <c r="U91">
        <f t="shared" si="15"/>
        <v>5.364419405679012</v>
      </c>
      <c r="X91" s="9"/>
      <c r="Y91" s="21">
        <v>0.30792199999999997</v>
      </c>
      <c r="Z91" s="21">
        <v>9.9871200000000009</v>
      </c>
      <c r="AA91" s="21">
        <v>-1.41113E-2</v>
      </c>
      <c r="AB91" s="21">
        <v>81</v>
      </c>
      <c r="AC91" s="21">
        <v>0.30746499999999999</v>
      </c>
      <c r="AD91">
        <f t="shared" si="16"/>
        <v>17.421358024691358</v>
      </c>
      <c r="AE91">
        <f t="shared" si="17"/>
        <v>5.364419405679012</v>
      </c>
      <c r="AF91" s="9"/>
      <c r="AG91" s="21">
        <v>0.30792199999999997</v>
      </c>
      <c r="AH91" s="21">
        <v>19.286300000000001</v>
      </c>
      <c r="AI91" s="21">
        <v>-1.40564E-2</v>
      </c>
      <c r="AJ91" s="21">
        <v>81</v>
      </c>
      <c r="AK91" s="21">
        <v>0.30734299999999998</v>
      </c>
      <c r="AL91">
        <f t="shared" si="18"/>
        <v>17.35358024691358</v>
      </c>
      <c r="AM91">
        <f t="shared" si="19"/>
        <v>5.3435491367901227</v>
      </c>
      <c r="AP91" s="9"/>
      <c r="AQ91" s="21">
        <v>1.3821399999999999</v>
      </c>
      <c r="AR91" s="21">
        <v>24.765499999999999</v>
      </c>
      <c r="AS91" s="21">
        <v>-1.34491E-2</v>
      </c>
      <c r="AT91" s="21">
        <v>81</v>
      </c>
      <c r="AU91" s="21">
        <v>1.3809199999999999</v>
      </c>
      <c r="AV91">
        <f t="shared" si="20"/>
        <v>16.603827160493829</v>
      </c>
      <c r="AW91">
        <f t="shared" si="21"/>
        <v>22.948813671604938</v>
      </c>
      <c r="AX91" s="9"/>
      <c r="AY91" s="21">
        <v>0.30792199999999997</v>
      </c>
      <c r="AZ91" s="21">
        <v>28.564599999999999</v>
      </c>
      <c r="BA91" s="21">
        <v>-1.4031999999999999E-2</v>
      </c>
      <c r="BB91" s="21">
        <v>81</v>
      </c>
      <c r="BC91" s="21">
        <v>0.30734299999999998</v>
      </c>
      <c r="BD91">
        <f t="shared" si="22"/>
        <v>17.323456790123455</v>
      </c>
      <c r="BE91">
        <f t="shared" si="23"/>
        <v>5.3342734617283938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1.3771100000000001</v>
      </c>
      <c r="H92" s="21">
        <v>6.19815</v>
      </c>
      <c r="I92" s="21">
        <v>-1.34521E-2</v>
      </c>
      <c r="J92" s="21">
        <v>82</v>
      </c>
      <c r="K92" s="21">
        <v>1.3766499999999999</v>
      </c>
      <c r="L92">
        <f t="shared" si="12"/>
        <v>16.607530864197528</v>
      </c>
      <c r="M92">
        <f t="shared" si="13"/>
        <v>22.870396828395059</v>
      </c>
      <c r="N92" s="9"/>
      <c r="O92" s="21">
        <v>0.31295800000000001</v>
      </c>
      <c r="P92" s="21">
        <v>9.9971899999999998</v>
      </c>
      <c r="Q92" s="21">
        <v>-1.4114399999999999E-2</v>
      </c>
      <c r="R92" s="21">
        <v>82</v>
      </c>
      <c r="S92" s="21">
        <v>0.31240800000000002</v>
      </c>
      <c r="T92">
        <f t="shared" si="14"/>
        <v>17.425185185185182</v>
      </c>
      <c r="U92">
        <f t="shared" si="15"/>
        <v>5.4533511051851846</v>
      </c>
      <c r="X92" s="9"/>
      <c r="Y92" s="21">
        <v>0.31295800000000001</v>
      </c>
      <c r="Z92" s="21">
        <v>9.9971899999999998</v>
      </c>
      <c r="AA92" s="21">
        <v>-1.4114399999999999E-2</v>
      </c>
      <c r="AB92" s="21">
        <v>82</v>
      </c>
      <c r="AC92" s="21">
        <v>0.31240800000000002</v>
      </c>
      <c r="AD92">
        <f t="shared" si="16"/>
        <v>17.425185185185182</v>
      </c>
      <c r="AE92">
        <f t="shared" si="17"/>
        <v>5.4533511051851846</v>
      </c>
      <c r="AF92" s="9"/>
      <c r="AG92" s="21">
        <v>0.31295800000000001</v>
      </c>
      <c r="AH92" s="21">
        <v>19.296399999999998</v>
      </c>
      <c r="AI92" s="21">
        <v>-1.40625E-2</v>
      </c>
      <c r="AJ92" s="21">
        <v>82</v>
      </c>
      <c r="AK92" s="21">
        <v>0.31237799999999999</v>
      </c>
      <c r="AL92">
        <f t="shared" si="18"/>
        <v>17.361111111111111</v>
      </c>
      <c r="AM92">
        <f t="shared" si="19"/>
        <v>5.4332986111111108</v>
      </c>
      <c r="AP92" s="9"/>
      <c r="AQ92" s="21">
        <v>1.3771100000000001</v>
      </c>
      <c r="AR92" s="21">
        <v>24.775600000000001</v>
      </c>
      <c r="AS92" s="21">
        <v>-1.34644E-2</v>
      </c>
      <c r="AT92" s="21">
        <v>82</v>
      </c>
      <c r="AU92" s="21">
        <v>1.3763399999999999</v>
      </c>
      <c r="AV92">
        <f t="shared" si="20"/>
        <v>16.622716049382717</v>
      </c>
      <c r="AW92">
        <f t="shared" si="21"/>
        <v>22.891308498765433</v>
      </c>
      <c r="AX92" s="9"/>
      <c r="AY92" s="21">
        <v>0.31295800000000001</v>
      </c>
      <c r="AZ92" s="21">
        <v>28.5746</v>
      </c>
      <c r="BA92" s="21">
        <v>-1.4041100000000001E-2</v>
      </c>
      <c r="BB92" s="21">
        <v>82</v>
      </c>
      <c r="BC92" s="21">
        <v>0.312469</v>
      </c>
      <c r="BD92">
        <f t="shared" si="22"/>
        <v>17.334691358024692</v>
      </c>
      <c r="BE92">
        <f t="shared" si="23"/>
        <v>5.4250303380246914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1.3720699999999999</v>
      </c>
      <c r="H93" s="21">
        <v>6.2082199999999998</v>
      </c>
      <c r="I93" s="21">
        <v>-1.3461300000000001E-2</v>
      </c>
      <c r="J93" s="21">
        <v>83</v>
      </c>
      <c r="K93" s="21">
        <v>1.3714599999999999</v>
      </c>
      <c r="L93">
        <f t="shared" si="12"/>
        <v>16.618888888888886</v>
      </c>
      <c r="M93">
        <f t="shared" si="13"/>
        <v>22.802278877777773</v>
      </c>
      <c r="N93" s="9"/>
      <c r="O93" s="21">
        <v>0.31799300000000003</v>
      </c>
      <c r="P93" s="21">
        <v>10.007300000000001</v>
      </c>
      <c r="Q93" s="21">
        <v>-1.41052E-2</v>
      </c>
      <c r="R93" s="21">
        <v>83</v>
      </c>
      <c r="S93" s="21">
        <v>0.31726100000000002</v>
      </c>
      <c r="T93">
        <f t="shared" si="14"/>
        <v>17.413827160493828</v>
      </c>
      <c r="U93">
        <f t="shared" si="15"/>
        <v>5.5374751402469142</v>
      </c>
      <c r="X93" s="9"/>
      <c r="Y93" s="21">
        <v>0.31799300000000003</v>
      </c>
      <c r="Z93" s="21">
        <v>10.007300000000001</v>
      </c>
      <c r="AA93" s="21">
        <v>-1.41052E-2</v>
      </c>
      <c r="AB93" s="21">
        <v>83</v>
      </c>
      <c r="AC93" s="21">
        <v>0.31726100000000002</v>
      </c>
      <c r="AD93">
        <f t="shared" si="16"/>
        <v>17.413827160493828</v>
      </c>
      <c r="AE93">
        <f t="shared" si="17"/>
        <v>5.5374751402469142</v>
      </c>
      <c r="AF93" s="9"/>
      <c r="AG93" s="21">
        <v>0.31799300000000003</v>
      </c>
      <c r="AH93" s="21">
        <v>19.3065</v>
      </c>
      <c r="AI93" s="21">
        <v>-1.4065599999999999E-2</v>
      </c>
      <c r="AJ93" s="21">
        <v>83</v>
      </c>
      <c r="AK93" s="21">
        <v>0.31735200000000002</v>
      </c>
      <c r="AL93">
        <f t="shared" si="18"/>
        <v>17.364938271604938</v>
      </c>
      <c r="AM93">
        <f t="shared" si="19"/>
        <v>5.5219288158024691</v>
      </c>
      <c r="AP93" s="9"/>
      <c r="AQ93" s="21">
        <v>1.3720699999999999</v>
      </c>
      <c r="AR93" s="21">
        <v>24.785699999999999</v>
      </c>
      <c r="AS93" s="21">
        <v>-1.34857E-2</v>
      </c>
      <c r="AT93" s="21">
        <v>83</v>
      </c>
      <c r="AU93" s="21">
        <v>1.3714599999999999</v>
      </c>
      <c r="AV93">
        <f t="shared" si="20"/>
        <v>16.649012345679012</v>
      </c>
      <c r="AW93">
        <f t="shared" si="21"/>
        <v>22.843610369135799</v>
      </c>
      <c r="AX93" s="9"/>
      <c r="AY93" s="21">
        <v>0.31799300000000003</v>
      </c>
      <c r="AZ93" s="21">
        <v>28.584700000000002</v>
      </c>
      <c r="BA93" s="21">
        <v>-1.4031999999999999E-2</v>
      </c>
      <c r="BB93" s="21">
        <v>83</v>
      </c>
      <c r="BC93" s="21">
        <v>0.317413</v>
      </c>
      <c r="BD93">
        <f t="shared" si="22"/>
        <v>17.323456790123455</v>
      </c>
      <c r="BE93">
        <f t="shared" si="23"/>
        <v>5.5087379950617281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1.36703</v>
      </c>
      <c r="H94" s="21">
        <v>6.2182899999999997</v>
      </c>
      <c r="I94" s="21">
        <v>-1.34705E-2</v>
      </c>
      <c r="J94" s="21">
        <v>84</v>
      </c>
      <c r="K94" s="21">
        <v>1.3662700000000001</v>
      </c>
      <c r="L94">
        <f t="shared" si="12"/>
        <v>16.630246913580244</v>
      </c>
      <c r="M94">
        <f t="shared" si="13"/>
        <v>22.734046438271601</v>
      </c>
      <c r="N94" s="9"/>
      <c r="O94" s="21">
        <v>0.32302900000000001</v>
      </c>
      <c r="P94" s="21">
        <v>10.017300000000001</v>
      </c>
      <c r="Q94" s="21">
        <v>-1.41052E-2</v>
      </c>
      <c r="R94" s="21">
        <v>84</v>
      </c>
      <c r="S94" s="21">
        <v>0.32232699999999997</v>
      </c>
      <c r="T94">
        <f t="shared" si="14"/>
        <v>17.413827160493828</v>
      </c>
      <c r="U94">
        <f t="shared" si="15"/>
        <v>5.6251711738271606</v>
      </c>
      <c r="X94" s="9"/>
      <c r="Y94" s="21">
        <v>0.32302900000000001</v>
      </c>
      <c r="Z94" s="21">
        <v>10.017300000000001</v>
      </c>
      <c r="AA94" s="21">
        <v>-1.41052E-2</v>
      </c>
      <c r="AB94" s="21">
        <v>84</v>
      </c>
      <c r="AC94" s="21">
        <v>0.32232699999999997</v>
      </c>
      <c r="AD94">
        <f t="shared" si="16"/>
        <v>17.413827160493828</v>
      </c>
      <c r="AE94">
        <f t="shared" si="17"/>
        <v>5.6251711738271606</v>
      </c>
      <c r="AF94" s="9"/>
      <c r="AG94" s="21">
        <v>0.32302900000000001</v>
      </c>
      <c r="AH94" s="21">
        <v>19.316600000000001</v>
      </c>
      <c r="AI94" s="21">
        <v>-1.4065599999999999E-2</v>
      </c>
      <c r="AJ94" s="21">
        <v>84</v>
      </c>
      <c r="AK94" s="21">
        <v>0.32238800000000001</v>
      </c>
      <c r="AL94">
        <f t="shared" si="18"/>
        <v>17.364938271604938</v>
      </c>
      <c r="AM94">
        <f t="shared" si="19"/>
        <v>5.6093786449382721</v>
      </c>
      <c r="AP94" s="9"/>
      <c r="AQ94" s="21">
        <v>1.36703</v>
      </c>
      <c r="AR94" s="21">
        <v>24.7957</v>
      </c>
      <c r="AS94" s="21">
        <v>-1.3494900000000001E-2</v>
      </c>
      <c r="AT94" s="21">
        <v>84</v>
      </c>
      <c r="AU94" s="21">
        <v>1.3659699999999999</v>
      </c>
      <c r="AV94">
        <f t="shared" si="20"/>
        <v>16.660370370370369</v>
      </c>
      <c r="AW94">
        <f t="shared" si="21"/>
        <v>22.775226107407406</v>
      </c>
      <c r="AX94" s="9"/>
      <c r="AY94" s="21">
        <v>0.32302900000000001</v>
      </c>
      <c r="AZ94" s="21">
        <v>28.594799999999999</v>
      </c>
      <c r="BA94" s="21">
        <v>-1.4019800000000001E-2</v>
      </c>
      <c r="BB94" s="21">
        <v>84</v>
      </c>
      <c r="BC94" s="21">
        <v>0.32241799999999998</v>
      </c>
      <c r="BD94">
        <f t="shared" si="22"/>
        <v>17.308395061728394</v>
      </c>
      <c r="BE94">
        <f t="shared" si="23"/>
        <v>5.5911135483950618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1.3620000000000001</v>
      </c>
      <c r="H95" s="21">
        <v>6.2283600000000003</v>
      </c>
      <c r="I95" s="21">
        <v>-1.34918E-2</v>
      </c>
      <c r="J95" s="21">
        <v>85</v>
      </c>
      <c r="K95" s="21">
        <v>1.3610800000000001</v>
      </c>
      <c r="L95">
        <f t="shared" si="12"/>
        <v>16.656543209876542</v>
      </c>
      <c r="M95">
        <f t="shared" si="13"/>
        <v>22.686211851851851</v>
      </c>
      <c r="N95" s="9"/>
      <c r="O95" s="21">
        <v>0.32806400000000002</v>
      </c>
      <c r="P95" s="21">
        <v>10.0274</v>
      </c>
      <c r="Q95" s="21">
        <v>-1.4108300000000001E-2</v>
      </c>
      <c r="R95" s="21">
        <v>85</v>
      </c>
      <c r="S95" s="21">
        <v>0.32757599999999998</v>
      </c>
      <c r="T95">
        <f t="shared" si="14"/>
        <v>17.417654320987655</v>
      </c>
      <c r="U95">
        <f t="shared" si="15"/>
        <v>5.7141053471604941</v>
      </c>
      <c r="X95" s="9"/>
      <c r="Y95" s="21">
        <v>0.32806400000000002</v>
      </c>
      <c r="Z95" s="21">
        <v>10.0274</v>
      </c>
      <c r="AA95" s="21">
        <v>-1.4108300000000001E-2</v>
      </c>
      <c r="AB95" s="21">
        <v>85</v>
      </c>
      <c r="AC95" s="21">
        <v>0.32757599999999998</v>
      </c>
      <c r="AD95">
        <f t="shared" si="16"/>
        <v>17.417654320987655</v>
      </c>
      <c r="AE95">
        <f t="shared" si="17"/>
        <v>5.7141053471604941</v>
      </c>
      <c r="AF95" s="9"/>
      <c r="AG95" s="21">
        <v>0.32806400000000002</v>
      </c>
      <c r="AH95" s="21">
        <v>19.326599999999999</v>
      </c>
      <c r="AI95" s="21">
        <v>-1.40594E-2</v>
      </c>
      <c r="AJ95" s="21">
        <v>85</v>
      </c>
      <c r="AK95" s="21">
        <v>0.32763700000000001</v>
      </c>
      <c r="AL95">
        <f t="shared" si="18"/>
        <v>17.357283950617283</v>
      </c>
      <c r="AM95">
        <f t="shared" si="19"/>
        <v>5.6943000019753089</v>
      </c>
      <c r="AP95" s="9"/>
      <c r="AQ95" s="21">
        <v>1.3620000000000001</v>
      </c>
      <c r="AR95" s="21">
        <v>24.805800000000001</v>
      </c>
      <c r="AS95" s="21">
        <v>-1.3510100000000001E-2</v>
      </c>
      <c r="AT95" s="21">
        <v>85</v>
      </c>
      <c r="AU95" s="21">
        <v>1.3610800000000001</v>
      </c>
      <c r="AV95">
        <f t="shared" si="20"/>
        <v>16.679135802469133</v>
      </c>
      <c r="AW95">
        <f t="shared" si="21"/>
        <v>22.716982962962962</v>
      </c>
      <c r="AX95" s="9"/>
      <c r="AY95" s="21">
        <v>0.32806400000000002</v>
      </c>
      <c r="AZ95" s="21">
        <v>28.604900000000001</v>
      </c>
      <c r="BA95" s="21">
        <v>-1.40137E-2</v>
      </c>
      <c r="BB95" s="21">
        <v>85</v>
      </c>
      <c r="BC95" s="21">
        <v>0.32742300000000002</v>
      </c>
      <c r="BD95">
        <f t="shared" si="22"/>
        <v>17.300864197530863</v>
      </c>
      <c r="BE95">
        <f t="shared" si="23"/>
        <v>5.6757907120987658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1.3569599999999999</v>
      </c>
      <c r="H96" s="21">
        <v>6.2384300000000001</v>
      </c>
      <c r="I96" s="21">
        <v>-1.35132E-2</v>
      </c>
      <c r="J96" s="21">
        <v>86</v>
      </c>
      <c r="K96" s="21">
        <v>1.3568100000000001</v>
      </c>
      <c r="L96">
        <f t="shared" si="12"/>
        <v>16.682962962962961</v>
      </c>
      <c r="M96">
        <f t="shared" si="13"/>
        <v>22.638113422222219</v>
      </c>
      <c r="N96" s="9"/>
      <c r="O96" s="21">
        <v>0.33309899999999998</v>
      </c>
      <c r="P96" s="21">
        <v>10.0375</v>
      </c>
      <c r="Q96" s="21">
        <v>-1.40961E-2</v>
      </c>
      <c r="R96" s="21">
        <v>86</v>
      </c>
      <c r="S96" s="21">
        <v>0.33251999999999998</v>
      </c>
      <c r="T96">
        <f t="shared" si="14"/>
        <v>17.40259259259259</v>
      </c>
      <c r="U96">
        <f t="shared" si="15"/>
        <v>5.7967861899999988</v>
      </c>
      <c r="X96" s="9"/>
      <c r="Y96" s="21">
        <v>0.33309899999999998</v>
      </c>
      <c r="Z96" s="21">
        <v>10.0375</v>
      </c>
      <c r="AA96" s="21">
        <v>-1.40961E-2</v>
      </c>
      <c r="AB96" s="21">
        <v>86</v>
      </c>
      <c r="AC96" s="21">
        <v>0.33251999999999998</v>
      </c>
      <c r="AD96">
        <f t="shared" si="16"/>
        <v>17.40259259259259</v>
      </c>
      <c r="AE96">
        <f t="shared" si="17"/>
        <v>5.7967861899999988</v>
      </c>
      <c r="AF96" s="9"/>
      <c r="AG96" s="21">
        <v>0.33309899999999998</v>
      </c>
      <c r="AH96" s="21">
        <v>19.3367</v>
      </c>
      <c r="AI96" s="21">
        <v>-1.40442E-2</v>
      </c>
      <c r="AJ96" s="21">
        <v>86</v>
      </c>
      <c r="AK96" s="21">
        <v>0.33248899999999998</v>
      </c>
      <c r="AL96">
        <f t="shared" si="18"/>
        <v>17.338518518518516</v>
      </c>
      <c r="AM96">
        <f t="shared" si="19"/>
        <v>5.775443179999999</v>
      </c>
      <c r="AP96" s="9"/>
      <c r="AQ96" s="21">
        <v>1.3569599999999999</v>
      </c>
      <c r="AR96" s="21">
        <v>24.815899999999999</v>
      </c>
      <c r="AS96" s="21">
        <v>-1.35315E-2</v>
      </c>
      <c r="AT96" s="21">
        <v>86</v>
      </c>
      <c r="AU96" s="21">
        <v>1.3559000000000001</v>
      </c>
      <c r="AV96">
        <f t="shared" si="20"/>
        <v>16.705555555555552</v>
      </c>
      <c r="AW96">
        <f t="shared" si="21"/>
        <v>22.66877066666666</v>
      </c>
      <c r="AX96" s="9"/>
      <c r="AY96" s="21">
        <v>0.33309899999999998</v>
      </c>
      <c r="AZ96" s="21">
        <v>28.614899999999999</v>
      </c>
      <c r="BA96" s="21">
        <v>-1.40076E-2</v>
      </c>
      <c r="BB96" s="21">
        <v>86</v>
      </c>
      <c r="BC96" s="21">
        <v>0.33248899999999998</v>
      </c>
      <c r="BD96">
        <f t="shared" si="22"/>
        <v>17.293333333333333</v>
      </c>
      <c r="BE96">
        <f t="shared" si="23"/>
        <v>5.7603920399999993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1.3519300000000001</v>
      </c>
      <c r="H97" s="21">
        <v>6.2484999999999999</v>
      </c>
      <c r="I97" s="21">
        <v>-1.35193E-2</v>
      </c>
      <c r="J97" s="21">
        <v>87</v>
      </c>
      <c r="K97" s="21">
        <v>1.3507100000000001</v>
      </c>
      <c r="L97">
        <f t="shared" si="12"/>
        <v>16.690493827160495</v>
      </c>
      <c r="M97">
        <f t="shared" si="13"/>
        <v>22.56437931975309</v>
      </c>
      <c r="N97" s="9"/>
      <c r="O97" s="21">
        <v>0.33813500000000002</v>
      </c>
      <c r="P97" s="21">
        <v>10.047499999999999</v>
      </c>
      <c r="Q97" s="21">
        <v>-1.41022E-2</v>
      </c>
      <c r="R97" s="21">
        <v>87</v>
      </c>
      <c r="S97" s="21">
        <v>0.33749400000000002</v>
      </c>
      <c r="T97">
        <f t="shared" si="14"/>
        <v>17.410123456790124</v>
      </c>
      <c r="U97">
        <f t="shared" si="15"/>
        <v>5.8869720950617292</v>
      </c>
      <c r="X97" s="9"/>
      <c r="Y97" s="21">
        <v>0.33813500000000002</v>
      </c>
      <c r="Z97" s="21">
        <v>10.047499999999999</v>
      </c>
      <c r="AA97" s="21">
        <v>-1.41022E-2</v>
      </c>
      <c r="AB97" s="21">
        <v>87</v>
      </c>
      <c r="AC97" s="21">
        <v>0.33749400000000002</v>
      </c>
      <c r="AD97">
        <f t="shared" si="16"/>
        <v>17.410123456790124</v>
      </c>
      <c r="AE97">
        <f t="shared" si="17"/>
        <v>5.8869720950617292</v>
      </c>
      <c r="AF97" s="9"/>
      <c r="AG97" s="21">
        <v>0.33813500000000002</v>
      </c>
      <c r="AH97" s="21">
        <v>19.346800000000002</v>
      </c>
      <c r="AI97" s="21">
        <v>-1.40442E-2</v>
      </c>
      <c r="AJ97" s="21">
        <v>87</v>
      </c>
      <c r="AK97" s="21">
        <v>0.33740199999999998</v>
      </c>
      <c r="AL97">
        <f t="shared" si="18"/>
        <v>17.338518518518516</v>
      </c>
      <c r="AM97">
        <f t="shared" si="19"/>
        <v>5.8627599592592583</v>
      </c>
      <c r="AP97" s="9"/>
      <c r="AQ97" s="21">
        <v>1.3519300000000001</v>
      </c>
      <c r="AR97" s="21">
        <v>24.825900000000001</v>
      </c>
      <c r="AS97" s="21">
        <v>-1.3543700000000001E-2</v>
      </c>
      <c r="AT97" s="21">
        <v>87</v>
      </c>
      <c r="AU97" s="21">
        <v>1.35162</v>
      </c>
      <c r="AV97">
        <f t="shared" si="20"/>
        <v>16.720617283950617</v>
      </c>
      <c r="AW97">
        <f t="shared" si="21"/>
        <v>22.605104124691358</v>
      </c>
      <c r="AX97" s="9"/>
      <c r="AY97" s="21">
        <v>0.33813500000000002</v>
      </c>
      <c r="AZ97" s="21">
        <v>28.625</v>
      </c>
      <c r="BA97" s="21">
        <v>-1.40137E-2</v>
      </c>
      <c r="BB97" s="21">
        <v>87</v>
      </c>
      <c r="BC97" s="21">
        <v>0.33761600000000003</v>
      </c>
      <c r="BD97">
        <f t="shared" si="22"/>
        <v>17.300864197530863</v>
      </c>
      <c r="BE97">
        <f t="shared" si="23"/>
        <v>5.8500277154320992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1.3468899999999999</v>
      </c>
      <c r="H98" s="21">
        <v>6.2585699999999997</v>
      </c>
      <c r="I98" s="21">
        <v>-1.3528399999999999E-2</v>
      </c>
      <c r="J98" s="21">
        <v>88</v>
      </c>
      <c r="K98" s="21">
        <v>1.3464400000000001</v>
      </c>
      <c r="L98">
        <f t="shared" si="12"/>
        <v>16.701728395061725</v>
      </c>
      <c r="M98">
        <f t="shared" si="13"/>
        <v>22.495390958024686</v>
      </c>
      <c r="N98" s="9"/>
      <c r="O98" s="21">
        <v>0.34316999999999998</v>
      </c>
      <c r="P98" s="21">
        <v>10.057600000000001</v>
      </c>
      <c r="Q98" s="21">
        <v>-1.41022E-2</v>
      </c>
      <c r="R98" s="21">
        <v>88</v>
      </c>
      <c r="S98" s="21">
        <v>0.34255999999999998</v>
      </c>
      <c r="T98">
        <f t="shared" si="14"/>
        <v>17.410123456790124</v>
      </c>
      <c r="U98">
        <f t="shared" si="15"/>
        <v>5.9746320666666666</v>
      </c>
      <c r="X98" s="9"/>
      <c r="Y98" s="21">
        <v>0.34316999999999998</v>
      </c>
      <c r="Z98" s="21">
        <v>10.057600000000001</v>
      </c>
      <c r="AA98" s="21">
        <v>-1.41022E-2</v>
      </c>
      <c r="AB98" s="21">
        <v>88</v>
      </c>
      <c r="AC98" s="21">
        <v>0.34255999999999998</v>
      </c>
      <c r="AD98">
        <f t="shared" si="16"/>
        <v>17.410123456790124</v>
      </c>
      <c r="AE98">
        <f t="shared" si="17"/>
        <v>5.9746320666666666</v>
      </c>
      <c r="AF98" s="9"/>
      <c r="AG98" s="21">
        <v>0.34316999999999998</v>
      </c>
      <c r="AH98" s="21">
        <v>19.3568</v>
      </c>
      <c r="AI98" s="21">
        <v>-1.4041100000000001E-2</v>
      </c>
      <c r="AJ98" s="21">
        <v>88</v>
      </c>
      <c r="AK98" s="21">
        <v>0.34252899999999997</v>
      </c>
      <c r="AL98">
        <f t="shared" si="18"/>
        <v>17.334691358024692</v>
      </c>
      <c r="AM98">
        <f t="shared" si="19"/>
        <v>5.9487460333333333</v>
      </c>
      <c r="AP98" s="9"/>
      <c r="AQ98" s="21">
        <v>1.3468899999999999</v>
      </c>
      <c r="AR98" s="21">
        <v>24.835999999999999</v>
      </c>
      <c r="AS98" s="21">
        <v>-1.3555899999999999E-2</v>
      </c>
      <c r="AT98" s="21">
        <v>88</v>
      </c>
      <c r="AU98" s="21">
        <v>1.3458300000000001</v>
      </c>
      <c r="AV98">
        <f t="shared" si="20"/>
        <v>16.735679012345678</v>
      </c>
      <c r="AW98">
        <f t="shared" si="21"/>
        <v>22.541118704938267</v>
      </c>
      <c r="AX98" s="9"/>
      <c r="AY98" s="21">
        <v>0.34316999999999998</v>
      </c>
      <c r="AZ98" s="21">
        <v>28.635100000000001</v>
      </c>
      <c r="BA98" s="21">
        <v>-1.40045E-2</v>
      </c>
      <c r="BB98" s="21">
        <v>88</v>
      </c>
      <c r="BC98" s="21">
        <v>0.34259000000000001</v>
      </c>
      <c r="BD98">
        <f t="shared" si="22"/>
        <v>17.289506172839506</v>
      </c>
      <c r="BE98">
        <f t="shared" si="23"/>
        <v>5.9332398333333325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1.3418600000000001</v>
      </c>
      <c r="H99" s="21">
        <v>6.2686500000000001</v>
      </c>
      <c r="I99" s="21">
        <v>-1.35376E-2</v>
      </c>
      <c r="J99" s="21">
        <v>89</v>
      </c>
      <c r="K99" s="21">
        <v>1.34094</v>
      </c>
      <c r="L99">
        <f t="shared" si="12"/>
        <v>16.713086419753086</v>
      </c>
      <c r="M99">
        <f t="shared" si="13"/>
        <v>22.426622143209876</v>
      </c>
      <c r="N99" s="9"/>
      <c r="O99" s="21">
        <v>0.34820600000000002</v>
      </c>
      <c r="P99" s="21">
        <v>10.0677</v>
      </c>
      <c r="Q99" s="21">
        <v>-1.40991E-2</v>
      </c>
      <c r="R99" s="21">
        <v>89</v>
      </c>
      <c r="S99" s="21">
        <v>0.34765600000000002</v>
      </c>
      <c r="T99">
        <f t="shared" si="14"/>
        <v>17.406296296296293</v>
      </c>
      <c r="U99">
        <f t="shared" si="15"/>
        <v>6.0609768081481477</v>
      </c>
      <c r="X99" s="9"/>
      <c r="Y99" s="21">
        <v>0.34820600000000002</v>
      </c>
      <c r="Z99" s="21">
        <v>10.0677</v>
      </c>
      <c r="AA99" s="21">
        <v>-1.40991E-2</v>
      </c>
      <c r="AB99" s="21">
        <v>89</v>
      </c>
      <c r="AC99" s="21">
        <v>0.34765600000000002</v>
      </c>
      <c r="AD99">
        <f t="shared" si="16"/>
        <v>17.406296296296293</v>
      </c>
      <c r="AE99">
        <f t="shared" si="17"/>
        <v>6.0609768081481477</v>
      </c>
      <c r="AF99" s="9"/>
      <c r="AG99" s="21">
        <v>0.34820600000000002</v>
      </c>
      <c r="AH99" s="21">
        <v>19.366900000000001</v>
      </c>
      <c r="AI99" s="21">
        <v>-1.40442E-2</v>
      </c>
      <c r="AJ99" s="21">
        <v>89</v>
      </c>
      <c r="AK99" s="21">
        <v>0.34753400000000001</v>
      </c>
      <c r="AL99">
        <f t="shared" si="18"/>
        <v>17.338518518518516</v>
      </c>
      <c r="AM99">
        <f t="shared" si="19"/>
        <v>6.0373761792592582</v>
      </c>
      <c r="AP99" s="9"/>
      <c r="AQ99" s="21">
        <v>1.3418600000000001</v>
      </c>
      <c r="AR99" s="21">
        <v>24.8461</v>
      </c>
      <c r="AS99" s="21">
        <v>-1.35651E-2</v>
      </c>
      <c r="AT99" s="21">
        <v>89</v>
      </c>
      <c r="AU99" s="21">
        <v>1.3412500000000001</v>
      </c>
      <c r="AV99">
        <f t="shared" si="20"/>
        <v>16.747037037037035</v>
      </c>
      <c r="AW99">
        <f t="shared" si="21"/>
        <v>22.472179118518518</v>
      </c>
      <c r="AX99" s="9"/>
      <c r="AY99" s="21">
        <v>0.34820600000000002</v>
      </c>
      <c r="AZ99" s="21">
        <v>28.645099999999999</v>
      </c>
      <c r="BA99" s="21">
        <v>-1.3992299999999999E-2</v>
      </c>
      <c r="BB99" s="21">
        <v>89</v>
      </c>
      <c r="BC99" s="21">
        <v>0.34765600000000002</v>
      </c>
      <c r="BD99">
        <f t="shared" si="22"/>
        <v>17.274444444444445</v>
      </c>
      <c r="BE99">
        <f t="shared" si="23"/>
        <v>6.0150652022222229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1.3368199999999999</v>
      </c>
      <c r="H100" s="21">
        <v>6.2787199999999999</v>
      </c>
      <c r="I100" s="21">
        <v>-1.3559E-2</v>
      </c>
      <c r="J100" s="21">
        <v>90</v>
      </c>
      <c r="K100" s="21">
        <v>1.33636</v>
      </c>
      <c r="L100">
        <f t="shared" si="12"/>
        <v>16.739506172839505</v>
      </c>
      <c r="M100">
        <f t="shared" si="13"/>
        <v>22.377706641975305</v>
      </c>
      <c r="N100" s="9"/>
      <c r="O100" s="21">
        <v>0.35324100000000003</v>
      </c>
      <c r="P100" s="21">
        <v>10.0778</v>
      </c>
      <c r="Q100" s="21">
        <v>-1.40991E-2</v>
      </c>
      <c r="R100" s="21">
        <v>90</v>
      </c>
      <c r="S100" s="21">
        <v>0.35263100000000003</v>
      </c>
      <c r="T100">
        <f t="shared" si="14"/>
        <v>17.406296296296293</v>
      </c>
      <c r="U100">
        <f t="shared" si="15"/>
        <v>6.1486175099999993</v>
      </c>
      <c r="X100" s="9"/>
      <c r="Y100" s="21">
        <v>0.35324100000000003</v>
      </c>
      <c r="Z100" s="21">
        <v>10.0778</v>
      </c>
      <c r="AA100" s="21">
        <v>-1.40991E-2</v>
      </c>
      <c r="AB100" s="21">
        <v>90</v>
      </c>
      <c r="AC100" s="21">
        <v>0.35263100000000003</v>
      </c>
      <c r="AD100">
        <f t="shared" si="16"/>
        <v>17.406296296296293</v>
      </c>
      <c r="AE100">
        <f t="shared" si="17"/>
        <v>6.1486175099999993</v>
      </c>
      <c r="AF100" s="9"/>
      <c r="AG100" s="21">
        <v>0.35324100000000003</v>
      </c>
      <c r="AH100" s="21">
        <v>19.376999999999999</v>
      </c>
      <c r="AI100" s="21">
        <v>-1.40503E-2</v>
      </c>
      <c r="AJ100" s="21">
        <v>90</v>
      </c>
      <c r="AK100" s="21">
        <v>0.35269200000000001</v>
      </c>
      <c r="AL100">
        <f t="shared" si="18"/>
        <v>17.34604938271605</v>
      </c>
      <c r="AM100">
        <f t="shared" si="19"/>
        <v>6.1273358300000007</v>
      </c>
      <c r="AP100" s="9"/>
      <c r="AQ100" s="21">
        <v>1.3368199999999999</v>
      </c>
      <c r="AR100" s="21">
        <v>24.856200000000001</v>
      </c>
      <c r="AS100" s="21">
        <v>-1.3583400000000001E-2</v>
      </c>
      <c r="AT100" s="21">
        <v>90</v>
      </c>
      <c r="AU100" s="21">
        <v>1.33575</v>
      </c>
      <c r="AV100">
        <f t="shared" si="20"/>
        <v>16.76962962962963</v>
      </c>
      <c r="AW100">
        <f t="shared" si="21"/>
        <v>22.417976281481479</v>
      </c>
      <c r="AX100" s="9"/>
      <c r="AY100" s="21">
        <v>0.35324100000000003</v>
      </c>
      <c r="AZ100" s="21">
        <v>28.655200000000001</v>
      </c>
      <c r="BA100" s="21">
        <v>-1.39893E-2</v>
      </c>
      <c r="BB100" s="21">
        <v>90</v>
      </c>
      <c r="BC100" s="21">
        <v>0.35256999999999999</v>
      </c>
      <c r="BD100">
        <f t="shared" si="22"/>
        <v>17.270740740740738</v>
      </c>
      <c r="BE100">
        <f t="shared" si="23"/>
        <v>6.10073373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1.33179</v>
      </c>
      <c r="H101" s="21">
        <v>6.2887899999999997</v>
      </c>
      <c r="I101" s="21">
        <v>-1.35742E-2</v>
      </c>
      <c r="J101" s="21">
        <v>91</v>
      </c>
      <c r="K101" s="21">
        <v>1.33179</v>
      </c>
      <c r="L101">
        <f t="shared" si="12"/>
        <v>16.758271604938273</v>
      </c>
      <c r="M101">
        <f t="shared" si="13"/>
        <v>22.318498540740741</v>
      </c>
      <c r="N101" s="9"/>
      <c r="O101" s="21">
        <v>0.35827599999999998</v>
      </c>
      <c r="P101" s="21">
        <v>10.0878</v>
      </c>
      <c r="Q101" s="21">
        <v>-1.4093E-2</v>
      </c>
      <c r="R101" s="21">
        <v>91</v>
      </c>
      <c r="S101" s="21">
        <v>0.35766599999999998</v>
      </c>
      <c r="T101">
        <f t="shared" si="14"/>
        <v>17.398765432098763</v>
      </c>
      <c r="U101">
        <f t="shared" si="15"/>
        <v>6.233560083950616</v>
      </c>
      <c r="X101" s="9"/>
      <c r="Y101" s="21">
        <v>0.35827599999999998</v>
      </c>
      <c r="Z101" s="21">
        <v>10.0878</v>
      </c>
      <c r="AA101" s="21">
        <v>-1.4093E-2</v>
      </c>
      <c r="AB101" s="21">
        <v>91</v>
      </c>
      <c r="AC101" s="21">
        <v>0.35766599999999998</v>
      </c>
      <c r="AD101">
        <f t="shared" si="16"/>
        <v>17.398765432098763</v>
      </c>
      <c r="AE101">
        <f t="shared" si="17"/>
        <v>6.233560083950616</v>
      </c>
      <c r="AF101" s="9"/>
      <c r="AG101" s="21">
        <v>0.35827599999999998</v>
      </c>
      <c r="AH101" s="21">
        <v>19.3871</v>
      </c>
      <c r="AI101" s="21">
        <v>-1.4047199999999999E-2</v>
      </c>
      <c r="AJ101" s="21">
        <v>91</v>
      </c>
      <c r="AK101" s="21">
        <v>0.35766599999999998</v>
      </c>
      <c r="AL101">
        <f t="shared" si="18"/>
        <v>17.342222222222222</v>
      </c>
      <c r="AM101">
        <f t="shared" si="19"/>
        <v>6.2133020088888884</v>
      </c>
      <c r="AP101" s="9"/>
      <c r="AQ101" s="21">
        <v>1.33179</v>
      </c>
      <c r="AR101" s="21">
        <v>24.866199999999999</v>
      </c>
      <c r="AS101" s="21">
        <v>-1.35925E-2</v>
      </c>
      <c r="AT101" s="21">
        <v>91</v>
      </c>
      <c r="AU101" s="21">
        <v>1.33057</v>
      </c>
      <c r="AV101">
        <f t="shared" si="20"/>
        <v>16.780864197530864</v>
      </c>
      <c r="AW101">
        <f t="shared" si="21"/>
        <v>22.348587129629628</v>
      </c>
      <c r="AX101" s="9"/>
      <c r="AY101" s="21">
        <v>0.35827599999999998</v>
      </c>
      <c r="AZ101" s="21">
        <v>28.665299999999998</v>
      </c>
      <c r="BA101" s="21">
        <v>-1.3986200000000001E-2</v>
      </c>
      <c r="BB101" s="21">
        <v>91</v>
      </c>
      <c r="BC101" s="21">
        <v>0.35772700000000002</v>
      </c>
      <c r="BD101">
        <f t="shared" si="22"/>
        <v>17.266913580246914</v>
      </c>
      <c r="BE101">
        <f t="shared" si="23"/>
        <v>6.1863207298765435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1.3267500000000001</v>
      </c>
      <c r="H102" s="21">
        <v>6.2988600000000003</v>
      </c>
      <c r="I102" s="21">
        <v>-1.35864E-2</v>
      </c>
      <c r="J102" s="21">
        <v>92</v>
      </c>
      <c r="K102" s="21">
        <v>1.32629</v>
      </c>
      <c r="L102">
        <f t="shared" si="12"/>
        <v>16.77333333333333</v>
      </c>
      <c r="M102">
        <f t="shared" si="13"/>
        <v>22.254019999999997</v>
      </c>
      <c r="N102" s="9"/>
      <c r="O102" s="21">
        <v>0.36331200000000002</v>
      </c>
      <c r="P102" s="21">
        <v>10.097899999999999</v>
      </c>
      <c r="Q102" s="21">
        <v>-1.4093E-2</v>
      </c>
      <c r="R102" s="21">
        <v>92</v>
      </c>
      <c r="S102" s="21">
        <v>0.362701</v>
      </c>
      <c r="T102">
        <f t="shared" si="14"/>
        <v>17.398765432098763</v>
      </c>
      <c r="U102">
        <f t="shared" si="15"/>
        <v>6.3211802666666665</v>
      </c>
      <c r="X102" s="9"/>
      <c r="Y102" s="21">
        <v>0.36331200000000002</v>
      </c>
      <c r="Z102" s="21">
        <v>10.097899999999999</v>
      </c>
      <c r="AA102" s="21">
        <v>-1.4093E-2</v>
      </c>
      <c r="AB102" s="21">
        <v>92</v>
      </c>
      <c r="AC102" s="21">
        <v>0.362701</v>
      </c>
      <c r="AD102">
        <f t="shared" si="16"/>
        <v>17.398765432098763</v>
      </c>
      <c r="AE102">
        <f t="shared" si="17"/>
        <v>6.3211802666666665</v>
      </c>
      <c r="AF102" s="9"/>
      <c r="AG102" s="21">
        <v>0.36331200000000002</v>
      </c>
      <c r="AH102" s="21">
        <v>19.397099999999998</v>
      </c>
      <c r="AI102" s="21">
        <v>-1.40503E-2</v>
      </c>
      <c r="AJ102" s="21">
        <v>92</v>
      </c>
      <c r="AK102" s="21">
        <v>0.36276199999999997</v>
      </c>
      <c r="AL102">
        <f t="shared" si="18"/>
        <v>17.34604938271605</v>
      </c>
      <c r="AM102">
        <f t="shared" si="19"/>
        <v>6.3020278933333342</v>
      </c>
      <c r="AP102" s="9"/>
      <c r="AQ102" s="21">
        <v>1.3267500000000001</v>
      </c>
      <c r="AR102" s="21">
        <v>24.876300000000001</v>
      </c>
      <c r="AS102" s="21">
        <v>-1.3610799999999999E-2</v>
      </c>
      <c r="AT102" s="21">
        <v>92</v>
      </c>
      <c r="AU102" s="21">
        <v>1.3266</v>
      </c>
      <c r="AV102">
        <f t="shared" si="20"/>
        <v>16.803456790123455</v>
      </c>
      <c r="AW102">
        <f t="shared" si="21"/>
        <v>22.293986296296296</v>
      </c>
      <c r="AX102" s="9"/>
      <c r="AY102" s="21">
        <v>0.36331200000000002</v>
      </c>
      <c r="AZ102" s="21">
        <v>28.6754</v>
      </c>
      <c r="BA102" s="21">
        <v>-1.3983199999999999E-2</v>
      </c>
      <c r="BB102" s="21">
        <v>92</v>
      </c>
      <c r="BC102" s="21">
        <v>0.36279299999999998</v>
      </c>
      <c r="BD102">
        <f t="shared" si="22"/>
        <v>17.263209876543208</v>
      </c>
      <c r="BE102">
        <f t="shared" si="23"/>
        <v>6.2719313066666667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1.32172</v>
      </c>
      <c r="H103" s="21">
        <v>6.3089300000000001</v>
      </c>
      <c r="I103" s="21">
        <v>-1.35925E-2</v>
      </c>
      <c r="J103" s="21">
        <v>93</v>
      </c>
      <c r="K103" s="21">
        <v>1.32111</v>
      </c>
      <c r="L103">
        <f t="shared" si="12"/>
        <v>16.780864197530864</v>
      </c>
      <c r="M103">
        <f t="shared" si="13"/>
        <v>22.179603827160495</v>
      </c>
      <c r="N103" s="9"/>
      <c r="O103" s="21">
        <v>0.36834699999999998</v>
      </c>
      <c r="P103" s="21">
        <v>10.108000000000001</v>
      </c>
      <c r="Q103" s="21">
        <v>-1.40991E-2</v>
      </c>
      <c r="R103" s="21">
        <v>93</v>
      </c>
      <c r="S103" s="21">
        <v>0.36779800000000001</v>
      </c>
      <c r="T103">
        <f t="shared" si="14"/>
        <v>17.406296296296293</v>
      </c>
      <c r="U103">
        <f t="shared" si="15"/>
        <v>6.4115570218518503</v>
      </c>
      <c r="X103" s="9"/>
      <c r="Y103" s="21">
        <v>0.36834699999999998</v>
      </c>
      <c r="Z103" s="21">
        <v>10.108000000000001</v>
      </c>
      <c r="AA103" s="21">
        <v>-1.40991E-2</v>
      </c>
      <c r="AB103" s="21">
        <v>93</v>
      </c>
      <c r="AC103" s="21">
        <v>0.36779800000000001</v>
      </c>
      <c r="AD103">
        <f t="shared" si="16"/>
        <v>17.406296296296293</v>
      </c>
      <c r="AE103">
        <f t="shared" si="17"/>
        <v>6.4115570218518503</v>
      </c>
      <c r="AF103" s="9"/>
      <c r="AG103" s="21">
        <v>0.36834699999999998</v>
      </c>
      <c r="AH103" s="21">
        <v>19.4072</v>
      </c>
      <c r="AI103" s="21">
        <v>-1.4047199999999999E-2</v>
      </c>
      <c r="AJ103" s="21">
        <v>93</v>
      </c>
      <c r="AK103" s="21">
        <v>0.36773699999999998</v>
      </c>
      <c r="AL103">
        <f t="shared" si="18"/>
        <v>17.342222222222222</v>
      </c>
      <c r="AM103">
        <f t="shared" si="19"/>
        <v>6.387955528888889</v>
      </c>
      <c r="AP103" s="9"/>
      <c r="AQ103" s="21">
        <v>1.32172</v>
      </c>
      <c r="AR103" s="21">
        <v>24.886399999999998</v>
      </c>
      <c r="AS103" s="21">
        <v>-1.3629199999999999E-2</v>
      </c>
      <c r="AT103" s="21">
        <v>93</v>
      </c>
      <c r="AU103" s="21">
        <v>1.3208</v>
      </c>
      <c r="AV103">
        <f t="shared" si="20"/>
        <v>16.826172839506171</v>
      </c>
      <c r="AW103">
        <f t="shared" si="21"/>
        <v>22.239489165432097</v>
      </c>
      <c r="AX103" s="9"/>
      <c r="AY103" s="21">
        <v>0.36834699999999998</v>
      </c>
      <c r="AZ103" s="21">
        <v>28.685400000000001</v>
      </c>
      <c r="BA103" s="21">
        <v>-1.3977099999999999E-2</v>
      </c>
      <c r="BB103" s="21">
        <v>93</v>
      </c>
      <c r="BC103" s="21">
        <v>0.36773699999999998</v>
      </c>
      <c r="BD103">
        <f t="shared" si="22"/>
        <v>17.255679012345677</v>
      </c>
      <c r="BE103">
        <f t="shared" si="23"/>
        <v>6.3560775971604926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1.3166800000000001</v>
      </c>
      <c r="H104" s="21">
        <v>6.319</v>
      </c>
      <c r="I104" s="21">
        <v>-1.3598600000000001E-2</v>
      </c>
      <c r="J104" s="21">
        <v>94</v>
      </c>
      <c r="K104" s="21">
        <v>1.31592</v>
      </c>
      <c r="L104">
        <f t="shared" si="12"/>
        <v>16.788395061728394</v>
      </c>
      <c r="M104">
        <f t="shared" si="13"/>
        <v>22.104944009876544</v>
      </c>
      <c r="N104" s="9"/>
      <c r="O104" s="21">
        <v>0.37338300000000002</v>
      </c>
      <c r="P104" s="21">
        <v>10.118</v>
      </c>
      <c r="Q104" s="21">
        <v>-1.4108300000000001E-2</v>
      </c>
      <c r="R104" s="21">
        <v>94</v>
      </c>
      <c r="S104" s="21">
        <v>0.37274200000000002</v>
      </c>
      <c r="T104">
        <f t="shared" si="14"/>
        <v>17.417654320987655</v>
      </c>
      <c r="U104">
        <f t="shared" si="15"/>
        <v>6.5034560233333343</v>
      </c>
      <c r="X104" s="9"/>
      <c r="Y104" s="21">
        <v>0.37338300000000002</v>
      </c>
      <c r="Z104" s="21">
        <v>10.118</v>
      </c>
      <c r="AA104" s="21">
        <v>-1.4108300000000001E-2</v>
      </c>
      <c r="AB104" s="21">
        <v>94</v>
      </c>
      <c r="AC104" s="21">
        <v>0.37274200000000002</v>
      </c>
      <c r="AD104">
        <f t="shared" si="16"/>
        <v>17.417654320987655</v>
      </c>
      <c r="AE104">
        <f t="shared" si="17"/>
        <v>6.5034560233333343</v>
      </c>
      <c r="AF104" s="9"/>
      <c r="AG104" s="21">
        <v>0.37338300000000002</v>
      </c>
      <c r="AH104" s="21">
        <v>19.417300000000001</v>
      </c>
      <c r="AI104" s="21">
        <v>-1.40594E-2</v>
      </c>
      <c r="AJ104" s="21">
        <v>94</v>
      </c>
      <c r="AK104" s="21">
        <v>0.37274200000000002</v>
      </c>
      <c r="AL104">
        <f t="shared" si="18"/>
        <v>17.357283950617283</v>
      </c>
      <c r="AM104">
        <f t="shared" si="19"/>
        <v>6.4809147533333338</v>
      </c>
      <c r="AP104" s="9"/>
      <c r="AQ104" s="21">
        <v>1.3166800000000001</v>
      </c>
      <c r="AR104" s="21">
        <v>24.8964</v>
      </c>
      <c r="AS104" s="21">
        <v>-1.3644399999999999E-2</v>
      </c>
      <c r="AT104" s="21">
        <v>94</v>
      </c>
      <c r="AU104" s="21">
        <v>1.3162199999999999</v>
      </c>
      <c r="AV104">
        <f t="shared" si="20"/>
        <v>16.844938271604939</v>
      </c>
      <c r="AW104">
        <f t="shared" si="21"/>
        <v>22.179393323456793</v>
      </c>
      <c r="AX104" s="9"/>
      <c r="AY104" s="21">
        <v>0.37338300000000002</v>
      </c>
      <c r="AZ104" s="21">
        <v>28.695499999999999</v>
      </c>
      <c r="BA104" s="21">
        <v>-1.3983199999999999E-2</v>
      </c>
      <c r="BB104" s="21">
        <v>94</v>
      </c>
      <c r="BC104" s="21">
        <v>0.37283300000000003</v>
      </c>
      <c r="BD104">
        <f t="shared" si="22"/>
        <v>17.263209876543208</v>
      </c>
      <c r="BE104">
        <f t="shared" si="23"/>
        <v>6.4457890933333326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1.31165</v>
      </c>
      <c r="H105" s="21">
        <v>6.3290699999999998</v>
      </c>
      <c r="I105" s="21">
        <v>-1.3623E-2</v>
      </c>
      <c r="J105" s="21">
        <v>95</v>
      </c>
      <c r="K105" s="21">
        <v>1.31104</v>
      </c>
      <c r="L105">
        <f t="shared" si="12"/>
        <v>16.818518518518516</v>
      </c>
      <c r="M105">
        <f t="shared" si="13"/>
        <v>22.060009814814812</v>
      </c>
      <c r="N105" s="9"/>
      <c r="O105" s="21">
        <v>0.37841799999999998</v>
      </c>
      <c r="P105" s="21">
        <v>10.1281</v>
      </c>
      <c r="Q105" s="21">
        <v>-1.4114399999999999E-2</v>
      </c>
      <c r="R105" s="21">
        <v>95</v>
      </c>
      <c r="S105" s="21">
        <v>0.37786900000000001</v>
      </c>
      <c r="T105">
        <f t="shared" si="14"/>
        <v>17.425185185185182</v>
      </c>
      <c r="U105">
        <f t="shared" si="15"/>
        <v>6.5940037274074061</v>
      </c>
      <c r="X105" s="9"/>
      <c r="Y105" s="21">
        <v>0.37841799999999998</v>
      </c>
      <c r="Z105" s="21">
        <v>10.1281</v>
      </c>
      <c r="AA105" s="21">
        <v>-1.4114399999999999E-2</v>
      </c>
      <c r="AB105" s="21">
        <v>95</v>
      </c>
      <c r="AC105" s="21">
        <v>0.37786900000000001</v>
      </c>
      <c r="AD105">
        <f t="shared" si="16"/>
        <v>17.425185185185182</v>
      </c>
      <c r="AE105">
        <f t="shared" si="17"/>
        <v>6.5940037274074061</v>
      </c>
      <c r="AF105" s="9"/>
      <c r="AG105" s="21">
        <v>0.37841799999999998</v>
      </c>
      <c r="AH105" s="21">
        <v>19.427299999999999</v>
      </c>
      <c r="AI105" s="21">
        <v>-1.4065599999999999E-2</v>
      </c>
      <c r="AJ105" s="21">
        <v>95</v>
      </c>
      <c r="AK105" s="21">
        <v>0.37789899999999998</v>
      </c>
      <c r="AL105">
        <f t="shared" si="18"/>
        <v>17.364938271604938</v>
      </c>
      <c r="AM105">
        <f t="shared" si="19"/>
        <v>6.5712052108641972</v>
      </c>
      <c r="AP105" s="9"/>
      <c r="AQ105" s="21">
        <v>1.31165</v>
      </c>
      <c r="AR105" s="21">
        <v>24.906500000000001</v>
      </c>
      <c r="AS105" s="21">
        <v>-1.36536E-2</v>
      </c>
      <c r="AT105" s="21">
        <v>95</v>
      </c>
      <c r="AU105" s="21">
        <v>1.31073</v>
      </c>
      <c r="AV105">
        <f t="shared" si="20"/>
        <v>16.856296296296296</v>
      </c>
      <c r="AW105">
        <f t="shared" si="21"/>
        <v>22.109561037037036</v>
      </c>
      <c r="AX105" s="9"/>
      <c r="AY105" s="21">
        <v>0.37841799999999998</v>
      </c>
      <c r="AZ105" s="21">
        <v>28.7056</v>
      </c>
      <c r="BA105" s="21">
        <v>-1.3992299999999999E-2</v>
      </c>
      <c r="BB105" s="21">
        <v>95</v>
      </c>
      <c r="BC105" s="21">
        <v>0.37786900000000001</v>
      </c>
      <c r="BD105">
        <f t="shared" si="22"/>
        <v>17.274444444444445</v>
      </c>
      <c r="BE105">
        <f t="shared" si="23"/>
        <v>6.5369607177777773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1.30661</v>
      </c>
      <c r="H106" s="21">
        <v>6.3391400000000004</v>
      </c>
      <c r="I106" s="21">
        <v>-1.36475E-2</v>
      </c>
      <c r="J106" s="21">
        <v>96</v>
      </c>
      <c r="K106" s="21">
        <v>1.3061499999999999</v>
      </c>
      <c r="L106">
        <f t="shared" si="12"/>
        <v>16.848765432098766</v>
      </c>
      <c r="M106">
        <f t="shared" si="13"/>
        <v>22.01476540123457</v>
      </c>
      <c r="N106" s="9"/>
      <c r="O106" s="21">
        <v>0.38345299999999999</v>
      </c>
      <c r="P106" s="21">
        <v>10.138199999999999</v>
      </c>
      <c r="Q106" s="21">
        <v>-1.41174E-2</v>
      </c>
      <c r="R106" s="21">
        <v>96</v>
      </c>
      <c r="S106" s="21">
        <v>0.38290400000000002</v>
      </c>
      <c r="T106">
        <f t="shared" si="14"/>
        <v>17.428888888888888</v>
      </c>
      <c r="U106">
        <f t="shared" si="15"/>
        <v>6.6831597311111111</v>
      </c>
      <c r="X106" s="9"/>
      <c r="Y106" s="21">
        <v>0.38345299999999999</v>
      </c>
      <c r="Z106" s="21">
        <v>10.138199999999999</v>
      </c>
      <c r="AA106" s="21">
        <v>-1.41174E-2</v>
      </c>
      <c r="AB106" s="21">
        <v>96</v>
      </c>
      <c r="AC106" s="21">
        <v>0.38290400000000002</v>
      </c>
      <c r="AD106">
        <f t="shared" si="16"/>
        <v>17.428888888888888</v>
      </c>
      <c r="AE106">
        <f t="shared" si="17"/>
        <v>6.6831597311111111</v>
      </c>
      <c r="AF106" s="9"/>
      <c r="AG106" s="21">
        <v>0.38345299999999999</v>
      </c>
      <c r="AH106" s="21">
        <v>19.4374</v>
      </c>
      <c r="AI106" s="21">
        <v>-1.40503E-2</v>
      </c>
      <c r="AJ106" s="21">
        <v>96</v>
      </c>
      <c r="AK106" s="21">
        <v>0.38275100000000001</v>
      </c>
      <c r="AL106">
        <f t="shared" si="18"/>
        <v>17.34604938271605</v>
      </c>
      <c r="AM106">
        <f t="shared" si="19"/>
        <v>6.6513946739506169</v>
      </c>
      <c r="AP106" s="9"/>
      <c r="AQ106" s="21">
        <v>1.30661</v>
      </c>
      <c r="AR106" s="21">
        <v>24.916599999999999</v>
      </c>
      <c r="AS106" s="21">
        <v>-1.36627E-2</v>
      </c>
      <c r="AT106" s="21">
        <v>96</v>
      </c>
      <c r="AU106" s="21">
        <v>1.3055399999999999</v>
      </c>
      <c r="AV106">
        <f t="shared" si="20"/>
        <v>16.86753086419753</v>
      </c>
      <c r="AW106">
        <f t="shared" si="21"/>
        <v>22.039284502469137</v>
      </c>
      <c r="AX106" s="9"/>
      <c r="AY106" s="21">
        <v>0.38345299999999999</v>
      </c>
      <c r="AZ106" s="21">
        <v>28.715599999999998</v>
      </c>
      <c r="BA106" s="21">
        <v>-1.39954E-2</v>
      </c>
      <c r="BB106" s="21">
        <v>96</v>
      </c>
      <c r="BC106" s="21">
        <v>0.38290400000000002</v>
      </c>
      <c r="BD106">
        <f t="shared" si="22"/>
        <v>17.278271604938272</v>
      </c>
      <c r="BE106">
        <f t="shared" si="23"/>
        <v>6.6254050817283954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1.3015699999999999</v>
      </c>
      <c r="H107" s="21">
        <v>6.3492100000000002</v>
      </c>
      <c r="I107" s="21">
        <v>-1.36749E-2</v>
      </c>
      <c r="J107" s="21">
        <v>97</v>
      </c>
      <c r="K107" s="21">
        <v>1.3006599999999999</v>
      </c>
      <c r="L107">
        <f t="shared" si="12"/>
        <v>16.882592592592591</v>
      </c>
      <c r="M107">
        <f t="shared" si="13"/>
        <v>21.973876040740738</v>
      </c>
      <c r="N107" s="9"/>
      <c r="O107" s="21">
        <v>0.38848899999999997</v>
      </c>
      <c r="P107" s="21">
        <v>10.148300000000001</v>
      </c>
      <c r="Q107" s="21">
        <v>-1.41113E-2</v>
      </c>
      <c r="R107" s="21">
        <v>97</v>
      </c>
      <c r="S107" s="21">
        <v>0.38793899999999998</v>
      </c>
      <c r="T107">
        <f t="shared" si="14"/>
        <v>17.421358024691358</v>
      </c>
      <c r="U107">
        <f t="shared" si="15"/>
        <v>6.7680059576543208</v>
      </c>
      <c r="X107" s="9"/>
      <c r="Y107" s="21">
        <v>0.38848899999999997</v>
      </c>
      <c r="Z107" s="21">
        <v>10.148300000000001</v>
      </c>
      <c r="AA107" s="21">
        <v>-1.41113E-2</v>
      </c>
      <c r="AB107" s="21">
        <v>97</v>
      </c>
      <c r="AC107" s="21">
        <v>0.38793899999999998</v>
      </c>
      <c r="AD107">
        <f t="shared" si="16"/>
        <v>17.421358024691358</v>
      </c>
      <c r="AE107">
        <f t="shared" si="17"/>
        <v>6.7680059576543208</v>
      </c>
      <c r="AF107" s="9"/>
      <c r="AG107" s="21">
        <v>0.38848899999999997</v>
      </c>
      <c r="AH107" s="21">
        <v>19.447500000000002</v>
      </c>
      <c r="AI107" s="21">
        <v>-1.4035000000000001E-2</v>
      </c>
      <c r="AJ107" s="21">
        <v>97</v>
      </c>
      <c r="AK107" s="21">
        <v>0.38803100000000001</v>
      </c>
      <c r="AL107">
        <f t="shared" si="18"/>
        <v>17.327160493827162</v>
      </c>
      <c r="AM107">
        <f t="shared" si="19"/>
        <v>6.7314112530864199</v>
      </c>
      <c r="AP107" s="9"/>
      <c r="AQ107" s="21">
        <v>1.3015699999999999</v>
      </c>
      <c r="AR107" s="21">
        <v>24.9267</v>
      </c>
      <c r="AS107" s="21">
        <v>-1.36749E-2</v>
      </c>
      <c r="AT107" s="21">
        <v>97</v>
      </c>
      <c r="AU107" s="21">
        <v>1.3009599999999999</v>
      </c>
      <c r="AV107">
        <f t="shared" si="20"/>
        <v>16.882592592592591</v>
      </c>
      <c r="AW107">
        <f t="shared" si="21"/>
        <v>21.973876040740738</v>
      </c>
      <c r="AX107" s="9"/>
      <c r="AY107" s="21">
        <v>0.38848899999999997</v>
      </c>
      <c r="AZ107" s="21">
        <v>28.7257</v>
      </c>
      <c r="BA107" s="21">
        <v>-1.40045E-2</v>
      </c>
      <c r="BB107" s="21">
        <v>97</v>
      </c>
      <c r="BC107" s="21">
        <v>0.38784800000000003</v>
      </c>
      <c r="BD107">
        <f t="shared" si="22"/>
        <v>17.289506172839506</v>
      </c>
      <c r="BE107">
        <f t="shared" si="23"/>
        <v>6.7167829635802461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1.29654</v>
      </c>
      <c r="H108" s="21">
        <v>6.35928</v>
      </c>
      <c r="I108" s="21">
        <v>-1.3684099999999999E-2</v>
      </c>
      <c r="J108" s="21">
        <v>98</v>
      </c>
      <c r="K108" s="21">
        <v>1.2954699999999999</v>
      </c>
      <c r="L108">
        <f t="shared" si="12"/>
        <v>16.893950617283949</v>
      </c>
      <c r="M108">
        <f t="shared" si="13"/>
        <v>21.90368273333333</v>
      </c>
      <c r="N108" s="9"/>
      <c r="O108" s="21">
        <v>0.39352399999999998</v>
      </c>
      <c r="P108" s="21">
        <v>10.158300000000001</v>
      </c>
      <c r="Q108" s="21">
        <v>-1.41022E-2</v>
      </c>
      <c r="R108" s="21">
        <v>98</v>
      </c>
      <c r="S108" s="21">
        <v>0.39297500000000002</v>
      </c>
      <c r="T108">
        <f t="shared" si="14"/>
        <v>17.410123456790124</v>
      </c>
      <c r="U108">
        <f t="shared" si="15"/>
        <v>6.8513014232098763</v>
      </c>
      <c r="X108" s="9"/>
      <c r="Y108" s="21">
        <v>0.39352399999999998</v>
      </c>
      <c r="Z108" s="21">
        <v>10.158300000000001</v>
      </c>
      <c r="AA108" s="21">
        <v>-1.41022E-2</v>
      </c>
      <c r="AB108" s="21">
        <v>98</v>
      </c>
      <c r="AC108" s="21">
        <v>0.39297500000000002</v>
      </c>
      <c r="AD108">
        <f t="shared" si="16"/>
        <v>17.410123456790124</v>
      </c>
      <c r="AE108">
        <f t="shared" si="17"/>
        <v>6.8513014232098763</v>
      </c>
      <c r="AF108" s="9"/>
      <c r="AG108" s="21">
        <v>0.39352399999999998</v>
      </c>
      <c r="AH108" s="21">
        <v>19.4575</v>
      </c>
      <c r="AI108" s="21">
        <v>-1.40228E-2</v>
      </c>
      <c r="AJ108" s="21">
        <v>98</v>
      </c>
      <c r="AK108" s="21">
        <v>0.39300499999999999</v>
      </c>
      <c r="AL108">
        <f t="shared" si="18"/>
        <v>17.312098765432097</v>
      </c>
      <c r="AM108">
        <f t="shared" si="19"/>
        <v>6.8127263545679</v>
      </c>
      <c r="AP108" s="9"/>
      <c r="AQ108" s="21">
        <v>1.29654</v>
      </c>
      <c r="AR108" s="21">
        <v>24.936699999999998</v>
      </c>
      <c r="AS108" s="21">
        <v>-1.3699299999999999E-2</v>
      </c>
      <c r="AT108" s="21">
        <v>98</v>
      </c>
      <c r="AU108" s="21">
        <v>1.2960799999999999</v>
      </c>
      <c r="AV108">
        <f t="shared" si="20"/>
        <v>16.912716049382716</v>
      </c>
      <c r="AW108">
        <f t="shared" si="21"/>
        <v>21.928012866666666</v>
      </c>
      <c r="AX108" s="9"/>
      <c r="AY108" s="21">
        <v>0.39352399999999998</v>
      </c>
      <c r="AZ108" s="21">
        <v>28.735800000000001</v>
      </c>
      <c r="BA108" s="21">
        <v>-1.4019800000000001E-2</v>
      </c>
      <c r="BB108" s="21">
        <v>98</v>
      </c>
      <c r="BC108" s="21">
        <v>0.393127</v>
      </c>
      <c r="BD108">
        <f t="shared" si="22"/>
        <v>17.308395061728394</v>
      </c>
      <c r="BE108">
        <f t="shared" si="23"/>
        <v>6.8112688582716041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1.2915000000000001</v>
      </c>
      <c r="H109" s="21">
        <v>6.3693600000000004</v>
      </c>
      <c r="I109" s="21">
        <v>-1.3687100000000001E-2</v>
      </c>
      <c r="J109" s="21">
        <v>99</v>
      </c>
      <c r="K109" s="21">
        <v>1.2905899999999999</v>
      </c>
      <c r="L109">
        <f t="shared" si="12"/>
        <v>16.897654320987655</v>
      </c>
      <c r="M109">
        <f t="shared" si="13"/>
        <v>21.823320555555558</v>
      </c>
      <c r="N109" s="9"/>
      <c r="O109" s="21">
        <v>0.39856000000000003</v>
      </c>
      <c r="P109" s="21">
        <v>10.1684</v>
      </c>
      <c r="Q109" s="21">
        <v>-1.4114399999999999E-2</v>
      </c>
      <c r="R109" s="21">
        <v>99</v>
      </c>
      <c r="S109" s="21">
        <v>0.39791900000000002</v>
      </c>
      <c r="T109">
        <f t="shared" si="14"/>
        <v>17.425185185185182</v>
      </c>
      <c r="U109">
        <f t="shared" si="15"/>
        <v>6.9449818074074061</v>
      </c>
      <c r="X109" s="9"/>
      <c r="Y109" s="21">
        <v>0.39856000000000003</v>
      </c>
      <c r="Z109" s="21">
        <v>10.1684</v>
      </c>
      <c r="AA109" s="21">
        <v>-1.4114399999999999E-2</v>
      </c>
      <c r="AB109" s="21">
        <v>99</v>
      </c>
      <c r="AC109" s="21">
        <v>0.39791900000000002</v>
      </c>
      <c r="AD109">
        <f t="shared" si="16"/>
        <v>17.425185185185182</v>
      </c>
      <c r="AE109">
        <f t="shared" si="17"/>
        <v>6.9449818074074061</v>
      </c>
      <c r="AF109" s="9"/>
      <c r="AG109" s="21">
        <v>0.39856000000000003</v>
      </c>
      <c r="AH109" s="21">
        <v>19.467600000000001</v>
      </c>
      <c r="AI109" s="21">
        <v>-1.40228E-2</v>
      </c>
      <c r="AJ109" s="21">
        <v>99</v>
      </c>
      <c r="AK109" s="21">
        <v>0.397949</v>
      </c>
      <c r="AL109">
        <f t="shared" si="18"/>
        <v>17.312098765432097</v>
      </c>
      <c r="AM109">
        <f t="shared" si="19"/>
        <v>6.8999100839506173</v>
      </c>
      <c r="AP109" s="9"/>
      <c r="AQ109" s="21">
        <v>1.2915000000000001</v>
      </c>
      <c r="AR109" s="21">
        <v>24.9468</v>
      </c>
      <c r="AS109" s="21">
        <v>-1.37085E-2</v>
      </c>
      <c r="AT109" s="21">
        <v>99</v>
      </c>
      <c r="AU109" s="21">
        <v>1.2911999999999999</v>
      </c>
      <c r="AV109">
        <f t="shared" si="20"/>
        <v>16.924074074074074</v>
      </c>
      <c r="AW109">
        <f t="shared" si="21"/>
        <v>21.857441666666666</v>
      </c>
      <c r="AX109" s="9"/>
      <c r="AY109" s="21">
        <v>0.39856000000000003</v>
      </c>
      <c r="AZ109" s="21">
        <v>28.745799999999999</v>
      </c>
      <c r="BA109" s="21">
        <v>-1.40289E-2</v>
      </c>
      <c r="BB109" s="21">
        <v>99</v>
      </c>
      <c r="BC109" s="21">
        <v>0.39807100000000001</v>
      </c>
      <c r="BD109">
        <f t="shared" si="22"/>
        <v>17.319629629629631</v>
      </c>
      <c r="BE109">
        <f t="shared" si="23"/>
        <v>6.9029115851851861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1.28647</v>
      </c>
      <c r="H110" s="21">
        <v>6.3794300000000002</v>
      </c>
      <c r="I110" s="21">
        <v>-1.3687100000000001E-2</v>
      </c>
      <c r="J110" s="21">
        <v>100</v>
      </c>
      <c r="K110" s="21">
        <v>1.2860100000000001</v>
      </c>
      <c r="L110">
        <f t="shared" si="12"/>
        <v>16.897654320987655</v>
      </c>
      <c r="M110">
        <f t="shared" si="13"/>
        <v>21.738325354320988</v>
      </c>
      <c r="N110" s="9"/>
      <c r="O110" s="21">
        <v>0.40359499999999998</v>
      </c>
      <c r="P110" s="21">
        <v>10.1785</v>
      </c>
      <c r="Q110" s="21">
        <v>-1.4120499999999999E-2</v>
      </c>
      <c r="R110" s="21">
        <v>100</v>
      </c>
      <c r="S110" s="21">
        <v>0.40298499999999998</v>
      </c>
      <c r="T110">
        <f t="shared" si="14"/>
        <v>17.432716049382716</v>
      </c>
      <c r="U110">
        <f t="shared" si="15"/>
        <v>7.0357570339506168</v>
      </c>
      <c r="X110" s="9"/>
      <c r="Y110" s="21">
        <v>0.40359499999999998</v>
      </c>
      <c r="Z110" s="21">
        <v>10.1785</v>
      </c>
      <c r="AA110" s="21">
        <v>-1.4120499999999999E-2</v>
      </c>
      <c r="AB110" s="21">
        <v>100</v>
      </c>
      <c r="AC110" s="21">
        <v>0.40298499999999998</v>
      </c>
      <c r="AD110">
        <f t="shared" si="16"/>
        <v>17.432716049382716</v>
      </c>
      <c r="AE110">
        <f t="shared" si="17"/>
        <v>7.0357570339506168</v>
      </c>
      <c r="AF110" s="9"/>
      <c r="AG110" s="21">
        <v>0.40359499999999998</v>
      </c>
      <c r="AH110" s="21">
        <v>19.477699999999999</v>
      </c>
      <c r="AI110" s="21">
        <v>-1.40228E-2</v>
      </c>
      <c r="AJ110" s="21">
        <v>100</v>
      </c>
      <c r="AK110" s="21">
        <v>0.40301500000000001</v>
      </c>
      <c r="AL110">
        <f t="shared" si="18"/>
        <v>17.312098765432097</v>
      </c>
      <c r="AM110">
        <f t="shared" si="19"/>
        <v>6.9870765012345668</v>
      </c>
      <c r="AP110" s="9"/>
      <c r="AQ110" s="21">
        <v>1.28647</v>
      </c>
      <c r="AR110" s="21">
        <v>24.956900000000001</v>
      </c>
      <c r="AS110" s="21">
        <v>-1.37085E-2</v>
      </c>
      <c r="AT110" s="21">
        <v>100</v>
      </c>
      <c r="AU110" s="21">
        <v>1.2857099999999999</v>
      </c>
      <c r="AV110">
        <f t="shared" si="20"/>
        <v>16.924074074074074</v>
      </c>
      <c r="AW110">
        <f t="shared" si="21"/>
        <v>21.772313574074072</v>
      </c>
      <c r="AX110" s="9"/>
      <c r="AY110" s="21">
        <v>0.40359499999999998</v>
      </c>
      <c r="AZ110" s="21">
        <v>28.7559</v>
      </c>
      <c r="BA110" s="21">
        <v>-1.40289E-2</v>
      </c>
      <c r="BB110" s="21">
        <v>100</v>
      </c>
      <c r="BC110" s="21">
        <v>0.40298499999999998</v>
      </c>
      <c r="BD110">
        <f t="shared" si="22"/>
        <v>17.319629629629631</v>
      </c>
      <c r="BE110">
        <f t="shared" si="23"/>
        <v>6.9901159203703704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1.2814300000000001</v>
      </c>
      <c r="H111" s="21">
        <v>6.3895</v>
      </c>
      <c r="I111" s="21">
        <v>-1.3687100000000001E-2</v>
      </c>
      <c r="J111" s="21">
        <v>101</v>
      </c>
      <c r="K111" s="21">
        <v>1.2808200000000001</v>
      </c>
      <c r="L111">
        <f t="shared" si="12"/>
        <v>16.897654320987655</v>
      </c>
      <c r="M111">
        <f t="shared" si="13"/>
        <v>21.653161176543211</v>
      </c>
      <c r="N111" s="9"/>
      <c r="O111" s="21">
        <v>0.40862999999999999</v>
      </c>
      <c r="P111" s="21">
        <v>10.188499999999999</v>
      </c>
      <c r="Q111" s="21">
        <v>-1.4120499999999999E-2</v>
      </c>
      <c r="R111" s="21">
        <v>101</v>
      </c>
      <c r="S111" s="21">
        <v>0.40792800000000001</v>
      </c>
      <c r="T111">
        <f t="shared" si="14"/>
        <v>17.432716049382716</v>
      </c>
      <c r="U111">
        <f t="shared" si="15"/>
        <v>7.1235307592592587</v>
      </c>
      <c r="X111" s="9"/>
      <c r="Y111" s="21">
        <v>0.40862999999999999</v>
      </c>
      <c r="Z111" s="21">
        <v>10.188499999999999</v>
      </c>
      <c r="AA111" s="21">
        <v>-1.4120499999999999E-2</v>
      </c>
      <c r="AB111" s="21">
        <v>101</v>
      </c>
      <c r="AC111" s="21">
        <v>0.40792800000000001</v>
      </c>
      <c r="AD111">
        <f t="shared" si="16"/>
        <v>17.432716049382716</v>
      </c>
      <c r="AE111">
        <f t="shared" si="17"/>
        <v>7.1235307592592587</v>
      </c>
      <c r="AF111" s="9"/>
      <c r="AG111" s="21">
        <v>0.40862999999999999</v>
      </c>
      <c r="AH111" s="21">
        <v>19.4878</v>
      </c>
      <c r="AI111" s="21">
        <v>-1.4025900000000001E-2</v>
      </c>
      <c r="AJ111" s="21">
        <v>101</v>
      </c>
      <c r="AK111" s="21">
        <v>0.408051</v>
      </c>
      <c r="AL111">
        <f t="shared" si="18"/>
        <v>17.315925925925924</v>
      </c>
      <c r="AM111">
        <f t="shared" si="19"/>
        <v>7.0758068111111108</v>
      </c>
      <c r="AP111" s="9"/>
      <c r="AQ111" s="21">
        <v>1.2814300000000001</v>
      </c>
      <c r="AR111" s="21">
        <v>24.966899999999999</v>
      </c>
      <c r="AS111" s="21">
        <v>-1.37146E-2</v>
      </c>
      <c r="AT111" s="21">
        <v>101</v>
      </c>
      <c r="AU111" s="21">
        <v>1.2814300000000001</v>
      </c>
      <c r="AV111">
        <f t="shared" si="20"/>
        <v>16.931604938271605</v>
      </c>
      <c r="AW111">
        <f t="shared" si="21"/>
        <v>21.696666516049383</v>
      </c>
      <c r="AX111" s="9"/>
      <c r="AY111" s="21">
        <v>0.40862999999999999</v>
      </c>
      <c r="AZ111" s="21">
        <v>28.765999999999998</v>
      </c>
      <c r="BA111" s="21">
        <v>-1.4019800000000001E-2</v>
      </c>
      <c r="BB111" s="21">
        <v>101</v>
      </c>
      <c r="BC111" s="21">
        <v>0.40817300000000001</v>
      </c>
      <c r="BD111">
        <f t="shared" si="22"/>
        <v>17.308395061728394</v>
      </c>
      <c r="BE111">
        <f t="shared" si="23"/>
        <v>7.0727294740740732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1.2764</v>
      </c>
      <c r="H112" s="21">
        <v>6.3995699999999998</v>
      </c>
      <c r="I112" s="21">
        <v>-1.3687100000000001E-2</v>
      </c>
      <c r="J112" s="21">
        <v>102</v>
      </c>
      <c r="K112" s="21">
        <v>1.27563</v>
      </c>
      <c r="L112">
        <f t="shared" si="12"/>
        <v>16.897654320987655</v>
      </c>
      <c r="M112">
        <f t="shared" si="13"/>
        <v>21.568165975308641</v>
      </c>
      <c r="N112" s="9"/>
      <c r="O112" s="21">
        <v>0.41366599999999998</v>
      </c>
      <c r="P112" s="21">
        <v>10.198600000000001</v>
      </c>
      <c r="Q112" s="21">
        <v>-1.4108300000000001E-2</v>
      </c>
      <c r="R112" s="21">
        <v>102</v>
      </c>
      <c r="S112" s="21">
        <v>0.41299400000000003</v>
      </c>
      <c r="T112">
        <f t="shared" si="14"/>
        <v>17.417654320987655</v>
      </c>
      <c r="U112">
        <f t="shared" si="15"/>
        <v>7.205091392345679</v>
      </c>
      <c r="X112" s="9"/>
      <c r="Y112" s="21">
        <v>0.41366599999999998</v>
      </c>
      <c r="Z112" s="21">
        <v>10.198600000000001</v>
      </c>
      <c r="AA112" s="21">
        <v>-1.4108300000000001E-2</v>
      </c>
      <c r="AB112" s="21">
        <v>102</v>
      </c>
      <c r="AC112" s="21">
        <v>0.41299400000000003</v>
      </c>
      <c r="AD112">
        <f t="shared" si="16"/>
        <v>17.417654320987655</v>
      </c>
      <c r="AE112">
        <f t="shared" si="17"/>
        <v>7.205091392345679</v>
      </c>
      <c r="AF112" s="9"/>
      <c r="AG112" s="21">
        <v>0.41366599999999998</v>
      </c>
      <c r="AH112" s="21">
        <v>19.497800000000002</v>
      </c>
      <c r="AI112" s="21">
        <v>-1.40167E-2</v>
      </c>
      <c r="AJ112" s="21">
        <v>102</v>
      </c>
      <c r="AK112" s="21">
        <v>0.412964</v>
      </c>
      <c r="AL112">
        <f t="shared" si="18"/>
        <v>17.304567901234567</v>
      </c>
      <c r="AM112">
        <f t="shared" si="19"/>
        <v>7.1583113854320981</v>
      </c>
      <c r="AP112" s="9"/>
      <c r="AQ112" s="21">
        <v>1.2764</v>
      </c>
      <c r="AR112" s="21">
        <v>24.977</v>
      </c>
      <c r="AS112" s="21">
        <v>-1.3726800000000001E-2</v>
      </c>
      <c r="AT112" s="21">
        <v>102</v>
      </c>
      <c r="AU112" s="21">
        <v>1.2762500000000001</v>
      </c>
      <c r="AV112">
        <f t="shared" si="20"/>
        <v>16.946666666666665</v>
      </c>
      <c r="AW112">
        <f t="shared" si="21"/>
        <v>21.630725333333331</v>
      </c>
      <c r="AX112" s="9"/>
      <c r="AY112" s="21">
        <v>0.41366599999999998</v>
      </c>
      <c r="AZ112" s="21">
        <v>28.7761</v>
      </c>
      <c r="BA112" s="21">
        <v>-1.40045E-2</v>
      </c>
      <c r="BB112" s="21">
        <v>102</v>
      </c>
      <c r="BC112" s="21">
        <v>0.41290300000000002</v>
      </c>
      <c r="BD112">
        <f t="shared" si="22"/>
        <v>17.289506172839506</v>
      </c>
      <c r="BE112">
        <f t="shared" si="23"/>
        <v>7.1520808604938262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1.27136</v>
      </c>
      <c r="H113" s="21">
        <v>6.4096399999999996</v>
      </c>
      <c r="I113" s="21">
        <v>-1.3684099999999999E-2</v>
      </c>
      <c r="J113" s="21">
        <v>103</v>
      </c>
      <c r="K113" s="21">
        <v>1.27014</v>
      </c>
      <c r="L113">
        <f t="shared" si="12"/>
        <v>16.893950617283949</v>
      </c>
      <c r="M113">
        <f t="shared" si="13"/>
        <v>21.478293056790122</v>
      </c>
      <c r="N113" s="9"/>
      <c r="O113" s="21">
        <v>0.41870099999999999</v>
      </c>
      <c r="P113" s="21">
        <v>10.2087</v>
      </c>
      <c r="Q113" s="21">
        <v>-1.41052E-2</v>
      </c>
      <c r="R113" s="21">
        <v>103</v>
      </c>
      <c r="S113" s="21">
        <v>0.41805999999999999</v>
      </c>
      <c r="T113">
        <f t="shared" si="14"/>
        <v>17.413827160493828</v>
      </c>
      <c r="U113">
        <f t="shared" si="15"/>
        <v>7.2911868459259255</v>
      </c>
      <c r="X113" s="9"/>
      <c r="Y113" s="21">
        <v>0.41870099999999999</v>
      </c>
      <c r="Z113" s="21">
        <v>10.2087</v>
      </c>
      <c r="AA113" s="21">
        <v>-1.41052E-2</v>
      </c>
      <c r="AB113" s="21">
        <v>103</v>
      </c>
      <c r="AC113" s="21">
        <v>0.41805999999999999</v>
      </c>
      <c r="AD113">
        <f t="shared" si="16"/>
        <v>17.413827160493828</v>
      </c>
      <c r="AE113">
        <f t="shared" si="17"/>
        <v>7.2911868459259255</v>
      </c>
      <c r="AF113" s="9"/>
      <c r="AG113" s="21">
        <v>0.41870099999999999</v>
      </c>
      <c r="AH113" s="21">
        <v>19.507899999999999</v>
      </c>
      <c r="AI113" s="21">
        <v>-1.40076E-2</v>
      </c>
      <c r="AJ113" s="21">
        <v>103</v>
      </c>
      <c r="AK113" s="21">
        <v>0.41815200000000002</v>
      </c>
      <c r="AL113">
        <f t="shared" si="18"/>
        <v>17.293333333333333</v>
      </c>
      <c r="AM113">
        <f t="shared" si="19"/>
        <v>7.2407359599999994</v>
      </c>
      <c r="AP113" s="9"/>
      <c r="AQ113" s="21">
        <v>1.27136</v>
      </c>
      <c r="AR113" s="21">
        <v>24.987100000000002</v>
      </c>
      <c r="AS113" s="21">
        <v>-1.3732899999999999E-2</v>
      </c>
      <c r="AT113" s="21">
        <v>103</v>
      </c>
      <c r="AU113" s="21">
        <v>1.27075</v>
      </c>
      <c r="AV113">
        <f t="shared" si="20"/>
        <v>16.954197530864196</v>
      </c>
      <c r="AW113">
        <f t="shared" si="21"/>
        <v>21.554888572839506</v>
      </c>
      <c r="AX113" s="9"/>
      <c r="AY113" s="21">
        <v>0.41870099999999999</v>
      </c>
      <c r="AZ113" s="21">
        <v>28.786100000000001</v>
      </c>
      <c r="BA113" s="21">
        <v>-1.3998399999999999E-2</v>
      </c>
      <c r="BB113" s="21">
        <v>103</v>
      </c>
      <c r="BC113" s="21">
        <v>0.41815200000000002</v>
      </c>
      <c r="BD113">
        <f t="shared" si="22"/>
        <v>17.281975308641975</v>
      </c>
      <c r="BE113">
        <f t="shared" si="23"/>
        <v>7.2359803437037034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1.26633</v>
      </c>
      <c r="H114" s="21">
        <v>6.4197100000000002</v>
      </c>
      <c r="I114" s="21">
        <v>-1.3693200000000001E-2</v>
      </c>
      <c r="J114" s="21">
        <v>104</v>
      </c>
      <c r="K114" s="21">
        <v>1.2652600000000001</v>
      </c>
      <c r="L114">
        <f t="shared" si="12"/>
        <v>16.905185185185186</v>
      </c>
      <c r="M114">
        <f t="shared" si="13"/>
        <v>21.407543155555555</v>
      </c>
      <c r="N114" s="9"/>
      <c r="O114" s="21">
        <v>0.42373699999999997</v>
      </c>
      <c r="P114" s="21">
        <v>10.2188</v>
      </c>
      <c r="Q114" s="21">
        <v>-1.4120499999999999E-2</v>
      </c>
      <c r="R114" s="21">
        <v>104</v>
      </c>
      <c r="S114" s="21">
        <v>0.423126</v>
      </c>
      <c r="T114">
        <f t="shared" si="14"/>
        <v>17.432716049382716</v>
      </c>
      <c r="U114">
        <f t="shared" si="15"/>
        <v>7.3868868006172832</v>
      </c>
      <c r="X114" s="9"/>
      <c r="Y114" s="21">
        <v>0.42373699999999997</v>
      </c>
      <c r="Z114" s="21">
        <v>10.2188</v>
      </c>
      <c r="AA114" s="21">
        <v>-1.4120499999999999E-2</v>
      </c>
      <c r="AB114" s="21">
        <v>104</v>
      </c>
      <c r="AC114" s="21">
        <v>0.423126</v>
      </c>
      <c r="AD114">
        <f t="shared" si="16"/>
        <v>17.432716049382716</v>
      </c>
      <c r="AE114">
        <f t="shared" si="17"/>
        <v>7.3868868006172832</v>
      </c>
      <c r="AF114" s="9"/>
      <c r="AG114" s="21">
        <v>0.42373699999999997</v>
      </c>
      <c r="AH114" s="21">
        <v>19.518000000000001</v>
      </c>
      <c r="AI114" s="21">
        <v>-1.40106E-2</v>
      </c>
      <c r="AJ114" s="21">
        <v>104</v>
      </c>
      <c r="AK114" s="21">
        <v>0.42294300000000001</v>
      </c>
      <c r="AL114">
        <f t="shared" si="18"/>
        <v>17.297037037037036</v>
      </c>
      <c r="AM114">
        <f t="shared" si="19"/>
        <v>7.3293945829629621</v>
      </c>
      <c r="AP114" s="9"/>
      <c r="AQ114" s="21">
        <v>1.26633</v>
      </c>
      <c r="AR114" s="21">
        <v>24.997199999999999</v>
      </c>
      <c r="AS114" s="21">
        <v>-1.37238E-2</v>
      </c>
      <c r="AT114" s="21">
        <v>104</v>
      </c>
      <c r="AU114" s="21">
        <v>1.26556</v>
      </c>
      <c r="AV114">
        <f t="shared" si="20"/>
        <v>16.942962962962962</v>
      </c>
      <c r="AW114">
        <f t="shared" si="21"/>
        <v>21.455382288888888</v>
      </c>
      <c r="AX114" s="9"/>
      <c r="AY114" s="21">
        <v>0.42373699999999997</v>
      </c>
      <c r="AZ114" s="21">
        <v>28.796199999999999</v>
      </c>
      <c r="BA114" s="21">
        <v>-1.3998399999999999E-2</v>
      </c>
      <c r="BB114" s="21">
        <v>104</v>
      </c>
      <c r="BC114" s="21">
        <v>0.42309600000000003</v>
      </c>
      <c r="BD114">
        <f t="shared" si="22"/>
        <v>17.281975308641975</v>
      </c>
      <c r="BE114">
        <f t="shared" si="23"/>
        <v>7.3230123713580246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1.26129</v>
      </c>
      <c r="H115" s="21">
        <v>6.4297800000000001</v>
      </c>
      <c r="I115" s="21">
        <v>-1.37085E-2</v>
      </c>
      <c r="J115" s="21">
        <v>105</v>
      </c>
      <c r="K115" s="21">
        <v>1.26068</v>
      </c>
      <c r="L115">
        <f t="shared" si="12"/>
        <v>16.924074074074074</v>
      </c>
      <c r="M115">
        <f t="shared" si="13"/>
        <v>21.346165388888888</v>
      </c>
      <c r="N115" s="9"/>
      <c r="O115" s="21">
        <v>0.42877199999999999</v>
      </c>
      <c r="P115" s="21">
        <v>10.2288</v>
      </c>
      <c r="Q115" s="21">
        <v>-1.4123500000000001E-2</v>
      </c>
      <c r="R115" s="21">
        <v>105</v>
      </c>
      <c r="S115" s="21">
        <v>0.42819200000000002</v>
      </c>
      <c r="T115">
        <f t="shared" si="14"/>
        <v>17.436419753086419</v>
      </c>
      <c r="U115">
        <f t="shared" si="15"/>
        <v>7.4762485703703696</v>
      </c>
      <c r="X115" s="9"/>
      <c r="Y115" s="21">
        <v>0.42877199999999999</v>
      </c>
      <c r="Z115" s="21">
        <v>10.2288</v>
      </c>
      <c r="AA115" s="21">
        <v>-1.4123500000000001E-2</v>
      </c>
      <c r="AB115" s="21">
        <v>105</v>
      </c>
      <c r="AC115" s="21">
        <v>0.42819200000000002</v>
      </c>
      <c r="AD115">
        <f t="shared" si="16"/>
        <v>17.436419753086419</v>
      </c>
      <c r="AE115">
        <f t="shared" si="17"/>
        <v>7.4762485703703696</v>
      </c>
      <c r="AF115" s="9"/>
      <c r="AG115" s="21">
        <v>0.42877199999999999</v>
      </c>
      <c r="AH115" s="21">
        <v>19.527999999999999</v>
      </c>
      <c r="AI115" s="21">
        <v>-1.40137E-2</v>
      </c>
      <c r="AJ115" s="21">
        <v>105</v>
      </c>
      <c r="AK115" s="21">
        <v>0.42816199999999999</v>
      </c>
      <c r="AL115">
        <f t="shared" si="18"/>
        <v>17.300864197530863</v>
      </c>
      <c r="AM115">
        <f t="shared" si="19"/>
        <v>7.4181261437037032</v>
      </c>
      <c r="AP115" s="9"/>
      <c r="AQ115" s="21">
        <v>1.26129</v>
      </c>
      <c r="AR115" s="21">
        <v>25.007200000000001</v>
      </c>
      <c r="AS115" s="21">
        <v>-1.37238E-2</v>
      </c>
      <c r="AT115" s="21">
        <v>105</v>
      </c>
      <c r="AU115" s="21">
        <v>1.26007</v>
      </c>
      <c r="AV115">
        <f t="shared" si="20"/>
        <v>16.942962962962962</v>
      </c>
      <c r="AW115">
        <f t="shared" si="21"/>
        <v>21.369989755555554</v>
      </c>
      <c r="AX115" s="9"/>
      <c r="AY115" s="21">
        <v>0.42877199999999999</v>
      </c>
      <c r="AZ115" s="21">
        <v>28.8063</v>
      </c>
      <c r="BA115" s="21">
        <v>-1.40015E-2</v>
      </c>
      <c r="BB115" s="21">
        <v>105</v>
      </c>
      <c r="BC115" s="21">
        <v>0.42825299999999999</v>
      </c>
      <c r="BD115">
        <f t="shared" si="22"/>
        <v>17.285802469135803</v>
      </c>
      <c r="BE115">
        <f t="shared" si="23"/>
        <v>7.411668096296296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1.2562599999999999</v>
      </c>
      <c r="H116" s="21">
        <v>6.4398499999999999</v>
      </c>
      <c r="I116" s="21">
        <v>-1.3717699999999999E-2</v>
      </c>
      <c r="J116" s="21">
        <v>106</v>
      </c>
      <c r="K116" s="21">
        <v>1.25549</v>
      </c>
      <c r="L116">
        <f t="shared" si="12"/>
        <v>16.935432098765432</v>
      </c>
      <c r="M116">
        <f t="shared" si="13"/>
        <v>21.27530592839506</v>
      </c>
      <c r="N116" s="9"/>
      <c r="O116" s="21">
        <v>0.433807</v>
      </c>
      <c r="P116" s="21">
        <v>10.238899999999999</v>
      </c>
      <c r="Q116" s="21">
        <v>-1.41266E-2</v>
      </c>
      <c r="R116" s="21">
        <v>106</v>
      </c>
      <c r="S116" s="21">
        <v>0.433197</v>
      </c>
      <c r="T116">
        <f t="shared" si="14"/>
        <v>17.440246913580246</v>
      </c>
      <c r="U116">
        <f t="shared" si="15"/>
        <v>7.5657011928395059</v>
      </c>
      <c r="X116" s="9"/>
      <c r="Y116" s="21">
        <v>0.433807</v>
      </c>
      <c r="Z116" s="21">
        <v>10.238899999999999</v>
      </c>
      <c r="AA116" s="21">
        <v>-1.41266E-2</v>
      </c>
      <c r="AB116" s="21">
        <v>106</v>
      </c>
      <c r="AC116" s="21">
        <v>0.433197</v>
      </c>
      <c r="AD116">
        <f t="shared" si="16"/>
        <v>17.440246913580246</v>
      </c>
      <c r="AE116">
        <f t="shared" si="17"/>
        <v>7.5657011928395059</v>
      </c>
      <c r="AF116" s="9"/>
      <c r="AG116" s="21">
        <v>0.433807</v>
      </c>
      <c r="AH116" s="21">
        <v>19.5381</v>
      </c>
      <c r="AI116" s="21">
        <v>-1.40045E-2</v>
      </c>
      <c r="AJ116" s="21">
        <v>106</v>
      </c>
      <c r="AK116" s="21">
        <v>0.43310500000000002</v>
      </c>
      <c r="AL116">
        <f t="shared" si="18"/>
        <v>17.289506172839506</v>
      </c>
      <c r="AM116">
        <f t="shared" si="19"/>
        <v>7.5003088043209871</v>
      </c>
      <c r="AP116" s="9"/>
      <c r="AQ116" s="21">
        <v>1.2562599999999999</v>
      </c>
      <c r="AR116" s="21">
        <v>25.017299999999999</v>
      </c>
      <c r="AS116" s="21">
        <v>-1.37299E-2</v>
      </c>
      <c r="AT116" s="21">
        <v>106</v>
      </c>
      <c r="AU116" s="21">
        <v>1.25549</v>
      </c>
      <c r="AV116">
        <f t="shared" si="20"/>
        <v>16.950493827160493</v>
      </c>
      <c r="AW116">
        <f t="shared" si="21"/>
        <v>21.29422737530864</v>
      </c>
      <c r="AX116" s="9"/>
      <c r="AY116" s="21">
        <v>0.433807</v>
      </c>
      <c r="AZ116" s="21">
        <v>28.816299999999998</v>
      </c>
      <c r="BA116" s="21">
        <v>-1.40228E-2</v>
      </c>
      <c r="BB116" s="21">
        <v>106</v>
      </c>
      <c r="BC116" s="21">
        <v>0.43335000000000001</v>
      </c>
      <c r="BD116">
        <f t="shared" si="22"/>
        <v>17.312098765432097</v>
      </c>
      <c r="BE116">
        <f t="shared" si="23"/>
        <v>7.510109629135802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1.25122</v>
      </c>
      <c r="H117" s="21">
        <v>6.4499199999999997</v>
      </c>
      <c r="I117" s="21">
        <v>-1.3726800000000001E-2</v>
      </c>
      <c r="J117" s="21">
        <v>107</v>
      </c>
      <c r="K117" s="21">
        <v>1.25061</v>
      </c>
      <c r="L117">
        <f t="shared" si="12"/>
        <v>16.946666666666665</v>
      </c>
      <c r="M117">
        <f t="shared" si="13"/>
        <v>21.204008266666666</v>
      </c>
      <c r="N117" s="9"/>
      <c r="O117" s="21">
        <v>0.43884299999999998</v>
      </c>
      <c r="P117" s="21">
        <v>10.249000000000001</v>
      </c>
      <c r="Q117" s="21">
        <v>-1.4123500000000001E-2</v>
      </c>
      <c r="R117" s="21">
        <v>107</v>
      </c>
      <c r="S117" s="21">
        <v>0.43829299999999999</v>
      </c>
      <c r="T117">
        <f t="shared" si="14"/>
        <v>17.436419753086419</v>
      </c>
      <c r="U117">
        <f t="shared" si="15"/>
        <v>7.6518507537037026</v>
      </c>
      <c r="X117" s="9"/>
      <c r="Y117" s="21">
        <v>0.43884299999999998</v>
      </c>
      <c r="Z117" s="21">
        <v>10.249000000000001</v>
      </c>
      <c r="AA117" s="21">
        <v>-1.4123500000000001E-2</v>
      </c>
      <c r="AB117" s="21">
        <v>107</v>
      </c>
      <c r="AC117" s="21">
        <v>0.43829299999999999</v>
      </c>
      <c r="AD117">
        <f t="shared" si="16"/>
        <v>17.436419753086419</v>
      </c>
      <c r="AE117">
        <f t="shared" si="17"/>
        <v>7.6518507537037026</v>
      </c>
      <c r="AF117" s="9"/>
      <c r="AG117" s="21">
        <v>0.43884299999999998</v>
      </c>
      <c r="AH117" s="21">
        <v>19.548200000000001</v>
      </c>
      <c r="AI117" s="21">
        <v>-1.39954E-2</v>
      </c>
      <c r="AJ117" s="21">
        <v>107</v>
      </c>
      <c r="AK117" s="21">
        <v>0.43817099999999998</v>
      </c>
      <c r="AL117">
        <f t="shared" si="18"/>
        <v>17.278271604938272</v>
      </c>
      <c r="AM117">
        <f t="shared" si="19"/>
        <v>7.5824485459259261</v>
      </c>
      <c r="AP117" s="9"/>
      <c r="AQ117" s="21">
        <v>1.25122</v>
      </c>
      <c r="AR117" s="21">
        <v>25.0274</v>
      </c>
      <c r="AS117" s="21">
        <v>-1.3736E-2</v>
      </c>
      <c r="AT117" s="21">
        <v>107</v>
      </c>
      <c r="AU117" s="21">
        <v>1.25061</v>
      </c>
      <c r="AV117">
        <f t="shared" si="20"/>
        <v>16.958024691358023</v>
      </c>
      <c r="AW117">
        <f t="shared" si="21"/>
        <v>21.218219654320986</v>
      </c>
      <c r="AX117" s="9"/>
      <c r="AY117" s="21">
        <v>0.43884299999999998</v>
      </c>
      <c r="AZ117" s="21">
        <v>28.8264</v>
      </c>
      <c r="BA117" s="21">
        <v>-1.4035000000000001E-2</v>
      </c>
      <c r="BB117" s="21">
        <v>107</v>
      </c>
      <c r="BC117" s="21">
        <v>0.43832399999999999</v>
      </c>
      <c r="BD117">
        <f t="shared" si="22"/>
        <v>17.327160493827162</v>
      </c>
      <c r="BE117">
        <f t="shared" si="23"/>
        <v>7.603903092592593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1.2461899999999999</v>
      </c>
      <c r="H118" s="21">
        <v>6.4599900000000003</v>
      </c>
      <c r="I118" s="21">
        <v>-1.37421E-2</v>
      </c>
      <c r="J118" s="21">
        <v>108</v>
      </c>
      <c r="K118" s="21">
        <v>1.24542</v>
      </c>
      <c r="L118">
        <f t="shared" si="12"/>
        <v>16.965555555555554</v>
      </c>
      <c r="M118">
        <f t="shared" si="13"/>
        <v>21.142305677777774</v>
      </c>
      <c r="N118" s="9"/>
      <c r="O118" s="21">
        <v>0.44387799999999999</v>
      </c>
      <c r="P118" s="21">
        <v>10.259</v>
      </c>
      <c r="Q118" s="21">
        <v>-1.41266E-2</v>
      </c>
      <c r="R118" s="21">
        <v>108</v>
      </c>
      <c r="S118" s="21">
        <v>0.44329800000000003</v>
      </c>
      <c r="T118">
        <f t="shared" si="14"/>
        <v>17.440246913580246</v>
      </c>
      <c r="U118">
        <f t="shared" si="15"/>
        <v>7.7413419195061728</v>
      </c>
      <c r="X118" s="9"/>
      <c r="Y118" s="21">
        <v>0.44387799999999999</v>
      </c>
      <c r="Z118" s="21">
        <v>10.259</v>
      </c>
      <c r="AA118" s="21">
        <v>-1.41266E-2</v>
      </c>
      <c r="AB118" s="21">
        <v>108</v>
      </c>
      <c r="AC118" s="21">
        <v>0.44329800000000003</v>
      </c>
      <c r="AD118">
        <f t="shared" si="16"/>
        <v>17.440246913580246</v>
      </c>
      <c r="AE118">
        <f t="shared" si="17"/>
        <v>7.7413419195061728</v>
      </c>
      <c r="AF118" s="9"/>
      <c r="AG118" s="21">
        <v>0.44387799999999999</v>
      </c>
      <c r="AH118" s="21">
        <v>19.558299999999999</v>
      </c>
      <c r="AI118" s="21">
        <v>-1.39893E-2</v>
      </c>
      <c r="AJ118" s="21">
        <v>108</v>
      </c>
      <c r="AK118" s="21">
        <v>0.44317600000000001</v>
      </c>
      <c r="AL118">
        <f t="shared" si="18"/>
        <v>17.270740740740738</v>
      </c>
      <c r="AM118">
        <f t="shared" si="19"/>
        <v>7.666101858518517</v>
      </c>
      <c r="AP118" s="9"/>
      <c r="AQ118" s="21">
        <v>1.2461899999999999</v>
      </c>
      <c r="AR118" s="21">
        <v>25.037400000000002</v>
      </c>
      <c r="AS118" s="21">
        <v>-1.37421E-2</v>
      </c>
      <c r="AT118" s="21">
        <v>108</v>
      </c>
      <c r="AU118" s="21">
        <v>1.24512</v>
      </c>
      <c r="AV118">
        <f t="shared" si="20"/>
        <v>16.965555555555554</v>
      </c>
      <c r="AW118">
        <f t="shared" si="21"/>
        <v>21.142305677777774</v>
      </c>
      <c r="AX118" s="9"/>
      <c r="AY118" s="21">
        <v>0.44387799999999999</v>
      </c>
      <c r="AZ118" s="21">
        <v>28.836500000000001</v>
      </c>
      <c r="BA118" s="21">
        <v>-1.40442E-2</v>
      </c>
      <c r="BB118" s="21">
        <v>108</v>
      </c>
      <c r="BC118" s="21">
        <v>0.44332899999999997</v>
      </c>
      <c r="BD118">
        <f t="shared" si="22"/>
        <v>17.338518518518516</v>
      </c>
      <c r="BE118">
        <f t="shared" si="23"/>
        <v>7.696186922962962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1.24115</v>
      </c>
      <c r="H119" s="21">
        <v>6.4700699999999998</v>
      </c>
      <c r="I119" s="21">
        <v>-1.37421E-2</v>
      </c>
      <c r="J119" s="21">
        <v>109</v>
      </c>
      <c r="K119" s="21">
        <v>1.2402299999999999</v>
      </c>
      <c r="L119">
        <f t="shared" si="12"/>
        <v>16.965555555555554</v>
      </c>
      <c r="M119">
        <f t="shared" si="13"/>
        <v>21.056799277777774</v>
      </c>
      <c r="N119" s="9"/>
      <c r="O119" s="21">
        <v>0.44891399999999998</v>
      </c>
      <c r="P119" s="21">
        <v>10.2691</v>
      </c>
      <c r="Q119" s="21">
        <v>-1.41266E-2</v>
      </c>
      <c r="R119" s="21">
        <v>109</v>
      </c>
      <c r="S119" s="21">
        <v>0.44830300000000001</v>
      </c>
      <c r="T119">
        <f t="shared" si="14"/>
        <v>17.440246913580246</v>
      </c>
      <c r="U119">
        <f t="shared" si="15"/>
        <v>7.829171002962962</v>
      </c>
      <c r="X119" s="9"/>
      <c r="Y119" s="21">
        <v>0.44891399999999998</v>
      </c>
      <c r="Z119" s="21">
        <v>10.2691</v>
      </c>
      <c r="AA119" s="21">
        <v>-1.41266E-2</v>
      </c>
      <c r="AB119" s="21">
        <v>109</v>
      </c>
      <c r="AC119" s="21">
        <v>0.44830300000000001</v>
      </c>
      <c r="AD119">
        <f t="shared" si="16"/>
        <v>17.440246913580246</v>
      </c>
      <c r="AE119">
        <f t="shared" si="17"/>
        <v>7.829171002962962</v>
      </c>
      <c r="AF119" s="9"/>
      <c r="AG119" s="21">
        <v>0.44891399999999998</v>
      </c>
      <c r="AH119" s="21">
        <v>19.568300000000001</v>
      </c>
      <c r="AI119" s="21">
        <v>-1.39893E-2</v>
      </c>
      <c r="AJ119" s="21">
        <v>109</v>
      </c>
      <c r="AK119" s="21">
        <v>0.448212</v>
      </c>
      <c r="AL119">
        <f t="shared" si="18"/>
        <v>17.270740740740738</v>
      </c>
      <c r="AM119">
        <f t="shared" si="19"/>
        <v>7.7530773088888871</v>
      </c>
      <c r="AP119" s="9"/>
      <c r="AQ119" s="21">
        <v>1.24115</v>
      </c>
      <c r="AR119" s="21">
        <v>25.047499999999999</v>
      </c>
      <c r="AS119" s="21">
        <v>-1.3754300000000001E-2</v>
      </c>
      <c r="AT119" s="21">
        <v>109</v>
      </c>
      <c r="AU119" s="21">
        <v>1.23993</v>
      </c>
      <c r="AV119">
        <f t="shared" si="20"/>
        <v>16.980617283950615</v>
      </c>
      <c r="AW119">
        <f t="shared" si="21"/>
        <v>21.075493141975304</v>
      </c>
      <c r="AX119" s="9"/>
      <c r="AY119" s="21">
        <v>0.44891399999999998</v>
      </c>
      <c r="AZ119" s="21">
        <v>28.846599999999999</v>
      </c>
      <c r="BA119" s="21">
        <v>-1.4047199999999999E-2</v>
      </c>
      <c r="BB119" s="21">
        <v>109</v>
      </c>
      <c r="BC119" s="21">
        <v>0.44833400000000001</v>
      </c>
      <c r="BD119">
        <f t="shared" si="22"/>
        <v>17.342222222222222</v>
      </c>
      <c r="BE119">
        <f t="shared" si="23"/>
        <v>7.7851663466666663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1.23611</v>
      </c>
      <c r="H120" s="21">
        <v>6.4801399999999996</v>
      </c>
      <c r="I120" s="21">
        <v>-1.3736E-2</v>
      </c>
      <c r="J120" s="21">
        <v>110</v>
      </c>
      <c r="K120" s="21">
        <v>1.23566</v>
      </c>
      <c r="L120">
        <f t="shared" si="12"/>
        <v>16.958024691358023</v>
      </c>
      <c r="M120">
        <f t="shared" si="13"/>
        <v>20.961983901234568</v>
      </c>
      <c r="N120" s="9"/>
      <c r="O120" s="21">
        <v>0.45394899999999999</v>
      </c>
      <c r="P120" s="21">
        <v>10.279199999999999</v>
      </c>
      <c r="Q120" s="21">
        <v>-1.41174E-2</v>
      </c>
      <c r="R120" s="21">
        <v>110</v>
      </c>
      <c r="S120" s="21">
        <v>0.45333899999999999</v>
      </c>
      <c r="T120">
        <f t="shared" si="14"/>
        <v>17.428888888888888</v>
      </c>
      <c r="U120">
        <f t="shared" si="15"/>
        <v>7.9118266822222223</v>
      </c>
      <c r="X120" s="9"/>
      <c r="Y120" s="21">
        <v>0.45394899999999999</v>
      </c>
      <c r="Z120" s="21">
        <v>10.279199999999999</v>
      </c>
      <c r="AA120" s="21">
        <v>-1.41174E-2</v>
      </c>
      <c r="AB120" s="21">
        <v>110</v>
      </c>
      <c r="AC120" s="21">
        <v>0.45333899999999999</v>
      </c>
      <c r="AD120">
        <f t="shared" si="16"/>
        <v>17.428888888888888</v>
      </c>
      <c r="AE120">
        <f t="shared" si="17"/>
        <v>7.9118266822222223</v>
      </c>
      <c r="AF120" s="9"/>
      <c r="AG120" s="21">
        <v>0.45394899999999999</v>
      </c>
      <c r="AH120" s="21">
        <v>19.578399999999998</v>
      </c>
      <c r="AI120" s="21">
        <v>-1.3986200000000001E-2</v>
      </c>
      <c r="AJ120" s="21">
        <v>110</v>
      </c>
      <c r="AK120" s="21">
        <v>0.45330799999999999</v>
      </c>
      <c r="AL120">
        <f t="shared" si="18"/>
        <v>17.266913580246914</v>
      </c>
      <c r="AM120">
        <f t="shared" si="19"/>
        <v>7.8382981528395064</v>
      </c>
      <c r="AP120" s="9"/>
      <c r="AQ120" s="21">
        <v>1.23611</v>
      </c>
      <c r="AR120" s="21">
        <v>25.057600000000001</v>
      </c>
      <c r="AS120" s="21">
        <v>-1.3760400000000001E-2</v>
      </c>
      <c r="AT120" s="21">
        <v>110</v>
      </c>
      <c r="AU120" s="21">
        <v>1.2353499999999999</v>
      </c>
      <c r="AV120">
        <f t="shared" si="20"/>
        <v>16.988148148148149</v>
      </c>
      <c r="AW120">
        <f t="shared" si="21"/>
        <v>20.99921980740741</v>
      </c>
      <c r="AX120" s="9"/>
      <c r="AY120" s="21">
        <v>0.45394899999999999</v>
      </c>
      <c r="AZ120" s="21">
        <v>28.8566</v>
      </c>
      <c r="BA120" s="21">
        <v>-1.4047199999999999E-2</v>
      </c>
      <c r="BB120" s="21">
        <v>110</v>
      </c>
      <c r="BC120" s="21">
        <v>0.45336900000000002</v>
      </c>
      <c r="BD120">
        <f t="shared" si="22"/>
        <v>17.342222222222222</v>
      </c>
      <c r="BE120">
        <f t="shared" si="23"/>
        <v>7.8724844355555552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1.23108</v>
      </c>
      <c r="H121" s="21">
        <v>6.4902100000000003</v>
      </c>
      <c r="I121" s="21">
        <v>-1.37421E-2</v>
      </c>
      <c r="J121" s="21">
        <v>111</v>
      </c>
      <c r="K121" s="21">
        <v>1.2301599999999999</v>
      </c>
      <c r="L121">
        <f t="shared" si="12"/>
        <v>16.965555555555554</v>
      </c>
      <c r="M121">
        <f t="shared" si="13"/>
        <v>20.88595613333333</v>
      </c>
      <c r="N121" s="9"/>
      <c r="O121" s="21">
        <v>0.458984</v>
      </c>
      <c r="P121" s="21">
        <v>10.289300000000001</v>
      </c>
      <c r="Q121" s="21">
        <v>-1.41174E-2</v>
      </c>
      <c r="R121" s="21">
        <v>111</v>
      </c>
      <c r="S121" s="21">
        <v>0.45849600000000001</v>
      </c>
      <c r="T121">
        <f t="shared" si="14"/>
        <v>17.428888888888888</v>
      </c>
      <c r="U121">
        <f t="shared" si="15"/>
        <v>7.9995811377777777</v>
      </c>
      <c r="X121" s="9"/>
      <c r="Y121" s="21">
        <v>0.458984</v>
      </c>
      <c r="Z121" s="21">
        <v>10.289300000000001</v>
      </c>
      <c r="AA121" s="21">
        <v>-1.41174E-2</v>
      </c>
      <c r="AB121" s="21">
        <v>111</v>
      </c>
      <c r="AC121" s="21">
        <v>0.45849600000000001</v>
      </c>
      <c r="AD121">
        <f t="shared" si="16"/>
        <v>17.428888888888888</v>
      </c>
      <c r="AE121">
        <f t="shared" si="17"/>
        <v>7.9995811377777777</v>
      </c>
      <c r="AF121" s="9"/>
      <c r="AG121" s="21">
        <v>0.458984</v>
      </c>
      <c r="AH121" s="21">
        <v>19.5885</v>
      </c>
      <c r="AI121" s="21">
        <v>-1.3983199999999999E-2</v>
      </c>
      <c r="AJ121" s="21">
        <v>111</v>
      </c>
      <c r="AK121" s="21">
        <v>0.45846599999999998</v>
      </c>
      <c r="AL121">
        <f t="shared" si="18"/>
        <v>17.263209876543208</v>
      </c>
      <c r="AM121">
        <f t="shared" si="19"/>
        <v>7.9235371219753077</v>
      </c>
      <c r="AP121" s="9"/>
      <c r="AQ121" s="21">
        <v>1.23108</v>
      </c>
      <c r="AR121" s="21">
        <v>25.067699999999999</v>
      </c>
      <c r="AS121" s="21">
        <v>-1.37634E-2</v>
      </c>
      <c r="AT121" s="21">
        <v>111</v>
      </c>
      <c r="AU121" s="21">
        <v>1.2301599999999999</v>
      </c>
      <c r="AV121">
        <f t="shared" si="20"/>
        <v>16.991851851851852</v>
      </c>
      <c r="AW121">
        <f t="shared" si="21"/>
        <v>20.918328977777776</v>
      </c>
      <c r="AX121" s="9"/>
      <c r="AY121" s="21">
        <v>0.458984</v>
      </c>
      <c r="AZ121" s="21">
        <v>28.866700000000002</v>
      </c>
      <c r="BA121" s="21">
        <v>-1.40442E-2</v>
      </c>
      <c r="BB121" s="21">
        <v>111</v>
      </c>
      <c r="BC121" s="21">
        <v>0.45843499999999998</v>
      </c>
      <c r="BD121">
        <f t="shared" si="22"/>
        <v>17.338518518518516</v>
      </c>
      <c r="BE121">
        <f t="shared" si="23"/>
        <v>7.9581025837037025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1.22604</v>
      </c>
      <c r="H122" s="21">
        <v>6.5002800000000001</v>
      </c>
      <c r="I122" s="21">
        <v>-1.37451E-2</v>
      </c>
      <c r="J122" s="21">
        <v>112</v>
      </c>
      <c r="K122" s="21">
        <v>1.22498</v>
      </c>
      <c r="L122">
        <f t="shared" si="12"/>
        <v>16.969259259259257</v>
      </c>
      <c r="M122">
        <f t="shared" si="13"/>
        <v>20.804990622222221</v>
      </c>
      <c r="N122" s="9"/>
      <c r="O122" s="21">
        <v>0.46401999999999999</v>
      </c>
      <c r="P122" s="21">
        <v>10.299300000000001</v>
      </c>
      <c r="Q122" s="21">
        <v>-1.41113E-2</v>
      </c>
      <c r="R122" s="21">
        <v>112</v>
      </c>
      <c r="S122" s="21">
        <v>0.46337899999999999</v>
      </c>
      <c r="T122">
        <f t="shared" si="14"/>
        <v>17.421358024691358</v>
      </c>
      <c r="U122">
        <f t="shared" si="15"/>
        <v>8.0838585506172844</v>
      </c>
      <c r="X122" s="9"/>
      <c r="Y122" s="21">
        <v>0.46401999999999999</v>
      </c>
      <c r="Z122" s="21">
        <v>10.299300000000001</v>
      </c>
      <c r="AA122" s="21">
        <v>-1.41113E-2</v>
      </c>
      <c r="AB122" s="21">
        <v>112</v>
      </c>
      <c r="AC122" s="21">
        <v>0.46337899999999999</v>
      </c>
      <c r="AD122">
        <f t="shared" si="16"/>
        <v>17.421358024691358</v>
      </c>
      <c r="AE122">
        <f t="shared" si="17"/>
        <v>8.0838585506172844</v>
      </c>
      <c r="AF122" s="9"/>
      <c r="AG122" s="21">
        <v>0.46401999999999999</v>
      </c>
      <c r="AH122" s="21">
        <v>19.598500000000001</v>
      </c>
      <c r="AI122" s="21">
        <v>-1.3986200000000001E-2</v>
      </c>
      <c r="AJ122" s="21">
        <v>112</v>
      </c>
      <c r="AK122" s="21">
        <v>0.46340900000000002</v>
      </c>
      <c r="AL122">
        <f t="shared" si="18"/>
        <v>17.266913580246914</v>
      </c>
      <c r="AM122">
        <f t="shared" si="19"/>
        <v>8.012193239506173</v>
      </c>
      <c r="AP122" s="9"/>
      <c r="AQ122" s="21">
        <v>1.22604</v>
      </c>
      <c r="AR122" s="21">
        <v>25.0777</v>
      </c>
      <c r="AS122" s="21">
        <v>-1.3766499999999999E-2</v>
      </c>
      <c r="AT122" s="21">
        <v>112</v>
      </c>
      <c r="AU122" s="21">
        <v>1.22559</v>
      </c>
      <c r="AV122">
        <f t="shared" si="20"/>
        <v>16.995679012345676</v>
      </c>
      <c r="AW122">
        <f t="shared" si="21"/>
        <v>20.837382296296294</v>
      </c>
      <c r="AX122" s="9"/>
      <c r="AY122" s="21">
        <v>0.46401999999999999</v>
      </c>
      <c r="AZ122" s="21">
        <v>28.876799999999999</v>
      </c>
      <c r="BA122" s="21">
        <v>-1.4047199999999999E-2</v>
      </c>
      <c r="BB122" s="21">
        <v>112</v>
      </c>
      <c r="BC122" s="21">
        <v>0.46337899999999999</v>
      </c>
      <c r="BD122">
        <f t="shared" si="22"/>
        <v>17.342222222222222</v>
      </c>
      <c r="BE122">
        <f t="shared" si="23"/>
        <v>8.0471379555555558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1.2210099999999999</v>
      </c>
      <c r="H123" s="21">
        <v>6.5103499999999999</v>
      </c>
      <c r="I123" s="21">
        <v>-1.37482E-2</v>
      </c>
      <c r="J123" s="21">
        <v>113</v>
      </c>
      <c r="K123" s="21">
        <v>1.2200899999999999</v>
      </c>
      <c r="L123">
        <f t="shared" si="12"/>
        <v>16.973086419753084</v>
      </c>
      <c r="M123">
        <f t="shared" si="13"/>
        <v>20.724308249382712</v>
      </c>
      <c r="N123" s="9"/>
      <c r="O123" s="21">
        <v>0.469055</v>
      </c>
      <c r="P123" s="21">
        <v>10.3094</v>
      </c>
      <c r="Q123" s="21">
        <v>-1.41113E-2</v>
      </c>
      <c r="R123" s="21">
        <v>113</v>
      </c>
      <c r="S123" s="21">
        <v>0.468445</v>
      </c>
      <c r="T123">
        <f t="shared" si="14"/>
        <v>17.421358024691358</v>
      </c>
      <c r="U123">
        <f t="shared" si="15"/>
        <v>8.1715750882716041</v>
      </c>
      <c r="X123" s="9"/>
      <c r="Y123" s="21">
        <v>0.469055</v>
      </c>
      <c r="Z123" s="21">
        <v>10.3094</v>
      </c>
      <c r="AA123" s="21">
        <v>-1.41113E-2</v>
      </c>
      <c r="AB123" s="21">
        <v>113</v>
      </c>
      <c r="AC123" s="21">
        <v>0.468445</v>
      </c>
      <c r="AD123">
        <f t="shared" si="16"/>
        <v>17.421358024691358</v>
      </c>
      <c r="AE123">
        <f t="shared" si="17"/>
        <v>8.1715750882716041</v>
      </c>
      <c r="AF123" s="9"/>
      <c r="AG123" s="21">
        <v>0.469055</v>
      </c>
      <c r="AH123" s="21">
        <v>19.608599999999999</v>
      </c>
      <c r="AI123" s="21">
        <v>-1.39893E-2</v>
      </c>
      <c r="AJ123" s="21">
        <v>113</v>
      </c>
      <c r="AK123" s="21">
        <v>0.468414</v>
      </c>
      <c r="AL123">
        <f t="shared" si="18"/>
        <v>17.270740740740738</v>
      </c>
      <c r="AM123">
        <f t="shared" si="19"/>
        <v>8.1009272981481466</v>
      </c>
      <c r="AP123" s="9"/>
      <c r="AQ123" s="21">
        <v>1.2210099999999999</v>
      </c>
      <c r="AR123" s="21">
        <v>25.087800000000001</v>
      </c>
      <c r="AS123" s="21">
        <v>-1.37787E-2</v>
      </c>
      <c r="AT123" s="21">
        <v>113</v>
      </c>
      <c r="AU123" s="21">
        <v>1.2203999999999999</v>
      </c>
      <c r="AV123">
        <f t="shared" si="20"/>
        <v>17.01074074074074</v>
      </c>
      <c r="AW123">
        <f t="shared" si="21"/>
        <v>20.770284551851852</v>
      </c>
      <c r="AX123" s="9"/>
      <c r="AY123" s="21">
        <v>0.469055</v>
      </c>
      <c r="AZ123" s="21">
        <v>28.886800000000001</v>
      </c>
      <c r="BA123" s="21">
        <v>-1.40625E-2</v>
      </c>
      <c r="BB123" s="21">
        <v>113</v>
      </c>
      <c r="BC123" s="21">
        <v>0.468445</v>
      </c>
      <c r="BD123">
        <f t="shared" si="22"/>
        <v>17.361111111111111</v>
      </c>
      <c r="BE123">
        <f t="shared" si="23"/>
        <v>8.1433159722222221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1.21597</v>
      </c>
      <c r="H124" s="21">
        <v>6.5204199999999997</v>
      </c>
      <c r="I124" s="21">
        <v>-1.37482E-2</v>
      </c>
      <c r="J124" s="21">
        <v>114</v>
      </c>
      <c r="K124" s="21">
        <v>1.2145999999999999</v>
      </c>
      <c r="L124">
        <f t="shared" si="12"/>
        <v>16.973086419753084</v>
      </c>
      <c r="M124">
        <f t="shared" si="13"/>
        <v>20.638763893827157</v>
      </c>
      <c r="N124" s="9"/>
      <c r="O124" s="21">
        <v>0.47409099999999998</v>
      </c>
      <c r="P124" s="21">
        <v>10.3195</v>
      </c>
      <c r="Q124" s="21">
        <v>-1.41052E-2</v>
      </c>
      <c r="R124" s="21">
        <v>114</v>
      </c>
      <c r="S124" s="21">
        <v>0.47351100000000002</v>
      </c>
      <c r="T124">
        <f t="shared" si="14"/>
        <v>17.413827160493828</v>
      </c>
      <c r="U124">
        <f t="shared" si="15"/>
        <v>8.2557387323456783</v>
      </c>
      <c r="X124" s="9"/>
      <c r="Y124" s="21">
        <v>0.47409099999999998</v>
      </c>
      <c r="Z124" s="21">
        <v>10.3195</v>
      </c>
      <c r="AA124" s="21">
        <v>-1.41052E-2</v>
      </c>
      <c r="AB124" s="21">
        <v>114</v>
      </c>
      <c r="AC124" s="21">
        <v>0.47351100000000002</v>
      </c>
      <c r="AD124">
        <f t="shared" si="16"/>
        <v>17.413827160493828</v>
      </c>
      <c r="AE124">
        <f t="shared" si="17"/>
        <v>8.2557387323456783</v>
      </c>
      <c r="AF124" s="9"/>
      <c r="AG124" s="21">
        <v>0.47409099999999998</v>
      </c>
      <c r="AH124" s="21">
        <v>19.6187</v>
      </c>
      <c r="AI124" s="21">
        <v>-1.40076E-2</v>
      </c>
      <c r="AJ124" s="21">
        <v>114</v>
      </c>
      <c r="AK124" s="21">
        <v>0.47329700000000002</v>
      </c>
      <c r="AL124">
        <f t="shared" si="18"/>
        <v>17.293333333333333</v>
      </c>
      <c r="AM124">
        <f t="shared" si="19"/>
        <v>8.1986136933333338</v>
      </c>
      <c r="AP124" s="9"/>
      <c r="AQ124" s="21">
        <v>1.21597</v>
      </c>
      <c r="AR124" s="21">
        <v>25.097899999999999</v>
      </c>
      <c r="AS124" s="21">
        <v>-1.3797E-2</v>
      </c>
      <c r="AT124" s="21">
        <v>114</v>
      </c>
      <c r="AU124" s="21">
        <v>1.2152099999999999</v>
      </c>
      <c r="AV124">
        <f t="shared" si="20"/>
        <v>17.033333333333331</v>
      </c>
      <c r="AW124">
        <f t="shared" si="21"/>
        <v>20.71202233333333</v>
      </c>
      <c r="AX124" s="9"/>
      <c r="AY124" s="21">
        <v>0.47409099999999998</v>
      </c>
      <c r="AZ124" s="21">
        <v>28.896899999999999</v>
      </c>
      <c r="BA124" s="21">
        <v>-1.40778E-2</v>
      </c>
      <c r="BB124" s="21">
        <v>114</v>
      </c>
      <c r="BC124" s="21">
        <v>0.47341899999999998</v>
      </c>
      <c r="BD124">
        <f t="shared" si="22"/>
        <v>17.38</v>
      </c>
      <c r="BE124">
        <f t="shared" si="23"/>
        <v>8.2397015799999984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1.2109399999999999</v>
      </c>
      <c r="H125" s="21">
        <v>6.5304900000000004</v>
      </c>
      <c r="I125" s="21">
        <v>-1.3754300000000001E-2</v>
      </c>
      <c r="J125" s="21">
        <v>115</v>
      </c>
      <c r="K125" s="21">
        <v>1.2106300000000001</v>
      </c>
      <c r="L125">
        <f t="shared" si="12"/>
        <v>16.980617283950615</v>
      </c>
      <c r="M125">
        <f t="shared" si="13"/>
        <v>20.562508693827155</v>
      </c>
      <c r="N125" s="9"/>
      <c r="O125" s="21">
        <v>0.479126</v>
      </c>
      <c r="P125" s="21">
        <v>10.329499999999999</v>
      </c>
      <c r="Q125" s="21">
        <v>-1.40991E-2</v>
      </c>
      <c r="R125" s="21">
        <v>115</v>
      </c>
      <c r="S125" s="21">
        <v>0.47857699999999997</v>
      </c>
      <c r="T125">
        <f t="shared" si="14"/>
        <v>17.406296296296293</v>
      </c>
      <c r="U125">
        <f t="shared" si="15"/>
        <v>8.3398091192592574</v>
      </c>
      <c r="X125" s="9"/>
      <c r="Y125" s="21">
        <v>0.479126</v>
      </c>
      <c r="Z125" s="21">
        <v>10.329499999999999</v>
      </c>
      <c r="AA125" s="21">
        <v>-1.40991E-2</v>
      </c>
      <c r="AB125" s="21">
        <v>115</v>
      </c>
      <c r="AC125" s="21">
        <v>0.47857699999999997</v>
      </c>
      <c r="AD125">
        <f t="shared" si="16"/>
        <v>17.406296296296293</v>
      </c>
      <c r="AE125">
        <f t="shared" si="17"/>
        <v>8.3398091192592574</v>
      </c>
      <c r="AF125" s="9"/>
      <c r="AG125" s="21">
        <v>0.479126</v>
      </c>
      <c r="AH125" s="21">
        <v>19.628799999999998</v>
      </c>
      <c r="AI125" s="21">
        <v>-1.40228E-2</v>
      </c>
      <c r="AJ125" s="21">
        <v>115</v>
      </c>
      <c r="AK125" s="21">
        <v>0.47854600000000003</v>
      </c>
      <c r="AL125">
        <f t="shared" si="18"/>
        <v>17.312098765432097</v>
      </c>
      <c r="AM125">
        <f t="shared" si="19"/>
        <v>8.2946766330864197</v>
      </c>
      <c r="AP125" s="9"/>
      <c r="AQ125" s="21">
        <v>1.2109399999999999</v>
      </c>
      <c r="AR125" s="21">
        <v>25.107900000000001</v>
      </c>
      <c r="AS125" s="21">
        <v>-1.38123E-2</v>
      </c>
      <c r="AT125" s="21">
        <v>115</v>
      </c>
      <c r="AU125" s="21">
        <v>1.2106300000000001</v>
      </c>
      <c r="AV125">
        <f t="shared" si="20"/>
        <v>17.052222222222223</v>
      </c>
      <c r="AW125">
        <f t="shared" si="21"/>
        <v>20.649217977777777</v>
      </c>
      <c r="AX125" s="9"/>
      <c r="AY125" s="21">
        <v>0.479126</v>
      </c>
      <c r="AZ125" s="21">
        <v>28.907</v>
      </c>
      <c r="BA125" s="21">
        <v>-1.40778E-2</v>
      </c>
      <c r="BB125" s="21">
        <v>115</v>
      </c>
      <c r="BC125" s="21">
        <v>0.47848499999999999</v>
      </c>
      <c r="BD125">
        <f t="shared" si="22"/>
        <v>17.38</v>
      </c>
      <c r="BE125">
        <f t="shared" si="23"/>
        <v>8.3272098799999998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1.2059</v>
      </c>
      <c r="H126" s="21">
        <v>6.5405600000000002</v>
      </c>
      <c r="I126" s="21">
        <v>-1.37695E-2</v>
      </c>
      <c r="J126" s="21">
        <v>116</v>
      </c>
      <c r="K126" s="21">
        <v>1.2048300000000001</v>
      </c>
      <c r="L126">
        <f t="shared" si="12"/>
        <v>16.999382716049382</v>
      </c>
      <c r="M126">
        <f t="shared" si="13"/>
        <v>20.499555617283949</v>
      </c>
      <c r="N126" s="9"/>
      <c r="O126" s="21">
        <v>0.48416100000000001</v>
      </c>
      <c r="P126" s="21">
        <v>10.339600000000001</v>
      </c>
      <c r="Q126" s="21">
        <v>-1.40839E-2</v>
      </c>
      <c r="R126" s="21">
        <v>116</v>
      </c>
      <c r="S126" s="21">
        <v>0.48348999999999998</v>
      </c>
      <c r="T126">
        <f t="shared" si="14"/>
        <v>17.387530864197529</v>
      </c>
      <c r="U126">
        <f t="shared" si="15"/>
        <v>8.4183643307407401</v>
      </c>
      <c r="X126" s="9"/>
      <c r="Y126" s="21">
        <v>0.48416100000000001</v>
      </c>
      <c r="Z126" s="21">
        <v>10.339600000000001</v>
      </c>
      <c r="AA126" s="21">
        <v>-1.40839E-2</v>
      </c>
      <c r="AB126" s="21">
        <v>116</v>
      </c>
      <c r="AC126" s="21">
        <v>0.48348999999999998</v>
      </c>
      <c r="AD126">
        <f t="shared" si="16"/>
        <v>17.387530864197529</v>
      </c>
      <c r="AE126">
        <f t="shared" si="17"/>
        <v>8.4183643307407401</v>
      </c>
      <c r="AF126" s="9"/>
      <c r="AG126" s="21">
        <v>0.48416100000000001</v>
      </c>
      <c r="AH126" s="21">
        <v>19.6388</v>
      </c>
      <c r="AI126" s="21">
        <v>-1.4035000000000001E-2</v>
      </c>
      <c r="AJ126" s="21">
        <v>116</v>
      </c>
      <c r="AK126" s="21">
        <v>0.48361199999999999</v>
      </c>
      <c r="AL126">
        <f t="shared" si="18"/>
        <v>17.327160493827162</v>
      </c>
      <c r="AM126">
        <f t="shared" si="19"/>
        <v>8.3891353518518521</v>
      </c>
      <c r="AP126" s="9"/>
      <c r="AQ126" s="21">
        <v>1.2059</v>
      </c>
      <c r="AR126" s="21">
        <v>25.117999999999999</v>
      </c>
      <c r="AS126" s="21">
        <v>-1.38184E-2</v>
      </c>
      <c r="AT126" s="21">
        <v>116</v>
      </c>
      <c r="AU126" s="21">
        <v>1.2045300000000001</v>
      </c>
      <c r="AV126">
        <f t="shared" si="20"/>
        <v>17.05975308641975</v>
      </c>
      <c r="AW126">
        <f t="shared" si="21"/>
        <v>20.572356246913575</v>
      </c>
      <c r="AX126" s="9"/>
      <c r="AY126" s="21">
        <v>0.48416100000000001</v>
      </c>
      <c r="AZ126" s="21">
        <v>28.917100000000001</v>
      </c>
      <c r="BA126" s="21">
        <v>-1.4074700000000001E-2</v>
      </c>
      <c r="BB126" s="21">
        <v>116</v>
      </c>
      <c r="BC126" s="21">
        <v>0.48355100000000001</v>
      </c>
      <c r="BD126">
        <f t="shared" si="22"/>
        <v>17.376172839506172</v>
      </c>
      <c r="BE126">
        <f t="shared" si="23"/>
        <v>8.4128652181481485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1.2008700000000001</v>
      </c>
      <c r="H127" s="21">
        <v>6.55063</v>
      </c>
      <c r="I127" s="21">
        <v>-1.37787E-2</v>
      </c>
      <c r="J127" s="21">
        <v>117</v>
      </c>
      <c r="K127" s="21">
        <v>1.1999500000000001</v>
      </c>
      <c r="L127">
        <f t="shared" si="12"/>
        <v>17.01074074074074</v>
      </c>
      <c r="M127">
        <f t="shared" si="13"/>
        <v>20.427688233333335</v>
      </c>
      <c r="N127" s="9"/>
      <c r="O127" s="21">
        <v>0.48919699999999999</v>
      </c>
      <c r="P127" s="21">
        <v>10.3497</v>
      </c>
      <c r="Q127" s="21">
        <v>-1.40778E-2</v>
      </c>
      <c r="R127" s="21">
        <v>117</v>
      </c>
      <c r="S127" s="21">
        <v>0.48858600000000002</v>
      </c>
      <c r="T127">
        <f t="shared" si="14"/>
        <v>17.38</v>
      </c>
      <c r="U127">
        <f t="shared" si="15"/>
        <v>8.5022438600000001</v>
      </c>
      <c r="X127" s="9"/>
      <c r="Y127" s="21">
        <v>0.48919699999999999</v>
      </c>
      <c r="Z127" s="21">
        <v>10.3497</v>
      </c>
      <c r="AA127" s="21">
        <v>-1.40778E-2</v>
      </c>
      <c r="AB127" s="21">
        <v>117</v>
      </c>
      <c r="AC127" s="21">
        <v>0.48858600000000002</v>
      </c>
      <c r="AD127">
        <f t="shared" si="16"/>
        <v>17.38</v>
      </c>
      <c r="AE127">
        <f t="shared" si="17"/>
        <v>8.5022438600000001</v>
      </c>
      <c r="AF127" s="9"/>
      <c r="AG127" s="21">
        <v>0.48919699999999999</v>
      </c>
      <c r="AH127" s="21">
        <v>19.648900000000001</v>
      </c>
      <c r="AI127" s="21">
        <v>-1.4035000000000001E-2</v>
      </c>
      <c r="AJ127" s="21">
        <v>117</v>
      </c>
      <c r="AK127" s="21">
        <v>0.48861700000000002</v>
      </c>
      <c r="AL127">
        <f t="shared" si="18"/>
        <v>17.327160493827162</v>
      </c>
      <c r="AM127">
        <f t="shared" si="19"/>
        <v>8.4763949320987653</v>
      </c>
      <c r="AP127" s="9"/>
      <c r="AQ127" s="21">
        <v>1.2008700000000001</v>
      </c>
      <c r="AR127" s="21">
        <v>25.1281</v>
      </c>
      <c r="AS127" s="21">
        <v>-1.38367E-2</v>
      </c>
      <c r="AT127" s="21">
        <v>117</v>
      </c>
      <c r="AU127" s="21">
        <v>1.2002600000000001</v>
      </c>
      <c r="AV127">
        <f t="shared" si="20"/>
        <v>17.082345679012345</v>
      </c>
      <c r="AW127">
        <f t="shared" si="21"/>
        <v>20.513676455555558</v>
      </c>
      <c r="AX127" s="9"/>
      <c r="AY127" s="21">
        <v>0.48919699999999999</v>
      </c>
      <c r="AZ127" s="21">
        <v>28.927099999999999</v>
      </c>
      <c r="BA127" s="21">
        <v>-1.4074700000000001E-2</v>
      </c>
      <c r="BB127" s="21">
        <v>117</v>
      </c>
      <c r="BC127" s="21">
        <v>0.48858600000000002</v>
      </c>
      <c r="BD127">
        <f t="shared" si="22"/>
        <v>17.376172839506172</v>
      </c>
      <c r="BE127">
        <f t="shared" si="23"/>
        <v>8.5003716245679009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1.1958299999999999</v>
      </c>
      <c r="H128" s="21">
        <v>6.5606999999999998</v>
      </c>
      <c r="I128" s="21">
        <v>-1.37909E-2</v>
      </c>
      <c r="J128" s="21">
        <v>118</v>
      </c>
      <c r="K128" s="21">
        <v>1.19537</v>
      </c>
      <c r="L128">
        <f t="shared" si="12"/>
        <v>17.025802469135801</v>
      </c>
      <c r="M128">
        <f t="shared" si="13"/>
        <v>20.359965366666664</v>
      </c>
      <c r="N128" s="9"/>
      <c r="O128" s="21">
        <v>0.494232</v>
      </c>
      <c r="P128" s="21">
        <v>10.3598</v>
      </c>
      <c r="Q128" s="21">
        <v>-1.4074700000000001E-2</v>
      </c>
      <c r="R128" s="21">
        <v>118</v>
      </c>
      <c r="S128" s="21">
        <v>0.493591</v>
      </c>
      <c r="T128">
        <f t="shared" si="14"/>
        <v>17.376172839506172</v>
      </c>
      <c r="U128">
        <f t="shared" si="15"/>
        <v>8.5878606548148149</v>
      </c>
      <c r="X128" s="9"/>
      <c r="Y128" s="21">
        <v>0.494232</v>
      </c>
      <c r="Z128" s="21">
        <v>10.3598</v>
      </c>
      <c r="AA128" s="21">
        <v>-1.4074700000000001E-2</v>
      </c>
      <c r="AB128" s="21">
        <v>118</v>
      </c>
      <c r="AC128" s="21">
        <v>0.493591</v>
      </c>
      <c r="AD128">
        <f t="shared" si="16"/>
        <v>17.376172839506172</v>
      </c>
      <c r="AE128">
        <f t="shared" si="17"/>
        <v>8.5878606548148149</v>
      </c>
      <c r="AF128" s="9"/>
      <c r="AG128" s="21">
        <v>0.494232</v>
      </c>
      <c r="AH128" s="21">
        <v>19.658999999999999</v>
      </c>
      <c r="AI128" s="21">
        <v>-1.4035000000000001E-2</v>
      </c>
      <c r="AJ128" s="21">
        <v>118</v>
      </c>
      <c r="AK128" s="21">
        <v>0.49368299999999998</v>
      </c>
      <c r="AL128">
        <f t="shared" si="18"/>
        <v>17.327160493827162</v>
      </c>
      <c r="AM128">
        <f t="shared" si="19"/>
        <v>8.5636371851851862</v>
      </c>
      <c r="AP128" s="9"/>
      <c r="AQ128" s="21">
        <v>1.1958299999999999</v>
      </c>
      <c r="AR128" s="21">
        <v>25.138100000000001</v>
      </c>
      <c r="AS128" s="21">
        <v>-1.3858000000000001E-2</v>
      </c>
      <c r="AT128" s="21">
        <v>118</v>
      </c>
      <c r="AU128" s="21">
        <v>1.1950700000000001</v>
      </c>
      <c r="AV128">
        <f t="shared" si="20"/>
        <v>17.10864197530864</v>
      </c>
      <c r="AW128">
        <f t="shared" si="21"/>
        <v>20.459027333333328</v>
      </c>
      <c r="AX128" s="9"/>
      <c r="AY128" s="21">
        <v>0.494232</v>
      </c>
      <c r="AZ128" s="21">
        <v>28.937200000000001</v>
      </c>
      <c r="BA128" s="21">
        <v>-1.40778E-2</v>
      </c>
      <c r="BB128" s="21">
        <v>118</v>
      </c>
      <c r="BC128" s="21">
        <v>0.49356100000000003</v>
      </c>
      <c r="BD128">
        <f t="shared" si="22"/>
        <v>17.38</v>
      </c>
      <c r="BE128">
        <f t="shared" si="23"/>
        <v>8.5897521599999997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1.1908000000000001</v>
      </c>
      <c r="H129" s="21">
        <v>6.5707800000000001</v>
      </c>
      <c r="I129" s="21">
        <v>-1.3809200000000001E-2</v>
      </c>
      <c r="J129" s="21">
        <v>119</v>
      </c>
      <c r="K129" s="21">
        <v>1.19049</v>
      </c>
      <c r="L129">
        <f t="shared" si="12"/>
        <v>17.048395061728392</v>
      </c>
      <c r="M129">
        <f t="shared" si="13"/>
        <v>20.30122883950617</v>
      </c>
      <c r="N129" s="9"/>
      <c r="O129" s="21">
        <v>0.49926799999999999</v>
      </c>
      <c r="P129" s="21">
        <v>10.3698</v>
      </c>
      <c r="Q129" s="21">
        <v>-1.4071699999999999E-2</v>
      </c>
      <c r="R129" s="21">
        <v>119</v>
      </c>
      <c r="S129" s="21">
        <v>0.49853500000000001</v>
      </c>
      <c r="T129">
        <f t="shared" si="14"/>
        <v>17.372469135802469</v>
      </c>
      <c r="U129">
        <f t="shared" si="15"/>
        <v>8.6735179204938273</v>
      </c>
      <c r="X129" s="9"/>
      <c r="Y129" s="21">
        <v>0.49926799999999999</v>
      </c>
      <c r="Z129" s="21">
        <v>10.3698</v>
      </c>
      <c r="AA129" s="21">
        <v>-1.4071699999999999E-2</v>
      </c>
      <c r="AB129" s="21">
        <v>119</v>
      </c>
      <c r="AC129" s="21">
        <v>0.49853500000000001</v>
      </c>
      <c r="AD129">
        <f t="shared" si="16"/>
        <v>17.372469135802469</v>
      </c>
      <c r="AE129">
        <f t="shared" si="17"/>
        <v>8.6735179204938273</v>
      </c>
      <c r="AF129" s="9"/>
      <c r="AG129" s="21">
        <v>0.49926799999999999</v>
      </c>
      <c r="AH129" s="21">
        <v>19.669</v>
      </c>
      <c r="AI129" s="21">
        <v>-1.4047199999999999E-2</v>
      </c>
      <c r="AJ129" s="21">
        <v>119</v>
      </c>
      <c r="AK129" s="21">
        <v>0.49865700000000002</v>
      </c>
      <c r="AL129">
        <f t="shared" si="18"/>
        <v>17.342222222222222</v>
      </c>
      <c r="AM129">
        <f t="shared" si="19"/>
        <v>8.6584166044444437</v>
      </c>
      <c r="AP129" s="9"/>
      <c r="AQ129" s="21">
        <v>1.1908000000000001</v>
      </c>
      <c r="AR129" s="21">
        <v>25.148199999999999</v>
      </c>
      <c r="AS129" s="21">
        <v>-1.38733E-2</v>
      </c>
      <c r="AT129" s="21">
        <v>119</v>
      </c>
      <c r="AU129" s="21">
        <v>1.18988</v>
      </c>
      <c r="AV129">
        <f t="shared" si="20"/>
        <v>17.127530864197528</v>
      </c>
      <c r="AW129">
        <f t="shared" si="21"/>
        <v>20.395463753086418</v>
      </c>
      <c r="AX129" s="9"/>
      <c r="AY129" s="21">
        <v>0.49926799999999999</v>
      </c>
      <c r="AZ129" s="21">
        <v>28.947299999999998</v>
      </c>
      <c r="BA129" s="21">
        <v>-1.4074700000000001E-2</v>
      </c>
      <c r="BB129" s="21">
        <v>119</v>
      </c>
      <c r="BC129" s="21">
        <v>0.49859599999999998</v>
      </c>
      <c r="BD129">
        <f t="shared" si="22"/>
        <v>17.376172839506172</v>
      </c>
      <c r="BE129">
        <f t="shared" si="23"/>
        <v>8.6753670612345672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1.1857599999999999</v>
      </c>
      <c r="H130" s="21">
        <v>6.5808499999999999</v>
      </c>
      <c r="I130" s="21">
        <v>-1.3815300000000001E-2</v>
      </c>
      <c r="J130" s="21">
        <v>120</v>
      </c>
      <c r="K130" s="21">
        <v>1.1850000000000001</v>
      </c>
      <c r="L130">
        <f t="shared" si="12"/>
        <v>17.055925925925926</v>
      </c>
      <c r="M130">
        <f t="shared" si="13"/>
        <v>20.224234725925925</v>
      </c>
      <c r="N130" s="9"/>
      <c r="O130" s="21">
        <v>0.50430299999999995</v>
      </c>
      <c r="P130" s="21">
        <v>10.379899999999999</v>
      </c>
      <c r="Q130" s="21">
        <v>-1.4080799999999999E-2</v>
      </c>
      <c r="R130" s="21">
        <v>120</v>
      </c>
      <c r="S130" s="21">
        <v>0.50369299999999995</v>
      </c>
      <c r="T130">
        <f t="shared" si="14"/>
        <v>17.383703703703702</v>
      </c>
      <c r="U130">
        <f t="shared" si="15"/>
        <v>8.7666539288888874</v>
      </c>
      <c r="X130" s="9"/>
      <c r="Y130" s="21">
        <v>0.50430299999999995</v>
      </c>
      <c r="Z130" s="21">
        <v>10.379899999999999</v>
      </c>
      <c r="AA130" s="21">
        <v>-1.4080799999999999E-2</v>
      </c>
      <c r="AB130" s="21">
        <v>120</v>
      </c>
      <c r="AC130" s="21">
        <v>0.50369299999999995</v>
      </c>
      <c r="AD130">
        <f t="shared" si="16"/>
        <v>17.383703703703702</v>
      </c>
      <c r="AE130">
        <f t="shared" si="17"/>
        <v>8.7666539288888874</v>
      </c>
      <c r="AF130" s="9"/>
      <c r="AG130" s="21">
        <v>0.50430299999999995</v>
      </c>
      <c r="AH130" s="21">
        <v>19.679099999999998</v>
      </c>
      <c r="AI130" s="21">
        <v>-1.40503E-2</v>
      </c>
      <c r="AJ130" s="21">
        <v>120</v>
      </c>
      <c r="AK130" s="21">
        <v>0.50369299999999995</v>
      </c>
      <c r="AL130">
        <f t="shared" si="18"/>
        <v>17.34604938271605</v>
      </c>
      <c r="AM130">
        <f t="shared" si="19"/>
        <v>8.7476647418518514</v>
      </c>
      <c r="AP130" s="9"/>
      <c r="AQ130" s="21">
        <v>1.1857599999999999</v>
      </c>
      <c r="AR130" s="21">
        <v>25.158300000000001</v>
      </c>
      <c r="AS130" s="21">
        <v>-1.3876299999999999E-2</v>
      </c>
      <c r="AT130" s="21">
        <v>120</v>
      </c>
      <c r="AU130" s="21">
        <v>1.18469</v>
      </c>
      <c r="AV130">
        <f t="shared" si="20"/>
        <v>17.131234567901231</v>
      </c>
      <c r="AW130">
        <f t="shared" si="21"/>
        <v>20.313532701234564</v>
      </c>
      <c r="AX130" s="9"/>
      <c r="AY130" s="21">
        <v>0.50430299999999995</v>
      </c>
      <c r="AZ130" s="21">
        <v>28.9573</v>
      </c>
      <c r="BA130" s="21">
        <v>-1.4065599999999999E-2</v>
      </c>
      <c r="BB130" s="21">
        <v>120</v>
      </c>
      <c r="BC130" s="21">
        <v>0.50366200000000005</v>
      </c>
      <c r="BD130">
        <f t="shared" si="22"/>
        <v>17.364938271604938</v>
      </c>
      <c r="BE130">
        <f t="shared" si="23"/>
        <v>8.7571904651851842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1.1807300000000001</v>
      </c>
      <c r="H131" s="21">
        <v>6.5909199999999997</v>
      </c>
      <c r="I131" s="21">
        <v>-1.38306E-2</v>
      </c>
      <c r="J131" s="21">
        <v>121</v>
      </c>
      <c r="K131" s="21">
        <v>1.1795</v>
      </c>
      <c r="L131">
        <f t="shared" si="12"/>
        <v>17.074814814814815</v>
      </c>
      <c r="M131">
        <f t="shared" si="13"/>
        <v>20.160746096296297</v>
      </c>
      <c r="N131" s="9"/>
      <c r="O131" s="21">
        <v>0.50933799999999996</v>
      </c>
      <c r="P131" s="21">
        <v>10.39</v>
      </c>
      <c r="Q131" s="21">
        <v>-1.409E-2</v>
      </c>
      <c r="R131" s="21">
        <v>121</v>
      </c>
      <c r="S131" s="21">
        <v>0.50863599999999998</v>
      </c>
      <c r="T131">
        <f t="shared" si="14"/>
        <v>17.39506172839506</v>
      </c>
      <c r="U131">
        <f t="shared" si="15"/>
        <v>8.8599659506172816</v>
      </c>
      <c r="X131" s="9"/>
      <c r="Y131" s="21">
        <v>0.50933799999999996</v>
      </c>
      <c r="Z131" s="21">
        <v>10.39</v>
      </c>
      <c r="AA131" s="21">
        <v>-1.409E-2</v>
      </c>
      <c r="AB131" s="21">
        <v>121</v>
      </c>
      <c r="AC131" s="21">
        <v>0.50863599999999998</v>
      </c>
      <c r="AD131">
        <f t="shared" si="16"/>
        <v>17.39506172839506</v>
      </c>
      <c r="AE131">
        <f t="shared" si="17"/>
        <v>8.8599659506172816</v>
      </c>
      <c r="AF131" s="9"/>
      <c r="AG131" s="21">
        <v>0.50933799999999996</v>
      </c>
      <c r="AH131" s="21">
        <v>19.6892</v>
      </c>
      <c r="AI131" s="21">
        <v>-1.40442E-2</v>
      </c>
      <c r="AJ131" s="21">
        <v>121</v>
      </c>
      <c r="AK131" s="21">
        <v>0.50863599999999998</v>
      </c>
      <c r="AL131">
        <f t="shared" si="18"/>
        <v>17.338518518518516</v>
      </c>
      <c r="AM131">
        <f t="shared" si="19"/>
        <v>8.8311663451851832</v>
      </c>
      <c r="AP131" s="9"/>
      <c r="AQ131" s="21">
        <v>1.1807300000000001</v>
      </c>
      <c r="AR131" s="21">
        <v>25.168399999999998</v>
      </c>
      <c r="AS131" s="21">
        <v>-1.3876299999999999E-2</v>
      </c>
      <c r="AT131" s="21">
        <v>121</v>
      </c>
      <c r="AU131" s="21">
        <v>1.1795</v>
      </c>
      <c r="AV131">
        <f t="shared" si="20"/>
        <v>17.131234567901231</v>
      </c>
      <c r="AW131">
        <f t="shared" si="21"/>
        <v>20.22736259135802</v>
      </c>
      <c r="AX131" s="9"/>
      <c r="AY131" s="21">
        <v>0.50933799999999996</v>
      </c>
      <c r="AZ131" s="21">
        <v>28.967400000000001</v>
      </c>
      <c r="BA131" s="21">
        <v>-1.40564E-2</v>
      </c>
      <c r="BB131" s="21">
        <v>121</v>
      </c>
      <c r="BC131" s="21">
        <v>0.50863599999999998</v>
      </c>
      <c r="BD131">
        <f t="shared" si="22"/>
        <v>17.35358024691358</v>
      </c>
      <c r="BE131">
        <f t="shared" si="23"/>
        <v>8.8388378558024687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1.1756899999999999</v>
      </c>
      <c r="H132" s="21">
        <v>6.6009900000000004</v>
      </c>
      <c r="I132" s="21">
        <v>-1.3842800000000001E-2</v>
      </c>
      <c r="J132" s="21">
        <v>122</v>
      </c>
      <c r="K132" s="21">
        <v>1.17523</v>
      </c>
      <c r="L132">
        <f t="shared" si="12"/>
        <v>17.089876543209876</v>
      </c>
      <c r="M132">
        <f t="shared" si="13"/>
        <v>20.092396953086418</v>
      </c>
      <c r="N132" s="9"/>
      <c r="O132" s="21">
        <v>0.514374</v>
      </c>
      <c r="P132" s="21">
        <v>10.4</v>
      </c>
      <c r="Q132" s="21">
        <v>-1.40961E-2</v>
      </c>
      <c r="R132" s="21">
        <v>122</v>
      </c>
      <c r="S132" s="21">
        <v>0.51367200000000002</v>
      </c>
      <c r="T132">
        <f t="shared" si="14"/>
        <v>17.40259259259259</v>
      </c>
      <c r="U132">
        <f t="shared" si="15"/>
        <v>8.9514411622222205</v>
      </c>
      <c r="X132" s="9"/>
      <c r="Y132" s="21">
        <v>0.514374</v>
      </c>
      <c r="Z132" s="21">
        <v>10.4</v>
      </c>
      <c r="AA132" s="21">
        <v>-1.40961E-2</v>
      </c>
      <c r="AB132" s="21">
        <v>122</v>
      </c>
      <c r="AC132" s="21">
        <v>0.51367200000000002</v>
      </c>
      <c r="AD132">
        <f t="shared" si="16"/>
        <v>17.40259259259259</v>
      </c>
      <c r="AE132">
        <f t="shared" si="17"/>
        <v>8.9514411622222205</v>
      </c>
      <c r="AF132" s="9"/>
      <c r="AG132" s="21">
        <v>0.514374</v>
      </c>
      <c r="AH132" s="21">
        <v>19.699300000000001</v>
      </c>
      <c r="AI132" s="21">
        <v>-1.4031999999999999E-2</v>
      </c>
      <c r="AJ132" s="21">
        <v>122</v>
      </c>
      <c r="AK132" s="21">
        <v>0.51361100000000004</v>
      </c>
      <c r="AL132">
        <f t="shared" si="18"/>
        <v>17.323456790123455</v>
      </c>
      <c r="AM132">
        <f t="shared" si="19"/>
        <v>8.9107357629629611</v>
      </c>
      <c r="AP132" s="9"/>
      <c r="AQ132" s="21">
        <v>1.1756899999999999</v>
      </c>
      <c r="AR132" s="21">
        <v>25.1784</v>
      </c>
      <c r="AS132" s="21">
        <v>-1.38794E-2</v>
      </c>
      <c r="AT132" s="21">
        <v>122</v>
      </c>
      <c r="AU132" s="21">
        <v>1.17523</v>
      </c>
      <c r="AV132">
        <f t="shared" si="20"/>
        <v>17.135061728395058</v>
      </c>
      <c r="AW132">
        <f t="shared" si="21"/>
        <v>20.145520723456784</v>
      </c>
      <c r="AX132" s="9"/>
      <c r="AY132" s="21">
        <v>0.514374</v>
      </c>
      <c r="AZ132" s="21">
        <v>28.977499999999999</v>
      </c>
      <c r="BA132" s="21">
        <v>-1.40503E-2</v>
      </c>
      <c r="BB132" s="21">
        <v>122</v>
      </c>
      <c r="BC132" s="21">
        <v>0.51358000000000004</v>
      </c>
      <c r="BD132">
        <f t="shared" si="22"/>
        <v>17.34604938271605</v>
      </c>
      <c r="BE132">
        <f t="shared" si="23"/>
        <v>8.9223568051851849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1.17065</v>
      </c>
      <c r="H133" s="21">
        <v>6.6110600000000002</v>
      </c>
      <c r="I133" s="21">
        <v>-1.3854999999999999E-2</v>
      </c>
      <c r="J133" s="21">
        <v>123</v>
      </c>
      <c r="K133" s="21">
        <v>1.17004</v>
      </c>
      <c r="L133">
        <f t="shared" si="12"/>
        <v>17.104938271604937</v>
      </c>
      <c r="M133">
        <f t="shared" si="13"/>
        <v>20.023895987654317</v>
      </c>
      <c r="N133" s="9"/>
      <c r="O133" s="21">
        <v>0.51940900000000001</v>
      </c>
      <c r="P133" s="21">
        <v>10.4101</v>
      </c>
      <c r="Q133" s="21">
        <v>-1.40991E-2</v>
      </c>
      <c r="R133" s="21">
        <v>123</v>
      </c>
      <c r="S133" s="21">
        <v>0.51876800000000001</v>
      </c>
      <c r="T133">
        <f t="shared" si="14"/>
        <v>17.406296296296293</v>
      </c>
      <c r="U133">
        <f t="shared" si="15"/>
        <v>9.0409869529629621</v>
      </c>
      <c r="X133" s="9"/>
      <c r="Y133" s="21">
        <v>0.51940900000000001</v>
      </c>
      <c r="Z133" s="21">
        <v>10.4101</v>
      </c>
      <c r="AA133" s="21">
        <v>-1.40991E-2</v>
      </c>
      <c r="AB133" s="21">
        <v>123</v>
      </c>
      <c r="AC133" s="21">
        <v>0.51876800000000001</v>
      </c>
      <c r="AD133">
        <f t="shared" si="16"/>
        <v>17.406296296296293</v>
      </c>
      <c r="AE133">
        <f t="shared" si="17"/>
        <v>9.0409869529629621</v>
      </c>
      <c r="AF133" s="9"/>
      <c r="AG133" s="21">
        <v>0.51940900000000001</v>
      </c>
      <c r="AH133" s="21">
        <v>19.709299999999999</v>
      </c>
      <c r="AI133" s="21">
        <v>-1.40228E-2</v>
      </c>
      <c r="AJ133" s="21">
        <v>123</v>
      </c>
      <c r="AK133" s="21">
        <v>0.51873800000000003</v>
      </c>
      <c r="AL133">
        <f t="shared" si="18"/>
        <v>17.312098765432097</v>
      </c>
      <c r="AM133">
        <f t="shared" si="19"/>
        <v>8.9920599076543208</v>
      </c>
      <c r="AP133" s="9"/>
      <c r="AQ133" s="21">
        <v>1.17065</v>
      </c>
      <c r="AR133" s="21">
        <v>25.188500000000001</v>
      </c>
      <c r="AS133" s="21">
        <v>-1.38824E-2</v>
      </c>
      <c r="AT133" s="21">
        <v>123</v>
      </c>
      <c r="AU133" s="21">
        <v>1.17004</v>
      </c>
      <c r="AV133">
        <f t="shared" si="20"/>
        <v>17.138765432098765</v>
      </c>
      <c r="AW133">
        <f t="shared" si="21"/>
        <v>20.063495753086418</v>
      </c>
      <c r="AX133" s="9"/>
      <c r="AY133" s="21">
        <v>0.51940900000000001</v>
      </c>
      <c r="AZ133" s="21">
        <v>28.9876</v>
      </c>
      <c r="BA133" s="21">
        <v>-1.40594E-2</v>
      </c>
      <c r="BB133" s="21">
        <v>123</v>
      </c>
      <c r="BC133" s="21">
        <v>0.51873800000000003</v>
      </c>
      <c r="BD133">
        <f t="shared" si="22"/>
        <v>17.357283950617283</v>
      </c>
      <c r="BE133">
        <f t="shared" si="23"/>
        <v>9.0155294995061723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1.1656200000000001</v>
      </c>
      <c r="H134" s="21">
        <v>6.62113</v>
      </c>
      <c r="I134" s="21">
        <v>-1.3861099999999999E-2</v>
      </c>
      <c r="J134" s="21">
        <v>124</v>
      </c>
      <c r="K134" s="21">
        <v>1.16486</v>
      </c>
      <c r="L134">
        <f t="shared" si="12"/>
        <v>17.112469135802467</v>
      </c>
      <c r="M134">
        <f t="shared" si="13"/>
        <v>19.946636274074073</v>
      </c>
      <c r="N134" s="9"/>
      <c r="O134" s="21">
        <v>0.52444500000000005</v>
      </c>
      <c r="P134" s="21">
        <v>10.420199999999999</v>
      </c>
      <c r="Q134" s="21">
        <v>-1.41052E-2</v>
      </c>
      <c r="R134" s="21">
        <v>124</v>
      </c>
      <c r="S134" s="21">
        <v>0.52365099999999998</v>
      </c>
      <c r="T134">
        <f t="shared" si="14"/>
        <v>17.413827160493828</v>
      </c>
      <c r="U134">
        <f t="shared" si="15"/>
        <v>9.1325945851851866</v>
      </c>
      <c r="X134" s="9"/>
      <c r="Y134" s="21">
        <v>0.52444500000000005</v>
      </c>
      <c r="Z134" s="21">
        <v>10.420199999999999</v>
      </c>
      <c r="AA134" s="21">
        <v>-1.41052E-2</v>
      </c>
      <c r="AB134" s="21">
        <v>124</v>
      </c>
      <c r="AC134" s="21">
        <v>0.52365099999999998</v>
      </c>
      <c r="AD134">
        <f t="shared" si="16"/>
        <v>17.413827160493828</v>
      </c>
      <c r="AE134">
        <f t="shared" si="17"/>
        <v>9.1325945851851866</v>
      </c>
      <c r="AF134" s="9"/>
      <c r="AG134" s="21">
        <v>0.52444500000000005</v>
      </c>
      <c r="AH134" s="21">
        <v>19.7194</v>
      </c>
      <c r="AI134" s="21">
        <v>-1.4019800000000001E-2</v>
      </c>
      <c r="AJ134" s="21">
        <v>124</v>
      </c>
      <c r="AK134" s="21">
        <v>0.52386500000000003</v>
      </c>
      <c r="AL134">
        <f t="shared" si="18"/>
        <v>17.308395061728394</v>
      </c>
      <c r="AM134">
        <f t="shared" si="19"/>
        <v>9.0773012481481476</v>
      </c>
      <c r="AP134" s="9"/>
      <c r="AQ134" s="21">
        <v>1.1656200000000001</v>
      </c>
      <c r="AR134" s="21">
        <v>25.198599999999999</v>
      </c>
      <c r="AS134" s="21">
        <v>-1.38794E-2</v>
      </c>
      <c r="AT134" s="21">
        <v>124</v>
      </c>
      <c r="AU134" s="21">
        <v>1.16486</v>
      </c>
      <c r="AV134">
        <f t="shared" si="20"/>
        <v>17.135061728395058</v>
      </c>
      <c r="AW134">
        <f t="shared" si="21"/>
        <v>19.972970651851849</v>
      </c>
      <c r="AX134" s="9"/>
      <c r="AY134" s="21">
        <v>0.52444500000000005</v>
      </c>
      <c r="AZ134" s="21">
        <v>28.997599999999998</v>
      </c>
      <c r="BA134" s="21">
        <v>-1.4068600000000001E-2</v>
      </c>
      <c r="BB134" s="21">
        <v>124</v>
      </c>
      <c r="BC134" s="21">
        <v>0.52377300000000004</v>
      </c>
      <c r="BD134">
        <f t="shared" si="22"/>
        <v>17.368641975308641</v>
      </c>
      <c r="BE134">
        <f t="shared" si="23"/>
        <v>9.1088974407407406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1.1605799999999999</v>
      </c>
      <c r="H135" s="21">
        <v>6.6311999999999998</v>
      </c>
      <c r="I135" s="21">
        <v>-1.3864100000000001E-2</v>
      </c>
      <c r="J135" s="21">
        <v>125</v>
      </c>
      <c r="K135" s="21">
        <v>1.1593599999999999</v>
      </c>
      <c r="L135">
        <f t="shared" si="12"/>
        <v>17.11617283950617</v>
      </c>
      <c r="M135">
        <f t="shared" si="13"/>
        <v>19.864687874074068</v>
      </c>
      <c r="N135" s="9"/>
      <c r="O135" s="21">
        <v>0.52947999999999995</v>
      </c>
      <c r="P135" s="21">
        <v>10.430199999999999</v>
      </c>
      <c r="Q135" s="21">
        <v>-1.40991E-2</v>
      </c>
      <c r="R135" s="21">
        <v>125</v>
      </c>
      <c r="S135" s="21">
        <v>0.52890000000000004</v>
      </c>
      <c r="T135">
        <f t="shared" si="14"/>
        <v>17.406296296296293</v>
      </c>
      <c r="U135">
        <f t="shared" si="15"/>
        <v>9.2162857629629613</v>
      </c>
      <c r="X135" s="9"/>
      <c r="Y135" s="21">
        <v>0.52947999999999995</v>
      </c>
      <c r="Z135" s="21">
        <v>10.430199999999999</v>
      </c>
      <c r="AA135" s="21">
        <v>-1.40991E-2</v>
      </c>
      <c r="AB135" s="21">
        <v>125</v>
      </c>
      <c r="AC135" s="21">
        <v>0.52890000000000004</v>
      </c>
      <c r="AD135">
        <f t="shared" si="16"/>
        <v>17.406296296296293</v>
      </c>
      <c r="AE135">
        <f t="shared" si="17"/>
        <v>9.2162857629629613</v>
      </c>
      <c r="AF135" s="9"/>
      <c r="AG135" s="21">
        <v>0.52947999999999995</v>
      </c>
      <c r="AH135" s="21">
        <v>19.729500000000002</v>
      </c>
      <c r="AI135" s="21">
        <v>-1.40106E-2</v>
      </c>
      <c r="AJ135" s="21">
        <v>125</v>
      </c>
      <c r="AK135" s="21">
        <v>0.52886999999999995</v>
      </c>
      <c r="AL135">
        <f t="shared" si="18"/>
        <v>17.297037037037036</v>
      </c>
      <c r="AM135">
        <f t="shared" si="19"/>
        <v>9.1584351703703692</v>
      </c>
      <c r="AP135" s="9"/>
      <c r="AQ135" s="21">
        <v>1.1605799999999999</v>
      </c>
      <c r="AR135" s="21">
        <v>25.208600000000001</v>
      </c>
      <c r="AS135" s="21">
        <v>-1.38916E-2</v>
      </c>
      <c r="AT135" s="21">
        <v>125</v>
      </c>
      <c r="AU135" s="21">
        <v>1.1599699999999999</v>
      </c>
      <c r="AV135">
        <f t="shared" si="20"/>
        <v>17.150123456790123</v>
      </c>
      <c r="AW135">
        <f t="shared" si="21"/>
        <v>19.90409028148148</v>
      </c>
      <c r="AX135" s="9"/>
      <c r="AY135" s="21">
        <v>0.52947999999999995</v>
      </c>
      <c r="AZ135" s="21">
        <v>29.0077</v>
      </c>
      <c r="BA135" s="21">
        <v>-1.4071699999999999E-2</v>
      </c>
      <c r="BB135" s="21">
        <v>125</v>
      </c>
      <c r="BC135" s="21">
        <v>0.52886999999999995</v>
      </c>
      <c r="BD135">
        <f t="shared" si="22"/>
        <v>17.372469135802469</v>
      </c>
      <c r="BE135">
        <f t="shared" si="23"/>
        <v>9.1983749580246901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1.1555500000000001</v>
      </c>
      <c r="H136" s="21">
        <v>6.6412699999999996</v>
      </c>
      <c r="I136" s="21">
        <v>-1.38672E-2</v>
      </c>
      <c r="J136" s="21">
        <v>126</v>
      </c>
      <c r="K136" s="21">
        <v>1.1541699999999999</v>
      </c>
      <c r="L136">
        <f t="shared" si="12"/>
        <v>17.12</v>
      </c>
      <c r="M136">
        <f t="shared" si="13"/>
        <v>19.783016000000003</v>
      </c>
      <c r="N136" s="9"/>
      <c r="O136" s="21">
        <v>0.53451499999999996</v>
      </c>
      <c r="P136" s="21">
        <v>10.440300000000001</v>
      </c>
      <c r="Q136" s="21">
        <v>-1.4093E-2</v>
      </c>
      <c r="R136" s="21">
        <v>126</v>
      </c>
      <c r="S136" s="21">
        <v>0.53384399999999999</v>
      </c>
      <c r="T136">
        <f t="shared" si="14"/>
        <v>17.398765432098763</v>
      </c>
      <c r="U136">
        <f t="shared" si="15"/>
        <v>9.2999011049382698</v>
      </c>
      <c r="X136" s="9"/>
      <c r="Y136" s="21">
        <v>0.53451499999999996</v>
      </c>
      <c r="Z136" s="21">
        <v>10.440300000000001</v>
      </c>
      <c r="AA136" s="21">
        <v>-1.4093E-2</v>
      </c>
      <c r="AB136" s="21">
        <v>126</v>
      </c>
      <c r="AC136" s="21">
        <v>0.53384399999999999</v>
      </c>
      <c r="AD136">
        <f t="shared" si="16"/>
        <v>17.398765432098763</v>
      </c>
      <c r="AE136">
        <f t="shared" si="17"/>
        <v>9.2999011049382698</v>
      </c>
      <c r="AF136" s="9"/>
      <c r="AG136" s="21">
        <v>0.53451499999999996</v>
      </c>
      <c r="AH136" s="21">
        <v>19.7395</v>
      </c>
      <c r="AI136" s="21">
        <v>-1.3998399999999999E-2</v>
      </c>
      <c r="AJ136" s="21">
        <v>126</v>
      </c>
      <c r="AK136" s="21">
        <v>0.53381299999999998</v>
      </c>
      <c r="AL136">
        <f t="shared" si="18"/>
        <v>17.281975308641975</v>
      </c>
      <c r="AM136">
        <f t="shared" si="19"/>
        <v>9.2374750320987644</v>
      </c>
      <c r="AP136" s="9"/>
      <c r="AQ136" s="21">
        <v>1.1555500000000001</v>
      </c>
      <c r="AR136" s="21">
        <v>25.218699999999998</v>
      </c>
      <c r="AS136" s="21">
        <v>-1.3897700000000001E-2</v>
      </c>
      <c r="AT136" s="21">
        <v>126</v>
      </c>
      <c r="AU136" s="21">
        <v>1.15479</v>
      </c>
      <c r="AV136">
        <f t="shared" si="20"/>
        <v>17.157654320987653</v>
      </c>
      <c r="AW136">
        <f t="shared" si="21"/>
        <v>19.826527450617284</v>
      </c>
      <c r="AX136" s="9"/>
      <c r="AY136" s="21">
        <v>0.53451499999999996</v>
      </c>
      <c r="AZ136" s="21">
        <v>29.017800000000001</v>
      </c>
      <c r="BA136" s="21">
        <v>-1.4071699999999999E-2</v>
      </c>
      <c r="BB136" s="21">
        <v>126</v>
      </c>
      <c r="BC136" s="21">
        <v>0.53387499999999999</v>
      </c>
      <c r="BD136">
        <f t="shared" si="22"/>
        <v>17.372469135802469</v>
      </c>
      <c r="BE136">
        <f t="shared" si="23"/>
        <v>9.2858453401234566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1.1505099999999999</v>
      </c>
      <c r="H137" s="21">
        <v>6.6513400000000003</v>
      </c>
      <c r="I137" s="21">
        <v>-1.38672E-2</v>
      </c>
      <c r="J137" s="21">
        <v>127</v>
      </c>
      <c r="K137" s="21">
        <v>1.1492899999999999</v>
      </c>
      <c r="L137">
        <f t="shared" si="12"/>
        <v>17.12</v>
      </c>
      <c r="M137">
        <f t="shared" si="13"/>
        <v>19.696731199999999</v>
      </c>
      <c r="N137" s="9"/>
      <c r="O137" s="21">
        <v>0.539551</v>
      </c>
      <c r="P137" s="21">
        <v>10.4504</v>
      </c>
      <c r="Q137" s="21">
        <v>-1.40839E-2</v>
      </c>
      <c r="R137" s="21">
        <v>127</v>
      </c>
      <c r="S137" s="21">
        <v>0.538879</v>
      </c>
      <c r="T137">
        <f t="shared" si="14"/>
        <v>17.387530864197529</v>
      </c>
      <c r="U137">
        <f t="shared" si="15"/>
        <v>9.3814596653086415</v>
      </c>
      <c r="X137" s="9"/>
      <c r="Y137" s="21">
        <v>0.539551</v>
      </c>
      <c r="Z137" s="21">
        <v>10.4504</v>
      </c>
      <c r="AA137" s="21">
        <v>-1.40839E-2</v>
      </c>
      <c r="AB137" s="21">
        <v>127</v>
      </c>
      <c r="AC137" s="21">
        <v>0.538879</v>
      </c>
      <c r="AD137">
        <f t="shared" si="16"/>
        <v>17.387530864197529</v>
      </c>
      <c r="AE137">
        <f t="shared" si="17"/>
        <v>9.3814596653086415</v>
      </c>
      <c r="AF137" s="9"/>
      <c r="AG137" s="21">
        <v>0.539551</v>
      </c>
      <c r="AH137" s="21">
        <v>19.749600000000001</v>
      </c>
      <c r="AI137" s="21">
        <v>-1.39954E-2</v>
      </c>
      <c r="AJ137" s="21">
        <v>127</v>
      </c>
      <c r="AK137" s="21">
        <v>0.53893999999999997</v>
      </c>
      <c r="AL137">
        <f t="shared" si="18"/>
        <v>17.278271604938272</v>
      </c>
      <c r="AM137">
        <f t="shared" si="19"/>
        <v>9.3225087227160497</v>
      </c>
      <c r="AP137" s="9"/>
      <c r="AQ137" s="21">
        <v>1.1505099999999999</v>
      </c>
      <c r="AR137" s="21">
        <v>25.2288</v>
      </c>
      <c r="AS137" s="21">
        <v>-1.39008E-2</v>
      </c>
      <c r="AT137" s="21">
        <v>127</v>
      </c>
      <c r="AU137" s="21">
        <v>1.1496</v>
      </c>
      <c r="AV137">
        <f t="shared" si="20"/>
        <v>17.161481481481481</v>
      </c>
      <c r="AW137">
        <f t="shared" si="21"/>
        <v>19.744456059259257</v>
      </c>
      <c r="AX137" s="9"/>
      <c r="AY137" s="21">
        <v>0.539551</v>
      </c>
      <c r="AZ137" s="21">
        <v>29.027799999999999</v>
      </c>
      <c r="BA137" s="21">
        <v>-1.40594E-2</v>
      </c>
      <c r="BB137" s="21">
        <v>127</v>
      </c>
      <c r="BC137" s="21">
        <v>0.53900099999999995</v>
      </c>
      <c r="BD137">
        <f t="shared" si="22"/>
        <v>17.357283950617283</v>
      </c>
      <c r="BE137">
        <f t="shared" si="23"/>
        <v>9.3651399128395063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1.1454800000000001</v>
      </c>
      <c r="H138" s="21">
        <v>6.6614100000000001</v>
      </c>
      <c r="I138" s="21">
        <v>-1.38672E-2</v>
      </c>
      <c r="J138" s="21">
        <v>128</v>
      </c>
      <c r="K138" s="21">
        <v>1.1447099999999999</v>
      </c>
      <c r="L138">
        <f t="shared" si="12"/>
        <v>17.12</v>
      </c>
      <c r="M138">
        <f t="shared" si="13"/>
        <v>19.610617600000001</v>
      </c>
      <c r="N138" s="9"/>
      <c r="O138" s="21">
        <v>0.54458600000000001</v>
      </c>
      <c r="P138" s="21">
        <v>10.4605</v>
      </c>
      <c r="Q138" s="21">
        <v>-1.4074700000000001E-2</v>
      </c>
      <c r="R138" s="21">
        <v>128</v>
      </c>
      <c r="S138" s="21">
        <v>0.54388400000000003</v>
      </c>
      <c r="T138">
        <f t="shared" si="14"/>
        <v>17.376172839506172</v>
      </c>
      <c r="U138">
        <f t="shared" si="15"/>
        <v>9.4628204619753085</v>
      </c>
      <c r="X138" s="9"/>
      <c r="Y138" s="21">
        <v>0.54458600000000001</v>
      </c>
      <c r="Z138" s="21">
        <v>10.4605</v>
      </c>
      <c r="AA138" s="21">
        <v>-1.4074700000000001E-2</v>
      </c>
      <c r="AB138" s="21">
        <v>128</v>
      </c>
      <c r="AC138" s="21">
        <v>0.54388400000000003</v>
      </c>
      <c r="AD138">
        <f t="shared" si="16"/>
        <v>17.376172839506172</v>
      </c>
      <c r="AE138">
        <f t="shared" si="17"/>
        <v>9.4628204619753085</v>
      </c>
      <c r="AF138" s="9"/>
      <c r="AG138" s="21">
        <v>0.54458600000000001</v>
      </c>
      <c r="AH138" s="21">
        <v>19.759699999999999</v>
      </c>
      <c r="AI138" s="21">
        <v>-1.40045E-2</v>
      </c>
      <c r="AJ138" s="21">
        <v>128</v>
      </c>
      <c r="AK138" s="21">
        <v>0.54397600000000002</v>
      </c>
      <c r="AL138">
        <f t="shared" si="18"/>
        <v>17.289506172839506</v>
      </c>
      <c r="AM138">
        <f t="shared" si="19"/>
        <v>9.4156230086419761</v>
      </c>
      <c r="AP138" s="9"/>
      <c r="AQ138" s="21">
        <v>1.1454800000000001</v>
      </c>
      <c r="AR138" s="21">
        <v>25.238900000000001</v>
      </c>
      <c r="AS138" s="21">
        <v>-1.3903799999999999E-2</v>
      </c>
      <c r="AT138" s="21">
        <v>128</v>
      </c>
      <c r="AU138" s="21">
        <v>1.1440999999999999</v>
      </c>
      <c r="AV138">
        <f t="shared" si="20"/>
        <v>17.165185185185184</v>
      </c>
      <c r="AW138">
        <f t="shared" si="21"/>
        <v>19.662376325925926</v>
      </c>
      <c r="AX138" s="9"/>
      <c r="AY138" s="21">
        <v>0.54458600000000001</v>
      </c>
      <c r="AZ138" s="21">
        <v>29.0379</v>
      </c>
      <c r="BA138" s="21">
        <v>-1.40564E-2</v>
      </c>
      <c r="BB138" s="21">
        <v>128</v>
      </c>
      <c r="BC138" s="21">
        <v>0.54397600000000002</v>
      </c>
      <c r="BD138">
        <f t="shared" si="22"/>
        <v>17.35358024691358</v>
      </c>
      <c r="BE138">
        <f t="shared" si="23"/>
        <v>9.4505168523456788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1.1404399999999999</v>
      </c>
      <c r="H139" s="21">
        <v>6.6714900000000004</v>
      </c>
      <c r="I139" s="21">
        <v>-1.38794E-2</v>
      </c>
      <c r="J139" s="21">
        <v>129</v>
      </c>
      <c r="K139" s="21">
        <v>1.1392199999999999</v>
      </c>
      <c r="L139">
        <f t="shared" si="12"/>
        <v>17.135061728395058</v>
      </c>
      <c r="M139">
        <f t="shared" si="13"/>
        <v>19.541509797530857</v>
      </c>
      <c r="N139" s="9"/>
      <c r="O139" s="21">
        <v>0.54962200000000005</v>
      </c>
      <c r="P139" s="21">
        <v>10.470499999999999</v>
      </c>
      <c r="Q139" s="21">
        <v>-1.4071699999999999E-2</v>
      </c>
      <c r="R139" s="21">
        <v>129</v>
      </c>
      <c r="S139" s="21">
        <v>0.54901100000000003</v>
      </c>
      <c r="T139">
        <f t="shared" si="14"/>
        <v>17.372469135802469</v>
      </c>
      <c r="U139">
        <f t="shared" si="15"/>
        <v>9.548291231358025</v>
      </c>
      <c r="X139" s="9"/>
      <c r="Y139" s="21">
        <v>0.54962200000000005</v>
      </c>
      <c r="Z139" s="21">
        <v>10.470499999999999</v>
      </c>
      <c r="AA139" s="21">
        <v>-1.4071699999999999E-2</v>
      </c>
      <c r="AB139" s="21">
        <v>129</v>
      </c>
      <c r="AC139" s="21">
        <v>0.54901100000000003</v>
      </c>
      <c r="AD139">
        <f t="shared" si="16"/>
        <v>17.372469135802469</v>
      </c>
      <c r="AE139">
        <f t="shared" si="17"/>
        <v>9.548291231358025</v>
      </c>
      <c r="AF139" s="9"/>
      <c r="AG139" s="21">
        <v>0.54962200000000005</v>
      </c>
      <c r="AH139" s="21">
        <v>19.7698</v>
      </c>
      <c r="AI139" s="21">
        <v>-1.40137E-2</v>
      </c>
      <c r="AJ139" s="21">
        <v>129</v>
      </c>
      <c r="AK139" s="21">
        <v>0.549072</v>
      </c>
      <c r="AL139">
        <f t="shared" si="18"/>
        <v>17.300864197530863</v>
      </c>
      <c r="AM139">
        <f t="shared" si="19"/>
        <v>9.5089355819753099</v>
      </c>
      <c r="AP139" s="9"/>
      <c r="AQ139" s="21">
        <v>1.1404399999999999</v>
      </c>
      <c r="AR139" s="21">
        <v>25.248899999999999</v>
      </c>
      <c r="AS139" s="21">
        <v>-1.39069E-2</v>
      </c>
      <c r="AT139" s="21">
        <v>129</v>
      </c>
      <c r="AU139" s="21">
        <v>1.1398299999999999</v>
      </c>
      <c r="AV139">
        <f t="shared" si="20"/>
        <v>17.169012345679011</v>
      </c>
      <c r="AW139">
        <f t="shared" si="21"/>
        <v>19.580228439506168</v>
      </c>
      <c r="AX139" s="9"/>
      <c r="AY139" s="21">
        <v>0.54962200000000005</v>
      </c>
      <c r="AZ139" s="21">
        <v>29.047999999999998</v>
      </c>
      <c r="BA139" s="21">
        <v>-1.40503E-2</v>
      </c>
      <c r="BB139" s="21">
        <v>129</v>
      </c>
      <c r="BC139" s="21">
        <v>0.54904200000000003</v>
      </c>
      <c r="BD139">
        <f t="shared" si="22"/>
        <v>17.34604938271605</v>
      </c>
      <c r="BE139">
        <f t="shared" si="23"/>
        <v>9.5337703538271619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1.13541</v>
      </c>
      <c r="H140" s="21">
        <v>6.6815600000000002</v>
      </c>
      <c r="I140" s="21">
        <v>-1.38824E-2</v>
      </c>
      <c r="J140" s="21">
        <v>130</v>
      </c>
      <c r="K140" s="21">
        <v>1.1349499999999999</v>
      </c>
      <c r="L140">
        <f t="shared" ref="L140:L203" si="24">-I140/$F$2*1000</f>
        <v>17.138765432098765</v>
      </c>
      <c r="M140">
        <f t="shared" ref="M140:M203" si="25">L140*G140</f>
        <v>19.45952565925926</v>
      </c>
      <c r="N140" s="9"/>
      <c r="O140" s="21">
        <v>0.55465699999999996</v>
      </c>
      <c r="P140" s="21">
        <v>10.480600000000001</v>
      </c>
      <c r="Q140" s="21">
        <v>-1.4068600000000001E-2</v>
      </c>
      <c r="R140" s="21">
        <v>130</v>
      </c>
      <c r="S140" s="21">
        <v>0.55398599999999998</v>
      </c>
      <c r="T140">
        <f t="shared" ref="T140:T203" si="26">-Q140/$F$2*1000</f>
        <v>17.368641975308641</v>
      </c>
      <c r="U140">
        <f t="shared" ref="U140:U203" si="27">T140*O140</f>
        <v>9.6336388520987644</v>
      </c>
      <c r="X140" s="9"/>
      <c r="Y140" s="21">
        <v>0.55465699999999996</v>
      </c>
      <c r="Z140" s="21">
        <v>10.480600000000001</v>
      </c>
      <c r="AA140" s="21">
        <v>-1.4068600000000001E-2</v>
      </c>
      <c r="AB140" s="21">
        <v>130</v>
      </c>
      <c r="AC140" s="21">
        <v>0.55398599999999998</v>
      </c>
      <c r="AD140">
        <f t="shared" ref="AD140:AD203" si="28">-AA140/$F$2*1000</f>
        <v>17.368641975308641</v>
      </c>
      <c r="AE140">
        <f t="shared" ref="AE140:AE203" si="29">AD140*Y140</f>
        <v>9.6336388520987644</v>
      </c>
      <c r="AF140" s="9"/>
      <c r="AG140" s="21">
        <v>0.55465699999999996</v>
      </c>
      <c r="AH140" s="21">
        <v>19.779800000000002</v>
      </c>
      <c r="AI140" s="21">
        <v>-1.4019800000000001E-2</v>
      </c>
      <c r="AJ140" s="21">
        <v>130</v>
      </c>
      <c r="AK140" s="21">
        <v>0.553894</v>
      </c>
      <c r="AL140">
        <f t="shared" ref="AL140:AL203" si="30">-AI140/$F$2*1000</f>
        <v>17.308395061728394</v>
      </c>
      <c r="AM140">
        <f t="shared" ref="AM140:AM203" si="31">AL140*AG140</f>
        <v>9.6002224797530857</v>
      </c>
      <c r="AP140" s="9"/>
      <c r="AQ140" s="21">
        <v>1.13541</v>
      </c>
      <c r="AR140" s="21">
        <v>25.259</v>
      </c>
      <c r="AS140" s="21">
        <v>-1.39008E-2</v>
      </c>
      <c r="AT140" s="21">
        <v>130</v>
      </c>
      <c r="AU140" s="21">
        <v>1.1343399999999999</v>
      </c>
      <c r="AV140">
        <f t="shared" ref="AV140:AV203" si="32">-AS140/$F$2*1000</f>
        <v>17.161481481481481</v>
      </c>
      <c r="AW140">
        <f t="shared" ref="AW140:AW203" si="33">AV140*AQ140</f>
        <v>19.485317688888887</v>
      </c>
      <c r="AX140" s="9"/>
      <c r="AY140" s="21">
        <v>0.55465699999999996</v>
      </c>
      <c r="AZ140" s="21">
        <v>29.058</v>
      </c>
      <c r="BA140" s="21">
        <v>-1.4041100000000001E-2</v>
      </c>
      <c r="BB140" s="21">
        <v>130</v>
      </c>
      <c r="BC140" s="21">
        <v>0.55401599999999995</v>
      </c>
      <c r="BD140">
        <f t="shared" ref="BD140:BD203" si="34">-BA140/$F$2*1000</f>
        <v>17.334691358024692</v>
      </c>
      <c r="BE140">
        <f t="shared" ref="BE140:BE203" si="35">BD140*AY140</f>
        <v>9.6148079045679005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1.1303700000000001</v>
      </c>
      <c r="H141" s="21">
        <v>6.69163</v>
      </c>
      <c r="I141" s="21">
        <v>-1.3897700000000001E-2</v>
      </c>
      <c r="J141" s="21">
        <v>131</v>
      </c>
      <c r="K141" s="21">
        <v>1.1297600000000001</v>
      </c>
      <c r="L141">
        <f t="shared" si="24"/>
        <v>17.157654320987653</v>
      </c>
      <c r="M141">
        <f t="shared" si="25"/>
        <v>19.394497714814815</v>
      </c>
      <c r="N141" s="9"/>
      <c r="O141" s="21">
        <v>0.55969199999999997</v>
      </c>
      <c r="P141" s="21">
        <v>10.4907</v>
      </c>
      <c r="Q141" s="21">
        <v>-1.4065599999999999E-2</v>
      </c>
      <c r="R141" s="21">
        <v>131</v>
      </c>
      <c r="S141" s="21">
        <v>0.55923500000000004</v>
      </c>
      <c r="T141">
        <f t="shared" si="26"/>
        <v>17.364938271604938</v>
      </c>
      <c r="U141">
        <f t="shared" si="27"/>
        <v>9.719017031111111</v>
      </c>
      <c r="X141" s="9"/>
      <c r="Y141" s="21">
        <v>0.55969199999999997</v>
      </c>
      <c r="Z141" s="21">
        <v>10.4907</v>
      </c>
      <c r="AA141" s="21">
        <v>-1.4065599999999999E-2</v>
      </c>
      <c r="AB141" s="21">
        <v>131</v>
      </c>
      <c r="AC141" s="21">
        <v>0.55923500000000004</v>
      </c>
      <c r="AD141">
        <f t="shared" si="28"/>
        <v>17.364938271604938</v>
      </c>
      <c r="AE141">
        <f t="shared" si="29"/>
        <v>9.719017031111111</v>
      </c>
      <c r="AF141" s="9"/>
      <c r="AG141" s="21">
        <v>0.55969199999999997</v>
      </c>
      <c r="AH141" s="21">
        <v>19.789899999999999</v>
      </c>
      <c r="AI141" s="21">
        <v>-1.4019800000000001E-2</v>
      </c>
      <c r="AJ141" s="21">
        <v>131</v>
      </c>
      <c r="AK141" s="21">
        <v>0.55902099999999999</v>
      </c>
      <c r="AL141">
        <f t="shared" si="30"/>
        <v>17.308395061728394</v>
      </c>
      <c r="AM141">
        <f t="shared" si="31"/>
        <v>9.6873702488888878</v>
      </c>
      <c r="AP141" s="9"/>
      <c r="AQ141" s="21">
        <v>1.1303700000000001</v>
      </c>
      <c r="AR141" s="21">
        <v>25.269100000000002</v>
      </c>
      <c r="AS141" s="21">
        <v>-1.3897700000000001E-2</v>
      </c>
      <c r="AT141" s="21">
        <v>131</v>
      </c>
      <c r="AU141" s="21">
        <v>1.1300699999999999</v>
      </c>
      <c r="AV141">
        <f t="shared" si="32"/>
        <v>17.157654320987653</v>
      </c>
      <c r="AW141">
        <f t="shared" si="33"/>
        <v>19.394497714814815</v>
      </c>
      <c r="AX141" s="9"/>
      <c r="AY141" s="21">
        <v>0.55969199999999997</v>
      </c>
      <c r="AZ141" s="21">
        <v>29.068100000000001</v>
      </c>
      <c r="BA141" s="21">
        <v>-1.40442E-2</v>
      </c>
      <c r="BB141" s="21">
        <v>131</v>
      </c>
      <c r="BC141" s="21">
        <v>0.55908199999999997</v>
      </c>
      <c r="BD141">
        <f t="shared" si="34"/>
        <v>17.338518518518516</v>
      </c>
      <c r="BE141">
        <f t="shared" si="35"/>
        <v>9.7042301066666639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1.12534</v>
      </c>
      <c r="H142" s="21">
        <v>6.7016999999999998</v>
      </c>
      <c r="I142" s="21">
        <v>-1.39008E-2</v>
      </c>
      <c r="J142" s="21">
        <v>132</v>
      </c>
      <c r="K142" s="21">
        <v>1.1239600000000001</v>
      </c>
      <c r="L142">
        <f t="shared" si="24"/>
        <v>17.161481481481481</v>
      </c>
      <c r="M142">
        <f t="shared" si="25"/>
        <v>19.312501570370369</v>
      </c>
      <c r="N142" s="9"/>
      <c r="O142" s="21">
        <v>0.56472800000000001</v>
      </c>
      <c r="P142" s="21">
        <v>10.5007</v>
      </c>
      <c r="Q142" s="21">
        <v>-1.40564E-2</v>
      </c>
      <c r="R142" s="21">
        <v>132</v>
      </c>
      <c r="S142" s="21">
        <v>0.564056</v>
      </c>
      <c r="T142">
        <f t="shared" si="26"/>
        <v>17.35358024691358</v>
      </c>
      <c r="U142">
        <f t="shared" si="27"/>
        <v>9.8000526656790132</v>
      </c>
      <c r="X142" s="9"/>
      <c r="Y142" s="21">
        <v>0.56472800000000001</v>
      </c>
      <c r="Z142" s="21">
        <v>10.5007</v>
      </c>
      <c r="AA142" s="21">
        <v>-1.40564E-2</v>
      </c>
      <c r="AB142" s="21">
        <v>132</v>
      </c>
      <c r="AC142" s="21">
        <v>0.564056</v>
      </c>
      <c r="AD142">
        <f t="shared" si="28"/>
        <v>17.35358024691358</v>
      </c>
      <c r="AE142">
        <f t="shared" si="29"/>
        <v>9.8000526656790132</v>
      </c>
      <c r="AF142" s="9"/>
      <c r="AG142" s="21">
        <v>0.56472800000000001</v>
      </c>
      <c r="AH142" s="21">
        <v>19.8</v>
      </c>
      <c r="AI142" s="21">
        <v>-1.4019800000000001E-2</v>
      </c>
      <c r="AJ142" s="21">
        <v>132</v>
      </c>
      <c r="AK142" s="21">
        <v>0.56411699999999998</v>
      </c>
      <c r="AL142">
        <f t="shared" si="30"/>
        <v>17.308395061728394</v>
      </c>
      <c r="AM142">
        <f t="shared" si="31"/>
        <v>9.7745353264197519</v>
      </c>
      <c r="AP142" s="9"/>
      <c r="AQ142" s="21">
        <v>1.12534</v>
      </c>
      <c r="AR142" s="21">
        <v>25.2791</v>
      </c>
      <c r="AS142" s="21">
        <v>-1.39069E-2</v>
      </c>
      <c r="AT142" s="21">
        <v>132</v>
      </c>
      <c r="AU142" s="21">
        <v>1.1245700000000001</v>
      </c>
      <c r="AV142">
        <f t="shared" si="32"/>
        <v>17.169012345679011</v>
      </c>
      <c r="AW142">
        <f t="shared" si="33"/>
        <v>19.320976353086419</v>
      </c>
      <c r="AX142" s="9"/>
      <c r="AY142" s="21">
        <v>0.56472800000000001</v>
      </c>
      <c r="AZ142" s="21">
        <v>29.078199999999999</v>
      </c>
      <c r="BA142" s="21">
        <v>-1.4047199999999999E-2</v>
      </c>
      <c r="BB142" s="21">
        <v>132</v>
      </c>
      <c r="BC142" s="21">
        <v>0.56414799999999998</v>
      </c>
      <c r="BD142">
        <f t="shared" si="34"/>
        <v>17.342222222222222</v>
      </c>
      <c r="BE142">
        <f t="shared" si="35"/>
        <v>9.7936384711111106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1.1203000000000001</v>
      </c>
      <c r="H143" s="21">
        <v>6.7117699999999996</v>
      </c>
      <c r="I143" s="21">
        <v>-1.3903799999999999E-2</v>
      </c>
      <c r="J143" s="21">
        <v>133</v>
      </c>
      <c r="K143" s="21">
        <v>1.11938</v>
      </c>
      <c r="L143">
        <f t="shared" si="24"/>
        <v>17.165185185185184</v>
      </c>
      <c r="M143">
        <f t="shared" si="25"/>
        <v>19.230156962962962</v>
      </c>
      <c r="N143" s="9"/>
      <c r="O143" s="21">
        <v>0.56976300000000002</v>
      </c>
      <c r="P143" s="21">
        <v>10.5108</v>
      </c>
      <c r="Q143" s="21">
        <v>-1.40442E-2</v>
      </c>
      <c r="R143" s="21">
        <v>133</v>
      </c>
      <c r="S143" s="21">
        <v>0.56903099999999995</v>
      </c>
      <c r="T143">
        <f t="shared" si="26"/>
        <v>17.338518518518516</v>
      </c>
      <c r="U143">
        <f t="shared" si="27"/>
        <v>9.8788463266666646</v>
      </c>
      <c r="X143" s="9"/>
      <c r="Y143" s="21">
        <v>0.56976300000000002</v>
      </c>
      <c r="Z143" s="21">
        <v>10.5108</v>
      </c>
      <c r="AA143" s="21">
        <v>-1.40442E-2</v>
      </c>
      <c r="AB143" s="21">
        <v>133</v>
      </c>
      <c r="AC143" s="21">
        <v>0.56903099999999995</v>
      </c>
      <c r="AD143">
        <f t="shared" si="28"/>
        <v>17.338518518518516</v>
      </c>
      <c r="AE143">
        <f t="shared" si="29"/>
        <v>9.8788463266666646</v>
      </c>
      <c r="AF143" s="9"/>
      <c r="AG143" s="21">
        <v>0.56976300000000002</v>
      </c>
      <c r="AH143" s="21">
        <v>19.809999999999999</v>
      </c>
      <c r="AI143" s="21">
        <v>-1.40137E-2</v>
      </c>
      <c r="AJ143" s="21">
        <v>133</v>
      </c>
      <c r="AK143" s="21">
        <v>0.56903099999999995</v>
      </c>
      <c r="AL143">
        <f t="shared" si="30"/>
        <v>17.300864197530863</v>
      </c>
      <c r="AM143">
        <f t="shared" si="31"/>
        <v>9.8573922877777775</v>
      </c>
      <c r="AP143" s="9"/>
      <c r="AQ143" s="21">
        <v>1.1203000000000001</v>
      </c>
      <c r="AR143" s="21">
        <v>25.289200000000001</v>
      </c>
      <c r="AS143" s="21">
        <v>-1.3916E-2</v>
      </c>
      <c r="AT143" s="21">
        <v>133</v>
      </c>
      <c r="AU143" s="21">
        <v>1.11938</v>
      </c>
      <c r="AV143">
        <f t="shared" si="32"/>
        <v>17.180246913580245</v>
      </c>
      <c r="AW143">
        <f t="shared" si="33"/>
        <v>19.247030617283951</v>
      </c>
      <c r="AX143" s="9"/>
      <c r="AY143" s="21">
        <v>0.56976300000000002</v>
      </c>
      <c r="AZ143" s="21">
        <v>29.0883</v>
      </c>
      <c r="BA143" s="21">
        <v>-1.4047199999999999E-2</v>
      </c>
      <c r="BB143" s="21">
        <v>133</v>
      </c>
      <c r="BC143" s="21">
        <v>0.56915300000000002</v>
      </c>
      <c r="BD143">
        <f t="shared" si="34"/>
        <v>17.342222222222222</v>
      </c>
      <c r="BE143">
        <f t="shared" si="35"/>
        <v>9.8809565600000013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1.1152599999999999</v>
      </c>
      <c r="H144" s="21">
        <v>6.7218400000000003</v>
      </c>
      <c r="I144" s="21">
        <v>-1.39069E-2</v>
      </c>
      <c r="J144" s="21">
        <v>134</v>
      </c>
      <c r="K144" s="21">
        <v>1.1142000000000001</v>
      </c>
      <c r="L144">
        <f t="shared" si="24"/>
        <v>17.169012345679011</v>
      </c>
      <c r="M144">
        <f t="shared" si="25"/>
        <v>19.147912708641972</v>
      </c>
      <c r="N144" s="9"/>
      <c r="O144" s="21">
        <v>0.57479899999999995</v>
      </c>
      <c r="P144" s="21">
        <v>10.520899999999999</v>
      </c>
      <c r="Q144" s="21">
        <v>-1.4047199999999999E-2</v>
      </c>
      <c r="R144" s="21">
        <v>134</v>
      </c>
      <c r="S144" s="21">
        <v>0.57415799999999995</v>
      </c>
      <c r="T144">
        <f t="shared" si="26"/>
        <v>17.342222222222222</v>
      </c>
      <c r="U144">
        <f t="shared" si="27"/>
        <v>9.9682919911111103</v>
      </c>
      <c r="X144" s="9"/>
      <c r="Y144" s="21">
        <v>0.57479899999999995</v>
      </c>
      <c r="Z144" s="21">
        <v>10.520899999999999</v>
      </c>
      <c r="AA144" s="21">
        <v>-1.4047199999999999E-2</v>
      </c>
      <c r="AB144" s="21">
        <v>134</v>
      </c>
      <c r="AC144" s="21">
        <v>0.57415799999999995</v>
      </c>
      <c r="AD144">
        <f t="shared" si="28"/>
        <v>17.342222222222222</v>
      </c>
      <c r="AE144">
        <f t="shared" si="29"/>
        <v>9.9682919911111103</v>
      </c>
      <c r="AF144" s="9"/>
      <c r="AG144" s="21">
        <v>0.57479899999999995</v>
      </c>
      <c r="AH144" s="21">
        <v>19.8201</v>
      </c>
      <c r="AI144" s="21">
        <v>-1.40076E-2</v>
      </c>
      <c r="AJ144" s="21">
        <v>134</v>
      </c>
      <c r="AK144" s="21">
        <v>0.57415799999999995</v>
      </c>
      <c r="AL144">
        <f t="shared" si="30"/>
        <v>17.293333333333333</v>
      </c>
      <c r="AM144">
        <f t="shared" si="31"/>
        <v>9.9401907066666659</v>
      </c>
      <c r="AP144" s="9"/>
      <c r="AQ144" s="21">
        <v>1.1152599999999999</v>
      </c>
      <c r="AR144" s="21">
        <v>25.299299999999999</v>
      </c>
      <c r="AS144" s="21">
        <v>-1.39221E-2</v>
      </c>
      <c r="AT144" s="21">
        <v>134</v>
      </c>
      <c r="AU144" s="21">
        <v>1.1142000000000001</v>
      </c>
      <c r="AV144">
        <f t="shared" si="32"/>
        <v>17.187777777777779</v>
      </c>
      <c r="AW144">
        <f t="shared" si="33"/>
        <v>19.168841044444445</v>
      </c>
      <c r="AX144" s="9"/>
      <c r="AY144" s="21">
        <v>0.57479899999999995</v>
      </c>
      <c r="AZ144" s="21">
        <v>29.098299999999998</v>
      </c>
      <c r="BA144" s="21">
        <v>-1.4047199999999999E-2</v>
      </c>
      <c r="BB144" s="21">
        <v>134</v>
      </c>
      <c r="BC144" s="21">
        <v>0.57403599999999999</v>
      </c>
      <c r="BD144">
        <f t="shared" si="34"/>
        <v>17.342222222222222</v>
      </c>
      <c r="BE144">
        <f t="shared" si="35"/>
        <v>9.9682919911111103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1.1102300000000001</v>
      </c>
      <c r="H145" s="21">
        <v>6.7319100000000001</v>
      </c>
      <c r="I145" s="21">
        <v>-1.39008E-2</v>
      </c>
      <c r="J145" s="21">
        <v>135</v>
      </c>
      <c r="K145" s="21">
        <v>1.1087</v>
      </c>
      <c r="L145">
        <f t="shared" si="24"/>
        <v>17.161481481481481</v>
      </c>
      <c r="M145">
        <f t="shared" si="25"/>
        <v>19.053191585185186</v>
      </c>
      <c r="N145" s="9"/>
      <c r="O145" s="21">
        <v>0.57983399999999996</v>
      </c>
      <c r="P145" s="21">
        <v>10.531000000000001</v>
      </c>
      <c r="Q145" s="21">
        <v>-1.40564E-2</v>
      </c>
      <c r="R145" s="21">
        <v>135</v>
      </c>
      <c r="S145" s="21">
        <v>0.57922399999999996</v>
      </c>
      <c r="T145">
        <f t="shared" si="26"/>
        <v>17.35358024691358</v>
      </c>
      <c r="U145">
        <f t="shared" si="27"/>
        <v>10.062195848888889</v>
      </c>
      <c r="X145" s="9"/>
      <c r="Y145" s="21">
        <v>0.57983399999999996</v>
      </c>
      <c r="Z145" s="21">
        <v>10.531000000000001</v>
      </c>
      <c r="AA145" s="21">
        <v>-1.40564E-2</v>
      </c>
      <c r="AB145" s="21">
        <v>135</v>
      </c>
      <c r="AC145" s="21">
        <v>0.57922399999999996</v>
      </c>
      <c r="AD145">
        <f t="shared" si="28"/>
        <v>17.35358024691358</v>
      </c>
      <c r="AE145">
        <f t="shared" si="29"/>
        <v>10.062195848888889</v>
      </c>
      <c r="AF145" s="9"/>
      <c r="AG145" s="21">
        <v>0.57983399999999996</v>
      </c>
      <c r="AH145" s="21">
        <v>19.830200000000001</v>
      </c>
      <c r="AI145" s="21">
        <v>-1.40045E-2</v>
      </c>
      <c r="AJ145" s="21">
        <v>135</v>
      </c>
      <c r="AK145" s="21">
        <v>0.57922399999999996</v>
      </c>
      <c r="AL145">
        <f t="shared" si="30"/>
        <v>17.289506172839506</v>
      </c>
      <c r="AM145">
        <f t="shared" si="31"/>
        <v>10.025043522222221</v>
      </c>
      <c r="AP145" s="9"/>
      <c r="AQ145" s="21">
        <v>1.1102300000000001</v>
      </c>
      <c r="AR145" s="21">
        <v>25.3094</v>
      </c>
      <c r="AS145" s="21">
        <v>-1.39221E-2</v>
      </c>
      <c r="AT145" s="21">
        <v>135</v>
      </c>
      <c r="AU145" s="21">
        <v>1.1096200000000001</v>
      </c>
      <c r="AV145">
        <f t="shared" si="32"/>
        <v>17.187777777777779</v>
      </c>
      <c r="AW145">
        <f t="shared" si="33"/>
        <v>19.082386522222222</v>
      </c>
      <c r="AX145" s="9"/>
      <c r="AY145" s="21">
        <v>0.57983399999999996</v>
      </c>
      <c r="AZ145" s="21">
        <v>29.1084</v>
      </c>
      <c r="BA145" s="21">
        <v>-1.4041100000000001E-2</v>
      </c>
      <c r="BB145" s="21">
        <v>135</v>
      </c>
      <c r="BC145" s="21">
        <v>0.57919299999999996</v>
      </c>
      <c r="BD145">
        <f t="shared" si="34"/>
        <v>17.334691358024692</v>
      </c>
      <c r="BE145">
        <f t="shared" si="35"/>
        <v>10.051243428888888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1.1051899999999999</v>
      </c>
      <c r="H146" s="21">
        <v>6.7419799999999999</v>
      </c>
      <c r="I146" s="21">
        <v>-1.3894699999999999E-2</v>
      </c>
      <c r="J146" s="21">
        <v>136</v>
      </c>
      <c r="K146" s="21">
        <v>1.10443</v>
      </c>
      <c r="L146">
        <f t="shared" si="24"/>
        <v>17.153950617283947</v>
      </c>
      <c r="M146">
        <f t="shared" si="25"/>
        <v>18.958374682716045</v>
      </c>
      <c r="N146" s="9"/>
      <c r="O146" s="21">
        <v>0.58486899999999997</v>
      </c>
      <c r="P146" s="21">
        <v>10.541</v>
      </c>
      <c r="Q146" s="21">
        <v>-1.4065599999999999E-2</v>
      </c>
      <c r="R146" s="21">
        <v>136</v>
      </c>
      <c r="S146" s="21">
        <v>0.58425899999999997</v>
      </c>
      <c r="T146">
        <f t="shared" si="26"/>
        <v>17.364938271604938</v>
      </c>
      <c r="U146">
        <f t="shared" si="27"/>
        <v>10.156214081975309</v>
      </c>
      <c r="X146" s="9"/>
      <c r="Y146" s="21">
        <v>0.58486899999999997</v>
      </c>
      <c r="Z146" s="21">
        <v>10.541</v>
      </c>
      <c r="AA146" s="21">
        <v>-1.4065599999999999E-2</v>
      </c>
      <c r="AB146" s="21">
        <v>136</v>
      </c>
      <c r="AC146" s="21">
        <v>0.58425899999999997</v>
      </c>
      <c r="AD146">
        <f t="shared" si="28"/>
        <v>17.364938271604938</v>
      </c>
      <c r="AE146">
        <f t="shared" si="29"/>
        <v>10.156214081975309</v>
      </c>
      <c r="AF146" s="9"/>
      <c r="AG146" s="21">
        <v>0.58486899999999997</v>
      </c>
      <c r="AH146" s="21">
        <v>19.840199999999999</v>
      </c>
      <c r="AI146" s="21">
        <v>-1.40076E-2</v>
      </c>
      <c r="AJ146" s="21">
        <v>136</v>
      </c>
      <c r="AK146" s="21">
        <v>0.58416699999999999</v>
      </c>
      <c r="AL146">
        <f t="shared" si="30"/>
        <v>17.293333333333333</v>
      </c>
      <c r="AM146">
        <f t="shared" si="31"/>
        <v>10.114334573333332</v>
      </c>
      <c r="AP146" s="9"/>
      <c r="AQ146" s="21">
        <v>1.1051899999999999</v>
      </c>
      <c r="AR146" s="21">
        <v>25.319400000000002</v>
      </c>
      <c r="AS146" s="21">
        <v>-1.39221E-2</v>
      </c>
      <c r="AT146" s="21">
        <v>136</v>
      </c>
      <c r="AU146" s="21">
        <v>1.1047400000000001</v>
      </c>
      <c r="AV146">
        <f t="shared" si="32"/>
        <v>17.187777777777779</v>
      </c>
      <c r="AW146">
        <f t="shared" si="33"/>
        <v>18.995760122222222</v>
      </c>
      <c r="AX146" s="9"/>
      <c r="AY146" s="21">
        <v>0.58486899999999997</v>
      </c>
      <c r="AZ146" s="21">
        <v>29.118500000000001</v>
      </c>
      <c r="BA146" s="21">
        <v>-1.4047199999999999E-2</v>
      </c>
      <c r="BB146" s="21">
        <v>136</v>
      </c>
      <c r="BC146" s="21">
        <v>0.58425899999999997</v>
      </c>
      <c r="BD146">
        <f t="shared" si="34"/>
        <v>17.342222222222222</v>
      </c>
      <c r="BE146">
        <f t="shared" si="35"/>
        <v>10.142928168888888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1.10016</v>
      </c>
      <c r="H147" s="21">
        <v>6.7520499999999997</v>
      </c>
      <c r="I147" s="21">
        <v>-1.38885E-2</v>
      </c>
      <c r="J147" s="21">
        <v>137</v>
      </c>
      <c r="K147" s="21">
        <v>1.09955</v>
      </c>
      <c r="L147">
        <f t="shared" si="24"/>
        <v>17.146296296296295</v>
      </c>
      <c r="M147">
        <f t="shared" si="25"/>
        <v>18.863669333333334</v>
      </c>
      <c r="N147" s="9"/>
      <c r="O147" s="21">
        <v>0.58990500000000001</v>
      </c>
      <c r="P147" s="21">
        <v>10.5511</v>
      </c>
      <c r="Q147" s="21">
        <v>-1.4065599999999999E-2</v>
      </c>
      <c r="R147" s="21">
        <v>137</v>
      </c>
      <c r="S147" s="21">
        <v>0.58932499999999999</v>
      </c>
      <c r="T147">
        <f t="shared" si="26"/>
        <v>17.364938271604938</v>
      </c>
      <c r="U147">
        <f t="shared" si="27"/>
        <v>10.243663911111112</v>
      </c>
      <c r="X147" s="9"/>
      <c r="Y147" s="21">
        <v>0.58990500000000001</v>
      </c>
      <c r="Z147" s="21">
        <v>10.5511</v>
      </c>
      <c r="AA147" s="21">
        <v>-1.4065599999999999E-2</v>
      </c>
      <c r="AB147" s="21">
        <v>137</v>
      </c>
      <c r="AC147" s="21">
        <v>0.58932499999999999</v>
      </c>
      <c r="AD147">
        <f t="shared" si="28"/>
        <v>17.364938271604938</v>
      </c>
      <c r="AE147">
        <f t="shared" si="29"/>
        <v>10.243663911111112</v>
      </c>
      <c r="AF147" s="9"/>
      <c r="AG147" s="21">
        <v>0.58990500000000001</v>
      </c>
      <c r="AH147" s="21">
        <v>19.850300000000001</v>
      </c>
      <c r="AI147" s="21">
        <v>-1.40106E-2</v>
      </c>
      <c r="AJ147" s="21">
        <v>137</v>
      </c>
      <c r="AK147" s="21">
        <v>0.58935499999999996</v>
      </c>
      <c r="AL147">
        <f t="shared" si="30"/>
        <v>17.297037037037036</v>
      </c>
      <c r="AM147">
        <f t="shared" si="31"/>
        <v>10.203608633333333</v>
      </c>
      <c r="AP147" s="9"/>
      <c r="AQ147" s="21">
        <v>1.10016</v>
      </c>
      <c r="AR147" s="21">
        <v>25.329499999999999</v>
      </c>
      <c r="AS147" s="21">
        <v>-1.39252E-2</v>
      </c>
      <c r="AT147" s="21">
        <v>137</v>
      </c>
      <c r="AU147" s="21">
        <v>1.09924</v>
      </c>
      <c r="AV147">
        <f t="shared" si="32"/>
        <v>17.191604938271606</v>
      </c>
      <c r="AW147">
        <f t="shared" si="33"/>
        <v>18.91351608888889</v>
      </c>
      <c r="AX147" s="9"/>
      <c r="AY147" s="21">
        <v>0.58990500000000001</v>
      </c>
      <c r="AZ147" s="21">
        <v>29.128499999999999</v>
      </c>
      <c r="BA147" s="21">
        <v>-1.4053299999999999E-2</v>
      </c>
      <c r="BB147" s="21">
        <v>137</v>
      </c>
      <c r="BC147" s="21">
        <v>0.58920300000000003</v>
      </c>
      <c r="BD147">
        <f t="shared" si="34"/>
        <v>17.349753086419753</v>
      </c>
      <c r="BE147">
        <f t="shared" si="35"/>
        <v>10.234706094444444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1.0951200000000001</v>
      </c>
      <c r="H148" s="21">
        <v>6.7621200000000004</v>
      </c>
      <c r="I148" s="21">
        <v>-1.38855E-2</v>
      </c>
      <c r="J148" s="21">
        <v>138</v>
      </c>
      <c r="K148" s="21">
        <v>1.09436</v>
      </c>
      <c r="L148">
        <f t="shared" si="24"/>
        <v>17.142592592592592</v>
      </c>
      <c r="M148">
        <f t="shared" si="25"/>
        <v>18.773196000000002</v>
      </c>
      <c r="N148" s="9"/>
      <c r="O148" s="21">
        <v>0.59494000000000002</v>
      </c>
      <c r="P148" s="21">
        <v>10.561199999999999</v>
      </c>
      <c r="Q148" s="21">
        <v>-1.4071699999999999E-2</v>
      </c>
      <c r="R148" s="21">
        <v>138</v>
      </c>
      <c r="S148" s="21">
        <v>0.59433000000000002</v>
      </c>
      <c r="T148">
        <f t="shared" si="26"/>
        <v>17.372469135802469</v>
      </c>
      <c r="U148">
        <f t="shared" si="27"/>
        <v>10.335576787654322</v>
      </c>
      <c r="X148" s="9"/>
      <c r="Y148" s="21">
        <v>0.59494000000000002</v>
      </c>
      <c r="Z148" s="21">
        <v>10.561199999999999</v>
      </c>
      <c r="AA148" s="21">
        <v>-1.4071699999999999E-2</v>
      </c>
      <c r="AB148" s="21">
        <v>138</v>
      </c>
      <c r="AC148" s="21">
        <v>0.59433000000000002</v>
      </c>
      <c r="AD148">
        <f t="shared" si="28"/>
        <v>17.372469135802469</v>
      </c>
      <c r="AE148">
        <f t="shared" si="29"/>
        <v>10.335576787654322</v>
      </c>
      <c r="AF148" s="9"/>
      <c r="AG148" s="21">
        <v>0.59494000000000002</v>
      </c>
      <c r="AH148" s="21">
        <v>19.860399999999998</v>
      </c>
      <c r="AI148" s="21">
        <v>-1.40228E-2</v>
      </c>
      <c r="AJ148" s="21">
        <v>138</v>
      </c>
      <c r="AK148" s="21">
        <v>0.59423800000000004</v>
      </c>
      <c r="AL148">
        <f t="shared" si="30"/>
        <v>17.312098765432097</v>
      </c>
      <c r="AM148">
        <f t="shared" si="31"/>
        <v>10.299660039506172</v>
      </c>
      <c r="AP148" s="9"/>
      <c r="AQ148" s="21">
        <v>1.0951200000000001</v>
      </c>
      <c r="AR148" s="21">
        <v>25.339600000000001</v>
      </c>
      <c r="AS148" s="21">
        <v>-1.39282E-2</v>
      </c>
      <c r="AT148" s="21">
        <v>138</v>
      </c>
      <c r="AU148" s="21">
        <v>1.09375</v>
      </c>
      <c r="AV148">
        <f t="shared" si="32"/>
        <v>17.195308641975309</v>
      </c>
      <c r="AW148">
        <f t="shared" si="33"/>
        <v>18.830926400000003</v>
      </c>
      <c r="AX148" s="9"/>
      <c r="AY148" s="21">
        <v>0.59494000000000002</v>
      </c>
      <c r="AZ148" s="21">
        <v>29.1386</v>
      </c>
      <c r="BA148" s="21">
        <v>-1.40594E-2</v>
      </c>
      <c r="BB148" s="21">
        <v>138</v>
      </c>
      <c r="BC148" s="21">
        <v>0.59420799999999996</v>
      </c>
      <c r="BD148">
        <f t="shared" si="34"/>
        <v>17.357283950617283</v>
      </c>
      <c r="BE148">
        <f t="shared" si="35"/>
        <v>10.326542513580247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1.09009</v>
      </c>
      <c r="H149" s="21">
        <v>6.7721999999999998</v>
      </c>
      <c r="I149" s="21">
        <v>-1.38916E-2</v>
      </c>
      <c r="J149" s="21">
        <v>139</v>
      </c>
      <c r="K149" s="21">
        <v>1.08948</v>
      </c>
      <c r="L149">
        <f t="shared" si="24"/>
        <v>17.150123456790123</v>
      </c>
      <c r="M149">
        <f t="shared" si="25"/>
        <v>18.695178079012344</v>
      </c>
      <c r="N149" s="9"/>
      <c r="O149" s="21">
        <v>0.59997599999999995</v>
      </c>
      <c r="P149" s="21">
        <v>10.571199999999999</v>
      </c>
      <c r="Q149" s="21">
        <v>-1.4080799999999999E-2</v>
      </c>
      <c r="R149" s="21">
        <v>139</v>
      </c>
      <c r="S149" s="21">
        <v>0.59948699999999999</v>
      </c>
      <c r="T149">
        <f t="shared" si="26"/>
        <v>17.383703703703702</v>
      </c>
      <c r="U149">
        <f t="shared" si="27"/>
        <v>10.429805013333331</v>
      </c>
      <c r="X149" s="9"/>
      <c r="Y149" s="21">
        <v>0.59997599999999995</v>
      </c>
      <c r="Z149" s="21">
        <v>10.571199999999999</v>
      </c>
      <c r="AA149" s="21">
        <v>-1.4080799999999999E-2</v>
      </c>
      <c r="AB149" s="21">
        <v>139</v>
      </c>
      <c r="AC149" s="21">
        <v>0.59948699999999999</v>
      </c>
      <c r="AD149">
        <f t="shared" si="28"/>
        <v>17.383703703703702</v>
      </c>
      <c r="AE149">
        <f t="shared" si="29"/>
        <v>10.429805013333331</v>
      </c>
      <c r="AF149" s="9"/>
      <c r="AG149" s="21">
        <v>0.59997599999999995</v>
      </c>
      <c r="AH149" s="21">
        <v>19.8705</v>
      </c>
      <c r="AI149" s="21">
        <v>-1.4019800000000001E-2</v>
      </c>
      <c r="AJ149" s="21">
        <v>139</v>
      </c>
      <c r="AK149" s="21">
        <v>0.59939600000000004</v>
      </c>
      <c r="AL149">
        <f t="shared" si="30"/>
        <v>17.308395061728394</v>
      </c>
      <c r="AM149">
        <f t="shared" si="31"/>
        <v>10.384621635555554</v>
      </c>
      <c r="AP149" s="9"/>
      <c r="AQ149" s="21">
        <v>1.09009</v>
      </c>
      <c r="AR149" s="21">
        <v>25.349599999999999</v>
      </c>
      <c r="AS149" s="21">
        <v>-1.3931300000000001E-2</v>
      </c>
      <c r="AT149" s="21">
        <v>139</v>
      </c>
      <c r="AU149" s="21">
        <v>1.08917</v>
      </c>
      <c r="AV149">
        <f t="shared" si="32"/>
        <v>17.199135802469137</v>
      </c>
      <c r="AW149">
        <f t="shared" si="33"/>
        <v>18.748605946913582</v>
      </c>
      <c r="AX149" s="9"/>
      <c r="AY149" s="21">
        <v>0.59997599999999995</v>
      </c>
      <c r="AZ149" s="21">
        <v>29.148700000000002</v>
      </c>
      <c r="BA149" s="21">
        <v>-1.40503E-2</v>
      </c>
      <c r="BB149" s="21">
        <v>139</v>
      </c>
      <c r="BC149" s="21">
        <v>0.59930399999999995</v>
      </c>
      <c r="BD149">
        <f t="shared" si="34"/>
        <v>17.34604938271605</v>
      </c>
      <c r="BE149">
        <f t="shared" si="35"/>
        <v>10.407213324444443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1.0850500000000001</v>
      </c>
      <c r="H150" s="21">
        <v>6.7822699999999996</v>
      </c>
      <c r="I150" s="21">
        <v>-1.3903799999999999E-2</v>
      </c>
      <c r="J150" s="21">
        <v>140</v>
      </c>
      <c r="K150" s="21">
        <v>1.0839799999999999</v>
      </c>
      <c r="L150">
        <f t="shared" si="24"/>
        <v>17.165185185185184</v>
      </c>
      <c r="M150">
        <f t="shared" si="25"/>
        <v>18.625084185185184</v>
      </c>
      <c r="N150" s="9"/>
      <c r="O150" s="21">
        <v>0.60501099999999997</v>
      </c>
      <c r="P150" s="21">
        <v>10.581300000000001</v>
      </c>
      <c r="Q150" s="21">
        <v>-1.40778E-2</v>
      </c>
      <c r="R150" s="21">
        <v>140</v>
      </c>
      <c r="S150" s="21">
        <v>0.60433999999999999</v>
      </c>
      <c r="T150">
        <f t="shared" si="26"/>
        <v>17.38</v>
      </c>
      <c r="U150">
        <f t="shared" si="27"/>
        <v>10.515091179999999</v>
      </c>
      <c r="X150" s="9"/>
      <c r="Y150" s="21">
        <v>0.60501099999999997</v>
      </c>
      <c r="Z150" s="21">
        <v>10.581300000000001</v>
      </c>
      <c r="AA150" s="21">
        <v>-1.40778E-2</v>
      </c>
      <c r="AB150" s="21">
        <v>140</v>
      </c>
      <c r="AC150" s="21">
        <v>0.60433999999999999</v>
      </c>
      <c r="AD150">
        <f t="shared" si="28"/>
        <v>17.38</v>
      </c>
      <c r="AE150">
        <f t="shared" si="29"/>
        <v>10.515091179999999</v>
      </c>
      <c r="AF150" s="9"/>
      <c r="AG150" s="21">
        <v>0.60501099999999997</v>
      </c>
      <c r="AH150" s="21">
        <v>19.880500000000001</v>
      </c>
      <c r="AI150" s="21">
        <v>-1.40228E-2</v>
      </c>
      <c r="AJ150" s="21">
        <v>140</v>
      </c>
      <c r="AK150" s="21">
        <v>0.60430899999999999</v>
      </c>
      <c r="AL150">
        <f t="shared" si="30"/>
        <v>17.312098765432097</v>
      </c>
      <c r="AM150">
        <f t="shared" si="31"/>
        <v>10.474010186172839</v>
      </c>
      <c r="AP150" s="9"/>
      <c r="AQ150" s="21">
        <v>1.0850500000000001</v>
      </c>
      <c r="AR150" s="21">
        <v>25.3597</v>
      </c>
      <c r="AS150" s="21">
        <v>-1.39282E-2</v>
      </c>
      <c r="AT150" s="21">
        <v>140</v>
      </c>
      <c r="AU150" s="21">
        <v>1.0839799999999999</v>
      </c>
      <c r="AV150">
        <f t="shared" si="32"/>
        <v>17.195308641975309</v>
      </c>
      <c r="AW150">
        <f t="shared" si="33"/>
        <v>18.65776964197531</v>
      </c>
      <c r="AX150" s="9"/>
      <c r="AY150" s="21">
        <v>0.60501099999999997</v>
      </c>
      <c r="AZ150" s="21">
        <v>29.158799999999999</v>
      </c>
      <c r="BA150" s="21">
        <v>-1.4041100000000001E-2</v>
      </c>
      <c r="BB150" s="21">
        <v>140</v>
      </c>
      <c r="BC150" s="21">
        <v>0.60440099999999997</v>
      </c>
      <c r="BD150">
        <f t="shared" si="34"/>
        <v>17.334691358024692</v>
      </c>
      <c r="BE150">
        <f t="shared" si="35"/>
        <v>10.487678953209876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1.08002</v>
      </c>
      <c r="H151" s="21">
        <v>6.7923400000000003</v>
      </c>
      <c r="I151" s="21">
        <v>-1.39191E-2</v>
      </c>
      <c r="J151" s="21">
        <v>141</v>
      </c>
      <c r="K151" s="21">
        <v>1.0790999999999999</v>
      </c>
      <c r="L151">
        <f t="shared" si="24"/>
        <v>17.184074074074076</v>
      </c>
      <c r="M151">
        <f t="shared" si="25"/>
        <v>18.559143681481483</v>
      </c>
      <c r="N151" s="9"/>
      <c r="O151" s="21">
        <v>0.61004599999999998</v>
      </c>
      <c r="P151" s="21">
        <v>10.5914</v>
      </c>
      <c r="Q151" s="21">
        <v>-1.4068600000000001E-2</v>
      </c>
      <c r="R151" s="21">
        <v>141</v>
      </c>
      <c r="S151" s="21">
        <v>0.609375</v>
      </c>
      <c r="T151">
        <f t="shared" si="26"/>
        <v>17.368641975308641</v>
      </c>
      <c r="U151">
        <f t="shared" si="27"/>
        <v>10.595670562469135</v>
      </c>
      <c r="X151" s="9"/>
      <c r="Y151" s="21">
        <v>0.61004599999999998</v>
      </c>
      <c r="Z151" s="21">
        <v>10.5914</v>
      </c>
      <c r="AA151" s="21">
        <v>-1.4068600000000001E-2</v>
      </c>
      <c r="AB151" s="21">
        <v>141</v>
      </c>
      <c r="AC151" s="21">
        <v>0.609375</v>
      </c>
      <c r="AD151">
        <f t="shared" si="28"/>
        <v>17.368641975308641</v>
      </c>
      <c r="AE151">
        <f t="shared" si="29"/>
        <v>10.595670562469135</v>
      </c>
      <c r="AF151" s="9"/>
      <c r="AG151" s="21">
        <v>0.61004599999999998</v>
      </c>
      <c r="AH151" s="21">
        <v>19.890599999999999</v>
      </c>
      <c r="AI151" s="21">
        <v>-1.40167E-2</v>
      </c>
      <c r="AJ151" s="21">
        <v>141</v>
      </c>
      <c r="AK151" s="21">
        <v>0.609375</v>
      </c>
      <c r="AL151">
        <f t="shared" si="30"/>
        <v>17.304567901234567</v>
      </c>
      <c r="AM151">
        <f t="shared" si="31"/>
        <v>10.556582429876542</v>
      </c>
      <c r="AP151" s="9"/>
      <c r="AQ151" s="21">
        <v>1.08002</v>
      </c>
      <c r="AR151" s="21">
        <v>25.369800000000001</v>
      </c>
      <c r="AS151" s="21">
        <v>-1.39252E-2</v>
      </c>
      <c r="AT151" s="21">
        <v>141</v>
      </c>
      <c r="AU151" s="21">
        <v>1.0797099999999999</v>
      </c>
      <c r="AV151">
        <f t="shared" si="32"/>
        <v>17.191604938271606</v>
      </c>
      <c r="AW151">
        <f t="shared" si="33"/>
        <v>18.567277165432099</v>
      </c>
      <c r="AX151" s="9"/>
      <c r="AY151" s="21">
        <v>0.61004599999999998</v>
      </c>
      <c r="AZ151" s="21">
        <v>29.168800000000001</v>
      </c>
      <c r="BA151" s="21">
        <v>-1.40381E-2</v>
      </c>
      <c r="BB151" s="21">
        <v>141</v>
      </c>
      <c r="BC151" s="21">
        <v>0.60931400000000002</v>
      </c>
      <c r="BD151">
        <f t="shared" si="34"/>
        <v>17.330987654320985</v>
      </c>
      <c r="BE151">
        <f t="shared" si="35"/>
        <v>10.5726996945679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1.07498</v>
      </c>
      <c r="H152" s="21">
        <v>6.8024100000000001</v>
      </c>
      <c r="I152" s="21">
        <v>-1.39282E-2</v>
      </c>
      <c r="J152" s="21">
        <v>142</v>
      </c>
      <c r="K152" s="21">
        <v>1.0739099999999999</v>
      </c>
      <c r="L152">
        <f t="shared" si="24"/>
        <v>17.195308641975309</v>
      </c>
      <c r="M152">
        <f t="shared" si="25"/>
        <v>18.484612883950618</v>
      </c>
      <c r="N152" s="9"/>
      <c r="O152" s="21">
        <v>0.61508200000000002</v>
      </c>
      <c r="P152" s="21">
        <v>10.6015</v>
      </c>
      <c r="Q152" s="21">
        <v>-1.40625E-2</v>
      </c>
      <c r="R152" s="21">
        <v>142</v>
      </c>
      <c r="S152" s="21">
        <v>0.61450199999999999</v>
      </c>
      <c r="T152">
        <f t="shared" si="26"/>
        <v>17.361111111111111</v>
      </c>
      <c r="U152">
        <f t="shared" si="27"/>
        <v>10.678506944444445</v>
      </c>
      <c r="X152" s="9"/>
      <c r="Y152" s="21">
        <v>0.61508200000000002</v>
      </c>
      <c r="Z152" s="21">
        <v>10.6015</v>
      </c>
      <c r="AA152" s="21">
        <v>-1.40625E-2</v>
      </c>
      <c r="AB152" s="21">
        <v>142</v>
      </c>
      <c r="AC152" s="21">
        <v>0.61450199999999999</v>
      </c>
      <c r="AD152">
        <f t="shared" si="28"/>
        <v>17.361111111111111</v>
      </c>
      <c r="AE152">
        <f t="shared" si="29"/>
        <v>10.678506944444445</v>
      </c>
      <c r="AF152" s="9"/>
      <c r="AG152" s="21">
        <v>0.61508200000000002</v>
      </c>
      <c r="AH152" s="21">
        <v>19.900700000000001</v>
      </c>
      <c r="AI152" s="21">
        <v>-1.40106E-2</v>
      </c>
      <c r="AJ152" s="21">
        <v>142</v>
      </c>
      <c r="AK152" s="21">
        <v>0.61444100000000001</v>
      </c>
      <c r="AL152">
        <f t="shared" si="30"/>
        <v>17.297037037037036</v>
      </c>
      <c r="AM152">
        <f t="shared" si="31"/>
        <v>10.639096134814814</v>
      </c>
      <c r="AP152" s="9"/>
      <c r="AQ152" s="21">
        <v>1.07498</v>
      </c>
      <c r="AR152" s="21">
        <v>25.379899999999999</v>
      </c>
      <c r="AS152" s="21">
        <v>-1.3916E-2</v>
      </c>
      <c r="AT152" s="21">
        <v>142</v>
      </c>
      <c r="AU152" s="21">
        <v>1.0739099999999999</v>
      </c>
      <c r="AV152">
        <f t="shared" si="32"/>
        <v>17.180246913580245</v>
      </c>
      <c r="AW152">
        <f t="shared" si="33"/>
        <v>18.468421827160491</v>
      </c>
      <c r="AX152" s="9"/>
      <c r="AY152" s="21">
        <v>0.61508200000000002</v>
      </c>
      <c r="AZ152" s="21">
        <v>29.178899999999999</v>
      </c>
      <c r="BA152" s="21">
        <v>-1.4047199999999999E-2</v>
      </c>
      <c r="BB152" s="21">
        <v>142</v>
      </c>
      <c r="BC152" s="21">
        <v>0.61450199999999999</v>
      </c>
      <c r="BD152">
        <f t="shared" si="34"/>
        <v>17.342222222222222</v>
      </c>
      <c r="BE152">
        <f t="shared" si="35"/>
        <v>10.666888728888889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1.06995</v>
      </c>
      <c r="H153" s="21">
        <v>6.8124799999999999</v>
      </c>
      <c r="I153" s="21">
        <v>-1.3943499999999999E-2</v>
      </c>
      <c r="J153" s="21">
        <v>143</v>
      </c>
      <c r="K153" s="21">
        <v>1.0690299999999999</v>
      </c>
      <c r="L153">
        <f t="shared" si="24"/>
        <v>17.214197530864197</v>
      </c>
      <c r="M153">
        <f t="shared" si="25"/>
        <v>18.418330648148146</v>
      </c>
      <c r="N153" s="9"/>
      <c r="O153" s="21">
        <v>0.62011700000000003</v>
      </c>
      <c r="P153" s="21">
        <v>10.611499999999999</v>
      </c>
      <c r="Q153" s="21">
        <v>-1.4053299999999999E-2</v>
      </c>
      <c r="R153" s="21">
        <v>143</v>
      </c>
      <c r="S153" s="21">
        <v>0.61947600000000003</v>
      </c>
      <c r="T153">
        <f t="shared" si="26"/>
        <v>17.349753086419753</v>
      </c>
      <c r="U153">
        <f t="shared" si="27"/>
        <v>10.758876834691359</v>
      </c>
      <c r="X153" s="9"/>
      <c r="Y153" s="21">
        <v>0.62011700000000003</v>
      </c>
      <c r="Z153" s="21">
        <v>10.611499999999999</v>
      </c>
      <c r="AA153" s="21">
        <v>-1.4053299999999999E-2</v>
      </c>
      <c r="AB153" s="21">
        <v>143</v>
      </c>
      <c r="AC153" s="21">
        <v>0.61947600000000003</v>
      </c>
      <c r="AD153">
        <f t="shared" si="28"/>
        <v>17.349753086419753</v>
      </c>
      <c r="AE153">
        <f t="shared" si="29"/>
        <v>10.758876834691359</v>
      </c>
      <c r="AF153" s="9"/>
      <c r="AG153" s="21">
        <v>0.62011700000000003</v>
      </c>
      <c r="AH153" s="21">
        <v>19.910699999999999</v>
      </c>
      <c r="AI153" s="21">
        <v>-1.3992299999999999E-2</v>
      </c>
      <c r="AJ153" s="21">
        <v>143</v>
      </c>
      <c r="AK153" s="21">
        <v>0.61947600000000003</v>
      </c>
      <c r="AL153">
        <f t="shared" si="30"/>
        <v>17.274444444444445</v>
      </c>
      <c r="AM153">
        <f t="shared" si="31"/>
        <v>10.712176665555557</v>
      </c>
      <c r="AP153" s="9"/>
      <c r="AQ153" s="21">
        <v>1.06995</v>
      </c>
      <c r="AR153" s="21">
        <v>25.389900000000001</v>
      </c>
      <c r="AS153" s="21">
        <v>-1.39191E-2</v>
      </c>
      <c r="AT153" s="21">
        <v>143</v>
      </c>
      <c r="AU153" s="21">
        <v>1.06873</v>
      </c>
      <c r="AV153">
        <f t="shared" si="32"/>
        <v>17.184074074074076</v>
      </c>
      <c r="AW153">
        <f t="shared" si="33"/>
        <v>18.386100055555556</v>
      </c>
      <c r="AX153" s="9"/>
      <c r="AY153" s="21">
        <v>0.62011700000000003</v>
      </c>
      <c r="AZ153" s="21">
        <v>29.189</v>
      </c>
      <c r="BA153" s="21">
        <v>-1.40442E-2</v>
      </c>
      <c r="BB153" s="21">
        <v>143</v>
      </c>
      <c r="BC153" s="21">
        <v>0.619537</v>
      </c>
      <c r="BD153">
        <f t="shared" si="34"/>
        <v>17.338518518518516</v>
      </c>
      <c r="BE153">
        <f t="shared" si="35"/>
        <v>10.751910088148147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1.06491</v>
      </c>
      <c r="H154" s="21">
        <v>6.8225499999999997</v>
      </c>
      <c r="I154" s="21">
        <v>-1.3943499999999999E-2</v>
      </c>
      <c r="J154" s="21">
        <v>144</v>
      </c>
      <c r="K154" s="21">
        <v>1.0638399999999999</v>
      </c>
      <c r="L154">
        <f t="shared" si="24"/>
        <v>17.214197530864197</v>
      </c>
      <c r="M154">
        <f t="shared" si="25"/>
        <v>18.331571092592593</v>
      </c>
      <c r="N154" s="9"/>
      <c r="O154" s="21">
        <v>0.62515299999999996</v>
      </c>
      <c r="P154" s="21">
        <v>10.621600000000001</v>
      </c>
      <c r="Q154" s="21">
        <v>-1.40564E-2</v>
      </c>
      <c r="R154" s="21">
        <v>144</v>
      </c>
      <c r="S154" s="21">
        <v>0.62448099999999995</v>
      </c>
      <c r="T154">
        <f t="shared" si="26"/>
        <v>17.35358024691358</v>
      </c>
      <c r="U154">
        <f t="shared" si="27"/>
        <v>10.848642752098765</v>
      </c>
      <c r="X154" s="9"/>
      <c r="Y154" s="21">
        <v>0.62515299999999996</v>
      </c>
      <c r="Z154" s="21">
        <v>10.621600000000001</v>
      </c>
      <c r="AA154" s="21">
        <v>-1.40564E-2</v>
      </c>
      <c r="AB154" s="21">
        <v>144</v>
      </c>
      <c r="AC154" s="21">
        <v>0.62448099999999995</v>
      </c>
      <c r="AD154">
        <f t="shared" si="28"/>
        <v>17.35358024691358</v>
      </c>
      <c r="AE154">
        <f t="shared" si="29"/>
        <v>10.848642752098765</v>
      </c>
      <c r="AF154" s="9"/>
      <c r="AG154" s="21">
        <v>0.62515299999999996</v>
      </c>
      <c r="AH154" s="21">
        <v>19.9208</v>
      </c>
      <c r="AI154" s="21">
        <v>-1.3977099999999999E-2</v>
      </c>
      <c r="AJ154" s="21">
        <v>144</v>
      </c>
      <c r="AK154" s="21">
        <v>0.62454200000000004</v>
      </c>
      <c r="AL154">
        <f t="shared" si="30"/>
        <v>17.255679012345677</v>
      </c>
      <c r="AM154">
        <f t="shared" si="31"/>
        <v>10.787439501604936</v>
      </c>
      <c r="AP154" s="9"/>
      <c r="AQ154" s="21">
        <v>1.06491</v>
      </c>
      <c r="AR154" s="21">
        <v>25.4</v>
      </c>
      <c r="AS154" s="21">
        <v>-1.3916E-2</v>
      </c>
      <c r="AT154" s="21">
        <v>144</v>
      </c>
      <c r="AU154" s="21">
        <v>1.0635399999999999</v>
      </c>
      <c r="AV154">
        <f t="shared" si="32"/>
        <v>17.180246913580245</v>
      </c>
      <c r="AW154">
        <f t="shared" si="33"/>
        <v>18.295416740740738</v>
      </c>
      <c r="AX154" s="9"/>
      <c r="AY154" s="21">
        <v>0.62515299999999996</v>
      </c>
      <c r="AZ154" s="21">
        <v>29.199000000000002</v>
      </c>
      <c r="BA154" s="21">
        <v>-1.4047199999999999E-2</v>
      </c>
      <c r="BB154" s="21">
        <v>144</v>
      </c>
      <c r="BC154" s="21">
        <v>0.62448099999999995</v>
      </c>
      <c r="BD154">
        <f t="shared" si="34"/>
        <v>17.342222222222222</v>
      </c>
      <c r="BE154">
        <f t="shared" si="35"/>
        <v>10.841542248888889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1.0598799999999999</v>
      </c>
      <c r="H155" s="21">
        <v>6.8326200000000004</v>
      </c>
      <c r="I155" s="21">
        <v>-1.3937400000000001E-2</v>
      </c>
      <c r="J155" s="21">
        <v>145</v>
      </c>
      <c r="K155" s="21">
        <v>1.0592699999999999</v>
      </c>
      <c r="L155">
        <f t="shared" si="24"/>
        <v>17.206666666666667</v>
      </c>
      <c r="M155">
        <f t="shared" si="25"/>
        <v>18.237001866666667</v>
      </c>
      <c r="N155" s="9"/>
      <c r="O155" s="21">
        <v>0.63018799999999997</v>
      </c>
      <c r="P155" s="21">
        <v>10.6317</v>
      </c>
      <c r="Q155" s="21">
        <v>-1.4053299999999999E-2</v>
      </c>
      <c r="R155" s="21">
        <v>145</v>
      </c>
      <c r="S155" s="21">
        <v>0.62948599999999999</v>
      </c>
      <c r="T155">
        <f t="shared" si="26"/>
        <v>17.349753086419753</v>
      </c>
      <c r="U155">
        <f t="shared" si="27"/>
        <v>10.933606198024691</v>
      </c>
      <c r="X155" s="9"/>
      <c r="Y155" s="21">
        <v>0.63018799999999997</v>
      </c>
      <c r="Z155" s="21">
        <v>10.6317</v>
      </c>
      <c r="AA155" s="21">
        <v>-1.4053299999999999E-2</v>
      </c>
      <c r="AB155" s="21">
        <v>145</v>
      </c>
      <c r="AC155" s="21">
        <v>0.62948599999999999</v>
      </c>
      <c r="AD155">
        <f t="shared" si="28"/>
        <v>17.349753086419753</v>
      </c>
      <c r="AE155">
        <f t="shared" si="29"/>
        <v>10.933606198024691</v>
      </c>
      <c r="AF155" s="9"/>
      <c r="AG155" s="21">
        <v>0.63018799999999997</v>
      </c>
      <c r="AH155" s="21">
        <v>19.930900000000001</v>
      </c>
      <c r="AI155" s="21">
        <v>-1.39679E-2</v>
      </c>
      <c r="AJ155" s="21">
        <v>145</v>
      </c>
      <c r="AK155" s="21">
        <v>0.62954699999999997</v>
      </c>
      <c r="AL155">
        <f t="shared" si="30"/>
        <v>17.244320987654319</v>
      </c>
      <c r="AM155">
        <f t="shared" si="31"/>
        <v>10.867164154567901</v>
      </c>
      <c r="AP155" s="9"/>
      <c r="AQ155" s="21">
        <v>1.0598799999999999</v>
      </c>
      <c r="AR155" s="21">
        <v>25.4101</v>
      </c>
      <c r="AS155" s="21">
        <v>-1.3916E-2</v>
      </c>
      <c r="AT155" s="21">
        <v>145</v>
      </c>
      <c r="AU155" s="21">
        <v>1.0595699999999999</v>
      </c>
      <c r="AV155">
        <f t="shared" si="32"/>
        <v>17.180246913580245</v>
      </c>
      <c r="AW155">
        <f t="shared" si="33"/>
        <v>18.209000098765429</v>
      </c>
      <c r="AX155" s="9"/>
      <c r="AY155" s="21">
        <v>0.63018799999999997</v>
      </c>
      <c r="AZ155" s="21">
        <v>29.209099999999999</v>
      </c>
      <c r="BA155" s="21">
        <v>-1.40503E-2</v>
      </c>
      <c r="BB155" s="21">
        <v>145</v>
      </c>
      <c r="BC155" s="21">
        <v>0.62954699999999997</v>
      </c>
      <c r="BD155">
        <f t="shared" si="34"/>
        <v>17.34604938271605</v>
      </c>
      <c r="BE155">
        <f t="shared" si="35"/>
        <v>10.931272168395061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1.05484</v>
      </c>
      <c r="H156" s="21">
        <v>6.8426900000000002</v>
      </c>
      <c r="I156" s="21">
        <v>-1.39282E-2</v>
      </c>
      <c r="J156" s="21">
        <v>146</v>
      </c>
      <c r="K156" s="21">
        <v>1.0540799999999999</v>
      </c>
      <c r="L156">
        <f t="shared" si="24"/>
        <v>17.195308641975309</v>
      </c>
      <c r="M156">
        <f t="shared" si="25"/>
        <v>18.138299367901237</v>
      </c>
      <c r="N156" s="9"/>
      <c r="O156" s="21">
        <v>0.63522299999999998</v>
      </c>
      <c r="P156" s="21">
        <v>10.6417</v>
      </c>
      <c r="Q156" s="21">
        <v>-1.4047199999999999E-2</v>
      </c>
      <c r="R156" s="21">
        <v>146</v>
      </c>
      <c r="S156" s="21">
        <v>0.63461299999999998</v>
      </c>
      <c r="T156">
        <f t="shared" si="26"/>
        <v>17.342222222222222</v>
      </c>
      <c r="U156">
        <f t="shared" si="27"/>
        <v>11.016178426666666</v>
      </c>
      <c r="X156" s="9"/>
      <c r="Y156" s="21">
        <v>0.63522299999999998</v>
      </c>
      <c r="Z156" s="21">
        <v>10.6417</v>
      </c>
      <c r="AA156" s="21">
        <v>-1.4047199999999999E-2</v>
      </c>
      <c r="AB156" s="21">
        <v>146</v>
      </c>
      <c r="AC156" s="21">
        <v>0.63461299999999998</v>
      </c>
      <c r="AD156">
        <f t="shared" si="28"/>
        <v>17.342222222222222</v>
      </c>
      <c r="AE156">
        <f t="shared" si="29"/>
        <v>11.016178426666666</v>
      </c>
      <c r="AF156" s="9"/>
      <c r="AG156" s="21">
        <v>0.63522299999999998</v>
      </c>
      <c r="AH156" s="21">
        <v>19.940999999999999</v>
      </c>
      <c r="AI156" s="21">
        <v>-1.39679E-2</v>
      </c>
      <c r="AJ156" s="21">
        <v>146</v>
      </c>
      <c r="AK156" s="21">
        <v>0.63464399999999999</v>
      </c>
      <c r="AL156">
        <f t="shared" si="30"/>
        <v>17.244320987654319</v>
      </c>
      <c r="AM156">
        <f t="shared" si="31"/>
        <v>10.95398931074074</v>
      </c>
      <c r="AP156" s="9"/>
      <c r="AQ156" s="21">
        <v>1.05484</v>
      </c>
      <c r="AR156" s="21">
        <v>25.420100000000001</v>
      </c>
      <c r="AS156" s="21">
        <v>-1.39252E-2</v>
      </c>
      <c r="AT156" s="21">
        <v>146</v>
      </c>
      <c r="AU156" s="21">
        <v>1.0537700000000001</v>
      </c>
      <c r="AV156">
        <f t="shared" si="32"/>
        <v>17.191604938271606</v>
      </c>
      <c r="AW156">
        <f t="shared" si="33"/>
        <v>18.134392553086421</v>
      </c>
      <c r="AX156" s="9"/>
      <c r="AY156" s="21">
        <v>0.63522299999999998</v>
      </c>
      <c r="AZ156" s="21">
        <v>29.219200000000001</v>
      </c>
      <c r="BA156" s="21">
        <v>-1.4041100000000001E-2</v>
      </c>
      <c r="BB156" s="21">
        <v>146</v>
      </c>
      <c r="BC156" s="21">
        <v>0.634552</v>
      </c>
      <c r="BD156">
        <f t="shared" si="34"/>
        <v>17.334691358024692</v>
      </c>
      <c r="BE156">
        <f t="shared" si="35"/>
        <v>11.011394648518518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1.0498000000000001</v>
      </c>
      <c r="H157" s="21">
        <v>6.85276</v>
      </c>
      <c r="I157" s="21">
        <v>-1.39252E-2</v>
      </c>
      <c r="J157" s="21">
        <v>147</v>
      </c>
      <c r="K157" s="21">
        <v>1.0488900000000001</v>
      </c>
      <c r="L157">
        <f t="shared" si="24"/>
        <v>17.191604938271606</v>
      </c>
      <c r="M157">
        <f t="shared" si="25"/>
        <v>18.047746864197535</v>
      </c>
      <c r="N157" s="9"/>
      <c r="O157" s="21">
        <v>0.64025900000000002</v>
      </c>
      <c r="P157" s="21">
        <v>10.6518</v>
      </c>
      <c r="Q157" s="21">
        <v>-1.40442E-2</v>
      </c>
      <c r="R157" s="21">
        <v>147</v>
      </c>
      <c r="S157" s="21">
        <v>0.63961800000000002</v>
      </c>
      <c r="T157">
        <f t="shared" si="26"/>
        <v>17.338518518518516</v>
      </c>
      <c r="U157">
        <f t="shared" si="27"/>
        <v>11.101142528148147</v>
      </c>
      <c r="X157" s="9"/>
      <c r="Y157" s="21">
        <v>0.64025900000000002</v>
      </c>
      <c r="Z157" s="21">
        <v>10.6518</v>
      </c>
      <c r="AA157" s="21">
        <v>-1.40442E-2</v>
      </c>
      <c r="AB157" s="21">
        <v>147</v>
      </c>
      <c r="AC157" s="21">
        <v>0.63961800000000002</v>
      </c>
      <c r="AD157">
        <f t="shared" si="28"/>
        <v>17.338518518518516</v>
      </c>
      <c r="AE157">
        <f t="shared" si="29"/>
        <v>11.101142528148147</v>
      </c>
      <c r="AF157" s="9"/>
      <c r="AG157" s="21">
        <v>0.64025900000000002</v>
      </c>
      <c r="AH157" s="21">
        <v>19.951000000000001</v>
      </c>
      <c r="AI157" s="21">
        <v>-1.3983199999999999E-2</v>
      </c>
      <c r="AJ157" s="21">
        <v>147</v>
      </c>
      <c r="AK157" s="21">
        <v>0.63970899999999997</v>
      </c>
      <c r="AL157">
        <f t="shared" si="30"/>
        <v>17.263209876543208</v>
      </c>
      <c r="AM157">
        <f t="shared" si="31"/>
        <v>11.052925492345677</v>
      </c>
      <c r="AP157" s="9"/>
      <c r="AQ157" s="21">
        <v>1.0498000000000001</v>
      </c>
      <c r="AR157" s="21">
        <v>25.430199999999999</v>
      </c>
      <c r="AS157" s="21">
        <v>-1.3916E-2</v>
      </c>
      <c r="AT157" s="21">
        <v>147</v>
      </c>
      <c r="AU157" s="21">
        <v>1.0491900000000001</v>
      </c>
      <c r="AV157">
        <f t="shared" si="32"/>
        <v>17.180246913580245</v>
      </c>
      <c r="AW157">
        <f t="shared" si="33"/>
        <v>18.035823209876543</v>
      </c>
      <c r="AX157" s="9"/>
      <c r="AY157" s="21">
        <v>0.64025900000000002</v>
      </c>
      <c r="AZ157" s="21">
        <v>29.229299999999999</v>
      </c>
      <c r="BA157" s="21">
        <v>-1.40381E-2</v>
      </c>
      <c r="BB157" s="21">
        <v>147</v>
      </c>
      <c r="BC157" s="21">
        <v>0.63970899999999997</v>
      </c>
      <c r="BD157">
        <f t="shared" si="34"/>
        <v>17.330987654320985</v>
      </c>
      <c r="BE157">
        <f t="shared" si="35"/>
        <v>11.096320824567901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1.04477</v>
      </c>
      <c r="H158" s="21">
        <v>6.8628299999999998</v>
      </c>
      <c r="I158" s="21">
        <v>-1.39221E-2</v>
      </c>
      <c r="J158" s="21">
        <v>148</v>
      </c>
      <c r="K158" s="21">
        <v>1.0434000000000001</v>
      </c>
      <c r="L158">
        <f t="shared" si="24"/>
        <v>17.187777777777779</v>
      </c>
      <c r="M158">
        <f t="shared" si="25"/>
        <v>17.95727458888889</v>
      </c>
      <c r="N158" s="9"/>
      <c r="O158" s="21">
        <v>0.64529400000000003</v>
      </c>
      <c r="P158" s="21">
        <v>10.661899999999999</v>
      </c>
      <c r="Q158" s="21">
        <v>-1.4041100000000001E-2</v>
      </c>
      <c r="R158" s="21">
        <v>148</v>
      </c>
      <c r="S158" s="21">
        <v>0.64468400000000003</v>
      </c>
      <c r="T158">
        <f t="shared" si="26"/>
        <v>17.334691358024692</v>
      </c>
      <c r="U158">
        <f t="shared" si="27"/>
        <v>11.185972325185187</v>
      </c>
      <c r="X158" s="9"/>
      <c r="Y158" s="21">
        <v>0.64529400000000003</v>
      </c>
      <c r="Z158" s="21">
        <v>10.661899999999999</v>
      </c>
      <c r="AA158" s="21">
        <v>-1.4041100000000001E-2</v>
      </c>
      <c r="AB158" s="21">
        <v>148</v>
      </c>
      <c r="AC158" s="21">
        <v>0.64468400000000003</v>
      </c>
      <c r="AD158">
        <f t="shared" si="28"/>
        <v>17.334691358024692</v>
      </c>
      <c r="AE158">
        <f t="shared" si="29"/>
        <v>11.185972325185187</v>
      </c>
      <c r="AF158" s="9"/>
      <c r="AG158" s="21">
        <v>0.64529400000000003</v>
      </c>
      <c r="AH158" s="21">
        <v>19.961099999999998</v>
      </c>
      <c r="AI158" s="21">
        <v>-1.3998399999999999E-2</v>
      </c>
      <c r="AJ158" s="21">
        <v>148</v>
      </c>
      <c r="AK158" s="21">
        <v>0.64471400000000001</v>
      </c>
      <c r="AL158">
        <f t="shared" si="30"/>
        <v>17.281975308641975</v>
      </c>
      <c r="AM158">
        <f t="shared" si="31"/>
        <v>11.151954974814815</v>
      </c>
      <c r="AP158" s="9"/>
      <c r="AQ158" s="21">
        <v>1.04477</v>
      </c>
      <c r="AR158" s="21">
        <v>25.440300000000001</v>
      </c>
      <c r="AS158" s="21">
        <v>-1.3909899999999999E-2</v>
      </c>
      <c r="AT158" s="21">
        <v>148</v>
      </c>
      <c r="AU158" s="21">
        <v>1.0437000000000001</v>
      </c>
      <c r="AV158">
        <f t="shared" si="32"/>
        <v>17.172716049382714</v>
      </c>
      <c r="AW158">
        <f t="shared" si="33"/>
        <v>17.941538546913577</v>
      </c>
      <c r="AX158" s="9"/>
      <c r="AY158" s="21">
        <v>0.64529400000000003</v>
      </c>
      <c r="AZ158" s="21">
        <v>29.2393</v>
      </c>
      <c r="BA158" s="21">
        <v>-1.4019800000000001E-2</v>
      </c>
      <c r="BB158" s="21">
        <v>148</v>
      </c>
      <c r="BC158" s="21">
        <v>0.64468400000000003</v>
      </c>
      <c r="BD158">
        <f t="shared" si="34"/>
        <v>17.308395061728394</v>
      </c>
      <c r="BE158">
        <f t="shared" si="35"/>
        <v>11.169003482962962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1.03973</v>
      </c>
      <c r="H159" s="21">
        <v>6.8729100000000001</v>
      </c>
      <c r="I159" s="21">
        <v>-1.3916E-2</v>
      </c>
      <c r="J159" s="21">
        <v>149</v>
      </c>
      <c r="K159" s="21">
        <v>1.03851</v>
      </c>
      <c r="L159">
        <f t="shared" si="24"/>
        <v>17.180246913580245</v>
      </c>
      <c r="M159">
        <f t="shared" si="25"/>
        <v>17.862818123456787</v>
      </c>
      <c r="N159" s="9"/>
      <c r="O159" s="21">
        <v>0.65032999999999996</v>
      </c>
      <c r="P159" s="21">
        <v>10.672000000000001</v>
      </c>
      <c r="Q159" s="21">
        <v>-1.40503E-2</v>
      </c>
      <c r="R159" s="21">
        <v>149</v>
      </c>
      <c r="S159" s="21">
        <v>0.64968899999999996</v>
      </c>
      <c r="T159">
        <f t="shared" si="26"/>
        <v>17.34604938271605</v>
      </c>
      <c r="U159">
        <f t="shared" si="27"/>
        <v>11.280656295061728</v>
      </c>
      <c r="X159" s="9"/>
      <c r="Y159" s="21">
        <v>0.65032999999999996</v>
      </c>
      <c r="Z159" s="21">
        <v>10.672000000000001</v>
      </c>
      <c r="AA159" s="21">
        <v>-1.40503E-2</v>
      </c>
      <c r="AB159" s="21">
        <v>149</v>
      </c>
      <c r="AC159" s="21">
        <v>0.64968899999999996</v>
      </c>
      <c r="AD159">
        <f t="shared" si="28"/>
        <v>17.34604938271605</v>
      </c>
      <c r="AE159">
        <f t="shared" si="29"/>
        <v>11.280656295061728</v>
      </c>
      <c r="AF159" s="9"/>
      <c r="AG159" s="21">
        <v>0.65032999999999996</v>
      </c>
      <c r="AH159" s="21">
        <v>19.9712</v>
      </c>
      <c r="AI159" s="21">
        <v>-1.40015E-2</v>
      </c>
      <c r="AJ159" s="21">
        <v>149</v>
      </c>
      <c r="AK159" s="21">
        <v>0.64968899999999996</v>
      </c>
      <c r="AL159">
        <f t="shared" si="30"/>
        <v>17.285802469135803</v>
      </c>
      <c r="AM159">
        <f t="shared" si="31"/>
        <v>11.241475919753086</v>
      </c>
      <c r="AP159" s="9"/>
      <c r="AQ159" s="21">
        <v>1.03973</v>
      </c>
      <c r="AR159" s="21">
        <v>25.450399999999998</v>
      </c>
      <c r="AS159" s="21">
        <v>-1.39008E-2</v>
      </c>
      <c r="AT159" s="21">
        <v>149</v>
      </c>
      <c r="AU159" s="21">
        <v>1.0394300000000001</v>
      </c>
      <c r="AV159">
        <f t="shared" si="32"/>
        <v>17.161481481481481</v>
      </c>
      <c r="AW159">
        <f t="shared" si="33"/>
        <v>17.843307140740741</v>
      </c>
      <c r="AX159" s="9"/>
      <c r="AY159" s="21">
        <v>0.65032999999999996</v>
      </c>
      <c r="AZ159" s="21">
        <v>29.249400000000001</v>
      </c>
      <c r="BA159" s="21">
        <v>-1.4019800000000001E-2</v>
      </c>
      <c r="BB159" s="21">
        <v>149</v>
      </c>
      <c r="BC159" s="21">
        <v>0.64965799999999996</v>
      </c>
      <c r="BD159">
        <f t="shared" si="34"/>
        <v>17.308395061728394</v>
      </c>
      <c r="BE159">
        <f t="shared" si="35"/>
        <v>11.256168560493826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1.0347</v>
      </c>
      <c r="H160" s="21">
        <v>6.8829799999999999</v>
      </c>
      <c r="I160" s="21">
        <v>-1.3916E-2</v>
      </c>
      <c r="J160" s="21">
        <v>150</v>
      </c>
      <c r="K160" s="21">
        <v>1.0339400000000001</v>
      </c>
      <c r="L160">
        <f t="shared" si="24"/>
        <v>17.180246913580245</v>
      </c>
      <c r="M160">
        <f t="shared" si="25"/>
        <v>17.776401481481479</v>
      </c>
      <c r="N160" s="9"/>
      <c r="O160" s="21">
        <v>0.65536499999999998</v>
      </c>
      <c r="P160" s="21">
        <v>10.682</v>
      </c>
      <c r="Q160" s="21">
        <v>-1.40625E-2</v>
      </c>
      <c r="R160" s="21">
        <v>150</v>
      </c>
      <c r="S160" s="21">
        <v>0.654694</v>
      </c>
      <c r="T160">
        <f t="shared" si="26"/>
        <v>17.361111111111111</v>
      </c>
      <c r="U160">
        <f t="shared" si="27"/>
        <v>11.377864583333333</v>
      </c>
      <c r="X160" s="9"/>
      <c r="Y160" s="21">
        <v>0.65536499999999998</v>
      </c>
      <c r="Z160" s="21">
        <v>10.682</v>
      </c>
      <c r="AA160" s="21">
        <v>-1.40625E-2</v>
      </c>
      <c r="AB160" s="21">
        <v>150</v>
      </c>
      <c r="AC160" s="21">
        <v>0.654694</v>
      </c>
      <c r="AD160">
        <f t="shared" si="28"/>
        <v>17.361111111111111</v>
      </c>
      <c r="AE160">
        <f t="shared" si="29"/>
        <v>11.377864583333333</v>
      </c>
      <c r="AF160" s="9"/>
      <c r="AG160" s="21">
        <v>0.65536499999999998</v>
      </c>
      <c r="AH160" s="21">
        <v>19.981200000000001</v>
      </c>
      <c r="AI160" s="21">
        <v>-1.40045E-2</v>
      </c>
      <c r="AJ160" s="21">
        <v>150</v>
      </c>
      <c r="AK160" s="21">
        <v>0.65475499999999998</v>
      </c>
      <c r="AL160">
        <f t="shared" si="30"/>
        <v>17.289506172839506</v>
      </c>
      <c r="AM160">
        <f t="shared" si="31"/>
        <v>11.330937212962962</v>
      </c>
      <c r="AP160" s="9"/>
      <c r="AQ160" s="21">
        <v>1.0347</v>
      </c>
      <c r="AR160" s="21">
        <v>25.4604</v>
      </c>
      <c r="AS160" s="21">
        <v>-1.3894699999999999E-2</v>
      </c>
      <c r="AT160" s="21">
        <v>150</v>
      </c>
      <c r="AU160" s="21">
        <v>1.0339400000000001</v>
      </c>
      <c r="AV160">
        <f t="shared" si="32"/>
        <v>17.153950617283947</v>
      </c>
      <c r="AW160">
        <f t="shared" si="33"/>
        <v>17.749192703703699</v>
      </c>
      <c r="AX160" s="9"/>
      <c r="AY160" s="21">
        <v>0.65536499999999998</v>
      </c>
      <c r="AZ160" s="21">
        <v>29.259499999999999</v>
      </c>
      <c r="BA160" s="21">
        <v>-1.40228E-2</v>
      </c>
      <c r="BB160" s="21">
        <v>150</v>
      </c>
      <c r="BC160" s="21">
        <v>0.65466299999999999</v>
      </c>
      <c r="BD160">
        <f t="shared" si="34"/>
        <v>17.312098765432097</v>
      </c>
      <c r="BE160">
        <f t="shared" si="35"/>
        <v>11.345743607407407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1.02966</v>
      </c>
      <c r="H161" s="21">
        <v>6.8930499999999997</v>
      </c>
      <c r="I161" s="21">
        <v>-1.39191E-2</v>
      </c>
      <c r="J161" s="21">
        <v>151</v>
      </c>
      <c r="K161" s="21">
        <v>1.0287500000000001</v>
      </c>
      <c r="L161">
        <f t="shared" si="24"/>
        <v>17.184074074074076</v>
      </c>
      <c r="M161">
        <f t="shared" si="25"/>
        <v>17.693753711111114</v>
      </c>
      <c r="N161" s="9"/>
      <c r="O161" s="21">
        <v>0.66039999999999999</v>
      </c>
      <c r="P161" s="21">
        <v>10.6921</v>
      </c>
      <c r="Q161" s="21">
        <v>-1.4068600000000001E-2</v>
      </c>
      <c r="R161" s="21">
        <v>151</v>
      </c>
      <c r="S161" s="21">
        <v>0.65957600000000005</v>
      </c>
      <c r="T161">
        <f t="shared" si="26"/>
        <v>17.368641975308641</v>
      </c>
      <c r="U161">
        <f t="shared" si="27"/>
        <v>11.470251160493826</v>
      </c>
      <c r="X161" s="9"/>
      <c r="Y161" s="21">
        <v>0.66039999999999999</v>
      </c>
      <c r="Z161" s="21">
        <v>10.6921</v>
      </c>
      <c r="AA161" s="21">
        <v>-1.4068600000000001E-2</v>
      </c>
      <c r="AB161" s="21">
        <v>151</v>
      </c>
      <c r="AC161" s="21">
        <v>0.65957600000000005</v>
      </c>
      <c r="AD161">
        <f t="shared" si="28"/>
        <v>17.368641975308641</v>
      </c>
      <c r="AE161">
        <f t="shared" si="29"/>
        <v>11.470251160493826</v>
      </c>
      <c r="AF161" s="9"/>
      <c r="AG161" s="21">
        <v>0.66039999999999999</v>
      </c>
      <c r="AH161" s="21">
        <v>19.991299999999999</v>
      </c>
      <c r="AI161" s="21">
        <v>-1.40015E-2</v>
      </c>
      <c r="AJ161" s="21">
        <v>151</v>
      </c>
      <c r="AK161" s="21">
        <v>0.65976000000000001</v>
      </c>
      <c r="AL161">
        <f t="shared" si="30"/>
        <v>17.285802469135803</v>
      </c>
      <c r="AM161">
        <f t="shared" si="31"/>
        <v>11.415543950617284</v>
      </c>
      <c r="AP161" s="9"/>
      <c r="AQ161" s="21">
        <v>1.02966</v>
      </c>
      <c r="AR161" s="21">
        <v>25.470500000000001</v>
      </c>
      <c r="AS161" s="21">
        <v>-1.38855E-2</v>
      </c>
      <c r="AT161" s="21">
        <v>151</v>
      </c>
      <c r="AU161" s="21">
        <v>1.02844</v>
      </c>
      <c r="AV161">
        <f t="shared" si="32"/>
        <v>17.142592592592592</v>
      </c>
      <c r="AW161">
        <f t="shared" si="33"/>
        <v>17.651041888888891</v>
      </c>
      <c r="AX161" s="9"/>
      <c r="AY161" s="21">
        <v>0.66039999999999999</v>
      </c>
      <c r="AZ161" s="21">
        <v>29.269500000000001</v>
      </c>
      <c r="BA161" s="21">
        <v>-1.4019800000000001E-2</v>
      </c>
      <c r="BB161" s="21">
        <v>151</v>
      </c>
      <c r="BC161" s="21">
        <v>0.65969800000000001</v>
      </c>
      <c r="BD161">
        <f t="shared" si="34"/>
        <v>17.308395061728394</v>
      </c>
      <c r="BE161">
        <f t="shared" si="35"/>
        <v>11.43046409876543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1.0246299999999999</v>
      </c>
      <c r="H162" s="21">
        <v>6.9031200000000004</v>
      </c>
      <c r="I162" s="21">
        <v>-1.3916E-2</v>
      </c>
      <c r="J162" s="21">
        <v>152</v>
      </c>
      <c r="K162" s="21">
        <v>1.02356</v>
      </c>
      <c r="L162">
        <f t="shared" si="24"/>
        <v>17.180246913580245</v>
      </c>
      <c r="M162">
        <f t="shared" si="25"/>
        <v>17.603396395061726</v>
      </c>
      <c r="N162" s="9"/>
      <c r="O162" s="21">
        <v>0.66543600000000003</v>
      </c>
      <c r="P162" s="21">
        <v>10.702199999999999</v>
      </c>
      <c r="Q162" s="21">
        <v>-1.4086899999999999E-2</v>
      </c>
      <c r="R162" s="21">
        <v>152</v>
      </c>
      <c r="S162" s="21">
        <v>0.664856</v>
      </c>
      <c r="T162">
        <f t="shared" si="26"/>
        <v>17.391234567901233</v>
      </c>
      <c r="U162">
        <f t="shared" si="27"/>
        <v>11.572753565925925</v>
      </c>
      <c r="X162" s="9"/>
      <c r="Y162" s="21">
        <v>0.66543600000000003</v>
      </c>
      <c r="Z162" s="21">
        <v>10.702199999999999</v>
      </c>
      <c r="AA162" s="21">
        <v>-1.4086899999999999E-2</v>
      </c>
      <c r="AB162" s="21">
        <v>152</v>
      </c>
      <c r="AC162" s="21">
        <v>0.664856</v>
      </c>
      <c r="AD162">
        <f t="shared" si="28"/>
        <v>17.391234567901233</v>
      </c>
      <c r="AE162">
        <f t="shared" si="29"/>
        <v>11.572753565925925</v>
      </c>
      <c r="AF162" s="9"/>
      <c r="AG162" s="21">
        <v>0.66543600000000003</v>
      </c>
      <c r="AH162" s="21">
        <v>20.0014</v>
      </c>
      <c r="AI162" s="21">
        <v>-1.40045E-2</v>
      </c>
      <c r="AJ162" s="21">
        <v>152</v>
      </c>
      <c r="AK162" s="21">
        <v>0.664825</v>
      </c>
      <c r="AL162">
        <f t="shared" si="30"/>
        <v>17.289506172839506</v>
      </c>
      <c r="AM162">
        <f t="shared" si="31"/>
        <v>11.50505982962963</v>
      </c>
      <c r="AP162" s="9"/>
      <c r="AQ162" s="21">
        <v>1.0246299999999999</v>
      </c>
      <c r="AR162" s="21">
        <v>25.480599999999999</v>
      </c>
      <c r="AS162" s="21">
        <v>-1.3897700000000001E-2</v>
      </c>
      <c r="AT162" s="21">
        <v>152</v>
      </c>
      <c r="AU162" s="21">
        <v>1.02386</v>
      </c>
      <c r="AV162">
        <f t="shared" si="32"/>
        <v>17.157654320987653</v>
      </c>
      <c r="AW162">
        <f t="shared" si="33"/>
        <v>17.580247346913577</v>
      </c>
      <c r="AX162" s="9"/>
      <c r="AY162" s="21">
        <v>0.66543600000000003</v>
      </c>
      <c r="AZ162" s="21">
        <v>29.279599999999999</v>
      </c>
      <c r="BA162" s="21">
        <v>-1.40076E-2</v>
      </c>
      <c r="BB162" s="21">
        <v>152</v>
      </c>
      <c r="BC162" s="21">
        <v>0.66479500000000002</v>
      </c>
      <c r="BD162">
        <f t="shared" si="34"/>
        <v>17.293333333333333</v>
      </c>
      <c r="BE162">
        <f t="shared" si="35"/>
        <v>11.507606560000001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1.01959</v>
      </c>
      <c r="H163" s="21">
        <v>6.9131900000000002</v>
      </c>
      <c r="I163" s="21">
        <v>-1.3916E-2</v>
      </c>
      <c r="J163" s="21">
        <v>153</v>
      </c>
      <c r="K163" s="21">
        <v>1.01898</v>
      </c>
      <c r="L163">
        <f t="shared" si="24"/>
        <v>17.180246913580245</v>
      </c>
      <c r="M163">
        <f t="shared" si="25"/>
        <v>17.516807950617281</v>
      </c>
      <c r="N163" s="9"/>
      <c r="O163" s="21">
        <v>0.67047100000000004</v>
      </c>
      <c r="P163" s="21">
        <v>10.712199999999999</v>
      </c>
      <c r="Q163" s="21">
        <v>-1.41022E-2</v>
      </c>
      <c r="R163" s="21">
        <v>153</v>
      </c>
      <c r="S163" s="21">
        <v>0.66989100000000001</v>
      </c>
      <c r="T163">
        <f t="shared" si="26"/>
        <v>17.410123456790124</v>
      </c>
      <c r="U163">
        <f t="shared" si="27"/>
        <v>11.672982884197532</v>
      </c>
      <c r="X163" s="9"/>
      <c r="Y163" s="21">
        <v>0.67047100000000004</v>
      </c>
      <c r="Z163" s="21">
        <v>10.712199999999999</v>
      </c>
      <c r="AA163" s="21">
        <v>-1.41022E-2</v>
      </c>
      <c r="AB163" s="21">
        <v>153</v>
      </c>
      <c r="AC163" s="21">
        <v>0.66989100000000001</v>
      </c>
      <c r="AD163">
        <f t="shared" si="28"/>
        <v>17.410123456790124</v>
      </c>
      <c r="AE163">
        <f t="shared" si="29"/>
        <v>11.672982884197532</v>
      </c>
      <c r="AF163" s="9"/>
      <c r="AG163" s="21">
        <v>0.67047100000000004</v>
      </c>
      <c r="AH163" s="21">
        <v>20.011500000000002</v>
      </c>
      <c r="AI163" s="21">
        <v>-1.40076E-2</v>
      </c>
      <c r="AJ163" s="21">
        <v>153</v>
      </c>
      <c r="AK163" s="21">
        <v>0.66983000000000004</v>
      </c>
      <c r="AL163">
        <f t="shared" si="30"/>
        <v>17.293333333333333</v>
      </c>
      <c r="AM163">
        <f t="shared" si="31"/>
        <v>11.594678493333333</v>
      </c>
      <c r="AP163" s="9"/>
      <c r="AQ163" s="21">
        <v>1.01959</v>
      </c>
      <c r="AR163" s="21">
        <v>25.490600000000001</v>
      </c>
      <c r="AS163" s="21">
        <v>-1.38916E-2</v>
      </c>
      <c r="AT163" s="21">
        <v>153</v>
      </c>
      <c r="AU163" s="21">
        <v>1.01898</v>
      </c>
      <c r="AV163">
        <f t="shared" si="32"/>
        <v>17.150123456790123</v>
      </c>
      <c r="AW163">
        <f t="shared" si="33"/>
        <v>17.486094375308642</v>
      </c>
      <c r="AX163" s="9"/>
      <c r="AY163" s="21">
        <v>0.67047100000000004</v>
      </c>
      <c r="AZ163" s="21">
        <v>29.2897</v>
      </c>
      <c r="BA163" s="21">
        <v>-1.3992299999999999E-2</v>
      </c>
      <c r="BB163" s="21">
        <v>153</v>
      </c>
      <c r="BC163" s="21">
        <v>0.66979999999999995</v>
      </c>
      <c r="BD163">
        <f t="shared" si="34"/>
        <v>17.274444444444445</v>
      </c>
      <c r="BE163">
        <f t="shared" si="35"/>
        <v>11.582014041111112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1.0145599999999999</v>
      </c>
      <c r="H164" s="21">
        <v>6.92326</v>
      </c>
      <c r="I164" s="21">
        <v>-1.3916E-2</v>
      </c>
      <c r="J164" s="21">
        <v>154</v>
      </c>
      <c r="K164" s="21">
        <v>1.01318</v>
      </c>
      <c r="L164">
        <f t="shared" si="24"/>
        <v>17.180246913580245</v>
      </c>
      <c r="M164">
        <f t="shared" si="25"/>
        <v>17.430391308641973</v>
      </c>
      <c r="N164" s="9"/>
      <c r="O164" s="21">
        <v>0.67550699999999997</v>
      </c>
      <c r="P164" s="21">
        <v>10.722300000000001</v>
      </c>
      <c r="Q164" s="21">
        <v>-1.4108300000000001E-2</v>
      </c>
      <c r="R164" s="21">
        <v>154</v>
      </c>
      <c r="S164" s="21">
        <v>0.67483499999999996</v>
      </c>
      <c r="T164">
        <f t="shared" si="26"/>
        <v>17.417654320987655</v>
      </c>
      <c r="U164">
        <f t="shared" si="27"/>
        <v>11.765747417407407</v>
      </c>
      <c r="X164" s="9"/>
      <c r="Y164" s="21">
        <v>0.67550699999999997</v>
      </c>
      <c r="Z164" s="21">
        <v>10.722300000000001</v>
      </c>
      <c r="AA164" s="21">
        <v>-1.4108300000000001E-2</v>
      </c>
      <c r="AB164" s="21">
        <v>154</v>
      </c>
      <c r="AC164" s="21">
        <v>0.67483499999999996</v>
      </c>
      <c r="AD164">
        <f t="shared" si="28"/>
        <v>17.417654320987655</v>
      </c>
      <c r="AE164">
        <f t="shared" si="29"/>
        <v>11.765747417407407</v>
      </c>
      <c r="AF164" s="9"/>
      <c r="AG164" s="21">
        <v>0.67550699999999997</v>
      </c>
      <c r="AH164" s="21">
        <v>20.0215</v>
      </c>
      <c r="AI164" s="21">
        <v>-1.40015E-2</v>
      </c>
      <c r="AJ164" s="21">
        <v>154</v>
      </c>
      <c r="AK164" s="21">
        <v>0.67471300000000001</v>
      </c>
      <c r="AL164">
        <f t="shared" si="30"/>
        <v>17.285802469135803</v>
      </c>
      <c r="AM164">
        <f t="shared" si="31"/>
        <v>11.676680568518519</v>
      </c>
      <c r="AP164" s="9"/>
      <c r="AQ164" s="21">
        <v>1.0145599999999999</v>
      </c>
      <c r="AR164" s="21">
        <v>25.500699999999998</v>
      </c>
      <c r="AS164" s="21">
        <v>-1.38885E-2</v>
      </c>
      <c r="AT164" s="21">
        <v>154</v>
      </c>
      <c r="AU164" s="21">
        <v>1.01349</v>
      </c>
      <c r="AV164">
        <f t="shared" si="32"/>
        <v>17.146296296296295</v>
      </c>
      <c r="AW164">
        <f t="shared" si="33"/>
        <v>17.395946370370368</v>
      </c>
      <c r="AX164" s="9"/>
      <c r="AY164" s="21">
        <v>0.67550699999999997</v>
      </c>
      <c r="AZ164" s="21">
        <v>29.299800000000001</v>
      </c>
      <c r="BA164" s="21">
        <v>-1.3986200000000001E-2</v>
      </c>
      <c r="BB164" s="21">
        <v>154</v>
      </c>
      <c r="BC164" s="21">
        <v>0.67492700000000005</v>
      </c>
      <c r="BD164">
        <f t="shared" si="34"/>
        <v>17.266913580246914</v>
      </c>
      <c r="BE164">
        <f t="shared" si="35"/>
        <v>11.663920991851851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1.00952</v>
      </c>
      <c r="H165" s="21">
        <v>6.9333299999999998</v>
      </c>
      <c r="I165" s="21">
        <v>-1.3903799999999999E-2</v>
      </c>
      <c r="J165" s="21">
        <v>155</v>
      </c>
      <c r="K165" s="21">
        <v>1.00861</v>
      </c>
      <c r="L165">
        <f t="shared" si="24"/>
        <v>17.165185185185184</v>
      </c>
      <c r="M165">
        <f t="shared" si="25"/>
        <v>17.328597748148145</v>
      </c>
      <c r="N165" s="9"/>
      <c r="O165" s="21">
        <v>0.68054199999999998</v>
      </c>
      <c r="P165" s="21">
        <v>10.7324</v>
      </c>
      <c r="Q165" s="21">
        <v>-1.40991E-2</v>
      </c>
      <c r="R165" s="21">
        <v>155</v>
      </c>
      <c r="S165" s="21">
        <v>0.67990099999999998</v>
      </c>
      <c r="T165">
        <f t="shared" si="26"/>
        <v>17.406296296296293</v>
      </c>
      <c r="U165">
        <f t="shared" si="27"/>
        <v>11.845715694074071</v>
      </c>
      <c r="X165" s="9"/>
      <c r="Y165" s="21">
        <v>0.68054199999999998</v>
      </c>
      <c r="Z165" s="21">
        <v>10.7324</v>
      </c>
      <c r="AA165" s="21">
        <v>-1.40991E-2</v>
      </c>
      <c r="AB165" s="21">
        <v>155</v>
      </c>
      <c r="AC165" s="21">
        <v>0.67990099999999998</v>
      </c>
      <c r="AD165">
        <f t="shared" si="28"/>
        <v>17.406296296296293</v>
      </c>
      <c r="AE165">
        <f t="shared" si="29"/>
        <v>11.845715694074071</v>
      </c>
      <c r="AF165" s="9"/>
      <c r="AG165" s="21">
        <v>0.68054199999999998</v>
      </c>
      <c r="AH165" s="21">
        <v>20.031600000000001</v>
      </c>
      <c r="AI165" s="21">
        <v>-1.40015E-2</v>
      </c>
      <c r="AJ165" s="21">
        <v>155</v>
      </c>
      <c r="AK165" s="21">
        <v>0.67993199999999998</v>
      </c>
      <c r="AL165">
        <f t="shared" si="30"/>
        <v>17.285802469135803</v>
      </c>
      <c r="AM165">
        <f t="shared" si="31"/>
        <v>11.763714583950618</v>
      </c>
      <c r="AP165" s="9"/>
      <c r="AQ165" s="21">
        <v>1.00952</v>
      </c>
      <c r="AR165" s="21">
        <v>25.5108</v>
      </c>
      <c r="AS165" s="21">
        <v>-1.38794E-2</v>
      </c>
      <c r="AT165" s="21">
        <v>155</v>
      </c>
      <c r="AU165" s="21">
        <v>1.0083</v>
      </c>
      <c r="AV165">
        <f t="shared" si="32"/>
        <v>17.135061728395058</v>
      </c>
      <c r="AW165">
        <f t="shared" si="33"/>
        <v>17.298187516049378</v>
      </c>
      <c r="AX165" s="9"/>
      <c r="AY165" s="21">
        <v>0.68054199999999998</v>
      </c>
      <c r="AZ165" s="21">
        <v>29.309799999999999</v>
      </c>
      <c r="BA165" s="21">
        <v>-1.3986200000000001E-2</v>
      </c>
      <c r="BB165" s="21">
        <v>155</v>
      </c>
      <c r="BC165" s="21">
        <v>0.67990099999999998</v>
      </c>
      <c r="BD165">
        <f t="shared" si="34"/>
        <v>17.266913580246914</v>
      </c>
      <c r="BE165">
        <f t="shared" si="35"/>
        <v>11.750859901728395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1.0044900000000001</v>
      </c>
      <c r="H166" s="21">
        <v>6.9433999999999996</v>
      </c>
      <c r="I166" s="21">
        <v>-1.3894699999999999E-2</v>
      </c>
      <c r="J166" s="21">
        <v>156</v>
      </c>
      <c r="K166" s="21">
        <v>1.00342</v>
      </c>
      <c r="L166">
        <f t="shared" si="24"/>
        <v>17.153950617283947</v>
      </c>
      <c r="M166">
        <f t="shared" si="25"/>
        <v>17.230971855555552</v>
      </c>
      <c r="N166" s="9"/>
      <c r="O166" s="21">
        <v>0.68557699999999999</v>
      </c>
      <c r="P166" s="21">
        <v>10.7424</v>
      </c>
      <c r="Q166" s="21">
        <v>-1.4093E-2</v>
      </c>
      <c r="R166" s="21">
        <v>156</v>
      </c>
      <c r="S166" s="21">
        <v>0.68490600000000001</v>
      </c>
      <c r="T166">
        <f t="shared" si="26"/>
        <v>17.398765432098763</v>
      </c>
      <c r="U166">
        <f t="shared" si="27"/>
        <v>11.928193408641974</v>
      </c>
      <c r="X166" s="9"/>
      <c r="Y166" s="21">
        <v>0.68557699999999999</v>
      </c>
      <c r="Z166" s="21">
        <v>10.7424</v>
      </c>
      <c r="AA166" s="21">
        <v>-1.4093E-2</v>
      </c>
      <c r="AB166" s="21">
        <v>156</v>
      </c>
      <c r="AC166" s="21">
        <v>0.68490600000000001</v>
      </c>
      <c r="AD166">
        <f t="shared" si="28"/>
        <v>17.398765432098763</v>
      </c>
      <c r="AE166">
        <f t="shared" si="29"/>
        <v>11.928193408641974</v>
      </c>
      <c r="AF166" s="9"/>
      <c r="AG166" s="21">
        <v>0.68557699999999999</v>
      </c>
      <c r="AH166" s="21">
        <v>20.041699999999999</v>
      </c>
      <c r="AI166" s="21">
        <v>-1.40045E-2</v>
      </c>
      <c r="AJ166" s="21">
        <v>156</v>
      </c>
      <c r="AK166" s="21">
        <v>0.68496699999999999</v>
      </c>
      <c r="AL166">
        <f t="shared" si="30"/>
        <v>17.289506172839506</v>
      </c>
      <c r="AM166">
        <f t="shared" si="31"/>
        <v>11.85328777345679</v>
      </c>
      <c r="AP166" s="9"/>
      <c r="AQ166" s="21">
        <v>1.0044900000000001</v>
      </c>
      <c r="AR166" s="21">
        <v>25.520800000000001</v>
      </c>
      <c r="AS166" s="21">
        <v>-1.38855E-2</v>
      </c>
      <c r="AT166" s="21">
        <v>156</v>
      </c>
      <c r="AU166" s="21">
        <v>1.00403</v>
      </c>
      <c r="AV166">
        <f t="shared" si="32"/>
        <v>17.142592592592592</v>
      </c>
      <c r="AW166">
        <f t="shared" si="33"/>
        <v>17.219562833333335</v>
      </c>
      <c r="AX166" s="9"/>
      <c r="AY166" s="21">
        <v>0.68557699999999999</v>
      </c>
      <c r="AZ166" s="21">
        <v>29.319900000000001</v>
      </c>
      <c r="BA166" s="21">
        <v>-1.3986200000000001E-2</v>
      </c>
      <c r="BB166" s="21">
        <v>156</v>
      </c>
      <c r="BC166" s="21">
        <v>0.68484500000000004</v>
      </c>
      <c r="BD166">
        <f t="shared" si="34"/>
        <v>17.266913580246914</v>
      </c>
      <c r="BE166">
        <f t="shared" si="35"/>
        <v>11.837798811604939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0.99945099999999998</v>
      </c>
      <c r="H167" s="21">
        <v>6.9534700000000003</v>
      </c>
      <c r="I167" s="21">
        <v>-1.3897700000000001E-2</v>
      </c>
      <c r="J167" s="21">
        <v>157</v>
      </c>
      <c r="K167" s="21">
        <v>0.99853499999999995</v>
      </c>
      <c r="L167">
        <f t="shared" si="24"/>
        <v>17.157654320987653</v>
      </c>
      <c r="M167">
        <f t="shared" si="25"/>
        <v>17.14823476876543</v>
      </c>
      <c r="N167" s="9"/>
      <c r="O167" s="21">
        <v>0.69061300000000003</v>
      </c>
      <c r="P167" s="21">
        <v>10.7525</v>
      </c>
      <c r="Q167" s="21">
        <v>-1.4093E-2</v>
      </c>
      <c r="R167" s="21">
        <v>157</v>
      </c>
      <c r="S167" s="21">
        <v>0.69012499999999999</v>
      </c>
      <c r="T167">
        <f t="shared" si="26"/>
        <v>17.398765432098763</v>
      </c>
      <c r="U167">
        <f t="shared" si="27"/>
        <v>12.015813591358024</v>
      </c>
      <c r="X167" s="9"/>
      <c r="Y167" s="21">
        <v>0.69061300000000003</v>
      </c>
      <c r="Z167" s="21">
        <v>10.7525</v>
      </c>
      <c r="AA167" s="21">
        <v>-1.4093E-2</v>
      </c>
      <c r="AB167" s="21">
        <v>157</v>
      </c>
      <c r="AC167" s="21">
        <v>0.69012499999999999</v>
      </c>
      <c r="AD167">
        <f t="shared" si="28"/>
        <v>17.398765432098763</v>
      </c>
      <c r="AE167">
        <f t="shared" si="29"/>
        <v>12.015813591358024</v>
      </c>
      <c r="AF167" s="9"/>
      <c r="AG167" s="21">
        <v>0.69061300000000003</v>
      </c>
      <c r="AH167" s="21">
        <v>20.0517</v>
      </c>
      <c r="AI167" s="21">
        <v>-1.3992299999999999E-2</v>
      </c>
      <c r="AJ167" s="21">
        <v>157</v>
      </c>
      <c r="AK167" s="21">
        <v>0.68984999999999996</v>
      </c>
      <c r="AL167">
        <f t="shared" si="30"/>
        <v>17.274444444444445</v>
      </c>
      <c r="AM167">
        <f t="shared" si="31"/>
        <v>11.929955901111112</v>
      </c>
      <c r="AP167" s="9"/>
      <c r="AQ167" s="21">
        <v>0.99945099999999998</v>
      </c>
      <c r="AR167" s="21">
        <v>25.530899999999999</v>
      </c>
      <c r="AS167" s="21">
        <v>-1.3897700000000001E-2</v>
      </c>
      <c r="AT167" s="21">
        <v>157</v>
      </c>
      <c r="AU167" s="21">
        <v>0.99853499999999995</v>
      </c>
      <c r="AV167">
        <f t="shared" si="32"/>
        <v>17.157654320987653</v>
      </c>
      <c r="AW167">
        <f t="shared" si="33"/>
        <v>17.14823476876543</v>
      </c>
      <c r="AX167" s="9"/>
      <c r="AY167" s="21">
        <v>0.69061300000000003</v>
      </c>
      <c r="AZ167" s="21">
        <v>29.33</v>
      </c>
      <c r="BA167" s="21">
        <v>-1.3983199999999999E-2</v>
      </c>
      <c r="BB167" s="21">
        <v>157</v>
      </c>
      <c r="BC167" s="21">
        <v>0.68997200000000003</v>
      </c>
      <c r="BD167">
        <f t="shared" si="34"/>
        <v>17.263209876543208</v>
      </c>
      <c r="BE167">
        <f t="shared" si="35"/>
        <v>11.922197162469136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0.99441500000000005</v>
      </c>
      <c r="H168" s="21">
        <v>6.9635400000000001</v>
      </c>
      <c r="I168" s="21">
        <v>-1.3903799999999999E-2</v>
      </c>
      <c r="J168" s="21">
        <v>158</v>
      </c>
      <c r="K168" s="21">
        <v>0.99365199999999998</v>
      </c>
      <c r="L168">
        <f t="shared" si="24"/>
        <v>17.165185185185184</v>
      </c>
      <c r="M168">
        <f t="shared" si="25"/>
        <v>17.069317625925926</v>
      </c>
      <c r="N168" s="9"/>
      <c r="O168" s="21">
        <v>0.69564800000000004</v>
      </c>
      <c r="P168" s="21">
        <v>10.762600000000001</v>
      </c>
      <c r="Q168" s="21">
        <v>-1.409E-2</v>
      </c>
      <c r="R168" s="21">
        <v>158</v>
      </c>
      <c r="S168" s="21">
        <v>0.69497699999999996</v>
      </c>
      <c r="T168">
        <f t="shared" si="26"/>
        <v>17.39506172839506</v>
      </c>
      <c r="U168">
        <f t="shared" si="27"/>
        <v>12.100839901234567</v>
      </c>
      <c r="X168" s="9"/>
      <c r="Y168" s="21">
        <v>0.69564800000000004</v>
      </c>
      <c r="Z168" s="21">
        <v>10.762600000000001</v>
      </c>
      <c r="AA168" s="21">
        <v>-1.409E-2</v>
      </c>
      <c r="AB168" s="21">
        <v>158</v>
      </c>
      <c r="AC168" s="21">
        <v>0.69497699999999996</v>
      </c>
      <c r="AD168">
        <f t="shared" si="28"/>
        <v>17.39506172839506</v>
      </c>
      <c r="AE168">
        <f t="shared" si="29"/>
        <v>12.100839901234567</v>
      </c>
      <c r="AF168" s="9"/>
      <c r="AG168" s="21">
        <v>0.69564800000000004</v>
      </c>
      <c r="AH168" s="21">
        <v>20.061800000000002</v>
      </c>
      <c r="AI168" s="21">
        <v>-1.3977099999999999E-2</v>
      </c>
      <c r="AJ168" s="21">
        <v>158</v>
      </c>
      <c r="AK168" s="21">
        <v>0.69488499999999997</v>
      </c>
      <c r="AL168">
        <f t="shared" si="30"/>
        <v>17.255679012345677</v>
      </c>
      <c r="AM168">
        <f t="shared" si="31"/>
        <v>12.003878593580247</v>
      </c>
      <c r="AP168" s="9"/>
      <c r="AQ168" s="21">
        <v>0.99441500000000005</v>
      </c>
      <c r="AR168" s="21">
        <v>25.541</v>
      </c>
      <c r="AS168" s="21">
        <v>-1.3913E-2</v>
      </c>
      <c r="AT168" s="21">
        <v>158</v>
      </c>
      <c r="AU168" s="21">
        <v>0.99334699999999998</v>
      </c>
      <c r="AV168">
        <f t="shared" si="32"/>
        <v>17.176543209876542</v>
      </c>
      <c r="AW168">
        <f t="shared" si="33"/>
        <v>17.080612216049381</v>
      </c>
      <c r="AX168" s="9"/>
      <c r="AY168" s="21">
        <v>0.69564800000000004</v>
      </c>
      <c r="AZ168" s="21">
        <v>29.34</v>
      </c>
      <c r="BA168" s="21">
        <v>-1.3986200000000001E-2</v>
      </c>
      <c r="BB168" s="21">
        <v>158</v>
      </c>
      <c r="BC168" s="21">
        <v>0.69497699999999996</v>
      </c>
      <c r="BD168">
        <f t="shared" si="34"/>
        <v>17.266913580246914</v>
      </c>
      <c r="BE168">
        <f t="shared" si="35"/>
        <v>12.011693898271606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0.98938000000000004</v>
      </c>
      <c r="H169" s="21">
        <v>6.9736200000000004</v>
      </c>
      <c r="I169" s="21">
        <v>-1.39069E-2</v>
      </c>
      <c r="J169" s="21">
        <v>159</v>
      </c>
      <c r="K169" s="21">
        <v>0.98877000000000004</v>
      </c>
      <c r="L169">
        <f t="shared" si="24"/>
        <v>17.169012345679011</v>
      </c>
      <c r="M169">
        <f t="shared" si="25"/>
        <v>16.986677434567902</v>
      </c>
      <c r="N169" s="9"/>
      <c r="O169" s="21">
        <v>0.70068399999999997</v>
      </c>
      <c r="P169" s="21">
        <v>10.7727</v>
      </c>
      <c r="Q169" s="21">
        <v>-1.4086899999999999E-2</v>
      </c>
      <c r="R169" s="21">
        <v>159</v>
      </c>
      <c r="S169" s="21">
        <v>0.70010399999999995</v>
      </c>
      <c r="T169">
        <f t="shared" si="26"/>
        <v>17.391234567901233</v>
      </c>
      <c r="U169">
        <f t="shared" si="27"/>
        <v>12.185759801975307</v>
      </c>
      <c r="X169" s="9"/>
      <c r="Y169" s="21">
        <v>0.70068399999999997</v>
      </c>
      <c r="Z169" s="21">
        <v>10.7727</v>
      </c>
      <c r="AA169" s="21">
        <v>-1.4086899999999999E-2</v>
      </c>
      <c r="AB169" s="21">
        <v>159</v>
      </c>
      <c r="AC169" s="21">
        <v>0.70010399999999995</v>
      </c>
      <c r="AD169">
        <f t="shared" si="28"/>
        <v>17.391234567901233</v>
      </c>
      <c r="AE169">
        <f t="shared" si="29"/>
        <v>12.185759801975307</v>
      </c>
      <c r="AF169" s="9"/>
      <c r="AG169" s="21">
        <v>0.70068399999999997</v>
      </c>
      <c r="AH169" s="21">
        <v>20.071899999999999</v>
      </c>
      <c r="AI169" s="21">
        <v>-1.39679E-2</v>
      </c>
      <c r="AJ169" s="21">
        <v>159</v>
      </c>
      <c r="AK169" s="21">
        <v>0.69995099999999999</v>
      </c>
      <c r="AL169">
        <f t="shared" si="30"/>
        <v>17.244320987654319</v>
      </c>
      <c r="AM169">
        <f t="shared" si="31"/>
        <v>12.082819806913578</v>
      </c>
      <c r="AP169" s="9"/>
      <c r="AQ169" s="21">
        <v>0.98938000000000004</v>
      </c>
      <c r="AR169" s="21">
        <v>25.551100000000002</v>
      </c>
      <c r="AS169" s="21">
        <v>-1.3931300000000001E-2</v>
      </c>
      <c r="AT169" s="21">
        <v>159</v>
      </c>
      <c r="AU169" s="21">
        <v>0.98846400000000001</v>
      </c>
      <c r="AV169">
        <f t="shared" si="32"/>
        <v>17.199135802469137</v>
      </c>
      <c r="AW169">
        <f t="shared" si="33"/>
        <v>17.016480980246914</v>
      </c>
      <c r="AX169" s="9"/>
      <c r="AY169" s="21">
        <v>0.70068399999999997</v>
      </c>
      <c r="AZ169" s="21">
        <v>29.350100000000001</v>
      </c>
      <c r="BA169" s="21">
        <v>-1.39954E-2</v>
      </c>
      <c r="BB169" s="21">
        <v>159</v>
      </c>
      <c r="BC169" s="21">
        <v>0.70016500000000004</v>
      </c>
      <c r="BD169">
        <f t="shared" si="34"/>
        <v>17.278271604938272</v>
      </c>
      <c r="BE169">
        <f t="shared" si="35"/>
        <v>12.106608461234568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0.984344</v>
      </c>
      <c r="H170" s="21">
        <v>6.9836900000000002</v>
      </c>
      <c r="I170" s="21">
        <v>-1.3913E-2</v>
      </c>
      <c r="J170" s="21">
        <v>160</v>
      </c>
      <c r="K170" s="21">
        <v>0.98327600000000004</v>
      </c>
      <c r="L170">
        <f t="shared" si="24"/>
        <v>17.176543209876542</v>
      </c>
      <c r="M170">
        <f t="shared" si="25"/>
        <v>16.907627249382713</v>
      </c>
      <c r="N170" s="9"/>
      <c r="O170" s="21">
        <v>0.70571899999999999</v>
      </c>
      <c r="P170" s="21">
        <v>10.7827</v>
      </c>
      <c r="Q170" s="21">
        <v>-1.40839E-2</v>
      </c>
      <c r="R170" s="21">
        <v>160</v>
      </c>
      <c r="S170" s="21">
        <v>0.70507799999999998</v>
      </c>
      <c r="T170">
        <f t="shared" si="26"/>
        <v>17.387530864197529</v>
      </c>
      <c r="U170">
        <f t="shared" si="27"/>
        <v>12.270710893950616</v>
      </c>
      <c r="X170" s="9"/>
      <c r="Y170" s="21">
        <v>0.70571899999999999</v>
      </c>
      <c r="Z170" s="21">
        <v>10.7827</v>
      </c>
      <c r="AA170" s="21">
        <v>-1.40839E-2</v>
      </c>
      <c r="AB170" s="21">
        <v>160</v>
      </c>
      <c r="AC170" s="21">
        <v>0.70507799999999998</v>
      </c>
      <c r="AD170">
        <f t="shared" si="28"/>
        <v>17.387530864197529</v>
      </c>
      <c r="AE170">
        <f t="shared" si="29"/>
        <v>12.270710893950616</v>
      </c>
      <c r="AF170" s="9"/>
      <c r="AG170" s="21">
        <v>0.70571899999999999</v>
      </c>
      <c r="AH170" s="21">
        <v>20.082000000000001</v>
      </c>
      <c r="AI170" s="21">
        <v>-1.39618E-2</v>
      </c>
      <c r="AJ170" s="21">
        <v>160</v>
      </c>
      <c r="AK170" s="21">
        <v>0.70513899999999996</v>
      </c>
      <c r="AL170">
        <f t="shared" si="30"/>
        <v>17.236790123456789</v>
      </c>
      <c r="AM170">
        <f t="shared" si="31"/>
        <v>12.164330289135801</v>
      </c>
      <c r="AP170" s="9"/>
      <c r="AQ170" s="21">
        <v>0.984344</v>
      </c>
      <c r="AR170" s="21">
        <v>25.5611</v>
      </c>
      <c r="AS170" s="21">
        <v>-1.3946500000000001E-2</v>
      </c>
      <c r="AT170" s="21">
        <v>160</v>
      </c>
      <c r="AU170" s="21">
        <v>0.98358199999999996</v>
      </c>
      <c r="AV170">
        <f t="shared" si="32"/>
        <v>17.217901234567901</v>
      </c>
      <c r="AW170">
        <f t="shared" si="33"/>
        <v>16.948337772839505</v>
      </c>
      <c r="AX170" s="9"/>
      <c r="AY170" s="21">
        <v>0.70571899999999999</v>
      </c>
      <c r="AZ170" s="21">
        <v>29.360199999999999</v>
      </c>
      <c r="BA170" s="21">
        <v>-1.39893E-2</v>
      </c>
      <c r="BB170" s="21">
        <v>160</v>
      </c>
      <c r="BC170" s="21">
        <v>0.70516999999999996</v>
      </c>
      <c r="BD170">
        <f t="shared" si="34"/>
        <v>17.270740740740738</v>
      </c>
      <c r="BE170">
        <f t="shared" si="35"/>
        <v>12.188289884814813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0.97930899999999999</v>
      </c>
      <c r="H171" s="21">
        <v>6.99376</v>
      </c>
      <c r="I171" s="21">
        <v>-1.39252E-2</v>
      </c>
      <c r="J171" s="21">
        <v>161</v>
      </c>
      <c r="K171" s="21">
        <v>0.97869899999999999</v>
      </c>
      <c r="L171">
        <f t="shared" si="24"/>
        <v>17.191604938271606</v>
      </c>
      <c r="M171">
        <f t="shared" si="25"/>
        <v>16.835893440493827</v>
      </c>
      <c r="N171" s="9"/>
      <c r="O171" s="21">
        <v>0.710754</v>
      </c>
      <c r="P171" s="21">
        <v>10.7928</v>
      </c>
      <c r="Q171" s="21">
        <v>-1.4068600000000001E-2</v>
      </c>
      <c r="R171" s="21">
        <v>161</v>
      </c>
      <c r="S171" s="21">
        <v>0.710175</v>
      </c>
      <c r="T171">
        <f t="shared" si="26"/>
        <v>17.368641975308641</v>
      </c>
      <c r="U171">
        <f t="shared" si="27"/>
        <v>12.344831758518518</v>
      </c>
      <c r="X171" s="9"/>
      <c r="Y171" s="21">
        <v>0.710754</v>
      </c>
      <c r="Z171" s="21">
        <v>10.7928</v>
      </c>
      <c r="AA171" s="21">
        <v>-1.4068600000000001E-2</v>
      </c>
      <c r="AB171" s="21">
        <v>161</v>
      </c>
      <c r="AC171" s="21">
        <v>0.710175</v>
      </c>
      <c r="AD171">
        <f t="shared" si="28"/>
        <v>17.368641975308641</v>
      </c>
      <c r="AE171">
        <f t="shared" si="29"/>
        <v>12.344831758518518</v>
      </c>
      <c r="AF171" s="9"/>
      <c r="AG171" s="21">
        <v>0.710754</v>
      </c>
      <c r="AH171" s="21">
        <v>20.091999999999999</v>
      </c>
      <c r="AI171" s="21">
        <v>-1.3952600000000001E-2</v>
      </c>
      <c r="AJ171" s="21">
        <v>161</v>
      </c>
      <c r="AK171" s="21">
        <v>0.70999100000000004</v>
      </c>
      <c r="AL171">
        <f t="shared" si="30"/>
        <v>17.225432098765431</v>
      </c>
      <c r="AM171">
        <f t="shared" si="31"/>
        <v>12.243044765925925</v>
      </c>
      <c r="AP171" s="9"/>
      <c r="AQ171" s="21">
        <v>0.97930899999999999</v>
      </c>
      <c r="AR171" s="21">
        <v>25.571200000000001</v>
      </c>
      <c r="AS171" s="21">
        <v>-1.3946500000000001E-2</v>
      </c>
      <c r="AT171" s="21">
        <v>161</v>
      </c>
      <c r="AU171" s="21">
        <v>0.97839399999999999</v>
      </c>
      <c r="AV171">
        <f t="shared" si="32"/>
        <v>17.217901234567901</v>
      </c>
      <c r="AW171">
        <f t="shared" si="33"/>
        <v>16.861645640123456</v>
      </c>
      <c r="AX171" s="9"/>
      <c r="AY171" s="21">
        <v>0.710754</v>
      </c>
      <c r="AZ171" s="21">
        <v>29.370200000000001</v>
      </c>
      <c r="BA171" s="21">
        <v>-1.3983199999999999E-2</v>
      </c>
      <c r="BB171" s="21">
        <v>161</v>
      </c>
      <c r="BC171" s="21">
        <v>0.71011400000000002</v>
      </c>
      <c r="BD171">
        <f t="shared" si="34"/>
        <v>17.263209876543208</v>
      </c>
      <c r="BE171">
        <f t="shared" si="35"/>
        <v>12.269895472592591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0.97427399999999997</v>
      </c>
      <c r="H172" s="21">
        <v>7.0038299999999998</v>
      </c>
      <c r="I172" s="21">
        <v>-1.3943499999999999E-2</v>
      </c>
      <c r="J172" s="21">
        <v>162</v>
      </c>
      <c r="K172" s="21">
        <v>0.97228999999999999</v>
      </c>
      <c r="L172">
        <f t="shared" si="24"/>
        <v>17.214197530864197</v>
      </c>
      <c r="M172">
        <f t="shared" si="25"/>
        <v>16.771345085185185</v>
      </c>
      <c r="N172" s="9"/>
      <c r="O172" s="21">
        <v>0.71579000000000004</v>
      </c>
      <c r="P172" s="21">
        <v>10.802899999999999</v>
      </c>
      <c r="Q172" s="21">
        <v>-1.4047199999999999E-2</v>
      </c>
      <c r="R172" s="21">
        <v>162</v>
      </c>
      <c r="S172" s="21">
        <v>0.71517900000000001</v>
      </c>
      <c r="T172">
        <f t="shared" si="26"/>
        <v>17.342222222222222</v>
      </c>
      <c r="U172">
        <f t="shared" si="27"/>
        <v>12.413389244444446</v>
      </c>
      <c r="X172" s="9"/>
      <c r="Y172" s="21">
        <v>0.71579000000000004</v>
      </c>
      <c r="Z172" s="21">
        <v>10.802899999999999</v>
      </c>
      <c r="AA172" s="21">
        <v>-1.4047199999999999E-2</v>
      </c>
      <c r="AB172" s="21">
        <v>162</v>
      </c>
      <c r="AC172" s="21">
        <v>0.71517900000000001</v>
      </c>
      <c r="AD172">
        <f t="shared" si="28"/>
        <v>17.342222222222222</v>
      </c>
      <c r="AE172">
        <f t="shared" si="29"/>
        <v>12.413389244444446</v>
      </c>
      <c r="AF172" s="9"/>
      <c r="AG172" s="21">
        <v>0.71579000000000004</v>
      </c>
      <c r="AH172" s="21">
        <v>20.1021</v>
      </c>
      <c r="AI172" s="21">
        <v>-1.3946500000000001E-2</v>
      </c>
      <c r="AJ172" s="21">
        <v>162</v>
      </c>
      <c r="AK172" s="21">
        <v>0.71508799999999995</v>
      </c>
      <c r="AL172">
        <f t="shared" si="30"/>
        <v>17.217901234567901</v>
      </c>
      <c r="AM172">
        <f t="shared" si="31"/>
        <v>12.324401524691359</v>
      </c>
      <c r="AP172" s="9"/>
      <c r="AQ172" s="21">
        <v>0.97427399999999997</v>
      </c>
      <c r="AR172" s="21">
        <v>25.581299999999999</v>
      </c>
      <c r="AS172" s="21">
        <v>-1.3943499999999999E-2</v>
      </c>
      <c r="AT172" s="21">
        <v>162</v>
      </c>
      <c r="AU172" s="21">
        <v>0.97289999999999999</v>
      </c>
      <c r="AV172">
        <f t="shared" si="32"/>
        <v>17.214197530864197</v>
      </c>
      <c r="AW172">
        <f t="shared" si="33"/>
        <v>16.771345085185185</v>
      </c>
      <c r="AX172" s="9"/>
      <c r="AY172" s="21">
        <v>0.71579000000000004</v>
      </c>
      <c r="AZ172" s="21">
        <v>29.380299999999998</v>
      </c>
      <c r="BA172" s="21">
        <v>-1.3986200000000001E-2</v>
      </c>
      <c r="BB172" s="21">
        <v>162</v>
      </c>
      <c r="BC172" s="21">
        <v>0.71521000000000001</v>
      </c>
      <c r="BD172">
        <f t="shared" si="34"/>
        <v>17.266913580246914</v>
      </c>
      <c r="BE172">
        <f t="shared" si="35"/>
        <v>12.359484071604939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0.96923800000000004</v>
      </c>
      <c r="H173" s="21">
        <v>7.0138999999999996</v>
      </c>
      <c r="I173" s="21">
        <v>-1.39557E-2</v>
      </c>
      <c r="J173" s="21">
        <v>163</v>
      </c>
      <c r="K173" s="21">
        <v>0.96832300000000004</v>
      </c>
      <c r="L173">
        <f t="shared" si="24"/>
        <v>17.229259259259258</v>
      </c>
      <c r="M173">
        <f t="shared" si="25"/>
        <v>16.699252785925925</v>
      </c>
      <c r="N173" s="9"/>
      <c r="O173" s="21">
        <v>0.72082500000000005</v>
      </c>
      <c r="P173" s="21">
        <v>10.812900000000001</v>
      </c>
      <c r="Q173" s="21">
        <v>-1.4047199999999999E-2</v>
      </c>
      <c r="R173" s="21">
        <v>163</v>
      </c>
      <c r="S173" s="21">
        <v>0.72027600000000003</v>
      </c>
      <c r="T173">
        <f t="shared" si="26"/>
        <v>17.342222222222222</v>
      </c>
      <c r="U173">
        <f t="shared" si="27"/>
        <v>12.500707333333335</v>
      </c>
      <c r="X173" s="9"/>
      <c r="Y173" s="21">
        <v>0.72082500000000005</v>
      </c>
      <c r="Z173" s="21">
        <v>10.812900000000001</v>
      </c>
      <c r="AA173" s="21">
        <v>-1.4047199999999999E-2</v>
      </c>
      <c r="AB173" s="21">
        <v>163</v>
      </c>
      <c r="AC173" s="21">
        <v>0.72027600000000003</v>
      </c>
      <c r="AD173">
        <f t="shared" si="28"/>
        <v>17.342222222222222</v>
      </c>
      <c r="AE173">
        <f t="shared" si="29"/>
        <v>12.500707333333335</v>
      </c>
      <c r="AF173" s="9"/>
      <c r="AG173" s="21">
        <v>0.72082500000000005</v>
      </c>
      <c r="AH173" s="21">
        <v>20.112200000000001</v>
      </c>
      <c r="AI173" s="21">
        <v>-1.39404E-2</v>
      </c>
      <c r="AJ173" s="21">
        <v>163</v>
      </c>
      <c r="AK173" s="21">
        <v>0.72012299999999996</v>
      </c>
      <c r="AL173">
        <f t="shared" si="30"/>
        <v>17.21037037037037</v>
      </c>
      <c r="AM173">
        <f t="shared" si="31"/>
        <v>12.405665222222224</v>
      </c>
      <c r="AP173" s="9"/>
      <c r="AQ173" s="21">
        <v>0.96923800000000004</v>
      </c>
      <c r="AR173" s="21">
        <v>25.5913</v>
      </c>
      <c r="AS173" s="21">
        <v>-1.3958699999999999E-2</v>
      </c>
      <c r="AT173" s="21">
        <v>163</v>
      </c>
      <c r="AU173" s="21">
        <v>0.96832300000000004</v>
      </c>
      <c r="AV173">
        <f t="shared" si="32"/>
        <v>17.232962962962961</v>
      </c>
      <c r="AW173">
        <f t="shared" si="33"/>
        <v>16.702842556296297</v>
      </c>
      <c r="AX173" s="9"/>
      <c r="AY173" s="21">
        <v>0.72082500000000005</v>
      </c>
      <c r="AZ173" s="21">
        <v>29.3904</v>
      </c>
      <c r="BA173" s="21">
        <v>-1.39893E-2</v>
      </c>
      <c r="BB173" s="21">
        <v>163</v>
      </c>
      <c r="BC173" s="21">
        <v>0.72024500000000002</v>
      </c>
      <c r="BD173">
        <f t="shared" si="34"/>
        <v>17.270740740740738</v>
      </c>
      <c r="BE173">
        <f t="shared" si="35"/>
        <v>12.449181694444443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0.96420300000000003</v>
      </c>
      <c r="H174" s="21">
        <v>7.0239700000000003</v>
      </c>
      <c r="I174" s="21">
        <v>-1.3980100000000001E-2</v>
      </c>
      <c r="J174" s="21">
        <v>164</v>
      </c>
      <c r="K174" s="21">
        <v>0.96313499999999996</v>
      </c>
      <c r="L174">
        <f t="shared" si="24"/>
        <v>17.259382716049384</v>
      </c>
      <c r="M174">
        <f t="shared" si="25"/>
        <v>16.641548592962966</v>
      </c>
      <c r="N174" s="9"/>
      <c r="O174" s="21">
        <v>0.72586099999999998</v>
      </c>
      <c r="P174" s="21">
        <v>10.823</v>
      </c>
      <c r="Q174" s="21">
        <v>-1.4053299999999999E-2</v>
      </c>
      <c r="R174" s="21">
        <v>164</v>
      </c>
      <c r="S174" s="21">
        <v>0.72528099999999995</v>
      </c>
      <c r="T174">
        <f t="shared" si="26"/>
        <v>17.349753086419753</v>
      </c>
      <c r="U174">
        <f t="shared" si="27"/>
        <v>12.593509125061727</v>
      </c>
      <c r="X174" s="9"/>
      <c r="Y174" s="21">
        <v>0.72586099999999998</v>
      </c>
      <c r="Z174" s="21">
        <v>10.823</v>
      </c>
      <c r="AA174" s="21">
        <v>-1.4053299999999999E-2</v>
      </c>
      <c r="AB174" s="21">
        <v>164</v>
      </c>
      <c r="AC174" s="21">
        <v>0.72528099999999995</v>
      </c>
      <c r="AD174">
        <f t="shared" si="28"/>
        <v>17.349753086419753</v>
      </c>
      <c r="AE174">
        <f t="shared" si="29"/>
        <v>12.593509125061727</v>
      </c>
      <c r="AF174" s="9"/>
      <c r="AG174" s="21">
        <v>0.72586099999999998</v>
      </c>
      <c r="AH174" s="21">
        <v>20.122199999999999</v>
      </c>
      <c r="AI174" s="21">
        <v>-1.3946500000000001E-2</v>
      </c>
      <c r="AJ174" s="21">
        <v>164</v>
      </c>
      <c r="AK174" s="21">
        <v>0.72509800000000002</v>
      </c>
      <c r="AL174">
        <f t="shared" si="30"/>
        <v>17.217901234567901</v>
      </c>
      <c r="AM174">
        <f t="shared" si="31"/>
        <v>12.497803008024691</v>
      </c>
      <c r="AP174" s="9"/>
      <c r="AQ174" s="21">
        <v>0.96420300000000003</v>
      </c>
      <c r="AR174" s="21">
        <v>25.601400000000002</v>
      </c>
      <c r="AS174" s="21">
        <v>-1.39709E-2</v>
      </c>
      <c r="AT174" s="21">
        <v>164</v>
      </c>
      <c r="AU174" s="21">
        <v>0.96343999999999996</v>
      </c>
      <c r="AV174">
        <f t="shared" si="32"/>
        <v>17.248024691358022</v>
      </c>
      <c r="AW174">
        <f t="shared" si="33"/>
        <v>16.630597151481481</v>
      </c>
      <c r="AX174" s="9"/>
      <c r="AY174" s="21">
        <v>0.72586099999999998</v>
      </c>
      <c r="AZ174" s="21">
        <v>29.400500000000001</v>
      </c>
      <c r="BA174" s="21">
        <v>-1.3998399999999999E-2</v>
      </c>
      <c r="BB174" s="21">
        <v>164</v>
      </c>
      <c r="BC174" s="21">
        <v>0.72518899999999997</v>
      </c>
      <c r="BD174">
        <f t="shared" si="34"/>
        <v>17.281975308641975</v>
      </c>
      <c r="BE174">
        <f t="shared" si="35"/>
        <v>12.544311879506173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0.95916699999999999</v>
      </c>
      <c r="H175" s="21">
        <v>7.0340400000000001</v>
      </c>
      <c r="I175" s="21">
        <v>-1.39954E-2</v>
      </c>
      <c r="J175" s="21">
        <v>165</v>
      </c>
      <c r="K175" s="21">
        <v>0.95825199999999999</v>
      </c>
      <c r="L175">
        <f t="shared" si="24"/>
        <v>17.278271604938272</v>
      </c>
      <c r="M175">
        <f t="shared" si="25"/>
        <v>16.572747940493826</v>
      </c>
      <c r="N175" s="9"/>
      <c r="O175" s="21">
        <v>0.73089599999999999</v>
      </c>
      <c r="P175" s="21">
        <v>10.8331</v>
      </c>
      <c r="Q175" s="21">
        <v>-1.40625E-2</v>
      </c>
      <c r="R175" s="21">
        <v>165</v>
      </c>
      <c r="S175" s="21">
        <v>0.73028599999999999</v>
      </c>
      <c r="T175">
        <f t="shared" si="26"/>
        <v>17.361111111111111</v>
      </c>
      <c r="U175">
        <f t="shared" si="27"/>
        <v>12.689166666666667</v>
      </c>
      <c r="X175" s="9"/>
      <c r="Y175" s="21">
        <v>0.73089599999999999</v>
      </c>
      <c r="Z175" s="21">
        <v>10.8331</v>
      </c>
      <c r="AA175" s="21">
        <v>-1.40625E-2</v>
      </c>
      <c r="AB175" s="21">
        <v>165</v>
      </c>
      <c r="AC175" s="21">
        <v>0.73028599999999999</v>
      </c>
      <c r="AD175">
        <f t="shared" si="28"/>
        <v>17.361111111111111</v>
      </c>
      <c r="AE175">
        <f t="shared" si="29"/>
        <v>12.689166666666667</v>
      </c>
      <c r="AF175" s="9"/>
      <c r="AG175" s="21">
        <v>0.73089599999999999</v>
      </c>
      <c r="AH175" s="21">
        <v>20.132300000000001</v>
      </c>
      <c r="AI175" s="21">
        <v>-1.3943499999999999E-2</v>
      </c>
      <c r="AJ175" s="21">
        <v>165</v>
      </c>
      <c r="AK175" s="21">
        <v>0.73022500000000001</v>
      </c>
      <c r="AL175">
        <f t="shared" si="30"/>
        <v>17.214197530864197</v>
      </c>
      <c r="AM175">
        <f t="shared" si="31"/>
        <v>12.581788118518519</v>
      </c>
      <c r="AP175" s="9"/>
      <c r="AQ175" s="21">
        <v>0.95916699999999999</v>
      </c>
      <c r="AR175" s="21">
        <v>25.611499999999999</v>
      </c>
      <c r="AS175" s="21">
        <v>-1.3977099999999999E-2</v>
      </c>
      <c r="AT175" s="21">
        <v>165</v>
      </c>
      <c r="AU175" s="21">
        <v>0.95855699999999999</v>
      </c>
      <c r="AV175">
        <f t="shared" si="32"/>
        <v>17.255679012345677</v>
      </c>
      <c r="AW175">
        <f t="shared" si="33"/>
        <v>16.551077871234565</v>
      </c>
      <c r="AX175" s="9"/>
      <c r="AY175" s="21">
        <v>0.73089599999999999</v>
      </c>
      <c r="AZ175" s="21">
        <v>29.410499999999999</v>
      </c>
      <c r="BA175" s="21">
        <v>-1.3998399999999999E-2</v>
      </c>
      <c r="BB175" s="21">
        <v>165</v>
      </c>
      <c r="BC175" s="21">
        <v>0.73022500000000001</v>
      </c>
      <c r="BD175">
        <f t="shared" si="34"/>
        <v>17.281975308641975</v>
      </c>
      <c r="BE175">
        <f t="shared" si="35"/>
        <v>12.631326625185185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0.95413199999999998</v>
      </c>
      <c r="H176" s="21">
        <v>7.0441099999999999</v>
      </c>
      <c r="I176" s="21">
        <v>-1.40015E-2</v>
      </c>
      <c r="J176" s="21">
        <v>166</v>
      </c>
      <c r="K176" s="21">
        <v>0.95336900000000002</v>
      </c>
      <c r="L176">
        <f t="shared" si="24"/>
        <v>17.285802469135803</v>
      </c>
      <c r="M176">
        <f t="shared" si="25"/>
        <v>16.492937281481481</v>
      </c>
      <c r="N176" s="9"/>
      <c r="O176" s="21">
        <v>0.735931</v>
      </c>
      <c r="P176" s="21">
        <v>10.8432</v>
      </c>
      <c r="Q176" s="21">
        <v>-1.40625E-2</v>
      </c>
      <c r="R176" s="21">
        <v>166</v>
      </c>
      <c r="S176" s="21">
        <v>0.73526000000000002</v>
      </c>
      <c r="T176">
        <f t="shared" si="26"/>
        <v>17.361111111111111</v>
      </c>
      <c r="U176">
        <f t="shared" si="27"/>
        <v>12.776579861111111</v>
      </c>
      <c r="X176" s="9"/>
      <c r="Y176" s="21">
        <v>0.735931</v>
      </c>
      <c r="Z176" s="21">
        <v>10.8432</v>
      </c>
      <c r="AA176" s="21">
        <v>-1.40625E-2</v>
      </c>
      <c r="AB176" s="21">
        <v>166</v>
      </c>
      <c r="AC176" s="21">
        <v>0.73526000000000002</v>
      </c>
      <c r="AD176">
        <f t="shared" si="28"/>
        <v>17.361111111111111</v>
      </c>
      <c r="AE176">
        <f t="shared" si="29"/>
        <v>12.776579861111111</v>
      </c>
      <c r="AF176" s="9"/>
      <c r="AG176" s="21">
        <v>0.735931</v>
      </c>
      <c r="AH176" s="21">
        <v>20.142399999999999</v>
      </c>
      <c r="AI176" s="21">
        <v>-1.3931300000000001E-2</v>
      </c>
      <c r="AJ176" s="21">
        <v>166</v>
      </c>
      <c r="AK176" s="21">
        <v>0.73529100000000003</v>
      </c>
      <c r="AL176">
        <f t="shared" si="30"/>
        <v>17.199135802469137</v>
      </c>
      <c r="AM176">
        <f t="shared" si="31"/>
        <v>12.657377210246914</v>
      </c>
      <c r="AP176" s="9"/>
      <c r="AQ176" s="21">
        <v>0.95413199999999998</v>
      </c>
      <c r="AR176" s="21">
        <v>25.621600000000001</v>
      </c>
      <c r="AS176" s="21">
        <v>-1.39709E-2</v>
      </c>
      <c r="AT176" s="21">
        <v>166</v>
      </c>
      <c r="AU176" s="21">
        <v>0.95336900000000002</v>
      </c>
      <c r="AV176">
        <f t="shared" si="32"/>
        <v>17.248024691358022</v>
      </c>
      <c r="AW176">
        <f t="shared" si="33"/>
        <v>16.456892294814811</v>
      </c>
      <c r="AX176" s="9"/>
      <c r="AY176" s="21">
        <v>0.735931</v>
      </c>
      <c r="AZ176" s="21">
        <v>29.4206</v>
      </c>
      <c r="BA176" s="21">
        <v>-1.3998399999999999E-2</v>
      </c>
      <c r="BB176" s="21">
        <v>166</v>
      </c>
      <c r="BC176" s="21">
        <v>0.73522900000000002</v>
      </c>
      <c r="BD176">
        <f t="shared" si="34"/>
        <v>17.281975308641975</v>
      </c>
      <c r="BE176">
        <f t="shared" si="35"/>
        <v>12.718341370864197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0.94909699999999997</v>
      </c>
      <c r="H177" s="21">
        <v>7.0541799999999997</v>
      </c>
      <c r="I177" s="21">
        <v>-1.40167E-2</v>
      </c>
      <c r="J177" s="21">
        <v>167</v>
      </c>
      <c r="K177" s="21">
        <v>0.94787600000000005</v>
      </c>
      <c r="L177">
        <f t="shared" si="24"/>
        <v>17.304567901234567</v>
      </c>
      <c r="M177">
        <f t="shared" si="25"/>
        <v>16.423713481358021</v>
      </c>
      <c r="N177" s="9"/>
      <c r="O177" s="21">
        <v>0.74096700000000004</v>
      </c>
      <c r="P177" s="21">
        <v>10.853199999999999</v>
      </c>
      <c r="Q177" s="21">
        <v>-1.4065599999999999E-2</v>
      </c>
      <c r="R177" s="21">
        <v>167</v>
      </c>
      <c r="S177" s="21">
        <v>0.74032600000000004</v>
      </c>
      <c r="T177">
        <f t="shared" si="26"/>
        <v>17.364938271604938</v>
      </c>
      <c r="U177">
        <f t="shared" si="27"/>
        <v>12.866846216296297</v>
      </c>
      <c r="X177" s="9"/>
      <c r="Y177" s="21">
        <v>0.74096700000000004</v>
      </c>
      <c r="Z177" s="21">
        <v>10.853199999999999</v>
      </c>
      <c r="AA177" s="21">
        <v>-1.4065599999999999E-2</v>
      </c>
      <c r="AB177" s="21">
        <v>167</v>
      </c>
      <c r="AC177" s="21">
        <v>0.74032600000000004</v>
      </c>
      <c r="AD177">
        <f t="shared" si="28"/>
        <v>17.364938271604938</v>
      </c>
      <c r="AE177">
        <f t="shared" si="29"/>
        <v>12.866846216296297</v>
      </c>
      <c r="AF177" s="9"/>
      <c r="AG177" s="21">
        <v>0.74096700000000004</v>
      </c>
      <c r="AH177" s="21">
        <v>20.1524</v>
      </c>
      <c r="AI177" s="21">
        <v>-1.3931300000000001E-2</v>
      </c>
      <c r="AJ177" s="21">
        <v>167</v>
      </c>
      <c r="AK177" s="21">
        <v>0.74032600000000004</v>
      </c>
      <c r="AL177">
        <f t="shared" si="30"/>
        <v>17.199135802469137</v>
      </c>
      <c r="AM177">
        <f t="shared" si="31"/>
        <v>12.74399205814815</v>
      </c>
      <c r="AP177" s="9"/>
      <c r="AQ177" s="21">
        <v>0.94909699999999997</v>
      </c>
      <c r="AR177" s="21">
        <v>25.631599999999999</v>
      </c>
      <c r="AS177" s="21">
        <v>-1.39618E-2</v>
      </c>
      <c r="AT177" s="21">
        <v>167</v>
      </c>
      <c r="AU177" s="21">
        <v>0.94818100000000005</v>
      </c>
      <c r="AV177">
        <f t="shared" si="32"/>
        <v>17.236790123456789</v>
      </c>
      <c r="AW177">
        <f t="shared" si="33"/>
        <v>16.359385795802467</v>
      </c>
      <c r="AX177" s="9"/>
      <c r="AY177" s="21">
        <v>0.74096700000000004</v>
      </c>
      <c r="AZ177" s="21">
        <v>29.430700000000002</v>
      </c>
      <c r="BA177" s="21">
        <v>-1.40045E-2</v>
      </c>
      <c r="BB177" s="21">
        <v>167</v>
      </c>
      <c r="BC177" s="21">
        <v>0.74038700000000002</v>
      </c>
      <c r="BD177">
        <f t="shared" si="34"/>
        <v>17.289506172839506</v>
      </c>
      <c r="BE177">
        <f t="shared" si="35"/>
        <v>12.81095352037037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0.94406100000000004</v>
      </c>
      <c r="H178" s="21">
        <v>7.0642500000000004</v>
      </c>
      <c r="I178" s="21">
        <v>-1.4019800000000001E-2</v>
      </c>
      <c r="J178" s="21">
        <v>168</v>
      </c>
      <c r="K178" s="21">
        <v>0.94299299999999997</v>
      </c>
      <c r="L178">
        <f t="shared" si="24"/>
        <v>17.308395061728394</v>
      </c>
      <c r="M178">
        <f t="shared" si="25"/>
        <v>16.340180750370369</v>
      </c>
      <c r="N178" s="9"/>
      <c r="O178" s="21">
        <v>0.74600200000000005</v>
      </c>
      <c r="P178" s="21">
        <v>10.863300000000001</v>
      </c>
      <c r="Q178" s="21">
        <v>-1.4071699999999999E-2</v>
      </c>
      <c r="R178" s="21">
        <v>168</v>
      </c>
      <c r="S178" s="21">
        <v>0.74536100000000005</v>
      </c>
      <c r="T178">
        <f t="shared" si="26"/>
        <v>17.372469135802469</v>
      </c>
      <c r="U178">
        <f t="shared" si="27"/>
        <v>12.959896720246913</v>
      </c>
      <c r="X178" s="9"/>
      <c r="Y178" s="21">
        <v>0.74600200000000005</v>
      </c>
      <c r="Z178" s="21">
        <v>10.863300000000001</v>
      </c>
      <c r="AA178" s="21">
        <v>-1.4071699999999999E-2</v>
      </c>
      <c r="AB178" s="21">
        <v>168</v>
      </c>
      <c r="AC178" s="21">
        <v>0.74536100000000005</v>
      </c>
      <c r="AD178">
        <f t="shared" si="28"/>
        <v>17.372469135802469</v>
      </c>
      <c r="AE178">
        <f t="shared" si="29"/>
        <v>12.959896720246913</v>
      </c>
      <c r="AF178" s="9"/>
      <c r="AG178" s="21">
        <v>0.74600200000000005</v>
      </c>
      <c r="AH178" s="21">
        <v>20.162500000000001</v>
      </c>
      <c r="AI178" s="21">
        <v>-1.39282E-2</v>
      </c>
      <c r="AJ178" s="21">
        <v>168</v>
      </c>
      <c r="AK178" s="21">
        <v>0.74526999999999999</v>
      </c>
      <c r="AL178">
        <f t="shared" si="30"/>
        <v>17.195308641975309</v>
      </c>
      <c r="AM178">
        <f t="shared" si="31"/>
        <v>12.827734637530865</v>
      </c>
      <c r="AP178" s="9"/>
      <c r="AQ178" s="21">
        <v>0.94406100000000004</v>
      </c>
      <c r="AR178" s="21">
        <v>25.6417</v>
      </c>
      <c r="AS178" s="21">
        <v>-1.3952600000000001E-2</v>
      </c>
      <c r="AT178" s="21">
        <v>168</v>
      </c>
      <c r="AU178" s="21">
        <v>0.94268799999999997</v>
      </c>
      <c r="AV178">
        <f t="shared" si="32"/>
        <v>17.225432098765431</v>
      </c>
      <c r="AW178">
        <f t="shared" si="33"/>
        <v>16.261858652592593</v>
      </c>
      <c r="AX178" s="9"/>
      <c r="AY178" s="21">
        <v>0.74600200000000005</v>
      </c>
      <c r="AZ178" s="21">
        <v>29.4407</v>
      </c>
      <c r="BA178" s="21">
        <v>-1.4019800000000001E-2</v>
      </c>
      <c r="BB178" s="21">
        <v>168</v>
      </c>
      <c r="BC178" s="21">
        <v>0.74542200000000003</v>
      </c>
      <c r="BD178">
        <f t="shared" si="34"/>
        <v>17.308395061728394</v>
      </c>
      <c r="BE178">
        <f t="shared" si="35"/>
        <v>12.912097332839506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0.93902600000000003</v>
      </c>
      <c r="H179" s="21">
        <v>7.0743299999999998</v>
      </c>
      <c r="I179" s="21">
        <v>-1.40167E-2</v>
      </c>
      <c r="J179" s="21">
        <v>169</v>
      </c>
      <c r="K179" s="21">
        <v>0.93811</v>
      </c>
      <c r="L179">
        <f t="shared" si="24"/>
        <v>17.304567901234567</v>
      </c>
      <c r="M179">
        <f t="shared" si="25"/>
        <v>16.249439178024691</v>
      </c>
      <c r="N179" s="9"/>
      <c r="O179" s="21">
        <v>0.75103799999999998</v>
      </c>
      <c r="P179" s="21">
        <v>10.8734</v>
      </c>
      <c r="Q179" s="21">
        <v>-1.4071699999999999E-2</v>
      </c>
      <c r="R179" s="21">
        <v>169</v>
      </c>
      <c r="S179" s="21">
        <v>0.75042699999999996</v>
      </c>
      <c r="T179">
        <f t="shared" si="26"/>
        <v>17.372469135802469</v>
      </c>
      <c r="U179">
        <f t="shared" si="27"/>
        <v>13.047384474814814</v>
      </c>
      <c r="X179" s="9"/>
      <c r="Y179" s="21">
        <v>0.75103799999999998</v>
      </c>
      <c r="Z179" s="21">
        <v>10.8734</v>
      </c>
      <c r="AA179" s="21">
        <v>-1.4071699999999999E-2</v>
      </c>
      <c r="AB179" s="21">
        <v>169</v>
      </c>
      <c r="AC179" s="21">
        <v>0.75042699999999996</v>
      </c>
      <c r="AD179">
        <f t="shared" si="28"/>
        <v>17.372469135802469</v>
      </c>
      <c r="AE179">
        <f t="shared" si="29"/>
        <v>13.047384474814814</v>
      </c>
      <c r="AF179" s="9"/>
      <c r="AG179" s="21">
        <v>0.75103799999999998</v>
      </c>
      <c r="AH179" s="21">
        <v>20.172599999999999</v>
      </c>
      <c r="AI179" s="21">
        <v>-1.39282E-2</v>
      </c>
      <c r="AJ179" s="21">
        <v>169</v>
      </c>
      <c r="AK179" s="21">
        <v>0.750336</v>
      </c>
      <c r="AL179">
        <f t="shared" si="30"/>
        <v>17.195308641975309</v>
      </c>
      <c r="AM179">
        <f t="shared" si="31"/>
        <v>12.914330211851851</v>
      </c>
      <c r="AP179" s="9"/>
      <c r="AQ179" s="21">
        <v>0.93902600000000003</v>
      </c>
      <c r="AR179" s="21">
        <v>25.651800000000001</v>
      </c>
      <c r="AS179" s="21">
        <v>-1.39557E-2</v>
      </c>
      <c r="AT179" s="21">
        <v>169</v>
      </c>
      <c r="AU179" s="21">
        <v>0.93811</v>
      </c>
      <c r="AV179">
        <f t="shared" si="32"/>
        <v>17.229259259259258</v>
      </c>
      <c r="AW179">
        <f t="shared" si="33"/>
        <v>16.178722405185184</v>
      </c>
      <c r="AX179" s="9"/>
      <c r="AY179" s="21">
        <v>0.75103799999999998</v>
      </c>
      <c r="AZ179" s="21">
        <v>29.450800000000001</v>
      </c>
      <c r="BA179" s="21">
        <v>-1.4019800000000001E-2</v>
      </c>
      <c r="BB179" s="21">
        <v>169</v>
      </c>
      <c r="BC179" s="21">
        <v>0.75027500000000003</v>
      </c>
      <c r="BD179">
        <f t="shared" si="34"/>
        <v>17.308395061728394</v>
      </c>
      <c r="BE179">
        <f t="shared" si="35"/>
        <v>12.999262410370369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0.93398999999999999</v>
      </c>
      <c r="H180" s="21">
        <v>7.0843999999999996</v>
      </c>
      <c r="I180" s="21">
        <v>-1.40228E-2</v>
      </c>
      <c r="J180" s="21">
        <v>170</v>
      </c>
      <c r="K180" s="21">
        <v>0.93353299999999995</v>
      </c>
      <c r="L180">
        <f t="shared" si="24"/>
        <v>17.312098765432097</v>
      </c>
      <c r="M180">
        <f t="shared" si="25"/>
        <v>16.169327125925925</v>
      </c>
      <c r="N180" s="9"/>
      <c r="O180" s="21">
        <v>0.756073</v>
      </c>
      <c r="P180" s="21">
        <v>10.8834</v>
      </c>
      <c r="Q180" s="21">
        <v>-1.40625E-2</v>
      </c>
      <c r="R180" s="21">
        <v>170</v>
      </c>
      <c r="S180" s="21">
        <v>0.75500500000000004</v>
      </c>
      <c r="T180">
        <f t="shared" si="26"/>
        <v>17.361111111111111</v>
      </c>
      <c r="U180">
        <f t="shared" si="27"/>
        <v>13.126267361111111</v>
      </c>
      <c r="X180" s="9"/>
      <c r="Y180" s="21">
        <v>0.756073</v>
      </c>
      <c r="Z180" s="21">
        <v>10.8834</v>
      </c>
      <c r="AA180" s="21">
        <v>-1.40625E-2</v>
      </c>
      <c r="AB180" s="21">
        <v>170</v>
      </c>
      <c r="AC180" s="21">
        <v>0.75500500000000004</v>
      </c>
      <c r="AD180">
        <f t="shared" si="28"/>
        <v>17.361111111111111</v>
      </c>
      <c r="AE180">
        <f t="shared" si="29"/>
        <v>13.126267361111111</v>
      </c>
      <c r="AF180" s="9"/>
      <c r="AG180" s="21">
        <v>0.756073</v>
      </c>
      <c r="AH180" s="21">
        <v>20.182700000000001</v>
      </c>
      <c r="AI180" s="21">
        <v>-1.39252E-2</v>
      </c>
      <c r="AJ180" s="21">
        <v>170</v>
      </c>
      <c r="AK180" s="21">
        <v>0.75531000000000004</v>
      </c>
      <c r="AL180">
        <f t="shared" si="30"/>
        <v>17.191604938271606</v>
      </c>
      <c r="AM180">
        <f t="shared" si="31"/>
        <v>12.998108320493827</v>
      </c>
      <c r="AP180" s="9"/>
      <c r="AQ180" s="21">
        <v>0.93398999999999999</v>
      </c>
      <c r="AR180" s="21">
        <v>25.661799999999999</v>
      </c>
      <c r="AS180" s="21">
        <v>-1.3952600000000001E-2</v>
      </c>
      <c r="AT180" s="21">
        <v>170</v>
      </c>
      <c r="AU180" s="21">
        <v>0.93322799999999995</v>
      </c>
      <c r="AV180">
        <f t="shared" si="32"/>
        <v>17.225432098765431</v>
      </c>
      <c r="AW180">
        <f t="shared" si="33"/>
        <v>16.088381325925926</v>
      </c>
      <c r="AX180" s="9"/>
      <c r="AY180" s="21">
        <v>0.756073</v>
      </c>
      <c r="AZ180" s="21">
        <v>29.460899999999999</v>
      </c>
      <c r="BA180" s="21">
        <v>-1.4025900000000001E-2</v>
      </c>
      <c r="BB180" s="21">
        <v>170</v>
      </c>
      <c r="BC180" s="21">
        <v>0.75561500000000004</v>
      </c>
      <c r="BD180">
        <f t="shared" si="34"/>
        <v>17.315925925925924</v>
      </c>
      <c r="BE180">
        <f t="shared" si="35"/>
        <v>13.092104062592592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0.92895499999999998</v>
      </c>
      <c r="H181" s="21">
        <v>7.0944700000000003</v>
      </c>
      <c r="I181" s="21">
        <v>-1.40289E-2</v>
      </c>
      <c r="J181" s="21">
        <v>171</v>
      </c>
      <c r="K181" s="21">
        <v>0.92803999999999998</v>
      </c>
      <c r="L181">
        <f t="shared" si="24"/>
        <v>17.319629629629631</v>
      </c>
      <c r="M181">
        <f t="shared" si="25"/>
        <v>16.089156542592594</v>
      </c>
      <c r="N181" s="9"/>
      <c r="O181" s="21">
        <v>0.76110800000000001</v>
      </c>
      <c r="P181" s="21">
        <v>10.8935</v>
      </c>
      <c r="Q181" s="21">
        <v>-1.40625E-2</v>
      </c>
      <c r="R181" s="21">
        <v>171</v>
      </c>
      <c r="S181" s="21">
        <v>0.75988800000000001</v>
      </c>
      <c r="T181">
        <f t="shared" si="26"/>
        <v>17.361111111111111</v>
      </c>
      <c r="U181">
        <f t="shared" si="27"/>
        <v>13.213680555555555</v>
      </c>
      <c r="X181" s="9"/>
      <c r="Y181" s="21">
        <v>0.76110800000000001</v>
      </c>
      <c r="Z181" s="21">
        <v>10.8935</v>
      </c>
      <c r="AA181" s="21">
        <v>-1.40625E-2</v>
      </c>
      <c r="AB181" s="21">
        <v>171</v>
      </c>
      <c r="AC181" s="21">
        <v>0.75988800000000001</v>
      </c>
      <c r="AD181">
        <f t="shared" si="28"/>
        <v>17.361111111111111</v>
      </c>
      <c r="AE181">
        <f t="shared" si="29"/>
        <v>13.213680555555555</v>
      </c>
      <c r="AF181" s="9"/>
      <c r="AG181" s="21">
        <v>0.76110800000000001</v>
      </c>
      <c r="AH181" s="21">
        <v>20.192699999999999</v>
      </c>
      <c r="AI181" s="21">
        <v>-1.39282E-2</v>
      </c>
      <c r="AJ181" s="21">
        <v>171</v>
      </c>
      <c r="AK181" s="21">
        <v>0.75988800000000001</v>
      </c>
      <c r="AL181">
        <f t="shared" si="30"/>
        <v>17.195308641975309</v>
      </c>
      <c r="AM181">
        <f t="shared" si="31"/>
        <v>13.087486969876544</v>
      </c>
      <c r="AP181" s="9"/>
      <c r="AQ181" s="21">
        <v>0.92895499999999998</v>
      </c>
      <c r="AR181" s="21">
        <v>25.671900000000001</v>
      </c>
      <c r="AS181" s="21">
        <v>-1.3946500000000001E-2</v>
      </c>
      <c r="AT181" s="21">
        <v>171</v>
      </c>
      <c r="AU181" s="21">
        <v>0.92864999999999998</v>
      </c>
      <c r="AV181">
        <f t="shared" si="32"/>
        <v>17.217901234567901</v>
      </c>
      <c r="AW181">
        <f t="shared" si="33"/>
        <v>15.994655441358024</v>
      </c>
      <c r="AX181" s="9"/>
      <c r="AY181" s="21">
        <v>0.76110800000000001</v>
      </c>
      <c r="AZ181" s="21">
        <v>29.471</v>
      </c>
      <c r="BA181" s="21">
        <v>-1.4035000000000001E-2</v>
      </c>
      <c r="BB181" s="21">
        <v>171</v>
      </c>
      <c r="BC181" s="21">
        <v>0.76019300000000001</v>
      </c>
      <c r="BD181">
        <f t="shared" si="34"/>
        <v>17.327160493827162</v>
      </c>
      <c r="BE181">
        <f t="shared" si="35"/>
        <v>13.187840469135804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0.92391999999999996</v>
      </c>
      <c r="H182" s="21">
        <v>7.1045400000000001</v>
      </c>
      <c r="I182" s="21">
        <v>-1.40289E-2</v>
      </c>
      <c r="J182" s="21">
        <v>172</v>
      </c>
      <c r="K182" s="21">
        <v>0.92346200000000001</v>
      </c>
      <c r="L182">
        <f t="shared" si="24"/>
        <v>17.319629629629631</v>
      </c>
      <c r="M182">
        <f t="shared" si="25"/>
        <v>16.00195220740741</v>
      </c>
      <c r="N182" s="9"/>
      <c r="O182" s="21">
        <v>0.76614400000000005</v>
      </c>
      <c r="P182" s="21">
        <v>10.903600000000001</v>
      </c>
      <c r="Q182" s="21">
        <v>-1.4053299999999999E-2</v>
      </c>
      <c r="R182" s="21">
        <v>172</v>
      </c>
      <c r="S182" s="21">
        <v>0.76507599999999998</v>
      </c>
      <c r="T182">
        <f t="shared" si="26"/>
        <v>17.349753086419753</v>
      </c>
      <c r="U182">
        <f t="shared" si="27"/>
        <v>13.292409228641976</v>
      </c>
      <c r="X182" s="9"/>
      <c r="Y182" s="21">
        <v>0.76614400000000005</v>
      </c>
      <c r="Z182" s="21">
        <v>10.903600000000001</v>
      </c>
      <c r="AA182" s="21">
        <v>-1.4053299999999999E-2</v>
      </c>
      <c r="AB182" s="21">
        <v>172</v>
      </c>
      <c r="AC182" s="21">
        <v>0.76507599999999998</v>
      </c>
      <c r="AD182">
        <f t="shared" si="28"/>
        <v>17.349753086419753</v>
      </c>
      <c r="AE182">
        <f t="shared" si="29"/>
        <v>13.292409228641976</v>
      </c>
      <c r="AF182" s="9"/>
      <c r="AG182" s="21">
        <v>0.76614400000000005</v>
      </c>
      <c r="AH182" s="21">
        <v>20.2028</v>
      </c>
      <c r="AI182" s="21">
        <v>-1.39252E-2</v>
      </c>
      <c r="AJ182" s="21">
        <v>172</v>
      </c>
      <c r="AK182" s="21">
        <v>0.76568599999999998</v>
      </c>
      <c r="AL182">
        <f t="shared" si="30"/>
        <v>17.191604938271606</v>
      </c>
      <c r="AM182">
        <f t="shared" si="31"/>
        <v>13.171244973827163</v>
      </c>
      <c r="AP182" s="9"/>
      <c r="AQ182" s="21">
        <v>0.92391999999999996</v>
      </c>
      <c r="AR182" s="21">
        <v>25.681999999999999</v>
      </c>
      <c r="AS182" s="21">
        <v>-1.3943499999999999E-2</v>
      </c>
      <c r="AT182" s="21">
        <v>172</v>
      </c>
      <c r="AU182" s="21">
        <v>0.92315700000000001</v>
      </c>
      <c r="AV182">
        <f t="shared" si="32"/>
        <v>17.214197530864197</v>
      </c>
      <c r="AW182">
        <f t="shared" si="33"/>
        <v>15.904541382716049</v>
      </c>
      <c r="AX182" s="9"/>
      <c r="AY182" s="21">
        <v>0.76614400000000005</v>
      </c>
      <c r="AZ182" s="21">
        <v>29.481000000000002</v>
      </c>
      <c r="BA182" s="21">
        <v>-1.40289E-2</v>
      </c>
      <c r="BB182" s="21">
        <v>172</v>
      </c>
      <c r="BC182" s="21">
        <v>0.76507599999999998</v>
      </c>
      <c r="BD182">
        <f t="shared" si="34"/>
        <v>17.319629629629631</v>
      </c>
      <c r="BE182">
        <f t="shared" si="35"/>
        <v>13.269330322962965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0.91888400000000003</v>
      </c>
      <c r="H183" s="21">
        <v>7.1146099999999999</v>
      </c>
      <c r="I183" s="21">
        <v>-1.4031999999999999E-2</v>
      </c>
      <c r="J183" s="21">
        <v>173</v>
      </c>
      <c r="K183" s="21">
        <v>0.91827400000000003</v>
      </c>
      <c r="L183">
        <f t="shared" si="24"/>
        <v>17.323456790123455</v>
      </c>
      <c r="M183">
        <f t="shared" si="25"/>
        <v>15.918247269135801</v>
      </c>
      <c r="N183" s="9"/>
      <c r="O183" s="21">
        <v>0.77117899999999995</v>
      </c>
      <c r="P183" s="21">
        <v>10.9137</v>
      </c>
      <c r="Q183" s="21">
        <v>-1.4041100000000001E-2</v>
      </c>
      <c r="R183" s="21">
        <v>173</v>
      </c>
      <c r="S183" s="21">
        <v>0.76934800000000003</v>
      </c>
      <c r="T183">
        <f t="shared" si="26"/>
        <v>17.334691358024692</v>
      </c>
      <c r="U183">
        <f t="shared" si="27"/>
        <v>13.368149946790123</v>
      </c>
      <c r="X183" s="9"/>
      <c r="Y183" s="21">
        <v>0.77117899999999995</v>
      </c>
      <c r="Z183" s="21">
        <v>10.9137</v>
      </c>
      <c r="AA183" s="21">
        <v>-1.4041100000000001E-2</v>
      </c>
      <c r="AB183" s="21">
        <v>173</v>
      </c>
      <c r="AC183" s="21">
        <v>0.76934800000000003</v>
      </c>
      <c r="AD183">
        <f t="shared" si="28"/>
        <v>17.334691358024692</v>
      </c>
      <c r="AE183">
        <f t="shared" si="29"/>
        <v>13.368149946790123</v>
      </c>
      <c r="AF183" s="9"/>
      <c r="AG183" s="21">
        <v>0.77117899999999995</v>
      </c>
      <c r="AH183" s="21">
        <v>20.212900000000001</v>
      </c>
      <c r="AI183" s="21">
        <v>-1.3916E-2</v>
      </c>
      <c r="AJ183" s="21">
        <v>173</v>
      </c>
      <c r="AK183" s="21">
        <v>0.77056899999999995</v>
      </c>
      <c r="AL183">
        <f t="shared" si="30"/>
        <v>17.180246913580245</v>
      </c>
      <c r="AM183">
        <f t="shared" si="31"/>
        <v>13.249045634567899</v>
      </c>
      <c r="AP183" s="9"/>
      <c r="AQ183" s="21">
        <v>0.91888400000000003</v>
      </c>
      <c r="AR183" s="21">
        <v>25.6921</v>
      </c>
      <c r="AS183" s="21">
        <v>-1.39404E-2</v>
      </c>
      <c r="AT183" s="21">
        <v>173</v>
      </c>
      <c r="AU183" s="21">
        <v>0.91766400000000004</v>
      </c>
      <c r="AV183">
        <f t="shared" si="32"/>
        <v>17.21037037037037</v>
      </c>
      <c r="AW183">
        <f t="shared" si="33"/>
        <v>15.814333967407407</v>
      </c>
      <c r="AX183" s="9"/>
      <c r="AY183" s="21">
        <v>0.77117899999999995</v>
      </c>
      <c r="AZ183" s="21">
        <v>29.491099999999999</v>
      </c>
      <c r="BA183" s="21">
        <v>-1.40228E-2</v>
      </c>
      <c r="BB183" s="21">
        <v>173</v>
      </c>
      <c r="BC183" s="21">
        <v>0.77056899999999995</v>
      </c>
      <c r="BD183">
        <f t="shared" si="34"/>
        <v>17.312098765432097</v>
      </c>
      <c r="BE183">
        <f t="shared" si="35"/>
        <v>13.350727013827159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0.91384900000000002</v>
      </c>
      <c r="H184" s="21">
        <v>7.1246799999999997</v>
      </c>
      <c r="I184" s="21">
        <v>-1.4035000000000001E-2</v>
      </c>
      <c r="J184" s="21">
        <v>174</v>
      </c>
      <c r="K184" s="21">
        <v>0.91278099999999995</v>
      </c>
      <c r="L184">
        <f t="shared" si="24"/>
        <v>17.327160493827162</v>
      </c>
      <c r="M184">
        <f t="shared" si="25"/>
        <v>15.834408290123458</v>
      </c>
      <c r="N184" s="9"/>
      <c r="O184" s="21">
        <v>0.77621499999999999</v>
      </c>
      <c r="P184" s="21">
        <v>10.9237</v>
      </c>
      <c r="Q184" s="21">
        <v>-1.40381E-2</v>
      </c>
      <c r="R184" s="21">
        <v>174</v>
      </c>
      <c r="S184" s="21">
        <v>0.77545200000000003</v>
      </c>
      <c r="T184">
        <f t="shared" si="26"/>
        <v>17.330987654320985</v>
      </c>
      <c r="U184">
        <f t="shared" si="27"/>
        <v>13.452572582098764</v>
      </c>
      <c r="X184" s="9"/>
      <c r="Y184" s="21">
        <v>0.77621499999999999</v>
      </c>
      <c r="Z184" s="21">
        <v>10.9237</v>
      </c>
      <c r="AA184" s="21">
        <v>-1.40381E-2</v>
      </c>
      <c r="AB184" s="21">
        <v>174</v>
      </c>
      <c r="AC184" s="21">
        <v>0.77545200000000003</v>
      </c>
      <c r="AD184">
        <f t="shared" si="28"/>
        <v>17.330987654320985</v>
      </c>
      <c r="AE184">
        <f t="shared" si="29"/>
        <v>13.452572582098764</v>
      </c>
      <c r="AF184" s="9"/>
      <c r="AG184" s="21">
        <v>0.77621499999999999</v>
      </c>
      <c r="AH184" s="21">
        <v>20.222899999999999</v>
      </c>
      <c r="AI184" s="21">
        <v>-1.3909899999999999E-2</v>
      </c>
      <c r="AJ184" s="21">
        <v>174</v>
      </c>
      <c r="AK184" s="21">
        <v>0.77545200000000003</v>
      </c>
      <c r="AL184">
        <f t="shared" si="30"/>
        <v>17.172716049382714</v>
      </c>
      <c r="AM184">
        <f t="shared" si="31"/>
        <v>13.329719788271603</v>
      </c>
      <c r="AP184" s="9"/>
      <c r="AQ184" s="21">
        <v>0.91384900000000002</v>
      </c>
      <c r="AR184" s="21">
        <v>25.702100000000002</v>
      </c>
      <c r="AS184" s="21">
        <v>-1.39496E-2</v>
      </c>
      <c r="AT184" s="21">
        <v>174</v>
      </c>
      <c r="AU184" s="21">
        <v>0.91308599999999995</v>
      </c>
      <c r="AV184">
        <f t="shared" si="32"/>
        <v>17.221728395061724</v>
      </c>
      <c r="AW184">
        <f t="shared" si="33"/>
        <v>15.738059272098763</v>
      </c>
      <c r="AX184" s="9"/>
      <c r="AY184" s="21">
        <v>0.77621499999999999</v>
      </c>
      <c r="AZ184" s="21">
        <v>29.501200000000001</v>
      </c>
      <c r="BA184" s="21">
        <v>-1.40228E-2</v>
      </c>
      <c r="BB184" s="21">
        <v>174</v>
      </c>
      <c r="BC184" s="21">
        <v>0.77545200000000003</v>
      </c>
      <c r="BD184">
        <f t="shared" si="34"/>
        <v>17.312098765432097</v>
      </c>
      <c r="BE184">
        <f t="shared" si="35"/>
        <v>13.437910743209875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0.90881299999999998</v>
      </c>
      <c r="H185" s="21">
        <v>7.1347500000000004</v>
      </c>
      <c r="I185" s="21">
        <v>-1.40289E-2</v>
      </c>
      <c r="J185" s="21">
        <v>175</v>
      </c>
      <c r="K185" s="21">
        <v>0.90789799999999998</v>
      </c>
      <c r="L185">
        <f t="shared" si="24"/>
        <v>17.319629629629631</v>
      </c>
      <c r="M185">
        <f t="shared" si="25"/>
        <v>15.740304562592593</v>
      </c>
      <c r="N185" s="9"/>
      <c r="O185" s="21">
        <v>0.78125</v>
      </c>
      <c r="P185" s="21">
        <v>10.9338</v>
      </c>
      <c r="Q185" s="21">
        <v>-1.40442E-2</v>
      </c>
      <c r="R185" s="21">
        <v>175</v>
      </c>
      <c r="S185" s="21">
        <v>0.78064</v>
      </c>
      <c r="T185">
        <f t="shared" si="26"/>
        <v>17.338518518518516</v>
      </c>
      <c r="U185">
        <f t="shared" si="27"/>
        <v>13.54571759259259</v>
      </c>
      <c r="X185" s="9"/>
      <c r="Y185" s="21">
        <v>0.78125</v>
      </c>
      <c r="Z185" s="21">
        <v>10.9338</v>
      </c>
      <c r="AA185" s="21">
        <v>-1.40442E-2</v>
      </c>
      <c r="AB185" s="21">
        <v>175</v>
      </c>
      <c r="AC185" s="21">
        <v>0.78064</v>
      </c>
      <c r="AD185">
        <f t="shared" si="28"/>
        <v>17.338518518518516</v>
      </c>
      <c r="AE185">
        <f t="shared" si="29"/>
        <v>13.54571759259259</v>
      </c>
      <c r="AF185" s="9"/>
      <c r="AG185" s="21">
        <v>0.78125</v>
      </c>
      <c r="AH185" s="21">
        <v>20.233000000000001</v>
      </c>
      <c r="AI185" s="21">
        <v>-1.3903799999999999E-2</v>
      </c>
      <c r="AJ185" s="21">
        <v>175</v>
      </c>
      <c r="AK185" s="21">
        <v>0.78033399999999997</v>
      </c>
      <c r="AL185">
        <f t="shared" si="30"/>
        <v>17.165185185185184</v>
      </c>
      <c r="AM185">
        <f t="shared" si="31"/>
        <v>13.410300925925926</v>
      </c>
      <c r="AP185" s="9"/>
      <c r="AQ185" s="21">
        <v>0.90881299999999998</v>
      </c>
      <c r="AR185" s="21">
        <v>25.712199999999999</v>
      </c>
      <c r="AS185" s="21">
        <v>-1.3958699999999999E-2</v>
      </c>
      <c r="AT185" s="21">
        <v>175</v>
      </c>
      <c r="AU185" s="21">
        <v>0.90759299999999998</v>
      </c>
      <c r="AV185">
        <f t="shared" si="32"/>
        <v>17.232962962962961</v>
      </c>
      <c r="AW185">
        <f t="shared" si="33"/>
        <v>15.661540769259258</v>
      </c>
      <c r="AX185" s="9"/>
      <c r="AY185" s="21">
        <v>0.78125</v>
      </c>
      <c r="AZ185" s="21">
        <v>29.511199999999999</v>
      </c>
      <c r="BA185" s="21">
        <v>-1.40228E-2</v>
      </c>
      <c r="BB185" s="21">
        <v>175</v>
      </c>
      <c r="BC185" s="21">
        <v>0.78064</v>
      </c>
      <c r="BD185">
        <f t="shared" si="34"/>
        <v>17.312098765432097</v>
      </c>
      <c r="BE185">
        <f t="shared" si="35"/>
        <v>13.525077160493826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0.90377799999999997</v>
      </c>
      <c r="H186" s="21">
        <v>7.1448200000000002</v>
      </c>
      <c r="I186" s="21">
        <v>-1.4025900000000001E-2</v>
      </c>
      <c r="J186" s="21">
        <v>176</v>
      </c>
      <c r="K186" s="21">
        <v>0.90271000000000001</v>
      </c>
      <c r="L186">
        <f t="shared" si="24"/>
        <v>17.315925925925924</v>
      </c>
      <c r="M186">
        <f t="shared" si="25"/>
        <v>15.649752901481479</v>
      </c>
      <c r="N186" s="9"/>
      <c r="O186" s="21">
        <v>0.78628500000000001</v>
      </c>
      <c r="P186" s="21">
        <v>10.943899999999999</v>
      </c>
      <c r="Q186" s="21">
        <v>-1.40442E-2</v>
      </c>
      <c r="R186" s="21">
        <v>176</v>
      </c>
      <c r="S186" s="21">
        <v>0.78491200000000005</v>
      </c>
      <c r="T186">
        <f t="shared" si="26"/>
        <v>17.338518518518516</v>
      </c>
      <c r="U186">
        <f t="shared" si="27"/>
        <v>13.633017033333331</v>
      </c>
      <c r="X186" s="9"/>
      <c r="Y186" s="21">
        <v>0.78628500000000001</v>
      </c>
      <c r="Z186" s="21">
        <v>10.943899999999999</v>
      </c>
      <c r="AA186" s="21">
        <v>-1.40442E-2</v>
      </c>
      <c r="AB186" s="21">
        <v>176</v>
      </c>
      <c r="AC186" s="21">
        <v>0.78491200000000005</v>
      </c>
      <c r="AD186">
        <f t="shared" si="28"/>
        <v>17.338518518518516</v>
      </c>
      <c r="AE186">
        <f t="shared" si="29"/>
        <v>13.633017033333331</v>
      </c>
      <c r="AF186" s="9"/>
      <c r="AG186" s="21">
        <v>0.78628500000000001</v>
      </c>
      <c r="AH186" s="21">
        <v>20.243099999999998</v>
      </c>
      <c r="AI186" s="21">
        <v>-1.39008E-2</v>
      </c>
      <c r="AJ186" s="21">
        <v>176</v>
      </c>
      <c r="AK186" s="21">
        <v>0.78521700000000005</v>
      </c>
      <c r="AL186">
        <f t="shared" si="30"/>
        <v>17.161481481481481</v>
      </c>
      <c r="AM186">
        <f t="shared" si="31"/>
        <v>13.493815466666666</v>
      </c>
      <c r="AP186" s="9"/>
      <c r="AQ186" s="21">
        <v>0.90377799999999997</v>
      </c>
      <c r="AR186" s="21">
        <v>25.722300000000001</v>
      </c>
      <c r="AS186" s="21">
        <v>-1.3958699999999999E-2</v>
      </c>
      <c r="AT186" s="21">
        <v>176</v>
      </c>
      <c r="AU186" s="21">
        <v>0.90240500000000001</v>
      </c>
      <c r="AV186">
        <f t="shared" si="32"/>
        <v>17.232962962962961</v>
      </c>
      <c r="AW186">
        <f t="shared" si="33"/>
        <v>15.574772800740739</v>
      </c>
      <c r="AX186" s="9"/>
      <c r="AY186" s="21">
        <v>0.78628500000000001</v>
      </c>
      <c r="AZ186" s="21">
        <v>29.5213</v>
      </c>
      <c r="BA186" s="21">
        <v>-1.40289E-2</v>
      </c>
      <c r="BB186" s="21">
        <v>176</v>
      </c>
      <c r="BC186" s="21">
        <v>0.78552200000000005</v>
      </c>
      <c r="BD186">
        <f t="shared" si="34"/>
        <v>17.319629629629631</v>
      </c>
      <c r="BE186">
        <f t="shared" si="35"/>
        <v>13.618164983333335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0.89874299999999996</v>
      </c>
      <c r="H187" s="21">
        <v>7.15489</v>
      </c>
      <c r="I187" s="21">
        <v>-1.40228E-2</v>
      </c>
      <c r="J187" s="21">
        <v>177</v>
      </c>
      <c r="K187" s="21">
        <v>0.89752200000000004</v>
      </c>
      <c r="L187">
        <f t="shared" si="24"/>
        <v>17.312098765432097</v>
      </c>
      <c r="M187">
        <f t="shared" si="25"/>
        <v>15.559127580740739</v>
      </c>
      <c r="N187" s="9"/>
      <c r="O187" s="21">
        <v>0.79132100000000005</v>
      </c>
      <c r="P187" s="21">
        <v>10.953900000000001</v>
      </c>
      <c r="Q187" s="21">
        <v>-1.4041100000000001E-2</v>
      </c>
      <c r="R187" s="21">
        <v>177</v>
      </c>
      <c r="S187" s="21">
        <v>0.79101600000000005</v>
      </c>
      <c r="T187">
        <f t="shared" si="26"/>
        <v>17.334691358024692</v>
      </c>
      <c r="U187">
        <f t="shared" si="27"/>
        <v>13.717305300123458</v>
      </c>
      <c r="X187" s="9"/>
      <c r="Y187" s="21">
        <v>0.79132100000000005</v>
      </c>
      <c r="Z187" s="21">
        <v>10.953900000000001</v>
      </c>
      <c r="AA187" s="21">
        <v>-1.4041100000000001E-2</v>
      </c>
      <c r="AB187" s="21">
        <v>177</v>
      </c>
      <c r="AC187" s="21">
        <v>0.79101600000000005</v>
      </c>
      <c r="AD187">
        <f t="shared" si="28"/>
        <v>17.334691358024692</v>
      </c>
      <c r="AE187">
        <f t="shared" si="29"/>
        <v>13.717305300123458</v>
      </c>
      <c r="AF187" s="9"/>
      <c r="AG187" s="21">
        <v>0.79132100000000005</v>
      </c>
      <c r="AH187" s="21">
        <v>20.2532</v>
      </c>
      <c r="AI187" s="21">
        <v>-1.3894699999999999E-2</v>
      </c>
      <c r="AJ187" s="21">
        <v>177</v>
      </c>
      <c r="AK187" s="21">
        <v>0.79071000000000002</v>
      </c>
      <c r="AL187">
        <f t="shared" si="30"/>
        <v>17.153950617283947</v>
      </c>
      <c r="AM187">
        <f t="shared" si="31"/>
        <v>13.574281356419752</v>
      </c>
      <c r="AP187" s="9"/>
      <c r="AQ187" s="21">
        <v>0.89874299999999996</v>
      </c>
      <c r="AR187" s="21">
        <v>25.732299999999999</v>
      </c>
      <c r="AS187" s="21">
        <v>-1.39679E-2</v>
      </c>
      <c r="AT187" s="21">
        <v>177</v>
      </c>
      <c r="AU187" s="21">
        <v>0.89752200000000004</v>
      </c>
      <c r="AV187">
        <f t="shared" si="32"/>
        <v>17.244320987654319</v>
      </c>
      <c r="AW187">
        <f t="shared" si="33"/>
        <v>15.498212777407405</v>
      </c>
      <c r="AX187" s="9"/>
      <c r="AY187" s="21">
        <v>0.79132100000000005</v>
      </c>
      <c r="AZ187" s="21">
        <v>29.531400000000001</v>
      </c>
      <c r="BA187" s="21">
        <v>-1.4025900000000001E-2</v>
      </c>
      <c r="BB187" s="21">
        <v>177</v>
      </c>
      <c r="BC187" s="21">
        <v>0.79040500000000002</v>
      </c>
      <c r="BD187">
        <f t="shared" si="34"/>
        <v>17.315925925925924</v>
      </c>
      <c r="BE187">
        <f t="shared" si="35"/>
        <v>13.702455819629629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0.89370700000000003</v>
      </c>
      <c r="H188" s="21">
        <v>7.1649599999999998</v>
      </c>
      <c r="I188" s="21">
        <v>-1.40289E-2</v>
      </c>
      <c r="J188" s="21">
        <v>178</v>
      </c>
      <c r="K188" s="21">
        <v>0.89263899999999996</v>
      </c>
      <c r="L188">
        <f t="shared" si="24"/>
        <v>17.319629629629631</v>
      </c>
      <c r="M188">
        <f t="shared" si="25"/>
        <v>15.478674237407409</v>
      </c>
      <c r="N188" s="9"/>
      <c r="O188" s="21">
        <v>0.79635599999999995</v>
      </c>
      <c r="P188" s="21">
        <v>10.964</v>
      </c>
      <c r="Q188" s="21">
        <v>-1.40503E-2</v>
      </c>
      <c r="R188" s="21">
        <v>178</v>
      </c>
      <c r="S188" s="21">
        <v>0.79559299999999999</v>
      </c>
      <c r="T188">
        <f t="shared" si="26"/>
        <v>17.34604938271605</v>
      </c>
      <c r="U188">
        <f t="shared" si="27"/>
        <v>13.813630502222221</v>
      </c>
      <c r="X188" s="9"/>
      <c r="Y188" s="21">
        <v>0.79635599999999995</v>
      </c>
      <c r="Z188" s="21">
        <v>10.964</v>
      </c>
      <c r="AA188" s="21">
        <v>-1.40503E-2</v>
      </c>
      <c r="AB188" s="21">
        <v>178</v>
      </c>
      <c r="AC188" s="21">
        <v>0.79559299999999999</v>
      </c>
      <c r="AD188">
        <f t="shared" si="28"/>
        <v>17.34604938271605</v>
      </c>
      <c r="AE188">
        <f t="shared" si="29"/>
        <v>13.813630502222221</v>
      </c>
      <c r="AF188" s="9"/>
      <c r="AG188" s="21">
        <v>0.79635599999999995</v>
      </c>
      <c r="AH188" s="21">
        <v>20.263200000000001</v>
      </c>
      <c r="AI188" s="21">
        <v>-1.3894699999999999E-2</v>
      </c>
      <c r="AJ188" s="21">
        <v>178</v>
      </c>
      <c r="AK188" s="21">
        <v>0.79528799999999999</v>
      </c>
      <c r="AL188">
        <f t="shared" si="30"/>
        <v>17.153950617283947</v>
      </c>
      <c r="AM188">
        <f t="shared" si="31"/>
        <v>13.660651497777774</v>
      </c>
      <c r="AP188" s="9"/>
      <c r="AQ188" s="21">
        <v>0.89370700000000003</v>
      </c>
      <c r="AR188" s="21">
        <v>25.7424</v>
      </c>
      <c r="AS188" s="21">
        <v>-1.3964799999999999E-2</v>
      </c>
      <c r="AT188" s="21">
        <v>178</v>
      </c>
      <c r="AU188" s="21">
        <v>0.89263899999999996</v>
      </c>
      <c r="AV188">
        <f t="shared" si="32"/>
        <v>17.240493827160492</v>
      </c>
      <c r="AW188">
        <f t="shared" si="33"/>
        <v>15.407950016790123</v>
      </c>
      <c r="AX188" s="9"/>
      <c r="AY188" s="21">
        <v>0.79635599999999995</v>
      </c>
      <c r="AZ188" s="21">
        <v>29.541499999999999</v>
      </c>
      <c r="BA188" s="21">
        <v>-1.40228E-2</v>
      </c>
      <c r="BB188" s="21">
        <v>178</v>
      </c>
      <c r="BC188" s="21">
        <v>0.79620400000000002</v>
      </c>
      <c r="BD188">
        <f t="shared" si="34"/>
        <v>17.312098765432097</v>
      </c>
      <c r="BE188">
        <f t="shared" si="35"/>
        <v>13.786593724444442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0.88867200000000002</v>
      </c>
      <c r="H189" s="21">
        <v>7.1750400000000001</v>
      </c>
      <c r="I189" s="21">
        <v>-1.4035000000000001E-2</v>
      </c>
      <c r="J189" s="21">
        <v>179</v>
      </c>
      <c r="K189" s="21">
        <v>0.88745099999999999</v>
      </c>
      <c r="L189">
        <f t="shared" si="24"/>
        <v>17.327160493827162</v>
      </c>
      <c r="M189">
        <f t="shared" si="25"/>
        <v>15.398162370370372</v>
      </c>
      <c r="N189" s="9"/>
      <c r="O189" s="21">
        <v>0.80139199999999999</v>
      </c>
      <c r="P189" s="21">
        <v>10.9741</v>
      </c>
      <c r="Q189" s="21">
        <v>-1.40564E-2</v>
      </c>
      <c r="R189" s="21">
        <v>179</v>
      </c>
      <c r="S189" s="21">
        <v>0.80047599999999997</v>
      </c>
      <c r="T189">
        <f t="shared" si="26"/>
        <v>17.35358024691358</v>
      </c>
      <c r="U189">
        <f t="shared" si="27"/>
        <v>13.907020381234569</v>
      </c>
      <c r="X189" s="9"/>
      <c r="Y189" s="21">
        <v>0.80139199999999999</v>
      </c>
      <c r="Z189" s="21">
        <v>10.9741</v>
      </c>
      <c r="AA189" s="21">
        <v>-1.40564E-2</v>
      </c>
      <c r="AB189" s="21">
        <v>179</v>
      </c>
      <c r="AC189" s="21">
        <v>0.80047599999999997</v>
      </c>
      <c r="AD189">
        <f t="shared" si="28"/>
        <v>17.35358024691358</v>
      </c>
      <c r="AE189">
        <f t="shared" si="29"/>
        <v>13.907020381234569</v>
      </c>
      <c r="AF189" s="9"/>
      <c r="AG189" s="21">
        <v>0.80139199999999999</v>
      </c>
      <c r="AH189" s="21">
        <v>20.273299999999999</v>
      </c>
      <c r="AI189" s="21">
        <v>-1.39069E-2</v>
      </c>
      <c r="AJ189" s="21">
        <v>179</v>
      </c>
      <c r="AK189" s="21">
        <v>0.80078099999999997</v>
      </c>
      <c r="AL189">
        <f t="shared" si="30"/>
        <v>17.169012345679011</v>
      </c>
      <c r="AM189">
        <f t="shared" si="31"/>
        <v>13.759109141728395</v>
      </c>
      <c r="AP189" s="9"/>
      <c r="AQ189" s="21">
        <v>0.88867200000000002</v>
      </c>
      <c r="AR189" s="21">
        <v>25.752500000000001</v>
      </c>
      <c r="AS189" s="21">
        <v>-1.39557E-2</v>
      </c>
      <c r="AT189" s="21">
        <v>179</v>
      </c>
      <c r="AU189" s="21">
        <v>0.88806200000000002</v>
      </c>
      <c r="AV189">
        <f t="shared" si="32"/>
        <v>17.229259259259258</v>
      </c>
      <c r="AW189">
        <f t="shared" si="33"/>
        <v>15.311160284444444</v>
      </c>
      <c r="AX189" s="9"/>
      <c r="AY189" s="21">
        <v>0.80139199999999999</v>
      </c>
      <c r="AZ189" s="21">
        <v>29.551500000000001</v>
      </c>
      <c r="BA189" s="21">
        <v>-1.40228E-2</v>
      </c>
      <c r="BB189" s="21">
        <v>179</v>
      </c>
      <c r="BC189" s="21">
        <v>0.80047599999999997</v>
      </c>
      <c r="BD189">
        <f t="shared" si="34"/>
        <v>17.312098765432097</v>
      </c>
      <c r="BE189">
        <f t="shared" si="35"/>
        <v>13.873777453827159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0.88363599999999998</v>
      </c>
      <c r="H190" s="21">
        <v>7.1851099999999999</v>
      </c>
      <c r="I190" s="21">
        <v>-1.4035000000000001E-2</v>
      </c>
      <c r="J190" s="21">
        <v>180</v>
      </c>
      <c r="K190" s="21">
        <v>0.88256800000000002</v>
      </c>
      <c r="L190">
        <f t="shared" si="24"/>
        <v>17.327160493827162</v>
      </c>
      <c r="M190">
        <f t="shared" si="25"/>
        <v>15.310902790123457</v>
      </c>
      <c r="N190" s="9"/>
      <c r="O190" s="21">
        <v>0.806427</v>
      </c>
      <c r="P190" s="21">
        <v>10.9842</v>
      </c>
      <c r="Q190" s="21">
        <v>-1.4047199999999999E-2</v>
      </c>
      <c r="R190" s="21">
        <v>180</v>
      </c>
      <c r="S190" s="21">
        <v>0.80566400000000005</v>
      </c>
      <c r="T190">
        <f t="shared" si="26"/>
        <v>17.342222222222222</v>
      </c>
      <c r="U190">
        <f t="shared" si="27"/>
        <v>13.985236240000001</v>
      </c>
      <c r="X190" s="9"/>
      <c r="Y190" s="21">
        <v>0.806427</v>
      </c>
      <c r="Z190" s="21">
        <v>10.9842</v>
      </c>
      <c r="AA190" s="21">
        <v>-1.4047199999999999E-2</v>
      </c>
      <c r="AB190" s="21">
        <v>180</v>
      </c>
      <c r="AC190" s="21">
        <v>0.80566400000000005</v>
      </c>
      <c r="AD190">
        <f t="shared" si="28"/>
        <v>17.342222222222222</v>
      </c>
      <c r="AE190">
        <f t="shared" si="29"/>
        <v>13.985236240000001</v>
      </c>
      <c r="AF190" s="9"/>
      <c r="AG190" s="21">
        <v>0.806427</v>
      </c>
      <c r="AH190" s="21">
        <v>20.2834</v>
      </c>
      <c r="AI190" s="21">
        <v>-1.3909899999999999E-2</v>
      </c>
      <c r="AJ190" s="21">
        <v>180</v>
      </c>
      <c r="AK190" s="21">
        <v>0.80535900000000005</v>
      </c>
      <c r="AL190">
        <f t="shared" si="30"/>
        <v>17.172716049382714</v>
      </c>
      <c r="AM190">
        <f t="shared" si="31"/>
        <v>13.848541885555553</v>
      </c>
      <c r="AP190" s="9"/>
      <c r="AQ190" s="21">
        <v>0.88363599999999998</v>
      </c>
      <c r="AR190" s="21">
        <v>25.762599999999999</v>
      </c>
      <c r="AS190" s="21">
        <v>-1.39496E-2</v>
      </c>
      <c r="AT190" s="21">
        <v>180</v>
      </c>
      <c r="AU190" s="21">
        <v>0.88287400000000005</v>
      </c>
      <c r="AV190">
        <f t="shared" si="32"/>
        <v>17.221728395061724</v>
      </c>
      <c r="AW190">
        <f t="shared" si="33"/>
        <v>15.217739192098762</v>
      </c>
      <c r="AX190" s="9"/>
      <c r="AY190" s="21">
        <v>0.806427</v>
      </c>
      <c r="AZ190" s="21">
        <v>29.561599999999999</v>
      </c>
      <c r="BA190" s="21">
        <v>-1.40228E-2</v>
      </c>
      <c r="BB190" s="21">
        <v>180</v>
      </c>
      <c r="BC190" s="21">
        <v>0.80596900000000005</v>
      </c>
      <c r="BD190">
        <f t="shared" si="34"/>
        <v>17.312098765432097</v>
      </c>
      <c r="BE190">
        <f t="shared" si="35"/>
        <v>13.960943871111109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0.87860099999999997</v>
      </c>
      <c r="H191" s="21">
        <v>7.1951799999999997</v>
      </c>
      <c r="I191" s="21">
        <v>-1.4031999999999999E-2</v>
      </c>
      <c r="J191" s="21">
        <v>181</v>
      </c>
      <c r="K191" s="21">
        <v>0.87738000000000005</v>
      </c>
      <c r="L191">
        <f t="shared" si="24"/>
        <v>17.323456790123455</v>
      </c>
      <c r="M191">
        <f t="shared" si="25"/>
        <v>15.220406459259257</v>
      </c>
      <c r="N191" s="9"/>
      <c r="O191" s="21">
        <v>0.81146200000000002</v>
      </c>
      <c r="P191" s="21">
        <v>10.994199999999999</v>
      </c>
      <c r="Q191" s="21">
        <v>-1.40442E-2</v>
      </c>
      <c r="R191" s="21">
        <v>181</v>
      </c>
      <c r="S191" s="21">
        <v>0.81054700000000002</v>
      </c>
      <c r="T191">
        <f t="shared" si="26"/>
        <v>17.338518518518516</v>
      </c>
      <c r="U191">
        <f t="shared" si="27"/>
        <v>14.069548914074073</v>
      </c>
      <c r="X191" s="9"/>
      <c r="Y191" s="21">
        <v>0.81146200000000002</v>
      </c>
      <c r="Z191" s="21">
        <v>10.994199999999999</v>
      </c>
      <c r="AA191" s="21">
        <v>-1.40442E-2</v>
      </c>
      <c r="AB191" s="21">
        <v>181</v>
      </c>
      <c r="AC191" s="21">
        <v>0.81054700000000002</v>
      </c>
      <c r="AD191">
        <f t="shared" si="28"/>
        <v>17.338518518518516</v>
      </c>
      <c r="AE191">
        <f t="shared" si="29"/>
        <v>14.069548914074073</v>
      </c>
      <c r="AF191" s="9"/>
      <c r="AG191" s="21">
        <v>0.81146200000000002</v>
      </c>
      <c r="AH191" s="21">
        <v>20.293399999999998</v>
      </c>
      <c r="AI191" s="21">
        <v>-1.39191E-2</v>
      </c>
      <c r="AJ191" s="21">
        <v>181</v>
      </c>
      <c r="AK191" s="21">
        <v>0.81085200000000002</v>
      </c>
      <c r="AL191">
        <f t="shared" si="30"/>
        <v>17.184074074074076</v>
      </c>
      <c r="AM191">
        <f t="shared" si="31"/>
        <v>13.944223116296298</v>
      </c>
      <c r="AP191" s="9"/>
      <c r="AQ191" s="21">
        <v>0.87860099999999997</v>
      </c>
      <c r="AR191" s="21">
        <v>25.772600000000001</v>
      </c>
      <c r="AS191" s="21">
        <v>-1.3943499999999999E-2</v>
      </c>
      <c r="AT191" s="21">
        <v>181</v>
      </c>
      <c r="AU191" s="21">
        <v>0.87829599999999997</v>
      </c>
      <c r="AV191">
        <f t="shared" si="32"/>
        <v>17.214197530864197</v>
      </c>
      <c r="AW191">
        <f t="shared" si="33"/>
        <v>15.124411164814815</v>
      </c>
      <c r="AX191" s="9"/>
      <c r="AY191" s="21">
        <v>0.81146200000000002</v>
      </c>
      <c r="AZ191" s="21">
        <v>29.5717</v>
      </c>
      <c r="BA191" s="21">
        <v>-1.40289E-2</v>
      </c>
      <c r="BB191" s="21">
        <v>181</v>
      </c>
      <c r="BC191" s="21">
        <v>0.81085200000000002</v>
      </c>
      <c r="BD191">
        <f t="shared" si="34"/>
        <v>17.319629629629631</v>
      </c>
      <c r="BE191">
        <f t="shared" si="35"/>
        <v>14.05422129851852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0.87356599999999995</v>
      </c>
      <c r="H192" s="21">
        <v>7.2052500000000004</v>
      </c>
      <c r="I192" s="21">
        <v>-1.4035000000000001E-2</v>
      </c>
      <c r="J192" s="21">
        <v>182</v>
      </c>
      <c r="K192" s="21">
        <v>0.87219199999999997</v>
      </c>
      <c r="L192">
        <f t="shared" si="24"/>
        <v>17.327160493827162</v>
      </c>
      <c r="M192">
        <f t="shared" si="25"/>
        <v>15.136418283950617</v>
      </c>
      <c r="N192" s="9"/>
      <c r="O192" s="21">
        <v>0.81649799999999995</v>
      </c>
      <c r="P192" s="21">
        <v>11.004300000000001</v>
      </c>
      <c r="Q192" s="21">
        <v>-1.4035000000000001E-2</v>
      </c>
      <c r="R192" s="21">
        <v>182</v>
      </c>
      <c r="S192" s="21">
        <v>0.81603999999999999</v>
      </c>
      <c r="T192">
        <f t="shared" si="26"/>
        <v>17.327160493827162</v>
      </c>
      <c r="U192">
        <f t="shared" si="27"/>
        <v>14.147591888888888</v>
      </c>
      <c r="X192" s="9"/>
      <c r="Y192" s="21">
        <v>0.81649799999999995</v>
      </c>
      <c r="Z192" s="21">
        <v>11.004300000000001</v>
      </c>
      <c r="AA192" s="21">
        <v>-1.4035000000000001E-2</v>
      </c>
      <c r="AB192" s="21">
        <v>182</v>
      </c>
      <c r="AC192" s="21">
        <v>0.81603999999999999</v>
      </c>
      <c r="AD192">
        <f t="shared" si="28"/>
        <v>17.327160493827162</v>
      </c>
      <c r="AE192">
        <f t="shared" si="29"/>
        <v>14.147591888888888</v>
      </c>
      <c r="AF192" s="9"/>
      <c r="AG192" s="21">
        <v>0.81649799999999995</v>
      </c>
      <c r="AH192" s="21">
        <v>20.3035</v>
      </c>
      <c r="AI192" s="21">
        <v>-1.3913E-2</v>
      </c>
      <c r="AJ192" s="21">
        <v>182</v>
      </c>
      <c r="AK192" s="21">
        <v>0.81573499999999999</v>
      </c>
      <c r="AL192">
        <f t="shared" si="30"/>
        <v>17.176543209876542</v>
      </c>
      <c r="AM192">
        <f t="shared" si="31"/>
        <v>14.024613177777775</v>
      </c>
      <c r="AP192" s="9"/>
      <c r="AQ192" s="21">
        <v>0.87356599999999995</v>
      </c>
      <c r="AR192" s="21">
        <v>25.782699999999998</v>
      </c>
      <c r="AS192" s="21">
        <v>-1.3937400000000001E-2</v>
      </c>
      <c r="AT192" s="21">
        <v>182</v>
      </c>
      <c r="AU192" s="21">
        <v>0.872803</v>
      </c>
      <c r="AV192">
        <f t="shared" si="32"/>
        <v>17.206666666666667</v>
      </c>
      <c r="AW192">
        <f t="shared" si="33"/>
        <v>15.031158973333334</v>
      </c>
      <c r="AX192" s="9"/>
      <c r="AY192" s="21">
        <v>0.81649799999999995</v>
      </c>
      <c r="AZ192" s="21">
        <v>29.581700000000001</v>
      </c>
      <c r="BA192" s="21">
        <v>-1.40137E-2</v>
      </c>
      <c r="BB192" s="21">
        <v>182</v>
      </c>
      <c r="BC192" s="21">
        <v>0.81603999999999999</v>
      </c>
      <c r="BD192">
        <f t="shared" si="34"/>
        <v>17.300864197530863</v>
      </c>
      <c r="BE192">
        <f t="shared" si="35"/>
        <v>14.126121015555555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0.86853000000000002</v>
      </c>
      <c r="H193" s="21">
        <v>7.2153200000000002</v>
      </c>
      <c r="I193" s="21">
        <v>-1.4031999999999999E-2</v>
      </c>
      <c r="J193" s="21">
        <v>183</v>
      </c>
      <c r="K193" s="21">
        <v>0.86761500000000003</v>
      </c>
      <c r="L193">
        <f t="shared" si="24"/>
        <v>17.323456790123455</v>
      </c>
      <c r="M193">
        <f t="shared" si="25"/>
        <v>15.045941925925925</v>
      </c>
      <c r="N193" s="9"/>
      <c r="O193" s="21">
        <v>0.82153299999999996</v>
      </c>
      <c r="P193" s="21">
        <v>11.0144</v>
      </c>
      <c r="Q193" s="21">
        <v>-1.4041100000000001E-2</v>
      </c>
      <c r="R193" s="21">
        <v>183</v>
      </c>
      <c r="S193" s="21">
        <v>0.82061799999999996</v>
      </c>
      <c r="T193">
        <f t="shared" si="26"/>
        <v>17.334691358024692</v>
      </c>
      <c r="U193">
        <f t="shared" si="27"/>
        <v>14.241020995432098</v>
      </c>
      <c r="X193" s="9"/>
      <c r="Y193" s="21">
        <v>0.82153299999999996</v>
      </c>
      <c r="Z193" s="21">
        <v>11.0144</v>
      </c>
      <c r="AA193" s="21">
        <v>-1.4041100000000001E-2</v>
      </c>
      <c r="AB193" s="21">
        <v>183</v>
      </c>
      <c r="AC193" s="21">
        <v>0.82061799999999996</v>
      </c>
      <c r="AD193">
        <f t="shared" si="28"/>
        <v>17.334691358024692</v>
      </c>
      <c r="AE193">
        <f t="shared" si="29"/>
        <v>14.241020995432098</v>
      </c>
      <c r="AF193" s="9"/>
      <c r="AG193" s="21">
        <v>0.82153299999999996</v>
      </c>
      <c r="AH193" s="21">
        <v>20.313600000000001</v>
      </c>
      <c r="AI193" s="21">
        <v>-1.3909899999999999E-2</v>
      </c>
      <c r="AJ193" s="21">
        <v>183</v>
      </c>
      <c r="AK193" s="21">
        <v>0.82122799999999996</v>
      </c>
      <c r="AL193">
        <f t="shared" si="30"/>
        <v>17.172716049382714</v>
      </c>
      <c r="AM193">
        <f t="shared" si="31"/>
        <v>14.107952934197529</v>
      </c>
      <c r="AP193" s="9"/>
      <c r="AQ193" s="21">
        <v>0.86853000000000002</v>
      </c>
      <c r="AR193" s="21">
        <v>25.7928</v>
      </c>
      <c r="AS193" s="21">
        <v>-1.3943499999999999E-2</v>
      </c>
      <c r="AT193" s="21">
        <v>183</v>
      </c>
      <c r="AU193" s="21">
        <v>0.86761500000000003</v>
      </c>
      <c r="AV193">
        <f t="shared" si="32"/>
        <v>17.214197530864197</v>
      </c>
      <c r="AW193">
        <f t="shared" si="33"/>
        <v>14.951046981481483</v>
      </c>
      <c r="AX193" s="9"/>
      <c r="AY193" s="21">
        <v>0.82153299999999996</v>
      </c>
      <c r="AZ193" s="21">
        <v>29.591799999999999</v>
      </c>
      <c r="BA193" s="21">
        <v>-1.40106E-2</v>
      </c>
      <c r="BB193" s="21">
        <v>183</v>
      </c>
      <c r="BC193" s="21">
        <v>0.82092299999999996</v>
      </c>
      <c r="BD193">
        <f t="shared" si="34"/>
        <v>17.297037037037036</v>
      </c>
      <c r="BE193">
        <f t="shared" si="35"/>
        <v>14.210086728148147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0.86349500000000001</v>
      </c>
      <c r="H194" s="21">
        <v>7.22539</v>
      </c>
      <c r="I194" s="21">
        <v>-1.40381E-2</v>
      </c>
      <c r="J194" s="21">
        <v>184</v>
      </c>
      <c r="K194" s="21">
        <v>0.86273200000000005</v>
      </c>
      <c r="L194">
        <f t="shared" si="24"/>
        <v>17.330987654320985</v>
      </c>
      <c r="M194">
        <f t="shared" si="25"/>
        <v>14.9652211845679</v>
      </c>
      <c r="N194" s="9"/>
      <c r="O194" s="21">
        <v>0.826569</v>
      </c>
      <c r="P194" s="21">
        <v>11.0244</v>
      </c>
      <c r="Q194" s="21">
        <v>-1.40381E-2</v>
      </c>
      <c r="R194" s="21">
        <v>184</v>
      </c>
      <c r="S194" s="21">
        <v>0.82580600000000004</v>
      </c>
      <c r="T194">
        <f t="shared" si="26"/>
        <v>17.330987654320985</v>
      </c>
      <c r="U194">
        <f t="shared" si="27"/>
        <v>14.325257134444442</v>
      </c>
      <c r="X194" s="9"/>
      <c r="Y194" s="21">
        <v>0.826569</v>
      </c>
      <c r="Z194" s="21">
        <v>11.0244</v>
      </c>
      <c r="AA194" s="21">
        <v>-1.40381E-2</v>
      </c>
      <c r="AB194" s="21">
        <v>184</v>
      </c>
      <c r="AC194" s="21">
        <v>0.82580600000000004</v>
      </c>
      <c r="AD194">
        <f t="shared" si="28"/>
        <v>17.330987654320985</v>
      </c>
      <c r="AE194">
        <f t="shared" si="29"/>
        <v>14.325257134444442</v>
      </c>
      <c r="AF194" s="9"/>
      <c r="AG194" s="21">
        <v>0.826569</v>
      </c>
      <c r="AH194" s="21">
        <v>20.323699999999999</v>
      </c>
      <c r="AI194" s="21">
        <v>-1.3913E-2</v>
      </c>
      <c r="AJ194" s="21">
        <v>184</v>
      </c>
      <c r="AK194" s="21">
        <v>0.82611100000000004</v>
      </c>
      <c r="AL194">
        <f t="shared" si="30"/>
        <v>17.176543209876542</v>
      </c>
      <c r="AM194">
        <f t="shared" si="31"/>
        <v>14.197598144444443</v>
      </c>
      <c r="AP194" s="9"/>
      <c r="AQ194" s="21">
        <v>0.86349500000000001</v>
      </c>
      <c r="AR194" s="21">
        <v>25.802800000000001</v>
      </c>
      <c r="AS194" s="21">
        <v>-1.39404E-2</v>
      </c>
      <c r="AT194" s="21">
        <v>184</v>
      </c>
      <c r="AU194" s="21">
        <v>0.86273200000000005</v>
      </c>
      <c r="AV194">
        <f t="shared" si="32"/>
        <v>17.21037037037037</v>
      </c>
      <c r="AW194">
        <f t="shared" si="33"/>
        <v>14.861068762962963</v>
      </c>
      <c r="AX194" s="9"/>
      <c r="AY194" s="21">
        <v>0.826569</v>
      </c>
      <c r="AZ194" s="21">
        <v>29.601900000000001</v>
      </c>
      <c r="BA194" s="21">
        <v>-1.39954E-2</v>
      </c>
      <c r="BB194" s="21">
        <v>184</v>
      </c>
      <c r="BC194" s="21">
        <v>0.82550000000000001</v>
      </c>
      <c r="BD194">
        <f t="shared" si="34"/>
        <v>17.278271604938272</v>
      </c>
      <c r="BE194">
        <f t="shared" si="35"/>
        <v>14.281683682222223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0.85845899999999997</v>
      </c>
      <c r="H195" s="21">
        <v>7.2354599999999998</v>
      </c>
      <c r="I195" s="21">
        <v>-1.4031999999999999E-2</v>
      </c>
      <c r="J195" s="21">
        <v>185</v>
      </c>
      <c r="K195" s="21">
        <v>0.85815399999999997</v>
      </c>
      <c r="L195">
        <f t="shared" si="24"/>
        <v>17.323456790123455</v>
      </c>
      <c r="M195">
        <f t="shared" si="25"/>
        <v>14.87147739259259</v>
      </c>
      <c r="N195" s="9"/>
      <c r="O195" s="21">
        <v>0.83160400000000001</v>
      </c>
      <c r="P195" s="21">
        <v>11.0345</v>
      </c>
      <c r="Q195" s="21">
        <v>-1.4031999999999999E-2</v>
      </c>
      <c r="R195" s="21">
        <v>185</v>
      </c>
      <c r="S195" s="21">
        <v>0.83068799999999998</v>
      </c>
      <c r="T195">
        <f t="shared" si="26"/>
        <v>17.323456790123455</v>
      </c>
      <c r="U195">
        <f t="shared" si="27"/>
        <v>14.406255960493827</v>
      </c>
      <c r="X195" s="9"/>
      <c r="Y195" s="21">
        <v>0.83160400000000001</v>
      </c>
      <c r="Z195" s="21">
        <v>11.0345</v>
      </c>
      <c r="AA195" s="21">
        <v>-1.4031999999999999E-2</v>
      </c>
      <c r="AB195" s="21">
        <v>185</v>
      </c>
      <c r="AC195" s="21">
        <v>0.83068799999999998</v>
      </c>
      <c r="AD195">
        <f t="shared" si="28"/>
        <v>17.323456790123455</v>
      </c>
      <c r="AE195">
        <f t="shared" si="29"/>
        <v>14.406255960493827</v>
      </c>
      <c r="AF195" s="9"/>
      <c r="AG195" s="21">
        <v>0.83160400000000001</v>
      </c>
      <c r="AH195" s="21">
        <v>20.3337</v>
      </c>
      <c r="AI195" s="21">
        <v>-1.39069E-2</v>
      </c>
      <c r="AJ195" s="21">
        <v>185</v>
      </c>
      <c r="AK195" s="21">
        <v>0.83038299999999998</v>
      </c>
      <c r="AL195">
        <f t="shared" si="30"/>
        <v>17.169012345679011</v>
      </c>
      <c r="AM195">
        <f t="shared" si="31"/>
        <v>14.277819342716048</v>
      </c>
      <c r="AP195" s="9"/>
      <c r="AQ195" s="21">
        <v>0.85845899999999997</v>
      </c>
      <c r="AR195" s="21">
        <v>25.812899999999999</v>
      </c>
      <c r="AS195" s="21">
        <v>-1.39404E-2</v>
      </c>
      <c r="AT195" s="21">
        <v>185</v>
      </c>
      <c r="AU195" s="21">
        <v>0.85754399999999997</v>
      </c>
      <c r="AV195">
        <f t="shared" si="32"/>
        <v>17.21037037037037</v>
      </c>
      <c r="AW195">
        <f t="shared" si="33"/>
        <v>14.774397337777778</v>
      </c>
      <c r="AX195" s="9"/>
      <c r="AY195" s="21">
        <v>0.83160400000000001</v>
      </c>
      <c r="AZ195" s="21">
        <v>29.611999999999998</v>
      </c>
      <c r="BA195" s="21">
        <v>-1.3977099999999999E-2</v>
      </c>
      <c r="BB195" s="21">
        <v>185</v>
      </c>
      <c r="BC195" s="21">
        <v>0.83068799999999998</v>
      </c>
      <c r="BD195">
        <f t="shared" si="34"/>
        <v>17.255679012345677</v>
      </c>
      <c r="BE195">
        <f t="shared" si="35"/>
        <v>14.349891689382714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0.85342399999999996</v>
      </c>
      <c r="H196" s="21">
        <v>7.2455299999999996</v>
      </c>
      <c r="I196" s="21">
        <v>-1.40381E-2</v>
      </c>
      <c r="J196" s="21">
        <v>186</v>
      </c>
      <c r="K196" s="21">
        <v>0.852661</v>
      </c>
      <c r="L196">
        <f t="shared" si="24"/>
        <v>17.330987654320985</v>
      </c>
      <c r="M196">
        <f t="shared" si="25"/>
        <v>14.790680807901232</v>
      </c>
      <c r="N196" s="9"/>
      <c r="O196" s="21">
        <v>0.83663900000000002</v>
      </c>
      <c r="P196" s="21">
        <v>11.044600000000001</v>
      </c>
      <c r="Q196" s="21">
        <v>-1.40289E-2</v>
      </c>
      <c r="R196" s="21">
        <v>186</v>
      </c>
      <c r="S196" s="21">
        <v>0.83557099999999995</v>
      </c>
      <c r="T196">
        <f t="shared" si="26"/>
        <v>17.319629629629631</v>
      </c>
      <c r="U196">
        <f t="shared" si="27"/>
        <v>14.490277613703705</v>
      </c>
      <c r="X196" s="9"/>
      <c r="Y196" s="21">
        <v>0.83663900000000002</v>
      </c>
      <c r="Z196" s="21">
        <v>11.044600000000001</v>
      </c>
      <c r="AA196" s="21">
        <v>-1.40289E-2</v>
      </c>
      <c r="AB196" s="21">
        <v>186</v>
      </c>
      <c r="AC196" s="21">
        <v>0.83557099999999995</v>
      </c>
      <c r="AD196">
        <f t="shared" si="28"/>
        <v>17.319629629629631</v>
      </c>
      <c r="AE196">
        <f t="shared" si="29"/>
        <v>14.490277613703705</v>
      </c>
      <c r="AF196" s="9"/>
      <c r="AG196" s="21">
        <v>0.83663900000000002</v>
      </c>
      <c r="AH196" s="21">
        <v>20.343800000000002</v>
      </c>
      <c r="AI196" s="21">
        <v>-1.3909899999999999E-2</v>
      </c>
      <c r="AJ196" s="21">
        <v>186</v>
      </c>
      <c r="AK196" s="21">
        <v>0.83587599999999995</v>
      </c>
      <c r="AL196">
        <f t="shared" si="30"/>
        <v>17.172716049382714</v>
      </c>
      <c r="AM196">
        <f t="shared" si="31"/>
        <v>14.367363982839505</v>
      </c>
      <c r="AP196" s="9"/>
      <c r="AQ196" s="21">
        <v>0.85342399999999996</v>
      </c>
      <c r="AR196" s="21">
        <v>25.823</v>
      </c>
      <c r="AS196" s="21">
        <v>-1.3952600000000001E-2</v>
      </c>
      <c r="AT196" s="21">
        <v>186</v>
      </c>
      <c r="AU196" s="21">
        <v>0.852356</v>
      </c>
      <c r="AV196">
        <f t="shared" si="32"/>
        <v>17.225432098765431</v>
      </c>
      <c r="AW196">
        <f t="shared" si="33"/>
        <v>14.700597163456788</v>
      </c>
      <c r="AX196" s="9"/>
      <c r="AY196" s="21">
        <v>0.83663900000000002</v>
      </c>
      <c r="AZ196" s="21">
        <v>29.622</v>
      </c>
      <c r="BA196" s="21">
        <v>-1.39679E-2</v>
      </c>
      <c r="BB196" s="21">
        <v>186</v>
      </c>
      <c r="BC196" s="21">
        <v>0.83587599999999995</v>
      </c>
      <c r="BD196">
        <f t="shared" si="34"/>
        <v>17.244320987654319</v>
      </c>
      <c r="BE196">
        <f t="shared" si="35"/>
        <v>14.427271466790122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0.84838899999999995</v>
      </c>
      <c r="H197" s="21">
        <v>7.2556000000000003</v>
      </c>
      <c r="I197" s="21">
        <v>-1.40442E-2</v>
      </c>
      <c r="J197" s="21">
        <v>187</v>
      </c>
      <c r="K197" s="21">
        <v>0.84777800000000003</v>
      </c>
      <c r="L197">
        <f t="shared" si="24"/>
        <v>17.338518518518516</v>
      </c>
      <c r="M197">
        <f t="shared" si="25"/>
        <v>14.709808387407405</v>
      </c>
      <c r="N197" s="9"/>
      <c r="O197" s="21">
        <v>0.84167499999999995</v>
      </c>
      <c r="P197" s="21">
        <v>11.054600000000001</v>
      </c>
      <c r="Q197" s="21">
        <v>-1.4019800000000001E-2</v>
      </c>
      <c r="R197" s="21">
        <v>187</v>
      </c>
      <c r="S197" s="21">
        <v>0.84045400000000003</v>
      </c>
      <c r="T197">
        <f t="shared" si="26"/>
        <v>17.308395061728394</v>
      </c>
      <c r="U197">
        <f t="shared" si="27"/>
        <v>14.568043413580245</v>
      </c>
      <c r="X197" s="9"/>
      <c r="Y197" s="21">
        <v>0.84167499999999995</v>
      </c>
      <c r="Z197" s="21">
        <v>11.054600000000001</v>
      </c>
      <c r="AA197" s="21">
        <v>-1.4019800000000001E-2</v>
      </c>
      <c r="AB197" s="21">
        <v>187</v>
      </c>
      <c r="AC197" s="21">
        <v>0.84045400000000003</v>
      </c>
      <c r="AD197">
        <f t="shared" si="28"/>
        <v>17.308395061728394</v>
      </c>
      <c r="AE197">
        <f t="shared" si="29"/>
        <v>14.568043413580245</v>
      </c>
      <c r="AF197" s="9"/>
      <c r="AG197" s="21">
        <v>0.84167499999999995</v>
      </c>
      <c r="AH197" s="21">
        <v>20.353899999999999</v>
      </c>
      <c r="AI197" s="21">
        <v>-1.39221E-2</v>
      </c>
      <c r="AJ197" s="21">
        <v>187</v>
      </c>
      <c r="AK197" s="21">
        <v>0.84045400000000003</v>
      </c>
      <c r="AL197">
        <f t="shared" si="30"/>
        <v>17.187777777777779</v>
      </c>
      <c r="AM197">
        <f t="shared" si="31"/>
        <v>14.466522861111111</v>
      </c>
      <c r="AP197" s="9"/>
      <c r="AQ197" s="21">
        <v>0.84838899999999995</v>
      </c>
      <c r="AR197" s="21">
        <v>25.832999999999998</v>
      </c>
      <c r="AS197" s="21">
        <v>-1.3964799999999999E-2</v>
      </c>
      <c r="AT197" s="21">
        <v>187</v>
      </c>
      <c r="AU197" s="21">
        <v>0.84747300000000003</v>
      </c>
      <c r="AV197">
        <f t="shared" si="32"/>
        <v>17.240493827160492</v>
      </c>
      <c r="AW197">
        <f t="shared" si="33"/>
        <v>14.626645317530862</v>
      </c>
      <c r="AX197" s="9"/>
      <c r="AY197" s="21">
        <v>0.84167499999999995</v>
      </c>
      <c r="AZ197" s="21">
        <v>29.632100000000001</v>
      </c>
      <c r="BA197" s="21">
        <v>-1.39618E-2</v>
      </c>
      <c r="BB197" s="21">
        <v>187</v>
      </c>
      <c r="BC197" s="21">
        <v>0.84075900000000003</v>
      </c>
      <c r="BD197">
        <f t="shared" si="34"/>
        <v>17.236790123456789</v>
      </c>
      <c r="BE197">
        <f t="shared" si="35"/>
        <v>14.507775327160491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0.84335300000000002</v>
      </c>
      <c r="H198" s="21">
        <v>7.2656700000000001</v>
      </c>
      <c r="I198" s="21">
        <v>-1.40442E-2</v>
      </c>
      <c r="J198" s="21">
        <v>188</v>
      </c>
      <c r="K198" s="21">
        <v>0.84197999999999995</v>
      </c>
      <c r="L198">
        <f t="shared" si="24"/>
        <v>17.338518518518516</v>
      </c>
      <c r="M198">
        <f t="shared" si="25"/>
        <v>14.622491608148145</v>
      </c>
      <c r="N198" s="9"/>
      <c r="O198" s="21">
        <v>0.84670999999999996</v>
      </c>
      <c r="P198" s="21">
        <v>11.0647</v>
      </c>
      <c r="Q198" s="21">
        <v>-1.40167E-2</v>
      </c>
      <c r="R198" s="21">
        <v>188</v>
      </c>
      <c r="S198" s="21">
        <v>0.845642</v>
      </c>
      <c r="T198">
        <f t="shared" si="26"/>
        <v>17.304567901234567</v>
      </c>
      <c r="U198">
        <f t="shared" si="27"/>
        <v>14.651950687654319</v>
      </c>
      <c r="X198" s="9"/>
      <c r="Y198" s="21">
        <v>0.84670999999999996</v>
      </c>
      <c r="Z198" s="21">
        <v>11.0647</v>
      </c>
      <c r="AA198" s="21">
        <v>-1.40167E-2</v>
      </c>
      <c r="AB198" s="21">
        <v>188</v>
      </c>
      <c r="AC198" s="21">
        <v>0.845642</v>
      </c>
      <c r="AD198">
        <f t="shared" si="28"/>
        <v>17.304567901234567</v>
      </c>
      <c r="AE198">
        <f t="shared" si="29"/>
        <v>14.651950687654319</v>
      </c>
      <c r="AF198" s="9"/>
      <c r="AG198" s="21">
        <v>0.84670999999999996</v>
      </c>
      <c r="AH198" s="21">
        <v>20.363900000000001</v>
      </c>
      <c r="AI198" s="21">
        <v>-1.39282E-2</v>
      </c>
      <c r="AJ198" s="21">
        <v>188</v>
      </c>
      <c r="AK198" s="21">
        <v>0.846252</v>
      </c>
      <c r="AL198">
        <f t="shared" si="30"/>
        <v>17.195308641975309</v>
      </c>
      <c r="AM198">
        <f t="shared" si="31"/>
        <v>14.559439780246914</v>
      </c>
      <c r="AP198" s="9"/>
      <c r="AQ198" s="21">
        <v>0.84335300000000002</v>
      </c>
      <c r="AR198" s="21">
        <v>25.8431</v>
      </c>
      <c r="AS198" s="21">
        <v>-1.3958699999999999E-2</v>
      </c>
      <c r="AT198" s="21">
        <v>188</v>
      </c>
      <c r="AU198" s="21">
        <v>0.84289599999999998</v>
      </c>
      <c r="AV198">
        <f t="shared" si="32"/>
        <v>17.232962962962961</v>
      </c>
      <c r="AW198">
        <f t="shared" si="33"/>
        <v>14.533471013703704</v>
      </c>
      <c r="AX198" s="9"/>
      <c r="AY198" s="21">
        <v>0.84670999999999996</v>
      </c>
      <c r="AZ198" s="21">
        <v>29.642199999999999</v>
      </c>
      <c r="BA198" s="21">
        <v>-1.39618E-2</v>
      </c>
      <c r="BB198" s="21">
        <v>188</v>
      </c>
      <c r="BC198" s="21">
        <v>0.845947</v>
      </c>
      <c r="BD198">
        <f t="shared" si="34"/>
        <v>17.236790123456789</v>
      </c>
      <c r="BE198">
        <f t="shared" si="35"/>
        <v>14.594562565432097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0.83831800000000001</v>
      </c>
      <c r="H199" s="21">
        <v>7.2757500000000004</v>
      </c>
      <c r="I199" s="21">
        <v>-1.4041100000000001E-2</v>
      </c>
      <c r="J199" s="21">
        <v>189</v>
      </c>
      <c r="K199" s="21">
        <v>0.83770800000000001</v>
      </c>
      <c r="L199">
        <f t="shared" si="24"/>
        <v>17.334691358024692</v>
      </c>
      <c r="M199">
        <f t="shared" si="25"/>
        <v>14.531983789876543</v>
      </c>
      <c r="N199" s="9"/>
      <c r="O199" s="21">
        <v>0.851746</v>
      </c>
      <c r="P199" s="21">
        <v>11.0748</v>
      </c>
      <c r="Q199" s="21">
        <v>-1.40106E-2</v>
      </c>
      <c r="R199" s="21">
        <v>189</v>
      </c>
      <c r="S199" s="21">
        <v>0.85082999999999998</v>
      </c>
      <c r="T199">
        <f t="shared" si="26"/>
        <v>17.297037037037036</v>
      </c>
      <c r="U199">
        <f t="shared" si="27"/>
        <v>14.732682108148147</v>
      </c>
      <c r="X199" s="9"/>
      <c r="Y199" s="21">
        <v>0.851746</v>
      </c>
      <c r="Z199" s="21">
        <v>11.0748</v>
      </c>
      <c r="AA199" s="21">
        <v>-1.40106E-2</v>
      </c>
      <c r="AB199" s="21">
        <v>189</v>
      </c>
      <c r="AC199" s="21">
        <v>0.85082999999999998</v>
      </c>
      <c r="AD199">
        <f t="shared" si="28"/>
        <v>17.297037037037036</v>
      </c>
      <c r="AE199">
        <f t="shared" si="29"/>
        <v>14.732682108148147</v>
      </c>
      <c r="AF199" s="9"/>
      <c r="AG199" s="21">
        <v>0.851746</v>
      </c>
      <c r="AH199" s="21">
        <v>20.373999999999999</v>
      </c>
      <c r="AI199" s="21">
        <v>-1.39404E-2</v>
      </c>
      <c r="AJ199" s="21">
        <v>189</v>
      </c>
      <c r="AK199" s="21">
        <v>0.85052499999999998</v>
      </c>
      <c r="AL199">
        <f t="shared" si="30"/>
        <v>17.21037037037037</v>
      </c>
      <c r="AM199">
        <f t="shared" si="31"/>
        <v>14.658864121481482</v>
      </c>
      <c r="AP199" s="9"/>
      <c r="AQ199" s="21">
        <v>0.83831800000000001</v>
      </c>
      <c r="AR199" s="21">
        <v>25.853200000000001</v>
      </c>
      <c r="AS199" s="21">
        <v>-1.39618E-2</v>
      </c>
      <c r="AT199" s="21">
        <v>189</v>
      </c>
      <c r="AU199" s="21">
        <v>0.83740199999999998</v>
      </c>
      <c r="AV199">
        <f t="shared" si="32"/>
        <v>17.236790123456789</v>
      </c>
      <c r="AW199">
        <f t="shared" si="33"/>
        <v>14.449911422716049</v>
      </c>
      <c r="AX199" s="9"/>
      <c r="AY199" s="21">
        <v>0.851746</v>
      </c>
      <c r="AZ199" s="21">
        <v>29.652200000000001</v>
      </c>
      <c r="BA199" s="21">
        <v>-1.3946500000000001E-2</v>
      </c>
      <c r="BB199" s="21">
        <v>189</v>
      </c>
      <c r="BC199" s="21">
        <v>0.85082999999999998</v>
      </c>
      <c r="BD199">
        <f t="shared" si="34"/>
        <v>17.217901234567901</v>
      </c>
      <c r="BE199">
        <f t="shared" si="35"/>
        <v>14.665278504938271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0.83328199999999997</v>
      </c>
      <c r="H200" s="21">
        <v>7.2858200000000002</v>
      </c>
      <c r="I200" s="21">
        <v>-1.40442E-2</v>
      </c>
      <c r="J200" s="21">
        <v>190</v>
      </c>
      <c r="K200" s="21">
        <v>0.83252000000000004</v>
      </c>
      <c r="L200">
        <f t="shared" si="24"/>
        <v>17.338518518518516</v>
      </c>
      <c r="M200">
        <f t="shared" si="25"/>
        <v>14.447875388148145</v>
      </c>
      <c r="N200" s="9"/>
      <c r="O200" s="21">
        <v>0.85678100000000001</v>
      </c>
      <c r="P200" s="21">
        <v>11.084899999999999</v>
      </c>
      <c r="Q200" s="21">
        <v>-1.40045E-2</v>
      </c>
      <c r="R200" s="21">
        <v>190</v>
      </c>
      <c r="S200" s="21">
        <v>0.85632299999999995</v>
      </c>
      <c r="T200">
        <f t="shared" si="26"/>
        <v>17.289506172839506</v>
      </c>
      <c r="U200">
        <f t="shared" si="27"/>
        <v>14.813320388271604</v>
      </c>
      <c r="X200" s="9"/>
      <c r="Y200" s="21">
        <v>0.85678100000000001</v>
      </c>
      <c r="Z200" s="21">
        <v>11.084899999999999</v>
      </c>
      <c r="AA200" s="21">
        <v>-1.40045E-2</v>
      </c>
      <c r="AB200" s="21">
        <v>190</v>
      </c>
      <c r="AC200" s="21">
        <v>0.85632299999999995</v>
      </c>
      <c r="AD200">
        <f t="shared" si="28"/>
        <v>17.289506172839506</v>
      </c>
      <c r="AE200">
        <f t="shared" si="29"/>
        <v>14.813320388271604</v>
      </c>
      <c r="AF200" s="9"/>
      <c r="AG200" s="21">
        <v>0.85678100000000001</v>
      </c>
      <c r="AH200" s="21">
        <v>20.3841</v>
      </c>
      <c r="AI200" s="21">
        <v>-1.39404E-2</v>
      </c>
      <c r="AJ200" s="21">
        <v>190</v>
      </c>
      <c r="AK200" s="21">
        <v>0.85571299999999995</v>
      </c>
      <c r="AL200">
        <f t="shared" si="30"/>
        <v>17.21037037037037</v>
      </c>
      <c r="AM200">
        <f t="shared" si="31"/>
        <v>14.745518336296296</v>
      </c>
      <c r="AP200" s="9"/>
      <c r="AQ200" s="21">
        <v>0.83328199999999997</v>
      </c>
      <c r="AR200" s="21">
        <v>25.863299999999999</v>
      </c>
      <c r="AS200" s="21">
        <v>-1.39709E-2</v>
      </c>
      <c r="AT200" s="21">
        <v>190</v>
      </c>
      <c r="AU200" s="21">
        <v>0.83252000000000004</v>
      </c>
      <c r="AV200">
        <f t="shared" si="32"/>
        <v>17.248024691358022</v>
      </c>
      <c r="AW200">
        <f t="shared" si="33"/>
        <v>14.372468510864195</v>
      </c>
      <c r="AX200" s="9"/>
      <c r="AY200" s="21">
        <v>0.85678100000000001</v>
      </c>
      <c r="AZ200" s="21">
        <v>29.662299999999998</v>
      </c>
      <c r="BA200" s="21">
        <v>-1.39252E-2</v>
      </c>
      <c r="BB200" s="21">
        <v>190</v>
      </c>
      <c r="BC200" s="21">
        <v>0.85601799999999995</v>
      </c>
      <c r="BD200">
        <f t="shared" si="34"/>
        <v>17.191604938271606</v>
      </c>
      <c r="BE200">
        <f t="shared" si="35"/>
        <v>14.729440470617286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0.82824699999999996</v>
      </c>
      <c r="H201" s="21">
        <v>7.29589</v>
      </c>
      <c r="I201" s="21">
        <v>-1.4047199999999999E-2</v>
      </c>
      <c r="J201" s="21">
        <v>191</v>
      </c>
      <c r="K201" s="21">
        <v>0.82733199999999996</v>
      </c>
      <c r="L201">
        <f t="shared" si="24"/>
        <v>17.342222222222222</v>
      </c>
      <c r="M201">
        <f t="shared" si="25"/>
        <v>14.363643528888888</v>
      </c>
      <c r="N201" s="9"/>
      <c r="O201" s="21">
        <v>0.86181600000000003</v>
      </c>
      <c r="P201" s="21">
        <v>11.094900000000001</v>
      </c>
      <c r="Q201" s="21">
        <v>-1.40076E-2</v>
      </c>
      <c r="R201" s="21">
        <v>191</v>
      </c>
      <c r="S201" s="21">
        <v>0.86090100000000003</v>
      </c>
      <c r="T201">
        <f t="shared" si="26"/>
        <v>17.293333333333333</v>
      </c>
      <c r="U201">
        <f t="shared" si="27"/>
        <v>14.903671360000001</v>
      </c>
      <c r="X201" s="9"/>
      <c r="Y201" s="21">
        <v>0.86181600000000003</v>
      </c>
      <c r="Z201" s="21">
        <v>11.094900000000001</v>
      </c>
      <c r="AA201" s="21">
        <v>-1.40076E-2</v>
      </c>
      <c r="AB201" s="21">
        <v>191</v>
      </c>
      <c r="AC201" s="21">
        <v>0.86090100000000003</v>
      </c>
      <c r="AD201">
        <f t="shared" si="28"/>
        <v>17.293333333333333</v>
      </c>
      <c r="AE201">
        <f t="shared" si="29"/>
        <v>14.903671360000001</v>
      </c>
      <c r="AF201" s="9"/>
      <c r="AG201" s="21">
        <v>0.86181600000000003</v>
      </c>
      <c r="AH201" s="21">
        <v>20.394200000000001</v>
      </c>
      <c r="AI201" s="21">
        <v>-1.39252E-2</v>
      </c>
      <c r="AJ201" s="21">
        <v>191</v>
      </c>
      <c r="AK201" s="21">
        <v>0.86120600000000003</v>
      </c>
      <c r="AL201">
        <f t="shared" si="30"/>
        <v>17.191604938271606</v>
      </c>
      <c r="AM201">
        <f t="shared" si="31"/>
        <v>14.816000201481483</v>
      </c>
      <c r="AP201" s="9"/>
      <c r="AQ201" s="21">
        <v>0.82824699999999996</v>
      </c>
      <c r="AR201" s="21">
        <v>25.8733</v>
      </c>
      <c r="AS201" s="21">
        <v>-1.3980100000000001E-2</v>
      </c>
      <c r="AT201" s="21">
        <v>191</v>
      </c>
      <c r="AU201" s="21">
        <v>0.82794199999999996</v>
      </c>
      <c r="AV201">
        <f t="shared" si="32"/>
        <v>17.259382716049384</v>
      </c>
      <c r="AW201">
        <f t="shared" si="33"/>
        <v>14.295031956419754</v>
      </c>
      <c r="AX201" s="9"/>
      <c r="AY201" s="21">
        <v>0.86181600000000003</v>
      </c>
      <c r="AZ201" s="21">
        <v>29.6724</v>
      </c>
      <c r="BA201" s="21">
        <v>-1.39221E-2</v>
      </c>
      <c r="BB201" s="21">
        <v>191</v>
      </c>
      <c r="BC201" s="21">
        <v>0.86120600000000003</v>
      </c>
      <c r="BD201">
        <f t="shared" si="34"/>
        <v>17.187777777777779</v>
      </c>
      <c r="BE201">
        <f t="shared" si="35"/>
        <v>14.812701893333335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0.82321200000000005</v>
      </c>
      <c r="H202" s="21">
        <v>7.3059599999999998</v>
      </c>
      <c r="I202" s="21">
        <v>-1.4041100000000001E-2</v>
      </c>
      <c r="J202" s="21">
        <v>192</v>
      </c>
      <c r="K202" s="21">
        <v>0.82244899999999999</v>
      </c>
      <c r="L202">
        <f t="shared" si="24"/>
        <v>17.334691358024692</v>
      </c>
      <c r="M202">
        <f t="shared" si="25"/>
        <v>14.270125942222224</v>
      </c>
      <c r="N202" s="9"/>
      <c r="O202" s="21">
        <v>0.86685199999999996</v>
      </c>
      <c r="P202" s="21">
        <v>11.105</v>
      </c>
      <c r="Q202" s="21">
        <v>-1.40137E-2</v>
      </c>
      <c r="R202" s="21">
        <v>192</v>
      </c>
      <c r="S202" s="21">
        <v>0.865479</v>
      </c>
      <c r="T202">
        <f t="shared" si="26"/>
        <v>17.300864197530863</v>
      </c>
      <c r="U202">
        <f t="shared" si="27"/>
        <v>14.997288731358024</v>
      </c>
      <c r="X202" s="9"/>
      <c r="Y202" s="21">
        <v>0.86685199999999996</v>
      </c>
      <c r="Z202" s="21">
        <v>11.105</v>
      </c>
      <c r="AA202" s="21">
        <v>-1.40137E-2</v>
      </c>
      <c r="AB202" s="21">
        <v>192</v>
      </c>
      <c r="AC202" s="21">
        <v>0.865479</v>
      </c>
      <c r="AD202">
        <f t="shared" si="28"/>
        <v>17.300864197530863</v>
      </c>
      <c r="AE202">
        <f t="shared" si="29"/>
        <v>14.997288731358024</v>
      </c>
      <c r="AF202" s="9"/>
      <c r="AG202" s="21">
        <v>0.86685199999999996</v>
      </c>
      <c r="AH202" s="21">
        <v>20.404199999999999</v>
      </c>
      <c r="AI202" s="21">
        <v>-1.3916E-2</v>
      </c>
      <c r="AJ202" s="21">
        <v>192</v>
      </c>
      <c r="AK202" s="21">
        <v>0.86517299999999997</v>
      </c>
      <c r="AL202">
        <f t="shared" si="30"/>
        <v>17.180246913580245</v>
      </c>
      <c r="AM202">
        <f t="shared" si="31"/>
        <v>14.892731397530861</v>
      </c>
      <c r="AP202" s="9"/>
      <c r="AQ202" s="21">
        <v>0.82321200000000005</v>
      </c>
      <c r="AR202" s="21">
        <v>25.883400000000002</v>
      </c>
      <c r="AS202" s="21">
        <v>-1.39893E-2</v>
      </c>
      <c r="AT202" s="21">
        <v>192</v>
      </c>
      <c r="AU202" s="21">
        <v>0.82214399999999999</v>
      </c>
      <c r="AV202">
        <f t="shared" si="32"/>
        <v>17.270740740740738</v>
      </c>
      <c r="AW202">
        <f t="shared" si="33"/>
        <v>14.217481026666665</v>
      </c>
      <c r="AX202" s="9"/>
      <c r="AY202" s="21">
        <v>0.86685199999999996</v>
      </c>
      <c r="AZ202" s="21">
        <v>29.682500000000001</v>
      </c>
      <c r="BA202" s="21">
        <v>-1.3931300000000001E-2</v>
      </c>
      <c r="BB202" s="21">
        <v>192</v>
      </c>
      <c r="BC202" s="21">
        <v>0.866089</v>
      </c>
      <c r="BD202">
        <f t="shared" si="34"/>
        <v>17.199135802469137</v>
      </c>
      <c r="BE202">
        <f t="shared" si="35"/>
        <v>14.909105268641975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0.81817600000000001</v>
      </c>
      <c r="H203" s="21">
        <v>7.3160299999999996</v>
      </c>
      <c r="I203" s="21">
        <v>-1.4041100000000001E-2</v>
      </c>
      <c r="J203" s="21">
        <v>193</v>
      </c>
      <c r="K203" s="21">
        <v>0.81787100000000001</v>
      </c>
      <c r="L203">
        <f t="shared" si="24"/>
        <v>17.334691358024692</v>
      </c>
      <c r="M203">
        <f t="shared" si="25"/>
        <v>14.182828436543211</v>
      </c>
      <c r="N203" s="9"/>
      <c r="O203" s="21">
        <v>0.87188699999999997</v>
      </c>
      <c r="P203" s="21">
        <v>11.1151</v>
      </c>
      <c r="Q203" s="21">
        <v>-1.40137E-2</v>
      </c>
      <c r="R203" s="21">
        <v>193</v>
      </c>
      <c r="S203" s="21">
        <v>0.87097199999999997</v>
      </c>
      <c r="T203">
        <f t="shared" si="26"/>
        <v>17.300864197530863</v>
      </c>
      <c r="U203">
        <f t="shared" si="27"/>
        <v>15.084398582592591</v>
      </c>
      <c r="X203" s="9"/>
      <c r="Y203" s="21">
        <v>0.87188699999999997</v>
      </c>
      <c r="Z203" s="21">
        <v>11.1151</v>
      </c>
      <c r="AA203" s="21">
        <v>-1.40137E-2</v>
      </c>
      <c r="AB203" s="21">
        <v>193</v>
      </c>
      <c r="AC203" s="21">
        <v>0.87097199999999997</v>
      </c>
      <c r="AD203">
        <f t="shared" si="28"/>
        <v>17.300864197530863</v>
      </c>
      <c r="AE203">
        <f t="shared" si="29"/>
        <v>15.084398582592591</v>
      </c>
      <c r="AF203" s="9"/>
      <c r="AG203" s="21">
        <v>0.87188699999999997</v>
      </c>
      <c r="AH203" s="21">
        <v>20.414300000000001</v>
      </c>
      <c r="AI203" s="21">
        <v>-1.39008E-2</v>
      </c>
      <c r="AJ203" s="21">
        <v>193</v>
      </c>
      <c r="AK203" s="21">
        <v>0.87066699999999997</v>
      </c>
      <c r="AL203">
        <f t="shared" si="30"/>
        <v>17.161481481481481</v>
      </c>
      <c r="AM203">
        <f t="shared" si="31"/>
        <v>14.962872604444444</v>
      </c>
      <c r="AP203" s="9"/>
      <c r="AQ203" s="21">
        <v>0.81817600000000001</v>
      </c>
      <c r="AR203" s="21">
        <v>25.8935</v>
      </c>
      <c r="AS203" s="21">
        <v>-1.40045E-2</v>
      </c>
      <c r="AT203" s="21">
        <v>193</v>
      </c>
      <c r="AU203" s="21">
        <v>0.81726100000000002</v>
      </c>
      <c r="AV203">
        <f t="shared" si="32"/>
        <v>17.289506172839506</v>
      </c>
      <c r="AW203">
        <f t="shared" si="33"/>
        <v>14.145859002469136</v>
      </c>
      <c r="AX203" s="9"/>
      <c r="AY203" s="21">
        <v>0.87188699999999997</v>
      </c>
      <c r="AZ203" s="21">
        <v>29.692499999999999</v>
      </c>
      <c r="BA203" s="21">
        <v>-1.39343E-2</v>
      </c>
      <c r="BB203" s="21">
        <v>193</v>
      </c>
      <c r="BC203" s="21">
        <v>0.87036100000000005</v>
      </c>
      <c r="BD203">
        <f t="shared" si="34"/>
        <v>17.202839506172836</v>
      </c>
      <c r="BE203">
        <f t="shared" si="35"/>
        <v>14.998932128518515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0.813141</v>
      </c>
      <c r="H204" s="21">
        <v>7.3261000000000003</v>
      </c>
      <c r="I204" s="21">
        <v>-1.4047199999999999E-2</v>
      </c>
      <c r="J204" s="21">
        <v>194</v>
      </c>
      <c r="K204" s="21">
        <v>0.81268300000000004</v>
      </c>
      <c r="L204">
        <f t="shared" ref="L204:L267" si="36">-I204/$F$2*1000</f>
        <v>17.342222222222222</v>
      </c>
      <c r="M204">
        <f t="shared" ref="M204:M267" si="37">L204*G204</f>
        <v>14.101671919999999</v>
      </c>
      <c r="N204" s="9"/>
      <c r="O204" s="21">
        <v>0.87692300000000001</v>
      </c>
      <c r="P204" s="21">
        <v>11.1251</v>
      </c>
      <c r="Q204" s="21">
        <v>-1.40106E-2</v>
      </c>
      <c r="R204" s="21">
        <v>194</v>
      </c>
      <c r="S204" s="21">
        <v>0.87585400000000002</v>
      </c>
      <c r="T204">
        <f t="shared" ref="T204:T267" si="38">-Q204/$F$2*1000</f>
        <v>17.297037037037036</v>
      </c>
      <c r="U204">
        <f t="shared" ref="U204:U267" si="39">T204*O204</f>
        <v>15.168169609629629</v>
      </c>
      <c r="X204" s="9"/>
      <c r="Y204" s="21">
        <v>0.87692300000000001</v>
      </c>
      <c r="Z204" s="21">
        <v>11.1251</v>
      </c>
      <c r="AA204" s="21">
        <v>-1.40106E-2</v>
      </c>
      <c r="AB204" s="21">
        <v>194</v>
      </c>
      <c r="AC204" s="21">
        <v>0.87585400000000002</v>
      </c>
      <c r="AD204">
        <f t="shared" ref="AD204:AD267" si="40">-AA204/$F$2*1000</f>
        <v>17.297037037037036</v>
      </c>
      <c r="AE204">
        <f t="shared" ref="AE204:AE267" si="41">AD204*Y204</f>
        <v>15.168169609629629</v>
      </c>
      <c r="AF204" s="9"/>
      <c r="AG204" s="21">
        <v>0.87692300000000001</v>
      </c>
      <c r="AH204" s="21">
        <v>20.424399999999999</v>
      </c>
      <c r="AI204" s="21">
        <v>-1.38855E-2</v>
      </c>
      <c r="AJ204" s="21">
        <v>194</v>
      </c>
      <c r="AK204" s="21">
        <v>0.87646500000000005</v>
      </c>
      <c r="AL204">
        <f t="shared" ref="AL204:AL267" si="42">-AI204/$F$2*1000</f>
        <v>17.142592592592592</v>
      </c>
      <c r="AM204">
        <f t="shared" ref="AM204:AM267" si="43">AL204*AG204</f>
        <v>15.032733724074074</v>
      </c>
      <c r="AP204" s="9"/>
      <c r="AQ204" s="21">
        <v>0.813141</v>
      </c>
      <c r="AR204" s="21">
        <v>25.903500000000001</v>
      </c>
      <c r="AS204" s="21">
        <v>-1.3998399999999999E-2</v>
      </c>
      <c r="AT204" s="21">
        <v>194</v>
      </c>
      <c r="AU204" s="21">
        <v>0.81207300000000004</v>
      </c>
      <c r="AV204">
        <f t="shared" ref="AV204:AV267" si="44">-AS204/$F$2*1000</f>
        <v>17.281975308641975</v>
      </c>
      <c r="AW204">
        <f t="shared" ref="AW204:AW267" si="45">AV204*AQ204</f>
        <v>14.052682684444445</v>
      </c>
      <c r="AX204" s="9"/>
      <c r="AY204" s="21">
        <v>0.87692300000000001</v>
      </c>
      <c r="AZ204" s="21">
        <v>29.7026</v>
      </c>
      <c r="BA204" s="21">
        <v>-1.39404E-2</v>
      </c>
      <c r="BB204" s="21">
        <v>194</v>
      </c>
      <c r="BC204" s="21">
        <v>0.87616000000000005</v>
      </c>
      <c r="BD204">
        <f t="shared" ref="BD204:BD267" si="46">-BA204/$F$2*1000</f>
        <v>17.21037037037037</v>
      </c>
      <c r="BE204">
        <f t="shared" ref="BE204:BE267" si="47">BD204*AY204</f>
        <v>15.092169616296296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0.80810499999999996</v>
      </c>
      <c r="H205" s="21">
        <v>7.3361700000000001</v>
      </c>
      <c r="I205" s="21">
        <v>-1.40503E-2</v>
      </c>
      <c r="J205" s="21">
        <v>195</v>
      </c>
      <c r="K205" s="21">
        <v>0.80718999999999996</v>
      </c>
      <c r="L205">
        <f t="shared" si="36"/>
        <v>17.34604938271605</v>
      </c>
      <c r="M205">
        <f t="shared" si="37"/>
        <v>14.017429236419753</v>
      </c>
      <c r="N205" s="9"/>
      <c r="O205" s="21">
        <v>0.88195800000000002</v>
      </c>
      <c r="P205" s="21">
        <v>11.135199999999999</v>
      </c>
      <c r="Q205" s="21">
        <v>-1.40137E-2</v>
      </c>
      <c r="R205" s="21">
        <v>195</v>
      </c>
      <c r="S205" s="21">
        <v>0.88104199999999999</v>
      </c>
      <c r="T205">
        <f t="shared" si="38"/>
        <v>17.300864197530863</v>
      </c>
      <c r="U205">
        <f t="shared" si="39"/>
        <v>15.258635585925926</v>
      </c>
      <c r="X205" s="9"/>
      <c r="Y205" s="21">
        <v>0.88195800000000002</v>
      </c>
      <c r="Z205" s="21">
        <v>11.135199999999999</v>
      </c>
      <c r="AA205" s="21">
        <v>-1.40137E-2</v>
      </c>
      <c r="AB205" s="21">
        <v>195</v>
      </c>
      <c r="AC205" s="21">
        <v>0.88104199999999999</v>
      </c>
      <c r="AD205">
        <f t="shared" si="40"/>
        <v>17.300864197530863</v>
      </c>
      <c r="AE205">
        <f t="shared" si="41"/>
        <v>15.258635585925926</v>
      </c>
      <c r="AF205" s="9"/>
      <c r="AG205" s="21">
        <v>0.88195800000000002</v>
      </c>
      <c r="AH205" s="21">
        <v>20.4344</v>
      </c>
      <c r="AI205" s="21">
        <v>-1.38855E-2</v>
      </c>
      <c r="AJ205" s="21">
        <v>195</v>
      </c>
      <c r="AK205" s="21">
        <v>0.88134800000000002</v>
      </c>
      <c r="AL205">
        <f t="shared" si="42"/>
        <v>17.142592592592592</v>
      </c>
      <c r="AM205">
        <f t="shared" si="43"/>
        <v>15.119046677777778</v>
      </c>
      <c r="AP205" s="9"/>
      <c r="AQ205" s="21">
        <v>0.80810499999999996</v>
      </c>
      <c r="AR205" s="21">
        <v>25.913599999999999</v>
      </c>
      <c r="AS205" s="21">
        <v>-1.3983199999999999E-2</v>
      </c>
      <c r="AT205" s="21">
        <v>195</v>
      </c>
      <c r="AU205" s="21">
        <v>0.80749499999999996</v>
      </c>
      <c r="AV205">
        <f t="shared" si="44"/>
        <v>17.263209876543208</v>
      </c>
      <c r="AW205">
        <f t="shared" si="45"/>
        <v>13.950486217283949</v>
      </c>
      <c r="AX205" s="9"/>
      <c r="AY205" s="21">
        <v>0.88195800000000002</v>
      </c>
      <c r="AZ205" s="21">
        <v>29.712700000000002</v>
      </c>
      <c r="BA205" s="21">
        <v>-1.3958699999999999E-2</v>
      </c>
      <c r="BB205" s="21">
        <v>195</v>
      </c>
      <c r="BC205" s="21">
        <v>0.88104199999999999</v>
      </c>
      <c r="BD205">
        <f t="shared" si="46"/>
        <v>17.232962962962961</v>
      </c>
      <c r="BE205">
        <f t="shared" si="47"/>
        <v>15.198749548888888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0.80306999999999995</v>
      </c>
      <c r="H206" s="21">
        <v>7.3462399999999999</v>
      </c>
      <c r="I206" s="21">
        <v>-1.40503E-2</v>
      </c>
      <c r="J206" s="21">
        <v>196</v>
      </c>
      <c r="K206" s="21">
        <v>0.80261199999999999</v>
      </c>
      <c r="L206">
        <f t="shared" si="36"/>
        <v>17.34604938271605</v>
      </c>
      <c r="M206">
        <f t="shared" si="37"/>
        <v>13.930091877777777</v>
      </c>
      <c r="N206" s="9"/>
      <c r="O206" s="21">
        <v>0.88699300000000003</v>
      </c>
      <c r="P206" s="21">
        <v>11.145300000000001</v>
      </c>
      <c r="Q206" s="21">
        <v>-1.40137E-2</v>
      </c>
      <c r="R206" s="21">
        <v>196</v>
      </c>
      <c r="S206" s="21">
        <v>0.88653599999999999</v>
      </c>
      <c r="T206">
        <f t="shared" si="38"/>
        <v>17.300864197530863</v>
      </c>
      <c r="U206">
        <f t="shared" si="39"/>
        <v>15.345745437160494</v>
      </c>
      <c r="X206" s="9"/>
      <c r="Y206" s="21">
        <v>0.88699300000000003</v>
      </c>
      <c r="Z206" s="21">
        <v>11.145300000000001</v>
      </c>
      <c r="AA206" s="21">
        <v>-1.40137E-2</v>
      </c>
      <c r="AB206" s="21">
        <v>196</v>
      </c>
      <c r="AC206" s="21">
        <v>0.88653599999999999</v>
      </c>
      <c r="AD206">
        <f t="shared" si="40"/>
        <v>17.300864197530863</v>
      </c>
      <c r="AE206">
        <f t="shared" si="41"/>
        <v>15.345745437160494</v>
      </c>
      <c r="AF206" s="9"/>
      <c r="AG206" s="21">
        <v>0.88699300000000003</v>
      </c>
      <c r="AH206" s="21">
        <v>20.444500000000001</v>
      </c>
      <c r="AI206" s="21">
        <v>-1.38794E-2</v>
      </c>
      <c r="AJ206" s="21">
        <v>196</v>
      </c>
      <c r="AK206" s="21">
        <v>0.88592499999999996</v>
      </c>
      <c r="AL206">
        <f t="shared" si="42"/>
        <v>17.135061728395058</v>
      </c>
      <c r="AM206">
        <f t="shared" si="43"/>
        <v>15.198679807654319</v>
      </c>
      <c r="AP206" s="9"/>
      <c r="AQ206" s="21">
        <v>0.80306999999999995</v>
      </c>
      <c r="AR206" s="21">
        <v>25.9237</v>
      </c>
      <c r="AS206" s="21">
        <v>-1.3983199999999999E-2</v>
      </c>
      <c r="AT206" s="21">
        <v>196</v>
      </c>
      <c r="AU206" s="21">
        <v>0.80200199999999999</v>
      </c>
      <c r="AV206">
        <f t="shared" si="44"/>
        <v>17.263209876543208</v>
      </c>
      <c r="AW206">
        <f t="shared" si="45"/>
        <v>13.863565955555552</v>
      </c>
      <c r="AX206" s="9"/>
      <c r="AY206" s="21">
        <v>0.88699300000000003</v>
      </c>
      <c r="AZ206" s="21">
        <v>29.7227</v>
      </c>
      <c r="BA206" s="21">
        <v>-1.39618E-2</v>
      </c>
      <c r="BB206" s="21">
        <v>196</v>
      </c>
      <c r="BC206" s="21">
        <v>0.88531499999999996</v>
      </c>
      <c r="BD206">
        <f t="shared" si="46"/>
        <v>17.236790123456789</v>
      </c>
      <c r="BE206">
        <f t="shared" si="47"/>
        <v>15.288912181975308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0.79803500000000005</v>
      </c>
      <c r="H207" s="21">
        <v>7.3563099999999997</v>
      </c>
      <c r="I207" s="21">
        <v>-1.40564E-2</v>
      </c>
      <c r="J207" s="21">
        <v>197</v>
      </c>
      <c r="K207" s="21">
        <v>0.79681400000000002</v>
      </c>
      <c r="L207">
        <f t="shared" si="36"/>
        <v>17.35358024691358</v>
      </c>
      <c r="M207">
        <f t="shared" si="37"/>
        <v>13.84876441234568</v>
      </c>
      <c r="N207" s="9"/>
      <c r="O207" s="21">
        <v>0.89202899999999996</v>
      </c>
      <c r="P207" s="21">
        <v>11.1554</v>
      </c>
      <c r="Q207" s="21">
        <v>-1.40167E-2</v>
      </c>
      <c r="R207" s="21">
        <v>197</v>
      </c>
      <c r="S207" s="21">
        <v>0.89141800000000004</v>
      </c>
      <c r="T207">
        <f t="shared" si="38"/>
        <v>17.304567901234567</v>
      </c>
      <c r="U207">
        <f t="shared" si="39"/>
        <v>15.436176400370368</v>
      </c>
      <c r="X207" s="9"/>
      <c r="Y207" s="21">
        <v>0.89202899999999996</v>
      </c>
      <c r="Z207" s="21">
        <v>11.1554</v>
      </c>
      <c r="AA207" s="21">
        <v>-1.40167E-2</v>
      </c>
      <c r="AB207" s="21">
        <v>197</v>
      </c>
      <c r="AC207" s="21">
        <v>0.89141800000000004</v>
      </c>
      <c r="AD207">
        <f t="shared" si="40"/>
        <v>17.304567901234567</v>
      </c>
      <c r="AE207">
        <f t="shared" si="41"/>
        <v>15.436176400370368</v>
      </c>
      <c r="AF207" s="9"/>
      <c r="AG207" s="21">
        <v>0.89202899999999996</v>
      </c>
      <c r="AH207" s="21">
        <v>20.454599999999999</v>
      </c>
      <c r="AI207" s="21">
        <v>-1.3870199999999999E-2</v>
      </c>
      <c r="AJ207" s="21">
        <v>197</v>
      </c>
      <c r="AK207" s="21">
        <v>0.89141800000000004</v>
      </c>
      <c r="AL207">
        <f t="shared" si="42"/>
        <v>17.123703703703701</v>
      </c>
      <c r="AM207">
        <f t="shared" si="43"/>
        <v>15.274840291111108</v>
      </c>
      <c r="AP207" s="9"/>
      <c r="AQ207" s="21">
        <v>0.79803500000000005</v>
      </c>
      <c r="AR207" s="21">
        <v>25.933800000000002</v>
      </c>
      <c r="AS207" s="21">
        <v>-1.3980100000000001E-2</v>
      </c>
      <c r="AT207" s="21">
        <v>197</v>
      </c>
      <c r="AU207" s="21">
        <v>0.79711900000000002</v>
      </c>
      <c r="AV207">
        <f t="shared" si="44"/>
        <v>17.259382716049384</v>
      </c>
      <c r="AW207">
        <f t="shared" si="45"/>
        <v>13.773591485802472</v>
      </c>
      <c r="AX207" s="9"/>
      <c r="AY207" s="21">
        <v>0.89202899999999996</v>
      </c>
      <c r="AZ207" s="21">
        <v>29.732800000000001</v>
      </c>
      <c r="BA207" s="21">
        <v>-1.39679E-2</v>
      </c>
      <c r="BB207" s="21">
        <v>197</v>
      </c>
      <c r="BC207" s="21">
        <v>0.89172399999999996</v>
      </c>
      <c r="BD207">
        <f t="shared" si="46"/>
        <v>17.244320987654319</v>
      </c>
      <c r="BE207">
        <f t="shared" si="47"/>
        <v>15.382434406296294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0.79299900000000001</v>
      </c>
      <c r="H208" s="21">
        <v>7.3663800000000004</v>
      </c>
      <c r="I208" s="21">
        <v>-1.4065599999999999E-2</v>
      </c>
      <c r="J208" s="21">
        <v>198</v>
      </c>
      <c r="K208" s="21">
        <v>0.79193100000000005</v>
      </c>
      <c r="L208">
        <f t="shared" si="36"/>
        <v>17.364938271604938</v>
      </c>
      <c r="M208">
        <f t="shared" si="37"/>
        <v>13.770378684444445</v>
      </c>
      <c r="N208" s="9"/>
      <c r="O208" s="21">
        <v>0.89706399999999997</v>
      </c>
      <c r="P208" s="21">
        <v>11.1654</v>
      </c>
      <c r="Q208" s="21">
        <v>-1.40137E-2</v>
      </c>
      <c r="R208" s="21">
        <v>198</v>
      </c>
      <c r="S208" s="21">
        <v>0.89599600000000001</v>
      </c>
      <c r="T208">
        <f t="shared" si="38"/>
        <v>17.300864197530863</v>
      </c>
      <c r="U208">
        <f t="shared" si="39"/>
        <v>15.519982440493827</v>
      </c>
      <c r="X208" s="9"/>
      <c r="Y208" s="21">
        <v>0.89706399999999997</v>
      </c>
      <c r="Z208" s="21">
        <v>11.1654</v>
      </c>
      <c r="AA208" s="21">
        <v>-1.40137E-2</v>
      </c>
      <c r="AB208" s="21">
        <v>198</v>
      </c>
      <c r="AC208" s="21">
        <v>0.89599600000000001</v>
      </c>
      <c r="AD208">
        <f t="shared" si="40"/>
        <v>17.300864197530863</v>
      </c>
      <c r="AE208">
        <f t="shared" si="41"/>
        <v>15.519982440493827</v>
      </c>
      <c r="AF208" s="9"/>
      <c r="AG208" s="21">
        <v>0.89706399999999997</v>
      </c>
      <c r="AH208" s="21">
        <v>20.464600000000001</v>
      </c>
      <c r="AI208" s="21">
        <v>-1.38733E-2</v>
      </c>
      <c r="AJ208" s="21">
        <v>198</v>
      </c>
      <c r="AK208" s="21">
        <v>0.89569100000000001</v>
      </c>
      <c r="AL208">
        <f t="shared" si="42"/>
        <v>17.127530864197528</v>
      </c>
      <c r="AM208">
        <f t="shared" si="43"/>
        <v>15.364491347160492</v>
      </c>
      <c r="AP208" s="9"/>
      <c r="AQ208" s="21">
        <v>0.79299900000000001</v>
      </c>
      <c r="AR208" s="21">
        <v>25.9438</v>
      </c>
      <c r="AS208" s="21">
        <v>-1.3977099999999999E-2</v>
      </c>
      <c r="AT208" s="21">
        <v>198</v>
      </c>
      <c r="AU208" s="21">
        <v>0.79223600000000005</v>
      </c>
      <c r="AV208">
        <f t="shared" si="44"/>
        <v>17.255679012345677</v>
      </c>
      <c r="AW208">
        <f t="shared" si="45"/>
        <v>13.68373620111111</v>
      </c>
      <c r="AX208" s="9"/>
      <c r="AY208" s="21">
        <v>0.89706399999999997</v>
      </c>
      <c r="AZ208" s="21">
        <v>29.742899999999999</v>
      </c>
      <c r="BA208" s="21">
        <v>-1.3974E-2</v>
      </c>
      <c r="BB208" s="21">
        <v>198</v>
      </c>
      <c r="BC208" s="21">
        <v>0.89630100000000001</v>
      </c>
      <c r="BD208">
        <f t="shared" si="46"/>
        <v>17.251851851851853</v>
      </c>
      <c r="BE208">
        <f t="shared" si="47"/>
        <v>15.476015229629631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0.787964</v>
      </c>
      <c r="H209" s="21">
        <v>7.3764599999999998</v>
      </c>
      <c r="I209" s="21">
        <v>-1.4065599999999999E-2</v>
      </c>
      <c r="J209" s="21">
        <v>199</v>
      </c>
      <c r="K209" s="21">
        <v>0.78704799999999997</v>
      </c>
      <c r="L209">
        <f t="shared" si="36"/>
        <v>17.364938271604938</v>
      </c>
      <c r="M209">
        <f t="shared" si="37"/>
        <v>13.682946220246913</v>
      </c>
      <c r="N209" s="9"/>
      <c r="O209" s="21">
        <v>0.90210000000000001</v>
      </c>
      <c r="P209" s="21">
        <v>11.1755</v>
      </c>
      <c r="Q209" s="21">
        <v>-1.4019800000000001E-2</v>
      </c>
      <c r="R209" s="21">
        <v>199</v>
      </c>
      <c r="S209" s="21">
        <v>0.90148899999999998</v>
      </c>
      <c r="T209">
        <f t="shared" si="38"/>
        <v>17.308395061728394</v>
      </c>
      <c r="U209">
        <f t="shared" si="39"/>
        <v>15.613903185185185</v>
      </c>
      <c r="X209" s="9"/>
      <c r="Y209" s="21">
        <v>0.90210000000000001</v>
      </c>
      <c r="Z209" s="21">
        <v>11.1755</v>
      </c>
      <c r="AA209" s="21">
        <v>-1.4019800000000001E-2</v>
      </c>
      <c r="AB209" s="21">
        <v>199</v>
      </c>
      <c r="AC209" s="21">
        <v>0.90148899999999998</v>
      </c>
      <c r="AD209">
        <f t="shared" si="40"/>
        <v>17.308395061728394</v>
      </c>
      <c r="AE209">
        <f t="shared" si="41"/>
        <v>15.613903185185185</v>
      </c>
      <c r="AF209" s="9"/>
      <c r="AG209" s="21">
        <v>0.90210000000000001</v>
      </c>
      <c r="AH209" s="21">
        <v>20.474699999999999</v>
      </c>
      <c r="AI209" s="21">
        <v>-1.3870199999999999E-2</v>
      </c>
      <c r="AJ209" s="21">
        <v>199</v>
      </c>
      <c r="AK209" s="21">
        <v>0.90118399999999999</v>
      </c>
      <c r="AL209">
        <f t="shared" si="42"/>
        <v>17.123703703703701</v>
      </c>
      <c r="AM209">
        <f t="shared" si="43"/>
        <v>15.447293111111108</v>
      </c>
      <c r="AP209" s="9"/>
      <c r="AQ209" s="21">
        <v>0.787964</v>
      </c>
      <c r="AR209" s="21">
        <v>25.953900000000001</v>
      </c>
      <c r="AS209" s="21">
        <v>-1.3977099999999999E-2</v>
      </c>
      <c r="AT209" s="21">
        <v>199</v>
      </c>
      <c r="AU209" s="21">
        <v>0.78704799999999997</v>
      </c>
      <c r="AV209">
        <f t="shared" si="44"/>
        <v>17.255679012345677</v>
      </c>
      <c r="AW209">
        <f t="shared" si="45"/>
        <v>13.59685385728395</v>
      </c>
      <c r="AX209" s="9"/>
      <c r="AY209" s="21">
        <v>0.90210000000000001</v>
      </c>
      <c r="AZ209" s="21">
        <v>29.7529</v>
      </c>
      <c r="BA209" s="21">
        <v>-1.3974E-2</v>
      </c>
      <c r="BB209" s="21">
        <v>199</v>
      </c>
      <c r="BC209" s="21">
        <v>0.90087899999999999</v>
      </c>
      <c r="BD209">
        <f t="shared" si="46"/>
        <v>17.251851851851853</v>
      </c>
      <c r="BE209">
        <f t="shared" si="47"/>
        <v>15.562895555555556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0.78292799999999996</v>
      </c>
      <c r="H210" s="21">
        <v>7.3865299999999996</v>
      </c>
      <c r="I210" s="21">
        <v>-1.40625E-2</v>
      </c>
      <c r="J210" s="21">
        <v>200</v>
      </c>
      <c r="K210" s="21">
        <v>0.78186</v>
      </c>
      <c r="L210">
        <f t="shared" si="36"/>
        <v>17.361111111111111</v>
      </c>
      <c r="M210">
        <f t="shared" si="37"/>
        <v>13.592499999999999</v>
      </c>
      <c r="N210" s="9"/>
      <c r="O210" s="21">
        <v>0.90713500000000002</v>
      </c>
      <c r="P210" s="21">
        <v>11.185600000000001</v>
      </c>
      <c r="Q210" s="21">
        <v>-1.40167E-2</v>
      </c>
      <c r="R210" s="21">
        <v>200</v>
      </c>
      <c r="S210" s="21">
        <v>0.90637199999999996</v>
      </c>
      <c r="T210">
        <f t="shared" si="38"/>
        <v>17.304567901234567</v>
      </c>
      <c r="U210">
        <f t="shared" si="39"/>
        <v>15.69757920308642</v>
      </c>
      <c r="X210" s="9"/>
      <c r="Y210" s="21">
        <v>0.90713500000000002</v>
      </c>
      <c r="Z210" s="21">
        <v>11.185600000000001</v>
      </c>
      <c r="AA210" s="21">
        <v>-1.40167E-2</v>
      </c>
      <c r="AB210" s="21">
        <v>200</v>
      </c>
      <c r="AC210" s="21">
        <v>0.90637199999999996</v>
      </c>
      <c r="AD210">
        <f t="shared" si="40"/>
        <v>17.304567901234567</v>
      </c>
      <c r="AE210">
        <f t="shared" si="41"/>
        <v>15.69757920308642</v>
      </c>
      <c r="AF210" s="9"/>
      <c r="AG210" s="21">
        <v>0.90713500000000002</v>
      </c>
      <c r="AH210" s="21">
        <v>20.4848</v>
      </c>
      <c r="AI210" s="21">
        <v>-1.3864100000000001E-2</v>
      </c>
      <c r="AJ210" s="21">
        <v>200</v>
      </c>
      <c r="AK210" s="21">
        <v>0.90606699999999996</v>
      </c>
      <c r="AL210">
        <f t="shared" si="42"/>
        <v>17.11617283950617</v>
      </c>
      <c r="AM210">
        <f t="shared" si="43"/>
        <v>15.52667944876543</v>
      </c>
      <c r="AP210" s="9"/>
      <c r="AQ210" s="21">
        <v>0.78292799999999996</v>
      </c>
      <c r="AR210" s="21">
        <v>25.963999999999999</v>
      </c>
      <c r="AS210" s="21">
        <v>-1.3964799999999999E-2</v>
      </c>
      <c r="AT210" s="21">
        <v>200</v>
      </c>
      <c r="AU210" s="21">
        <v>0.78186</v>
      </c>
      <c r="AV210">
        <f t="shared" si="44"/>
        <v>17.240493827160492</v>
      </c>
      <c r="AW210">
        <f t="shared" si="45"/>
        <v>13.498065351111109</v>
      </c>
      <c r="AX210" s="9"/>
      <c r="AY210" s="21">
        <v>0.90713500000000002</v>
      </c>
      <c r="AZ210" s="21">
        <v>29.763000000000002</v>
      </c>
      <c r="BA210" s="21">
        <v>-1.39618E-2</v>
      </c>
      <c r="BB210" s="21">
        <v>200</v>
      </c>
      <c r="BC210" s="21">
        <v>0.90545699999999996</v>
      </c>
      <c r="BD210">
        <f t="shared" si="46"/>
        <v>17.236790123456789</v>
      </c>
      <c r="BE210">
        <f t="shared" si="47"/>
        <v>15.636095608641975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0.77789299999999995</v>
      </c>
      <c r="H211" s="21">
        <v>7.3966000000000003</v>
      </c>
      <c r="I211" s="21">
        <v>-1.40625E-2</v>
      </c>
      <c r="J211" s="21">
        <v>201</v>
      </c>
      <c r="K211" s="21">
        <v>0.77697799999999995</v>
      </c>
      <c r="L211">
        <f t="shared" si="36"/>
        <v>17.361111111111111</v>
      </c>
      <c r="M211">
        <f t="shared" si="37"/>
        <v>13.505086805555555</v>
      </c>
      <c r="N211" s="9"/>
      <c r="O211" s="21">
        <v>0.91217000000000004</v>
      </c>
      <c r="P211" s="21">
        <v>11.195600000000001</v>
      </c>
      <c r="Q211" s="21">
        <v>-1.4019800000000001E-2</v>
      </c>
      <c r="R211" s="21">
        <v>201</v>
      </c>
      <c r="S211" s="21">
        <v>0.91095000000000004</v>
      </c>
      <c r="T211">
        <f t="shared" si="38"/>
        <v>17.308395061728394</v>
      </c>
      <c r="U211">
        <f t="shared" si="39"/>
        <v>15.788198723456789</v>
      </c>
      <c r="X211" s="9"/>
      <c r="Y211" s="21">
        <v>0.91217000000000004</v>
      </c>
      <c r="Z211" s="21">
        <v>11.195600000000001</v>
      </c>
      <c r="AA211" s="21">
        <v>-1.4019800000000001E-2</v>
      </c>
      <c r="AB211" s="21">
        <v>201</v>
      </c>
      <c r="AC211" s="21">
        <v>0.91095000000000004</v>
      </c>
      <c r="AD211">
        <f t="shared" si="40"/>
        <v>17.308395061728394</v>
      </c>
      <c r="AE211">
        <f t="shared" si="41"/>
        <v>15.788198723456789</v>
      </c>
      <c r="AF211" s="9"/>
      <c r="AG211" s="21">
        <v>0.91217000000000004</v>
      </c>
      <c r="AH211" s="21">
        <v>20.494900000000001</v>
      </c>
      <c r="AI211" s="21">
        <v>-1.3861099999999999E-2</v>
      </c>
      <c r="AJ211" s="21">
        <v>201</v>
      </c>
      <c r="AK211" s="21">
        <v>0.91156000000000004</v>
      </c>
      <c r="AL211">
        <f t="shared" si="42"/>
        <v>17.112469135802467</v>
      </c>
      <c r="AM211">
        <f t="shared" si="43"/>
        <v>15.609480971604937</v>
      </c>
      <c r="AP211" s="9"/>
      <c r="AQ211" s="21">
        <v>0.77789299999999995</v>
      </c>
      <c r="AR211" s="21">
        <v>25.974</v>
      </c>
      <c r="AS211" s="21">
        <v>-1.39618E-2</v>
      </c>
      <c r="AT211" s="21">
        <v>201</v>
      </c>
      <c r="AU211" s="21">
        <v>0.77667200000000003</v>
      </c>
      <c r="AV211">
        <f t="shared" si="44"/>
        <v>17.236790123456789</v>
      </c>
      <c r="AW211">
        <f t="shared" si="45"/>
        <v>13.408378379506171</v>
      </c>
      <c r="AX211" s="9"/>
      <c r="AY211" s="21">
        <v>0.91217000000000004</v>
      </c>
      <c r="AZ211" s="21">
        <v>29.773099999999999</v>
      </c>
      <c r="BA211" s="21">
        <v>-1.39618E-2</v>
      </c>
      <c r="BB211" s="21">
        <v>201</v>
      </c>
      <c r="BC211" s="21">
        <v>0.91095000000000004</v>
      </c>
      <c r="BD211">
        <f t="shared" si="46"/>
        <v>17.236790123456789</v>
      </c>
      <c r="BE211">
        <f t="shared" si="47"/>
        <v>15.72288284691358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0.77285800000000004</v>
      </c>
      <c r="H212" s="21">
        <v>7.4066700000000001</v>
      </c>
      <c r="I212" s="21">
        <v>-1.40625E-2</v>
      </c>
      <c r="J212" s="21">
        <v>202</v>
      </c>
      <c r="K212" s="21">
        <v>0.77178999999999998</v>
      </c>
      <c r="L212">
        <f t="shared" si="36"/>
        <v>17.361111111111111</v>
      </c>
      <c r="M212">
        <f t="shared" si="37"/>
        <v>13.417673611111111</v>
      </c>
      <c r="N212" s="9"/>
      <c r="O212" s="21">
        <v>0.91720599999999997</v>
      </c>
      <c r="P212" s="21">
        <v>11.2057</v>
      </c>
      <c r="Q212" s="21">
        <v>-1.4019800000000001E-2</v>
      </c>
      <c r="R212" s="21">
        <v>202</v>
      </c>
      <c r="S212" s="21">
        <v>0.91552699999999998</v>
      </c>
      <c r="T212">
        <f t="shared" si="38"/>
        <v>17.308395061728394</v>
      </c>
      <c r="U212">
        <f t="shared" si="39"/>
        <v>15.875363800987653</v>
      </c>
      <c r="X212" s="9"/>
      <c r="Y212" s="21">
        <v>0.91720599999999997</v>
      </c>
      <c r="Z212" s="21">
        <v>11.2057</v>
      </c>
      <c r="AA212" s="21">
        <v>-1.4019800000000001E-2</v>
      </c>
      <c r="AB212" s="21">
        <v>202</v>
      </c>
      <c r="AC212" s="21">
        <v>0.91552699999999998</v>
      </c>
      <c r="AD212">
        <f t="shared" si="40"/>
        <v>17.308395061728394</v>
      </c>
      <c r="AE212">
        <f t="shared" si="41"/>
        <v>15.875363800987653</v>
      </c>
      <c r="AF212" s="9"/>
      <c r="AG212" s="21">
        <v>0.91720599999999997</v>
      </c>
      <c r="AH212" s="21">
        <v>20.504899999999999</v>
      </c>
      <c r="AI212" s="21">
        <v>-1.38672E-2</v>
      </c>
      <c r="AJ212" s="21">
        <v>202</v>
      </c>
      <c r="AK212" s="21">
        <v>0.91644300000000001</v>
      </c>
      <c r="AL212">
        <f t="shared" si="42"/>
        <v>17.12</v>
      </c>
      <c r="AM212">
        <f t="shared" si="43"/>
        <v>15.70256672</v>
      </c>
      <c r="AP212" s="9"/>
      <c r="AQ212" s="21">
        <v>0.77285800000000004</v>
      </c>
      <c r="AR212" s="21">
        <v>25.984100000000002</v>
      </c>
      <c r="AS212" s="21">
        <v>-1.39618E-2</v>
      </c>
      <c r="AT212" s="21">
        <v>202</v>
      </c>
      <c r="AU212" s="21">
        <v>0.77148399999999995</v>
      </c>
      <c r="AV212">
        <f t="shared" si="44"/>
        <v>17.236790123456789</v>
      </c>
      <c r="AW212">
        <f t="shared" si="45"/>
        <v>13.321591141234567</v>
      </c>
      <c r="AX212" s="9"/>
      <c r="AY212" s="21">
        <v>0.91720599999999997</v>
      </c>
      <c r="AZ212" s="21">
        <v>29.783200000000001</v>
      </c>
      <c r="BA212" s="21">
        <v>-1.3958699999999999E-2</v>
      </c>
      <c r="BB212" s="21">
        <v>202</v>
      </c>
      <c r="BC212" s="21">
        <v>0.91613800000000001</v>
      </c>
      <c r="BD212">
        <f t="shared" si="46"/>
        <v>17.232962962962961</v>
      </c>
      <c r="BE212">
        <f t="shared" si="47"/>
        <v>15.806177027407406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0.767822</v>
      </c>
      <c r="H213" s="21">
        <v>7.4167399999999999</v>
      </c>
      <c r="I213" s="21">
        <v>-1.4071699999999999E-2</v>
      </c>
      <c r="J213" s="21">
        <v>203</v>
      </c>
      <c r="K213" s="21">
        <v>0.76690700000000001</v>
      </c>
      <c r="L213">
        <f t="shared" si="36"/>
        <v>17.372469135802469</v>
      </c>
      <c r="M213">
        <f t="shared" si="37"/>
        <v>13.338963996790124</v>
      </c>
      <c r="N213" s="9"/>
      <c r="O213" s="21">
        <v>0.92224099999999998</v>
      </c>
      <c r="P213" s="21">
        <v>11.2158</v>
      </c>
      <c r="Q213" s="21">
        <v>-1.4019800000000001E-2</v>
      </c>
      <c r="R213" s="21">
        <v>203</v>
      </c>
      <c r="S213" s="21">
        <v>0.92102099999999998</v>
      </c>
      <c r="T213">
        <f t="shared" si="38"/>
        <v>17.308395061728394</v>
      </c>
      <c r="U213">
        <f t="shared" si="39"/>
        <v>15.962511570123455</v>
      </c>
      <c r="X213" s="9"/>
      <c r="Y213" s="21">
        <v>0.92224099999999998</v>
      </c>
      <c r="Z213" s="21">
        <v>11.2158</v>
      </c>
      <c r="AA213" s="21">
        <v>-1.4019800000000001E-2</v>
      </c>
      <c r="AB213" s="21">
        <v>203</v>
      </c>
      <c r="AC213" s="21">
        <v>0.92102099999999998</v>
      </c>
      <c r="AD213">
        <f t="shared" si="40"/>
        <v>17.308395061728394</v>
      </c>
      <c r="AE213">
        <f t="shared" si="41"/>
        <v>15.962511570123455</v>
      </c>
      <c r="AF213" s="9"/>
      <c r="AG213" s="21">
        <v>0.92224099999999998</v>
      </c>
      <c r="AH213" s="21">
        <v>20.515000000000001</v>
      </c>
      <c r="AI213" s="21">
        <v>-1.38824E-2</v>
      </c>
      <c r="AJ213" s="21">
        <v>203</v>
      </c>
      <c r="AK213" s="21">
        <v>0.92132599999999998</v>
      </c>
      <c r="AL213">
        <f t="shared" si="42"/>
        <v>17.138765432098765</v>
      </c>
      <c r="AM213">
        <f t="shared" si="43"/>
        <v>15.806072170864196</v>
      </c>
      <c r="AP213" s="9"/>
      <c r="AQ213" s="21">
        <v>0.767822</v>
      </c>
      <c r="AR213" s="21">
        <v>25.994199999999999</v>
      </c>
      <c r="AS213" s="21">
        <v>-1.39709E-2</v>
      </c>
      <c r="AT213" s="21">
        <v>203</v>
      </c>
      <c r="AU213" s="21">
        <v>0.76660200000000001</v>
      </c>
      <c r="AV213">
        <f t="shared" si="44"/>
        <v>17.248024691358022</v>
      </c>
      <c r="AW213">
        <f t="shared" si="45"/>
        <v>13.2434128145679</v>
      </c>
      <c r="AX213" s="9"/>
      <c r="AY213" s="21">
        <v>0.92224099999999998</v>
      </c>
      <c r="AZ213" s="21">
        <v>29.793199999999999</v>
      </c>
      <c r="BA213" s="21">
        <v>-1.3958699999999999E-2</v>
      </c>
      <c r="BB213" s="21">
        <v>203</v>
      </c>
      <c r="BC213" s="21">
        <v>0.92132599999999998</v>
      </c>
      <c r="BD213">
        <f t="shared" si="46"/>
        <v>17.232962962962961</v>
      </c>
      <c r="BE213">
        <f t="shared" si="47"/>
        <v>15.892944995925925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0.76278699999999999</v>
      </c>
      <c r="H214" s="21">
        <v>7.4268099999999997</v>
      </c>
      <c r="I214" s="21">
        <v>-1.4074700000000001E-2</v>
      </c>
      <c r="J214" s="21">
        <v>204</v>
      </c>
      <c r="K214" s="21">
        <v>0.76171900000000003</v>
      </c>
      <c r="L214">
        <f t="shared" si="36"/>
        <v>17.376172839506172</v>
      </c>
      <c r="M214">
        <f t="shared" si="37"/>
        <v>13.254318751728395</v>
      </c>
      <c r="N214" s="9"/>
      <c r="O214" s="21">
        <v>0.92727700000000002</v>
      </c>
      <c r="P214" s="21">
        <v>11.225899999999999</v>
      </c>
      <c r="Q214" s="21">
        <v>-1.40137E-2</v>
      </c>
      <c r="R214" s="21">
        <v>204</v>
      </c>
      <c r="S214" s="21">
        <v>0.92559800000000003</v>
      </c>
      <c r="T214">
        <f t="shared" si="38"/>
        <v>17.300864197530863</v>
      </c>
      <c r="U214">
        <f t="shared" si="39"/>
        <v>16.042693450493825</v>
      </c>
      <c r="X214" s="9"/>
      <c r="Y214" s="21">
        <v>0.92727700000000002</v>
      </c>
      <c r="Z214" s="21">
        <v>11.225899999999999</v>
      </c>
      <c r="AA214" s="21">
        <v>-1.40137E-2</v>
      </c>
      <c r="AB214" s="21">
        <v>204</v>
      </c>
      <c r="AC214" s="21">
        <v>0.92559800000000003</v>
      </c>
      <c r="AD214">
        <f t="shared" si="40"/>
        <v>17.300864197530863</v>
      </c>
      <c r="AE214">
        <f t="shared" si="41"/>
        <v>16.042693450493825</v>
      </c>
      <c r="AF214" s="9"/>
      <c r="AG214" s="21">
        <v>0.92727700000000002</v>
      </c>
      <c r="AH214" s="21">
        <v>20.525099999999998</v>
      </c>
      <c r="AI214" s="21">
        <v>-1.38824E-2</v>
      </c>
      <c r="AJ214" s="21">
        <v>204</v>
      </c>
      <c r="AK214" s="21">
        <v>0.92590300000000003</v>
      </c>
      <c r="AL214">
        <f t="shared" si="42"/>
        <v>17.138765432098765</v>
      </c>
      <c r="AM214">
        <f t="shared" si="43"/>
        <v>15.892382993580247</v>
      </c>
      <c r="AP214" s="9"/>
      <c r="AQ214" s="21">
        <v>0.76278699999999999</v>
      </c>
      <c r="AR214" s="21">
        <v>26.004300000000001</v>
      </c>
      <c r="AS214" s="21">
        <v>-1.3986200000000001E-2</v>
      </c>
      <c r="AT214" s="21">
        <v>204</v>
      </c>
      <c r="AU214" s="21">
        <v>0.76171900000000003</v>
      </c>
      <c r="AV214">
        <f t="shared" si="44"/>
        <v>17.266913580246914</v>
      </c>
      <c r="AW214">
        <f t="shared" si="45"/>
        <v>13.170977209135803</v>
      </c>
      <c r="AX214" s="9"/>
      <c r="AY214" s="21">
        <v>0.92727700000000002</v>
      </c>
      <c r="AZ214" s="21">
        <v>29.8033</v>
      </c>
      <c r="BA214" s="21">
        <v>-1.39496E-2</v>
      </c>
      <c r="BB214" s="21">
        <v>204</v>
      </c>
      <c r="BC214" s="21">
        <v>0.92620800000000003</v>
      </c>
      <c r="BD214">
        <f t="shared" si="46"/>
        <v>17.221728395061724</v>
      </c>
      <c r="BE214">
        <f t="shared" si="47"/>
        <v>15.969312640987651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0.75775099999999995</v>
      </c>
      <c r="H215" s="21">
        <v>7.4368800000000004</v>
      </c>
      <c r="I215" s="21">
        <v>-1.40839E-2</v>
      </c>
      <c r="J215" s="21">
        <v>205</v>
      </c>
      <c r="K215" s="21">
        <v>0.75714099999999995</v>
      </c>
      <c r="L215">
        <f t="shared" si="36"/>
        <v>17.387530864197529</v>
      </c>
      <c r="M215">
        <f t="shared" si="37"/>
        <v>13.175418899876542</v>
      </c>
      <c r="N215" s="9"/>
      <c r="O215" s="21">
        <v>0.93231200000000003</v>
      </c>
      <c r="P215" s="21">
        <v>11.235900000000001</v>
      </c>
      <c r="Q215" s="21">
        <v>-1.40137E-2</v>
      </c>
      <c r="R215" s="21">
        <v>205</v>
      </c>
      <c r="S215" s="21">
        <v>0.93170200000000003</v>
      </c>
      <c r="T215">
        <f t="shared" si="38"/>
        <v>17.300864197530863</v>
      </c>
      <c r="U215">
        <f t="shared" si="39"/>
        <v>16.129803301728394</v>
      </c>
      <c r="X215" s="9"/>
      <c r="Y215" s="21">
        <v>0.93231200000000003</v>
      </c>
      <c r="Z215" s="21">
        <v>11.235900000000001</v>
      </c>
      <c r="AA215" s="21">
        <v>-1.40137E-2</v>
      </c>
      <c r="AB215" s="21">
        <v>205</v>
      </c>
      <c r="AC215" s="21">
        <v>0.93170200000000003</v>
      </c>
      <c r="AD215">
        <f t="shared" si="40"/>
        <v>17.300864197530863</v>
      </c>
      <c r="AE215">
        <f t="shared" si="41"/>
        <v>16.129803301728394</v>
      </c>
      <c r="AF215" s="9"/>
      <c r="AG215" s="21">
        <v>0.93231200000000003</v>
      </c>
      <c r="AH215" s="21">
        <v>20.5351</v>
      </c>
      <c r="AI215" s="21">
        <v>-1.3897700000000001E-2</v>
      </c>
      <c r="AJ215" s="21">
        <v>205</v>
      </c>
      <c r="AK215" s="21">
        <v>0.93170200000000003</v>
      </c>
      <c r="AL215">
        <f t="shared" si="42"/>
        <v>17.157654320987653</v>
      </c>
      <c r="AM215">
        <f t="shared" si="43"/>
        <v>15.996287015308642</v>
      </c>
      <c r="AP215" s="9"/>
      <c r="AQ215" s="21">
        <v>0.75775099999999995</v>
      </c>
      <c r="AR215" s="21">
        <v>26.014299999999999</v>
      </c>
      <c r="AS215" s="21">
        <v>-1.39954E-2</v>
      </c>
      <c r="AT215" s="21">
        <v>205</v>
      </c>
      <c r="AU215" s="21">
        <v>0.75683599999999995</v>
      </c>
      <c r="AV215">
        <f t="shared" si="44"/>
        <v>17.278271604938272</v>
      </c>
      <c r="AW215">
        <f t="shared" si="45"/>
        <v>13.092627586913579</v>
      </c>
      <c r="AX215" s="9"/>
      <c r="AY215" s="21">
        <v>0.93231200000000003</v>
      </c>
      <c r="AZ215" s="21">
        <v>29.813400000000001</v>
      </c>
      <c r="BA215" s="21">
        <v>-1.39404E-2</v>
      </c>
      <c r="BB215" s="21">
        <v>205</v>
      </c>
      <c r="BC215" s="21">
        <v>0.931396</v>
      </c>
      <c r="BD215">
        <f t="shared" si="46"/>
        <v>17.21037037037037</v>
      </c>
      <c r="BE215">
        <f t="shared" si="47"/>
        <v>16.045434820740741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0.75271600000000005</v>
      </c>
      <c r="H216" s="21">
        <v>7.4469500000000002</v>
      </c>
      <c r="I216" s="21">
        <v>-1.40839E-2</v>
      </c>
      <c r="J216" s="21">
        <v>206</v>
      </c>
      <c r="K216" s="21">
        <v>0.75195299999999998</v>
      </c>
      <c r="L216">
        <f t="shared" si="36"/>
        <v>17.387530864197529</v>
      </c>
      <c r="M216">
        <f t="shared" si="37"/>
        <v>13.087872681975309</v>
      </c>
      <c r="N216" s="9"/>
      <c r="O216" s="21">
        <v>0.93734700000000004</v>
      </c>
      <c r="P216" s="21">
        <v>11.246</v>
      </c>
      <c r="Q216" s="21">
        <v>-1.39954E-2</v>
      </c>
      <c r="R216" s="21">
        <v>206</v>
      </c>
      <c r="S216" s="21">
        <v>0.93658399999999997</v>
      </c>
      <c r="T216">
        <f t="shared" si="38"/>
        <v>17.278271604938272</v>
      </c>
      <c r="U216">
        <f t="shared" si="39"/>
        <v>16.195736054074075</v>
      </c>
      <c r="X216" s="9"/>
      <c r="Y216" s="21">
        <v>0.93734700000000004</v>
      </c>
      <c r="Z216" s="21">
        <v>11.246</v>
      </c>
      <c r="AA216" s="21">
        <v>-1.39954E-2</v>
      </c>
      <c r="AB216" s="21">
        <v>206</v>
      </c>
      <c r="AC216" s="21">
        <v>0.93658399999999997</v>
      </c>
      <c r="AD216">
        <f t="shared" si="40"/>
        <v>17.278271604938272</v>
      </c>
      <c r="AE216">
        <f t="shared" si="41"/>
        <v>16.195736054074075</v>
      </c>
      <c r="AF216" s="9"/>
      <c r="AG216" s="21">
        <v>0.93734700000000004</v>
      </c>
      <c r="AH216" s="21">
        <v>20.545200000000001</v>
      </c>
      <c r="AI216" s="21">
        <v>-1.3897700000000001E-2</v>
      </c>
      <c r="AJ216" s="21">
        <v>206</v>
      </c>
      <c r="AK216" s="21">
        <v>0.93597399999999997</v>
      </c>
      <c r="AL216">
        <f t="shared" si="42"/>
        <v>17.157654320987653</v>
      </c>
      <c r="AM216">
        <f t="shared" si="43"/>
        <v>16.082675804814816</v>
      </c>
      <c r="AP216" s="9"/>
      <c r="AQ216" s="21">
        <v>0.75271600000000005</v>
      </c>
      <c r="AR216" s="21">
        <v>26.0244</v>
      </c>
      <c r="AS216" s="21">
        <v>-1.39954E-2</v>
      </c>
      <c r="AT216" s="21">
        <v>206</v>
      </c>
      <c r="AU216" s="21">
        <v>0.75195299999999998</v>
      </c>
      <c r="AV216">
        <f t="shared" si="44"/>
        <v>17.278271604938272</v>
      </c>
      <c r="AW216">
        <f t="shared" si="45"/>
        <v>13.005631489382717</v>
      </c>
      <c r="AX216" s="9"/>
      <c r="AY216" s="21">
        <v>0.93734700000000004</v>
      </c>
      <c r="AZ216" s="21">
        <v>29.823399999999999</v>
      </c>
      <c r="BA216" s="21">
        <v>-1.39343E-2</v>
      </c>
      <c r="BB216" s="21">
        <v>206</v>
      </c>
      <c r="BC216" s="21">
        <v>0.93658399999999997</v>
      </c>
      <c r="BD216">
        <f t="shared" si="46"/>
        <v>17.202839506172836</v>
      </c>
      <c r="BE216">
        <f t="shared" si="47"/>
        <v>16.125030002592592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0.74768100000000004</v>
      </c>
      <c r="H217" s="21">
        <v>7.45702</v>
      </c>
      <c r="I217" s="21">
        <v>-1.4086899999999999E-2</v>
      </c>
      <c r="J217" s="21">
        <v>207</v>
      </c>
      <c r="K217" s="21">
        <v>0.74700900000000003</v>
      </c>
      <c r="L217">
        <f t="shared" si="36"/>
        <v>17.391234567901233</v>
      </c>
      <c r="M217">
        <f t="shared" si="37"/>
        <v>13.003095652962962</v>
      </c>
      <c r="N217" s="9"/>
      <c r="O217" s="21">
        <v>0.94238299999999997</v>
      </c>
      <c r="P217" s="21">
        <v>11.2561</v>
      </c>
      <c r="Q217" s="21">
        <v>-1.3983199999999999E-2</v>
      </c>
      <c r="R217" s="21">
        <v>207</v>
      </c>
      <c r="S217" s="21">
        <v>0.94085700000000005</v>
      </c>
      <c r="T217">
        <f t="shared" si="38"/>
        <v>17.263209876543208</v>
      </c>
      <c r="U217">
        <f t="shared" si="39"/>
        <v>16.268555513086419</v>
      </c>
      <c r="X217" s="9"/>
      <c r="Y217" s="21">
        <v>0.94238299999999997</v>
      </c>
      <c r="Z217" s="21">
        <v>11.2561</v>
      </c>
      <c r="AA217" s="21">
        <v>-1.3983199999999999E-2</v>
      </c>
      <c r="AB217" s="21">
        <v>207</v>
      </c>
      <c r="AC217" s="21">
        <v>0.94085700000000005</v>
      </c>
      <c r="AD217">
        <f t="shared" si="40"/>
        <v>17.263209876543208</v>
      </c>
      <c r="AE217">
        <f t="shared" si="41"/>
        <v>16.268555513086419</v>
      </c>
      <c r="AF217" s="9"/>
      <c r="AG217" s="21">
        <v>0.94238299999999997</v>
      </c>
      <c r="AH217" s="21">
        <v>20.555299999999999</v>
      </c>
      <c r="AI217" s="21">
        <v>-1.38885E-2</v>
      </c>
      <c r="AJ217" s="21">
        <v>207</v>
      </c>
      <c r="AK217" s="21">
        <v>0.94146700000000005</v>
      </c>
      <c r="AL217">
        <f t="shared" si="42"/>
        <v>17.146296296296295</v>
      </c>
      <c r="AM217">
        <f t="shared" si="43"/>
        <v>16.158378142592593</v>
      </c>
      <c r="AP217" s="9"/>
      <c r="AQ217" s="21">
        <v>0.74768100000000004</v>
      </c>
      <c r="AR217" s="21">
        <v>26.034500000000001</v>
      </c>
      <c r="AS217" s="21">
        <v>-1.39954E-2</v>
      </c>
      <c r="AT217" s="21">
        <v>207</v>
      </c>
      <c r="AU217" s="21">
        <v>0.74713099999999999</v>
      </c>
      <c r="AV217">
        <f t="shared" si="44"/>
        <v>17.278271604938272</v>
      </c>
      <c r="AW217">
        <f t="shared" si="45"/>
        <v>12.918635391851852</v>
      </c>
      <c r="AX217" s="9"/>
      <c r="AY217" s="21">
        <v>0.94238299999999997</v>
      </c>
      <c r="AZ217" s="21">
        <v>29.833500000000001</v>
      </c>
      <c r="BA217" s="21">
        <v>-1.39282E-2</v>
      </c>
      <c r="BB217" s="21">
        <v>207</v>
      </c>
      <c r="BC217" s="21">
        <v>0.94116200000000005</v>
      </c>
      <c r="BD217">
        <f t="shared" si="46"/>
        <v>17.195308641975309</v>
      </c>
      <c r="BE217">
        <f t="shared" si="47"/>
        <v>16.204566543950616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0.742645</v>
      </c>
      <c r="H218" s="21">
        <v>7.4670899999999998</v>
      </c>
      <c r="I218" s="21">
        <v>-1.41022E-2</v>
      </c>
      <c r="J218" s="21">
        <v>208</v>
      </c>
      <c r="K218" s="21">
        <v>0.74182099999999995</v>
      </c>
      <c r="L218">
        <f t="shared" si="36"/>
        <v>17.410123456790124</v>
      </c>
      <c r="M218">
        <f t="shared" si="37"/>
        <v>12.929541134567902</v>
      </c>
      <c r="N218" s="9"/>
      <c r="O218" s="21">
        <v>0.94741799999999998</v>
      </c>
      <c r="P218" s="21">
        <v>11.2661</v>
      </c>
      <c r="Q218" s="21">
        <v>-1.3980100000000001E-2</v>
      </c>
      <c r="R218" s="21">
        <v>208</v>
      </c>
      <c r="S218" s="21">
        <v>0.94635000000000002</v>
      </c>
      <c r="T218">
        <f t="shared" si="38"/>
        <v>17.259382716049384</v>
      </c>
      <c r="U218">
        <f t="shared" si="39"/>
        <v>16.351849854074075</v>
      </c>
      <c r="X218" s="9"/>
      <c r="Y218" s="21">
        <v>0.94741799999999998</v>
      </c>
      <c r="Z218" s="21">
        <v>11.2661</v>
      </c>
      <c r="AA218" s="21">
        <v>-1.3980100000000001E-2</v>
      </c>
      <c r="AB218" s="21">
        <v>208</v>
      </c>
      <c r="AC218" s="21">
        <v>0.94635000000000002</v>
      </c>
      <c r="AD218">
        <f t="shared" si="40"/>
        <v>17.259382716049384</v>
      </c>
      <c r="AE218">
        <f t="shared" si="41"/>
        <v>16.351849854074075</v>
      </c>
      <c r="AF218" s="9"/>
      <c r="AG218" s="21">
        <v>0.94741799999999998</v>
      </c>
      <c r="AH218" s="21">
        <v>20.5654</v>
      </c>
      <c r="AI218" s="21">
        <v>-1.3876299999999999E-2</v>
      </c>
      <c r="AJ218" s="21">
        <v>208</v>
      </c>
      <c r="AK218" s="21">
        <v>0.94696000000000002</v>
      </c>
      <c r="AL218">
        <f t="shared" si="42"/>
        <v>17.131234567901231</v>
      </c>
      <c r="AM218">
        <f t="shared" si="43"/>
        <v>16.230439991851849</v>
      </c>
      <c r="AP218" s="9"/>
      <c r="AQ218" s="21">
        <v>0.742645</v>
      </c>
      <c r="AR218" s="21">
        <v>26.044499999999999</v>
      </c>
      <c r="AS218" s="21">
        <v>-1.40015E-2</v>
      </c>
      <c r="AT218" s="21">
        <v>208</v>
      </c>
      <c r="AU218" s="21">
        <v>0.74194300000000002</v>
      </c>
      <c r="AV218">
        <f t="shared" si="44"/>
        <v>17.285802469135803</v>
      </c>
      <c r="AW218">
        <f t="shared" si="45"/>
        <v>12.837214774691358</v>
      </c>
      <c r="AX218" s="9"/>
      <c r="AY218" s="21">
        <v>0.94741799999999998</v>
      </c>
      <c r="AZ218" s="21">
        <v>29.843599999999999</v>
      </c>
      <c r="BA218" s="21">
        <v>-1.39221E-2</v>
      </c>
      <c r="BB218" s="21">
        <v>208</v>
      </c>
      <c r="BC218" s="21">
        <v>0.94635000000000002</v>
      </c>
      <c r="BD218">
        <f t="shared" si="46"/>
        <v>17.187777777777779</v>
      </c>
      <c r="BE218">
        <f t="shared" si="47"/>
        <v>16.284010046666666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0.73760999999999999</v>
      </c>
      <c r="H219" s="21">
        <v>7.4771700000000001</v>
      </c>
      <c r="I219" s="21">
        <v>-1.40991E-2</v>
      </c>
      <c r="J219" s="21">
        <v>209</v>
      </c>
      <c r="K219" s="21">
        <v>0.73706099999999997</v>
      </c>
      <c r="L219">
        <f t="shared" si="36"/>
        <v>17.406296296296293</v>
      </c>
      <c r="M219">
        <f t="shared" si="37"/>
        <v>12.839058211111109</v>
      </c>
      <c r="N219" s="9"/>
      <c r="O219" s="21">
        <v>0.95245400000000002</v>
      </c>
      <c r="P219" s="21">
        <v>11.276199999999999</v>
      </c>
      <c r="Q219" s="21">
        <v>-1.3974E-2</v>
      </c>
      <c r="R219" s="21">
        <v>209</v>
      </c>
      <c r="S219" s="21">
        <v>0.950928</v>
      </c>
      <c r="T219">
        <f t="shared" si="38"/>
        <v>17.251851851851853</v>
      </c>
      <c r="U219">
        <f t="shared" si="39"/>
        <v>16.431595303703705</v>
      </c>
      <c r="X219" s="9"/>
      <c r="Y219" s="21">
        <v>0.95245400000000002</v>
      </c>
      <c r="Z219" s="21">
        <v>11.276199999999999</v>
      </c>
      <c r="AA219" s="21">
        <v>-1.3974E-2</v>
      </c>
      <c r="AB219" s="21">
        <v>209</v>
      </c>
      <c r="AC219" s="21">
        <v>0.950928</v>
      </c>
      <c r="AD219">
        <f t="shared" si="40"/>
        <v>17.251851851851853</v>
      </c>
      <c r="AE219">
        <f t="shared" si="41"/>
        <v>16.431595303703705</v>
      </c>
      <c r="AF219" s="9"/>
      <c r="AG219" s="21">
        <v>0.95245400000000002</v>
      </c>
      <c r="AH219" s="21">
        <v>20.575399999999998</v>
      </c>
      <c r="AI219" s="21">
        <v>-1.3870199999999999E-2</v>
      </c>
      <c r="AJ219" s="21">
        <v>209</v>
      </c>
      <c r="AK219" s="21">
        <v>0.950928</v>
      </c>
      <c r="AL219">
        <f t="shared" si="42"/>
        <v>17.123703703703701</v>
      </c>
      <c r="AM219">
        <f t="shared" si="43"/>
        <v>16.309540087407406</v>
      </c>
      <c r="AP219" s="9"/>
      <c r="AQ219" s="21">
        <v>0.73760999999999999</v>
      </c>
      <c r="AR219" s="21">
        <v>26.054600000000001</v>
      </c>
      <c r="AS219" s="21">
        <v>-1.39954E-2</v>
      </c>
      <c r="AT219" s="21">
        <v>209</v>
      </c>
      <c r="AU219" s="21">
        <v>0.73696899999999999</v>
      </c>
      <c r="AV219">
        <f t="shared" si="44"/>
        <v>17.278271604938272</v>
      </c>
      <c r="AW219">
        <f t="shared" si="45"/>
        <v>12.744625918518519</v>
      </c>
      <c r="AX219" s="9"/>
      <c r="AY219" s="21">
        <v>0.95245400000000002</v>
      </c>
      <c r="AZ219" s="21">
        <v>29.8537</v>
      </c>
      <c r="BA219" s="21">
        <v>-1.3913E-2</v>
      </c>
      <c r="BB219" s="21">
        <v>209</v>
      </c>
      <c r="BC219" s="21">
        <v>0.951233</v>
      </c>
      <c r="BD219">
        <f t="shared" si="46"/>
        <v>17.176543209876542</v>
      </c>
      <c r="BE219">
        <f t="shared" si="47"/>
        <v>16.359867286419753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0.73257399999999995</v>
      </c>
      <c r="H220" s="21">
        <v>7.4872399999999999</v>
      </c>
      <c r="I220" s="21">
        <v>-1.409E-2</v>
      </c>
      <c r="J220" s="21">
        <v>210</v>
      </c>
      <c r="K220" s="21">
        <v>0.73193399999999997</v>
      </c>
      <c r="L220">
        <f t="shared" si="36"/>
        <v>17.39506172839506</v>
      </c>
      <c r="M220">
        <f t="shared" si="37"/>
        <v>12.743169950617281</v>
      </c>
      <c r="N220" s="9"/>
      <c r="O220" s="21">
        <v>0.95748900000000003</v>
      </c>
      <c r="P220" s="21">
        <v>11.286300000000001</v>
      </c>
      <c r="Q220" s="21">
        <v>-1.39679E-2</v>
      </c>
      <c r="R220" s="21">
        <v>210</v>
      </c>
      <c r="S220" s="21">
        <v>0.95672599999999997</v>
      </c>
      <c r="T220">
        <f t="shared" si="38"/>
        <v>17.244320987654319</v>
      </c>
      <c r="U220">
        <f t="shared" si="39"/>
        <v>16.511247658148147</v>
      </c>
      <c r="X220" s="9"/>
      <c r="Y220" s="21">
        <v>0.95748900000000003</v>
      </c>
      <c r="Z220" s="21">
        <v>11.286300000000001</v>
      </c>
      <c r="AA220" s="21">
        <v>-1.39679E-2</v>
      </c>
      <c r="AB220" s="21">
        <v>210</v>
      </c>
      <c r="AC220" s="21">
        <v>0.95672599999999997</v>
      </c>
      <c r="AD220">
        <f t="shared" si="40"/>
        <v>17.244320987654319</v>
      </c>
      <c r="AE220">
        <f t="shared" si="41"/>
        <v>16.511247658148147</v>
      </c>
      <c r="AF220" s="9"/>
      <c r="AG220" s="21">
        <v>0.95748900000000003</v>
      </c>
      <c r="AH220" s="21">
        <v>20.5855</v>
      </c>
      <c r="AI220" s="21">
        <v>-1.3864100000000001E-2</v>
      </c>
      <c r="AJ220" s="21">
        <v>210</v>
      </c>
      <c r="AK220" s="21">
        <v>0.95642099999999997</v>
      </c>
      <c r="AL220">
        <f t="shared" si="42"/>
        <v>17.11617283950617</v>
      </c>
      <c r="AM220">
        <f t="shared" si="43"/>
        <v>16.388547215925925</v>
      </c>
      <c r="AP220" s="9"/>
      <c r="AQ220" s="21">
        <v>0.73257399999999995</v>
      </c>
      <c r="AR220" s="21">
        <v>26.064699999999998</v>
      </c>
      <c r="AS220" s="21">
        <v>-1.39954E-2</v>
      </c>
      <c r="AT220" s="21">
        <v>210</v>
      </c>
      <c r="AU220" s="21">
        <v>0.73205600000000004</v>
      </c>
      <c r="AV220">
        <f t="shared" si="44"/>
        <v>17.278271604938272</v>
      </c>
      <c r="AW220">
        <f t="shared" si="45"/>
        <v>12.657612542716048</v>
      </c>
      <c r="AX220" s="9"/>
      <c r="AY220" s="21">
        <v>0.95748900000000003</v>
      </c>
      <c r="AZ220" s="21">
        <v>29.863700000000001</v>
      </c>
      <c r="BA220" s="21">
        <v>-1.3913E-2</v>
      </c>
      <c r="BB220" s="21">
        <v>210</v>
      </c>
      <c r="BC220" s="21">
        <v>0.95611599999999997</v>
      </c>
      <c r="BD220">
        <f t="shared" si="46"/>
        <v>17.176543209876542</v>
      </c>
      <c r="BE220">
        <f t="shared" si="47"/>
        <v>16.446351181481482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0.72753900000000005</v>
      </c>
      <c r="H221" s="21">
        <v>7.4973099999999997</v>
      </c>
      <c r="I221" s="21">
        <v>-1.40839E-2</v>
      </c>
      <c r="J221" s="21">
        <v>211</v>
      </c>
      <c r="K221" s="21">
        <v>0.72686799999999996</v>
      </c>
      <c r="L221">
        <f t="shared" si="36"/>
        <v>17.387530864197529</v>
      </c>
      <c r="M221">
        <f t="shared" si="37"/>
        <v>12.650106817407407</v>
      </c>
      <c r="N221" s="9"/>
      <c r="O221" s="21">
        <v>0.96252400000000005</v>
      </c>
      <c r="P221" s="21">
        <v>11.2964</v>
      </c>
      <c r="Q221" s="21">
        <v>-1.39618E-2</v>
      </c>
      <c r="R221" s="21">
        <v>211</v>
      </c>
      <c r="S221" s="21">
        <v>0.96191400000000005</v>
      </c>
      <c r="T221">
        <f t="shared" si="38"/>
        <v>17.236790123456789</v>
      </c>
      <c r="U221">
        <f t="shared" si="39"/>
        <v>16.590824176790122</v>
      </c>
      <c r="X221" s="9"/>
      <c r="Y221" s="21">
        <v>0.96252400000000005</v>
      </c>
      <c r="Z221" s="21">
        <v>11.2964</v>
      </c>
      <c r="AA221" s="21">
        <v>-1.39618E-2</v>
      </c>
      <c r="AB221" s="21">
        <v>211</v>
      </c>
      <c r="AC221" s="21">
        <v>0.96191400000000005</v>
      </c>
      <c r="AD221">
        <f t="shared" si="40"/>
        <v>17.236790123456789</v>
      </c>
      <c r="AE221">
        <f t="shared" si="41"/>
        <v>16.590824176790122</v>
      </c>
      <c r="AF221" s="9"/>
      <c r="AG221" s="21">
        <v>0.96252400000000005</v>
      </c>
      <c r="AH221" s="21">
        <v>20.595600000000001</v>
      </c>
      <c r="AI221" s="21">
        <v>-1.3858000000000001E-2</v>
      </c>
      <c r="AJ221" s="21">
        <v>211</v>
      </c>
      <c r="AK221" s="21">
        <v>0.96160900000000005</v>
      </c>
      <c r="AL221">
        <f t="shared" si="42"/>
        <v>17.10864197530864</v>
      </c>
      <c r="AM221">
        <f t="shared" si="43"/>
        <v>16.467478508641975</v>
      </c>
      <c r="AP221" s="9"/>
      <c r="AQ221" s="21">
        <v>0.72753900000000005</v>
      </c>
      <c r="AR221" s="21">
        <v>26.0748</v>
      </c>
      <c r="AS221" s="21">
        <v>-1.3998399999999999E-2</v>
      </c>
      <c r="AT221" s="21">
        <v>211</v>
      </c>
      <c r="AU221" s="21">
        <v>0.72695900000000002</v>
      </c>
      <c r="AV221">
        <f t="shared" si="44"/>
        <v>17.281975308641975</v>
      </c>
      <c r="AW221">
        <f t="shared" si="45"/>
        <v>12.573311034074075</v>
      </c>
      <c r="AX221" s="9"/>
      <c r="AY221" s="21">
        <v>0.96252400000000005</v>
      </c>
      <c r="AZ221" s="21">
        <v>29.873799999999999</v>
      </c>
      <c r="BA221" s="21">
        <v>-1.3916E-2</v>
      </c>
      <c r="BB221" s="21">
        <v>211</v>
      </c>
      <c r="BC221" s="21">
        <v>0.96160900000000005</v>
      </c>
      <c r="BD221">
        <f t="shared" si="46"/>
        <v>17.180246913580245</v>
      </c>
      <c r="BE221">
        <f t="shared" si="47"/>
        <v>16.536399980246912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0.72250400000000004</v>
      </c>
      <c r="H222" s="21">
        <v>7.5073800000000004</v>
      </c>
      <c r="I222" s="21">
        <v>-1.4086899999999999E-2</v>
      </c>
      <c r="J222" s="21">
        <v>212</v>
      </c>
      <c r="K222" s="21">
        <v>0.72183200000000003</v>
      </c>
      <c r="L222">
        <f t="shared" si="36"/>
        <v>17.391234567901233</v>
      </c>
      <c r="M222">
        <f t="shared" si="37"/>
        <v>12.565236540246913</v>
      </c>
      <c r="N222" s="9"/>
      <c r="O222" s="21">
        <v>0.96755999999999998</v>
      </c>
      <c r="P222" s="21">
        <v>11.3064</v>
      </c>
      <c r="Q222" s="21">
        <v>-1.3974E-2</v>
      </c>
      <c r="R222" s="21">
        <v>212</v>
      </c>
      <c r="S222" s="21">
        <v>0.96710200000000002</v>
      </c>
      <c r="T222">
        <f t="shared" si="38"/>
        <v>17.251851851851853</v>
      </c>
      <c r="U222">
        <f t="shared" si="39"/>
        <v>16.692201777777779</v>
      </c>
      <c r="X222" s="9"/>
      <c r="Y222" s="21">
        <v>0.96755999999999998</v>
      </c>
      <c r="Z222" s="21">
        <v>11.3064</v>
      </c>
      <c r="AA222" s="21">
        <v>-1.3974E-2</v>
      </c>
      <c r="AB222" s="21">
        <v>212</v>
      </c>
      <c r="AC222" s="21">
        <v>0.96710200000000002</v>
      </c>
      <c r="AD222">
        <f t="shared" si="40"/>
        <v>17.251851851851853</v>
      </c>
      <c r="AE222">
        <f t="shared" si="41"/>
        <v>16.692201777777779</v>
      </c>
      <c r="AF222" s="9"/>
      <c r="AG222" s="21">
        <v>0.96755999999999998</v>
      </c>
      <c r="AH222" s="21">
        <v>20.605599999999999</v>
      </c>
      <c r="AI222" s="21">
        <v>-1.38519E-2</v>
      </c>
      <c r="AJ222" s="21">
        <v>212</v>
      </c>
      <c r="AK222" s="21">
        <v>0.96618700000000002</v>
      </c>
      <c r="AL222">
        <f t="shared" si="42"/>
        <v>17.101111111111113</v>
      </c>
      <c r="AM222">
        <f t="shared" si="43"/>
        <v>16.546351066666666</v>
      </c>
      <c r="AP222" s="9"/>
      <c r="AQ222" s="21">
        <v>0.72250400000000004</v>
      </c>
      <c r="AR222" s="21">
        <v>26.084800000000001</v>
      </c>
      <c r="AS222" s="21">
        <v>-1.39954E-2</v>
      </c>
      <c r="AT222" s="21">
        <v>212</v>
      </c>
      <c r="AU222" s="21">
        <v>0.72186300000000003</v>
      </c>
      <c r="AV222">
        <f t="shared" si="44"/>
        <v>17.278271604938272</v>
      </c>
      <c r="AW222">
        <f t="shared" si="45"/>
        <v>12.483620347654321</v>
      </c>
      <c r="AX222" s="9"/>
      <c r="AY222" s="21">
        <v>0.96755999999999998</v>
      </c>
      <c r="AZ222" s="21">
        <v>29.883900000000001</v>
      </c>
      <c r="BA222" s="21">
        <v>-1.39252E-2</v>
      </c>
      <c r="BB222" s="21">
        <v>212</v>
      </c>
      <c r="BC222" s="21">
        <v>0.96649200000000002</v>
      </c>
      <c r="BD222">
        <f t="shared" si="46"/>
        <v>17.191604938271606</v>
      </c>
      <c r="BE222">
        <f t="shared" si="47"/>
        <v>16.633909274074075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0.71746799999999999</v>
      </c>
      <c r="H223" s="21">
        <v>7.5174500000000002</v>
      </c>
      <c r="I223" s="21">
        <v>-1.409E-2</v>
      </c>
      <c r="J223" s="21">
        <v>213</v>
      </c>
      <c r="K223" s="21">
        <v>0.71682699999999999</v>
      </c>
      <c r="L223">
        <f t="shared" si="36"/>
        <v>17.39506172839506</v>
      </c>
      <c r="M223">
        <f t="shared" si="37"/>
        <v>12.480400148148147</v>
      </c>
      <c r="N223" s="9"/>
      <c r="O223" s="21">
        <v>0.97259499999999999</v>
      </c>
      <c r="P223" s="21">
        <v>11.3165</v>
      </c>
      <c r="Q223" s="21">
        <v>-1.3977099999999999E-2</v>
      </c>
      <c r="R223" s="21">
        <v>213</v>
      </c>
      <c r="S223" s="21">
        <v>0.97137499999999999</v>
      </c>
      <c r="T223">
        <f t="shared" si="38"/>
        <v>17.255679012345677</v>
      </c>
      <c r="U223">
        <f t="shared" si="39"/>
        <v>16.782787129012345</v>
      </c>
      <c r="X223" s="9"/>
      <c r="Y223" s="21">
        <v>0.97259499999999999</v>
      </c>
      <c r="Z223" s="21">
        <v>11.3165</v>
      </c>
      <c r="AA223" s="21">
        <v>-1.3977099999999999E-2</v>
      </c>
      <c r="AB223" s="21">
        <v>213</v>
      </c>
      <c r="AC223" s="21">
        <v>0.97137499999999999</v>
      </c>
      <c r="AD223">
        <f t="shared" si="40"/>
        <v>17.255679012345677</v>
      </c>
      <c r="AE223">
        <f t="shared" si="41"/>
        <v>16.782787129012345</v>
      </c>
      <c r="AF223" s="9"/>
      <c r="AG223" s="21">
        <v>0.97259499999999999</v>
      </c>
      <c r="AH223" s="21">
        <v>20.6157</v>
      </c>
      <c r="AI223" s="21">
        <v>-1.38519E-2</v>
      </c>
      <c r="AJ223" s="21">
        <v>213</v>
      </c>
      <c r="AK223" s="21">
        <v>0.97137499999999999</v>
      </c>
      <c r="AL223">
        <f t="shared" si="42"/>
        <v>17.101111111111113</v>
      </c>
      <c r="AM223">
        <f t="shared" si="43"/>
        <v>16.632455161111114</v>
      </c>
      <c r="AP223" s="9"/>
      <c r="AQ223" s="21">
        <v>0.71746799999999999</v>
      </c>
      <c r="AR223" s="21">
        <v>26.094899999999999</v>
      </c>
      <c r="AS223" s="21">
        <v>-1.3992299999999999E-2</v>
      </c>
      <c r="AT223" s="21">
        <v>213</v>
      </c>
      <c r="AU223" s="21">
        <v>0.71688799999999997</v>
      </c>
      <c r="AV223">
        <f t="shared" si="44"/>
        <v>17.274444444444445</v>
      </c>
      <c r="AW223">
        <f t="shared" si="45"/>
        <v>12.393861106666666</v>
      </c>
      <c r="AX223" s="9"/>
      <c r="AY223" s="21">
        <v>0.97259499999999999</v>
      </c>
      <c r="AZ223" s="21">
        <v>29.893899999999999</v>
      </c>
      <c r="BA223" s="21">
        <v>-1.39191E-2</v>
      </c>
      <c r="BB223" s="21">
        <v>213</v>
      </c>
      <c r="BC223" s="21">
        <v>0.97228999999999999</v>
      </c>
      <c r="BD223">
        <f t="shared" si="46"/>
        <v>17.184074074074076</v>
      </c>
      <c r="BE223">
        <f t="shared" si="47"/>
        <v>16.713144524074075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0.71243299999999998</v>
      </c>
      <c r="H224" s="21">
        <v>7.52752</v>
      </c>
      <c r="I224" s="21">
        <v>-1.4093E-2</v>
      </c>
      <c r="J224" s="21">
        <v>214</v>
      </c>
      <c r="K224" s="21">
        <v>0.7117</v>
      </c>
      <c r="L224">
        <f t="shared" si="36"/>
        <v>17.398765432098763</v>
      </c>
      <c r="M224">
        <f t="shared" si="37"/>
        <v>12.395454653086418</v>
      </c>
      <c r="N224" s="9"/>
      <c r="O224" s="21">
        <v>0.97763100000000003</v>
      </c>
      <c r="P224" s="21">
        <v>11.326599999999999</v>
      </c>
      <c r="Q224" s="21">
        <v>-1.3974E-2</v>
      </c>
      <c r="R224" s="21">
        <v>214</v>
      </c>
      <c r="S224" s="21">
        <v>0.97625700000000004</v>
      </c>
      <c r="T224">
        <f t="shared" si="38"/>
        <v>17.251851851851853</v>
      </c>
      <c r="U224">
        <f t="shared" si="39"/>
        <v>16.865945177777778</v>
      </c>
      <c r="X224" s="9"/>
      <c r="Y224" s="21">
        <v>0.97763100000000003</v>
      </c>
      <c r="Z224" s="21">
        <v>11.326599999999999</v>
      </c>
      <c r="AA224" s="21">
        <v>-1.3974E-2</v>
      </c>
      <c r="AB224" s="21">
        <v>214</v>
      </c>
      <c r="AC224" s="21">
        <v>0.97625700000000004</v>
      </c>
      <c r="AD224">
        <f t="shared" si="40"/>
        <v>17.251851851851853</v>
      </c>
      <c r="AE224">
        <f t="shared" si="41"/>
        <v>16.865945177777778</v>
      </c>
      <c r="AF224" s="9"/>
      <c r="AG224" s="21">
        <v>0.97763100000000003</v>
      </c>
      <c r="AH224" s="21">
        <v>20.625800000000002</v>
      </c>
      <c r="AI224" s="21">
        <v>-1.3854999999999999E-2</v>
      </c>
      <c r="AJ224" s="21">
        <v>214</v>
      </c>
      <c r="AK224" s="21">
        <v>0.97686799999999996</v>
      </c>
      <c r="AL224">
        <f t="shared" si="42"/>
        <v>17.104938271604937</v>
      </c>
      <c r="AM224">
        <f t="shared" si="43"/>
        <v>16.722317907407405</v>
      </c>
      <c r="AP224" s="9"/>
      <c r="AQ224" s="21">
        <v>0.71243299999999998</v>
      </c>
      <c r="AR224" s="21">
        <v>26.105</v>
      </c>
      <c r="AS224" s="21">
        <v>-1.3986200000000001E-2</v>
      </c>
      <c r="AT224" s="21">
        <v>214</v>
      </c>
      <c r="AU224" s="21">
        <v>0.71176099999999998</v>
      </c>
      <c r="AV224">
        <f t="shared" si="44"/>
        <v>17.266913580246914</v>
      </c>
      <c r="AW224">
        <f t="shared" si="45"/>
        <v>12.30151904271605</v>
      </c>
      <c r="AX224" s="9"/>
      <c r="AY224" s="21">
        <v>0.97763100000000003</v>
      </c>
      <c r="AZ224" s="21">
        <v>29.904</v>
      </c>
      <c r="BA224" s="21">
        <v>-1.3909899999999999E-2</v>
      </c>
      <c r="BB224" s="21">
        <v>214</v>
      </c>
      <c r="BC224" s="21">
        <v>0.97686799999999996</v>
      </c>
      <c r="BD224">
        <f t="shared" si="46"/>
        <v>17.172716049382714</v>
      </c>
      <c r="BE224">
        <f t="shared" si="47"/>
        <v>16.788579564074073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0.70739700000000005</v>
      </c>
      <c r="H225" s="21">
        <v>7.5375899999999998</v>
      </c>
      <c r="I225" s="21">
        <v>-1.40991E-2</v>
      </c>
      <c r="J225" s="21">
        <v>215</v>
      </c>
      <c r="K225" s="21">
        <v>0.70681799999999995</v>
      </c>
      <c r="L225">
        <f t="shared" si="36"/>
        <v>17.406296296296293</v>
      </c>
      <c r="M225">
        <f t="shared" si="37"/>
        <v>12.313161781111111</v>
      </c>
      <c r="N225" s="9"/>
      <c r="O225" s="21">
        <v>0.98266600000000004</v>
      </c>
      <c r="P225" s="21">
        <v>11.336600000000001</v>
      </c>
      <c r="Q225" s="21">
        <v>-1.39679E-2</v>
      </c>
      <c r="R225" s="21">
        <v>215</v>
      </c>
      <c r="S225" s="21">
        <v>0.98144500000000001</v>
      </c>
      <c r="T225">
        <f t="shared" si="38"/>
        <v>17.244320987654319</v>
      </c>
      <c r="U225">
        <f t="shared" si="39"/>
        <v>16.945407927654319</v>
      </c>
      <c r="X225" s="9"/>
      <c r="Y225" s="21">
        <v>0.98266600000000004</v>
      </c>
      <c r="Z225" s="21">
        <v>11.336600000000001</v>
      </c>
      <c r="AA225" s="21">
        <v>-1.39679E-2</v>
      </c>
      <c r="AB225" s="21">
        <v>215</v>
      </c>
      <c r="AC225" s="21">
        <v>0.98144500000000001</v>
      </c>
      <c r="AD225">
        <f t="shared" si="40"/>
        <v>17.244320987654319</v>
      </c>
      <c r="AE225">
        <f t="shared" si="41"/>
        <v>16.945407927654319</v>
      </c>
      <c r="AF225" s="9"/>
      <c r="AG225" s="21">
        <v>0.98266600000000004</v>
      </c>
      <c r="AH225" s="21">
        <v>20.635899999999999</v>
      </c>
      <c r="AI225" s="21">
        <v>-1.3858000000000001E-2</v>
      </c>
      <c r="AJ225" s="21">
        <v>215</v>
      </c>
      <c r="AK225" s="21">
        <v>0.98144500000000001</v>
      </c>
      <c r="AL225">
        <f t="shared" si="42"/>
        <v>17.10864197530864</v>
      </c>
      <c r="AM225">
        <f t="shared" si="43"/>
        <v>16.81208077530864</v>
      </c>
      <c r="AP225" s="9"/>
      <c r="AQ225" s="21">
        <v>0.70739700000000005</v>
      </c>
      <c r="AR225" s="21">
        <v>26.114999999999998</v>
      </c>
      <c r="AS225" s="21">
        <v>-1.39893E-2</v>
      </c>
      <c r="AT225" s="21">
        <v>215</v>
      </c>
      <c r="AU225" s="21">
        <v>0.70684800000000003</v>
      </c>
      <c r="AV225">
        <f t="shared" si="44"/>
        <v>17.270740740740738</v>
      </c>
      <c r="AW225">
        <f t="shared" si="45"/>
        <v>12.217270187777777</v>
      </c>
      <c r="AX225" s="9"/>
      <c r="AY225" s="21">
        <v>0.98266600000000004</v>
      </c>
      <c r="AZ225" s="21">
        <v>29.914100000000001</v>
      </c>
      <c r="BA225" s="21">
        <v>-1.39008E-2</v>
      </c>
      <c r="BB225" s="21">
        <v>215</v>
      </c>
      <c r="BC225" s="21">
        <v>0.98144500000000001</v>
      </c>
      <c r="BD225">
        <f t="shared" si="46"/>
        <v>17.161481481481481</v>
      </c>
      <c r="BE225">
        <f t="shared" si="47"/>
        <v>16.864004361481481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0.70236200000000004</v>
      </c>
      <c r="H226" s="21">
        <v>7.5476599999999996</v>
      </c>
      <c r="I226" s="21">
        <v>-1.40961E-2</v>
      </c>
      <c r="J226" s="21">
        <v>216</v>
      </c>
      <c r="K226" s="21">
        <v>0.70165999999999995</v>
      </c>
      <c r="L226">
        <f t="shared" si="36"/>
        <v>17.40259259259259</v>
      </c>
      <c r="M226">
        <f t="shared" si="37"/>
        <v>12.222919738518518</v>
      </c>
      <c r="N226" s="9"/>
      <c r="O226" s="21">
        <v>0.98770100000000005</v>
      </c>
      <c r="P226" s="21">
        <v>11.3467</v>
      </c>
      <c r="Q226" s="21">
        <v>-1.39679E-2</v>
      </c>
      <c r="R226" s="21">
        <v>216</v>
      </c>
      <c r="S226" s="21">
        <v>0.98663299999999998</v>
      </c>
      <c r="T226">
        <f t="shared" si="38"/>
        <v>17.244320987654319</v>
      </c>
      <c r="U226">
        <f t="shared" si="39"/>
        <v>17.032233083827158</v>
      </c>
      <c r="X226" s="9"/>
      <c r="Y226" s="21">
        <v>0.98770100000000005</v>
      </c>
      <c r="Z226" s="21">
        <v>11.3467</v>
      </c>
      <c r="AA226" s="21">
        <v>-1.39679E-2</v>
      </c>
      <c r="AB226" s="21">
        <v>216</v>
      </c>
      <c r="AC226" s="21">
        <v>0.98663299999999998</v>
      </c>
      <c r="AD226">
        <f t="shared" si="40"/>
        <v>17.244320987654319</v>
      </c>
      <c r="AE226">
        <f t="shared" si="41"/>
        <v>17.032233083827158</v>
      </c>
      <c r="AF226" s="9"/>
      <c r="AG226" s="21">
        <v>0.98770100000000005</v>
      </c>
      <c r="AH226" s="21">
        <v>20.645900000000001</v>
      </c>
      <c r="AI226" s="21">
        <v>-1.3858000000000001E-2</v>
      </c>
      <c r="AJ226" s="21">
        <v>216</v>
      </c>
      <c r="AK226" s="21">
        <v>0.98693799999999998</v>
      </c>
      <c r="AL226">
        <f t="shared" si="42"/>
        <v>17.10864197530864</v>
      </c>
      <c r="AM226">
        <f t="shared" si="43"/>
        <v>16.898222787654319</v>
      </c>
      <c r="AP226" s="9"/>
      <c r="AQ226" s="21">
        <v>0.70236200000000004</v>
      </c>
      <c r="AR226" s="21">
        <v>26.1251</v>
      </c>
      <c r="AS226" s="21">
        <v>-1.39893E-2</v>
      </c>
      <c r="AT226" s="21">
        <v>216</v>
      </c>
      <c r="AU226" s="21">
        <v>0.70169099999999995</v>
      </c>
      <c r="AV226">
        <f t="shared" si="44"/>
        <v>17.270740740740738</v>
      </c>
      <c r="AW226">
        <f t="shared" si="45"/>
        <v>12.130312008148147</v>
      </c>
      <c r="AX226" s="9"/>
      <c r="AY226" s="21">
        <v>0.98770100000000005</v>
      </c>
      <c r="AZ226" s="21">
        <v>29.924199999999999</v>
      </c>
      <c r="BA226" s="21">
        <v>-1.38885E-2</v>
      </c>
      <c r="BB226" s="21">
        <v>216</v>
      </c>
      <c r="BC226" s="21">
        <v>0.98663299999999998</v>
      </c>
      <c r="BD226">
        <f t="shared" si="46"/>
        <v>17.146296296296295</v>
      </c>
      <c r="BE226">
        <f t="shared" si="47"/>
        <v>16.93541399814815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0.69732700000000003</v>
      </c>
      <c r="H227" s="21">
        <v>7.5577300000000003</v>
      </c>
      <c r="I227" s="21">
        <v>-1.40991E-2</v>
      </c>
      <c r="J227" s="21">
        <v>217</v>
      </c>
      <c r="K227" s="21">
        <v>0.69662500000000005</v>
      </c>
      <c r="L227">
        <f t="shared" si="36"/>
        <v>17.406296296296293</v>
      </c>
      <c r="M227">
        <f t="shared" si="37"/>
        <v>12.137880377407406</v>
      </c>
      <c r="N227" s="9"/>
      <c r="O227" s="21">
        <v>0.99273699999999998</v>
      </c>
      <c r="P227" s="21">
        <v>11.3568</v>
      </c>
      <c r="Q227" s="21">
        <v>-1.39679E-2</v>
      </c>
      <c r="R227" s="21">
        <v>217</v>
      </c>
      <c r="S227" s="21">
        <v>0.99182099999999995</v>
      </c>
      <c r="T227">
        <f t="shared" si="38"/>
        <v>17.244320987654319</v>
      </c>
      <c r="U227">
        <f t="shared" si="39"/>
        <v>17.119075484320987</v>
      </c>
      <c r="X227" s="9"/>
      <c r="Y227" s="21">
        <v>0.99273699999999998</v>
      </c>
      <c r="Z227" s="21">
        <v>11.3568</v>
      </c>
      <c r="AA227" s="21">
        <v>-1.39679E-2</v>
      </c>
      <c r="AB227" s="21">
        <v>217</v>
      </c>
      <c r="AC227" s="21">
        <v>0.99182099999999995</v>
      </c>
      <c r="AD227">
        <f t="shared" si="40"/>
        <v>17.244320987654319</v>
      </c>
      <c r="AE227">
        <f t="shared" si="41"/>
        <v>17.119075484320987</v>
      </c>
      <c r="AF227" s="9"/>
      <c r="AG227" s="21">
        <v>0.99273699999999998</v>
      </c>
      <c r="AH227" s="21">
        <v>20.655999999999999</v>
      </c>
      <c r="AI227" s="21">
        <v>-1.3861099999999999E-2</v>
      </c>
      <c r="AJ227" s="21">
        <v>217</v>
      </c>
      <c r="AK227" s="21">
        <v>0.99212599999999995</v>
      </c>
      <c r="AL227">
        <f t="shared" si="42"/>
        <v>17.112469135802467</v>
      </c>
      <c r="AM227">
        <f t="shared" si="43"/>
        <v>16.988181272469134</v>
      </c>
      <c r="AP227" s="9"/>
      <c r="AQ227" s="21">
        <v>0.69732700000000003</v>
      </c>
      <c r="AR227" s="21">
        <v>26.135200000000001</v>
      </c>
      <c r="AS227" s="21">
        <v>-1.3998399999999999E-2</v>
      </c>
      <c r="AT227" s="21">
        <v>217</v>
      </c>
      <c r="AU227" s="21">
        <v>0.69668600000000003</v>
      </c>
      <c r="AV227">
        <f t="shared" si="44"/>
        <v>17.281975308641975</v>
      </c>
      <c r="AW227">
        <f t="shared" si="45"/>
        <v>12.051187996049384</v>
      </c>
      <c r="AX227" s="9"/>
      <c r="AY227" s="21">
        <v>0.99273699999999998</v>
      </c>
      <c r="AZ227" s="21">
        <v>29.934200000000001</v>
      </c>
      <c r="BA227" s="21">
        <v>-1.38885E-2</v>
      </c>
      <c r="BB227" s="21">
        <v>217</v>
      </c>
      <c r="BC227" s="21">
        <v>0.99212599999999995</v>
      </c>
      <c r="BD227">
        <f t="shared" si="46"/>
        <v>17.146296296296295</v>
      </c>
      <c r="BE227">
        <f t="shared" si="47"/>
        <v>17.021762746296297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0.69229099999999999</v>
      </c>
      <c r="H228" s="21">
        <v>7.5678000000000001</v>
      </c>
      <c r="I228" s="21">
        <v>-1.40991E-2</v>
      </c>
      <c r="J228" s="21">
        <v>218</v>
      </c>
      <c r="K228" s="21">
        <v>0.69168099999999999</v>
      </c>
      <c r="L228">
        <f t="shared" si="36"/>
        <v>17.406296296296293</v>
      </c>
      <c r="M228">
        <f t="shared" si="37"/>
        <v>12.050222269259256</v>
      </c>
      <c r="N228" s="9"/>
      <c r="O228" s="21">
        <v>0.99777199999999999</v>
      </c>
      <c r="P228" s="21">
        <v>11.366899999999999</v>
      </c>
      <c r="Q228" s="21">
        <v>-1.3964799999999999E-2</v>
      </c>
      <c r="R228" s="21">
        <v>218</v>
      </c>
      <c r="S228" s="21">
        <v>0.99670400000000003</v>
      </c>
      <c r="T228">
        <f t="shared" si="38"/>
        <v>17.240493827160492</v>
      </c>
      <c r="U228">
        <f t="shared" si="39"/>
        <v>17.202082006913578</v>
      </c>
      <c r="X228" s="9"/>
      <c r="Y228" s="21">
        <v>0.99777199999999999</v>
      </c>
      <c r="Z228" s="21">
        <v>11.366899999999999</v>
      </c>
      <c r="AA228" s="21">
        <v>-1.3964799999999999E-2</v>
      </c>
      <c r="AB228" s="21">
        <v>218</v>
      </c>
      <c r="AC228" s="21">
        <v>0.99670400000000003</v>
      </c>
      <c r="AD228">
        <f t="shared" si="40"/>
        <v>17.240493827160492</v>
      </c>
      <c r="AE228">
        <f t="shared" si="41"/>
        <v>17.202082006913578</v>
      </c>
      <c r="AF228" s="9"/>
      <c r="AG228" s="21">
        <v>0.99777199999999999</v>
      </c>
      <c r="AH228" s="21">
        <v>20.6661</v>
      </c>
      <c r="AI228" s="21">
        <v>-1.38519E-2</v>
      </c>
      <c r="AJ228" s="21">
        <v>218</v>
      </c>
      <c r="AK228" s="21">
        <v>0.99731400000000003</v>
      </c>
      <c r="AL228">
        <f t="shared" si="42"/>
        <v>17.101111111111113</v>
      </c>
      <c r="AM228">
        <f t="shared" si="43"/>
        <v>17.063009835555558</v>
      </c>
      <c r="AP228" s="9"/>
      <c r="AQ228" s="21">
        <v>0.69229099999999999</v>
      </c>
      <c r="AR228" s="21">
        <v>26.145199999999999</v>
      </c>
      <c r="AS228" s="21">
        <v>-1.40137E-2</v>
      </c>
      <c r="AT228" s="21">
        <v>218</v>
      </c>
      <c r="AU228" s="21">
        <v>0.69183300000000003</v>
      </c>
      <c r="AV228">
        <f t="shared" si="44"/>
        <v>17.300864197530863</v>
      </c>
      <c r="AW228">
        <f t="shared" si="45"/>
        <v>11.977232576172838</v>
      </c>
      <c r="AX228" s="9"/>
      <c r="AY228" s="21">
        <v>0.99777199999999999</v>
      </c>
      <c r="AZ228" s="21">
        <v>29.944299999999998</v>
      </c>
      <c r="BA228" s="21">
        <v>-1.38855E-2</v>
      </c>
      <c r="BB228" s="21">
        <v>218</v>
      </c>
      <c r="BC228" s="21">
        <v>0.99700900000000003</v>
      </c>
      <c r="BD228">
        <f t="shared" si="46"/>
        <v>17.142592592592592</v>
      </c>
      <c r="BE228">
        <f t="shared" si="47"/>
        <v>17.104398896296296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0.68725599999999998</v>
      </c>
      <c r="H229" s="21">
        <v>7.5778800000000004</v>
      </c>
      <c r="I229" s="21">
        <v>-1.40961E-2</v>
      </c>
      <c r="J229" s="21">
        <v>219</v>
      </c>
      <c r="K229" s="21">
        <v>0.68643200000000004</v>
      </c>
      <c r="L229">
        <f t="shared" si="36"/>
        <v>17.40259259259259</v>
      </c>
      <c r="M229">
        <f t="shared" si="37"/>
        <v>11.960036174814812</v>
      </c>
      <c r="N229" s="9"/>
      <c r="O229" s="21">
        <v>1.00281</v>
      </c>
      <c r="P229" s="21">
        <v>11.376899999999999</v>
      </c>
      <c r="Q229" s="21">
        <v>-1.39618E-2</v>
      </c>
      <c r="R229" s="21">
        <v>219</v>
      </c>
      <c r="S229" s="21">
        <v>1.0022</v>
      </c>
      <c r="T229">
        <f t="shared" si="38"/>
        <v>17.236790123456789</v>
      </c>
      <c r="U229">
        <f t="shared" si="39"/>
        <v>17.285225503703703</v>
      </c>
      <c r="X229" s="9"/>
      <c r="Y229" s="21">
        <v>1.00281</v>
      </c>
      <c r="Z229" s="21">
        <v>11.376899999999999</v>
      </c>
      <c r="AA229" s="21">
        <v>-1.39618E-2</v>
      </c>
      <c r="AB229" s="21">
        <v>219</v>
      </c>
      <c r="AC229" s="21">
        <v>1.0022</v>
      </c>
      <c r="AD229">
        <f t="shared" si="40"/>
        <v>17.236790123456789</v>
      </c>
      <c r="AE229">
        <f t="shared" si="41"/>
        <v>17.285225503703703</v>
      </c>
      <c r="AF229" s="9"/>
      <c r="AG229" s="21">
        <v>1.00281</v>
      </c>
      <c r="AH229" s="21">
        <v>20.676100000000002</v>
      </c>
      <c r="AI229" s="21">
        <v>-1.38397E-2</v>
      </c>
      <c r="AJ229" s="21">
        <v>219</v>
      </c>
      <c r="AK229" s="21">
        <v>1.0022</v>
      </c>
      <c r="AL229">
        <f t="shared" si="42"/>
        <v>17.086049382716048</v>
      </c>
      <c r="AM229">
        <f t="shared" si="43"/>
        <v>17.134061181481481</v>
      </c>
      <c r="AP229" s="9"/>
      <c r="AQ229" s="21">
        <v>0.68725599999999998</v>
      </c>
      <c r="AR229" s="21">
        <v>26.1553</v>
      </c>
      <c r="AS229" s="21">
        <v>-1.4019800000000001E-2</v>
      </c>
      <c r="AT229" s="21">
        <v>219</v>
      </c>
      <c r="AU229" s="21">
        <v>0.68661499999999998</v>
      </c>
      <c r="AV229">
        <f t="shared" si="44"/>
        <v>17.308395061728394</v>
      </c>
      <c r="AW229">
        <f t="shared" si="45"/>
        <v>11.89529835654321</v>
      </c>
      <c r="AX229" s="9"/>
      <c r="AY229" s="21">
        <v>1.00281</v>
      </c>
      <c r="AZ229" s="21">
        <v>29.9544</v>
      </c>
      <c r="BA229" s="21">
        <v>-1.38855E-2</v>
      </c>
      <c r="BB229" s="21">
        <v>219</v>
      </c>
      <c r="BC229" s="21">
        <v>1.0018899999999999</v>
      </c>
      <c r="BD229">
        <f t="shared" si="46"/>
        <v>17.142592592592592</v>
      </c>
      <c r="BE229">
        <f t="shared" si="47"/>
        <v>17.190763277777776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0.68222000000000005</v>
      </c>
      <c r="H230" s="21">
        <v>7.5879500000000002</v>
      </c>
      <c r="I230" s="21">
        <v>-1.40839E-2</v>
      </c>
      <c r="J230" s="21">
        <v>220</v>
      </c>
      <c r="K230" s="21">
        <v>0.68157999999999996</v>
      </c>
      <c r="L230">
        <f t="shared" si="36"/>
        <v>17.387530864197529</v>
      </c>
      <c r="M230">
        <f t="shared" si="37"/>
        <v>11.86212130617284</v>
      </c>
      <c r="N230" s="9"/>
      <c r="O230" s="21">
        <v>1.0078400000000001</v>
      </c>
      <c r="P230" s="21">
        <v>11.387</v>
      </c>
      <c r="Q230" s="21">
        <v>-1.3946500000000001E-2</v>
      </c>
      <c r="R230" s="21">
        <v>220</v>
      </c>
      <c r="S230" s="21">
        <v>1.0067699999999999</v>
      </c>
      <c r="T230">
        <f t="shared" si="38"/>
        <v>17.217901234567901</v>
      </c>
      <c r="U230">
        <f t="shared" si="39"/>
        <v>17.352889580246913</v>
      </c>
      <c r="X230" s="9"/>
      <c r="Y230" s="21">
        <v>1.0078400000000001</v>
      </c>
      <c r="Z230" s="21">
        <v>11.387</v>
      </c>
      <c r="AA230" s="21">
        <v>-1.3946500000000001E-2</v>
      </c>
      <c r="AB230" s="21">
        <v>220</v>
      </c>
      <c r="AC230" s="21">
        <v>1.0067699999999999</v>
      </c>
      <c r="AD230">
        <f t="shared" si="40"/>
        <v>17.217901234567901</v>
      </c>
      <c r="AE230">
        <f t="shared" si="41"/>
        <v>17.352889580246913</v>
      </c>
      <c r="AF230" s="9"/>
      <c r="AG230" s="21">
        <v>1.0078400000000001</v>
      </c>
      <c r="AH230" s="21">
        <v>20.686199999999999</v>
      </c>
      <c r="AI230" s="21">
        <v>-1.38336E-2</v>
      </c>
      <c r="AJ230" s="21">
        <v>220</v>
      </c>
      <c r="AK230" s="21">
        <v>1.00647</v>
      </c>
      <c r="AL230">
        <f t="shared" si="42"/>
        <v>17.078518518518518</v>
      </c>
      <c r="AM230">
        <f t="shared" si="43"/>
        <v>17.212414103703704</v>
      </c>
      <c r="AP230" s="9"/>
      <c r="AQ230" s="21">
        <v>0.68222000000000005</v>
      </c>
      <c r="AR230" s="21">
        <v>26.165400000000002</v>
      </c>
      <c r="AS230" s="21">
        <v>-1.4025900000000001E-2</v>
      </c>
      <c r="AT230" s="21">
        <v>220</v>
      </c>
      <c r="AU230" s="21">
        <v>0.68157999999999996</v>
      </c>
      <c r="AV230">
        <f t="shared" si="44"/>
        <v>17.315925925925924</v>
      </c>
      <c r="AW230">
        <f t="shared" si="45"/>
        <v>11.813270985185184</v>
      </c>
      <c r="AX230" s="9"/>
      <c r="AY230" s="21">
        <v>1.0078400000000001</v>
      </c>
      <c r="AZ230" s="21">
        <v>29.964400000000001</v>
      </c>
      <c r="BA230" s="21">
        <v>-1.38824E-2</v>
      </c>
      <c r="BB230" s="21">
        <v>220</v>
      </c>
      <c r="BC230" s="21">
        <v>1.0067699999999999</v>
      </c>
      <c r="BD230">
        <f t="shared" si="46"/>
        <v>17.138765432098765</v>
      </c>
      <c r="BE230">
        <f t="shared" si="47"/>
        <v>17.273133353086422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0.67718500000000004</v>
      </c>
      <c r="H231" s="21">
        <v>7.59802</v>
      </c>
      <c r="I231" s="21">
        <v>-1.40839E-2</v>
      </c>
      <c r="J231" s="21">
        <v>221</v>
      </c>
      <c r="K231" s="21">
        <v>0.67657500000000004</v>
      </c>
      <c r="L231">
        <f t="shared" si="36"/>
        <v>17.387530864197529</v>
      </c>
      <c r="M231">
        <f t="shared" si="37"/>
        <v>11.774575088271604</v>
      </c>
      <c r="N231" s="9"/>
      <c r="O231" s="21">
        <v>1.01288</v>
      </c>
      <c r="P231" s="21">
        <v>11.3971</v>
      </c>
      <c r="Q231" s="21">
        <v>-1.39496E-2</v>
      </c>
      <c r="R231" s="21">
        <v>221</v>
      </c>
      <c r="S231" s="21">
        <v>1.01227</v>
      </c>
      <c r="T231">
        <f t="shared" si="38"/>
        <v>17.221728395061724</v>
      </c>
      <c r="U231">
        <f t="shared" si="39"/>
        <v>17.443544256790119</v>
      </c>
      <c r="X231" s="9"/>
      <c r="Y231" s="21">
        <v>1.01288</v>
      </c>
      <c r="Z231" s="21">
        <v>11.3971</v>
      </c>
      <c r="AA231" s="21">
        <v>-1.39496E-2</v>
      </c>
      <c r="AB231" s="21">
        <v>221</v>
      </c>
      <c r="AC231" s="21">
        <v>1.01227</v>
      </c>
      <c r="AD231">
        <f t="shared" si="40"/>
        <v>17.221728395061724</v>
      </c>
      <c r="AE231">
        <f t="shared" si="41"/>
        <v>17.443544256790119</v>
      </c>
      <c r="AF231" s="9"/>
      <c r="AG231" s="21">
        <v>1.01288</v>
      </c>
      <c r="AH231" s="21">
        <v>20.696300000000001</v>
      </c>
      <c r="AI231" s="21">
        <v>-1.38336E-2</v>
      </c>
      <c r="AJ231" s="21">
        <v>221</v>
      </c>
      <c r="AK231" s="21">
        <v>1.01196</v>
      </c>
      <c r="AL231">
        <f t="shared" si="42"/>
        <v>17.078518518518518</v>
      </c>
      <c r="AM231">
        <f t="shared" si="43"/>
        <v>17.298489837037035</v>
      </c>
      <c r="AP231" s="9"/>
      <c r="AQ231" s="21">
        <v>0.67718500000000004</v>
      </c>
      <c r="AR231" s="21">
        <v>26.1755</v>
      </c>
      <c r="AS231" s="21">
        <v>-1.40289E-2</v>
      </c>
      <c r="AT231" s="21">
        <v>221</v>
      </c>
      <c r="AU231" s="21">
        <v>0.67651399999999995</v>
      </c>
      <c r="AV231">
        <f t="shared" si="44"/>
        <v>17.319629629629631</v>
      </c>
      <c r="AW231">
        <f t="shared" si="45"/>
        <v>11.728593390740743</v>
      </c>
      <c r="AX231" s="9"/>
      <c r="AY231" s="21">
        <v>1.01288</v>
      </c>
      <c r="AZ231" s="21">
        <v>29.974499999999999</v>
      </c>
      <c r="BA231" s="21">
        <v>-1.38855E-2</v>
      </c>
      <c r="BB231" s="21">
        <v>221</v>
      </c>
      <c r="BC231" s="21">
        <v>1.01196</v>
      </c>
      <c r="BD231">
        <f t="shared" si="46"/>
        <v>17.142592592592592</v>
      </c>
      <c r="BE231">
        <f t="shared" si="47"/>
        <v>17.363389185185184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0.67215000000000003</v>
      </c>
      <c r="H232" s="21">
        <v>7.6080899999999998</v>
      </c>
      <c r="I232" s="21">
        <v>-1.4086899999999999E-2</v>
      </c>
      <c r="J232" s="21">
        <v>222</v>
      </c>
      <c r="K232" s="21">
        <v>0.67141700000000004</v>
      </c>
      <c r="L232">
        <f t="shared" si="36"/>
        <v>17.391234567901233</v>
      </c>
      <c r="M232">
        <f t="shared" si="37"/>
        <v>11.689518314814814</v>
      </c>
      <c r="N232" s="9"/>
      <c r="O232" s="21">
        <v>1.0179100000000001</v>
      </c>
      <c r="P232" s="21">
        <v>11.4071</v>
      </c>
      <c r="Q232" s="21">
        <v>-1.39557E-2</v>
      </c>
      <c r="R232" s="21">
        <v>222</v>
      </c>
      <c r="S232" s="21">
        <v>1.01654</v>
      </c>
      <c r="T232">
        <f t="shared" si="38"/>
        <v>17.229259259259258</v>
      </c>
      <c r="U232">
        <f t="shared" si="39"/>
        <v>17.537835292592593</v>
      </c>
      <c r="X232" s="9"/>
      <c r="Y232" s="21">
        <v>1.0179100000000001</v>
      </c>
      <c r="Z232" s="21">
        <v>11.4071</v>
      </c>
      <c r="AA232" s="21">
        <v>-1.39557E-2</v>
      </c>
      <c r="AB232" s="21">
        <v>222</v>
      </c>
      <c r="AC232" s="21">
        <v>1.01654</v>
      </c>
      <c r="AD232">
        <f t="shared" si="40"/>
        <v>17.229259259259258</v>
      </c>
      <c r="AE232">
        <f t="shared" si="41"/>
        <v>17.537835292592593</v>
      </c>
      <c r="AF232" s="9"/>
      <c r="AG232" s="21">
        <v>1.0179100000000001</v>
      </c>
      <c r="AH232" s="21">
        <v>20.706399999999999</v>
      </c>
      <c r="AI232" s="21">
        <v>-1.38306E-2</v>
      </c>
      <c r="AJ232" s="21">
        <v>222</v>
      </c>
      <c r="AK232" s="21">
        <v>1.01685</v>
      </c>
      <c r="AL232">
        <f t="shared" si="42"/>
        <v>17.074814814814815</v>
      </c>
      <c r="AM232">
        <f t="shared" si="43"/>
        <v>17.380624748148151</v>
      </c>
      <c r="AP232" s="9"/>
      <c r="AQ232" s="21">
        <v>0.67215000000000003</v>
      </c>
      <c r="AR232" s="21">
        <v>26.185500000000001</v>
      </c>
      <c r="AS232" s="21">
        <v>-1.4041100000000001E-2</v>
      </c>
      <c r="AT232" s="21">
        <v>222</v>
      </c>
      <c r="AU232" s="21">
        <v>0.67144800000000004</v>
      </c>
      <c r="AV232">
        <f t="shared" si="44"/>
        <v>17.334691358024692</v>
      </c>
      <c r="AW232">
        <f t="shared" si="45"/>
        <v>11.651512796296297</v>
      </c>
      <c r="AX232" s="9"/>
      <c r="AY232" s="21">
        <v>1.0179100000000001</v>
      </c>
      <c r="AZ232" s="21">
        <v>29.9846</v>
      </c>
      <c r="BA232" s="21">
        <v>-1.38824E-2</v>
      </c>
      <c r="BB232" s="21">
        <v>222</v>
      </c>
      <c r="BC232" s="21">
        <v>1.01715</v>
      </c>
      <c r="BD232">
        <f t="shared" si="46"/>
        <v>17.138765432098765</v>
      </c>
      <c r="BE232">
        <f t="shared" si="47"/>
        <v>17.445720720987655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0.66711399999999998</v>
      </c>
      <c r="H233" s="21">
        <v>7.6181599999999996</v>
      </c>
      <c r="I233" s="21">
        <v>-1.40839E-2</v>
      </c>
      <c r="J233" s="21">
        <v>223</v>
      </c>
      <c r="K233" s="21">
        <v>0.66665600000000003</v>
      </c>
      <c r="L233">
        <f t="shared" si="36"/>
        <v>17.387530864197529</v>
      </c>
      <c r="M233">
        <f t="shared" si="37"/>
        <v>11.599465264938271</v>
      </c>
      <c r="N233" s="9"/>
      <c r="O233" s="21">
        <v>1.02295</v>
      </c>
      <c r="P233" s="21">
        <v>11.417199999999999</v>
      </c>
      <c r="Q233" s="21">
        <v>-1.3952600000000001E-2</v>
      </c>
      <c r="R233" s="21">
        <v>223</v>
      </c>
      <c r="S233" s="21">
        <v>1.02173</v>
      </c>
      <c r="T233">
        <f t="shared" si="38"/>
        <v>17.225432098765431</v>
      </c>
      <c r="U233">
        <f t="shared" si="39"/>
        <v>17.620755765432097</v>
      </c>
      <c r="X233" s="9"/>
      <c r="Y233" s="21">
        <v>1.02295</v>
      </c>
      <c r="Z233" s="21">
        <v>11.417199999999999</v>
      </c>
      <c r="AA233" s="21">
        <v>-1.3952600000000001E-2</v>
      </c>
      <c r="AB233" s="21">
        <v>223</v>
      </c>
      <c r="AC233" s="21">
        <v>1.02173</v>
      </c>
      <c r="AD233">
        <f t="shared" si="40"/>
        <v>17.225432098765431</v>
      </c>
      <c r="AE233">
        <f t="shared" si="41"/>
        <v>17.620755765432097</v>
      </c>
      <c r="AF233" s="9"/>
      <c r="AG233" s="21">
        <v>1.02295</v>
      </c>
      <c r="AH233" s="21">
        <v>20.7164</v>
      </c>
      <c r="AI233" s="21">
        <v>-1.38245E-2</v>
      </c>
      <c r="AJ233" s="21">
        <v>223</v>
      </c>
      <c r="AK233" s="21">
        <v>1.02234</v>
      </c>
      <c r="AL233">
        <f t="shared" si="42"/>
        <v>17.067283950617281</v>
      </c>
      <c r="AM233">
        <f t="shared" si="43"/>
        <v>17.458978117283948</v>
      </c>
      <c r="AP233" s="9"/>
      <c r="AQ233" s="21">
        <v>0.66711399999999998</v>
      </c>
      <c r="AR233" s="21">
        <v>26.195599999999999</v>
      </c>
      <c r="AS233" s="21">
        <v>-1.40442E-2</v>
      </c>
      <c r="AT233" s="21">
        <v>223</v>
      </c>
      <c r="AU233" s="21">
        <v>0.66650399999999999</v>
      </c>
      <c r="AV233">
        <f t="shared" si="44"/>
        <v>17.338518518518516</v>
      </c>
      <c r="AW233">
        <f t="shared" si="45"/>
        <v>11.56676844296296</v>
      </c>
      <c r="AX233" s="9"/>
      <c r="AY233" s="21">
        <v>1.02295</v>
      </c>
      <c r="AZ233" s="21">
        <v>29.994700000000002</v>
      </c>
      <c r="BA233" s="21">
        <v>-1.38824E-2</v>
      </c>
      <c r="BB233" s="21">
        <v>223</v>
      </c>
      <c r="BC233" s="21">
        <v>1.02142</v>
      </c>
      <c r="BD233">
        <f t="shared" si="46"/>
        <v>17.138765432098765</v>
      </c>
      <c r="BE233">
        <f t="shared" si="47"/>
        <v>17.532100098765433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0.66207899999999997</v>
      </c>
      <c r="H234" s="21">
        <v>7.6282300000000003</v>
      </c>
      <c r="I234" s="21">
        <v>-1.4080799999999999E-2</v>
      </c>
      <c r="J234" s="21">
        <v>224</v>
      </c>
      <c r="K234" s="21">
        <v>0.66152999999999995</v>
      </c>
      <c r="L234">
        <f t="shared" si="36"/>
        <v>17.383703703703702</v>
      </c>
      <c r="M234">
        <f t="shared" si="37"/>
        <v>11.509385164444442</v>
      </c>
      <c r="N234" s="9"/>
      <c r="O234" s="21">
        <v>1.0279799999999999</v>
      </c>
      <c r="P234" s="21">
        <v>11.427300000000001</v>
      </c>
      <c r="Q234" s="21">
        <v>-1.3958699999999999E-2</v>
      </c>
      <c r="R234" s="21">
        <v>224</v>
      </c>
      <c r="S234" s="21">
        <v>1.02661</v>
      </c>
      <c r="T234">
        <f t="shared" si="38"/>
        <v>17.232962962962961</v>
      </c>
      <c r="U234">
        <f t="shared" si="39"/>
        <v>17.715141266666663</v>
      </c>
      <c r="X234" s="9"/>
      <c r="Y234" s="21">
        <v>1.0279799999999999</v>
      </c>
      <c r="Z234" s="21">
        <v>11.427300000000001</v>
      </c>
      <c r="AA234" s="21">
        <v>-1.3958699999999999E-2</v>
      </c>
      <c r="AB234" s="21">
        <v>224</v>
      </c>
      <c r="AC234" s="21">
        <v>1.02661</v>
      </c>
      <c r="AD234">
        <f t="shared" si="40"/>
        <v>17.232962962962961</v>
      </c>
      <c r="AE234">
        <f t="shared" si="41"/>
        <v>17.715141266666663</v>
      </c>
      <c r="AF234" s="9"/>
      <c r="AG234" s="21">
        <v>1.0279799999999999</v>
      </c>
      <c r="AH234" s="21">
        <v>20.726500000000001</v>
      </c>
      <c r="AI234" s="21">
        <v>-1.3821399999999999E-2</v>
      </c>
      <c r="AJ234" s="21">
        <v>224</v>
      </c>
      <c r="AK234" s="21">
        <v>1.02722</v>
      </c>
      <c r="AL234">
        <f t="shared" si="42"/>
        <v>17.063456790123453</v>
      </c>
      <c r="AM234">
        <f t="shared" si="43"/>
        <v>17.540892311111104</v>
      </c>
      <c r="AP234" s="9"/>
      <c r="AQ234" s="21">
        <v>0.66207899999999997</v>
      </c>
      <c r="AR234" s="21">
        <v>26.2057</v>
      </c>
      <c r="AS234" s="21">
        <v>-1.4041100000000001E-2</v>
      </c>
      <c r="AT234" s="21">
        <v>224</v>
      </c>
      <c r="AU234" s="21">
        <v>0.66140699999999997</v>
      </c>
      <c r="AV234">
        <f t="shared" si="44"/>
        <v>17.334691358024692</v>
      </c>
      <c r="AW234">
        <f t="shared" si="45"/>
        <v>11.47693511962963</v>
      </c>
      <c r="AX234" s="9"/>
      <c r="AY234" s="21">
        <v>1.0279799999999999</v>
      </c>
      <c r="AZ234" s="21">
        <v>30.0047</v>
      </c>
      <c r="BA234" s="21">
        <v>-1.38672E-2</v>
      </c>
      <c r="BB234" s="21">
        <v>224</v>
      </c>
      <c r="BC234" s="21">
        <v>1.02722</v>
      </c>
      <c r="BD234">
        <f t="shared" si="46"/>
        <v>17.12</v>
      </c>
      <c r="BE234">
        <f t="shared" si="47"/>
        <v>17.5990176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0.65704300000000004</v>
      </c>
      <c r="H235" s="21">
        <v>7.6383000000000001</v>
      </c>
      <c r="I235" s="21">
        <v>-1.40839E-2</v>
      </c>
      <c r="J235" s="21">
        <v>225</v>
      </c>
      <c r="K235" s="21">
        <v>0.65634199999999998</v>
      </c>
      <c r="L235">
        <f t="shared" si="36"/>
        <v>17.387530864197529</v>
      </c>
      <c r="M235">
        <f t="shared" si="37"/>
        <v>11.424355441604938</v>
      </c>
      <c r="N235" s="9"/>
      <c r="O235" s="21">
        <v>1.03302</v>
      </c>
      <c r="P235" s="21">
        <v>11.4373</v>
      </c>
      <c r="Q235" s="21">
        <v>-1.3952600000000001E-2</v>
      </c>
      <c r="R235" s="21">
        <v>225</v>
      </c>
      <c r="S235" s="21">
        <v>1.03149</v>
      </c>
      <c r="T235">
        <f t="shared" si="38"/>
        <v>17.225432098765431</v>
      </c>
      <c r="U235">
        <f t="shared" si="39"/>
        <v>17.794215866666665</v>
      </c>
      <c r="X235" s="9"/>
      <c r="Y235" s="21">
        <v>1.03302</v>
      </c>
      <c r="Z235" s="21">
        <v>11.4373</v>
      </c>
      <c r="AA235" s="21">
        <v>-1.3952600000000001E-2</v>
      </c>
      <c r="AB235" s="21">
        <v>225</v>
      </c>
      <c r="AC235" s="21">
        <v>1.03149</v>
      </c>
      <c r="AD235">
        <f t="shared" si="40"/>
        <v>17.225432098765431</v>
      </c>
      <c r="AE235">
        <f t="shared" si="41"/>
        <v>17.794215866666665</v>
      </c>
      <c r="AF235" s="9"/>
      <c r="AG235" s="21">
        <v>1.03302</v>
      </c>
      <c r="AH235" s="21">
        <v>20.736599999999999</v>
      </c>
      <c r="AI235" s="21">
        <v>-1.38123E-2</v>
      </c>
      <c r="AJ235" s="21">
        <v>225</v>
      </c>
      <c r="AK235" s="21">
        <v>1.03241</v>
      </c>
      <c r="AL235">
        <f t="shared" si="42"/>
        <v>17.052222222222223</v>
      </c>
      <c r="AM235">
        <f t="shared" si="43"/>
        <v>17.615286600000001</v>
      </c>
      <c r="AP235" s="9"/>
      <c r="AQ235" s="21">
        <v>0.65704300000000004</v>
      </c>
      <c r="AR235" s="21">
        <v>26.215699999999998</v>
      </c>
      <c r="AS235" s="21">
        <v>-1.40289E-2</v>
      </c>
      <c r="AT235" s="21">
        <v>225</v>
      </c>
      <c r="AU235" s="21">
        <v>0.65625</v>
      </c>
      <c r="AV235">
        <f t="shared" si="44"/>
        <v>17.319629629629631</v>
      </c>
      <c r="AW235">
        <f t="shared" si="45"/>
        <v>11.379741410740742</v>
      </c>
      <c r="AX235" s="9"/>
      <c r="AY235" s="21">
        <v>1.03302</v>
      </c>
      <c r="AZ235" s="21">
        <v>30.014800000000001</v>
      </c>
      <c r="BA235" s="21">
        <v>-1.38519E-2</v>
      </c>
      <c r="BB235" s="21">
        <v>225</v>
      </c>
      <c r="BC235" s="21">
        <v>1.0318000000000001</v>
      </c>
      <c r="BD235">
        <f t="shared" si="46"/>
        <v>17.101111111111113</v>
      </c>
      <c r="BE235">
        <f t="shared" si="47"/>
        <v>17.665789800000002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0.65200800000000003</v>
      </c>
      <c r="H236" s="21">
        <v>7.6483699999999999</v>
      </c>
      <c r="I236" s="21">
        <v>-1.40961E-2</v>
      </c>
      <c r="J236" s="21">
        <v>226</v>
      </c>
      <c r="K236" s="21">
        <v>0.65130600000000005</v>
      </c>
      <c r="L236">
        <f t="shared" si="36"/>
        <v>17.40259259259259</v>
      </c>
      <c r="M236">
        <f t="shared" si="37"/>
        <v>11.34662959111111</v>
      </c>
      <c r="N236" s="9"/>
      <c r="O236" s="21">
        <v>1.03806</v>
      </c>
      <c r="P236" s="21">
        <v>11.4474</v>
      </c>
      <c r="Q236" s="21">
        <v>-1.3943499999999999E-2</v>
      </c>
      <c r="R236" s="21">
        <v>226</v>
      </c>
      <c r="S236" s="21">
        <v>1.0369900000000001</v>
      </c>
      <c r="T236">
        <f t="shared" si="38"/>
        <v>17.214197530864197</v>
      </c>
      <c r="U236">
        <f t="shared" si="39"/>
        <v>17.869369888888887</v>
      </c>
      <c r="X236" s="9"/>
      <c r="Y236" s="21">
        <v>1.03806</v>
      </c>
      <c r="Z236" s="21">
        <v>11.4474</v>
      </c>
      <c r="AA236" s="21">
        <v>-1.3943499999999999E-2</v>
      </c>
      <c r="AB236" s="21">
        <v>226</v>
      </c>
      <c r="AC236" s="21">
        <v>1.0369900000000001</v>
      </c>
      <c r="AD236">
        <f t="shared" si="40"/>
        <v>17.214197530864197</v>
      </c>
      <c r="AE236">
        <f t="shared" si="41"/>
        <v>17.869369888888887</v>
      </c>
      <c r="AF236" s="9"/>
      <c r="AG236" s="21">
        <v>1.03806</v>
      </c>
      <c r="AH236" s="21">
        <v>20.746600000000001</v>
      </c>
      <c r="AI236" s="21">
        <v>-1.37939E-2</v>
      </c>
      <c r="AJ236" s="21">
        <v>226</v>
      </c>
      <c r="AK236" s="21">
        <v>1.03729</v>
      </c>
      <c r="AL236">
        <f t="shared" si="42"/>
        <v>17.029506172839504</v>
      </c>
      <c r="AM236">
        <f t="shared" si="43"/>
        <v>17.677649177777774</v>
      </c>
      <c r="AP236" s="9"/>
      <c r="AQ236" s="21">
        <v>0.65200800000000003</v>
      </c>
      <c r="AR236" s="21">
        <v>26.2258</v>
      </c>
      <c r="AS236" s="21">
        <v>-1.40228E-2</v>
      </c>
      <c r="AT236" s="21">
        <v>226</v>
      </c>
      <c r="AU236" s="21">
        <v>0.65130600000000005</v>
      </c>
      <c r="AV236">
        <f t="shared" si="44"/>
        <v>17.312098765432097</v>
      </c>
      <c r="AW236">
        <f t="shared" si="45"/>
        <v>11.287626891851851</v>
      </c>
      <c r="AX236" s="9"/>
      <c r="AY236" s="21">
        <v>1.03806</v>
      </c>
      <c r="AZ236" s="21">
        <v>30.024899999999999</v>
      </c>
      <c r="BA236" s="21">
        <v>-1.3854999999999999E-2</v>
      </c>
      <c r="BB236" s="21">
        <v>226</v>
      </c>
      <c r="BC236" s="21">
        <v>1.0369900000000001</v>
      </c>
      <c r="BD236">
        <f t="shared" si="46"/>
        <v>17.104938271604937</v>
      </c>
      <c r="BE236">
        <f t="shared" si="47"/>
        <v>17.75595222222222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0.64697300000000002</v>
      </c>
      <c r="H237" s="21">
        <v>7.6584399999999997</v>
      </c>
      <c r="I237" s="21">
        <v>-1.41022E-2</v>
      </c>
      <c r="J237" s="21">
        <v>227</v>
      </c>
      <c r="K237" s="21">
        <v>0.646393</v>
      </c>
      <c r="L237">
        <f t="shared" si="36"/>
        <v>17.410123456790124</v>
      </c>
      <c r="M237">
        <f t="shared" si="37"/>
        <v>11.263879803209878</v>
      </c>
      <c r="N237" s="9"/>
      <c r="O237" s="21">
        <v>1.0430900000000001</v>
      </c>
      <c r="P237" s="21">
        <v>11.4575</v>
      </c>
      <c r="Q237" s="21">
        <v>-1.39221E-2</v>
      </c>
      <c r="R237" s="21">
        <v>227</v>
      </c>
      <c r="S237" s="21">
        <v>1.04156</v>
      </c>
      <c r="T237">
        <f t="shared" si="38"/>
        <v>17.187777777777779</v>
      </c>
      <c r="U237">
        <f t="shared" si="39"/>
        <v>17.928399122222224</v>
      </c>
      <c r="X237" s="9"/>
      <c r="Y237" s="21">
        <v>1.0430900000000001</v>
      </c>
      <c r="Z237" s="21">
        <v>11.4575</v>
      </c>
      <c r="AA237" s="21">
        <v>-1.39221E-2</v>
      </c>
      <c r="AB237" s="21">
        <v>227</v>
      </c>
      <c r="AC237" s="21">
        <v>1.04156</v>
      </c>
      <c r="AD237">
        <f t="shared" si="40"/>
        <v>17.187777777777779</v>
      </c>
      <c r="AE237">
        <f t="shared" si="41"/>
        <v>17.928399122222224</v>
      </c>
      <c r="AF237" s="9"/>
      <c r="AG237" s="21">
        <v>1.0430900000000001</v>
      </c>
      <c r="AH237" s="21">
        <v>20.756699999999999</v>
      </c>
      <c r="AI237" s="21">
        <v>-1.3787799999999999E-2</v>
      </c>
      <c r="AJ237" s="21">
        <v>227</v>
      </c>
      <c r="AK237" s="21">
        <v>1.0418700000000001</v>
      </c>
      <c r="AL237">
        <f t="shared" si="42"/>
        <v>17.021975308641974</v>
      </c>
      <c r="AM237">
        <f t="shared" si="43"/>
        <v>17.755452224691357</v>
      </c>
      <c r="AP237" s="9"/>
      <c r="AQ237" s="21">
        <v>0.64697300000000002</v>
      </c>
      <c r="AR237" s="21">
        <v>26.235900000000001</v>
      </c>
      <c r="AS237" s="21">
        <v>-1.40167E-2</v>
      </c>
      <c r="AT237" s="21">
        <v>227</v>
      </c>
      <c r="AU237" s="21">
        <v>0.64636199999999999</v>
      </c>
      <c r="AV237">
        <f t="shared" si="44"/>
        <v>17.304567901234567</v>
      </c>
      <c r="AW237">
        <f t="shared" si="45"/>
        <v>11.195588208765432</v>
      </c>
      <c r="AX237" s="9"/>
      <c r="AY237" s="21">
        <v>1.0430900000000001</v>
      </c>
      <c r="AZ237" s="21">
        <v>30.0349</v>
      </c>
      <c r="BA237" s="21">
        <v>-1.38519E-2</v>
      </c>
      <c r="BB237" s="21">
        <v>227</v>
      </c>
      <c r="BC237" s="21">
        <v>1.0421800000000001</v>
      </c>
      <c r="BD237">
        <f t="shared" si="46"/>
        <v>17.101111111111113</v>
      </c>
      <c r="BE237">
        <f t="shared" si="47"/>
        <v>17.83799798888889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0.64193699999999998</v>
      </c>
      <c r="H238" s="21">
        <v>7.6685100000000004</v>
      </c>
      <c r="I238" s="21">
        <v>-1.41022E-2</v>
      </c>
      <c r="J238" s="21">
        <v>228</v>
      </c>
      <c r="K238" s="21">
        <v>0.641266</v>
      </c>
      <c r="L238">
        <f t="shared" si="36"/>
        <v>17.410123456790124</v>
      </c>
      <c r="M238">
        <f t="shared" si="37"/>
        <v>11.176202421481483</v>
      </c>
      <c r="N238" s="9"/>
      <c r="O238" s="21">
        <v>1.04813</v>
      </c>
      <c r="P238" s="21">
        <v>11.467599999999999</v>
      </c>
      <c r="Q238" s="21">
        <v>-1.39008E-2</v>
      </c>
      <c r="R238" s="21">
        <v>228</v>
      </c>
      <c r="S238" s="21">
        <v>1.0473600000000001</v>
      </c>
      <c r="T238">
        <f t="shared" si="38"/>
        <v>17.161481481481481</v>
      </c>
      <c r="U238">
        <f t="shared" si="39"/>
        <v>17.987463585185186</v>
      </c>
      <c r="X238" s="9"/>
      <c r="Y238" s="21">
        <v>1.04813</v>
      </c>
      <c r="Z238" s="21">
        <v>11.467599999999999</v>
      </c>
      <c r="AA238" s="21">
        <v>-1.39008E-2</v>
      </c>
      <c r="AB238" s="21">
        <v>228</v>
      </c>
      <c r="AC238" s="21">
        <v>1.0473600000000001</v>
      </c>
      <c r="AD238">
        <f t="shared" si="40"/>
        <v>17.161481481481481</v>
      </c>
      <c r="AE238">
        <f t="shared" si="41"/>
        <v>17.987463585185186</v>
      </c>
      <c r="AF238" s="9"/>
      <c r="AG238" s="21">
        <v>1.04813</v>
      </c>
      <c r="AH238" s="21">
        <v>20.7668</v>
      </c>
      <c r="AI238" s="21">
        <v>-1.3787799999999999E-2</v>
      </c>
      <c r="AJ238" s="21">
        <v>228</v>
      </c>
      <c r="AK238" s="21">
        <v>1.0473600000000001</v>
      </c>
      <c r="AL238">
        <f t="shared" si="42"/>
        <v>17.021975308641974</v>
      </c>
      <c r="AM238">
        <f t="shared" si="43"/>
        <v>17.841242980246911</v>
      </c>
      <c r="AP238" s="9"/>
      <c r="AQ238" s="21">
        <v>0.64193699999999998</v>
      </c>
      <c r="AR238" s="21">
        <v>26.245999999999999</v>
      </c>
      <c r="AS238" s="21">
        <v>-1.40167E-2</v>
      </c>
      <c r="AT238" s="21">
        <v>228</v>
      </c>
      <c r="AU238" s="21">
        <v>0.64129599999999998</v>
      </c>
      <c r="AV238">
        <f t="shared" si="44"/>
        <v>17.304567901234567</v>
      </c>
      <c r="AW238">
        <f t="shared" si="45"/>
        <v>11.108442404814813</v>
      </c>
      <c r="AX238" s="9"/>
      <c r="AY238" s="21">
        <v>1.04813</v>
      </c>
      <c r="AZ238" s="21">
        <v>30.045000000000002</v>
      </c>
      <c r="BA238" s="21">
        <v>-1.38458E-2</v>
      </c>
      <c r="BB238" s="21">
        <v>228</v>
      </c>
      <c r="BC238" s="21">
        <v>1.0467500000000001</v>
      </c>
      <c r="BD238">
        <f t="shared" si="46"/>
        <v>17.093580246913579</v>
      </c>
      <c r="BE238">
        <f t="shared" si="47"/>
        <v>17.916294264197528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0.63690199999999997</v>
      </c>
      <c r="H239" s="21">
        <v>7.6785899999999998</v>
      </c>
      <c r="I239" s="21">
        <v>-1.409E-2</v>
      </c>
      <c r="J239" s="21">
        <v>229</v>
      </c>
      <c r="K239" s="21">
        <v>0.63616899999999998</v>
      </c>
      <c r="L239">
        <f t="shared" si="36"/>
        <v>17.39506172839506</v>
      </c>
      <c r="M239">
        <f t="shared" si="37"/>
        <v>11.07894960493827</v>
      </c>
      <c r="N239" s="9"/>
      <c r="O239" s="21">
        <v>1.0531600000000001</v>
      </c>
      <c r="P239" s="21">
        <v>11.477600000000001</v>
      </c>
      <c r="Q239" s="21">
        <v>-1.3894699999999999E-2</v>
      </c>
      <c r="R239" s="21">
        <v>229</v>
      </c>
      <c r="S239" s="21">
        <v>1.0519400000000001</v>
      </c>
      <c r="T239">
        <f t="shared" si="38"/>
        <v>17.153950617283947</v>
      </c>
      <c r="U239">
        <f t="shared" si="39"/>
        <v>18.065854632098763</v>
      </c>
      <c r="X239" s="9"/>
      <c r="Y239" s="21">
        <v>1.0531600000000001</v>
      </c>
      <c r="Z239" s="21">
        <v>11.477600000000001</v>
      </c>
      <c r="AA239" s="21">
        <v>-1.3894699999999999E-2</v>
      </c>
      <c r="AB239" s="21">
        <v>229</v>
      </c>
      <c r="AC239" s="21">
        <v>1.0519400000000001</v>
      </c>
      <c r="AD239">
        <f t="shared" si="40"/>
        <v>17.153950617283947</v>
      </c>
      <c r="AE239">
        <f t="shared" si="41"/>
        <v>18.065854632098763</v>
      </c>
      <c r="AF239" s="9"/>
      <c r="AG239" s="21">
        <v>1.0531600000000001</v>
      </c>
      <c r="AH239" s="21">
        <v>20.776900000000001</v>
      </c>
      <c r="AI239" s="21">
        <v>-1.37909E-2</v>
      </c>
      <c r="AJ239" s="21">
        <v>229</v>
      </c>
      <c r="AK239" s="21">
        <v>1.0519400000000001</v>
      </c>
      <c r="AL239">
        <f t="shared" si="42"/>
        <v>17.025802469135801</v>
      </c>
      <c r="AM239">
        <f t="shared" si="43"/>
        <v>17.93089412839506</v>
      </c>
      <c r="AP239" s="9"/>
      <c r="AQ239" s="21">
        <v>0.63690199999999997</v>
      </c>
      <c r="AR239" s="21">
        <v>26.256</v>
      </c>
      <c r="AS239" s="21">
        <v>-1.40228E-2</v>
      </c>
      <c r="AT239" s="21">
        <v>229</v>
      </c>
      <c r="AU239" s="21">
        <v>0.63635299999999995</v>
      </c>
      <c r="AV239">
        <f t="shared" si="44"/>
        <v>17.312098765432097</v>
      </c>
      <c r="AW239">
        <f t="shared" si="45"/>
        <v>11.026110327901232</v>
      </c>
      <c r="AX239" s="9"/>
      <c r="AY239" s="21">
        <v>1.0531600000000001</v>
      </c>
      <c r="AZ239" s="21">
        <v>30.055099999999999</v>
      </c>
      <c r="BA239" s="21">
        <v>-1.3848900000000001E-2</v>
      </c>
      <c r="BB239" s="21">
        <v>229</v>
      </c>
      <c r="BC239" s="21">
        <v>1.0525500000000001</v>
      </c>
      <c r="BD239">
        <f t="shared" si="46"/>
        <v>17.09740740740741</v>
      </c>
      <c r="BE239">
        <f t="shared" si="47"/>
        <v>18.006305585185189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0.63186600000000004</v>
      </c>
      <c r="H240" s="21">
        <v>7.6886599999999996</v>
      </c>
      <c r="I240" s="21">
        <v>-1.4074700000000001E-2</v>
      </c>
      <c r="J240" s="21">
        <v>230</v>
      </c>
      <c r="K240" s="21">
        <v>0.63125600000000004</v>
      </c>
      <c r="L240">
        <f t="shared" si="36"/>
        <v>17.376172839506172</v>
      </c>
      <c r="M240">
        <f t="shared" si="37"/>
        <v>10.979412827407407</v>
      </c>
      <c r="N240" s="9"/>
      <c r="O240" s="21">
        <v>1.0582</v>
      </c>
      <c r="P240" s="21">
        <v>11.4877</v>
      </c>
      <c r="Q240" s="21">
        <v>-1.38916E-2</v>
      </c>
      <c r="R240" s="21">
        <v>230</v>
      </c>
      <c r="S240" s="21">
        <v>1.0571299999999999</v>
      </c>
      <c r="T240">
        <f t="shared" si="38"/>
        <v>17.150123456790123</v>
      </c>
      <c r="U240">
        <f t="shared" si="39"/>
        <v>18.148260641975309</v>
      </c>
      <c r="X240" s="9"/>
      <c r="Y240" s="21">
        <v>1.0582</v>
      </c>
      <c r="Z240" s="21">
        <v>11.4877</v>
      </c>
      <c r="AA240" s="21">
        <v>-1.38916E-2</v>
      </c>
      <c r="AB240" s="21">
        <v>230</v>
      </c>
      <c r="AC240" s="21">
        <v>1.0571299999999999</v>
      </c>
      <c r="AD240">
        <f t="shared" si="40"/>
        <v>17.150123456790123</v>
      </c>
      <c r="AE240">
        <f t="shared" si="41"/>
        <v>18.148260641975309</v>
      </c>
      <c r="AF240" s="9"/>
      <c r="AG240" s="21">
        <v>1.0582</v>
      </c>
      <c r="AH240" s="21">
        <v>20.786899999999999</v>
      </c>
      <c r="AI240" s="21">
        <v>-1.37787E-2</v>
      </c>
      <c r="AJ240" s="21">
        <v>230</v>
      </c>
      <c r="AK240" s="21">
        <v>1.0571299999999999</v>
      </c>
      <c r="AL240">
        <f t="shared" si="42"/>
        <v>17.01074074074074</v>
      </c>
      <c r="AM240">
        <f t="shared" si="43"/>
        <v>18.000765851851853</v>
      </c>
      <c r="AP240" s="9"/>
      <c r="AQ240" s="21">
        <v>0.63186600000000004</v>
      </c>
      <c r="AR240" s="21">
        <v>26.266100000000002</v>
      </c>
      <c r="AS240" s="21">
        <v>-1.4019800000000001E-2</v>
      </c>
      <c r="AT240" s="21">
        <v>230</v>
      </c>
      <c r="AU240" s="21">
        <v>0.63116499999999998</v>
      </c>
      <c r="AV240">
        <f t="shared" si="44"/>
        <v>17.308395061728394</v>
      </c>
      <c r="AW240">
        <f t="shared" si="45"/>
        <v>10.936586354074073</v>
      </c>
      <c r="AX240" s="9"/>
      <c r="AY240" s="21">
        <v>1.0582</v>
      </c>
      <c r="AZ240" s="21">
        <v>30.065100000000001</v>
      </c>
      <c r="BA240" s="21">
        <v>-1.38458E-2</v>
      </c>
      <c r="BB240" s="21">
        <v>230</v>
      </c>
      <c r="BC240" s="21">
        <v>1.0574300000000001</v>
      </c>
      <c r="BD240">
        <f t="shared" si="46"/>
        <v>17.093580246913579</v>
      </c>
      <c r="BE240">
        <f t="shared" si="47"/>
        <v>18.08842661728395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0.62683100000000003</v>
      </c>
      <c r="H241" s="21">
        <v>7.6987300000000003</v>
      </c>
      <c r="I241" s="21">
        <v>-1.4074700000000001E-2</v>
      </c>
      <c r="J241" s="21">
        <v>231</v>
      </c>
      <c r="K241" s="21">
        <v>0.62609899999999996</v>
      </c>
      <c r="L241">
        <f t="shared" si="36"/>
        <v>17.376172839506172</v>
      </c>
      <c r="M241">
        <f t="shared" si="37"/>
        <v>10.891923797160494</v>
      </c>
      <c r="N241" s="9"/>
      <c r="O241" s="21">
        <v>1.0632299999999999</v>
      </c>
      <c r="P241" s="21">
        <v>11.4978</v>
      </c>
      <c r="Q241" s="21">
        <v>-1.38885E-2</v>
      </c>
      <c r="R241" s="21">
        <v>231</v>
      </c>
      <c r="S241" s="21">
        <v>1.0620099999999999</v>
      </c>
      <c r="T241">
        <f t="shared" si="38"/>
        <v>17.146296296296295</v>
      </c>
      <c r="U241">
        <f t="shared" si="39"/>
        <v>18.230456611111109</v>
      </c>
      <c r="X241" s="9"/>
      <c r="Y241" s="21">
        <v>1.0632299999999999</v>
      </c>
      <c r="Z241" s="21">
        <v>11.4978</v>
      </c>
      <c r="AA241" s="21">
        <v>-1.38885E-2</v>
      </c>
      <c r="AB241" s="21">
        <v>231</v>
      </c>
      <c r="AC241" s="21">
        <v>1.0620099999999999</v>
      </c>
      <c r="AD241">
        <f t="shared" si="40"/>
        <v>17.146296296296295</v>
      </c>
      <c r="AE241">
        <f t="shared" si="41"/>
        <v>18.230456611111109</v>
      </c>
      <c r="AF241" s="9"/>
      <c r="AG241" s="21">
        <v>1.0632299999999999</v>
      </c>
      <c r="AH241" s="21">
        <v>20.797000000000001</v>
      </c>
      <c r="AI241" s="21">
        <v>-1.3775600000000001E-2</v>
      </c>
      <c r="AJ241" s="21">
        <v>231</v>
      </c>
      <c r="AK241" s="21">
        <v>1.0626199999999999</v>
      </c>
      <c r="AL241">
        <f t="shared" si="42"/>
        <v>17.006913580246916</v>
      </c>
      <c r="AM241">
        <f t="shared" si="43"/>
        <v>18.082260725925927</v>
      </c>
      <c r="AP241" s="9"/>
      <c r="AQ241" s="21">
        <v>0.62683100000000003</v>
      </c>
      <c r="AR241" s="21">
        <v>26.276199999999999</v>
      </c>
      <c r="AS241" s="21">
        <v>-1.40137E-2</v>
      </c>
      <c r="AT241" s="21">
        <v>231</v>
      </c>
      <c r="AU241" s="21">
        <v>0.62606799999999996</v>
      </c>
      <c r="AV241">
        <f t="shared" si="44"/>
        <v>17.300864197530863</v>
      </c>
      <c r="AW241">
        <f t="shared" si="45"/>
        <v>10.84471800580247</v>
      </c>
      <c r="AX241" s="9"/>
      <c r="AY241" s="21">
        <v>1.0632299999999999</v>
      </c>
      <c r="AZ241" s="21">
        <v>30.075199999999999</v>
      </c>
      <c r="BA241" s="21">
        <v>-1.38458E-2</v>
      </c>
      <c r="BB241" s="21">
        <v>231</v>
      </c>
      <c r="BC241" s="21">
        <v>1.0623199999999999</v>
      </c>
      <c r="BD241">
        <f t="shared" si="46"/>
        <v>17.093580246913579</v>
      </c>
      <c r="BE241">
        <f t="shared" si="47"/>
        <v>18.174407325925923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0.62179600000000002</v>
      </c>
      <c r="H242" s="21">
        <v>7.7088000000000001</v>
      </c>
      <c r="I242" s="21">
        <v>-1.4080799999999999E-2</v>
      </c>
      <c r="J242" s="21">
        <v>232</v>
      </c>
      <c r="K242" s="21">
        <v>0.62115500000000001</v>
      </c>
      <c r="L242">
        <f t="shared" si="36"/>
        <v>17.383703703703702</v>
      </c>
      <c r="M242">
        <f t="shared" si="37"/>
        <v>10.809117428148147</v>
      </c>
      <c r="N242" s="9"/>
      <c r="O242" s="21">
        <v>1.0682700000000001</v>
      </c>
      <c r="P242" s="21">
        <v>11.5078</v>
      </c>
      <c r="Q242" s="21">
        <v>-1.38855E-2</v>
      </c>
      <c r="R242" s="21">
        <v>232</v>
      </c>
      <c r="S242" s="21">
        <v>1.0671999999999999</v>
      </c>
      <c r="T242">
        <f t="shared" si="38"/>
        <v>17.142592592592592</v>
      </c>
      <c r="U242">
        <f t="shared" si="39"/>
        <v>18.312917388888888</v>
      </c>
      <c r="X242" s="9"/>
      <c r="Y242" s="21">
        <v>1.0682700000000001</v>
      </c>
      <c r="Z242" s="21">
        <v>11.5078</v>
      </c>
      <c r="AA242" s="21">
        <v>-1.38855E-2</v>
      </c>
      <c r="AB242" s="21">
        <v>232</v>
      </c>
      <c r="AC242" s="21">
        <v>1.0671999999999999</v>
      </c>
      <c r="AD242">
        <f t="shared" si="40"/>
        <v>17.142592592592592</v>
      </c>
      <c r="AE242">
        <f t="shared" si="41"/>
        <v>18.312917388888888</v>
      </c>
      <c r="AF242" s="9"/>
      <c r="AG242" s="21">
        <v>1.0682700000000001</v>
      </c>
      <c r="AH242" s="21">
        <v>20.807099999999998</v>
      </c>
      <c r="AI242" s="21">
        <v>-1.37695E-2</v>
      </c>
      <c r="AJ242" s="21">
        <v>232</v>
      </c>
      <c r="AK242" s="21">
        <v>1.0671999999999999</v>
      </c>
      <c r="AL242">
        <f t="shared" si="42"/>
        <v>16.999382716049382</v>
      </c>
      <c r="AM242">
        <f t="shared" si="43"/>
        <v>18.159930574074075</v>
      </c>
      <c r="AP242" s="9"/>
      <c r="AQ242" s="21">
        <v>0.62179600000000002</v>
      </c>
      <c r="AR242" s="21">
        <v>26.286200000000001</v>
      </c>
      <c r="AS242" s="21">
        <v>-1.40076E-2</v>
      </c>
      <c r="AT242" s="21">
        <v>232</v>
      </c>
      <c r="AU242" s="21">
        <v>0.62121599999999999</v>
      </c>
      <c r="AV242">
        <f t="shared" si="44"/>
        <v>17.293333333333333</v>
      </c>
      <c r="AW242">
        <f t="shared" si="45"/>
        <v>10.752925493333333</v>
      </c>
      <c r="AX242" s="9"/>
      <c r="AY242" s="21">
        <v>1.0682700000000001</v>
      </c>
      <c r="AZ242" s="21">
        <v>30.0853</v>
      </c>
      <c r="BA242" s="21">
        <v>-1.38458E-2</v>
      </c>
      <c r="BB242" s="21">
        <v>232</v>
      </c>
      <c r="BC242" s="21">
        <v>1.0674999999999999</v>
      </c>
      <c r="BD242">
        <f t="shared" si="46"/>
        <v>17.093580246913579</v>
      </c>
      <c r="BE242">
        <f t="shared" si="47"/>
        <v>18.260558970370369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0.61675999999999997</v>
      </c>
      <c r="H243" s="21">
        <v>7.7188699999999999</v>
      </c>
      <c r="I243" s="21">
        <v>-1.4080799999999999E-2</v>
      </c>
      <c r="J243" s="21">
        <v>233</v>
      </c>
      <c r="K243" s="21">
        <v>0.61621099999999995</v>
      </c>
      <c r="L243">
        <f t="shared" si="36"/>
        <v>17.383703703703702</v>
      </c>
      <c r="M243">
        <f t="shared" si="37"/>
        <v>10.721573096296295</v>
      </c>
      <c r="N243" s="9"/>
      <c r="O243" s="21">
        <v>1.0732999999999999</v>
      </c>
      <c r="P243" s="21">
        <v>11.517899999999999</v>
      </c>
      <c r="Q243" s="21">
        <v>-1.38885E-2</v>
      </c>
      <c r="R243" s="21">
        <v>233</v>
      </c>
      <c r="S243" s="21">
        <v>1.0726899999999999</v>
      </c>
      <c r="T243">
        <f t="shared" si="38"/>
        <v>17.146296296296295</v>
      </c>
      <c r="U243">
        <f t="shared" si="39"/>
        <v>18.403119814814811</v>
      </c>
      <c r="X243" s="9"/>
      <c r="Y243" s="21">
        <v>1.0732999999999999</v>
      </c>
      <c r="Z243" s="21">
        <v>11.517899999999999</v>
      </c>
      <c r="AA243" s="21">
        <v>-1.38885E-2</v>
      </c>
      <c r="AB243" s="21">
        <v>233</v>
      </c>
      <c r="AC243" s="21">
        <v>1.0726899999999999</v>
      </c>
      <c r="AD243">
        <f t="shared" si="40"/>
        <v>17.146296296296295</v>
      </c>
      <c r="AE243">
        <f t="shared" si="41"/>
        <v>18.403119814814811</v>
      </c>
      <c r="AF243" s="9"/>
      <c r="AG243" s="21">
        <v>1.0732999999999999</v>
      </c>
      <c r="AH243" s="21">
        <v>20.8171</v>
      </c>
      <c r="AI243" s="21">
        <v>-1.3760400000000001E-2</v>
      </c>
      <c r="AJ243" s="21">
        <v>233</v>
      </c>
      <c r="AK243" s="21">
        <v>1.07239</v>
      </c>
      <c r="AL243">
        <f t="shared" si="42"/>
        <v>16.988148148148149</v>
      </c>
      <c r="AM243">
        <f t="shared" si="43"/>
        <v>18.233379407407405</v>
      </c>
      <c r="AP243" s="9"/>
      <c r="AQ243" s="21">
        <v>0.61675999999999997</v>
      </c>
      <c r="AR243" s="21">
        <v>26.296299999999999</v>
      </c>
      <c r="AS243" s="21">
        <v>-1.40076E-2</v>
      </c>
      <c r="AT243" s="21">
        <v>233</v>
      </c>
      <c r="AU243" s="21">
        <v>0.61611899999999997</v>
      </c>
      <c r="AV243">
        <f t="shared" si="44"/>
        <v>17.293333333333333</v>
      </c>
      <c r="AW243">
        <f t="shared" si="45"/>
        <v>10.665836266666666</v>
      </c>
      <c r="AX243" s="9"/>
      <c r="AY243" s="21">
        <v>1.0732999999999999</v>
      </c>
      <c r="AZ243" s="21">
        <v>30.095400000000001</v>
      </c>
      <c r="BA243" s="21">
        <v>-1.38458E-2</v>
      </c>
      <c r="BB243" s="21">
        <v>233</v>
      </c>
      <c r="BC243" s="21">
        <v>1.0726899999999999</v>
      </c>
      <c r="BD243">
        <f t="shared" si="46"/>
        <v>17.093580246913579</v>
      </c>
      <c r="BE243">
        <f t="shared" si="47"/>
        <v>18.346539679012341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0.61172499999999996</v>
      </c>
      <c r="H244" s="21">
        <v>7.7289399999999997</v>
      </c>
      <c r="I244" s="21">
        <v>-1.409E-2</v>
      </c>
      <c r="J244" s="21">
        <v>234</v>
      </c>
      <c r="K244" s="21">
        <v>0.61129800000000001</v>
      </c>
      <c r="L244">
        <f t="shared" si="36"/>
        <v>17.39506172839506</v>
      </c>
      <c r="M244">
        <f t="shared" si="37"/>
        <v>10.640994135802467</v>
      </c>
      <c r="N244" s="9"/>
      <c r="O244" s="21">
        <v>1.0783400000000001</v>
      </c>
      <c r="P244" s="21">
        <v>11.528</v>
      </c>
      <c r="Q244" s="21">
        <v>-1.38916E-2</v>
      </c>
      <c r="R244" s="21">
        <v>234</v>
      </c>
      <c r="S244" s="21">
        <v>1.0772699999999999</v>
      </c>
      <c r="T244">
        <f t="shared" si="38"/>
        <v>17.150123456790123</v>
      </c>
      <c r="U244">
        <f t="shared" si="39"/>
        <v>18.493664128395061</v>
      </c>
      <c r="X244" s="9"/>
      <c r="Y244" s="21">
        <v>1.0783400000000001</v>
      </c>
      <c r="Z244" s="21">
        <v>11.528</v>
      </c>
      <c r="AA244" s="21">
        <v>-1.38916E-2</v>
      </c>
      <c r="AB244" s="21">
        <v>234</v>
      </c>
      <c r="AC244" s="21">
        <v>1.0772699999999999</v>
      </c>
      <c r="AD244">
        <f t="shared" si="40"/>
        <v>17.150123456790123</v>
      </c>
      <c r="AE244">
        <f t="shared" si="41"/>
        <v>18.493664128395061</v>
      </c>
      <c r="AF244" s="9"/>
      <c r="AG244" s="21">
        <v>1.0783400000000001</v>
      </c>
      <c r="AH244" s="21">
        <v>20.827200000000001</v>
      </c>
      <c r="AI244" s="21">
        <v>-1.37512E-2</v>
      </c>
      <c r="AJ244" s="21">
        <v>234</v>
      </c>
      <c r="AK244" s="21">
        <v>1.07697</v>
      </c>
      <c r="AL244">
        <f t="shared" si="42"/>
        <v>16.976790123456787</v>
      </c>
      <c r="AM244">
        <f t="shared" si="43"/>
        <v>18.306751861728394</v>
      </c>
      <c r="AP244" s="9"/>
      <c r="AQ244" s="21">
        <v>0.61172499999999996</v>
      </c>
      <c r="AR244" s="21">
        <v>26.3064</v>
      </c>
      <c r="AS244" s="21">
        <v>-1.40137E-2</v>
      </c>
      <c r="AT244" s="21">
        <v>234</v>
      </c>
      <c r="AU244" s="21">
        <v>0.61102299999999998</v>
      </c>
      <c r="AV244">
        <f t="shared" si="44"/>
        <v>17.300864197530863</v>
      </c>
      <c r="AW244">
        <f t="shared" si="45"/>
        <v>10.583371151234568</v>
      </c>
      <c r="AX244" s="9"/>
      <c r="AY244" s="21">
        <v>1.0783400000000001</v>
      </c>
      <c r="AZ244" s="21">
        <v>30.105399999999999</v>
      </c>
      <c r="BA244" s="21">
        <v>-1.38397E-2</v>
      </c>
      <c r="BB244" s="21">
        <v>234</v>
      </c>
      <c r="BC244" s="21">
        <v>1.0778799999999999</v>
      </c>
      <c r="BD244">
        <f t="shared" si="46"/>
        <v>17.086049382716048</v>
      </c>
      <c r="BE244">
        <f t="shared" si="47"/>
        <v>18.424570491358025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0.60668900000000003</v>
      </c>
      <c r="H245" s="21">
        <v>7.7390100000000004</v>
      </c>
      <c r="I245" s="21">
        <v>-1.409E-2</v>
      </c>
      <c r="J245" s="21">
        <v>235</v>
      </c>
      <c r="K245" s="21">
        <v>0.60598799999999997</v>
      </c>
      <c r="L245">
        <f t="shared" si="36"/>
        <v>17.39506172839506</v>
      </c>
      <c r="M245">
        <f t="shared" si="37"/>
        <v>10.553392604938271</v>
      </c>
      <c r="N245" s="9"/>
      <c r="O245" s="21">
        <v>1.0833699999999999</v>
      </c>
      <c r="P245" s="21">
        <v>11.5381</v>
      </c>
      <c r="Q245" s="21">
        <v>-1.38885E-2</v>
      </c>
      <c r="R245" s="21">
        <v>235</v>
      </c>
      <c r="S245" s="21">
        <v>1.0827599999999999</v>
      </c>
      <c r="T245">
        <f t="shared" si="38"/>
        <v>17.146296296296295</v>
      </c>
      <c r="U245">
        <f t="shared" si="39"/>
        <v>18.575783018518518</v>
      </c>
      <c r="X245" s="9"/>
      <c r="Y245" s="21">
        <v>1.0833699999999999</v>
      </c>
      <c r="Z245" s="21">
        <v>11.5381</v>
      </c>
      <c r="AA245" s="21">
        <v>-1.38885E-2</v>
      </c>
      <c r="AB245" s="21">
        <v>235</v>
      </c>
      <c r="AC245" s="21">
        <v>1.0827599999999999</v>
      </c>
      <c r="AD245">
        <f t="shared" si="40"/>
        <v>17.146296296296295</v>
      </c>
      <c r="AE245">
        <f t="shared" si="41"/>
        <v>18.575783018518518</v>
      </c>
      <c r="AF245" s="9"/>
      <c r="AG245" s="21">
        <v>1.0833699999999999</v>
      </c>
      <c r="AH245" s="21">
        <v>20.837299999999999</v>
      </c>
      <c r="AI245" s="21">
        <v>-1.37451E-2</v>
      </c>
      <c r="AJ245" s="21">
        <v>235</v>
      </c>
      <c r="AK245" s="21">
        <v>1.08307</v>
      </c>
      <c r="AL245">
        <f t="shared" si="42"/>
        <v>16.969259259259257</v>
      </c>
      <c r="AM245">
        <f t="shared" si="43"/>
        <v>18.383986403703702</v>
      </c>
      <c r="AP245" s="9"/>
      <c r="AQ245" s="21">
        <v>0.60668900000000003</v>
      </c>
      <c r="AR245" s="21">
        <v>26.316500000000001</v>
      </c>
      <c r="AS245" s="21">
        <v>-1.40076E-2</v>
      </c>
      <c r="AT245" s="21">
        <v>235</v>
      </c>
      <c r="AU245" s="21">
        <v>0.60592699999999999</v>
      </c>
      <c r="AV245">
        <f t="shared" si="44"/>
        <v>17.293333333333333</v>
      </c>
      <c r="AW245">
        <f t="shared" si="45"/>
        <v>10.491675106666667</v>
      </c>
      <c r="AX245" s="9"/>
      <c r="AY245" s="21">
        <v>1.0833699999999999</v>
      </c>
      <c r="AZ245" s="21">
        <v>30.115500000000001</v>
      </c>
      <c r="BA245" s="21">
        <v>-1.38275E-2</v>
      </c>
      <c r="BB245" s="21">
        <v>235</v>
      </c>
      <c r="BC245" s="21">
        <v>1.08246</v>
      </c>
      <c r="BD245">
        <f t="shared" si="46"/>
        <v>17.070987654320987</v>
      </c>
      <c r="BE245">
        <f t="shared" si="47"/>
        <v>18.494195895061726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0.60165400000000002</v>
      </c>
      <c r="H246" s="21">
        <v>7.7490800000000002</v>
      </c>
      <c r="I246" s="21">
        <v>-1.4086899999999999E-2</v>
      </c>
      <c r="J246" s="21">
        <v>236</v>
      </c>
      <c r="K246" s="21">
        <v>0.601105</v>
      </c>
      <c r="L246">
        <f t="shared" si="36"/>
        <v>17.391234567901233</v>
      </c>
      <c r="M246">
        <f t="shared" si="37"/>
        <v>10.463505842716049</v>
      </c>
      <c r="N246" s="9"/>
      <c r="O246" s="21">
        <v>1.0884100000000001</v>
      </c>
      <c r="P246" s="21">
        <v>11.5481</v>
      </c>
      <c r="Q246" s="21">
        <v>-1.3876299999999999E-2</v>
      </c>
      <c r="R246" s="21">
        <v>236</v>
      </c>
      <c r="S246" s="21">
        <v>1.08704</v>
      </c>
      <c r="T246">
        <f t="shared" si="38"/>
        <v>17.131234567901231</v>
      </c>
      <c r="U246">
        <f t="shared" si="39"/>
        <v>18.645807016049382</v>
      </c>
      <c r="X246" s="9"/>
      <c r="Y246" s="21">
        <v>1.0884100000000001</v>
      </c>
      <c r="Z246" s="21">
        <v>11.5481</v>
      </c>
      <c r="AA246" s="21">
        <v>-1.3876299999999999E-2</v>
      </c>
      <c r="AB246" s="21">
        <v>236</v>
      </c>
      <c r="AC246" s="21">
        <v>1.08704</v>
      </c>
      <c r="AD246">
        <f t="shared" si="40"/>
        <v>17.131234567901231</v>
      </c>
      <c r="AE246">
        <f t="shared" si="41"/>
        <v>18.645807016049382</v>
      </c>
      <c r="AF246" s="9"/>
      <c r="AG246" s="21">
        <v>1.0884100000000001</v>
      </c>
      <c r="AH246" s="21">
        <v>20.847300000000001</v>
      </c>
      <c r="AI246" s="21">
        <v>-1.3738999999999999E-2</v>
      </c>
      <c r="AJ246" s="21">
        <v>236</v>
      </c>
      <c r="AK246" s="21">
        <v>1.08734</v>
      </c>
      <c r="AL246">
        <f t="shared" si="42"/>
        <v>16.961728395061726</v>
      </c>
      <c r="AM246">
        <f t="shared" si="43"/>
        <v>18.461314802469136</v>
      </c>
      <c r="AP246" s="9"/>
      <c r="AQ246" s="21">
        <v>0.60165400000000002</v>
      </c>
      <c r="AR246" s="21">
        <v>26.326499999999999</v>
      </c>
      <c r="AS246" s="21">
        <v>-1.3992299999999999E-2</v>
      </c>
      <c r="AT246" s="21">
        <v>236</v>
      </c>
      <c r="AU246" s="21">
        <v>0.60095200000000004</v>
      </c>
      <c r="AV246">
        <f t="shared" si="44"/>
        <v>17.274444444444445</v>
      </c>
      <c r="AW246">
        <f t="shared" si="45"/>
        <v>10.393238597777778</v>
      </c>
      <c r="AX246" s="9"/>
      <c r="AY246" s="21">
        <v>1.0884100000000001</v>
      </c>
      <c r="AZ246" s="21">
        <v>30.125599999999999</v>
      </c>
      <c r="BA246" s="21">
        <v>-1.38184E-2</v>
      </c>
      <c r="BB246" s="21">
        <v>236</v>
      </c>
      <c r="BC246" s="21">
        <v>1.08765</v>
      </c>
      <c r="BD246">
        <f t="shared" si="46"/>
        <v>17.05975308641975</v>
      </c>
      <c r="BE246">
        <f t="shared" si="47"/>
        <v>18.568005856790123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0.59661900000000001</v>
      </c>
      <c r="H247" s="21">
        <v>7.75915</v>
      </c>
      <c r="I247" s="21">
        <v>-1.409E-2</v>
      </c>
      <c r="J247" s="21">
        <v>237</v>
      </c>
      <c r="K247" s="21">
        <v>0.59591700000000003</v>
      </c>
      <c r="L247">
        <f t="shared" si="36"/>
        <v>17.39506172839506</v>
      </c>
      <c r="M247">
        <f t="shared" si="37"/>
        <v>10.378224333333332</v>
      </c>
      <c r="N247" s="9"/>
      <c r="O247" s="21">
        <v>1.09344</v>
      </c>
      <c r="P247" s="21">
        <v>11.558199999999999</v>
      </c>
      <c r="Q247" s="21">
        <v>-1.38672E-2</v>
      </c>
      <c r="R247" s="21">
        <v>237</v>
      </c>
      <c r="S247" s="21">
        <v>1.09222</v>
      </c>
      <c r="T247">
        <f t="shared" si="38"/>
        <v>17.12</v>
      </c>
      <c r="U247">
        <f t="shared" si="39"/>
        <v>18.719692800000001</v>
      </c>
      <c r="X247" s="9"/>
      <c r="Y247" s="21">
        <v>1.09344</v>
      </c>
      <c r="Z247" s="21">
        <v>11.558199999999999</v>
      </c>
      <c r="AA247" s="21">
        <v>-1.38672E-2</v>
      </c>
      <c r="AB247" s="21">
        <v>237</v>
      </c>
      <c r="AC247" s="21">
        <v>1.09222</v>
      </c>
      <c r="AD247">
        <f t="shared" si="40"/>
        <v>17.12</v>
      </c>
      <c r="AE247">
        <f t="shared" si="41"/>
        <v>18.719692800000001</v>
      </c>
      <c r="AF247" s="9"/>
      <c r="AG247" s="21">
        <v>1.09344</v>
      </c>
      <c r="AH247" s="21">
        <v>20.857399999999998</v>
      </c>
      <c r="AI247" s="21">
        <v>-1.3732899999999999E-2</v>
      </c>
      <c r="AJ247" s="21">
        <v>237</v>
      </c>
      <c r="AK247" s="21">
        <v>1.09283</v>
      </c>
      <c r="AL247">
        <f t="shared" si="42"/>
        <v>16.954197530864196</v>
      </c>
      <c r="AM247">
        <f t="shared" si="43"/>
        <v>18.538397748148146</v>
      </c>
      <c r="AP247" s="9"/>
      <c r="AQ247" s="21">
        <v>0.59661900000000001</v>
      </c>
      <c r="AR247" s="21">
        <v>26.336600000000001</v>
      </c>
      <c r="AS247" s="21">
        <v>-1.3992299999999999E-2</v>
      </c>
      <c r="AT247" s="21">
        <v>237</v>
      </c>
      <c r="AU247" s="21">
        <v>0.59597800000000001</v>
      </c>
      <c r="AV247">
        <f t="shared" si="44"/>
        <v>17.274444444444445</v>
      </c>
      <c r="AW247">
        <f t="shared" si="45"/>
        <v>10.306261770000001</v>
      </c>
      <c r="AX247" s="9"/>
      <c r="AY247" s="21">
        <v>1.09344</v>
      </c>
      <c r="AZ247" s="21">
        <v>30.1356</v>
      </c>
      <c r="BA247" s="21">
        <v>-1.3806199999999999E-2</v>
      </c>
      <c r="BB247" s="21">
        <v>237</v>
      </c>
      <c r="BC247" s="21">
        <v>1.09283</v>
      </c>
      <c r="BD247">
        <f t="shared" si="46"/>
        <v>17.044691358024689</v>
      </c>
      <c r="BE247">
        <f t="shared" si="47"/>
        <v>18.637347318518515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0.59158299999999997</v>
      </c>
      <c r="H248" s="21">
        <v>7.7692199999999998</v>
      </c>
      <c r="I248" s="21">
        <v>-1.4093E-2</v>
      </c>
      <c r="J248" s="21">
        <v>238</v>
      </c>
      <c r="K248" s="21">
        <v>0.59091199999999999</v>
      </c>
      <c r="L248">
        <f t="shared" si="36"/>
        <v>17.398765432098763</v>
      </c>
      <c r="M248">
        <f t="shared" si="37"/>
        <v>10.292813850617282</v>
      </c>
      <c r="N248" s="9"/>
      <c r="O248" s="21">
        <v>1.0984799999999999</v>
      </c>
      <c r="P248" s="21">
        <v>11.568300000000001</v>
      </c>
      <c r="Q248" s="21">
        <v>-1.3870199999999999E-2</v>
      </c>
      <c r="R248" s="21">
        <v>238</v>
      </c>
      <c r="S248" s="21">
        <v>1.09772</v>
      </c>
      <c r="T248">
        <f t="shared" si="38"/>
        <v>17.123703703703701</v>
      </c>
      <c r="U248">
        <f t="shared" si="39"/>
        <v>18.810046044444441</v>
      </c>
      <c r="X248" s="9"/>
      <c r="Y248" s="21">
        <v>1.0984799999999999</v>
      </c>
      <c r="Z248" s="21">
        <v>11.568300000000001</v>
      </c>
      <c r="AA248" s="21">
        <v>-1.3870199999999999E-2</v>
      </c>
      <c r="AB248" s="21">
        <v>238</v>
      </c>
      <c r="AC248" s="21">
        <v>1.09772</v>
      </c>
      <c r="AD248">
        <f t="shared" si="40"/>
        <v>17.123703703703701</v>
      </c>
      <c r="AE248">
        <f t="shared" si="41"/>
        <v>18.810046044444441</v>
      </c>
      <c r="AF248" s="9"/>
      <c r="AG248" s="21">
        <v>1.0984799999999999</v>
      </c>
      <c r="AH248" s="21">
        <v>20.8675</v>
      </c>
      <c r="AI248" s="21">
        <v>-1.3732899999999999E-2</v>
      </c>
      <c r="AJ248" s="21">
        <v>238</v>
      </c>
      <c r="AK248" s="21">
        <v>1.09741</v>
      </c>
      <c r="AL248">
        <f t="shared" si="42"/>
        <v>16.954197530864196</v>
      </c>
      <c r="AM248">
        <f t="shared" si="43"/>
        <v>18.623846903703701</v>
      </c>
      <c r="AP248" s="9"/>
      <c r="AQ248" s="21">
        <v>0.59158299999999997</v>
      </c>
      <c r="AR248" s="21">
        <v>26.346699999999998</v>
      </c>
      <c r="AS248" s="21">
        <v>-1.3986200000000001E-2</v>
      </c>
      <c r="AT248" s="21">
        <v>238</v>
      </c>
      <c r="AU248" s="21">
        <v>0.59103399999999995</v>
      </c>
      <c r="AV248">
        <f t="shared" si="44"/>
        <v>17.266913580246914</v>
      </c>
      <c r="AW248">
        <f t="shared" si="45"/>
        <v>10.21481253654321</v>
      </c>
      <c r="AX248" s="9"/>
      <c r="AY248" s="21">
        <v>1.0984799999999999</v>
      </c>
      <c r="AZ248" s="21">
        <v>30.145700000000001</v>
      </c>
      <c r="BA248" s="21">
        <v>-1.3806199999999999E-2</v>
      </c>
      <c r="BB248" s="21">
        <v>238</v>
      </c>
      <c r="BC248" s="21">
        <v>1.09711</v>
      </c>
      <c r="BD248">
        <f t="shared" si="46"/>
        <v>17.044691358024689</v>
      </c>
      <c r="BE248">
        <f t="shared" si="47"/>
        <v>18.723252562962958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0.58654799999999996</v>
      </c>
      <c r="H249" s="21">
        <v>7.7793000000000001</v>
      </c>
      <c r="I249" s="21">
        <v>-1.4086899999999999E-2</v>
      </c>
      <c r="J249" s="21">
        <v>239</v>
      </c>
      <c r="K249" s="21">
        <v>0.58584599999999998</v>
      </c>
      <c r="L249">
        <f t="shared" si="36"/>
        <v>17.391234567901233</v>
      </c>
      <c r="M249">
        <f t="shared" si="37"/>
        <v>10.200793853333332</v>
      </c>
      <c r="N249" s="9"/>
      <c r="O249" s="21">
        <v>1.1035200000000001</v>
      </c>
      <c r="P249" s="21">
        <v>11.5783</v>
      </c>
      <c r="Q249" s="21">
        <v>-1.3854999999999999E-2</v>
      </c>
      <c r="R249" s="21">
        <v>239</v>
      </c>
      <c r="S249" s="21">
        <v>1.1026</v>
      </c>
      <c r="T249">
        <f t="shared" si="38"/>
        <v>17.104938271604937</v>
      </c>
      <c r="U249">
        <f t="shared" si="39"/>
        <v>18.87564148148148</v>
      </c>
      <c r="X249" s="9"/>
      <c r="Y249" s="21">
        <v>1.1035200000000001</v>
      </c>
      <c r="Z249" s="21">
        <v>11.5783</v>
      </c>
      <c r="AA249" s="21">
        <v>-1.3854999999999999E-2</v>
      </c>
      <c r="AB249" s="21">
        <v>239</v>
      </c>
      <c r="AC249" s="21">
        <v>1.1026</v>
      </c>
      <c r="AD249">
        <f t="shared" si="40"/>
        <v>17.104938271604937</v>
      </c>
      <c r="AE249">
        <f t="shared" si="41"/>
        <v>18.87564148148148</v>
      </c>
      <c r="AF249" s="9"/>
      <c r="AG249" s="21">
        <v>1.1035200000000001</v>
      </c>
      <c r="AH249" s="21">
        <v>20.877600000000001</v>
      </c>
      <c r="AI249" s="21">
        <v>-1.3738999999999999E-2</v>
      </c>
      <c r="AJ249" s="21">
        <v>239</v>
      </c>
      <c r="AK249" s="21">
        <v>1.10321</v>
      </c>
      <c r="AL249">
        <f t="shared" si="42"/>
        <v>16.961728395061726</v>
      </c>
      <c r="AM249">
        <f t="shared" si="43"/>
        <v>18.717606518518519</v>
      </c>
      <c r="AP249" s="9"/>
      <c r="AQ249" s="21">
        <v>0.58654799999999996</v>
      </c>
      <c r="AR249" s="21">
        <v>26.3567</v>
      </c>
      <c r="AS249" s="21">
        <v>-1.39954E-2</v>
      </c>
      <c r="AT249" s="21">
        <v>239</v>
      </c>
      <c r="AU249" s="21">
        <v>0.58590699999999996</v>
      </c>
      <c r="AV249">
        <f t="shared" si="44"/>
        <v>17.278271604938272</v>
      </c>
      <c r="AW249">
        <f t="shared" si="45"/>
        <v>10.134535653333334</v>
      </c>
      <c r="AX249" s="9"/>
      <c r="AY249" s="21">
        <v>1.1035200000000001</v>
      </c>
      <c r="AZ249" s="21">
        <v>30.155799999999999</v>
      </c>
      <c r="BA249" s="21">
        <v>-1.3806199999999999E-2</v>
      </c>
      <c r="BB249" s="21">
        <v>239</v>
      </c>
      <c r="BC249" s="21">
        <v>1.1026</v>
      </c>
      <c r="BD249">
        <f t="shared" si="46"/>
        <v>17.044691358024689</v>
      </c>
      <c r="BE249">
        <f t="shared" si="47"/>
        <v>18.809157807407406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0.58151200000000003</v>
      </c>
      <c r="H250" s="21">
        <v>7.7893699999999999</v>
      </c>
      <c r="I250" s="21">
        <v>-1.4093E-2</v>
      </c>
      <c r="J250" s="21">
        <v>240</v>
      </c>
      <c r="K250" s="21">
        <v>0.58087200000000005</v>
      </c>
      <c r="L250">
        <f t="shared" si="36"/>
        <v>17.398765432098763</v>
      </c>
      <c r="M250">
        <f t="shared" si="37"/>
        <v>10.117590883950616</v>
      </c>
      <c r="N250" s="9"/>
      <c r="O250" s="21">
        <v>1.1085499999999999</v>
      </c>
      <c r="P250" s="21">
        <v>11.5884</v>
      </c>
      <c r="Q250" s="21">
        <v>-1.3854999999999999E-2</v>
      </c>
      <c r="R250" s="21">
        <v>240</v>
      </c>
      <c r="S250" s="21">
        <v>1.10748</v>
      </c>
      <c r="T250">
        <f t="shared" si="38"/>
        <v>17.104938271604937</v>
      </c>
      <c r="U250">
        <f t="shared" si="39"/>
        <v>18.961679320987653</v>
      </c>
      <c r="X250" s="9"/>
      <c r="Y250" s="21">
        <v>1.1085499999999999</v>
      </c>
      <c r="Z250" s="21">
        <v>11.5884</v>
      </c>
      <c r="AA250" s="21">
        <v>-1.3854999999999999E-2</v>
      </c>
      <c r="AB250" s="21">
        <v>240</v>
      </c>
      <c r="AC250" s="21">
        <v>1.10748</v>
      </c>
      <c r="AD250">
        <f t="shared" si="40"/>
        <v>17.104938271604937</v>
      </c>
      <c r="AE250">
        <f t="shared" si="41"/>
        <v>18.961679320987653</v>
      </c>
      <c r="AF250" s="9"/>
      <c r="AG250" s="21">
        <v>1.1085499999999999</v>
      </c>
      <c r="AH250" s="21">
        <v>20.887599999999999</v>
      </c>
      <c r="AI250" s="21">
        <v>-1.3732899999999999E-2</v>
      </c>
      <c r="AJ250" s="21">
        <v>240</v>
      </c>
      <c r="AK250" s="21">
        <v>1.1071800000000001</v>
      </c>
      <c r="AL250">
        <f t="shared" si="42"/>
        <v>16.954197530864196</v>
      </c>
      <c r="AM250">
        <f t="shared" si="43"/>
        <v>18.794575672839503</v>
      </c>
      <c r="AP250" s="9"/>
      <c r="AQ250" s="21">
        <v>0.58151200000000003</v>
      </c>
      <c r="AR250" s="21">
        <v>26.366800000000001</v>
      </c>
      <c r="AS250" s="21">
        <v>-1.40015E-2</v>
      </c>
      <c r="AT250" s="21">
        <v>240</v>
      </c>
      <c r="AU250" s="21">
        <v>0.58077999999999996</v>
      </c>
      <c r="AV250">
        <f t="shared" si="44"/>
        <v>17.285802469135803</v>
      </c>
      <c r="AW250">
        <f t="shared" si="45"/>
        <v>10.051901565432098</v>
      </c>
      <c r="AX250" s="9"/>
      <c r="AY250" s="21">
        <v>1.1085499999999999</v>
      </c>
      <c r="AZ250" s="21">
        <v>30.165900000000001</v>
      </c>
      <c r="BA250" s="21">
        <v>-1.38031E-2</v>
      </c>
      <c r="BB250" s="21">
        <v>240</v>
      </c>
      <c r="BC250" s="21">
        <v>1.10748</v>
      </c>
      <c r="BD250">
        <f t="shared" si="46"/>
        <v>17.040864197530862</v>
      </c>
      <c r="BE250">
        <f t="shared" si="47"/>
        <v>18.890650006172837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0.57647700000000002</v>
      </c>
      <c r="H251" s="21">
        <v>7.7994399999999997</v>
      </c>
      <c r="I251" s="21">
        <v>-1.40961E-2</v>
      </c>
      <c r="J251" s="21">
        <v>241</v>
      </c>
      <c r="K251" s="21">
        <v>0.57574499999999995</v>
      </c>
      <c r="L251">
        <f t="shared" si="36"/>
        <v>17.40259259259259</v>
      </c>
      <c r="M251">
        <f t="shared" si="37"/>
        <v>10.032194369999999</v>
      </c>
      <c r="N251" s="9"/>
      <c r="O251" s="21">
        <v>1.1135900000000001</v>
      </c>
      <c r="P251" s="21">
        <v>11.5985</v>
      </c>
      <c r="Q251" s="21">
        <v>-1.38397E-2</v>
      </c>
      <c r="R251" s="21">
        <v>241</v>
      </c>
      <c r="S251" s="21">
        <v>1.11267</v>
      </c>
      <c r="T251">
        <f t="shared" si="38"/>
        <v>17.086049382716048</v>
      </c>
      <c r="U251">
        <f t="shared" si="39"/>
        <v>19.026853732098765</v>
      </c>
      <c r="X251" s="9"/>
      <c r="Y251" s="21">
        <v>1.1135900000000001</v>
      </c>
      <c r="Z251" s="21">
        <v>11.5985</v>
      </c>
      <c r="AA251" s="21">
        <v>-1.38397E-2</v>
      </c>
      <c r="AB251" s="21">
        <v>241</v>
      </c>
      <c r="AC251" s="21">
        <v>1.11267</v>
      </c>
      <c r="AD251">
        <f t="shared" si="40"/>
        <v>17.086049382716048</v>
      </c>
      <c r="AE251">
        <f t="shared" si="41"/>
        <v>19.026853732098765</v>
      </c>
      <c r="AF251" s="9"/>
      <c r="AG251" s="21">
        <v>1.1135900000000001</v>
      </c>
      <c r="AH251" s="21">
        <v>20.8977</v>
      </c>
      <c r="AI251" s="21">
        <v>-1.3726800000000001E-2</v>
      </c>
      <c r="AJ251" s="21">
        <v>241</v>
      </c>
      <c r="AK251" s="21">
        <v>1.11267</v>
      </c>
      <c r="AL251">
        <f t="shared" si="42"/>
        <v>16.946666666666665</v>
      </c>
      <c r="AM251">
        <f t="shared" si="43"/>
        <v>18.871638533333332</v>
      </c>
      <c r="AP251" s="9"/>
      <c r="AQ251" s="21">
        <v>0.57647700000000002</v>
      </c>
      <c r="AR251" s="21">
        <v>26.376899999999999</v>
      </c>
      <c r="AS251" s="21">
        <v>-1.40015E-2</v>
      </c>
      <c r="AT251" s="21">
        <v>241</v>
      </c>
      <c r="AU251" s="21">
        <v>0.57574499999999995</v>
      </c>
      <c r="AV251">
        <f t="shared" si="44"/>
        <v>17.285802469135803</v>
      </c>
      <c r="AW251">
        <f t="shared" si="45"/>
        <v>9.964867550000001</v>
      </c>
      <c r="AX251" s="9"/>
      <c r="AY251" s="21">
        <v>1.1135900000000001</v>
      </c>
      <c r="AZ251" s="21">
        <v>30.175899999999999</v>
      </c>
      <c r="BA251" s="21">
        <v>-1.3806199999999999E-2</v>
      </c>
      <c r="BB251" s="21">
        <v>241</v>
      </c>
      <c r="BC251" s="21">
        <v>1.11267</v>
      </c>
      <c r="BD251">
        <f t="shared" si="46"/>
        <v>17.044691358024689</v>
      </c>
      <c r="BE251">
        <f t="shared" si="47"/>
        <v>18.980797849382714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0.57144200000000001</v>
      </c>
      <c r="H252" s="21">
        <v>7.8095100000000004</v>
      </c>
      <c r="I252" s="21">
        <v>-1.4086899999999999E-2</v>
      </c>
      <c r="J252" s="21">
        <v>242</v>
      </c>
      <c r="K252" s="21">
        <v>0.57074000000000003</v>
      </c>
      <c r="L252">
        <f t="shared" si="36"/>
        <v>17.391234567901233</v>
      </c>
      <c r="M252">
        <f t="shared" si="37"/>
        <v>9.9380818639506163</v>
      </c>
      <c r="N252" s="9"/>
      <c r="O252" s="21">
        <v>1.1186199999999999</v>
      </c>
      <c r="P252" s="21">
        <v>11.608599999999999</v>
      </c>
      <c r="Q252" s="21">
        <v>-1.3821399999999999E-2</v>
      </c>
      <c r="R252" s="21">
        <v>242</v>
      </c>
      <c r="S252" s="21">
        <v>1.11755</v>
      </c>
      <c r="T252">
        <f t="shared" si="38"/>
        <v>17.063456790123453</v>
      </c>
      <c r="U252">
        <f t="shared" si="39"/>
        <v>19.087524034567895</v>
      </c>
      <c r="X252" s="9"/>
      <c r="Y252" s="21">
        <v>1.1186199999999999</v>
      </c>
      <c r="Z252" s="21">
        <v>11.608599999999999</v>
      </c>
      <c r="AA252" s="21">
        <v>-1.3821399999999999E-2</v>
      </c>
      <c r="AB252" s="21">
        <v>242</v>
      </c>
      <c r="AC252" s="21">
        <v>1.11755</v>
      </c>
      <c r="AD252">
        <f t="shared" si="40"/>
        <v>17.063456790123453</v>
      </c>
      <c r="AE252">
        <f t="shared" si="41"/>
        <v>19.087524034567895</v>
      </c>
      <c r="AF252" s="9"/>
      <c r="AG252" s="21">
        <v>1.1186199999999999</v>
      </c>
      <c r="AH252" s="21">
        <v>20.907800000000002</v>
      </c>
      <c r="AI252" s="21">
        <v>-1.37238E-2</v>
      </c>
      <c r="AJ252" s="21">
        <v>242</v>
      </c>
      <c r="AK252" s="21">
        <v>1.1178600000000001</v>
      </c>
      <c r="AL252">
        <f t="shared" si="42"/>
        <v>16.942962962962962</v>
      </c>
      <c r="AM252">
        <f t="shared" si="43"/>
        <v>18.952737229629626</v>
      </c>
      <c r="AP252" s="9"/>
      <c r="AQ252" s="21">
        <v>0.57144200000000001</v>
      </c>
      <c r="AR252" s="21">
        <v>26.387</v>
      </c>
      <c r="AS252" s="21">
        <v>-1.3998399999999999E-2</v>
      </c>
      <c r="AT252" s="21">
        <v>242</v>
      </c>
      <c r="AU252" s="21">
        <v>0.57083099999999998</v>
      </c>
      <c r="AV252">
        <f t="shared" si="44"/>
        <v>17.281975308641975</v>
      </c>
      <c r="AW252">
        <f t="shared" si="45"/>
        <v>9.8756465343209872</v>
      </c>
      <c r="AX252" s="9"/>
      <c r="AY252" s="21">
        <v>1.1186199999999999</v>
      </c>
      <c r="AZ252" s="21">
        <v>30.186</v>
      </c>
      <c r="BA252" s="21">
        <v>-1.38E-2</v>
      </c>
      <c r="BB252" s="21">
        <v>242</v>
      </c>
      <c r="BC252" s="21">
        <v>1.11694</v>
      </c>
      <c r="BD252">
        <f t="shared" si="46"/>
        <v>17.037037037037035</v>
      </c>
      <c r="BE252">
        <f t="shared" si="47"/>
        <v>19.057970370370366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0.56640599999999997</v>
      </c>
      <c r="H253" s="21">
        <v>7.8195800000000002</v>
      </c>
      <c r="I253" s="21">
        <v>-1.4080799999999999E-2</v>
      </c>
      <c r="J253" s="21">
        <v>243</v>
      </c>
      <c r="K253" s="21">
        <v>0.56570399999999998</v>
      </c>
      <c r="L253">
        <f t="shared" si="36"/>
        <v>17.383703703703702</v>
      </c>
      <c r="M253">
        <f t="shared" si="37"/>
        <v>9.8462340799999986</v>
      </c>
      <c r="N253" s="9"/>
      <c r="O253" s="21">
        <v>1.1236600000000001</v>
      </c>
      <c r="P253" s="21">
        <v>11.618600000000001</v>
      </c>
      <c r="Q253" s="21">
        <v>-1.3806199999999999E-2</v>
      </c>
      <c r="R253" s="21">
        <v>243</v>
      </c>
      <c r="S253" s="21">
        <v>1.1227400000000001</v>
      </c>
      <c r="T253">
        <f t="shared" si="38"/>
        <v>17.044691358024689</v>
      </c>
      <c r="U253">
        <f t="shared" si="39"/>
        <v>19.152437891358023</v>
      </c>
      <c r="X253" s="9"/>
      <c r="Y253" s="21">
        <v>1.1236600000000001</v>
      </c>
      <c r="Z253" s="21">
        <v>11.618600000000001</v>
      </c>
      <c r="AA253" s="21">
        <v>-1.3806199999999999E-2</v>
      </c>
      <c r="AB253" s="21">
        <v>243</v>
      </c>
      <c r="AC253" s="21">
        <v>1.1227400000000001</v>
      </c>
      <c r="AD253">
        <f t="shared" si="40"/>
        <v>17.044691358024689</v>
      </c>
      <c r="AE253">
        <f t="shared" si="41"/>
        <v>19.152437891358023</v>
      </c>
      <c r="AF253" s="9"/>
      <c r="AG253" s="21">
        <v>1.1236600000000001</v>
      </c>
      <c r="AH253" s="21">
        <v>20.9178</v>
      </c>
      <c r="AI253" s="21">
        <v>-1.3726800000000001E-2</v>
      </c>
      <c r="AJ253" s="21">
        <v>243</v>
      </c>
      <c r="AK253" s="21">
        <v>1.1227400000000001</v>
      </c>
      <c r="AL253">
        <f t="shared" si="42"/>
        <v>16.946666666666665</v>
      </c>
      <c r="AM253">
        <f t="shared" si="43"/>
        <v>19.042291466666668</v>
      </c>
      <c r="AP253" s="9"/>
      <c r="AQ253" s="21">
        <v>0.56640599999999997</v>
      </c>
      <c r="AR253" s="21">
        <v>26.396999999999998</v>
      </c>
      <c r="AS253" s="21">
        <v>-1.3998399999999999E-2</v>
      </c>
      <c r="AT253" s="21">
        <v>243</v>
      </c>
      <c r="AU253" s="21">
        <v>0.56585700000000005</v>
      </c>
      <c r="AV253">
        <f t="shared" si="44"/>
        <v>17.281975308641975</v>
      </c>
      <c r="AW253">
        <f t="shared" si="45"/>
        <v>9.7886145066666668</v>
      </c>
      <c r="AX253" s="9"/>
      <c r="AY253" s="21">
        <v>1.1236600000000001</v>
      </c>
      <c r="AZ253" s="21">
        <v>30.196100000000001</v>
      </c>
      <c r="BA253" s="21">
        <v>-1.38031E-2</v>
      </c>
      <c r="BB253" s="21">
        <v>243</v>
      </c>
      <c r="BC253" s="21">
        <v>1.1227400000000001</v>
      </c>
      <c r="BD253">
        <f t="shared" si="46"/>
        <v>17.040864197530862</v>
      </c>
      <c r="BE253">
        <f t="shared" si="47"/>
        <v>19.148137464197529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0.56137099999999995</v>
      </c>
      <c r="H254" s="21">
        <v>7.82965</v>
      </c>
      <c r="I254" s="21">
        <v>-1.40778E-2</v>
      </c>
      <c r="J254" s="21">
        <v>244</v>
      </c>
      <c r="K254" s="21">
        <v>0.56082200000000004</v>
      </c>
      <c r="L254">
        <f t="shared" si="36"/>
        <v>17.38</v>
      </c>
      <c r="M254">
        <f t="shared" si="37"/>
        <v>9.7566279799999993</v>
      </c>
      <c r="N254" s="9"/>
      <c r="O254" s="21">
        <v>1.12869</v>
      </c>
      <c r="P254" s="21">
        <v>11.6287</v>
      </c>
      <c r="Q254" s="21">
        <v>-1.37939E-2</v>
      </c>
      <c r="R254" s="21">
        <v>244</v>
      </c>
      <c r="S254" s="21">
        <v>1.1276200000000001</v>
      </c>
      <c r="T254">
        <f t="shared" si="38"/>
        <v>17.029506172839504</v>
      </c>
      <c r="U254">
        <f t="shared" si="39"/>
        <v>19.221033322222219</v>
      </c>
      <c r="X254" s="9"/>
      <c r="Y254" s="21">
        <v>1.12869</v>
      </c>
      <c r="Z254" s="21">
        <v>11.6287</v>
      </c>
      <c r="AA254" s="21">
        <v>-1.37939E-2</v>
      </c>
      <c r="AB254" s="21">
        <v>244</v>
      </c>
      <c r="AC254" s="21">
        <v>1.1276200000000001</v>
      </c>
      <c r="AD254">
        <f t="shared" si="40"/>
        <v>17.029506172839504</v>
      </c>
      <c r="AE254">
        <f t="shared" si="41"/>
        <v>19.221033322222219</v>
      </c>
      <c r="AF254" s="9"/>
      <c r="AG254" s="21">
        <v>1.12869</v>
      </c>
      <c r="AH254" s="21">
        <v>20.927900000000001</v>
      </c>
      <c r="AI254" s="21">
        <v>-1.3720700000000001E-2</v>
      </c>
      <c r="AJ254" s="21">
        <v>244</v>
      </c>
      <c r="AK254" s="21">
        <v>1.1282300000000001</v>
      </c>
      <c r="AL254">
        <f t="shared" si="42"/>
        <v>16.939135802469135</v>
      </c>
      <c r="AM254">
        <f t="shared" si="43"/>
        <v>19.119033188888888</v>
      </c>
      <c r="AP254" s="9"/>
      <c r="AQ254" s="21">
        <v>0.56137099999999995</v>
      </c>
      <c r="AR254" s="21">
        <v>26.4071</v>
      </c>
      <c r="AS254" s="21">
        <v>-1.40137E-2</v>
      </c>
      <c r="AT254" s="21">
        <v>244</v>
      </c>
      <c r="AU254" s="21">
        <v>0.56069899999999995</v>
      </c>
      <c r="AV254">
        <f t="shared" si="44"/>
        <v>17.300864197530863</v>
      </c>
      <c r="AW254">
        <f t="shared" si="45"/>
        <v>9.7122034354320981</v>
      </c>
      <c r="AX254" s="9"/>
      <c r="AY254" s="21">
        <v>1.12869</v>
      </c>
      <c r="AZ254" s="21">
        <v>30.206099999999999</v>
      </c>
      <c r="BA254" s="21">
        <v>-1.3787799999999999E-2</v>
      </c>
      <c r="BB254" s="21">
        <v>244</v>
      </c>
      <c r="BC254" s="21">
        <v>1.1279300000000001</v>
      </c>
      <c r="BD254">
        <f t="shared" si="46"/>
        <v>17.021975308641974</v>
      </c>
      <c r="BE254">
        <f t="shared" si="47"/>
        <v>19.212533311111109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0.55633500000000002</v>
      </c>
      <c r="H255" s="21">
        <v>7.8397199999999998</v>
      </c>
      <c r="I255" s="21">
        <v>-1.4071699999999999E-2</v>
      </c>
      <c r="J255" s="21">
        <v>245</v>
      </c>
      <c r="K255" s="21">
        <v>0.55569500000000005</v>
      </c>
      <c r="L255">
        <f t="shared" si="36"/>
        <v>17.372469135802469</v>
      </c>
      <c r="M255">
        <f t="shared" si="37"/>
        <v>9.6649126166666672</v>
      </c>
      <c r="N255" s="9"/>
      <c r="O255" s="21">
        <v>1.1337299999999999</v>
      </c>
      <c r="P255" s="21">
        <v>11.6388</v>
      </c>
      <c r="Q255" s="21">
        <v>-1.37909E-2</v>
      </c>
      <c r="R255" s="21">
        <v>245</v>
      </c>
      <c r="S255" s="21">
        <v>1.1331199999999999</v>
      </c>
      <c r="T255">
        <f t="shared" si="38"/>
        <v>17.025802469135801</v>
      </c>
      <c r="U255">
        <f t="shared" si="39"/>
        <v>19.302663033333332</v>
      </c>
      <c r="X255" s="9"/>
      <c r="Y255" s="21">
        <v>1.1337299999999999</v>
      </c>
      <c r="Z255" s="21">
        <v>11.6388</v>
      </c>
      <c r="AA255" s="21">
        <v>-1.37909E-2</v>
      </c>
      <c r="AB255" s="21">
        <v>245</v>
      </c>
      <c r="AC255" s="21">
        <v>1.1331199999999999</v>
      </c>
      <c r="AD255">
        <f t="shared" si="40"/>
        <v>17.025802469135801</v>
      </c>
      <c r="AE255">
        <f t="shared" si="41"/>
        <v>19.302663033333332</v>
      </c>
      <c r="AF255" s="9"/>
      <c r="AG255" s="21">
        <v>1.1337299999999999</v>
      </c>
      <c r="AH255" s="21">
        <v>20.937999999999999</v>
      </c>
      <c r="AI255" s="21">
        <v>-1.37146E-2</v>
      </c>
      <c r="AJ255" s="21">
        <v>245</v>
      </c>
      <c r="AK255" s="21">
        <v>1.1325099999999999</v>
      </c>
      <c r="AL255">
        <f t="shared" si="42"/>
        <v>16.931604938271605</v>
      </c>
      <c r="AM255">
        <f t="shared" si="43"/>
        <v>19.195868466666663</v>
      </c>
      <c r="AP255" s="9"/>
      <c r="AQ255" s="21">
        <v>0.55633500000000002</v>
      </c>
      <c r="AR255" s="21">
        <v>26.417200000000001</v>
      </c>
      <c r="AS255" s="21">
        <v>-1.40167E-2</v>
      </c>
      <c r="AT255" s="21">
        <v>245</v>
      </c>
      <c r="AU255" s="21">
        <v>0.55572500000000002</v>
      </c>
      <c r="AV255">
        <f t="shared" si="44"/>
        <v>17.304567901234567</v>
      </c>
      <c r="AW255">
        <f t="shared" si="45"/>
        <v>9.6271367833333326</v>
      </c>
      <c r="AX255" s="9"/>
      <c r="AY255" s="21">
        <v>1.1337299999999999</v>
      </c>
      <c r="AZ255" s="21">
        <v>30.216200000000001</v>
      </c>
      <c r="BA255" s="21">
        <v>-1.37695E-2</v>
      </c>
      <c r="BB255" s="21">
        <v>245</v>
      </c>
      <c r="BC255" s="21">
        <v>1.1328100000000001</v>
      </c>
      <c r="BD255">
        <f t="shared" si="46"/>
        <v>16.999382716049382</v>
      </c>
      <c r="BE255">
        <f t="shared" si="47"/>
        <v>19.272710166666666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0.55130000000000001</v>
      </c>
      <c r="H256" s="21">
        <v>7.8497899999999996</v>
      </c>
      <c r="I256" s="21">
        <v>-1.4068600000000001E-2</v>
      </c>
      <c r="J256" s="21">
        <v>246</v>
      </c>
      <c r="K256" s="21">
        <v>0.55069000000000001</v>
      </c>
      <c r="L256">
        <f t="shared" si="36"/>
        <v>17.368641975308641</v>
      </c>
      <c r="M256">
        <f t="shared" si="37"/>
        <v>9.5753323209876537</v>
      </c>
      <c r="N256" s="9"/>
      <c r="O256" s="21">
        <v>1.13876</v>
      </c>
      <c r="P256" s="21">
        <v>11.6488</v>
      </c>
      <c r="Q256" s="21">
        <v>-1.37787E-2</v>
      </c>
      <c r="R256" s="21">
        <v>246</v>
      </c>
      <c r="S256" s="21">
        <v>1.1379999999999999</v>
      </c>
      <c r="T256">
        <f t="shared" si="38"/>
        <v>17.01074074074074</v>
      </c>
      <c r="U256">
        <f t="shared" si="39"/>
        <v>19.371151125925927</v>
      </c>
      <c r="X256" s="9"/>
      <c r="Y256" s="21">
        <v>1.13876</v>
      </c>
      <c r="Z256" s="21">
        <v>11.6488</v>
      </c>
      <c r="AA256" s="21">
        <v>-1.37787E-2</v>
      </c>
      <c r="AB256" s="21">
        <v>246</v>
      </c>
      <c r="AC256" s="21">
        <v>1.1379999999999999</v>
      </c>
      <c r="AD256">
        <f t="shared" si="40"/>
        <v>17.01074074074074</v>
      </c>
      <c r="AE256">
        <f t="shared" si="41"/>
        <v>19.371151125925927</v>
      </c>
      <c r="AF256" s="9"/>
      <c r="AG256" s="21">
        <v>1.13876</v>
      </c>
      <c r="AH256" s="21">
        <v>20.9481</v>
      </c>
      <c r="AI256" s="21">
        <v>-1.37024E-2</v>
      </c>
      <c r="AJ256" s="21">
        <v>246</v>
      </c>
      <c r="AK256" s="21">
        <v>1.1373899999999999</v>
      </c>
      <c r="AL256">
        <f t="shared" si="42"/>
        <v>16.916543209876544</v>
      </c>
      <c r="AM256">
        <f t="shared" si="43"/>
        <v>19.263882745679012</v>
      </c>
      <c r="AP256" s="9"/>
      <c r="AQ256" s="21">
        <v>0.55130000000000001</v>
      </c>
      <c r="AR256" s="21">
        <v>26.427199999999999</v>
      </c>
      <c r="AS256" s="21">
        <v>-1.40167E-2</v>
      </c>
      <c r="AT256" s="21">
        <v>246</v>
      </c>
      <c r="AU256" s="21">
        <v>0.55071999999999999</v>
      </c>
      <c r="AV256">
        <f t="shared" si="44"/>
        <v>17.304567901234567</v>
      </c>
      <c r="AW256">
        <f t="shared" si="45"/>
        <v>9.5400082839506162</v>
      </c>
      <c r="AX256" s="9"/>
      <c r="AY256" s="21">
        <v>1.13876</v>
      </c>
      <c r="AZ256" s="21">
        <v>30.226299999999998</v>
      </c>
      <c r="BA256" s="21">
        <v>-1.37573E-2</v>
      </c>
      <c r="BB256" s="21">
        <v>246</v>
      </c>
      <c r="BC256" s="21">
        <v>1.1383099999999999</v>
      </c>
      <c r="BD256">
        <f t="shared" si="46"/>
        <v>16.984320987654321</v>
      </c>
      <c r="BE256">
        <f t="shared" si="47"/>
        <v>19.341065367901233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0.546265</v>
      </c>
      <c r="H257" s="21">
        <v>7.8598600000000003</v>
      </c>
      <c r="I257" s="21">
        <v>-1.4065599999999999E-2</v>
      </c>
      <c r="J257" s="21">
        <v>247</v>
      </c>
      <c r="K257" s="21">
        <v>0.545624</v>
      </c>
      <c r="L257">
        <f t="shared" si="36"/>
        <v>17.364938271604938</v>
      </c>
      <c r="M257">
        <f t="shared" si="37"/>
        <v>9.4858580049382724</v>
      </c>
      <c r="N257" s="9"/>
      <c r="O257" s="21">
        <v>1.1437999999999999</v>
      </c>
      <c r="P257" s="21">
        <v>11.658899999999999</v>
      </c>
      <c r="Q257" s="21">
        <v>-1.3772599999999999E-2</v>
      </c>
      <c r="R257" s="21">
        <v>247</v>
      </c>
      <c r="S257" s="21">
        <v>1.1428799999999999</v>
      </c>
      <c r="T257">
        <f t="shared" si="38"/>
        <v>17.00320987654321</v>
      </c>
      <c r="U257">
        <f t="shared" si="39"/>
        <v>19.44827145679012</v>
      </c>
      <c r="X257" s="9"/>
      <c r="Y257" s="21">
        <v>1.1437999999999999</v>
      </c>
      <c r="Z257" s="21">
        <v>11.658899999999999</v>
      </c>
      <c r="AA257" s="21">
        <v>-1.3772599999999999E-2</v>
      </c>
      <c r="AB257" s="21">
        <v>247</v>
      </c>
      <c r="AC257" s="21">
        <v>1.1428799999999999</v>
      </c>
      <c r="AD257">
        <f t="shared" si="40"/>
        <v>17.00320987654321</v>
      </c>
      <c r="AE257">
        <f t="shared" si="41"/>
        <v>19.44827145679012</v>
      </c>
      <c r="AF257" s="9"/>
      <c r="AG257" s="21">
        <v>1.1437999999999999</v>
      </c>
      <c r="AH257" s="21">
        <v>20.958100000000002</v>
      </c>
      <c r="AI257" s="21">
        <v>-1.3687100000000001E-2</v>
      </c>
      <c r="AJ257" s="21">
        <v>247</v>
      </c>
      <c r="AK257" s="21">
        <v>1.1431899999999999</v>
      </c>
      <c r="AL257">
        <f t="shared" si="42"/>
        <v>16.897654320987655</v>
      </c>
      <c r="AM257">
        <f t="shared" si="43"/>
        <v>19.32753701234568</v>
      </c>
      <c r="AP257" s="9"/>
      <c r="AQ257" s="21">
        <v>0.546265</v>
      </c>
      <c r="AR257" s="21">
        <v>26.4373</v>
      </c>
      <c r="AS257" s="21">
        <v>-1.40076E-2</v>
      </c>
      <c r="AT257" s="21">
        <v>247</v>
      </c>
      <c r="AU257" s="21">
        <v>0.545624</v>
      </c>
      <c r="AV257">
        <f t="shared" si="44"/>
        <v>17.293333333333333</v>
      </c>
      <c r="AW257">
        <f t="shared" si="45"/>
        <v>9.446742733333334</v>
      </c>
      <c r="AX257" s="9"/>
      <c r="AY257" s="21">
        <v>1.1437999999999999</v>
      </c>
      <c r="AZ257" s="21">
        <v>30.2364</v>
      </c>
      <c r="BA257" s="21">
        <v>-1.37482E-2</v>
      </c>
      <c r="BB257" s="21">
        <v>247</v>
      </c>
      <c r="BC257" s="21">
        <v>1.1428799999999999</v>
      </c>
      <c r="BD257">
        <f t="shared" si="46"/>
        <v>16.973086419753084</v>
      </c>
      <c r="BE257">
        <f t="shared" si="47"/>
        <v>19.413816246913576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0.54122899999999996</v>
      </c>
      <c r="H258" s="21">
        <v>7.8699300000000001</v>
      </c>
      <c r="I258" s="21">
        <v>-1.40503E-2</v>
      </c>
      <c r="J258" s="21">
        <v>248</v>
      </c>
      <c r="K258" s="21">
        <v>0.54058799999999996</v>
      </c>
      <c r="L258">
        <f t="shared" si="36"/>
        <v>17.34604938271605</v>
      </c>
      <c r="M258">
        <f t="shared" si="37"/>
        <v>9.388184961358025</v>
      </c>
      <c r="N258" s="9"/>
      <c r="O258" s="21">
        <v>1.14883</v>
      </c>
      <c r="P258" s="21">
        <v>11.669</v>
      </c>
      <c r="Q258" s="21">
        <v>-1.37695E-2</v>
      </c>
      <c r="R258" s="21">
        <v>248</v>
      </c>
      <c r="S258" s="21">
        <v>1.1480699999999999</v>
      </c>
      <c r="T258">
        <f t="shared" si="38"/>
        <v>16.999382716049382</v>
      </c>
      <c r="U258">
        <f t="shared" si="39"/>
        <v>19.529400845679014</v>
      </c>
      <c r="X258" s="9"/>
      <c r="Y258" s="21">
        <v>1.14883</v>
      </c>
      <c r="Z258" s="21">
        <v>11.669</v>
      </c>
      <c r="AA258" s="21">
        <v>-1.37695E-2</v>
      </c>
      <c r="AB258" s="21">
        <v>248</v>
      </c>
      <c r="AC258" s="21">
        <v>1.1480699999999999</v>
      </c>
      <c r="AD258">
        <f t="shared" si="40"/>
        <v>16.999382716049382</v>
      </c>
      <c r="AE258">
        <f t="shared" si="41"/>
        <v>19.529400845679014</v>
      </c>
      <c r="AF258" s="9"/>
      <c r="AG258" s="21">
        <v>1.14883</v>
      </c>
      <c r="AH258" s="21">
        <v>20.9682</v>
      </c>
      <c r="AI258" s="21">
        <v>-1.3684099999999999E-2</v>
      </c>
      <c r="AJ258" s="21">
        <v>248</v>
      </c>
      <c r="AK258" s="21">
        <v>1.14777</v>
      </c>
      <c r="AL258">
        <f t="shared" si="42"/>
        <v>16.893950617283949</v>
      </c>
      <c r="AM258">
        <f t="shared" si="43"/>
        <v>19.408277287654318</v>
      </c>
      <c r="AP258" s="9"/>
      <c r="AQ258" s="21">
        <v>0.54122899999999996</v>
      </c>
      <c r="AR258" s="21">
        <v>26.447399999999998</v>
      </c>
      <c r="AS258" s="21">
        <v>-1.3998399999999999E-2</v>
      </c>
      <c r="AT258" s="21">
        <v>248</v>
      </c>
      <c r="AU258" s="21">
        <v>0.54061899999999996</v>
      </c>
      <c r="AV258">
        <f t="shared" si="44"/>
        <v>17.281975308641975</v>
      </c>
      <c r="AW258">
        <f t="shared" si="45"/>
        <v>9.3535062143209871</v>
      </c>
      <c r="AX258" s="9"/>
      <c r="AY258" s="21">
        <v>1.14883</v>
      </c>
      <c r="AZ258" s="21">
        <v>30.246400000000001</v>
      </c>
      <c r="BA258" s="21">
        <v>-1.3738999999999999E-2</v>
      </c>
      <c r="BB258" s="21">
        <v>248</v>
      </c>
      <c r="BC258" s="21">
        <v>1.14777</v>
      </c>
      <c r="BD258">
        <f t="shared" si="46"/>
        <v>16.961728395061726</v>
      </c>
      <c r="BE258">
        <f t="shared" si="47"/>
        <v>19.486142432098763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0.53619399999999995</v>
      </c>
      <c r="H259" s="21">
        <v>7.8800100000000004</v>
      </c>
      <c r="I259" s="21">
        <v>-1.40625E-2</v>
      </c>
      <c r="J259" s="21">
        <v>249</v>
      </c>
      <c r="K259" s="21">
        <v>0.53552200000000005</v>
      </c>
      <c r="L259">
        <f t="shared" si="36"/>
        <v>17.361111111111111</v>
      </c>
      <c r="M259">
        <f t="shared" si="37"/>
        <v>9.3089236111111102</v>
      </c>
      <c r="N259" s="9"/>
      <c r="O259" s="21">
        <v>1.15387</v>
      </c>
      <c r="P259" s="21">
        <v>11.6791</v>
      </c>
      <c r="Q259" s="21">
        <v>-1.3766499999999999E-2</v>
      </c>
      <c r="R259" s="21">
        <v>249</v>
      </c>
      <c r="S259" s="21">
        <v>1.15326</v>
      </c>
      <c r="T259">
        <f t="shared" si="38"/>
        <v>16.995679012345676</v>
      </c>
      <c r="U259">
        <f t="shared" si="39"/>
        <v>19.610804141975304</v>
      </c>
      <c r="X259" s="9"/>
      <c r="Y259" s="21">
        <v>1.15387</v>
      </c>
      <c r="Z259" s="21">
        <v>11.6791</v>
      </c>
      <c r="AA259" s="21">
        <v>-1.3766499999999999E-2</v>
      </c>
      <c r="AB259" s="21">
        <v>249</v>
      </c>
      <c r="AC259" s="21">
        <v>1.15326</v>
      </c>
      <c r="AD259">
        <f t="shared" si="40"/>
        <v>16.995679012345676</v>
      </c>
      <c r="AE259">
        <f t="shared" si="41"/>
        <v>19.610804141975304</v>
      </c>
      <c r="AF259" s="9"/>
      <c r="AG259" s="21">
        <v>1.15387</v>
      </c>
      <c r="AH259" s="21">
        <v>20.978300000000001</v>
      </c>
      <c r="AI259" s="21">
        <v>-1.36749E-2</v>
      </c>
      <c r="AJ259" s="21">
        <v>249</v>
      </c>
      <c r="AK259" s="21">
        <v>1.1529499999999999</v>
      </c>
      <c r="AL259">
        <f t="shared" si="42"/>
        <v>16.882592592592591</v>
      </c>
      <c r="AM259">
        <f t="shared" si="43"/>
        <v>19.480317114814813</v>
      </c>
      <c r="AP259" s="9"/>
      <c r="AQ259" s="21">
        <v>0.53619399999999995</v>
      </c>
      <c r="AR259" s="21">
        <v>26.4575</v>
      </c>
      <c r="AS259" s="21">
        <v>-1.3998399999999999E-2</v>
      </c>
      <c r="AT259" s="21">
        <v>249</v>
      </c>
      <c r="AU259" s="21">
        <v>0.53570600000000002</v>
      </c>
      <c r="AV259">
        <f t="shared" si="44"/>
        <v>17.281975308641975</v>
      </c>
      <c r="AW259">
        <f t="shared" si="45"/>
        <v>9.2664914686419735</v>
      </c>
      <c r="AX259" s="9"/>
      <c r="AY259" s="21">
        <v>1.15387</v>
      </c>
      <c r="AZ259" s="21">
        <v>30.256499999999999</v>
      </c>
      <c r="BA259" s="21">
        <v>-1.3726800000000001E-2</v>
      </c>
      <c r="BB259" s="21">
        <v>249</v>
      </c>
      <c r="BC259" s="21">
        <v>1.15326</v>
      </c>
      <c r="BD259">
        <f t="shared" si="46"/>
        <v>16.946666666666665</v>
      </c>
      <c r="BE259">
        <f t="shared" si="47"/>
        <v>19.554250266666664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0.53115800000000002</v>
      </c>
      <c r="H260" s="21">
        <v>7.8900800000000002</v>
      </c>
      <c r="I260" s="21">
        <v>-1.4074700000000001E-2</v>
      </c>
      <c r="J260" s="21">
        <v>250</v>
      </c>
      <c r="K260" s="21">
        <v>0.53045699999999996</v>
      </c>
      <c r="L260">
        <f t="shared" si="36"/>
        <v>17.376172839506172</v>
      </c>
      <c r="M260">
        <f t="shared" si="37"/>
        <v>9.2294932130864193</v>
      </c>
      <c r="N260" s="9"/>
      <c r="O260" s="21">
        <v>1.1589100000000001</v>
      </c>
      <c r="P260" s="21">
        <v>11.6891</v>
      </c>
      <c r="Q260" s="21">
        <v>-1.37695E-2</v>
      </c>
      <c r="R260" s="21">
        <v>250</v>
      </c>
      <c r="S260" s="21">
        <v>1.1581399999999999</v>
      </c>
      <c r="T260">
        <f t="shared" si="38"/>
        <v>16.999382716049382</v>
      </c>
      <c r="U260">
        <f t="shared" si="39"/>
        <v>19.700754623456792</v>
      </c>
      <c r="X260" s="9"/>
      <c r="Y260" s="21">
        <v>1.1589100000000001</v>
      </c>
      <c r="Z260" s="21">
        <v>11.6891</v>
      </c>
      <c r="AA260" s="21">
        <v>-1.37695E-2</v>
      </c>
      <c r="AB260" s="21">
        <v>250</v>
      </c>
      <c r="AC260" s="21">
        <v>1.1581399999999999</v>
      </c>
      <c r="AD260">
        <f t="shared" si="40"/>
        <v>16.999382716049382</v>
      </c>
      <c r="AE260">
        <f t="shared" si="41"/>
        <v>19.700754623456792</v>
      </c>
      <c r="AF260" s="9"/>
      <c r="AG260" s="21">
        <v>1.1589100000000001</v>
      </c>
      <c r="AH260" s="21">
        <v>20.988299999999999</v>
      </c>
      <c r="AI260" s="21">
        <v>-1.36688E-2</v>
      </c>
      <c r="AJ260" s="21">
        <v>250</v>
      </c>
      <c r="AK260" s="21">
        <v>1.1581399999999999</v>
      </c>
      <c r="AL260">
        <f t="shared" si="42"/>
        <v>16.87506172839506</v>
      </c>
      <c r="AM260">
        <f t="shared" si="43"/>
        <v>19.556677787654323</v>
      </c>
      <c r="AP260" s="9"/>
      <c r="AQ260" s="21">
        <v>0.53115800000000002</v>
      </c>
      <c r="AR260" s="21">
        <v>26.467500000000001</v>
      </c>
      <c r="AS260" s="21">
        <v>-1.39954E-2</v>
      </c>
      <c r="AT260" s="21">
        <v>250</v>
      </c>
      <c r="AU260" s="21">
        <v>0.53045699999999996</v>
      </c>
      <c r="AV260">
        <f t="shared" si="44"/>
        <v>17.278271604938272</v>
      </c>
      <c r="AW260">
        <f t="shared" si="45"/>
        <v>9.177492189135803</v>
      </c>
      <c r="AX260" s="9"/>
      <c r="AY260" s="21">
        <v>1.1589100000000001</v>
      </c>
      <c r="AZ260" s="21">
        <v>30.2666</v>
      </c>
      <c r="BA260" s="21">
        <v>-1.3726800000000001E-2</v>
      </c>
      <c r="BB260" s="21">
        <v>250</v>
      </c>
      <c r="BC260" s="21">
        <v>1.1575299999999999</v>
      </c>
      <c r="BD260">
        <f t="shared" si="46"/>
        <v>16.946666666666665</v>
      </c>
      <c r="BE260">
        <f t="shared" si="47"/>
        <v>19.639661466666666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0.52612300000000001</v>
      </c>
      <c r="H261" s="21">
        <v>7.90015</v>
      </c>
      <c r="I261" s="21">
        <v>-1.4071699999999999E-2</v>
      </c>
      <c r="J261" s="21">
        <v>251</v>
      </c>
      <c r="K261" s="21">
        <v>0.52563499999999996</v>
      </c>
      <c r="L261">
        <f t="shared" si="36"/>
        <v>17.372469135802469</v>
      </c>
      <c r="M261">
        <f t="shared" si="37"/>
        <v>9.1400555791358027</v>
      </c>
      <c r="N261" s="9"/>
      <c r="O261" s="21">
        <v>1.16394</v>
      </c>
      <c r="P261" s="21">
        <v>11.699199999999999</v>
      </c>
      <c r="Q261" s="21">
        <v>-1.3766499999999999E-2</v>
      </c>
      <c r="R261" s="21">
        <v>251</v>
      </c>
      <c r="S261" s="21">
        <v>1.16333</v>
      </c>
      <c r="T261">
        <f t="shared" si="38"/>
        <v>16.995679012345676</v>
      </c>
      <c r="U261">
        <f t="shared" si="39"/>
        <v>19.781950629629627</v>
      </c>
      <c r="X261" s="9"/>
      <c r="Y261" s="21">
        <v>1.16394</v>
      </c>
      <c r="Z261" s="21">
        <v>11.699199999999999</v>
      </c>
      <c r="AA261" s="21">
        <v>-1.3766499999999999E-2</v>
      </c>
      <c r="AB261" s="21">
        <v>251</v>
      </c>
      <c r="AC261" s="21">
        <v>1.16333</v>
      </c>
      <c r="AD261">
        <f t="shared" si="40"/>
        <v>16.995679012345676</v>
      </c>
      <c r="AE261">
        <f t="shared" si="41"/>
        <v>19.781950629629627</v>
      </c>
      <c r="AF261" s="9"/>
      <c r="AG261" s="21">
        <v>1.16394</v>
      </c>
      <c r="AH261" s="21">
        <v>20.9984</v>
      </c>
      <c r="AI261" s="21">
        <v>-1.36597E-2</v>
      </c>
      <c r="AJ261" s="21">
        <v>251</v>
      </c>
      <c r="AK261" s="21">
        <v>1.16272</v>
      </c>
      <c r="AL261">
        <f t="shared" si="42"/>
        <v>16.863827160493827</v>
      </c>
      <c r="AM261">
        <f t="shared" si="43"/>
        <v>19.628482985185183</v>
      </c>
      <c r="AP261" s="9"/>
      <c r="AQ261" s="21">
        <v>0.52612300000000001</v>
      </c>
      <c r="AR261" s="21">
        <v>26.477599999999999</v>
      </c>
      <c r="AS261" s="21">
        <v>-1.40015E-2</v>
      </c>
      <c r="AT261" s="21">
        <v>251</v>
      </c>
      <c r="AU261" s="21">
        <v>0.52542100000000003</v>
      </c>
      <c r="AV261">
        <f t="shared" si="44"/>
        <v>17.285802469135803</v>
      </c>
      <c r="AW261">
        <f t="shared" si="45"/>
        <v>9.0944582524691366</v>
      </c>
      <c r="AX261" s="9"/>
      <c r="AY261" s="21">
        <v>1.16394</v>
      </c>
      <c r="AZ261" s="21">
        <v>30.276599999999998</v>
      </c>
      <c r="BA261" s="21">
        <v>-1.37115E-2</v>
      </c>
      <c r="BB261" s="21">
        <v>251</v>
      </c>
      <c r="BC261" s="21">
        <v>1.16333</v>
      </c>
      <c r="BD261">
        <f t="shared" si="46"/>
        <v>16.927777777777777</v>
      </c>
      <c r="BE261">
        <f t="shared" si="47"/>
        <v>19.702917666666664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0.521088</v>
      </c>
      <c r="H262" s="21">
        <v>7.9102199999999998</v>
      </c>
      <c r="I262" s="21">
        <v>-1.4068600000000001E-2</v>
      </c>
      <c r="J262" s="21">
        <v>252</v>
      </c>
      <c r="K262" s="21">
        <v>0.52038600000000002</v>
      </c>
      <c r="L262">
        <f t="shared" si="36"/>
        <v>17.368641975308641</v>
      </c>
      <c r="M262">
        <f t="shared" si="37"/>
        <v>9.05059090962963</v>
      </c>
      <c r="N262" s="9"/>
      <c r="O262" s="21">
        <v>1.1689799999999999</v>
      </c>
      <c r="P262" s="21">
        <v>11.709300000000001</v>
      </c>
      <c r="Q262" s="21">
        <v>-1.37451E-2</v>
      </c>
      <c r="R262" s="21">
        <v>252</v>
      </c>
      <c r="S262" s="21">
        <v>1.16791</v>
      </c>
      <c r="T262">
        <f t="shared" si="38"/>
        <v>16.969259259259257</v>
      </c>
      <c r="U262">
        <f t="shared" si="39"/>
        <v>19.836724688888886</v>
      </c>
      <c r="X262" s="9"/>
      <c r="Y262" s="21">
        <v>1.1689799999999999</v>
      </c>
      <c r="Z262" s="21">
        <v>11.709300000000001</v>
      </c>
      <c r="AA262" s="21">
        <v>-1.37451E-2</v>
      </c>
      <c r="AB262" s="21">
        <v>252</v>
      </c>
      <c r="AC262" s="21">
        <v>1.16791</v>
      </c>
      <c r="AD262">
        <f t="shared" si="40"/>
        <v>16.969259259259257</v>
      </c>
      <c r="AE262">
        <f t="shared" si="41"/>
        <v>19.836724688888886</v>
      </c>
      <c r="AF262" s="9"/>
      <c r="AG262" s="21">
        <v>1.1689799999999999</v>
      </c>
      <c r="AH262" s="21">
        <v>21.008500000000002</v>
      </c>
      <c r="AI262" s="21">
        <v>-1.3650499999999999E-2</v>
      </c>
      <c r="AJ262" s="21">
        <v>252</v>
      </c>
      <c r="AK262" s="21">
        <v>1.16852</v>
      </c>
      <c r="AL262">
        <f t="shared" si="42"/>
        <v>16.852469135802469</v>
      </c>
      <c r="AM262">
        <f t="shared" si="43"/>
        <v>19.70019937037037</v>
      </c>
      <c r="AP262" s="9"/>
      <c r="AQ262" s="21">
        <v>0.521088</v>
      </c>
      <c r="AR262" s="21">
        <v>26.4877</v>
      </c>
      <c r="AS262" s="21">
        <v>-1.40015E-2</v>
      </c>
      <c r="AT262" s="21">
        <v>252</v>
      </c>
      <c r="AU262" s="21">
        <v>0.52047699999999997</v>
      </c>
      <c r="AV262">
        <f t="shared" si="44"/>
        <v>17.285802469135803</v>
      </c>
      <c r="AW262">
        <f t="shared" si="45"/>
        <v>9.0074242370370374</v>
      </c>
      <c r="AX262" s="9"/>
      <c r="AY262" s="21">
        <v>1.1689799999999999</v>
      </c>
      <c r="AZ262" s="21">
        <v>30.2867</v>
      </c>
      <c r="BA262" s="21">
        <v>-1.36963E-2</v>
      </c>
      <c r="BB262" s="21">
        <v>252</v>
      </c>
      <c r="BC262" s="21">
        <v>1.16791</v>
      </c>
      <c r="BD262">
        <f t="shared" si="46"/>
        <v>16.90901234567901</v>
      </c>
      <c r="BE262">
        <f t="shared" si="47"/>
        <v>19.766297251851846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0.51605199999999996</v>
      </c>
      <c r="H263" s="21">
        <v>7.9202899999999996</v>
      </c>
      <c r="I263" s="21">
        <v>-1.4071699999999999E-2</v>
      </c>
      <c r="J263" s="21">
        <v>253</v>
      </c>
      <c r="K263" s="21">
        <v>0.51547200000000004</v>
      </c>
      <c r="L263">
        <f t="shared" si="36"/>
        <v>17.372469135802469</v>
      </c>
      <c r="M263">
        <f t="shared" si="37"/>
        <v>8.9650974424691352</v>
      </c>
      <c r="N263" s="9"/>
      <c r="O263" s="21">
        <v>1.17401</v>
      </c>
      <c r="P263" s="21">
        <v>11.7193</v>
      </c>
      <c r="Q263" s="21">
        <v>-1.37299E-2</v>
      </c>
      <c r="R263" s="21">
        <v>253</v>
      </c>
      <c r="S263" s="21">
        <v>1.17279</v>
      </c>
      <c r="T263">
        <f t="shared" si="38"/>
        <v>16.950493827160493</v>
      </c>
      <c r="U263">
        <f t="shared" si="39"/>
        <v>19.900049258024691</v>
      </c>
      <c r="X263" s="9"/>
      <c r="Y263" s="21">
        <v>1.17401</v>
      </c>
      <c r="Z263" s="21">
        <v>11.7193</v>
      </c>
      <c r="AA263" s="21">
        <v>-1.37299E-2</v>
      </c>
      <c r="AB263" s="21">
        <v>253</v>
      </c>
      <c r="AC263" s="21">
        <v>1.17279</v>
      </c>
      <c r="AD263">
        <f t="shared" si="40"/>
        <v>16.950493827160493</v>
      </c>
      <c r="AE263">
        <f t="shared" si="41"/>
        <v>19.900049258024691</v>
      </c>
      <c r="AF263" s="9"/>
      <c r="AG263" s="21">
        <v>1.17401</v>
      </c>
      <c r="AH263" s="21">
        <v>21.018599999999999</v>
      </c>
      <c r="AI263" s="21">
        <v>-1.3644399999999999E-2</v>
      </c>
      <c r="AJ263" s="21">
        <v>253</v>
      </c>
      <c r="AK263" s="21">
        <v>1.1731</v>
      </c>
      <c r="AL263">
        <f t="shared" si="42"/>
        <v>16.844938271604939</v>
      </c>
      <c r="AM263">
        <f t="shared" si="43"/>
        <v>19.776125980246913</v>
      </c>
      <c r="AP263" s="9"/>
      <c r="AQ263" s="21">
        <v>0.51605199999999996</v>
      </c>
      <c r="AR263" s="21">
        <v>26.497699999999998</v>
      </c>
      <c r="AS263" s="21">
        <v>-1.40076E-2</v>
      </c>
      <c r="AT263" s="21">
        <v>253</v>
      </c>
      <c r="AU263" s="21">
        <v>0.51550300000000004</v>
      </c>
      <c r="AV263">
        <f t="shared" si="44"/>
        <v>17.293333333333333</v>
      </c>
      <c r="AW263">
        <f t="shared" si="45"/>
        <v>8.9242592533333323</v>
      </c>
      <c r="AX263" s="9"/>
      <c r="AY263" s="21">
        <v>1.17401</v>
      </c>
      <c r="AZ263" s="21">
        <v>30.296800000000001</v>
      </c>
      <c r="BA263" s="21">
        <v>-1.36688E-2</v>
      </c>
      <c r="BB263" s="21">
        <v>253</v>
      </c>
      <c r="BC263" s="21">
        <v>1.17279</v>
      </c>
      <c r="BD263">
        <f t="shared" si="46"/>
        <v>16.87506172839506</v>
      </c>
      <c r="BE263">
        <f t="shared" si="47"/>
        <v>19.811491219753083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0.51101700000000005</v>
      </c>
      <c r="H264" s="21">
        <v>7.9303600000000003</v>
      </c>
      <c r="I264" s="21">
        <v>-1.4068600000000001E-2</v>
      </c>
      <c r="J264" s="21">
        <v>254</v>
      </c>
      <c r="K264" s="21">
        <v>0.51040600000000003</v>
      </c>
      <c r="L264">
        <f t="shared" si="36"/>
        <v>17.368641975308641</v>
      </c>
      <c r="M264">
        <f t="shared" si="37"/>
        <v>8.8756713162962964</v>
      </c>
      <c r="N264" s="9"/>
      <c r="O264" s="21">
        <v>1.1790499999999999</v>
      </c>
      <c r="P264" s="21">
        <v>11.7294</v>
      </c>
      <c r="Q264" s="21">
        <v>-1.37146E-2</v>
      </c>
      <c r="R264" s="21">
        <v>254</v>
      </c>
      <c r="S264" s="21">
        <v>1.17859</v>
      </c>
      <c r="T264">
        <f t="shared" si="38"/>
        <v>16.931604938271605</v>
      </c>
      <c r="U264">
        <f t="shared" si="39"/>
        <v>19.963208802469133</v>
      </c>
      <c r="X264" s="9"/>
      <c r="Y264" s="21">
        <v>1.1790499999999999</v>
      </c>
      <c r="Z264" s="21">
        <v>11.7294</v>
      </c>
      <c r="AA264" s="21">
        <v>-1.37146E-2</v>
      </c>
      <c r="AB264" s="21">
        <v>254</v>
      </c>
      <c r="AC264" s="21">
        <v>1.17859</v>
      </c>
      <c r="AD264">
        <f t="shared" si="40"/>
        <v>16.931604938271605</v>
      </c>
      <c r="AE264">
        <f t="shared" si="41"/>
        <v>19.963208802469133</v>
      </c>
      <c r="AF264" s="9"/>
      <c r="AG264" s="21">
        <v>1.1790499999999999</v>
      </c>
      <c r="AH264" s="21">
        <v>21.028600000000001</v>
      </c>
      <c r="AI264" s="21">
        <v>-1.36353E-2</v>
      </c>
      <c r="AJ264" s="21">
        <v>254</v>
      </c>
      <c r="AK264" s="21">
        <v>1.17798</v>
      </c>
      <c r="AL264">
        <f t="shared" si="42"/>
        <v>16.833703703703701</v>
      </c>
      <c r="AM264">
        <f t="shared" si="43"/>
        <v>19.847778351851847</v>
      </c>
      <c r="AP264" s="9"/>
      <c r="AQ264" s="21">
        <v>0.51101700000000005</v>
      </c>
      <c r="AR264" s="21">
        <v>26.5078</v>
      </c>
      <c r="AS264" s="21">
        <v>-1.40106E-2</v>
      </c>
      <c r="AT264" s="21">
        <v>254</v>
      </c>
      <c r="AU264" s="21">
        <v>0.51049800000000001</v>
      </c>
      <c r="AV264">
        <f t="shared" si="44"/>
        <v>17.297037037037036</v>
      </c>
      <c r="AW264">
        <f t="shared" si="45"/>
        <v>8.8390799755555562</v>
      </c>
      <c r="AX264" s="9"/>
      <c r="AY264" s="21">
        <v>1.1790499999999999</v>
      </c>
      <c r="AZ264" s="21">
        <v>30.306899999999999</v>
      </c>
      <c r="BA264" s="21">
        <v>-1.3644399999999999E-2</v>
      </c>
      <c r="BB264" s="21">
        <v>254</v>
      </c>
      <c r="BC264" s="21">
        <v>1.17737</v>
      </c>
      <c r="BD264">
        <f t="shared" si="46"/>
        <v>16.844938271604939</v>
      </c>
      <c r="BE264">
        <f t="shared" si="47"/>
        <v>19.861024469135803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0.50598100000000001</v>
      </c>
      <c r="H265" s="21">
        <v>7.9404300000000001</v>
      </c>
      <c r="I265" s="21">
        <v>-1.4071699999999999E-2</v>
      </c>
      <c r="J265" s="21">
        <v>255</v>
      </c>
      <c r="K265" s="21">
        <v>0.50537100000000001</v>
      </c>
      <c r="L265">
        <f t="shared" si="36"/>
        <v>17.372469135802469</v>
      </c>
      <c r="M265">
        <f t="shared" si="37"/>
        <v>8.7901393058024695</v>
      </c>
      <c r="N265" s="9"/>
      <c r="O265" s="21">
        <v>1.18408</v>
      </c>
      <c r="P265" s="21">
        <v>11.7395</v>
      </c>
      <c r="Q265" s="21">
        <v>-1.37054E-2</v>
      </c>
      <c r="R265" s="21">
        <v>255</v>
      </c>
      <c r="S265" s="21">
        <v>1.1831700000000001</v>
      </c>
      <c r="T265">
        <f t="shared" si="38"/>
        <v>16.920246913580247</v>
      </c>
      <c r="U265">
        <f t="shared" si="39"/>
        <v>20.034925965432098</v>
      </c>
      <c r="X265" s="9"/>
      <c r="Y265" s="21">
        <v>1.18408</v>
      </c>
      <c r="Z265" s="21">
        <v>11.7395</v>
      </c>
      <c r="AA265" s="21">
        <v>-1.37054E-2</v>
      </c>
      <c r="AB265" s="21">
        <v>255</v>
      </c>
      <c r="AC265" s="21">
        <v>1.1831700000000001</v>
      </c>
      <c r="AD265">
        <f t="shared" si="40"/>
        <v>16.920246913580247</v>
      </c>
      <c r="AE265">
        <f t="shared" si="41"/>
        <v>20.034925965432098</v>
      </c>
      <c r="AF265" s="9"/>
      <c r="AG265" s="21">
        <v>1.18408</v>
      </c>
      <c r="AH265" s="21">
        <v>21.038699999999999</v>
      </c>
      <c r="AI265" s="21">
        <v>-1.3623E-2</v>
      </c>
      <c r="AJ265" s="21">
        <v>255</v>
      </c>
      <c r="AK265" s="21">
        <v>1.18347</v>
      </c>
      <c r="AL265">
        <f t="shared" si="42"/>
        <v>16.818518518518516</v>
      </c>
      <c r="AM265">
        <f t="shared" si="43"/>
        <v>19.914471407407405</v>
      </c>
      <c r="AP265" s="9"/>
      <c r="AQ265" s="21">
        <v>0.50598100000000001</v>
      </c>
      <c r="AR265" s="21">
        <v>26.517900000000001</v>
      </c>
      <c r="AS265" s="21">
        <v>-1.40106E-2</v>
      </c>
      <c r="AT265" s="21">
        <v>255</v>
      </c>
      <c r="AU265" s="21">
        <v>0.50537100000000001</v>
      </c>
      <c r="AV265">
        <f t="shared" si="44"/>
        <v>17.297037037037036</v>
      </c>
      <c r="AW265">
        <f t="shared" si="45"/>
        <v>8.7519720970370365</v>
      </c>
      <c r="AX265" s="9"/>
      <c r="AY265" s="21">
        <v>1.18408</v>
      </c>
      <c r="AZ265" s="21">
        <v>30.3169</v>
      </c>
      <c r="BA265" s="21">
        <v>-1.3632200000000001E-2</v>
      </c>
      <c r="BB265" s="21">
        <v>255</v>
      </c>
      <c r="BC265" s="21">
        <v>1.1837800000000001</v>
      </c>
      <c r="BD265">
        <f t="shared" si="46"/>
        <v>16.829876543209878</v>
      </c>
      <c r="BE265">
        <f t="shared" si="47"/>
        <v>19.927920217283951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0.500946</v>
      </c>
      <c r="H266" s="21">
        <v>7.9504999999999999</v>
      </c>
      <c r="I266" s="21">
        <v>-1.4071699999999999E-2</v>
      </c>
      <c r="J266" s="21">
        <v>256</v>
      </c>
      <c r="K266" s="21">
        <v>0.50061</v>
      </c>
      <c r="L266">
        <f t="shared" si="36"/>
        <v>17.372469135802469</v>
      </c>
      <c r="M266">
        <f t="shared" si="37"/>
        <v>8.7026689237037029</v>
      </c>
      <c r="N266" s="9"/>
      <c r="O266" s="21">
        <v>1.18912</v>
      </c>
      <c r="P266" s="21">
        <v>11.749499999999999</v>
      </c>
      <c r="Q266" s="21">
        <v>-1.3699299999999999E-2</v>
      </c>
      <c r="R266" s="21">
        <v>256</v>
      </c>
      <c r="S266" s="21">
        <v>1.1880500000000001</v>
      </c>
      <c r="T266">
        <f t="shared" si="38"/>
        <v>16.912716049382716</v>
      </c>
      <c r="U266">
        <f t="shared" si="39"/>
        <v>20.111248908641976</v>
      </c>
      <c r="X266" s="9"/>
      <c r="Y266" s="21">
        <v>1.18912</v>
      </c>
      <c r="Z266" s="21">
        <v>11.749499999999999</v>
      </c>
      <c r="AA266" s="21">
        <v>-1.3699299999999999E-2</v>
      </c>
      <c r="AB266" s="21">
        <v>256</v>
      </c>
      <c r="AC266" s="21">
        <v>1.1880500000000001</v>
      </c>
      <c r="AD266">
        <f t="shared" si="40"/>
        <v>16.912716049382716</v>
      </c>
      <c r="AE266">
        <f t="shared" si="41"/>
        <v>20.111248908641976</v>
      </c>
      <c r="AF266" s="9"/>
      <c r="AG266" s="21">
        <v>1.18912</v>
      </c>
      <c r="AH266" s="21">
        <v>21.0488</v>
      </c>
      <c r="AI266" s="21">
        <v>-1.36139E-2</v>
      </c>
      <c r="AJ266" s="21">
        <v>256</v>
      </c>
      <c r="AK266" s="21">
        <v>1.18896</v>
      </c>
      <c r="AL266">
        <f t="shared" si="42"/>
        <v>16.807283950617283</v>
      </c>
      <c r="AM266">
        <f t="shared" si="43"/>
        <v>19.985877491358021</v>
      </c>
      <c r="AP266" s="9"/>
      <c r="AQ266" s="21">
        <v>0.500946</v>
      </c>
      <c r="AR266" s="21">
        <v>26.527899999999999</v>
      </c>
      <c r="AS266" s="21">
        <v>-1.40137E-2</v>
      </c>
      <c r="AT266" s="21">
        <v>256</v>
      </c>
      <c r="AU266" s="21">
        <v>0.500305</v>
      </c>
      <c r="AV266">
        <f t="shared" si="44"/>
        <v>17.300864197530863</v>
      </c>
      <c r="AW266">
        <f t="shared" si="45"/>
        <v>8.6667987162962952</v>
      </c>
      <c r="AX266" s="9"/>
      <c r="AY266" s="21">
        <v>1.18912</v>
      </c>
      <c r="AZ266" s="21">
        <v>30.327000000000002</v>
      </c>
      <c r="BA266" s="21">
        <v>-1.3616899999999999E-2</v>
      </c>
      <c r="BB266" s="21">
        <v>256</v>
      </c>
      <c r="BC266" s="21">
        <v>1.18835</v>
      </c>
      <c r="BD266">
        <f t="shared" si="46"/>
        <v>16.810987654320986</v>
      </c>
      <c r="BE266">
        <f t="shared" si="47"/>
        <v>19.990281639506168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0.49591099999999999</v>
      </c>
      <c r="H267" s="21">
        <v>7.9605699999999997</v>
      </c>
      <c r="I267" s="21">
        <v>-1.4071699999999999E-2</v>
      </c>
      <c r="J267" s="21">
        <v>257</v>
      </c>
      <c r="K267" s="21">
        <v>0.49533100000000002</v>
      </c>
      <c r="L267">
        <f t="shared" si="36"/>
        <v>17.372469135802469</v>
      </c>
      <c r="M267">
        <f t="shared" si="37"/>
        <v>8.6151985416049381</v>
      </c>
      <c r="N267" s="9"/>
      <c r="O267" s="21">
        <v>1.19415</v>
      </c>
      <c r="P267" s="21">
        <v>11.759600000000001</v>
      </c>
      <c r="Q267" s="21">
        <v>-1.36963E-2</v>
      </c>
      <c r="R267" s="21">
        <v>257</v>
      </c>
      <c r="S267" s="21">
        <v>1.1932400000000001</v>
      </c>
      <c r="T267">
        <f t="shared" si="38"/>
        <v>16.90901234567901</v>
      </c>
      <c r="U267">
        <f t="shared" si="39"/>
        <v>20.19189709259259</v>
      </c>
      <c r="X267" s="9"/>
      <c r="Y267" s="21">
        <v>1.19415</v>
      </c>
      <c r="Z267" s="21">
        <v>11.759600000000001</v>
      </c>
      <c r="AA267" s="21">
        <v>-1.36963E-2</v>
      </c>
      <c r="AB267" s="21">
        <v>257</v>
      </c>
      <c r="AC267" s="21">
        <v>1.1932400000000001</v>
      </c>
      <c r="AD267">
        <f t="shared" si="40"/>
        <v>16.90901234567901</v>
      </c>
      <c r="AE267">
        <f t="shared" si="41"/>
        <v>20.19189709259259</v>
      </c>
      <c r="AF267" s="9"/>
      <c r="AG267" s="21">
        <v>1.19415</v>
      </c>
      <c r="AH267" s="21">
        <v>21.058800000000002</v>
      </c>
      <c r="AI267" s="21">
        <v>-1.3604700000000001E-2</v>
      </c>
      <c r="AJ267" s="21">
        <v>257</v>
      </c>
      <c r="AK267" s="21">
        <v>1.1932400000000001</v>
      </c>
      <c r="AL267">
        <f t="shared" si="42"/>
        <v>16.795925925925925</v>
      </c>
      <c r="AM267">
        <f t="shared" si="43"/>
        <v>20.056854944444442</v>
      </c>
      <c r="AP267" s="9"/>
      <c r="AQ267" s="21">
        <v>0.49591099999999999</v>
      </c>
      <c r="AR267" s="21">
        <v>26.538</v>
      </c>
      <c r="AS267" s="21">
        <v>-1.40167E-2</v>
      </c>
      <c r="AT267" s="21">
        <v>257</v>
      </c>
      <c r="AU267" s="21">
        <v>0.49511699999999997</v>
      </c>
      <c r="AV267">
        <f t="shared" si="44"/>
        <v>17.304567901234567</v>
      </c>
      <c r="AW267">
        <f t="shared" si="45"/>
        <v>8.5815255724691344</v>
      </c>
      <c r="AX267" s="9"/>
      <c r="AY267" s="21">
        <v>1.19415</v>
      </c>
      <c r="AZ267" s="21">
        <v>30.3371</v>
      </c>
      <c r="BA267" s="21">
        <v>-1.36017E-2</v>
      </c>
      <c r="BB267" s="21">
        <v>257</v>
      </c>
      <c r="BC267" s="21">
        <v>1.1932400000000001</v>
      </c>
      <c r="BD267">
        <f t="shared" si="46"/>
        <v>16.792222222222222</v>
      </c>
      <c r="BE267">
        <f t="shared" si="47"/>
        <v>20.052432166666666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0.49087500000000001</v>
      </c>
      <c r="H268" s="21">
        <v>7.9706400000000004</v>
      </c>
      <c r="I268" s="21">
        <v>-1.40778E-2</v>
      </c>
      <c r="J268" s="21">
        <v>258</v>
      </c>
      <c r="K268" s="21">
        <v>0.49026500000000001</v>
      </c>
      <c r="L268">
        <f t="shared" ref="L268:L331" si="48">-I268/$F$2*1000</f>
        <v>17.38</v>
      </c>
      <c r="M268">
        <f t="shared" ref="M268:M331" si="49">L268*G268</f>
        <v>8.5314075000000003</v>
      </c>
      <c r="N268" s="9"/>
      <c r="O268" s="21">
        <v>1.19919</v>
      </c>
      <c r="P268" s="21">
        <v>11.7697</v>
      </c>
      <c r="Q268" s="21">
        <v>-1.36963E-2</v>
      </c>
      <c r="R268" s="21">
        <v>258</v>
      </c>
      <c r="S268" s="21">
        <v>1.1984300000000001</v>
      </c>
      <c r="T268">
        <f t="shared" ref="T268:T331" si="50">-Q268/$F$2*1000</f>
        <v>16.90901234567901</v>
      </c>
      <c r="U268">
        <f t="shared" ref="U268:U331" si="51">T268*O268</f>
        <v>20.277118514814813</v>
      </c>
      <c r="X268" s="9"/>
      <c r="Y268" s="21">
        <v>1.19919</v>
      </c>
      <c r="Z268" s="21">
        <v>11.7697</v>
      </c>
      <c r="AA268" s="21">
        <v>-1.36963E-2</v>
      </c>
      <c r="AB268" s="21">
        <v>258</v>
      </c>
      <c r="AC268" s="21">
        <v>1.1984300000000001</v>
      </c>
      <c r="AD268">
        <f t="shared" ref="AD268:AD331" si="52">-AA268/$F$2*1000</f>
        <v>16.90901234567901</v>
      </c>
      <c r="AE268">
        <f t="shared" ref="AE268:AE331" si="53">AD268*Y268</f>
        <v>20.277118514814813</v>
      </c>
      <c r="AF268" s="9"/>
      <c r="AG268" s="21">
        <v>1.19919</v>
      </c>
      <c r="AH268" s="21">
        <v>21.068899999999999</v>
      </c>
      <c r="AI268" s="21">
        <v>-1.36017E-2</v>
      </c>
      <c r="AJ268" s="21">
        <v>258</v>
      </c>
      <c r="AK268" s="21">
        <v>1.1984300000000001</v>
      </c>
      <c r="AL268">
        <f t="shared" ref="AL268:AL331" si="54">-AI268/$F$2*1000</f>
        <v>16.792222222222222</v>
      </c>
      <c r="AM268">
        <f t="shared" ref="AM268:AM331" si="55">AL268*AG268</f>
        <v>20.137064966666667</v>
      </c>
      <c r="AP268" s="9"/>
      <c r="AQ268" s="21">
        <v>0.49087500000000001</v>
      </c>
      <c r="AR268" s="21">
        <v>26.548100000000002</v>
      </c>
      <c r="AS268" s="21">
        <v>-1.40106E-2</v>
      </c>
      <c r="AT268" s="21">
        <v>258</v>
      </c>
      <c r="AU268" s="21">
        <v>0.49020399999999997</v>
      </c>
      <c r="AV268">
        <f t="shared" ref="AV268:AV331" si="56">-AS268/$F$2*1000</f>
        <v>17.297037037037036</v>
      </c>
      <c r="AW268">
        <f t="shared" ref="AW268:AW331" si="57">AV268*AQ268</f>
        <v>8.4906830555555555</v>
      </c>
      <c r="AX268" s="9"/>
      <c r="AY268" s="21">
        <v>1.19919</v>
      </c>
      <c r="AZ268" s="21">
        <v>30.347100000000001</v>
      </c>
      <c r="BA268" s="21">
        <v>-1.3598600000000001E-2</v>
      </c>
      <c r="BB268" s="21">
        <v>258</v>
      </c>
      <c r="BC268" s="21">
        <v>1.1981200000000001</v>
      </c>
      <c r="BD268">
        <f t="shared" ref="BD268:BD331" si="58">-BA268/$F$2*1000</f>
        <v>16.788395061728394</v>
      </c>
      <c r="BE268">
        <f t="shared" ref="BE268:BE331" si="59">BD268*AY268</f>
        <v>20.132475474074074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0.48583999999999999</v>
      </c>
      <c r="H269" s="21">
        <v>7.9807199999999998</v>
      </c>
      <c r="I269" s="21">
        <v>-1.4071699999999999E-2</v>
      </c>
      <c r="J269" s="21">
        <v>259</v>
      </c>
      <c r="K269" s="21">
        <v>0.48513800000000001</v>
      </c>
      <c r="L269">
        <f t="shared" si="48"/>
        <v>17.372469135802469</v>
      </c>
      <c r="M269">
        <f t="shared" si="49"/>
        <v>8.4402404049382707</v>
      </c>
      <c r="N269" s="9"/>
      <c r="O269" s="21">
        <v>1.2042200000000001</v>
      </c>
      <c r="P269" s="21">
        <v>11.7798</v>
      </c>
      <c r="Q269" s="21">
        <v>-1.36963E-2</v>
      </c>
      <c r="R269" s="21">
        <v>259</v>
      </c>
      <c r="S269" s="21">
        <v>1.2030000000000001</v>
      </c>
      <c r="T269">
        <f t="shared" si="50"/>
        <v>16.90901234567901</v>
      </c>
      <c r="U269">
        <f t="shared" si="51"/>
        <v>20.362170846913578</v>
      </c>
      <c r="X269" s="9"/>
      <c r="Y269" s="21">
        <v>1.2042200000000001</v>
      </c>
      <c r="Z269" s="21">
        <v>11.7798</v>
      </c>
      <c r="AA269" s="21">
        <v>-1.36963E-2</v>
      </c>
      <c r="AB269" s="21">
        <v>259</v>
      </c>
      <c r="AC269" s="21">
        <v>1.2030000000000001</v>
      </c>
      <c r="AD269">
        <f t="shared" si="52"/>
        <v>16.90901234567901</v>
      </c>
      <c r="AE269">
        <f t="shared" si="53"/>
        <v>20.362170846913578</v>
      </c>
      <c r="AF269" s="9"/>
      <c r="AG269" s="21">
        <v>1.2042200000000001</v>
      </c>
      <c r="AH269" s="21">
        <v>21.079000000000001</v>
      </c>
      <c r="AI269" s="21">
        <v>-1.3589499999999999E-2</v>
      </c>
      <c r="AJ269" s="21">
        <v>259</v>
      </c>
      <c r="AK269" s="21">
        <v>1.2033100000000001</v>
      </c>
      <c r="AL269">
        <f t="shared" si="54"/>
        <v>16.777160493827161</v>
      </c>
      <c r="AM269">
        <f t="shared" si="55"/>
        <v>20.203392209876544</v>
      </c>
      <c r="AP269" s="9"/>
      <c r="AQ269" s="21">
        <v>0.48583999999999999</v>
      </c>
      <c r="AR269" s="21">
        <v>26.558199999999999</v>
      </c>
      <c r="AS269" s="21">
        <v>-1.40137E-2</v>
      </c>
      <c r="AT269" s="21">
        <v>259</v>
      </c>
      <c r="AU269" s="21">
        <v>0.48510700000000001</v>
      </c>
      <c r="AV269">
        <f t="shared" si="56"/>
        <v>17.300864197530863</v>
      </c>
      <c r="AW269">
        <f t="shared" si="57"/>
        <v>8.4054518617283946</v>
      </c>
      <c r="AX269" s="9"/>
      <c r="AY269" s="21">
        <v>1.2042200000000001</v>
      </c>
      <c r="AZ269" s="21">
        <v>30.357199999999999</v>
      </c>
      <c r="BA269" s="21">
        <v>-1.3595599999999999E-2</v>
      </c>
      <c r="BB269" s="21">
        <v>259</v>
      </c>
      <c r="BC269" s="21">
        <v>1.2036100000000001</v>
      </c>
      <c r="BD269">
        <f t="shared" si="58"/>
        <v>16.784691358024691</v>
      </c>
      <c r="BE269">
        <f t="shared" si="59"/>
        <v>20.212461027160494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0.48080400000000001</v>
      </c>
      <c r="H270" s="21">
        <v>7.9907899999999996</v>
      </c>
      <c r="I270" s="21">
        <v>-1.40778E-2</v>
      </c>
      <c r="J270" s="21">
        <v>260</v>
      </c>
      <c r="K270" s="21">
        <v>0.48022500000000001</v>
      </c>
      <c r="L270">
        <f t="shared" si="48"/>
        <v>17.38</v>
      </c>
      <c r="M270">
        <f t="shared" si="49"/>
        <v>8.35637352</v>
      </c>
      <c r="N270" s="9"/>
      <c r="O270" s="21">
        <v>1.20926</v>
      </c>
      <c r="P270" s="21">
        <v>11.7898</v>
      </c>
      <c r="Q270" s="21">
        <v>-1.36963E-2</v>
      </c>
      <c r="R270" s="21">
        <v>260</v>
      </c>
      <c r="S270" s="21">
        <v>1.2081900000000001</v>
      </c>
      <c r="T270">
        <f t="shared" si="50"/>
        <v>16.90901234567901</v>
      </c>
      <c r="U270">
        <f t="shared" si="51"/>
        <v>20.447392269135801</v>
      </c>
      <c r="X270" s="9"/>
      <c r="Y270" s="21">
        <v>1.20926</v>
      </c>
      <c r="Z270" s="21">
        <v>11.7898</v>
      </c>
      <c r="AA270" s="21">
        <v>-1.36963E-2</v>
      </c>
      <c r="AB270" s="21">
        <v>260</v>
      </c>
      <c r="AC270" s="21">
        <v>1.2081900000000001</v>
      </c>
      <c r="AD270">
        <f t="shared" si="52"/>
        <v>16.90901234567901</v>
      </c>
      <c r="AE270">
        <f t="shared" si="53"/>
        <v>20.447392269135801</v>
      </c>
      <c r="AF270" s="9"/>
      <c r="AG270" s="21">
        <v>1.20926</v>
      </c>
      <c r="AH270" s="21">
        <v>21.089099999999998</v>
      </c>
      <c r="AI270" s="21">
        <v>-1.3589499999999999E-2</v>
      </c>
      <c r="AJ270" s="21">
        <v>260</v>
      </c>
      <c r="AK270" s="21">
        <v>1.2091099999999999</v>
      </c>
      <c r="AL270">
        <f t="shared" si="54"/>
        <v>16.777160493827161</v>
      </c>
      <c r="AM270">
        <f t="shared" si="55"/>
        <v>20.287949098765431</v>
      </c>
      <c r="AP270" s="9"/>
      <c r="AQ270" s="21">
        <v>0.48080400000000001</v>
      </c>
      <c r="AR270" s="21">
        <v>26.568200000000001</v>
      </c>
      <c r="AS270" s="21">
        <v>-1.40167E-2</v>
      </c>
      <c r="AT270" s="21">
        <v>260</v>
      </c>
      <c r="AU270" s="21">
        <v>0.48031600000000002</v>
      </c>
      <c r="AV270">
        <f t="shared" si="56"/>
        <v>17.304567901234567</v>
      </c>
      <c r="AW270">
        <f t="shared" si="57"/>
        <v>8.3201054651851845</v>
      </c>
      <c r="AX270" s="9"/>
      <c r="AY270" s="21">
        <v>1.20926</v>
      </c>
      <c r="AZ270" s="21">
        <v>30.3673</v>
      </c>
      <c r="BA270" s="21">
        <v>-1.3583400000000001E-2</v>
      </c>
      <c r="BB270" s="21">
        <v>260</v>
      </c>
      <c r="BC270" s="21">
        <v>1.2075800000000001</v>
      </c>
      <c r="BD270">
        <f t="shared" si="58"/>
        <v>16.76962962962963</v>
      </c>
      <c r="BE270">
        <f t="shared" si="59"/>
        <v>20.278842325925925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0.475769</v>
      </c>
      <c r="H271" s="21">
        <v>8.0008599999999994</v>
      </c>
      <c r="I271" s="21">
        <v>-1.4080799999999999E-2</v>
      </c>
      <c r="J271" s="21">
        <v>261</v>
      </c>
      <c r="K271" s="21">
        <v>0.47512799999999999</v>
      </c>
      <c r="L271">
        <f t="shared" si="48"/>
        <v>17.383703703703702</v>
      </c>
      <c r="M271">
        <f t="shared" si="49"/>
        <v>8.2706273274074071</v>
      </c>
      <c r="N271" s="9"/>
      <c r="O271" s="21">
        <v>1.2142900000000001</v>
      </c>
      <c r="P271" s="21">
        <v>11.799899999999999</v>
      </c>
      <c r="Q271" s="21">
        <v>-1.36902E-2</v>
      </c>
      <c r="R271" s="21">
        <v>261</v>
      </c>
      <c r="S271" s="21">
        <v>1.2136800000000001</v>
      </c>
      <c r="T271">
        <f t="shared" si="50"/>
        <v>16.901481481481479</v>
      </c>
      <c r="U271">
        <f t="shared" si="51"/>
        <v>20.523299948148146</v>
      </c>
      <c r="X271" s="9"/>
      <c r="Y271" s="21">
        <v>1.2142900000000001</v>
      </c>
      <c r="Z271" s="21">
        <v>11.799899999999999</v>
      </c>
      <c r="AA271" s="21">
        <v>-1.36902E-2</v>
      </c>
      <c r="AB271" s="21">
        <v>261</v>
      </c>
      <c r="AC271" s="21">
        <v>1.2136800000000001</v>
      </c>
      <c r="AD271">
        <f t="shared" si="52"/>
        <v>16.901481481481479</v>
      </c>
      <c r="AE271">
        <f t="shared" si="53"/>
        <v>20.523299948148146</v>
      </c>
      <c r="AF271" s="9"/>
      <c r="AG271" s="21">
        <v>1.2142900000000001</v>
      </c>
      <c r="AH271" s="21">
        <v>21.0991</v>
      </c>
      <c r="AI271" s="21">
        <v>-1.3583400000000001E-2</v>
      </c>
      <c r="AJ271" s="21">
        <v>261</v>
      </c>
      <c r="AK271" s="21">
        <v>1.2136800000000001</v>
      </c>
      <c r="AL271">
        <f t="shared" si="54"/>
        <v>16.76962962962963</v>
      </c>
      <c r="AM271">
        <f t="shared" si="55"/>
        <v>20.363193562962966</v>
      </c>
      <c r="AP271" s="9"/>
      <c r="AQ271" s="21">
        <v>0.475769</v>
      </c>
      <c r="AR271" s="21">
        <v>26.578299999999999</v>
      </c>
      <c r="AS271" s="21">
        <v>-1.4019800000000001E-2</v>
      </c>
      <c r="AT271" s="21">
        <v>261</v>
      </c>
      <c r="AU271" s="21">
        <v>0.47512799999999999</v>
      </c>
      <c r="AV271">
        <f t="shared" si="56"/>
        <v>17.308395061728394</v>
      </c>
      <c r="AW271">
        <f t="shared" si="57"/>
        <v>8.2347978101234567</v>
      </c>
      <c r="AX271" s="9"/>
      <c r="AY271" s="21">
        <v>1.2142900000000001</v>
      </c>
      <c r="AZ271" s="21">
        <v>30.377300000000002</v>
      </c>
      <c r="BA271" s="21">
        <v>-1.35773E-2</v>
      </c>
      <c r="BB271" s="21">
        <v>261</v>
      </c>
      <c r="BC271" s="21">
        <v>1.2133799999999999</v>
      </c>
      <c r="BD271">
        <f t="shared" si="58"/>
        <v>16.7620987654321</v>
      </c>
      <c r="BE271">
        <f t="shared" si="59"/>
        <v>20.354048909876546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0.47073399999999999</v>
      </c>
      <c r="H272" s="21">
        <v>8.0109300000000001</v>
      </c>
      <c r="I272" s="21">
        <v>-1.40839E-2</v>
      </c>
      <c r="J272" s="21">
        <v>262</v>
      </c>
      <c r="K272" s="21">
        <v>0.46990999999999999</v>
      </c>
      <c r="L272">
        <f t="shared" si="48"/>
        <v>17.387530864197529</v>
      </c>
      <c r="M272">
        <f t="shared" si="49"/>
        <v>8.1849019538271595</v>
      </c>
      <c r="N272" s="9"/>
      <c r="O272" s="21">
        <v>1.21933</v>
      </c>
      <c r="P272" s="21">
        <v>11.81</v>
      </c>
      <c r="Q272" s="21">
        <v>-1.36688E-2</v>
      </c>
      <c r="R272" s="21">
        <v>262</v>
      </c>
      <c r="S272" s="21">
        <v>1.2182599999999999</v>
      </c>
      <c r="T272">
        <f t="shared" si="50"/>
        <v>16.87506172839506</v>
      </c>
      <c r="U272">
        <f t="shared" si="51"/>
        <v>20.576269017283948</v>
      </c>
      <c r="X272" s="9"/>
      <c r="Y272" s="21">
        <v>1.21933</v>
      </c>
      <c r="Z272" s="21">
        <v>11.81</v>
      </c>
      <c r="AA272" s="21">
        <v>-1.36688E-2</v>
      </c>
      <c r="AB272" s="21">
        <v>262</v>
      </c>
      <c r="AC272" s="21">
        <v>1.2182599999999999</v>
      </c>
      <c r="AD272">
        <f t="shared" si="52"/>
        <v>16.87506172839506</v>
      </c>
      <c r="AE272">
        <f t="shared" si="53"/>
        <v>20.576269017283948</v>
      </c>
      <c r="AF272" s="9"/>
      <c r="AG272" s="21">
        <v>1.21933</v>
      </c>
      <c r="AH272" s="21">
        <v>21.109200000000001</v>
      </c>
      <c r="AI272" s="21">
        <v>-1.35773E-2</v>
      </c>
      <c r="AJ272" s="21">
        <v>262</v>
      </c>
      <c r="AK272" s="21">
        <v>1.2182599999999999</v>
      </c>
      <c r="AL272">
        <f t="shared" si="54"/>
        <v>16.7620987654321</v>
      </c>
      <c r="AM272">
        <f t="shared" si="55"/>
        <v>20.438529887654322</v>
      </c>
      <c r="AP272" s="9"/>
      <c r="AQ272" s="21">
        <v>0.47073399999999999</v>
      </c>
      <c r="AR272" s="21">
        <v>26.5884</v>
      </c>
      <c r="AS272" s="21">
        <v>-1.40076E-2</v>
      </c>
      <c r="AT272" s="21">
        <v>262</v>
      </c>
      <c r="AU272" s="21">
        <v>0.47009299999999998</v>
      </c>
      <c r="AV272">
        <f t="shared" si="56"/>
        <v>17.293333333333333</v>
      </c>
      <c r="AW272">
        <f t="shared" si="57"/>
        <v>8.1405599733333336</v>
      </c>
      <c r="AX272" s="9"/>
      <c r="AY272" s="21">
        <v>1.21933</v>
      </c>
      <c r="AZ272" s="21">
        <v>30.3874</v>
      </c>
      <c r="BA272" s="21">
        <v>-1.35864E-2</v>
      </c>
      <c r="BB272" s="21">
        <v>262</v>
      </c>
      <c r="BC272" s="21">
        <v>1.2182599999999999</v>
      </c>
      <c r="BD272">
        <f t="shared" si="58"/>
        <v>16.77333333333333</v>
      </c>
      <c r="BE272">
        <f t="shared" si="59"/>
        <v>20.452228533333329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0.465698</v>
      </c>
      <c r="H273" s="21">
        <v>8.0210000000000008</v>
      </c>
      <c r="I273" s="21">
        <v>-1.4086899999999999E-2</v>
      </c>
      <c r="J273" s="21">
        <v>263</v>
      </c>
      <c r="K273" s="21">
        <v>0.465088</v>
      </c>
      <c r="L273">
        <f t="shared" si="48"/>
        <v>17.391234567901233</v>
      </c>
      <c r="M273">
        <f t="shared" si="49"/>
        <v>8.0990631558024688</v>
      </c>
      <c r="N273" s="9"/>
      <c r="O273" s="21">
        <v>1.22437</v>
      </c>
      <c r="P273" s="21">
        <v>11.82</v>
      </c>
      <c r="Q273" s="21">
        <v>-1.3644399999999999E-2</v>
      </c>
      <c r="R273" s="21">
        <v>263</v>
      </c>
      <c r="S273" s="21">
        <v>1.2234499999999999</v>
      </c>
      <c r="T273">
        <f t="shared" si="50"/>
        <v>16.844938271604939</v>
      </c>
      <c r="U273">
        <f t="shared" si="51"/>
        <v>20.624437071604937</v>
      </c>
      <c r="X273" s="9"/>
      <c r="Y273" s="21">
        <v>1.22437</v>
      </c>
      <c r="Z273" s="21">
        <v>11.82</v>
      </c>
      <c r="AA273" s="21">
        <v>-1.3644399999999999E-2</v>
      </c>
      <c r="AB273" s="21">
        <v>263</v>
      </c>
      <c r="AC273" s="21">
        <v>1.2234499999999999</v>
      </c>
      <c r="AD273">
        <f t="shared" si="52"/>
        <v>16.844938271604939</v>
      </c>
      <c r="AE273">
        <f t="shared" si="53"/>
        <v>20.624437071604937</v>
      </c>
      <c r="AF273" s="9"/>
      <c r="AG273" s="21">
        <v>1.22437</v>
      </c>
      <c r="AH273" s="21">
        <v>21.119299999999999</v>
      </c>
      <c r="AI273" s="21">
        <v>-1.3559E-2</v>
      </c>
      <c r="AJ273" s="21">
        <v>263</v>
      </c>
      <c r="AK273" s="21">
        <v>1.2231399999999999</v>
      </c>
      <c r="AL273">
        <f t="shared" si="54"/>
        <v>16.739506172839505</v>
      </c>
      <c r="AM273">
        <f t="shared" si="55"/>
        <v>20.495349172839504</v>
      </c>
      <c r="AP273" s="9"/>
      <c r="AQ273" s="21">
        <v>0.465698</v>
      </c>
      <c r="AR273" s="21">
        <v>26.598400000000002</v>
      </c>
      <c r="AS273" s="21">
        <v>-1.40015E-2</v>
      </c>
      <c r="AT273" s="21">
        <v>263</v>
      </c>
      <c r="AU273" s="21">
        <v>0.46511799999999998</v>
      </c>
      <c r="AV273">
        <f t="shared" si="56"/>
        <v>17.285802469135803</v>
      </c>
      <c r="AW273">
        <f t="shared" si="57"/>
        <v>8.0499636382716044</v>
      </c>
      <c r="AX273" s="9"/>
      <c r="AY273" s="21">
        <v>1.22437</v>
      </c>
      <c r="AZ273" s="21">
        <v>30.397500000000001</v>
      </c>
      <c r="BA273" s="21">
        <v>-1.3589499999999999E-2</v>
      </c>
      <c r="BB273" s="21">
        <v>263</v>
      </c>
      <c r="BC273" s="21">
        <v>1.2237499999999999</v>
      </c>
      <c r="BD273">
        <f t="shared" si="58"/>
        <v>16.777160493827161</v>
      </c>
      <c r="BE273">
        <f t="shared" si="59"/>
        <v>20.54145199382716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0.46066299999999999</v>
      </c>
      <c r="H274" s="21">
        <v>8.0310699999999997</v>
      </c>
      <c r="I274" s="21">
        <v>-1.40839E-2</v>
      </c>
      <c r="J274" s="21">
        <v>264</v>
      </c>
      <c r="K274" s="21">
        <v>0.46005200000000002</v>
      </c>
      <c r="L274">
        <f t="shared" si="48"/>
        <v>17.387530864197529</v>
      </c>
      <c r="M274">
        <f t="shared" si="49"/>
        <v>8.0097921304938264</v>
      </c>
      <c r="N274" s="9"/>
      <c r="O274" s="21">
        <v>1.2294</v>
      </c>
      <c r="P274" s="21">
        <v>11.8301</v>
      </c>
      <c r="Q274" s="21">
        <v>-1.36353E-2</v>
      </c>
      <c r="R274" s="21">
        <v>264</v>
      </c>
      <c r="S274" s="21">
        <v>1.2283299999999999</v>
      </c>
      <c r="T274">
        <f t="shared" si="50"/>
        <v>16.833703703703701</v>
      </c>
      <c r="U274">
        <f t="shared" si="51"/>
        <v>20.695355333333332</v>
      </c>
      <c r="X274" s="9"/>
      <c r="Y274" s="21">
        <v>1.2294</v>
      </c>
      <c r="Z274" s="21">
        <v>11.8301</v>
      </c>
      <c r="AA274" s="21">
        <v>-1.36353E-2</v>
      </c>
      <c r="AB274" s="21">
        <v>264</v>
      </c>
      <c r="AC274" s="21">
        <v>1.2283299999999999</v>
      </c>
      <c r="AD274">
        <f t="shared" si="52"/>
        <v>16.833703703703701</v>
      </c>
      <c r="AE274">
        <f t="shared" si="53"/>
        <v>20.695355333333332</v>
      </c>
      <c r="AF274" s="9"/>
      <c r="AG274" s="21">
        <v>1.2294</v>
      </c>
      <c r="AH274" s="21">
        <v>21.129300000000001</v>
      </c>
      <c r="AI274" s="21">
        <v>-1.3546799999999999E-2</v>
      </c>
      <c r="AJ274" s="21">
        <v>264</v>
      </c>
      <c r="AK274" s="21">
        <v>1.22864</v>
      </c>
      <c r="AL274">
        <f t="shared" si="54"/>
        <v>16.72444444444444</v>
      </c>
      <c r="AM274">
        <f t="shared" si="55"/>
        <v>20.561031999999997</v>
      </c>
      <c r="AP274" s="9"/>
      <c r="AQ274" s="21">
        <v>0.46066299999999999</v>
      </c>
      <c r="AR274" s="21">
        <v>26.608499999999999</v>
      </c>
      <c r="AS274" s="21">
        <v>-1.3998399999999999E-2</v>
      </c>
      <c r="AT274" s="21">
        <v>264</v>
      </c>
      <c r="AU274" s="21">
        <v>0.45999099999999998</v>
      </c>
      <c r="AV274">
        <f t="shared" si="56"/>
        <v>17.281975308641975</v>
      </c>
      <c r="AW274">
        <f t="shared" si="57"/>
        <v>7.9611665916049379</v>
      </c>
      <c r="AX274" s="9"/>
      <c r="AY274" s="21">
        <v>1.2294</v>
      </c>
      <c r="AZ274" s="21">
        <v>30.407599999999999</v>
      </c>
      <c r="BA274" s="21">
        <v>-1.35864E-2</v>
      </c>
      <c r="BB274" s="21">
        <v>264</v>
      </c>
      <c r="BC274" s="21">
        <v>1.2283299999999999</v>
      </c>
      <c r="BD274">
        <f t="shared" si="58"/>
        <v>16.77333333333333</v>
      </c>
      <c r="BE274">
        <f t="shared" si="59"/>
        <v>20.621135999999996</v>
      </c>
    </row>
    <row r="275" spans="6:101" x14ac:dyDescent="0.25">
      <c r="F275" s="9"/>
      <c r="G275" s="21">
        <v>0.455627</v>
      </c>
      <c r="H275" s="21">
        <v>8.0411400000000004</v>
      </c>
      <c r="I275" s="21">
        <v>-1.40991E-2</v>
      </c>
      <c r="J275" s="21">
        <v>265</v>
      </c>
      <c r="K275" s="21">
        <v>0.45495600000000003</v>
      </c>
      <c r="L275">
        <f t="shared" si="48"/>
        <v>17.406296296296293</v>
      </c>
      <c r="M275">
        <f t="shared" si="49"/>
        <v>7.9307785625925913</v>
      </c>
      <c r="N275" s="9"/>
      <c r="O275" s="21">
        <v>1.23444</v>
      </c>
      <c r="P275" s="21">
        <v>11.840199999999999</v>
      </c>
      <c r="Q275" s="21">
        <v>-1.3623E-2</v>
      </c>
      <c r="R275" s="21">
        <v>265</v>
      </c>
      <c r="S275" s="21">
        <v>1.23322</v>
      </c>
      <c r="T275">
        <f t="shared" si="50"/>
        <v>16.818518518518516</v>
      </c>
      <c r="U275">
        <f t="shared" si="51"/>
        <v>20.761451999999998</v>
      </c>
      <c r="X275" s="9"/>
      <c r="Y275" s="21">
        <v>1.23444</v>
      </c>
      <c r="Z275" s="21">
        <v>11.840199999999999</v>
      </c>
      <c r="AA275" s="21">
        <v>-1.3623E-2</v>
      </c>
      <c r="AB275" s="21">
        <v>265</v>
      </c>
      <c r="AC275" s="21">
        <v>1.23322</v>
      </c>
      <c r="AD275">
        <f t="shared" si="52"/>
        <v>16.818518518518516</v>
      </c>
      <c r="AE275">
        <f t="shared" si="53"/>
        <v>20.761451999999998</v>
      </c>
      <c r="AF275" s="9"/>
      <c r="AG275" s="21">
        <v>1.23444</v>
      </c>
      <c r="AH275" s="21">
        <v>21.139399999999998</v>
      </c>
      <c r="AI275" s="21">
        <v>-1.35315E-2</v>
      </c>
      <c r="AJ275" s="21">
        <v>265</v>
      </c>
      <c r="AK275" s="21">
        <v>1.23383</v>
      </c>
      <c r="AL275">
        <f t="shared" si="54"/>
        <v>16.705555555555552</v>
      </c>
      <c r="AM275">
        <f t="shared" si="55"/>
        <v>20.622005999999995</v>
      </c>
      <c r="AP275" s="9"/>
      <c r="AQ275" s="21">
        <v>0.455627</v>
      </c>
      <c r="AR275" s="21">
        <v>26.618600000000001</v>
      </c>
      <c r="AS275" s="21">
        <v>-1.40076E-2</v>
      </c>
      <c r="AT275" s="21">
        <v>265</v>
      </c>
      <c r="AU275" s="21">
        <v>0.45504800000000001</v>
      </c>
      <c r="AV275">
        <f t="shared" si="56"/>
        <v>17.293333333333333</v>
      </c>
      <c r="AW275">
        <f t="shared" si="57"/>
        <v>7.8793095866666665</v>
      </c>
      <c r="AX275" s="9"/>
      <c r="AY275" s="21">
        <v>1.23444</v>
      </c>
      <c r="AZ275" s="21">
        <v>30.4176</v>
      </c>
      <c r="BA275" s="21">
        <v>-1.35773E-2</v>
      </c>
      <c r="BB275" s="21">
        <v>265</v>
      </c>
      <c r="BC275" s="21">
        <v>1.2335199999999999</v>
      </c>
      <c r="BD275">
        <f t="shared" si="58"/>
        <v>16.7620987654321</v>
      </c>
      <c r="BE275">
        <f t="shared" si="59"/>
        <v>20.691805200000001</v>
      </c>
    </row>
    <row r="276" spans="6:101" x14ac:dyDescent="0.25">
      <c r="F276" s="9"/>
      <c r="G276" s="21">
        <v>0.45059199999999999</v>
      </c>
      <c r="H276" s="21">
        <v>8.0512099999999993</v>
      </c>
      <c r="I276" s="21">
        <v>-1.4108300000000001E-2</v>
      </c>
      <c r="J276" s="21">
        <v>266</v>
      </c>
      <c r="K276" s="21">
        <v>0.44989000000000001</v>
      </c>
      <c r="L276">
        <f t="shared" si="48"/>
        <v>17.417654320987655</v>
      </c>
      <c r="M276">
        <f t="shared" si="49"/>
        <v>7.848255695802469</v>
      </c>
      <c r="N276" s="9"/>
      <c r="O276" s="21">
        <v>1.2394700000000001</v>
      </c>
      <c r="P276" s="21">
        <v>11.850300000000001</v>
      </c>
      <c r="Q276" s="21">
        <v>-1.36078E-2</v>
      </c>
      <c r="R276" s="21">
        <v>266</v>
      </c>
      <c r="S276" s="21">
        <v>1.23871</v>
      </c>
      <c r="T276">
        <f t="shared" si="50"/>
        <v>16.799753086419752</v>
      </c>
      <c r="U276">
        <f t="shared" si="51"/>
        <v>20.822789958024693</v>
      </c>
      <c r="X276" s="9"/>
      <c r="Y276" s="21">
        <v>1.2394700000000001</v>
      </c>
      <c r="Z276" s="21">
        <v>11.850300000000001</v>
      </c>
      <c r="AA276" s="21">
        <v>-1.36078E-2</v>
      </c>
      <c r="AB276" s="21">
        <v>266</v>
      </c>
      <c r="AC276" s="21">
        <v>1.23871</v>
      </c>
      <c r="AD276">
        <f t="shared" si="52"/>
        <v>16.799753086419752</v>
      </c>
      <c r="AE276">
        <f t="shared" si="53"/>
        <v>20.822789958024693</v>
      </c>
      <c r="AF276" s="9"/>
      <c r="AG276" s="21">
        <v>1.2394700000000001</v>
      </c>
      <c r="AH276" s="21">
        <v>21.1495</v>
      </c>
      <c r="AI276" s="21">
        <v>-1.3522299999999999E-2</v>
      </c>
      <c r="AJ276" s="21">
        <v>266</v>
      </c>
      <c r="AK276" s="21">
        <v>1.2381</v>
      </c>
      <c r="AL276">
        <f t="shared" si="54"/>
        <v>16.694197530864194</v>
      </c>
      <c r="AM276">
        <f t="shared" si="55"/>
        <v>20.691957013580243</v>
      </c>
      <c r="AP276" s="9"/>
      <c r="AQ276" s="21">
        <v>0.45059199999999999</v>
      </c>
      <c r="AR276" s="21">
        <v>26.628699999999998</v>
      </c>
      <c r="AS276" s="21">
        <v>-1.40167E-2</v>
      </c>
      <c r="AT276" s="21">
        <v>266</v>
      </c>
      <c r="AU276" s="21">
        <v>0.45001200000000002</v>
      </c>
      <c r="AV276">
        <f t="shared" si="56"/>
        <v>17.304567901234567</v>
      </c>
      <c r="AW276">
        <f t="shared" si="57"/>
        <v>7.7972998597530854</v>
      </c>
      <c r="AX276" s="9"/>
      <c r="AY276" s="21">
        <v>1.2394700000000001</v>
      </c>
      <c r="AZ276" s="21">
        <v>30.427700000000002</v>
      </c>
      <c r="BA276" s="21">
        <v>-1.3559E-2</v>
      </c>
      <c r="BB276" s="21">
        <v>266</v>
      </c>
      <c r="BC276" s="21">
        <v>1.2390099999999999</v>
      </c>
      <c r="BD276">
        <f t="shared" si="58"/>
        <v>16.739506172839505</v>
      </c>
      <c r="BE276">
        <f t="shared" si="59"/>
        <v>20.748115716049384</v>
      </c>
    </row>
    <row r="277" spans="6:101" x14ac:dyDescent="0.25">
      <c r="F277" s="9"/>
      <c r="G277" s="21">
        <v>0.44555699999999998</v>
      </c>
      <c r="H277" s="21">
        <v>8.06128</v>
      </c>
      <c r="I277" s="21">
        <v>-1.4108300000000001E-2</v>
      </c>
      <c r="J277" s="21">
        <v>267</v>
      </c>
      <c r="K277" s="21">
        <v>0.44494600000000001</v>
      </c>
      <c r="L277">
        <f t="shared" si="48"/>
        <v>17.417654320987655</v>
      </c>
      <c r="M277">
        <f t="shared" si="49"/>
        <v>7.7605578062962959</v>
      </c>
      <c r="N277" s="9"/>
      <c r="O277" s="21">
        <v>1.24451</v>
      </c>
      <c r="P277" s="21">
        <v>11.860300000000001</v>
      </c>
      <c r="Q277" s="21">
        <v>-1.3598600000000001E-2</v>
      </c>
      <c r="R277" s="21">
        <v>267</v>
      </c>
      <c r="S277" s="21">
        <v>1.2439</v>
      </c>
      <c r="T277">
        <f t="shared" si="50"/>
        <v>16.788395061728394</v>
      </c>
      <c r="U277">
        <f t="shared" si="51"/>
        <v>20.893325538271604</v>
      </c>
      <c r="X277" s="9"/>
      <c r="Y277" s="21">
        <v>1.24451</v>
      </c>
      <c r="Z277" s="21">
        <v>11.860300000000001</v>
      </c>
      <c r="AA277" s="21">
        <v>-1.3598600000000001E-2</v>
      </c>
      <c r="AB277" s="21">
        <v>267</v>
      </c>
      <c r="AC277" s="21">
        <v>1.2439</v>
      </c>
      <c r="AD277">
        <f t="shared" si="52"/>
        <v>16.788395061728394</v>
      </c>
      <c r="AE277">
        <f t="shared" si="53"/>
        <v>20.893325538271604</v>
      </c>
      <c r="AF277" s="9"/>
      <c r="AG277" s="21">
        <v>1.24451</v>
      </c>
      <c r="AH277" s="21">
        <v>21.159500000000001</v>
      </c>
      <c r="AI277" s="21">
        <v>-1.35132E-2</v>
      </c>
      <c r="AJ277" s="21">
        <v>267</v>
      </c>
      <c r="AK277" s="21">
        <v>1.2439</v>
      </c>
      <c r="AL277">
        <f t="shared" si="54"/>
        <v>16.682962962962961</v>
      </c>
      <c r="AM277">
        <f t="shared" si="55"/>
        <v>20.762114237037036</v>
      </c>
      <c r="AP277" s="9"/>
      <c r="AQ277" s="21">
        <v>0.44555699999999998</v>
      </c>
      <c r="AR277" s="21">
        <v>26.6387</v>
      </c>
      <c r="AS277" s="21">
        <v>-1.40167E-2</v>
      </c>
      <c r="AT277" s="21">
        <v>267</v>
      </c>
      <c r="AU277" s="21">
        <v>0.44518999999999997</v>
      </c>
      <c r="AV277">
        <f t="shared" si="56"/>
        <v>17.304567901234567</v>
      </c>
      <c r="AW277">
        <f t="shared" si="57"/>
        <v>7.7101713603703699</v>
      </c>
      <c r="AX277" s="9"/>
      <c r="AY277" s="21">
        <v>1.24451</v>
      </c>
      <c r="AZ277" s="21">
        <v>30.437799999999999</v>
      </c>
      <c r="BA277" s="21">
        <v>-1.35529E-2</v>
      </c>
      <c r="BB277" s="21">
        <v>267</v>
      </c>
      <c r="BC277" s="21">
        <v>1.24359</v>
      </c>
      <c r="BD277">
        <f t="shared" si="58"/>
        <v>16.731975308641974</v>
      </c>
      <c r="BE277">
        <f t="shared" si="59"/>
        <v>20.823110591358024</v>
      </c>
    </row>
    <row r="278" spans="6:101" x14ac:dyDescent="0.25">
      <c r="F278" s="9"/>
      <c r="G278" s="21">
        <v>0.440521</v>
      </c>
      <c r="H278" s="21">
        <v>8.0713500000000007</v>
      </c>
      <c r="I278" s="21">
        <v>-1.41113E-2</v>
      </c>
      <c r="J278" s="21">
        <v>268</v>
      </c>
      <c r="K278" s="21">
        <v>0.43985000000000002</v>
      </c>
      <c r="L278">
        <f t="shared" si="48"/>
        <v>17.421358024691358</v>
      </c>
      <c r="M278">
        <f t="shared" si="49"/>
        <v>7.6744740583950612</v>
      </c>
      <c r="N278" s="9"/>
      <c r="O278" s="21">
        <v>1.2495400000000001</v>
      </c>
      <c r="P278" s="21">
        <v>11.8704</v>
      </c>
      <c r="Q278" s="21">
        <v>-1.3598600000000001E-2</v>
      </c>
      <c r="R278" s="21">
        <v>268</v>
      </c>
      <c r="S278" s="21">
        <v>1.24878</v>
      </c>
      <c r="T278">
        <f t="shared" si="50"/>
        <v>16.788395061728394</v>
      </c>
      <c r="U278">
        <f t="shared" si="51"/>
        <v>20.977771165432099</v>
      </c>
      <c r="X278" s="9"/>
      <c r="Y278" s="21">
        <v>1.2495400000000001</v>
      </c>
      <c r="Z278" s="21">
        <v>11.8704</v>
      </c>
      <c r="AA278" s="21">
        <v>-1.3598600000000001E-2</v>
      </c>
      <c r="AB278" s="21">
        <v>268</v>
      </c>
      <c r="AC278" s="21">
        <v>1.24878</v>
      </c>
      <c r="AD278">
        <f t="shared" si="52"/>
        <v>16.788395061728394</v>
      </c>
      <c r="AE278">
        <f t="shared" si="53"/>
        <v>20.977771165432099</v>
      </c>
      <c r="AF278" s="9"/>
      <c r="AG278" s="21">
        <v>1.2495400000000001</v>
      </c>
      <c r="AH278" s="21">
        <v>21.169599999999999</v>
      </c>
      <c r="AI278" s="21">
        <v>-1.3510100000000001E-2</v>
      </c>
      <c r="AJ278" s="21">
        <v>268</v>
      </c>
      <c r="AK278" s="21">
        <v>1.24878</v>
      </c>
      <c r="AL278">
        <f t="shared" si="54"/>
        <v>16.679135802469133</v>
      </c>
      <c r="AM278">
        <f t="shared" si="55"/>
        <v>20.841247350617284</v>
      </c>
      <c r="AP278" s="9"/>
      <c r="AQ278" s="21">
        <v>0.440521</v>
      </c>
      <c r="AR278" s="21">
        <v>26.648800000000001</v>
      </c>
      <c r="AS278" s="21">
        <v>-1.40228E-2</v>
      </c>
      <c r="AT278" s="21">
        <v>268</v>
      </c>
      <c r="AU278" s="21">
        <v>0.43987999999999999</v>
      </c>
      <c r="AV278">
        <f t="shared" si="56"/>
        <v>17.312098765432097</v>
      </c>
      <c r="AW278">
        <f t="shared" si="57"/>
        <v>7.6263430602469127</v>
      </c>
      <c r="AX278" s="9"/>
      <c r="AY278" s="21">
        <v>1.2495400000000001</v>
      </c>
      <c r="AZ278" s="21">
        <v>30.447800000000001</v>
      </c>
      <c r="BA278" s="21">
        <v>-1.35406E-2</v>
      </c>
      <c r="BB278" s="21">
        <v>268</v>
      </c>
      <c r="BC278" s="21">
        <v>1.24878</v>
      </c>
      <c r="BD278">
        <f t="shared" si="58"/>
        <v>16.716790123456789</v>
      </c>
      <c r="BE278">
        <f t="shared" si="59"/>
        <v>20.888297930864198</v>
      </c>
    </row>
    <row r="279" spans="6:101" x14ac:dyDescent="0.25">
      <c r="F279" s="9"/>
      <c r="G279" s="21">
        <v>0.43548599999999998</v>
      </c>
      <c r="H279" s="21">
        <v>8.0814299999999992</v>
      </c>
      <c r="I279" s="21">
        <v>-1.40991E-2</v>
      </c>
      <c r="J279" s="21">
        <v>269</v>
      </c>
      <c r="K279" s="21">
        <v>0.43496699999999999</v>
      </c>
      <c r="L279">
        <f t="shared" si="48"/>
        <v>17.406296296296293</v>
      </c>
      <c r="M279">
        <f t="shared" si="49"/>
        <v>7.5801983488888878</v>
      </c>
      <c r="N279" s="9"/>
      <c r="O279" s="21">
        <v>1.25458</v>
      </c>
      <c r="P279" s="21">
        <v>11.8805</v>
      </c>
      <c r="Q279" s="21">
        <v>-1.3589499999999999E-2</v>
      </c>
      <c r="R279" s="21">
        <v>269</v>
      </c>
      <c r="S279" s="21">
        <v>1.25366</v>
      </c>
      <c r="T279">
        <f t="shared" si="50"/>
        <v>16.777160493827161</v>
      </c>
      <c r="U279">
        <f t="shared" si="51"/>
        <v>21.048290012345682</v>
      </c>
      <c r="X279" s="9"/>
      <c r="Y279" s="21">
        <v>1.25458</v>
      </c>
      <c r="Z279" s="21">
        <v>11.8805</v>
      </c>
      <c r="AA279" s="21">
        <v>-1.3589499999999999E-2</v>
      </c>
      <c r="AB279" s="21">
        <v>269</v>
      </c>
      <c r="AC279" s="21">
        <v>1.25366</v>
      </c>
      <c r="AD279">
        <f t="shared" si="52"/>
        <v>16.777160493827161</v>
      </c>
      <c r="AE279">
        <f t="shared" si="53"/>
        <v>21.048290012345682</v>
      </c>
      <c r="AF279" s="9"/>
      <c r="AG279" s="21">
        <v>1.25458</v>
      </c>
      <c r="AH279" s="21">
        <v>21.1797</v>
      </c>
      <c r="AI279" s="21">
        <v>-1.3507099999999999E-2</v>
      </c>
      <c r="AJ279" s="21">
        <v>269</v>
      </c>
      <c r="AK279" s="21">
        <v>1.25305</v>
      </c>
      <c r="AL279">
        <f t="shared" si="54"/>
        <v>16.67543209876543</v>
      </c>
      <c r="AM279">
        <f t="shared" si="55"/>
        <v>20.920663602469133</v>
      </c>
      <c r="AP279" s="9"/>
      <c r="AQ279" s="21">
        <v>0.43548599999999998</v>
      </c>
      <c r="AR279" s="21">
        <v>26.658899999999999</v>
      </c>
      <c r="AS279" s="21">
        <v>-1.4025900000000001E-2</v>
      </c>
      <c r="AT279" s="21">
        <v>269</v>
      </c>
      <c r="AU279" s="21">
        <v>0.43514999999999998</v>
      </c>
      <c r="AV279">
        <f t="shared" si="56"/>
        <v>17.315925925925924</v>
      </c>
      <c r="AW279">
        <f t="shared" si="57"/>
        <v>7.5408433177777772</v>
      </c>
      <c r="AX279" s="9"/>
      <c r="AY279" s="21">
        <v>1.25458</v>
      </c>
      <c r="AZ279" s="21">
        <v>30.457899999999999</v>
      </c>
      <c r="BA279" s="21">
        <v>-1.35193E-2</v>
      </c>
      <c r="BB279" s="21">
        <v>269</v>
      </c>
      <c r="BC279" s="21">
        <v>1.25397</v>
      </c>
      <c r="BD279">
        <f t="shared" si="58"/>
        <v>16.690493827160495</v>
      </c>
      <c r="BE279">
        <f t="shared" si="59"/>
        <v>20.939559745679013</v>
      </c>
    </row>
    <row r="280" spans="6:101" x14ac:dyDescent="0.25">
      <c r="F280" s="9"/>
      <c r="G280" s="21">
        <v>0.43045</v>
      </c>
      <c r="H280" s="21">
        <v>8.0914999999999999</v>
      </c>
      <c r="I280" s="21">
        <v>-1.40839E-2</v>
      </c>
      <c r="J280" s="21">
        <v>270</v>
      </c>
      <c r="K280" s="21">
        <v>0.429871</v>
      </c>
      <c r="L280">
        <f t="shared" si="48"/>
        <v>17.387530864197529</v>
      </c>
      <c r="M280">
        <f t="shared" si="49"/>
        <v>7.4844626604938265</v>
      </c>
      <c r="N280" s="9"/>
      <c r="O280" s="21">
        <v>1.2596099999999999</v>
      </c>
      <c r="P280" s="21">
        <v>11.890499999999999</v>
      </c>
      <c r="Q280" s="21">
        <v>-1.35864E-2</v>
      </c>
      <c r="R280" s="21">
        <v>270</v>
      </c>
      <c r="S280" s="21">
        <v>1.25885</v>
      </c>
      <c r="T280">
        <f t="shared" si="50"/>
        <v>16.77333333333333</v>
      </c>
      <c r="U280">
        <f t="shared" si="51"/>
        <v>21.127858399999994</v>
      </c>
      <c r="X280" s="9"/>
      <c r="Y280" s="21">
        <v>1.2596099999999999</v>
      </c>
      <c r="Z280" s="21">
        <v>11.890499999999999</v>
      </c>
      <c r="AA280" s="21">
        <v>-1.35864E-2</v>
      </c>
      <c r="AB280" s="21">
        <v>270</v>
      </c>
      <c r="AC280" s="21">
        <v>1.25885</v>
      </c>
      <c r="AD280">
        <f t="shared" si="52"/>
        <v>16.77333333333333</v>
      </c>
      <c r="AE280">
        <f t="shared" si="53"/>
        <v>21.127858399999994</v>
      </c>
      <c r="AF280" s="9"/>
      <c r="AG280" s="21">
        <v>1.2596099999999999</v>
      </c>
      <c r="AH280" s="21">
        <v>21.189800000000002</v>
      </c>
      <c r="AI280" s="21">
        <v>-1.3494900000000001E-2</v>
      </c>
      <c r="AJ280" s="21">
        <v>270</v>
      </c>
      <c r="AK280" s="21">
        <v>1.25946</v>
      </c>
      <c r="AL280">
        <f t="shared" si="54"/>
        <v>16.660370370370369</v>
      </c>
      <c r="AM280">
        <f t="shared" si="55"/>
        <v>20.98556912222222</v>
      </c>
      <c r="AP280" s="9"/>
      <c r="AQ280" s="21">
        <v>0.43045</v>
      </c>
      <c r="AR280" s="21">
        <v>26.668900000000001</v>
      </c>
      <c r="AS280" s="21">
        <v>-1.40289E-2</v>
      </c>
      <c r="AT280" s="21">
        <v>270</v>
      </c>
      <c r="AU280" s="21">
        <v>0.42990099999999998</v>
      </c>
      <c r="AV280">
        <f t="shared" si="56"/>
        <v>17.319629629629631</v>
      </c>
      <c r="AW280">
        <f t="shared" si="57"/>
        <v>7.4552345740740744</v>
      </c>
      <c r="AX280" s="9"/>
      <c r="AY280" s="21">
        <v>1.2596099999999999</v>
      </c>
      <c r="AZ280" s="21">
        <v>30.468</v>
      </c>
      <c r="BA280" s="21">
        <v>-1.34979E-2</v>
      </c>
      <c r="BB280" s="21">
        <v>270</v>
      </c>
      <c r="BC280" s="21">
        <v>1.25885</v>
      </c>
      <c r="BD280">
        <f t="shared" si="58"/>
        <v>16.664074074074072</v>
      </c>
      <c r="BE280">
        <f t="shared" si="59"/>
        <v>20.990234344444442</v>
      </c>
    </row>
    <row r="281" spans="6:101" x14ac:dyDescent="0.25">
      <c r="F281" s="9"/>
      <c r="G281" s="21">
        <v>0.42541499999999999</v>
      </c>
      <c r="H281" s="21">
        <v>8.1015700000000006</v>
      </c>
      <c r="I281" s="21">
        <v>-1.4068600000000001E-2</v>
      </c>
      <c r="J281" s="21">
        <v>271</v>
      </c>
      <c r="K281" s="21">
        <v>0.42480499999999999</v>
      </c>
      <c r="L281">
        <f t="shared" si="48"/>
        <v>17.368641975308641</v>
      </c>
      <c r="M281">
        <f t="shared" si="49"/>
        <v>7.3888808259259253</v>
      </c>
      <c r="N281" s="9"/>
      <c r="O281" s="21">
        <v>1.2646500000000001</v>
      </c>
      <c r="P281" s="21">
        <v>11.900600000000001</v>
      </c>
      <c r="Q281" s="21">
        <v>-1.35803E-2</v>
      </c>
      <c r="R281" s="21">
        <v>271</v>
      </c>
      <c r="S281" s="21">
        <v>1.2640400000000001</v>
      </c>
      <c r="T281">
        <f t="shared" si="50"/>
        <v>16.765802469135803</v>
      </c>
      <c r="U281">
        <f t="shared" si="51"/>
        <v>21.202872092592592</v>
      </c>
      <c r="X281" s="9"/>
      <c r="Y281" s="21">
        <v>1.2646500000000001</v>
      </c>
      <c r="Z281" s="21">
        <v>11.900600000000001</v>
      </c>
      <c r="AA281" s="21">
        <v>-1.35803E-2</v>
      </c>
      <c r="AB281" s="21">
        <v>271</v>
      </c>
      <c r="AC281" s="21">
        <v>1.2640400000000001</v>
      </c>
      <c r="AD281">
        <f t="shared" si="52"/>
        <v>16.765802469135803</v>
      </c>
      <c r="AE281">
        <f t="shared" si="53"/>
        <v>21.202872092592592</v>
      </c>
      <c r="AF281" s="9"/>
      <c r="AG281" s="21">
        <v>1.2646500000000001</v>
      </c>
      <c r="AH281" s="21">
        <v>21.1998</v>
      </c>
      <c r="AI281" s="21">
        <v>-1.34857E-2</v>
      </c>
      <c r="AJ281" s="21">
        <v>271</v>
      </c>
      <c r="AK281" s="21">
        <v>1.26373</v>
      </c>
      <c r="AL281">
        <f t="shared" si="54"/>
        <v>16.649012345679012</v>
      </c>
      <c r="AM281">
        <f t="shared" si="55"/>
        <v>21.055173462962962</v>
      </c>
      <c r="AP281" s="9"/>
      <c r="AQ281" s="21">
        <v>0.42541499999999999</v>
      </c>
      <c r="AR281" s="21">
        <v>26.678999999999998</v>
      </c>
      <c r="AS281" s="21">
        <v>-1.40167E-2</v>
      </c>
      <c r="AT281" s="21">
        <v>271</v>
      </c>
      <c r="AU281" s="21">
        <v>0.42474400000000001</v>
      </c>
      <c r="AV281">
        <f t="shared" si="56"/>
        <v>17.304567901234567</v>
      </c>
      <c r="AW281">
        <f t="shared" si="57"/>
        <v>7.3616227537037027</v>
      </c>
      <c r="AX281" s="9"/>
      <c r="AY281" s="21">
        <v>1.2646500000000001</v>
      </c>
      <c r="AZ281" s="21">
        <v>30.478100000000001</v>
      </c>
      <c r="BA281" s="21">
        <v>-1.34827E-2</v>
      </c>
      <c r="BB281" s="21">
        <v>271</v>
      </c>
      <c r="BC281" s="21">
        <v>1.26373</v>
      </c>
      <c r="BD281">
        <f t="shared" si="58"/>
        <v>16.645308641975308</v>
      </c>
      <c r="BE281">
        <f t="shared" si="59"/>
        <v>21.050489574074074</v>
      </c>
    </row>
    <row r="282" spans="6:101" x14ac:dyDescent="0.25">
      <c r="F282" s="9"/>
      <c r="G282" s="21">
        <v>0.42037999999999998</v>
      </c>
      <c r="H282" s="21">
        <v>8.1116399999999995</v>
      </c>
      <c r="I282" s="21">
        <v>-1.4068600000000001E-2</v>
      </c>
      <c r="J282" s="21">
        <v>272</v>
      </c>
      <c r="K282" s="21">
        <v>0.419769</v>
      </c>
      <c r="L282">
        <f t="shared" si="48"/>
        <v>17.368641975308641</v>
      </c>
      <c r="M282">
        <f t="shared" si="49"/>
        <v>7.3014297135802462</v>
      </c>
      <c r="N282" s="9"/>
      <c r="O282" s="21">
        <v>1.2696799999999999</v>
      </c>
      <c r="P282" s="21">
        <v>11.9107</v>
      </c>
      <c r="Q282" s="21">
        <v>-1.35742E-2</v>
      </c>
      <c r="R282" s="21">
        <v>272</v>
      </c>
      <c r="S282" s="21">
        <v>1.2686200000000001</v>
      </c>
      <c r="T282">
        <f t="shared" si="50"/>
        <v>16.758271604938273</v>
      </c>
      <c r="U282">
        <f t="shared" si="51"/>
        <v>21.277642291358024</v>
      </c>
      <c r="X282" s="9"/>
      <c r="Y282" s="21">
        <v>1.2696799999999999</v>
      </c>
      <c r="Z282" s="21">
        <v>11.9107</v>
      </c>
      <c r="AA282" s="21">
        <v>-1.35742E-2</v>
      </c>
      <c r="AB282" s="21">
        <v>272</v>
      </c>
      <c r="AC282" s="21">
        <v>1.2686200000000001</v>
      </c>
      <c r="AD282">
        <f t="shared" si="52"/>
        <v>16.758271604938273</v>
      </c>
      <c r="AE282">
        <f t="shared" si="53"/>
        <v>21.277642291358024</v>
      </c>
      <c r="AF282" s="9"/>
      <c r="AG282" s="21">
        <v>1.2696799999999999</v>
      </c>
      <c r="AH282" s="21">
        <v>21.209900000000001</v>
      </c>
      <c r="AI282" s="21">
        <v>-1.3473499999999999E-2</v>
      </c>
      <c r="AJ282" s="21">
        <v>272</v>
      </c>
      <c r="AK282" s="21">
        <v>1.2692300000000001</v>
      </c>
      <c r="AL282">
        <f t="shared" si="54"/>
        <v>16.633950617283947</v>
      </c>
      <c r="AM282">
        <f t="shared" si="55"/>
        <v>21.119794419753081</v>
      </c>
      <c r="AP282" s="9"/>
      <c r="AQ282" s="21">
        <v>0.42037999999999998</v>
      </c>
      <c r="AR282" s="21">
        <v>26.6891</v>
      </c>
      <c r="AS282" s="21">
        <v>-1.40076E-2</v>
      </c>
      <c r="AT282" s="21">
        <v>272</v>
      </c>
      <c r="AU282" s="21">
        <v>0.41982999999999998</v>
      </c>
      <c r="AV282">
        <f t="shared" si="56"/>
        <v>17.293333333333333</v>
      </c>
      <c r="AW282">
        <f t="shared" si="57"/>
        <v>7.2697714666666657</v>
      </c>
      <c r="AX282" s="9"/>
      <c r="AY282" s="21">
        <v>1.2696799999999999</v>
      </c>
      <c r="AZ282" s="21">
        <v>30.488099999999999</v>
      </c>
      <c r="BA282" s="21">
        <v>-1.3467399999999999E-2</v>
      </c>
      <c r="BB282" s="21">
        <v>272</v>
      </c>
      <c r="BC282" s="21">
        <v>1.2686200000000001</v>
      </c>
      <c r="BD282">
        <f t="shared" si="58"/>
        <v>16.626419753086417</v>
      </c>
      <c r="BE282">
        <f t="shared" si="59"/>
        <v>21.110232632098761</v>
      </c>
    </row>
    <row r="283" spans="6:101" x14ac:dyDescent="0.25">
      <c r="F283" s="9"/>
      <c r="G283" s="21">
        <v>0.41534399999999999</v>
      </c>
      <c r="H283" s="21">
        <v>8.1217100000000002</v>
      </c>
      <c r="I283" s="21">
        <v>-1.40778E-2</v>
      </c>
      <c r="J283" s="21">
        <v>273</v>
      </c>
      <c r="K283" s="21">
        <v>0.41476400000000002</v>
      </c>
      <c r="L283">
        <f t="shared" si="48"/>
        <v>17.38</v>
      </c>
      <c r="M283">
        <f t="shared" si="49"/>
        <v>7.2186787199999998</v>
      </c>
      <c r="N283" s="9"/>
      <c r="O283" s="21">
        <v>1.2747200000000001</v>
      </c>
      <c r="P283" s="21">
        <v>11.9208</v>
      </c>
      <c r="Q283" s="21">
        <v>-1.3561999999999999E-2</v>
      </c>
      <c r="R283" s="21">
        <v>273</v>
      </c>
      <c r="S283" s="21">
        <v>1.2738</v>
      </c>
      <c r="T283">
        <f t="shared" si="50"/>
        <v>16.743209876543208</v>
      </c>
      <c r="U283">
        <f t="shared" si="51"/>
        <v>21.342904493827159</v>
      </c>
      <c r="X283" s="9"/>
      <c r="Y283" s="21">
        <v>1.2747200000000001</v>
      </c>
      <c r="Z283" s="21">
        <v>11.9208</v>
      </c>
      <c r="AA283" s="21">
        <v>-1.3561999999999999E-2</v>
      </c>
      <c r="AB283" s="21">
        <v>273</v>
      </c>
      <c r="AC283" s="21">
        <v>1.2738</v>
      </c>
      <c r="AD283">
        <f t="shared" si="52"/>
        <v>16.743209876543208</v>
      </c>
      <c r="AE283">
        <f t="shared" si="53"/>
        <v>21.342904493827159</v>
      </c>
      <c r="AF283" s="9"/>
      <c r="AG283" s="21">
        <v>1.2747200000000001</v>
      </c>
      <c r="AH283" s="21">
        <v>21.22</v>
      </c>
      <c r="AI283" s="21">
        <v>-1.34644E-2</v>
      </c>
      <c r="AJ283" s="21">
        <v>273</v>
      </c>
      <c r="AK283" s="21">
        <v>1.2741100000000001</v>
      </c>
      <c r="AL283">
        <f t="shared" si="54"/>
        <v>16.622716049382717</v>
      </c>
      <c r="AM283">
        <f t="shared" si="55"/>
        <v>21.18930860246914</v>
      </c>
      <c r="AP283" s="9"/>
      <c r="AQ283" s="21">
        <v>0.41534399999999999</v>
      </c>
      <c r="AR283" s="21">
        <v>26.699200000000001</v>
      </c>
      <c r="AS283" s="21">
        <v>-1.40045E-2</v>
      </c>
      <c r="AT283" s="21">
        <v>273</v>
      </c>
      <c r="AU283" s="21">
        <v>0.41473399999999999</v>
      </c>
      <c r="AV283">
        <f t="shared" si="56"/>
        <v>17.289506172839506</v>
      </c>
      <c r="AW283">
        <f t="shared" si="57"/>
        <v>7.1810926518518512</v>
      </c>
      <c r="AX283" s="9"/>
      <c r="AY283" s="21">
        <v>1.2747200000000001</v>
      </c>
      <c r="AZ283" s="21">
        <v>30.498200000000001</v>
      </c>
      <c r="BA283" s="21">
        <v>-1.3458299999999999E-2</v>
      </c>
      <c r="BB283" s="21">
        <v>273</v>
      </c>
      <c r="BC283" s="21">
        <v>1.2741100000000001</v>
      </c>
      <c r="BD283">
        <f t="shared" si="58"/>
        <v>16.615185185185183</v>
      </c>
      <c r="BE283">
        <f t="shared" si="59"/>
        <v>21.179708859259257</v>
      </c>
    </row>
    <row r="284" spans="6:101" x14ac:dyDescent="0.25">
      <c r="F284" s="9"/>
      <c r="G284" s="21">
        <v>0.41030899999999998</v>
      </c>
      <c r="H284" s="21">
        <v>8.1317799999999991</v>
      </c>
      <c r="I284" s="21">
        <v>-1.40839E-2</v>
      </c>
      <c r="J284" s="21">
        <v>274</v>
      </c>
      <c r="K284" s="21">
        <v>0.40982099999999999</v>
      </c>
      <c r="L284">
        <f t="shared" si="48"/>
        <v>17.387530864197529</v>
      </c>
      <c r="M284">
        <f t="shared" si="49"/>
        <v>7.1342604013580235</v>
      </c>
      <c r="N284" s="9"/>
      <c r="O284" s="21">
        <v>1.2797499999999999</v>
      </c>
      <c r="P284" s="21">
        <v>11.9308</v>
      </c>
      <c r="Q284" s="21">
        <v>-1.3546799999999999E-2</v>
      </c>
      <c r="R284" s="21">
        <v>274</v>
      </c>
      <c r="S284" s="21">
        <v>1.2793000000000001</v>
      </c>
      <c r="T284">
        <f t="shared" si="50"/>
        <v>16.72444444444444</v>
      </c>
      <c r="U284">
        <f t="shared" si="51"/>
        <v>21.403107777777773</v>
      </c>
      <c r="X284" s="9"/>
      <c r="Y284" s="21">
        <v>1.2797499999999999</v>
      </c>
      <c r="Z284" s="21">
        <v>11.9308</v>
      </c>
      <c r="AA284" s="21">
        <v>-1.3546799999999999E-2</v>
      </c>
      <c r="AB284" s="21">
        <v>274</v>
      </c>
      <c r="AC284" s="21">
        <v>1.2793000000000001</v>
      </c>
      <c r="AD284">
        <f t="shared" si="52"/>
        <v>16.72444444444444</v>
      </c>
      <c r="AE284">
        <f t="shared" si="53"/>
        <v>21.403107777777773</v>
      </c>
      <c r="AF284" s="9"/>
      <c r="AG284" s="21">
        <v>1.2797499999999999</v>
      </c>
      <c r="AH284" s="21">
        <v>21.23</v>
      </c>
      <c r="AI284" s="21">
        <v>-1.3458299999999999E-2</v>
      </c>
      <c r="AJ284" s="21">
        <v>274</v>
      </c>
      <c r="AK284" s="21">
        <v>1.2796000000000001</v>
      </c>
      <c r="AL284">
        <f t="shared" si="54"/>
        <v>16.615185185185183</v>
      </c>
      <c r="AM284">
        <f t="shared" si="55"/>
        <v>21.263283240740737</v>
      </c>
      <c r="AP284" s="9"/>
      <c r="AQ284" s="21">
        <v>0.41030899999999998</v>
      </c>
      <c r="AR284" s="21">
        <v>26.709199999999999</v>
      </c>
      <c r="AS284" s="21">
        <v>-1.40045E-2</v>
      </c>
      <c r="AT284" s="21">
        <v>274</v>
      </c>
      <c r="AU284" s="21">
        <v>0.40978999999999999</v>
      </c>
      <c r="AV284">
        <f t="shared" si="56"/>
        <v>17.289506172839506</v>
      </c>
      <c r="AW284">
        <f t="shared" si="57"/>
        <v>7.0940399882716045</v>
      </c>
      <c r="AX284" s="9"/>
      <c r="AY284" s="21">
        <v>1.2797499999999999</v>
      </c>
      <c r="AZ284" s="21">
        <v>30.508299999999998</v>
      </c>
      <c r="BA284" s="21">
        <v>-1.3446E-2</v>
      </c>
      <c r="BB284" s="21">
        <v>274</v>
      </c>
      <c r="BC284" s="21">
        <v>1.2786900000000001</v>
      </c>
      <c r="BD284">
        <f t="shared" si="58"/>
        <v>16.599999999999998</v>
      </c>
      <c r="BE284">
        <f t="shared" si="59"/>
        <v>21.243849999999995</v>
      </c>
    </row>
    <row r="285" spans="6:101" x14ac:dyDescent="0.25">
      <c r="F285" s="9"/>
      <c r="G285" s="21">
        <v>0.40527299999999999</v>
      </c>
      <c r="H285" s="21">
        <v>8.1418499999999998</v>
      </c>
      <c r="I285" s="21">
        <v>-1.41052E-2</v>
      </c>
      <c r="J285" s="21">
        <v>275</v>
      </c>
      <c r="K285" s="21">
        <v>0.40463300000000002</v>
      </c>
      <c r="L285">
        <f t="shared" si="48"/>
        <v>17.413827160493828</v>
      </c>
      <c r="M285">
        <f t="shared" si="49"/>
        <v>7.0573539748148146</v>
      </c>
      <c r="N285" s="9"/>
      <c r="O285" s="21">
        <v>1.2847900000000001</v>
      </c>
      <c r="P285" s="21">
        <v>11.940899999999999</v>
      </c>
      <c r="Q285" s="21">
        <v>-1.35315E-2</v>
      </c>
      <c r="R285" s="21">
        <v>275</v>
      </c>
      <c r="S285" s="21">
        <v>1.2838700000000001</v>
      </c>
      <c r="T285">
        <f t="shared" si="50"/>
        <v>16.705555555555552</v>
      </c>
      <c r="U285">
        <f t="shared" si="51"/>
        <v>21.463130722222221</v>
      </c>
      <c r="X285" s="9"/>
      <c r="Y285" s="21">
        <v>1.2847900000000001</v>
      </c>
      <c r="Z285" s="21">
        <v>11.940899999999999</v>
      </c>
      <c r="AA285" s="21">
        <v>-1.35315E-2</v>
      </c>
      <c r="AB285" s="21">
        <v>275</v>
      </c>
      <c r="AC285" s="21">
        <v>1.2838700000000001</v>
      </c>
      <c r="AD285">
        <f t="shared" si="52"/>
        <v>16.705555555555552</v>
      </c>
      <c r="AE285">
        <f t="shared" si="53"/>
        <v>21.463130722222221</v>
      </c>
      <c r="AF285" s="9"/>
      <c r="AG285" s="21">
        <v>1.2847900000000001</v>
      </c>
      <c r="AH285" s="21">
        <v>21.240100000000002</v>
      </c>
      <c r="AI285" s="21">
        <v>-1.3439899999999999E-2</v>
      </c>
      <c r="AJ285" s="21">
        <v>275</v>
      </c>
      <c r="AK285" s="21">
        <v>1.2838700000000001</v>
      </c>
      <c r="AL285">
        <f t="shared" si="54"/>
        <v>16.592469135802467</v>
      </c>
      <c r="AM285">
        <f t="shared" si="55"/>
        <v>21.317838420987655</v>
      </c>
      <c r="AP285" s="9"/>
      <c r="AQ285" s="21">
        <v>0.40527299999999999</v>
      </c>
      <c r="AR285" s="21">
        <v>26.7193</v>
      </c>
      <c r="AS285" s="21">
        <v>-1.40076E-2</v>
      </c>
      <c r="AT285" s="21">
        <v>275</v>
      </c>
      <c r="AU285" s="21">
        <v>0.40466299999999999</v>
      </c>
      <c r="AV285">
        <f t="shared" si="56"/>
        <v>17.293333333333333</v>
      </c>
      <c r="AW285">
        <f t="shared" si="57"/>
        <v>7.0085210799999995</v>
      </c>
      <c r="AX285" s="9"/>
      <c r="AY285" s="21">
        <v>1.2847900000000001</v>
      </c>
      <c r="AZ285" s="21">
        <v>30.5183</v>
      </c>
      <c r="BA285" s="21">
        <v>-1.3439899999999999E-2</v>
      </c>
      <c r="BB285" s="21">
        <v>275</v>
      </c>
      <c r="BC285" s="21">
        <v>1.2838700000000001</v>
      </c>
      <c r="BD285">
        <f t="shared" si="58"/>
        <v>16.592469135802467</v>
      </c>
      <c r="BE285">
        <f t="shared" si="59"/>
        <v>21.317838420987655</v>
      </c>
    </row>
    <row r="286" spans="6:101" x14ac:dyDescent="0.25">
      <c r="F286" s="9"/>
      <c r="G286" s="21">
        <v>0.40023799999999998</v>
      </c>
      <c r="H286" s="21">
        <v>8.1519200000000005</v>
      </c>
      <c r="I286" s="21">
        <v>-1.41052E-2</v>
      </c>
      <c r="J286" s="21">
        <v>276</v>
      </c>
      <c r="K286" s="21">
        <v>0.39959699999999998</v>
      </c>
      <c r="L286">
        <f t="shared" si="48"/>
        <v>17.413827160493828</v>
      </c>
      <c r="M286">
        <f t="shared" si="49"/>
        <v>6.9696753550617281</v>
      </c>
      <c r="N286" s="9"/>
      <c r="O286" s="21">
        <v>1.28983</v>
      </c>
      <c r="P286" s="21">
        <v>11.951000000000001</v>
      </c>
      <c r="Q286" s="21">
        <v>-1.3507099999999999E-2</v>
      </c>
      <c r="R286" s="21">
        <v>276</v>
      </c>
      <c r="S286" s="21">
        <v>1.2890600000000001</v>
      </c>
      <c r="T286">
        <f t="shared" si="50"/>
        <v>16.67543209876543</v>
      </c>
      <c r="U286">
        <f t="shared" si="51"/>
        <v>21.508472583950617</v>
      </c>
      <c r="X286" s="9"/>
      <c r="Y286" s="21">
        <v>1.28983</v>
      </c>
      <c r="Z286" s="21">
        <v>11.951000000000001</v>
      </c>
      <c r="AA286" s="21">
        <v>-1.3507099999999999E-2</v>
      </c>
      <c r="AB286" s="21">
        <v>276</v>
      </c>
      <c r="AC286" s="21">
        <v>1.2890600000000001</v>
      </c>
      <c r="AD286">
        <f t="shared" si="52"/>
        <v>16.67543209876543</v>
      </c>
      <c r="AE286">
        <f t="shared" si="53"/>
        <v>21.508472583950617</v>
      </c>
      <c r="AF286" s="9"/>
      <c r="AG286" s="21">
        <v>1.28983</v>
      </c>
      <c r="AH286" s="21">
        <v>21.2502</v>
      </c>
      <c r="AI286" s="21">
        <v>-1.3433799999999999E-2</v>
      </c>
      <c r="AJ286" s="21">
        <v>276</v>
      </c>
      <c r="AK286" s="21">
        <v>1.2896700000000001</v>
      </c>
      <c r="AL286">
        <f t="shared" si="54"/>
        <v>16.584938271604937</v>
      </c>
      <c r="AM286">
        <f t="shared" si="55"/>
        <v>21.391750930864195</v>
      </c>
      <c r="AP286" s="9"/>
      <c r="AQ286" s="21">
        <v>0.40023799999999998</v>
      </c>
      <c r="AR286" s="21">
        <v>26.729399999999998</v>
      </c>
      <c r="AS286" s="21">
        <v>-1.40015E-2</v>
      </c>
      <c r="AT286" s="21">
        <v>276</v>
      </c>
      <c r="AU286" s="21">
        <v>0.39962799999999998</v>
      </c>
      <c r="AV286">
        <f t="shared" si="56"/>
        <v>17.285802469135803</v>
      </c>
      <c r="AW286">
        <f t="shared" si="57"/>
        <v>6.9184350086419748</v>
      </c>
      <c r="AX286" s="9"/>
      <c r="AY286" s="21">
        <v>1.28983</v>
      </c>
      <c r="AZ286" s="21">
        <v>30.528400000000001</v>
      </c>
      <c r="BA286" s="21">
        <v>-1.34308E-2</v>
      </c>
      <c r="BB286" s="21">
        <v>276</v>
      </c>
      <c r="BC286" s="21">
        <v>1.2887599999999999</v>
      </c>
      <c r="BD286">
        <f t="shared" si="58"/>
        <v>16.581234567901234</v>
      </c>
      <c r="BE286">
        <f t="shared" si="59"/>
        <v>21.386973782716048</v>
      </c>
    </row>
    <row r="287" spans="6:101" x14ac:dyDescent="0.25">
      <c r="F287" s="9"/>
      <c r="G287" s="21">
        <v>0.39520300000000003</v>
      </c>
      <c r="H287" s="21">
        <v>8.1619899999999994</v>
      </c>
      <c r="I287" s="21">
        <v>-1.4108300000000001E-2</v>
      </c>
      <c r="J287" s="21">
        <v>277</v>
      </c>
      <c r="K287" s="21">
        <v>0.39465299999999998</v>
      </c>
      <c r="L287">
        <f t="shared" si="48"/>
        <v>17.417654320987655</v>
      </c>
      <c r="M287">
        <f t="shared" si="49"/>
        <v>6.8835092406172844</v>
      </c>
      <c r="N287" s="9"/>
      <c r="O287" s="21">
        <v>1.2948599999999999</v>
      </c>
      <c r="P287" s="21">
        <v>11.961</v>
      </c>
      <c r="Q287" s="21">
        <v>-1.34796E-2</v>
      </c>
      <c r="R287" s="21">
        <v>277</v>
      </c>
      <c r="S287" s="21">
        <v>1.2942499999999999</v>
      </c>
      <c r="T287">
        <f t="shared" si="50"/>
        <v>16.641481481481478</v>
      </c>
      <c r="U287">
        <f t="shared" si="51"/>
        <v>21.548388711111105</v>
      </c>
      <c r="X287" s="9"/>
      <c r="Y287" s="21">
        <v>1.2948599999999999</v>
      </c>
      <c r="Z287" s="21">
        <v>11.961</v>
      </c>
      <c r="AA287" s="21">
        <v>-1.34796E-2</v>
      </c>
      <c r="AB287" s="21">
        <v>277</v>
      </c>
      <c r="AC287" s="21">
        <v>1.2942499999999999</v>
      </c>
      <c r="AD287">
        <f t="shared" si="52"/>
        <v>16.641481481481478</v>
      </c>
      <c r="AE287">
        <f t="shared" si="53"/>
        <v>21.548388711111105</v>
      </c>
      <c r="AF287" s="9"/>
      <c r="AG287" s="21">
        <v>1.2948599999999999</v>
      </c>
      <c r="AH287" s="21">
        <v>21.260300000000001</v>
      </c>
      <c r="AI287" s="21">
        <v>-1.3418599999999999E-2</v>
      </c>
      <c r="AJ287" s="21">
        <v>277</v>
      </c>
      <c r="AK287" s="21">
        <v>1.2936399999999999</v>
      </c>
      <c r="AL287">
        <f t="shared" si="54"/>
        <v>16.566172839506169</v>
      </c>
      <c r="AM287">
        <f t="shared" si="55"/>
        <v>21.450874562962955</v>
      </c>
      <c r="AP287" s="9"/>
      <c r="AQ287" s="21">
        <v>0.39520300000000003</v>
      </c>
      <c r="AR287" s="21">
        <v>26.7394</v>
      </c>
      <c r="AS287" s="21">
        <v>-1.40015E-2</v>
      </c>
      <c r="AT287" s="21">
        <v>277</v>
      </c>
      <c r="AU287" s="21">
        <v>0.39468399999999998</v>
      </c>
      <c r="AV287">
        <f t="shared" si="56"/>
        <v>17.285802469135803</v>
      </c>
      <c r="AW287">
        <f t="shared" si="57"/>
        <v>6.8314009932098774</v>
      </c>
      <c r="AX287" s="9"/>
      <c r="AY287" s="21">
        <v>1.2948599999999999</v>
      </c>
      <c r="AZ287" s="21">
        <v>30.538499999999999</v>
      </c>
      <c r="BA287" s="21">
        <v>-1.34094E-2</v>
      </c>
      <c r="BB287" s="21">
        <v>277</v>
      </c>
      <c r="BC287" s="21">
        <v>1.2939499999999999</v>
      </c>
      <c r="BD287">
        <f t="shared" si="58"/>
        <v>16.554814814814815</v>
      </c>
      <c r="BE287">
        <f t="shared" si="59"/>
        <v>21.436167511111108</v>
      </c>
    </row>
    <row r="288" spans="6:101" x14ac:dyDescent="0.25">
      <c r="F288" s="9"/>
      <c r="G288" s="21">
        <v>0.39016699999999999</v>
      </c>
      <c r="H288" s="21">
        <v>8.1720600000000001</v>
      </c>
      <c r="I288" s="21">
        <v>-1.41052E-2</v>
      </c>
      <c r="J288" s="21">
        <v>278</v>
      </c>
      <c r="K288" s="21">
        <v>0.38964799999999999</v>
      </c>
      <c r="L288">
        <f t="shared" si="48"/>
        <v>17.413827160493828</v>
      </c>
      <c r="M288">
        <f t="shared" si="49"/>
        <v>6.7943007017283952</v>
      </c>
      <c r="N288" s="9"/>
      <c r="O288" s="21">
        <v>1.2999000000000001</v>
      </c>
      <c r="P288" s="21">
        <v>11.9711</v>
      </c>
      <c r="Q288" s="21">
        <v>-1.3461300000000001E-2</v>
      </c>
      <c r="R288" s="21">
        <v>278</v>
      </c>
      <c r="S288" s="21">
        <v>1.2994399999999999</v>
      </c>
      <c r="T288">
        <f t="shared" si="50"/>
        <v>16.618888888888886</v>
      </c>
      <c r="U288">
        <f t="shared" si="51"/>
        <v>21.602893666666663</v>
      </c>
      <c r="X288" s="9"/>
      <c r="Y288" s="21">
        <v>1.2999000000000001</v>
      </c>
      <c r="Z288" s="21">
        <v>11.9711</v>
      </c>
      <c r="AA288" s="21">
        <v>-1.3461300000000001E-2</v>
      </c>
      <c r="AB288" s="21">
        <v>278</v>
      </c>
      <c r="AC288" s="21">
        <v>1.2994399999999999</v>
      </c>
      <c r="AD288">
        <f t="shared" si="52"/>
        <v>16.618888888888886</v>
      </c>
      <c r="AE288">
        <f t="shared" si="53"/>
        <v>21.602893666666663</v>
      </c>
      <c r="AF288" s="9"/>
      <c r="AG288" s="21">
        <v>1.2999000000000001</v>
      </c>
      <c r="AH288" s="21">
        <v>21.270299999999999</v>
      </c>
      <c r="AI288" s="21">
        <v>-1.34033E-2</v>
      </c>
      <c r="AJ288" s="21">
        <v>278</v>
      </c>
      <c r="AK288" s="21">
        <v>1.2991299999999999</v>
      </c>
      <c r="AL288">
        <f t="shared" si="54"/>
        <v>16.547283950617281</v>
      </c>
      <c r="AM288">
        <f t="shared" si="55"/>
        <v>21.509814407407404</v>
      </c>
      <c r="AP288" s="9"/>
      <c r="AQ288" s="21">
        <v>0.39016699999999999</v>
      </c>
      <c r="AR288" s="21">
        <v>26.749500000000001</v>
      </c>
      <c r="AS288" s="21">
        <v>-1.40076E-2</v>
      </c>
      <c r="AT288" s="21">
        <v>278</v>
      </c>
      <c r="AU288" s="21">
        <v>0.38961800000000002</v>
      </c>
      <c r="AV288">
        <f t="shared" si="56"/>
        <v>17.293333333333333</v>
      </c>
      <c r="AW288">
        <f t="shared" si="57"/>
        <v>6.7472879866666666</v>
      </c>
      <c r="AX288" s="9"/>
      <c r="AY288" s="21">
        <v>1.2999000000000001</v>
      </c>
      <c r="AZ288" s="21">
        <v>30.5486</v>
      </c>
      <c r="BA288" s="21">
        <v>-1.33881E-2</v>
      </c>
      <c r="BB288" s="21">
        <v>278</v>
      </c>
      <c r="BC288" s="21">
        <v>1.2991299999999999</v>
      </c>
      <c r="BD288">
        <f t="shared" si="58"/>
        <v>16.528518518518517</v>
      </c>
      <c r="BE288">
        <f t="shared" si="59"/>
        <v>21.485421222222222</v>
      </c>
    </row>
    <row r="289" spans="6:57" x14ac:dyDescent="0.25">
      <c r="F289" s="9"/>
      <c r="G289" s="21">
        <v>0.38513199999999997</v>
      </c>
      <c r="H289" s="21">
        <v>8.1821400000000004</v>
      </c>
      <c r="I289" s="21">
        <v>-1.41022E-2</v>
      </c>
      <c r="J289" s="21">
        <v>279</v>
      </c>
      <c r="K289" s="21">
        <v>0.38464399999999999</v>
      </c>
      <c r="L289">
        <f t="shared" si="48"/>
        <v>17.410123456790124</v>
      </c>
      <c r="M289">
        <f t="shared" si="49"/>
        <v>6.7051956671604938</v>
      </c>
      <c r="N289" s="9"/>
      <c r="O289" s="21">
        <v>1.3049299999999999</v>
      </c>
      <c r="P289" s="21">
        <v>11.981199999999999</v>
      </c>
      <c r="Q289" s="21">
        <v>-1.3443E-2</v>
      </c>
      <c r="R289" s="21">
        <v>279</v>
      </c>
      <c r="S289" s="21">
        <v>1.3037099999999999</v>
      </c>
      <c r="T289">
        <f t="shared" si="50"/>
        <v>16.596296296296295</v>
      </c>
      <c r="U289">
        <f t="shared" si="51"/>
        <v>21.657004925925921</v>
      </c>
      <c r="X289" s="9"/>
      <c r="Y289" s="21">
        <v>1.3049299999999999</v>
      </c>
      <c r="Z289" s="21">
        <v>11.981199999999999</v>
      </c>
      <c r="AA289" s="21">
        <v>-1.3443E-2</v>
      </c>
      <c r="AB289" s="21">
        <v>279</v>
      </c>
      <c r="AC289" s="21">
        <v>1.3037099999999999</v>
      </c>
      <c r="AD289">
        <f t="shared" si="52"/>
        <v>16.596296296296295</v>
      </c>
      <c r="AE289">
        <f t="shared" si="53"/>
        <v>21.657004925925921</v>
      </c>
      <c r="AF289" s="9"/>
      <c r="AG289" s="21">
        <v>1.3049299999999999</v>
      </c>
      <c r="AH289" s="21">
        <v>21.2804</v>
      </c>
      <c r="AI289" s="21">
        <v>-1.3378900000000001E-2</v>
      </c>
      <c r="AJ289" s="21">
        <v>279</v>
      </c>
      <c r="AK289" s="21">
        <v>1.3043199999999999</v>
      </c>
      <c r="AL289">
        <f t="shared" si="54"/>
        <v>16.517160493827159</v>
      </c>
      <c r="AM289">
        <f t="shared" si="55"/>
        <v>21.553738243209875</v>
      </c>
      <c r="AP289" s="9"/>
      <c r="AQ289" s="21">
        <v>0.38513199999999997</v>
      </c>
      <c r="AR289" s="21">
        <v>26.759599999999999</v>
      </c>
      <c r="AS289" s="21">
        <v>-1.3998399999999999E-2</v>
      </c>
      <c r="AT289" s="21">
        <v>279</v>
      </c>
      <c r="AU289" s="21">
        <v>0.38458300000000001</v>
      </c>
      <c r="AV289">
        <f t="shared" si="56"/>
        <v>17.281975308641975</v>
      </c>
      <c r="AW289">
        <f t="shared" si="57"/>
        <v>6.6558417145679005</v>
      </c>
      <c r="AX289" s="9"/>
      <c r="AY289" s="21">
        <v>1.3049299999999999</v>
      </c>
      <c r="AZ289" s="21">
        <v>30.558599999999998</v>
      </c>
      <c r="BA289" s="21">
        <v>-1.33759E-2</v>
      </c>
      <c r="BB289" s="21">
        <v>279</v>
      </c>
      <c r="BC289" s="21">
        <v>1.3049299999999999</v>
      </c>
      <c r="BD289">
        <f t="shared" si="58"/>
        <v>16.513456790123456</v>
      </c>
      <c r="BE289">
        <f t="shared" si="59"/>
        <v>21.5489051691358</v>
      </c>
    </row>
    <row r="290" spans="6:57" x14ac:dyDescent="0.25">
      <c r="F290" s="9"/>
      <c r="G290" s="21">
        <v>0.38009599999999999</v>
      </c>
      <c r="H290" s="21">
        <v>8.1922099999999993</v>
      </c>
      <c r="I290" s="21">
        <v>-1.40991E-2</v>
      </c>
      <c r="J290" s="21">
        <v>280</v>
      </c>
      <c r="K290" s="21">
        <v>0.37948599999999999</v>
      </c>
      <c r="L290">
        <f t="shared" si="48"/>
        <v>17.406296296296293</v>
      </c>
      <c r="M290">
        <f t="shared" si="49"/>
        <v>6.6160635970370354</v>
      </c>
      <c r="N290" s="9"/>
      <c r="O290" s="21">
        <v>1.3099700000000001</v>
      </c>
      <c r="P290" s="21">
        <v>11.991300000000001</v>
      </c>
      <c r="Q290" s="21">
        <v>-1.3424699999999999E-2</v>
      </c>
      <c r="R290" s="21">
        <v>280</v>
      </c>
      <c r="S290" s="21">
        <v>1.30951</v>
      </c>
      <c r="T290">
        <f t="shared" si="50"/>
        <v>16.5737037037037</v>
      </c>
      <c r="U290">
        <f t="shared" si="51"/>
        <v>21.711054640740738</v>
      </c>
      <c r="X290" s="9"/>
      <c r="Y290" s="21">
        <v>1.3099700000000001</v>
      </c>
      <c r="Z290" s="21">
        <v>11.991300000000001</v>
      </c>
      <c r="AA290" s="21">
        <v>-1.3424699999999999E-2</v>
      </c>
      <c r="AB290" s="21">
        <v>280</v>
      </c>
      <c r="AC290" s="21">
        <v>1.30951</v>
      </c>
      <c r="AD290">
        <f t="shared" si="52"/>
        <v>16.5737037037037</v>
      </c>
      <c r="AE290">
        <f t="shared" si="53"/>
        <v>21.711054640740738</v>
      </c>
      <c r="AF290" s="9"/>
      <c r="AG290" s="21">
        <v>1.3099700000000001</v>
      </c>
      <c r="AH290" s="21">
        <v>21.290500000000002</v>
      </c>
      <c r="AI290" s="21">
        <v>-1.33575E-2</v>
      </c>
      <c r="AJ290" s="21">
        <v>280</v>
      </c>
      <c r="AK290" s="21">
        <v>1.3091999999999999</v>
      </c>
      <c r="AL290">
        <f t="shared" si="54"/>
        <v>16.49074074074074</v>
      </c>
      <c r="AM290">
        <f t="shared" si="55"/>
        <v>21.602375648148151</v>
      </c>
      <c r="AP290" s="9"/>
      <c r="AQ290" s="21">
        <v>0.38009599999999999</v>
      </c>
      <c r="AR290" s="21">
        <v>26.7697</v>
      </c>
      <c r="AS290" s="21">
        <v>-1.39954E-2</v>
      </c>
      <c r="AT290" s="21">
        <v>280</v>
      </c>
      <c r="AU290" s="21">
        <v>0.37951699999999999</v>
      </c>
      <c r="AV290">
        <f t="shared" si="56"/>
        <v>17.278271604938272</v>
      </c>
      <c r="AW290">
        <f t="shared" si="57"/>
        <v>6.5674019239506176</v>
      </c>
      <c r="AX290" s="9"/>
      <c r="AY290" s="21">
        <v>1.3099700000000001</v>
      </c>
      <c r="AZ290" s="21">
        <v>30.5687</v>
      </c>
      <c r="BA290" s="21">
        <v>-1.33575E-2</v>
      </c>
      <c r="BB290" s="21">
        <v>280</v>
      </c>
      <c r="BC290" s="21">
        <v>1.3091999999999999</v>
      </c>
      <c r="BD290">
        <f t="shared" si="58"/>
        <v>16.49074074074074</v>
      </c>
      <c r="BE290">
        <f t="shared" si="59"/>
        <v>21.602375648148151</v>
      </c>
    </row>
    <row r="291" spans="6:57" x14ac:dyDescent="0.25">
      <c r="F291" s="9"/>
      <c r="G291" s="21">
        <v>0.37506099999999998</v>
      </c>
      <c r="H291" s="21">
        <v>8.20228</v>
      </c>
      <c r="I291" s="21">
        <v>-1.40961E-2</v>
      </c>
      <c r="J291" s="21">
        <v>281</v>
      </c>
      <c r="K291" s="21">
        <v>0.37445099999999998</v>
      </c>
      <c r="L291">
        <f t="shared" si="48"/>
        <v>17.40259259259259</v>
      </c>
      <c r="M291">
        <f t="shared" si="49"/>
        <v>6.5270337803703695</v>
      </c>
      <c r="N291" s="9"/>
      <c r="O291" s="21">
        <v>1.3149999999999999</v>
      </c>
      <c r="P291" s="21">
        <v>12.001300000000001</v>
      </c>
      <c r="Q291" s="21">
        <v>-1.3412500000000001E-2</v>
      </c>
      <c r="R291" s="21">
        <v>281</v>
      </c>
      <c r="S291" s="21">
        <v>1.31409</v>
      </c>
      <c r="T291">
        <f t="shared" si="50"/>
        <v>16.558641975308642</v>
      </c>
      <c r="U291">
        <f t="shared" si="51"/>
        <v>21.774614197530862</v>
      </c>
      <c r="X291" s="9"/>
      <c r="Y291" s="21">
        <v>1.3149999999999999</v>
      </c>
      <c r="Z291" s="21">
        <v>12.001300000000001</v>
      </c>
      <c r="AA291" s="21">
        <v>-1.3412500000000001E-2</v>
      </c>
      <c r="AB291" s="21">
        <v>281</v>
      </c>
      <c r="AC291" s="21">
        <v>1.31409</v>
      </c>
      <c r="AD291">
        <f t="shared" si="52"/>
        <v>16.558641975308642</v>
      </c>
      <c r="AE291">
        <f t="shared" si="53"/>
        <v>21.774614197530862</v>
      </c>
      <c r="AF291" s="9"/>
      <c r="AG291" s="21">
        <v>1.3149999999999999</v>
      </c>
      <c r="AH291" s="21">
        <v>21.3005</v>
      </c>
      <c r="AI291" s="21">
        <v>-1.3351399999999999E-2</v>
      </c>
      <c r="AJ291" s="21">
        <v>281</v>
      </c>
      <c r="AK291" s="21">
        <v>1.3143899999999999</v>
      </c>
      <c r="AL291">
        <f t="shared" si="54"/>
        <v>16.483209876543206</v>
      </c>
      <c r="AM291">
        <f t="shared" si="55"/>
        <v>21.675420987654316</v>
      </c>
      <c r="AP291" s="9"/>
      <c r="AQ291" s="21">
        <v>0.37506099999999998</v>
      </c>
      <c r="AR291" s="21">
        <v>26.779699999999998</v>
      </c>
      <c r="AS291" s="21">
        <v>-1.40015E-2</v>
      </c>
      <c r="AT291" s="21">
        <v>281</v>
      </c>
      <c r="AU291" s="21">
        <v>0.37454199999999999</v>
      </c>
      <c r="AV291">
        <f t="shared" si="56"/>
        <v>17.285802469135803</v>
      </c>
      <c r="AW291">
        <f t="shared" si="57"/>
        <v>6.4832303598765426</v>
      </c>
      <c r="AX291" s="9"/>
      <c r="AY291" s="21">
        <v>1.3149999999999999</v>
      </c>
      <c r="AZ291" s="21">
        <v>30.578800000000001</v>
      </c>
      <c r="BA291" s="21">
        <v>-1.3339200000000001E-2</v>
      </c>
      <c r="BB291" s="21">
        <v>281</v>
      </c>
      <c r="BC291" s="21">
        <v>1.3143899999999999</v>
      </c>
      <c r="BD291">
        <f t="shared" si="58"/>
        <v>16.468148148148149</v>
      </c>
      <c r="BE291">
        <f t="shared" si="59"/>
        <v>21.655614814814815</v>
      </c>
    </row>
    <row r="292" spans="6:57" x14ac:dyDescent="0.25">
      <c r="F292" s="9"/>
      <c r="G292" s="21">
        <v>0.37002600000000002</v>
      </c>
      <c r="H292" s="21">
        <v>8.2123500000000007</v>
      </c>
      <c r="I292" s="21">
        <v>-1.41052E-2</v>
      </c>
      <c r="J292" s="21">
        <v>282</v>
      </c>
      <c r="K292" s="21">
        <v>0.36938500000000002</v>
      </c>
      <c r="L292">
        <f t="shared" si="48"/>
        <v>17.413827160493828</v>
      </c>
      <c r="M292">
        <f t="shared" si="49"/>
        <v>6.4435688088888892</v>
      </c>
      <c r="N292" s="9"/>
      <c r="O292" s="21">
        <v>1.3200400000000001</v>
      </c>
      <c r="P292" s="21">
        <v>12.0114</v>
      </c>
      <c r="Q292" s="21">
        <v>-1.3406400000000001E-2</v>
      </c>
      <c r="R292" s="21">
        <v>282</v>
      </c>
      <c r="S292" s="21">
        <v>1.31989</v>
      </c>
      <c r="T292">
        <f t="shared" si="50"/>
        <v>16.551111111111108</v>
      </c>
      <c r="U292">
        <f t="shared" si="51"/>
        <v>21.848128711111109</v>
      </c>
      <c r="X292" s="9"/>
      <c r="Y292" s="21">
        <v>1.3200400000000001</v>
      </c>
      <c r="Z292" s="21">
        <v>12.0114</v>
      </c>
      <c r="AA292" s="21">
        <v>-1.3406400000000001E-2</v>
      </c>
      <c r="AB292" s="21">
        <v>282</v>
      </c>
      <c r="AC292" s="21">
        <v>1.31989</v>
      </c>
      <c r="AD292">
        <f t="shared" si="52"/>
        <v>16.551111111111108</v>
      </c>
      <c r="AE292">
        <f t="shared" si="53"/>
        <v>21.848128711111109</v>
      </c>
      <c r="AF292" s="9"/>
      <c r="AG292" s="21">
        <v>1.3200400000000001</v>
      </c>
      <c r="AH292" s="21">
        <v>21.310600000000001</v>
      </c>
      <c r="AI292" s="21">
        <v>-1.3327E-2</v>
      </c>
      <c r="AJ292" s="21">
        <v>282</v>
      </c>
      <c r="AK292" s="21">
        <v>1.31958</v>
      </c>
      <c r="AL292">
        <f t="shared" si="54"/>
        <v>16.453086419753085</v>
      </c>
      <c r="AM292">
        <f t="shared" si="55"/>
        <v>21.718732197530862</v>
      </c>
      <c r="AP292" s="9"/>
      <c r="AQ292" s="21">
        <v>0.37002600000000002</v>
      </c>
      <c r="AR292" s="21">
        <v>26.7898</v>
      </c>
      <c r="AS292" s="21">
        <v>-1.40167E-2</v>
      </c>
      <c r="AT292" s="21">
        <v>282</v>
      </c>
      <c r="AU292" s="21">
        <v>0.36917100000000003</v>
      </c>
      <c r="AV292">
        <f t="shared" si="56"/>
        <v>17.304567901234567</v>
      </c>
      <c r="AW292">
        <f t="shared" si="57"/>
        <v>6.4031400422222218</v>
      </c>
      <c r="AX292" s="9"/>
      <c r="AY292" s="21">
        <v>1.3200400000000001</v>
      </c>
      <c r="AZ292" s="21">
        <v>30.588799999999999</v>
      </c>
      <c r="BA292" s="21">
        <v>-1.3324000000000001E-2</v>
      </c>
      <c r="BB292" s="21">
        <v>282</v>
      </c>
      <c r="BC292" s="21">
        <v>1.31989</v>
      </c>
      <c r="BD292">
        <f t="shared" si="58"/>
        <v>16.449382716049382</v>
      </c>
      <c r="BE292">
        <f t="shared" si="59"/>
        <v>21.713843160493827</v>
      </c>
    </row>
    <row r="293" spans="6:57" x14ac:dyDescent="0.25">
      <c r="F293" s="9"/>
      <c r="G293" s="21">
        <v>0.36498999999999998</v>
      </c>
      <c r="H293" s="21">
        <v>8.2224199999999996</v>
      </c>
      <c r="I293" s="21">
        <v>-1.41174E-2</v>
      </c>
      <c r="J293" s="21">
        <v>283</v>
      </c>
      <c r="K293" s="21">
        <v>0.36444100000000001</v>
      </c>
      <c r="L293">
        <f t="shared" si="48"/>
        <v>17.428888888888888</v>
      </c>
      <c r="M293">
        <f t="shared" si="49"/>
        <v>6.3613701555555551</v>
      </c>
      <c r="N293" s="9"/>
      <c r="O293" s="21">
        <v>1.32507</v>
      </c>
      <c r="P293" s="21">
        <v>12.0215</v>
      </c>
      <c r="Q293" s="21">
        <v>-1.33881E-2</v>
      </c>
      <c r="R293" s="21">
        <v>283</v>
      </c>
      <c r="S293" s="21">
        <v>1.32416</v>
      </c>
      <c r="T293">
        <f t="shared" si="50"/>
        <v>16.528518518518517</v>
      </c>
      <c r="U293">
        <f t="shared" si="51"/>
        <v>21.90144403333333</v>
      </c>
      <c r="X293" s="9"/>
      <c r="Y293" s="21">
        <v>1.32507</v>
      </c>
      <c r="Z293" s="21">
        <v>12.0215</v>
      </c>
      <c r="AA293" s="21">
        <v>-1.33881E-2</v>
      </c>
      <c r="AB293" s="21">
        <v>283</v>
      </c>
      <c r="AC293" s="21">
        <v>1.32416</v>
      </c>
      <c r="AD293">
        <f t="shared" si="52"/>
        <v>16.528518518518517</v>
      </c>
      <c r="AE293">
        <f t="shared" si="53"/>
        <v>21.90144403333333</v>
      </c>
      <c r="AF293" s="9"/>
      <c r="AG293" s="21">
        <v>1.32507</v>
      </c>
      <c r="AH293" s="21">
        <v>21.320699999999999</v>
      </c>
      <c r="AI293" s="21">
        <v>-1.3290400000000001E-2</v>
      </c>
      <c r="AJ293" s="21">
        <v>283</v>
      </c>
      <c r="AK293" s="21">
        <v>1.32416</v>
      </c>
      <c r="AL293">
        <f t="shared" si="54"/>
        <v>16.407901234567902</v>
      </c>
      <c r="AM293">
        <f t="shared" si="55"/>
        <v>21.741617688888891</v>
      </c>
      <c r="AP293" s="9"/>
      <c r="AQ293" s="21">
        <v>0.36498999999999998</v>
      </c>
      <c r="AR293" s="21">
        <v>26.799900000000001</v>
      </c>
      <c r="AS293" s="21">
        <v>-1.4035000000000001E-2</v>
      </c>
      <c r="AT293" s="21">
        <v>283</v>
      </c>
      <c r="AU293" s="21">
        <v>0.36444100000000001</v>
      </c>
      <c r="AV293">
        <f t="shared" si="56"/>
        <v>17.327160493827162</v>
      </c>
      <c r="AW293">
        <f t="shared" si="57"/>
        <v>6.3242403086419756</v>
      </c>
      <c r="AX293" s="9"/>
      <c r="AY293" s="21">
        <v>1.32507</v>
      </c>
      <c r="AZ293" s="21">
        <v>30.5989</v>
      </c>
      <c r="BA293" s="21">
        <v>-1.33087E-2</v>
      </c>
      <c r="BB293" s="21">
        <v>283</v>
      </c>
      <c r="BC293" s="21">
        <v>1.32416</v>
      </c>
      <c r="BD293">
        <f t="shared" si="58"/>
        <v>16.430493827160493</v>
      </c>
      <c r="BE293">
        <f t="shared" si="59"/>
        <v>21.771554455555556</v>
      </c>
    </row>
    <row r="294" spans="6:57" x14ac:dyDescent="0.25">
      <c r="F294" s="9"/>
      <c r="G294" s="21">
        <v>0.35995500000000002</v>
      </c>
      <c r="H294" s="21">
        <v>8.2324900000000003</v>
      </c>
      <c r="I294" s="21">
        <v>-1.4135699999999999E-2</v>
      </c>
      <c r="J294" s="21">
        <v>284</v>
      </c>
      <c r="K294" s="21">
        <v>0.35928300000000002</v>
      </c>
      <c r="L294">
        <f t="shared" si="48"/>
        <v>17.45148148148148</v>
      </c>
      <c r="M294">
        <f t="shared" si="49"/>
        <v>6.2817480166666666</v>
      </c>
      <c r="N294" s="9"/>
      <c r="O294" s="21">
        <v>1.3301099999999999</v>
      </c>
      <c r="P294" s="21">
        <v>12.031499999999999</v>
      </c>
      <c r="Q294" s="21">
        <v>-1.3378900000000001E-2</v>
      </c>
      <c r="R294" s="21">
        <v>284</v>
      </c>
      <c r="S294" s="21">
        <v>1.32904</v>
      </c>
      <c r="T294">
        <f t="shared" si="50"/>
        <v>16.517160493827159</v>
      </c>
      <c r="U294">
        <f t="shared" si="51"/>
        <v>21.969640344444443</v>
      </c>
      <c r="X294" s="9"/>
      <c r="Y294" s="21">
        <v>1.3301099999999999</v>
      </c>
      <c r="Z294" s="21">
        <v>12.031499999999999</v>
      </c>
      <c r="AA294" s="21">
        <v>-1.3378900000000001E-2</v>
      </c>
      <c r="AB294" s="21">
        <v>284</v>
      </c>
      <c r="AC294" s="21">
        <v>1.32904</v>
      </c>
      <c r="AD294">
        <f t="shared" si="52"/>
        <v>16.517160493827159</v>
      </c>
      <c r="AE294">
        <f t="shared" si="53"/>
        <v>21.969640344444443</v>
      </c>
      <c r="AF294" s="9"/>
      <c r="AG294" s="21">
        <v>1.3301099999999999</v>
      </c>
      <c r="AH294" s="21">
        <v>21.3308</v>
      </c>
      <c r="AI294" s="21">
        <v>-1.32599E-2</v>
      </c>
      <c r="AJ294" s="21">
        <v>284</v>
      </c>
      <c r="AK294" s="21">
        <v>1.32965</v>
      </c>
      <c r="AL294">
        <f t="shared" si="54"/>
        <v>16.370246913580246</v>
      </c>
      <c r="AM294">
        <f t="shared" si="55"/>
        <v>21.77422912222222</v>
      </c>
      <c r="AP294" s="9"/>
      <c r="AQ294" s="21">
        <v>0.35995500000000002</v>
      </c>
      <c r="AR294" s="21">
        <v>26.809899999999999</v>
      </c>
      <c r="AS294" s="21">
        <v>-1.4035000000000001E-2</v>
      </c>
      <c r="AT294" s="21">
        <v>284</v>
      </c>
      <c r="AU294" s="21">
        <v>0.359344</v>
      </c>
      <c r="AV294">
        <f t="shared" si="56"/>
        <v>17.327160493827162</v>
      </c>
      <c r="AW294">
        <f t="shared" si="57"/>
        <v>6.2369980555555564</v>
      </c>
      <c r="AX294" s="9"/>
      <c r="AY294" s="21">
        <v>1.3301099999999999</v>
      </c>
      <c r="AZ294" s="21">
        <v>30.609000000000002</v>
      </c>
      <c r="BA294" s="21">
        <v>-1.3302599999999999E-2</v>
      </c>
      <c r="BB294" s="21">
        <v>284</v>
      </c>
      <c r="BC294" s="21">
        <v>1.32935</v>
      </c>
      <c r="BD294">
        <f t="shared" si="58"/>
        <v>16.422962962962963</v>
      </c>
      <c r="BE294">
        <f t="shared" si="59"/>
        <v>21.844347266666666</v>
      </c>
    </row>
    <row r="295" spans="6:57" x14ac:dyDescent="0.25">
      <c r="F295" s="9"/>
      <c r="G295" s="21">
        <v>0.35491899999999998</v>
      </c>
      <c r="H295" s="21">
        <v>8.2425599999999992</v>
      </c>
      <c r="I295" s="21">
        <v>-1.41479E-2</v>
      </c>
      <c r="J295" s="21">
        <v>285</v>
      </c>
      <c r="K295" s="21">
        <v>0.35430899999999999</v>
      </c>
      <c r="L295">
        <f t="shared" si="48"/>
        <v>17.466543209876541</v>
      </c>
      <c r="M295">
        <f t="shared" si="49"/>
        <v>6.1992080495061721</v>
      </c>
      <c r="N295" s="9"/>
      <c r="O295" s="21">
        <v>1.33514</v>
      </c>
      <c r="P295" s="21">
        <v>12.041600000000001</v>
      </c>
      <c r="Q295" s="21">
        <v>-1.33606E-2</v>
      </c>
      <c r="R295" s="21">
        <v>285</v>
      </c>
      <c r="S295" s="21">
        <v>1.33392</v>
      </c>
      <c r="T295">
        <f t="shared" si="50"/>
        <v>16.494567901234568</v>
      </c>
      <c r="U295">
        <f t="shared" si="51"/>
        <v>22.02255738765432</v>
      </c>
      <c r="X295" s="9"/>
      <c r="Y295" s="21">
        <v>1.33514</v>
      </c>
      <c r="Z295" s="21">
        <v>12.041600000000001</v>
      </c>
      <c r="AA295" s="21">
        <v>-1.33606E-2</v>
      </c>
      <c r="AB295" s="21">
        <v>285</v>
      </c>
      <c r="AC295" s="21">
        <v>1.33392</v>
      </c>
      <c r="AD295">
        <f t="shared" si="52"/>
        <v>16.494567901234568</v>
      </c>
      <c r="AE295">
        <f t="shared" si="53"/>
        <v>22.02255738765432</v>
      </c>
      <c r="AF295" s="9"/>
      <c r="AG295" s="21">
        <v>1.33514</v>
      </c>
      <c r="AH295" s="21">
        <v>21.340800000000002</v>
      </c>
      <c r="AI295" s="21">
        <v>-1.32385E-2</v>
      </c>
      <c r="AJ295" s="21">
        <v>285</v>
      </c>
      <c r="AK295" s="21">
        <v>1.33484</v>
      </c>
      <c r="AL295">
        <f t="shared" si="54"/>
        <v>16.343827160493824</v>
      </c>
      <c r="AM295">
        <f t="shared" si="55"/>
        <v>21.821297395061723</v>
      </c>
      <c r="AP295" s="9"/>
      <c r="AQ295" s="21">
        <v>0.35491899999999998</v>
      </c>
      <c r="AR295" s="21">
        <v>26.82</v>
      </c>
      <c r="AS295" s="21">
        <v>-1.4035000000000001E-2</v>
      </c>
      <c r="AT295" s="21">
        <v>285</v>
      </c>
      <c r="AU295" s="21">
        <v>0.35430899999999999</v>
      </c>
      <c r="AV295">
        <f t="shared" si="56"/>
        <v>17.327160493827162</v>
      </c>
      <c r="AW295">
        <f t="shared" si="57"/>
        <v>6.1497384753086424</v>
      </c>
      <c r="AX295" s="9"/>
      <c r="AY295" s="21">
        <v>1.33514</v>
      </c>
      <c r="AZ295" s="21">
        <v>30.6191</v>
      </c>
      <c r="BA295" s="21">
        <v>-1.32935E-2</v>
      </c>
      <c r="BB295" s="21">
        <v>285</v>
      </c>
      <c r="BC295" s="21">
        <v>1.33484</v>
      </c>
      <c r="BD295">
        <f t="shared" si="58"/>
        <v>16.411728395061726</v>
      </c>
      <c r="BE295">
        <f t="shared" si="59"/>
        <v>21.911955049382712</v>
      </c>
    </row>
    <row r="296" spans="6:57" x14ac:dyDescent="0.25">
      <c r="F296" s="9"/>
      <c r="G296" s="21">
        <v>0.34988399999999997</v>
      </c>
      <c r="H296" s="21">
        <v>8.2526299999999999</v>
      </c>
      <c r="I296" s="21">
        <v>-1.4157100000000001E-2</v>
      </c>
      <c r="J296" s="21">
        <v>286</v>
      </c>
      <c r="K296" s="21">
        <v>0.349304</v>
      </c>
      <c r="L296">
        <f t="shared" si="48"/>
        <v>17.477901234567902</v>
      </c>
      <c r="M296">
        <f t="shared" si="49"/>
        <v>6.1152379955555558</v>
      </c>
      <c r="N296" s="9"/>
      <c r="O296" s="21">
        <v>1.3401799999999999</v>
      </c>
      <c r="P296" s="21">
        <v>12.0517</v>
      </c>
      <c r="Q296" s="21">
        <v>-1.33423E-2</v>
      </c>
      <c r="R296" s="21">
        <v>286</v>
      </c>
      <c r="S296" s="21">
        <v>1.3394200000000001</v>
      </c>
      <c r="T296">
        <f t="shared" si="50"/>
        <v>16.471975308641973</v>
      </c>
      <c r="U296">
        <f t="shared" si="51"/>
        <v>22.075411869135799</v>
      </c>
      <c r="X296" s="9"/>
      <c r="Y296" s="21">
        <v>1.3401799999999999</v>
      </c>
      <c r="Z296" s="21">
        <v>12.0517</v>
      </c>
      <c r="AA296" s="21">
        <v>-1.33423E-2</v>
      </c>
      <c r="AB296" s="21">
        <v>286</v>
      </c>
      <c r="AC296" s="21">
        <v>1.3394200000000001</v>
      </c>
      <c r="AD296">
        <f t="shared" si="52"/>
        <v>16.471975308641973</v>
      </c>
      <c r="AE296">
        <f t="shared" si="53"/>
        <v>22.075411869135799</v>
      </c>
      <c r="AF296" s="9"/>
      <c r="AG296" s="21">
        <v>1.3401799999999999</v>
      </c>
      <c r="AH296" s="21">
        <v>21.350899999999999</v>
      </c>
      <c r="AI296" s="21">
        <v>-1.32263E-2</v>
      </c>
      <c r="AJ296" s="21">
        <v>286</v>
      </c>
      <c r="AK296" s="21">
        <v>1.33911</v>
      </c>
      <c r="AL296">
        <f t="shared" si="54"/>
        <v>16.328765432098766</v>
      </c>
      <c r="AM296">
        <f t="shared" si="55"/>
        <v>21.883484856790123</v>
      </c>
      <c r="AP296" s="9"/>
      <c r="AQ296" s="21">
        <v>0.34988399999999997</v>
      </c>
      <c r="AR296" s="21">
        <v>26.830100000000002</v>
      </c>
      <c r="AS296" s="21">
        <v>-1.4031999999999999E-2</v>
      </c>
      <c r="AT296" s="21">
        <v>286</v>
      </c>
      <c r="AU296" s="21">
        <v>0.34939599999999998</v>
      </c>
      <c r="AV296">
        <f t="shared" si="56"/>
        <v>17.323456790123455</v>
      </c>
      <c r="AW296">
        <f t="shared" si="57"/>
        <v>6.0612003555555543</v>
      </c>
      <c r="AX296" s="9"/>
      <c r="AY296" s="21">
        <v>1.3401799999999999</v>
      </c>
      <c r="AZ296" s="21">
        <v>30.629100000000001</v>
      </c>
      <c r="BA296" s="21">
        <v>-1.32782E-2</v>
      </c>
      <c r="BB296" s="21">
        <v>286</v>
      </c>
      <c r="BC296" s="21">
        <v>1.3394200000000001</v>
      </c>
      <c r="BD296">
        <f t="shared" si="58"/>
        <v>16.392839506172837</v>
      </c>
      <c r="BE296">
        <f t="shared" si="59"/>
        <v>21.969355649382713</v>
      </c>
    </row>
    <row r="297" spans="6:57" x14ac:dyDescent="0.25">
      <c r="F297" s="9"/>
      <c r="G297" s="21">
        <v>0.34484900000000002</v>
      </c>
      <c r="H297" s="21">
        <v>8.2627000000000006</v>
      </c>
      <c r="I297" s="21">
        <v>-1.4163200000000001E-2</v>
      </c>
      <c r="J297" s="21">
        <v>287</v>
      </c>
      <c r="K297" s="21">
        <v>0.34417700000000001</v>
      </c>
      <c r="L297">
        <f t="shared" si="48"/>
        <v>17.485432098765433</v>
      </c>
      <c r="M297">
        <f t="shared" si="49"/>
        <v>6.0298337738271606</v>
      </c>
      <c r="N297" s="9"/>
      <c r="O297" s="21">
        <v>1.34521</v>
      </c>
      <c r="P297" s="21">
        <v>12.0617</v>
      </c>
      <c r="Q297" s="21">
        <v>-1.33209E-2</v>
      </c>
      <c r="R297" s="21">
        <v>287</v>
      </c>
      <c r="S297" s="21">
        <v>1.3443000000000001</v>
      </c>
      <c r="T297">
        <f t="shared" si="50"/>
        <v>16.445555555555554</v>
      </c>
      <c r="U297">
        <f t="shared" si="51"/>
        <v>22.122725788888886</v>
      </c>
      <c r="X297" s="9"/>
      <c r="Y297" s="21">
        <v>1.34521</v>
      </c>
      <c r="Z297" s="21">
        <v>12.0617</v>
      </c>
      <c r="AA297" s="21">
        <v>-1.33209E-2</v>
      </c>
      <c r="AB297" s="21">
        <v>287</v>
      </c>
      <c r="AC297" s="21">
        <v>1.3443000000000001</v>
      </c>
      <c r="AD297">
        <f t="shared" si="52"/>
        <v>16.445555555555554</v>
      </c>
      <c r="AE297">
        <f t="shared" si="53"/>
        <v>22.122725788888886</v>
      </c>
      <c r="AF297" s="9"/>
      <c r="AG297" s="21">
        <v>1.34521</v>
      </c>
      <c r="AH297" s="21">
        <v>21.361000000000001</v>
      </c>
      <c r="AI297" s="21">
        <v>-1.3207999999999999E-2</v>
      </c>
      <c r="AJ297" s="21">
        <v>287</v>
      </c>
      <c r="AK297" s="21">
        <v>1.3446</v>
      </c>
      <c r="AL297">
        <f t="shared" si="54"/>
        <v>16.306172839506171</v>
      </c>
      <c r="AM297">
        <f t="shared" si="55"/>
        <v>21.935226765432098</v>
      </c>
      <c r="AP297" s="9"/>
      <c r="AQ297" s="21">
        <v>0.34484900000000002</v>
      </c>
      <c r="AR297" s="21">
        <v>26.8401</v>
      </c>
      <c r="AS297" s="21">
        <v>-1.40289E-2</v>
      </c>
      <c r="AT297" s="21">
        <v>287</v>
      </c>
      <c r="AU297" s="21">
        <v>0.34433000000000002</v>
      </c>
      <c r="AV297">
        <f t="shared" si="56"/>
        <v>17.319629629629631</v>
      </c>
      <c r="AW297">
        <f t="shared" si="57"/>
        <v>5.972656958148149</v>
      </c>
      <c r="AX297" s="9"/>
      <c r="AY297" s="21">
        <v>1.34521</v>
      </c>
      <c r="AZ297" s="21">
        <v>30.639199999999999</v>
      </c>
      <c r="BA297" s="21">
        <v>-1.3256799999999999E-2</v>
      </c>
      <c r="BB297" s="21">
        <v>287</v>
      </c>
      <c r="BC297" s="21">
        <v>1.3443000000000001</v>
      </c>
      <c r="BD297">
        <f t="shared" si="58"/>
        <v>16.366419753086415</v>
      </c>
      <c r="BE297">
        <f t="shared" si="59"/>
        <v>22.016271516049375</v>
      </c>
    </row>
    <row r="298" spans="6:57" x14ac:dyDescent="0.25">
      <c r="F298" s="9"/>
      <c r="G298" s="21">
        <v>0.33981299999999998</v>
      </c>
      <c r="H298" s="21">
        <v>8.2727699999999995</v>
      </c>
      <c r="I298" s="21">
        <v>-1.4154099999999999E-2</v>
      </c>
      <c r="J298" s="21">
        <v>288</v>
      </c>
      <c r="K298" s="21">
        <v>0.33920299999999998</v>
      </c>
      <c r="L298">
        <f t="shared" si="48"/>
        <v>17.474197530864195</v>
      </c>
      <c r="M298">
        <f t="shared" si="49"/>
        <v>5.9379594855555542</v>
      </c>
      <c r="N298" s="9"/>
      <c r="O298" s="21">
        <v>1.35025</v>
      </c>
      <c r="P298" s="21">
        <v>12.0718</v>
      </c>
      <c r="Q298" s="21">
        <v>-1.32874E-2</v>
      </c>
      <c r="R298" s="21">
        <v>288</v>
      </c>
      <c r="S298" s="21">
        <v>1.3494900000000001</v>
      </c>
      <c r="T298">
        <f t="shared" si="50"/>
        <v>16.404197530864195</v>
      </c>
      <c r="U298">
        <f t="shared" si="51"/>
        <v>22.149767716049379</v>
      </c>
      <c r="X298" s="9"/>
      <c r="Y298" s="21">
        <v>1.35025</v>
      </c>
      <c r="Z298" s="21">
        <v>12.0718</v>
      </c>
      <c r="AA298" s="21">
        <v>-1.32874E-2</v>
      </c>
      <c r="AB298" s="21">
        <v>288</v>
      </c>
      <c r="AC298" s="21">
        <v>1.3494900000000001</v>
      </c>
      <c r="AD298">
        <f t="shared" si="52"/>
        <v>16.404197530864195</v>
      </c>
      <c r="AE298">
        <f t="shared" si="53"/>
        <v>22.149767716049379</v>
      </c>
      <c r="AF298" s="9"/>
      <c r="AG298" s="21">
        <v>1.35025</v>
      </c>
      <c r="AH298" s="21">
        <v>21.370999999999999</v>
      </c>
      <c r="AI298" s="21">
        <v>-1.31805E-2</v>
      </c>
      <c r="AJ298" s="21">
        <v>288</v>
      </c>
      <c r="AK298" s="21">
        <v>1.34918</v>
      </c>
      <c r="AL298">
        <f t="shared" si="54"/>
        <v>16.272222222222219</v>
      </c>
      <c r="AM298">
        <f t="shared" si="55"/>
        <v>21.971568055555551</v>
      </c>
      <c r="AP298" s="9"/>
      <c r="AQ298" s="21">
        <v>0.33981299999999998</v>
      </c>
      <c r="AR298" s="21">
        <v>26.850200000000001</v>
      </c>
      <c r="AS298" s="21">
        <v>-1.40289E-2</v>
      </c>
      <c r="AT298" s="21">
        <v>288</v>
      </c>
      <c r="AU298" s="21">
        <v>0.33923300000000001</v>
      </c>
      <c r="AV298">
        <f t="shared" si="56"/>
        <v>17.319629629629631</v>
      </c>
      <c r="AW298">
        <f t="shared" si="57"/>
        <v>5.8854353033333338</v>
      </c>
      <c r="AX298" s="9"/>
      <c r="AY298" s="21">
        <v>1.35025</v>
      </c>
      <c r="AZ298" s="21">
        <v>30.6493</v>
      </c>
      <c r="BA298" s="21">
        <v>-1.32324E-2</v>
      </c>
      <c r="BB298" s="21">
        <v>288</v>
      </c>
      <c r="BC298" s="21">
        <v>1.34918</v>
      </c>
      <c r="BD298">
        <f t="shared" si="58"/>
        <v>16.336296296296297</v>
      </c>
      <c r="BE298">
        <f t="shared" si="59"/>
        <v>22.058084074074074</v>
      </c>
    </row>
    <row r="299" spans="6:57" x14ac:dyDescent="0.25">
      <c r="F299" s="9"/>
      <c r="G299" s="21">
        <v>0.33477800000000002</v>
      </c>
      <c r="H299" s="21">
        <v>8.2828499999999998</v>
      </c>
      <c r="I299" s="21">
        <v>-1.4169299999999999E-2</v>
      </c>
      <c r="J299" s="21">
        <v>289</v>
      </c>
      <c r="K299" s="21">
        <v>0.33428999999999998</v>
      </c>
      <c r="L299">
        <f t="shared" si="48"/>
        <v>17.492962962962959</v>
      </c>
      <c r="M299">
        <f t="shared" si="49"/>
        <v>5.856259154814814</v>
      </c>
      <c r="N299" s="9"/>
      <c r="O299" s="21">
        <v>1.3552900000000001</v>
      </c>
      <c r="P299" s="21">
        <v>12.081899999999999</v>
      </c>
      <c r="Q299" s="21">
        <v>-1.3262899999999999E-2</v>
      </c>
      <c r="R299" s="21">
        <v>289</v>
      </c>
      <c r="S299" s="21">
        <v>1.3543700000000001</v>
      </c>
      <c r="T299">
        <f t="shared" si="50"/>
        <v>16.373950617283949</v>
      </c>
      <c r="U299">
        <f t="shared" si="51"/>
        <v>22.191451532098764</v>
      </c>
      <c r="X299" s="9"/>
      <c r="Y299" s="21">
        <v>1.3552900000000001</v>
      </c>
      <c r="Z299" s="21">
        <v>12.081899999999999</v>
      </c>
      <c r="AA299" s="21">
        <v>-1.3262899999999999E-2</v>
      </c>
      <c r="AB299" s="21">
        <v>289</v>
      </c>
      <c r="AC299" s="21">
        <v>1.3543700000000001</v>
      </c>
      <c r="AD299">
        <f t="shared" si="52"/>
        <v>16.373950617283949</v>
      </c>
      <c r="AE299">
        <f t="shared" si="53"/>
        <v>22.191451532098764</v>
      </c>
      <c r="AF299" s="9"/>
      <c r="AG299" s="21">
        <v>1.3552900000000001</v>
      </c>
      <c r="AH299" s="21">
        <v>21.3811</v>
      </c>
      <c r="AI299" s="21">
        <v>-1.3162200000000001E-2</v>
      </c>
      <c r="AJ299" s="21">
        <v>289</v>
      </c>
      <c r="AK299" s="21">
        <v>1.3546800000000001</v>
      </c>
      <c r="AL299">
        <f t="shared" si="54"/>
        <v>16.249629629629627</v>
      </c>
      <c r="AM299">
        <f t="shared" si="55"/>
        <v>22.02296054074074</v>
      </c>
      <c r="AP299" s="9"/>
      <c r="AQ299" s="21">
        <v>0.33477800000000002</v>
      </c>
      <c r="AR299" s="21">
        <v>26.860299999999999</v>
      </c>
      <c r="AS299" s="21">
        <v>-1.4035000000000001E-2</v>
      </c>
      <c r="AT299" s="21">
        <v>289</v>
      </c>
      <c r="AU299" s="21">
        <v>0.33407599999999998</v>
      </c>
      <c r="AV299">
        <f t="shared" si="56"/>
        <v>17.327160493827162</v>
      </c>
      <c r="AW299">
        <f t="shared" si="57"/>
        <v>5.8007521358024698</v>
      </c>
      <c r="AX299" s="9"/>
      <c r="AY299" s="21">
        <v>1.3552900000000001</v>
      </c>
      <c r="AZ299" s="21">
        <v>30.659300000000002</v>
      </c>
      <c r="BA299" s="21">
        <v>-1.32263E-2</v>
      </c>
      <c r="BB299" s="21">
        <v>289</v>
      </c>
      <c r="BC299" s="21">
        <v>1.3546800000000001</v>
      </c>
      <c r="BD299">
        <f t="shared" si="58"/>
        <v>16.328765432098766</v>
      </c>
      <c r="BE299">
        <f t="shared" si="59"/>
        <v>22.130212502469139</v>
      </c>
    </row>
    <row r="300" spans="6:57" x14ac:dyDescent="0.25">
      <c r="F300" s="9"/>
      <c r="G300" s="21">
        <v>0.32974199999999998</v>
      </c>
      <c r="H300" s="21">
        <v>8.2929200000000005</v>
      </c>
      <c r="I300" s="21">
        <v>-1.4175399999999999E-2</v>
      </c>
      <c r="J300" s="21">
        <v>290</v>
      </c>
      <c r="K300" s="21">
        <v>0.32897900000000002</v>
      </c>
      <c r="L300">
        <f t="shared" si="48"/>
        <v>17.500493827160494</v>
      </c>
      <c r="M300">
        <f t="shared" si="49"/>
        <v>5.7706478355555548</v>
      </c>
      <c r="N300" s="9"/>
      <c r="O300" s="21">
        <v>1.36032</v>
      </c>
      <c r="P300" s="21">
        <v>12.092000000000001</v>
      </c>
      <c r="Q300" s="21">
        <v>-1.32446E-2</v>
      </c>
      <c r="R300" s="21">
        <v>290</v>
      </c>
      <c r="S300" s="21">
        <v>1.3598600000000001</v>
      </c>
      <c r="T300">
        <f t="shared" si="50"/>
        <v>16.351358024691358</v>
      </c>
      <c r="U300">
        <f t="shared" si="51"/>
        <v>22.243079348148147</v>
      </c>
      <c r="X300" s="9"/>
      <c r="Y300" s="21">
        <v>1.36032</v>
      </c>
      <c r="Z300" s="21">
        <v>12.092000000000001</v>
      </c>
      <c r="AA300" s="21">
        <v>-1.32446E-2</v>
      </c>
      <c r="AB300" s="21">
        <v>290</v>
      </c>
      <c r="AC300" s="21">
        <v>1.3598600000000001</v>
      </c>
      <c r="AD300">
        <f t="shared" si="52"/>
        <v>16.351358024691358</v>
      </c>
      <c r="AE300">
        <f t="shared" si="53"/>
        <v>22.243079348148147</v>
      </c>
      <c r="AF300" s="9"/>
      <c r="AG300" s="21">
        <v>1.36032</v>
      </c>
      <c r="AH300" s="21">
        <v>21.391200000000001</v>
      </c>
      <c r="AI300" s="21">
        <v>-1.31378E-2</v>
      </c>
      <c r="AJ300" s="21">
        <v>290</v>
      </c>
      <c r="AK300" s="21">
        <v>1.3592500000000001</v>
      </c>
      <c r="AL300">
        <f t="shared" si="54"/>
        <v>16.219506172839505</v>
      </c>
      <c r="AM300">
        <f t="shared" si="55"/>
        <v>22.063718637037034</v>
      </c>
      <c r="AP300" s="9"/>
      <c r="AQ300" s="21">
        <v>0.32974199999999998</v>
      </c>
      <c r="AR300" s="21">
        <v>26.8704</v>
      </c>
      <c r="AS300" s="21">
        <v>-1.40442E-2</v>
      </c>
      <c r="AT300" s="21">
        <v>290</v>
      </c>
      <c r="AU300" s="21">
        <v>0.32919300000000001</v>
      </c>
      <c r="AV300">
        <f t="shared" si="56"/>
        <v>17.338518518518516</v>
      </c>
      <c r="AW300">
        <f t="shared" si="57"/>
        <v>5.7172377733333324</v>
      </c>
      <c r="AX300" s="9"/>
      <c r="AY300" s="21">
        <v>1.36032</v>
      </c>
      <c r="AZ300" s="21">
        <v>30.6694</v>
      </c>
      <c r="BA300" s="21">
        <v>-1.3214099999999999E-2</v>
      </c>
      <c r="BB300" s="21">
        <v>290</v>
      </c>
      <c r="BC300" s="21">
        <v>1.3595600000000001</v>
      </c>
      <c r="BD300">
        <f t="shared" si="58"/>
        <v>16.313703703703702</v>
      </c>
      <c r="BE300">
        <f t="shared" si="59"/>
        <v>22.19185742222222</v>
      </c>
    </row>
    <row r="301" spans="6:57" x14ac:dyDescent="0.25">
      <c r="F301" s="9"/>
      <c r="G301" s="21">
        <v>0.32470700000000002</v>
      </c>
      <c r="H301" s="21">
        <v>8.3029899999999994</v>
      </c>
      <c r="I301" s="21">
        <v>-1.4175399999999999E-2</v>
      </c>
      <c r="J301" s="21">
        <v>291</v>
      </c>
      <c r="K301" s="21">
        <v>0.32418799999999998</v>
      </c>
      <c r="L301">
        <f t="shared" si="48"/>
        <v>17.500493827160494</v>
      </c>
      <c r="M301">
        <f t="shared" si="49"/>
        <v>5.6825328491358027</v>
      </c>
      <c r="N301" s="9"/>
      <c r="O301" s="21">
        <v>1.3653599999999999</v>
      </c>
      <c r="P301" s="21">
        <v>12.102</v>
      </c>
      <c r="Q301" s="21">
        <v>-1.32263E-2</v>
      </c>
      <c r="R301" s="21">
        <v>291</v>
      </c>
      <c r="S301" s="21">
        <v>1.3644400000000001</v>
      </c>
      <c r="T301">
        <f t="shared" si="50"/>
        <v>16.328765432098766</v>
      </c>
      <c r="U301">
        <f t="shared" si="51"/>
        <v>22.294643170370371</v>
      </c>
      <c r="X301" s="9"/>
      <c r="Y301" s="21">
        <v>1.3653599999999999</v>
      </c>
      <c r="Z301" s="21">
        <v>12.102</v>
      </c>
      <c r="AA301" s="21">
        <v>-1.32263E-2</v>
      </c>
      <c r="AB301" s="21">
        <v>291</v>
      </c>
      <c r="AC301" s="21">
        <v>1.3644400000000001</v>
      </c>
      <c r="AD301">
        <f t="shared" si="52"/>
        <v>16.328765432098766</v>
      </c>
      <c r="AE301">
        <f t="shared" si="53"/>
        <v>22.294643170370371</v>
      </c>
      <c r="AF301" s="9"/>
      <c r="AG301" s="21">
        <v>1.3653599999999999</v>
      </c>
      <c r="AH301" s="21">
        <v>21.401299999999999</v>
      </c>
      <c r="AI301" s="21">
        <v>-1.3125599999999999E-2</v>
      </c>
      <c r="AJ301" s="21">
        <v>291</v>
      </c>
      <c r="AK301" s="21">
        <v>1.3647499999999999</v>
      </c>
      <c r="AL301">
        <f t="shared" si="54"/>
        <v>16.204444444444441</v>
      </c>
      <c r="AM301">
        <f t="shared" si="55"/>
        <v>22.124900266666661</v>
      </c>
      <c r="AP301" s="9"/>
      <c r="AQ301" s="21">
        <v>0.32470700000000002</v>
      </c>
      <c r="AR301" s="21">
        <v>26.880400000000002</v>
      </c>
      <c r="AS301" s="21">
        <v>-1.40381E-2</v>
      </c>
      <c r="AT301" s="21">
        <v>291</v>
      </c>
      <c r="AU301" s="21">
        <v>0.32430999999999999</v>
      </c>
      <c r="AV301">
        <f t="shared" si="56"/>
        <v>17.330987654320985</v>
      </c>
      <c r="AW301">
        <f t="shared" si="57"/>
        <v>5.6274930082716041</v>
      </c>
      <c r="AX301" s="9"/>
      <c r="AY301" s="21">
        <v>1.3653599999999999</v>
      </c>
      <c r="AZ301" s="21">
        <v>30.679500000000001</v>
      </c>
      <c r="BA301" s="21">
        <v>-1.3195800000000001E-2</v>
      </c>
      <c r="BB301" s="21">
        <v>291</v>
      </c>
      <c r="BC301" s="21">
        <v>1.3650500000000001</v>
      </c>
      <c r="BD301">
        <f t="shared" si="58"/>
        <v>16.29111111111111</v>
      </c>
      <c r="BE301">
        <f t="shared" si="59"/>
        <v>22.243231466666664</v>
      </c>
    </row>
    <row r="302" spans="6:57" x14ac:dyDescent="0.25">
      <c r="F302" s="9"/>
      <c r="G302" s="21">
        <v>0.31967200000000001</v>
      </c>
      <c r="H302" s="21">
        <v>8.3130600000000001</v>
      </c>
      <c r="I302" s="21">
        <v>-1.4175399999999999E-2</v>
      </c>
      <c r="J302" s="21">
        <v>292</v>
      </c>
      <c r="K302" s="21">
        <v>0.31906099999999998</v>
      </c>
      <c r="L302">
        <f t="shared" si="48"/>
        <v>17.500493827160494</v>
      </c>
      <c r="M302">
        <f t="shared" si="49"/>
        <v>5.5944178627160497</v>
      </c>
      <c r="N302" s="9"/>
      <c r="O302" s="21">
        <v>1.37039</v>
      </c>
      <c r="P302" s="21">
        <v>12.1121</v>
      </c>
      <c r="Q302" s="21">
        <v>-1.3207999999999999E-2</v>
      </c>
      <c r="R302" s="21">
        <v>292</v>
      </c>
      <c r="S302" s="21">
        <v>1.3699300000000001</v>
      </c>
      <c r="T302">
        <f t="shared" si="50"/>
        <v>16.306172839506171</v>
      </c>
      <c r="U302">
        <f t="shared" si="51"/>
        <v>22.345816197530862</v>
      </c>
      <c r="X302" s="9"/>
      <c r="Y302" s="21">
        <v>1.37039</v>
      </c>
      <c r="Z302" s="21">
        <v>12.1121</v>
      </c>
      <c r="AA302" s="21">
        <v>-1.3207999999999999E-2</v>
      </c>
      <c r="AB302" s="21">
        <v>292</v>
      </c>
      <c r="AC302" s="21">
        <v>1.3699300000000001</v>
      </c>
      <c r="AD302">
        <f t="shared" si="52"/>
        <v>16.306172839506171</v>
      </c>
      <c r="AE302">
        <f t="shared" si="53"/>
        <v>22.345816197530862</v>
      </c>
      <c r="AF302" s="9"/>
      <c r="AG302" s="21">
        <v>1.37039</v>
      </c>
      <c r="AH302" s="21">
        <v>21.411300000000001</v>
      </c>
      <c r="AI302" s="21">
        <v>-1.3125599999999999E-2</v>
      </c>
      <c r="AJ302" s="21">
        <v>292</v>
      </c>
      <c r="AK302" s="21">
        <v>1.3696299999999999</v>
      </c>
      <c r="AL302">
        <f t="shared" si="54"/>
        <v>16.204444444444441</v>
      </c>
      <c r="AM302">
        <f t="shared" si="55"/>
        <v>22.206408622222217</v>
      </c>
      <c r="AP302" s="9"/>
      <c r="AQ302" s="21">
        <v>0.31967200000000001</v>
      </c>
      <c r="AR302" s="21">
        <v>26.890499999999999</v>
      </c>
      <c r="AS302" s="21">
        <v>-1.4041100000000001E-2</v>
      </c>
      <c r="AT302" s="21">
        <v>292</v>
      </c>
      <c r="AU302" s="21">
        <v>0.31912200000000002</v>
      </c>
      <c r="AV302">
        <f t="shared" si="56"/>
        <v>17.334691358024692</v>
      </c>
      <c r="AW302">
        <f t="shared" si="57"/>
        <v>5.5414154558024693</v>
      </c>
      <c r="AX302" s="9"/>
      <c r="AY302" s="21">
        <v>1.37039</v>
      </c>
      <c r="AZ302" s="21">
        <v>30.689599999999999</v>
      </c>
      <c r="BA302" s="21">
        <v>-1.3174399999999999E-2</v>
      </c>
      <c r="BB302" s="21">
        <v>292</v>
      </c>
      <c r="BC302" s="21">
        <v>1.3696299999999999</v>
      </c>
      <c r="BD302">
        <f t="shared" si="58"/>
        <v>16.264691358024692</v>
      </c>
      <c r="BE302">
        <f t="shared" si="59"/>
        <v>22.288970390123456</v>
      </c>
    </row>
    <row r="303" spans="6:57" x14ac:dyDescent="0.25">
      <c r="F303" s="9"/>
      <c r="G303" s="21">
        <v>0.31463600000000003</v>
      </c>
      <c r="H303" s="21">
        <v>8.3231300000000008</v>
      </c>
      <c r="I303" s="21">
        <v>-1.41724E-2</v>
      </c>
      <c r="J303" s="21">
        <v>293</v>
      </c>
      <c r="K303" s="21">
        <v>0.31399500000000002</v>
      </c>
      <c r="L303">
        <f t="shared" si="48"/>
        <v>17.496790123456787</v>
      </c>
      <c r="M303">
        <f t="shared" si="49"/>
        <v>5.5051200572839498</v>
      </c>
      <c r="N303" s="9"/>
      <c r="O303" s="21">
        <v>1.3754299999999999</v>
      </c>
      <c r="P303" s="21">
        <v>12.122199999999999</v>
      </c>
      <c r="Q303" s="21">
        <v>-1.31866E-2</v>
      </c>
      <c r="R303" s="21">
        <v>293</v>
      </c>
      <c r="S303" s="21">
        <v>1.3748199999999999</v>
      </c>
      <c r="T303">
        <f t="shared" si="50"/>
        <v>16.279753086419749</v>
      </c>
      <c r="U303">
        <f t="shared" si="51"/>
        <v>22.391660787654313</v>
      </c>
      <c r="X303" s="9"/>
      <c r="Y303" s="21">
        <v>1.3754299999999999</v>
      </c>
      <c r="Z303" s="21">
        <v>12.122199999999999</v>
      </c>
      <c r="AA303" s="21">
        <v>-1.31866E-2</v>
      </c>
      <c r="AB303" s="21">
        <v>293</v>
      </c>
      <c r="AC303" s="21">
        <v>1.3748199999999999</v>
      </c>
      <c r="AD303">
        <f t="shared" si="52"/>
        <v>16.279753086419749</v>
      </c>
      <c r="AE303">
        <f t="shared" si="53"/>
        <v>22.391660787654313</v>
      </c>
      <c r="AF303" s="9"/>
      <c r="AG303" s="21">
        <v>1.3754299999999999</v>
      </c>
      <c r="AH303" s="21">
        <v>21.421399999999998</v>
      </c>
      <c r="AI303" s="21">
        <v>-1.31165E-2</v>
      </c>
      <c r="AJ303" s="21">
        <v>293</v>
      </c>
      <c r="AK303" s="21">
        <v>1.3742099999999999</v>
      </c>
      <c r="AL303">
        <f t="shared" si="54"/>
        <v>16.193209876543211</v>
      </c>
      <c r="AM303">
        <f t="shared" si="55"/>
        <v>22.272626660493827</v>
      </c>
      <c r="AP303" s="9"/>
      <c r="AQ303" s="21">
        <v>0.31463600000000003</v>
      </c>
      <c r="AR303" s="21">
        <v>26.900600000000001</v>
      </c>
      <c r="AS303" s="21">
        <v>-1.4047199999999999E-2</v>
      </c>
      <c r="AT303" s="21">
        <v>293</v>
      </c>
      <c r="AU303" s="21">
        <v>0.31402600000000003</v>
      </c>
      <c r="AV303">
        <f t="shared" si="56"/>
        <v>17.342222222222222</v>
      </c>
      <c r="AW303">
        <f t="shared" si="57"/>
        <v>5.4564874311111113</v>
      </c>
      <c r="AX303" s="9"/>
      <c r="AY303" s="21">
        <v>1.3754299999999999</v>
      </c>
      <c r="AZ303" s="21">
        <v>30.6996</v>
      </c>
      <c r="BA303" s="21">
        <v>-1.3153099999999999E-2</v>
      </c>
      <c r="BB303" s="21">
        <v>293</v>
      </c>
      <c r="BC303" s="21">
        <v>1.3745099999999999</v>
      </c>
      <c r="BD303">
        <f t="shared" si="58"/>
        <v>16.238395061728394</v>
      </c>
      <c r="BE303">
        <f t="shared" si="59"/>
        <v>22.334775719753083</v>
      </c>
    </row>
    <row r="304" spans="6:57" x14ac:dyDescent="0.25">
      <c r="F304" s="9"/>
      <c r="G304" s="21">
        <v>0.30960100000000002</v>
      </c>
      <c r="H304" s="21">
        <v>8.3331999999999997</v>
      </c>
      <c r="I304" s="21">
        <v>-1.4157100000000001E-2</v>
      </c>
      <c r="J304" s="21">
        <v>294</v>
      </c>
      <c r="K304" s="21">
        <v>0.30908200000000002</v>
      </c>
      <c r="L304">
        <f t="shared" si="48"/>
        <v>17.477901234567902</v>
      </c>
      <c r="M304">
        <f t="shared" si="49"/>
        <v>5.4111757001234571</v>
      </c>
      <c r="N304" s="9"/>
      <c r="O304" s="21">
        <v>1.38046</v>
      </c>
      <c r="P304" s="21">
        <v>12.132199999999999</v>
      </c>
      <c r="Q304" s="21">
        <v>-1.3159199999999999E-2</v>
      </c>
      <c r="R304" s="21">
        <v>294</v>
      </c>
      <c r="S304" s="21">
        <v>1.3796999999999999</v>
      </c>
      <c r="T304">
        <f t="shared" si="50"/>
        <v>16.245925925925924</v>
      </c>
      <c r="U304">
        <f t="shared" si="51"/>
        <v>22.426850903703702</v>
      </c>
      <c r="X304" s="9"/>
      <c r="Y304" s="21">
        <v>1.38046</v>
      </c>
      <c r="Z304" s="21">
        <v>12.132199999999999</v>
      </c>
      <c r="AA304" s="21">
        <v>-1.3159199999999999E-2</v>
      </c>
      <c r="AB304" s="21">
        <v>294</v>
      </c>
      <c r="AC304" s="21">
        <v>1.3796999999999999</v>
      </c>
      <c r="AD304">
        <f t="shared" si="52"/>
        <v>16.245925925925924</v>
      </c>
      <c r="AE304">
        <f t="shared" si="53"/>
        <v>22.426850903703702</v>
      </c>
      <c r="AF304" s="9"/>
      <c r="AG304" s="21">
        <v>1.38046</v>
      </c>
      <c r="AH304" s="21">
        <v>21.4315</v>
      </c>
      <c r="AI304" s="21">
        <v>-1.30981E-2</v>
      </c>
      <c r="AJ304" s="21">
        <v>294</v>
      </c>
      <c r="AK304" s="21">
        <v>1.3796999999999999</v>
      </c>
      <c r="AL304">
        <f t="shared" si="54"/>
        <v>16.170493827160495</v>
      </c>
      <c r="AM304">
        <f t="shared" si="55"/>
        <v>22.322719908641979</v>
      </c>
      <c r="AP304" s="9"/>
      <c r="AQ304" s="21">
        <v>0.30960100000000002</v>
      </c>
      <c r="AR304" s="21">
        <v>26.910599999999999</v>
      </c>
      <c r="AS304" s="21">
        <v>-1.4053299999999999E-2</v>
      </c>
      <c r="AT304" s="21">
        <v>294</v>
      </c>
      <c r="AU304" s="21">
        <v>0.30905199999999999</v>
      </c>
      <c r="AV304">
        <f t="shared" si="56"/>
        <v>17.349753086419753</v>
      </c>
      <c r="AW304">
        <f t="shared" si="57"/>
        <v>5.3715009053086424</v>
      </c>
      <c r="AX304" s="9"/>
      <c r="AY304" s="21">
        <v>1.38046</v>
      </c>
      <c r="AZ304" s="21">
        <v>30.709700000000002</v>
      </c>
      <c r="BA304" s="21">
        <v>-1.31378E-2</v>
      </c>
      <c r="BB304" s="21">
        <v>294</v>
      </c>
      <c r="BC304" s="21">
        <v>1.3793899999999999</v>
      </c>
      <c r="BD304">
        <f t="shared" si="58"/>
        <v>16.219506172839505</v>
      </c>
      <c r="BE304">
        <f t="shared" si="59"/>
        <v>22.390379491358026</v>
      </c>
    </row>
    <row r="305" spans="6:57" x14ac:dyDescent="0.25">
      <c r="F305" s="9"/>
      <c r="G305" s="21">
        <v>0.30456499999999997</v>
      </c>
      <c r="H305" s="21">
        <v>8.3432700000000004</v>
      </c>
      <c r="I305" s="21">
        <v>-1.41388E-2</v>
      </c>
      <c r="J305" s="21">
        <v>295</v>
      </c>
      <c r="K305" s="21">
        <v>0.30386400000000002</v>
      </c>
      <c r="L305">
        <f t="shared" si="48"/>
        <v>17.455308641975307</v>
      </c>
      <c r="M305">
        <f t="shared" si="49"/>
        <v>5.3162760765432093</v>
      </c>
      <c r="N305" s="9"/>
      <c r="O305" s="21">
        <v>1.3855</v>
      </c>
      <c r="P305" s="21">
        <v>12.142300000000001</v>
      </c>
      <c r="Q305" s="21">
        <v>-1.31348E-2</v>
      </c>
      <c r="R305" s="21">
        <v>295</v>
      </c>
      <c r="S305" s="21">
        <v>1.3845799999999999</v>
      </c>
      <c r="T305">
        <f t="shared" si="50"/>
        <v>16.215802469135802</v>
      </c>
      <c r="U305">
        <f t="shared" si="51"/>
        <v>22.466994320987652</v>
      </c>
      <c r="X305" s="9"/>
      <c r="Y305" s="21">
        <v>1.3855</v>
      </c>
      <c r="Z305" s="21">
        <v>12.142300000000001</v>
      </c>
      <c r="AA305" s="21">
        <v>-1.31348E-2</v>
      </c>
      <c r="AB305" s="21">
        <v>295</v>
      </c>
      <c r="AC305" s="21">
        <v>1.3845799999999999</v>
      </c>
      <c r="AD305">
        <f t="shared" si="52"/>
        <v>16.215802469135802</v>
      </c>
      <c r="AE305">
        <f t="shared" si="53"/>
        <v>22.466994320987652</v>
      </c>
      <c r="AF305" s="9"/>
      <c r="AG305" s="21">
        <v>1.3855</v>
      </c>
      <c r="AH305" s="21">
        <v>21.441500000000001</v>
      </c>
      <c r="AI305" s="21">
        <v>-1.30676E-2</v>
      </c>
      <c r="AJ305" s="21">
        <v>295</v>
      </c>
      <c r="AK305" s="21">
        <v>1.3851899999999999</v>
      </c>
      <c r="AL305">
        <f t="shared" si="54"/>
        <v>16.132839506172839</v>
      </c>
      <c r="AM305">
        <f t="shared" si="55"/>
        <v>22.352049135802467</v>
      </c>
      <c r="AP305" s="9"/>
      <c r="AQ305" s="21">
        <v>0.30456499999999997</v>
      </c>
      <c r="AR305" s="21">
        <v>26.9207</v>
      </c>
      <c r="AS305" s="21">
        <v>-1.40564E-2</v>
      </c>
      <c r="AT305" s="21">
        <v>295</v>
      </c>
      <c r="AU305" s="21">
        <v>0.30407699999999999</v>
      </c>
      <c r="AV305">
        <f t="shared" si="56"/>
        <v>17.35358024691358</v>
      </c>
      <c r="AW305">
        <f t="shared" si="57"/>
        <v>5.2852931679012345</v>
      </c>
      <c r="AX305" s="9"/>
      <c r="AY305" s="21">
        <v>1.3855</v>
      </c>
      <c r="AZ305" s="21">
        <v>30.719799999999999</v>
      </c>
      <c r="BA305" s="21">
        <v>-1.3110399999999999E-2</v>
      </c>
      <c r="BB305" s="21">
        <v>295</v>
      </c>
      <c r="BC305" s="21">
        <v>1.38428</v>
      </c>
      <c r="BD305">
        <f t="shared" si="58"/>
        <v>16.185679012345677</v>
      </c>
      <c r="BE305">
        <f t="shared" si="59"/>
        <v>22.425258271604935</v>
      </c>
    </row>
    <row r="306" spans="6:57" x14ac:dyDescent="0.25">
      <c r="F306" s="9"/>
      <c r="G306" s="21">
        <v>0.29953000000000002</v>
      </c>
      <c r="H306" s="21">
        <v>8.3533399999999993</v>
      </c>
      <c r="I306" s="21">
        <v>-1.41388E-2</v>
      </c>
      <c r="J306" s="21">
        <v>296</v>
      </c>
      <c r="K306" s="21">
        <v>0.29882799999999998</v>
      </c>
      <c r="L306">
        <f t="shared" si="48"/>
        <v>17.455308641975307</v>
      </c>
      <c r="M306">
        <f t="shared" si="49"/>
        <v>5.2283885975308637</v>
      </c>
      <c r="N306" s="9"/>
      <c r="O306" s="21">
        <v>1.39053</v>
      </c>
      <c r="P306" s="21">
        <v>12.1524</v>
      </c>
      <c r="Q306" s="21">
        <v>-1.3110399999999999E-2</v>
      </c>
      <c r="R306" s="21">
        <v>296</v>
      </c>
      <c r="S306" s="21">
        <v>1.38947</v>
      </c>
      <c r="T306">
        <f t="shared" si="50"/>
        <v>16.185679012345677</v>
      </c>
      <c r="U306">
        <f t="shared" si="51"/>
        <v>22.506672237037034</v>
      </c>
      <c r="X306" s="9"/>
      <c r="Y306" s="21">
        <v>1.39053</v>
      </c>
      <c r="Z306" s="21">
        <v>12.1524</v>
      </c>
      <c r="AA306" s="21">
        <v>-1.3110399999999999E-2</v>
      </c>
      <c r="AB306" s="21">
        <v>296</v>
      </c>
      <c r="AC306" s="21">
        <v>1.38947</v>
      </c>
      <c r="AD306">
        <f t="shared" si="52"/>
        <v>16.185679012345677</v>
      </c>
      <c r="AE306">
        <f t="shared" si="53"/>
        <v>22.506672237037034</v>
      </c>
      <c r="AF306" s="9"/>
      <c r="AG306" s="21">
        <v>1.39053</v>
      </c>
      <c r="AH306" s="21">
        <v>21.451599999999999</v>
      </c>
      <c r="AI306" s="21">
        <v>-1.30341E-2</v>
      </c>
      <c r="AJ306" s="21">
        <v>296</v>
      </c>
      <c r="AK306" s="21">
        <v>1.38947</v>
      </c>
      <c r="AL306">
        <f t="shared" si="54"/>
        <v>16.09148148148148</v>
      </c>
      <c r="AM306">
        <f t="shared" si="55"/>
        <v>22.375687744444445</v>
      </c>
      <c r="AP306" s="9"/>
      <c r="AQ306" s="21">
        <v>0.29953000000000002</v>
      </c>
      <c r="AR306" s="21">
        <v>26.930800000000001</v>
      </c>
      <c r="AS306" s="21">
        <v>-1.40594E-2</v>
      </c>
      <c r="AT306" s="21">
        <v>296</v>
      </c>
      <c r="AU306" s="21">
        <v>0.29885899999999999</v>
      </c>
      <c r="AV306">
        <f t="shared" si="56"/>
        <v>17.357283950617283</v>
      </c>
      <c r="AW306">
        <f t="shared" si="57"/>
        <v>5.1990272617283955</v>
      </c>
      <c r="AX306" s="9"/>
      <c r="AY306" s="21">
        <v>1.39053</v>
      </c>
      <c r="AZ306" s="21">
        <v>30.729800000000001</v>
      </c>
      <c r="BA306" s="21">
        <v>-1.3085899999999999E-2</v>
      </c>
      <c r="BB306" s="21">
        <v>296</v>
      </c>
      <c r="BC306" s="21">
        <v>1.3897699999999999</v>
      </c>
      <c r="BD306">
        <f t="shared" si="58"/>
        <v>16.155432098765431</v>
      </c>
      <c r="BE306">
        <f t="shared" si="59"/>
        <v>22.464612996296296</v>
      </c>
    </row>
    <row r="307" spans="6:57" x14ac:dyDescent="0.25">
      <c r="F307" s="9"/>
      <c r="G307" s="21">
        <v>0.29449500000000001</v>
      </c>
      <c r="H307" s="21">
        <v>8.36341</v>
      </c>
      <c r="I307" s="21">
        <v>-1.41388E-2</v>
      </c>
      <c r="J307" s="21">
        <v>297</v>
      </c>
      <c r="K307" s="21">
        <v>0.293823</v>
      </c>
      <c r="L307">
        <f t="shared" si="48"/>
        <v>17.455308641975307</v>
      </c>
      <c r="M307">
        <f t="shared" si="49"/>
        <v>5.1405011185185181</v>
      </c>
      <c r="N307" s="9"/>
      <c r="O307" s="21">
        <v>1.39557</v>
      </c>
      <c r="P307" s="21">
        <v>12.1625</v>
      </c>
      <c r="Q307" s="21">
        <v>-1.3091999999999999E-2</v>
      </c>
      <c r="R307" s="21">
        <v>297</v>
      </c>
      <c r="S307" s="21">
        <v>1.3940399999999999</v>
      </c>
      <c r="T307">
        <f t="shared" si="50"/>
        <v>16.162962962962961</v>
      </c>
      <c r="U307">
        <f t="shared" si="51"/>
        <v>22.55654622222222</v>
      </c>
      <c r="X307" s="9"/>
      <c r="Y307" s="21">
        <v>1.39557</v>
      </c>
      <c r="Z307" s="21">
        <v>12.1625</v>
      </c>
      <c r="AA307" s="21">
        <v>-1.3091999999999999E-2</v>
      </c>
      <c r="AB307" s="21">
        <v>297</v>
      </c>
      <c r="AC307" s="21">
        <v>1.3940399999999999</v>
      </c>
      <c r="AD307">
        <f t="shared" si="52"/>
        <v>16.162962962962961</v>
      </c>
      <c r="AE307">
        <f t="shared" si="53"/>
        <v>22.55654622222222</v>
      </c>
      <c r="AF307" s="9"/>
      <c r="AG307" s="21">
        <v>1.39557</v>
      </c>
      <c r="AH307" s="21">
        <v>21.4617</v>
      </c>
      <c r="AI307" s="21">
        <v>-1.3003499999999999E-2</v>
      </c>
      <c r="AJ307" s="21">
        <v>297</v>
      </c>
      <c r="AK307" s="21">
        <v>1.39496</v>
      </c>
      <c r="AL307">
        <f t="shared" si="54"/>
        <v>16.0537037037037</v>
      </c>
      <c r="AM307">
        <f t="shared" si="55"/>
        <v>22.404067277777774</v>
      </c>
      <c r="AP307" s="9"/>
      <c r="AQ307" s="21">
        <v>0.29449500000000001</v>
      </c>
      <c r="AR307" s="21">
        <v>26.940899999999999</v>
      </c>
      <c r="AS307" s="21">
        <v>-1.40594E-2</v>
      </c>
      <c r="AT307" s="21">
        <v>297</v>
      </c>
      <c r="AU307" s="21">
        <v>0.29376200000000002</v>
      </c>
      <c r="AV307">
        <f t="shared" si="56"/>
        <v>17.357283950617283</v>
      </c>
      <c r="AW307">
        <f t="shared" si="57"/>
        <v>5.1116333370370368</v>
      </c>
      <c r="AX307" s="9"/>
      <c r="AY307" s="21">
        <v>1.39557</v>
      </c>
      <c r="AZ307" s="21">
        <v>30.739899999999999</v>
      </c>
      <c r="BA307" s="21">
        <v>-1.3064600000000001E-2</v>
      </c>
      <c r="BB307" s="21">
        <v>297</v>
      </c>
      <c r="BC307" s="21">
        <v>1.3952599999999999</v>
      </c>
      <c r="BD307">
        <f t="shared" si="58"/>
        <v>16.129135802469136</v>
      </c>
      <c r="BE307">
        <f t="shared" si="59"/>
        <v>22.509338051851852</v>
      </c>
    </row>
    <row r="308" spans="6:57" x14ac:dyDescent="0.25">
      <c r="F308" s="9"/>
      <c r="G308" s="21">
        <v>0.28945900000000002</v>
      </c>
      <c r="H308" s="21">
        <v>8.3734800000000007</v>
      </c>
      <c r="I308" s="21">
        <v>-1.41418E-2</v>
      </c>
      <c r="J308" s="21">
        <v>298</v>
      </c>
      <c r="K308" s="21">
        <v>0.28891</v>
      </c>
      <c r="L308">
        <f t="shared" si="48"/>
        <v>17.45901234567901</v>
      </c>
      <c r="M308">
        <f t="shared" si="49"/>
        <v>5.053668254567901</v>
      </c>
      <c r="N308" s="9"/>
      <c r="O308" s="21">
        <v>1.4006000000000001</v>
      </c>
      <c r="P308" s="21">
        <v>12.172499999999999</v>
      </c>
      <c r="Q308" s="21">
        <v>-1.3079800000000001E-2</v>
      </c>
      <c r="R308" s="21">
        <v>298</v>
      </c>
      <c r="S308" s="21">
        <v>1.39984</v>
      </c>
      <c r="T308">
        <f t="shared" si="50"/>
        <v>16.147901234567904</v>
      </c>
      <c r="U308">
        <f t="shared" si="51"/>
        <v>22.616750469135805</v>
      </c>
      <c r="X308" s="9"/>
      <c r="Y308" s="21">
        <v>1.4006000000000001</v>
      </c>
      <c r="Z308" s="21">
        <v>12.172499999999999</v>
      </c>
      <c r="AA308" s="21">
        <v>-1.3079800000000001E-2</v>
      </c>
      <c r="AB308" s="21">
        <v>298</v>
      </c>
      <c r="AC308" s="21">
        <v>1.39984</v>
      </c>
      <c r="AD308">
        <f t="shared" si="52"/>
        <v>16.147901234567904</v>
      </c>
      <c r="AE308">
        <f t="shared" si="53"/>
        <v>22.616750469135805</v>
      </c>
      <c r="AF308" s="9"/>
      <c r="AG308" s="21">
        <v>1.4006000000000001</v>
      </c>
      <c r="AH308" s="21">
        <v>21.471699999999998</v>
      </c>
      <c r="AI308" s="21">
        <v>-1.2970000000000001E-2</v>
      </c>
      <c r="AJ308" s="21">
        <v>298</v>
      </c>
      <c r="AK308" s="21">
        <v>1.39984</v>
      </c>
      <c r="AL308">
        <f t="shared" si="54"/>
        <v>16.012345679012348</v>
      </c>
      <c r="AM308">
        <f t="shared" si="55"/>
        <v>22.426891358024697</v>
      </c>
      <c r="AP308" s="9"/>
      <c r="AQ308" s="21">
        <v>0.28945900000000002</v>
      </c>
      <c r="AR308" s="21">
        <v>26.950900000000001</v>
      </c>
      <c r="AS308" s="21">
        <v>-1.40594E-2</v>
      </c>
      <c r="AT308" s="21">
        <v>298</v>
      </c>
      <c r="AU308" s="21">
        <v>0.28872700000000001</v>
      </c>
      <c r="AV308">
        <f t="shared" si="56"/>
        <v>17.357283950617283</v>
      </c>
      <c r="AW308">
        <f t="shared" si="57"/>
        <v>5.0242220550617285</v>
      </c>
      <c r="AX308" s="9"/>
      <c r="AY308" s="21">
        <v>1.4006000000000001</v>
      </c>
      <c r="AZ308" s="21">
        <v>30.75</v>
      </c>
      <c r="BA308" s="21">
        <v>-1.30402E-2</v>
      </c>
      <c r="BB308" s="21">
        <v>298</v>
      </c>
      <c r="BC308" s="21">
        <v>1.40045</v>
      </c>
      <c r="BD308">
        <f t="shared" si="58"/>
        <v>16.099012345679011</v>
      </c>
      <c r="BE308">
        <f t="shared" si="59"/>
        <v>22.548276691358023</v>
      </c>
    </row>
    <row r="309" spans="6:57" x14ac:dyDescent="0.25">
      <c r="F309" s="9"/>
      <c r="G309" s="21">
        <v>0.28442400000000001</v>
      </c>
      <c r="H309" s="21">
        <v>8.3835599999999992</v>
      </c>
      <c r="I309" s="21">
        <v>-1.41449E-2</v>
      </c>
      <c r="J309" s="21">
        <v>299</v>
      </c>
      <c r="K309" s="21">
        <v>0.28384399999999999</v>
      </c>
      <c r="L309">
        <f t="shared" si="48"/>
        <v>17.462839506172838</v>
      </c>
      <c r="M309">
        <f t="shared" si="49"/>
        <v>4.9668506637037035</v>
      </c>
      <c r="N309" s="9"/>
      <c r="O309" s="21">
        <v>1.40564</v>
      </c>
      <c r="P309" s="21">
        <v>12.182600000000001</v>
      </c>
      <c r="Q309" s="21">
        <v>-1.30554E-2</v>
      </c>
      <c r="R309" s="21">
        <v>299</v>
      </c>
      <c r="S309" s="21">
        <v>1.40503</v>
      </c>
      <c r="T309">
        <f t="shared" si="50"/>
        <v>16.117777777777775</v>
      </c>
      <c r="U309">
        <f t="shared" si="51"/>
        <v>22.65579315555555</v>
      </c>
      <c r="X309" s="9"/>
      <c r="Y309" s="21">
        <v>1.40564</v>
      </c>
      <c r="Z309" s="21">
        <v>12.182600000000001</v>
      </c>
      <c r="AA309" s="21">
        <v>-1.30554E-2</v>
      </c>
      <c r="AB309" s="21">
        <v>299</v>
      </c>
      <c r="AC309" s="21">
        <v>1.40503</v>
      </c>
      <c r="AD309">
        <f t="shared" si="52"/>
        <v>16.117777777777775</v>
      </c>
      <c r="AE309">
        <f t="shared" si="53"/>
        <v>22.65579315555555</v>
      </c>
      <c r="AF309" s="9"/>
      <c r="AG309" s="21">
        <v>1.40564</v>
      </c>
      <c r="AH309" s="21">
        <v>21.4818</v>
      </c>
      <c r="AI309" s="21">
        <v>-1.2948599999999999E-2</v>
      </c>
      <c r="AJ309" s="21">
        <v>299</v>
      </c>
      <c r="AK309" s="21">
        <v>1.40533</v>
      </c>
      <c r="AL309">
        <f t="shared" si="54"/>
        <v>15.985925925925924</v>
      </c>
      <c r="AM309">
        <f t="shared" si="55"/>
        <v>22.470456918518515</v>
      </c>
      <c r="AP309" s="9"/>
      <c r="AQ309" s="21">
        <v>0.28442400000000001</v>
      </c>
      <c r="AR309" s="21">
        <v>26.960999999999999</v>
      </c>
      <c r="AS309" s="21">
        <v>-1.40564E-2</v>
      </c>
      <c r="AT309" s="21">
        <v>299</v>
      </c>
      <c r="AU309" s="21">
        <v>0.28384399999999999</v>
      </c>
      <c r="AV309">
        <f t="shared" si="56"/>
        <v>17.35358024691358</v>
      </c>
      <c r="AW309">
        <f t="shared" si="57"/>
        <v>4.9357747081481484</v>
      </c>
      <c r="AX309" s="9"/>
      <c r="AY309" s="21">
        <v>1.40564</v>
      </c>
      <c r="AZ309" s="21">
        <v>30.76</v>
      </c>
      <c r="BA309" s="21">
        <v>-1.30096E-2</v>
      </c>
      <c r="BB309" s="21">
        <v>299</v>
      </c>
      <c r="BC309" s="21">
        <v>1.40503</v>
      </c>
      <c r="BD309">
        <f t="shared" si="58"/>
        <v>16.061234567901234</v>
      </c>
      <c r="BE309">
        <f t="shared" si="59"/>
        <v>22.576313758024693</v>
      </c>
    </row>
    <row r="310" spans="6:57" x14ac:dyDescent="0.25">
      <c r="F310" s="9"/>
      <c r="G310" s="21">
        <v>0.27938800000000003</v>
      </c>
      <c r="H310" s="21">
        <v>8.3936299999999999</v>
      </c>
      <c r="I310" s="21">
        <v>-1.4151E-2</v>
      </c>
      <c r="J310" s="21">
        <v>300</v>
      </c>
      <c r="K310" s="21">
        <v>0.27880899999999997</v>
      </c>
      <c r="L310">
        <f t="shared" si="48"/>
        <v>17.470370370370368</v>
      </c>
      <c r="M310">
        <f t="shared" si="49"/>
        <v>4.881011837037037</v>
      </c>
      <c r="N310" s="9"/>
      <c r="O310" s="21">
        <v>1.4106799999999999</v>
      </c>
      <c r="P310" s="21">
        <v>12.1927</v>
      </c>
      <c r="Q310" s="21">
        <v>-1.3028E-2</v>
      </c>
      <c r="R310" s="21">
        <v>300</v>
      </c>
      <c r="S310" s="21">
        <v>1.41022</v>
      </c>
      <c r="T310">
        <f t="shared" si="50"/>
        <v>16.08395061728395</v>
      </c>
      <c r="U310">
        <f t="shared" si="51"/>
        <v>22.689307456790122</v>
      </c>
      <c r="X310" s="9"/>
      <c r="Y310" s="21">
        <v>1.4106799999999999</v>
      </c>
      <c r="Z310" s="21">
        <v>12.1927</v>
      </c>
      <c r="AA310" s="21">
        <v>-1.3028E-2</v>
      </c>
      <c r="AB310" s="21">
        <v>300</v>
      </c>
      <c r="AC310" s="21">
        <v>1.41022</v>
      </c>
      <c r="AD310">
        <f t="shared" si="52"/>
        <v>16.08395061728395</v>
      </c>
      <c r="AE310">
        <f t="shared" si="53"/>
        <v>22.689307456790122</v>
      </c>
      <c r="AF310" s="9"/>
      <c r="AG310" s="21">
        <v>1.4106799999999999</v>
      </c>
      <c r="AH310" s="21">
        <v>21.491900000000001</v>
      </c>
      <c r="AI310" s="21">
        <v>-1.29272E-2</v>
      </c>
      <c r="AJ310" s="21">
        <v>300</v>
      </c>
      <c r="AK310" s="21">
        <v>1.41022</v>
      </c>
      <c r="AL310">
        <f t="shared" si="54"/>
        <v>15.959506172839506</v>
      </c>
      <c r="AM310">
        <f t="shared" si="55"/>
        <v>22.513756167901231</v>
      </c>
      <c r="AP310" s="9"/>
      <c r="AQ310" s="21">
        <v>0.27938800000000003</v>
      </c>
      <c r="AR310" s="21">
        <v>26.9711</v>
      </c>
      <c r="AS310" s="21">
        <v>-1.40503E-2</v>
      </c>
      <c r="AT310" s="21">
        <v>300</v>
      </c>
      <c r="AU310" s="21">
        <v>0.278839</v>
      </c>
      <c r="AV310">
        <f t="shared" si="56"/>
        <v>17.34604938271605</v>
      </c>
      <c r="AW310">
        <f t="shared" si="57"/>
        <v>4.8462780449382725</v>
      </c>
      <c r="AX310" s="9"/>
      <c r="AY310" s="21">
        <v>1.4106799999999999</v>
      </c>
      <c r="AZ310" s="21">
        <v>30.770099999999999</v>
      </c>
      <c r="BA310" s="21">
        <v>-1.29791E-2</v>
      </c>
      <c r="BB310" s="21">
        <v>300</v>
      </c>
      <c r="BC310" s="21">
        <v>1.40991</v>
      </c>
      <c r="BD310">
        <f t="shared" si="58"/>
        <v>16.023580246913578</v>
      </c>
      <c r="BE310">
        <f t="shared" si="59"/>
        <v>22.604144182716045</v>
      </c>
    </row>
    <row r="311" spans="6:57" x14ac:dyDescent="0.25">
      <c r="F311" s="9"/>
      <c r="G311" s="21">
        <v>0.27435300000000001</v>
      </c>
      <c r="H311" s="21">
        <v>8.4037000000000006</v>
      </c>
      <c r="I311" s="21">
        <v>-1.4157100000000001E-2</v>
      </c>
      <c r="J311" s="21">
        <v>301</v>
      </c>
      <c r="K311" s="21">
        <v>0.27377299999999999</v>
      </c>
      <c r="L311">
        <f t="shared" si="48"/>
        <v>17.477901234567902</v>
      </c>
      <c r="M311">
        <f t="shared" si="49"/>
        <v>4.7951146374074076</v>
      </c>
      <c r="N311" s="9"/>
      <c r="O311" s="21">
        <v>1.41571</v>
      </c>
      <c r="P311" s="21">
        <v>12.2027</v>
      </c>
      <c r="Q311" s="21">
        <v>-1.2991300000000001E-2</v>
      </c>
      <c r="R311" s="21">
        <v>301</v>
      </c>
      <c r="S311" s="21">
        <v>1.41479</v>
      </c>
      <c r="T311">
        <f t="shared" si="50"/>
        <v>16.038641975308643</v>
      </c>
      <c r="U311">
        <f t="shared" si="51"/>
        <v>22.706065830864198</v>
      </c>
      <c r="X311" s="9"/>
      <c r="Y311" s="21">
        <v>1.41571</v>
      </c>
      <c r="Z311" s="21">
        <v>12.2027</v>
      </c>
      <c r="AA311" s="21">
        <v>-1.2991300000000001E-2</v>
      </c>
      <c r="AB311" s="21">
        <v>301</v>
      </c>
      <c r="AC311" s="21">
        <v>1.41479</v>
      </c>
      <c r="AD311">
        <f t="shared" si="52"/>
        <v>16.038641975308643</v>
      </c>
      <c r="AE311">
        <f t="shared" si="53"/>
        <v>22.706065830864198</v>
      </c>
      <c r="AF311" s="9"/>
      <c r="AG311" s="21">
        <v>1.41571</v>
      </c>
      <c r="AH311" s="21">
        <v>21.501999999999999</v>
      </c>
      <c r="AI311" s="21">
        <v>-1.2912E-2</v>
      </c>
      <c r="AJ311" s="21">
        <v>301</v>
      </c>
      <c r="AK311" s="21">
        <v>1.4151</v>
      </c>
      <c r="AL311">
        <f t="shared" si="54"/>
        <v>15.940740740740738</v>
      </c>
      <c r="AM311">
        <f t="shared" si="55"/>
        <v>22.567466074074069</v>
      </c>
      <c r="AP311" s="9"/>
      <c r="AQ311" s="21">
        <v>0.27435300000000001</v>
      </c>
      <c r="AR311" s="21">
        <v>26.981100000000001</v>
      </c>
      <c r="AS311" s="21">
        <v>-1.40503E-2</v>
      </c>
      <c r="AT311" s="21">
        <v>301</v>
      </c>
      <c r="AU311" s="21">
        <v>0.27380399999999999</v>
      </c>
      <c r="AV311">
        <f t="shared" si="56"/>
        <v>17.34604938271605</v>
      </c>
      <c r="AW311">
        <f t="shared" si="57"/>
        <v>4.7589406862962971</v>
      </c>
      <c r="AX311" s="9"/>
      <c r="AY311" s="21">
        <v>1.41571</v>
      </c>
      <c r="AZ311" s="21">
        <v>30.780200000000001</v>
      </c>
      <c r="BA311" s="21">
        <v>-1.29517E-2</v>
      </c>
      <c r="BB311" s="21">
        <v>301</v>
      </c>
      <c r="BC311" s="21">
        <v>1.4151</v>
      </c>
      <c r="BD311">
        <f t="shared" si="58"/>
        <v>15.989753086419752</v>
      </c>
      <c r="BE311">
        <f t="shared" si="59"/>
        <v>22.636853341975307</v>
      </c>
    </row>
    <row r="312" spans="6:57" x14ac:dyDescent="0.25">
      <c r="F312" s="9"/>
      <c r="G312" s="21">
        <v>0.269318</v>
      </c>
      <c r="H312" s="21">
        <v>8.4137699999999995</v>
      </c>
      <c r="I312" s="21">
        <v>-1.41602E-2</v>
      </c>
      <c r="J312" s="21">
        <v>302</v>
      </c>
      <c r="K312" s="21">
        <v>0.268646</v>
      </c>
      <c r="L312">
        <f t="shared" si="48"/>
        <v>17.481728395061729</v>
      </c>
      <c r="M312">
        <f t="shared" si="49"/>
        <v>4.7081441279012353</v>
      </c>
      <c r="N312" s="9"/>
      <c r="O312" s="21">
        <v>1.42075</v>
      </c>
      <c r="P312" s="21">
        <v>12.2128</v>
      </c>
      <c r="Q312" s="21">
        <v>-1.2970000000000001E-2</v>
      </c>
      <c r="R312" s="21">
        <v>302</v>
      </c>
      <c r="S312" s="21">
        <v>1.4202900000000001</v>
      </c>
      <c r="T312">
        <f t="shared" si="50"/>
        <v>16.012345679012348</v>
      </c>
      <c r="U312">
        <f t="shared" si="51"/>
        <v>22.749540123456793</v>
      </c>
      <c r="X312" s="9"/>
      <c r="Y312" s="21">
        <v>1.42075</v>
      </c>
      <c r="Z312" s="21">
        <v>12.2128</v>
      </c>
      <c r="AA312" s="21">
        <v>-1.2970000000000001E-2</v>
      </c>
      <c r="AB312" s="21">
        <v>302</v>
      </c>
      <c r="AC312" s="21">
        <v>1.4202900000000001</v>
      </c>
      <c r="AD312">
        <f t="shared" si="52"/>
        <v>16.012345679012348</v>
      </c>
      <c r="AE312">
        <f t="shared" si="53"/>
        <v>22.749540123456793</v>
      </c>
      <c r="AF312" s="9"/>
      <c r="AG312" s="21">
        <v>1.42075</v>
      </c>
      <c r="AH312" s="21">
        <v>21.512</v>
      </c>
      <c r="AI312" s="21">
        <v>-1.2881500000000001E-2</v>
      </c>
      <c r="AJ312" s="21">
        <v>302</v>
      </c>
      <c r="AK312" s="21">
        <v>1.4202900000000001</v>
      </c>
      <c r="AL312">
        <f t="shared" si="54"/>
        <v>15.903086419753087</v>
      </c>
      <c r="AM312">
        <f t="shared" si="55"/>
        <v>22.594310030864197</v>
      </c>
      <c r="AP312" s="9"/>
      <c r="AQ312" s="21">
        <v>0.269318</v>
      </c>
      <c r="AR312" s="21">
        <v>26.991199999999999</v>
      </c>
      <c r="AS312" s="21">
        <v>-1.40594E-2</v>
      </c>
      <c r="AT312" s="21">
        <v>302</v>
      </c>
      <c r="AU312" s="21">
        <v>0.26885999999999999</v>
      </c>
      <c r="AV312">
        <f t="shared" si="56"/>
        <v>17.357283950617283</v>
      </c>
      <c r="AW312">
        <f t="shared" si="57"/>
        <v>4.674628999012346</v>
      </c>
      <c r="AX312" s="9"/>
      <c r="AY312" s="21">
        <v>1.42075</v>
      </c>
      <c r="AZ312" s="21">
        <v>30.790299999999998</v>
      </c>
      <c r="BA312" s="21">
        <v>-1.29333E-2</v>
      </c>
      <c r="BB312" s="21">
        <v>302</v>
      </c>
      <c r="BC312" s="21">
        <v>1.4196800000000001</v>
      </c>
      <c r="BD312">
        <f t="shared" si="58"/>
        <v>15.967037037037036</v>
      </c>
      <c r="BE312">
        <f t="shared" si="59"/>
        <v>22.685167870370368</v>
      </c>
    </row>
    <row r="313" spans="6:57" x14ac:dyDescent="0.25">
      <c r="F313" s="9"/>
      <c r="G313" s="21">
        <v>0.26428200000000002</v>
      </c>
      <c r="H313" s="21">
        <v>8.4238400000000002</v>
      </c>
      <c r="I313" s="21">
        <v>-1.41602E-2</v>
      </c>
      <c r="J313" s="21">
        <v>303</v>
      </c>
      <c r="K313" s="21">
        <v>0.26367200000000002</v>
      </c>
      <c r="L313">
        <f t="shared" si="48"/>
        <v>17.481728395061729</v>
      </c>
      <c r="M313">
        <f t="shared" si="49"/>
        <v>4.6201061437037039</v>
      </c>
      <c r="N313" s="9"/>
      <c r="O313" s="21">
        <v>1.42578</v>
      </c>
      <c r="P313" s="21">
        <v>12.222899999999999</v>
      </c>
      <c r="Q313" s="21">
        <v>-1.29395E-2</v>
      </c>
      <c r="R313" s="21">
        <v>303</v>
      </c>
      <c r="S313" s="21">
        <v>1.4248700000000001</v>
      </c>
      <c r="T313">
        <f t="shared" si="50"/>
        <v>15.974691358024689</v>
      </c>
      <c r="U313">
        <f t="shared" si="51"/>
        <v>22.776395444444443</v>
      </c>
      <c r="X313" s="9"/>
      <c r="Y313" s="21">
        <v>1.42578</v>
      </c>
      <c r="Z313" s="21">
        <v>12.222899999999999</v>
      </c>
      <c r="AA313" s="21">
        <v>-1.29395E-2</v>
      </c>
      <c r="AB313" s="21">
        <v>303</v>
      </c>
      <c r="AC313" s="21">
        <v>1.4248700000000001</v>
      </c>
      <c r="AD313">
        <f t="shared" si="52"/>
        <v>15.974691358024689</v>
      </c>
      <c r="AE313">
        <f t="shared" si="53"/>
        <v>22.776395444444443</v>
      </c>
      <c r="AF313" s="9"/>
      <c r="AG313" s="21">
        <v>1.42578</v>
      </c>
      <c r="AH313" s="21">
        <v>21.522099999999998</v>
      </c>
      <c r="AI313" s="21">
        <v>-1.2860099999999999E-2</v>
      </c>
      <c r="AJ313" s="21">
        <v>303</v>
      </c>
      <c r="AK313" s="21">
        <v>1.4254800000000001</v>
      </c>
      <c r="AL313">
        <f t="shared" si="54"/>
        <v>15.876666666666663</v>
      </c>
      <c r="AM313">
        <f t="shared" si="55"/>
        <v>22.636633799999995</v>
      </c>
      <c r="AP313" s="9"/>
      <c r="AQ313" s="21">
        <v>0.26428200000000002</v>
      </c>
      <c r="AR313" s="21">
        <v>27.001300000000001</v>
      </c>
      <c r="AS313" s="21">
        <v>-1.4065599999999999E-2</v>
      </c>
      <c r="AT313" s="21">
        <v>303</v>
      </c>
      <c r="AU313" s="21">
        <v>0.26370199999999999</v>
      </c>
      <c r="AV313">
        <f t="shared" si="56"/>
        <v>17.364938271604938</v>
      </c>
      <c r="AW313">
        <f t="shared" si="57"/>
        <v>4.5892406162962969</v>
      </c>
      <c r="AX313" s="9"/>
      <c r="AY313" s="21">
        <v>1.42578</v>
      </c>
      <c r="AZ313" s="21">
        <v>30.8003</v>
      </c>
      <c r="BA313" s="21">
        <v>-1.29211E-2</v>
      </c>
      <c r="BB313" s="21">
        <v>303</v>
      </c>
      <c r="BC313" s="21">
        <v>1.4248700000000001</v>
      </c>
      <c r="BD313">
        <f t="shared" si="58"/>
        <v>15.951975308641973</v>
      </c>
      <c r="BE313">
        <f t="shared" si="59"/>
        <v>22.744007355555553</v>
      </c>
    </row>
    <row r="314" spans="6:57" x14ac:dyDescent="0.25">
      <c r="F314" s="9"/>
      <c r="G314" s="21">
        <v>0.25924700000000001</v>
      </c>
      <c r="H314" s="21">
        <v>8.4339099999999991</v>
      </c>
      <c r="I314" s="21">
        <v>-1.4154099999999999E-2</v>
      </c>
      <c r="J314" s="21">
        <v>304</v>
      </c>
      <c r="K314" s="21">
        <v>0.25863599999999998</v>
      </c>
      <c r="L314">
        <f t="shared" si="48"/>
        <v>17.474197530864195</v>
      </c>
      <c r="M314">
        <f t="shared" si="49"/>
        <v>4.5301332872839506</v>
      </c>
      <c r="N314" s="9"/>
      <c r="O314" s="21">
        <v>1.43082</v>
      </c>
      <c r="P314" s="21">
        <v>12.233000000000001</v>
      </c>
      <c r="Q314" s="21">
        <v>-1.2902800000000001E-2</v>
      </c>
      <c r="R314" s="21">
        <v>304</v>
      </c>
      <c r="S314" s="21">
        <v>1.42944</v>
      </c>
      <c r="T314">
        <f t="shared" si="50"/>
        <v>15.929382716049382</v>
      </c>
      <c r="U314">
        <f t="shared" si="51"/>
        <v>22.792079377777775</v>
      </c>
      <c r="X314" s="9"/>
      <c r="Y314" s="21">
        <v>1.43082</v>
      </c>
      <c r="Z314" s="21">
        <v>12.233000000000001</v>
      </c>
      <c r="AA314" s="21">
        <v>-1.2902800000000001E-2</v>
      </c>
      <c r="AB314" s="21">
        <v>304</v>
      </c>
      <c r="AC314" s="21">
        <v>1.42944</v>
      </c>
      <c r="AD314">
        <f t="shared" si="52"/>
        <v>15.929382716049382</v>
      </c>
      <c r="AE314">
        <f t="shared" si="53"/>
        <v>22.792079377777775</v>
      </c>
      <c r="AF314" s="9"/>
      <c r="AG314" s="21">
        <v>1.43082</v>
      </c>
      <c r="AH314" s="21">
        <v>21.5322</v>
      </c>
      <c r="AI314" s="21">
        <v>-1.2826499999999999E-2</v>
      </c>
      <c r="AJ314" s="21">
        <v>304</v>
      </c>
      <c r="AK314" s="21">
        <v>1.4303600000000001</v>
      </c>
      <c r="AL314">
        <f t="shared" si="54"/>
        <v>15.835185185185185</v>
      </c>
      <c r="AM314">
        <f t="shared" si="55"/>
        <v>22.657299666666667</v>
      </c>
      <c r="AP314" s="9"/>
      <c r="AQ314" s="21">
        <v>0.25924700000000001</v>
      </c>
      <c r="AR314" s="21">
        <v>27.011399999999998</v>
      </c>
      <c r="AS314" s="21">
        <v>-1.40625E-2</v>
      </c>
      <c r="AT314" s="21">
        <v>304</v>
      </c>
      <c r="AU314" s="21">
        <v>0.25863599999999998</v>
      </c>
      <c r="AV314">
        <f t="shared" si="56"/>
        <v>17.361111111111111</v>
      </c>
      <c r="AW314">
        <f t="shared" si="57"/>
        <v>4.5008159722222221</v>
      </c>
      <c r="AX314" s="9"/>
      <c r="AY314" s="21">
        <v>1.43082</v>
      </c>
      <c r="AZ314" s="21">
        <v>30.810400000000001</v>
      </c>
      <c r="BA314" s="21">
        <v>-1.29059E-2</v>
      </c>
      <c r="BB314" s="21">
        <v>304</v>
      </c>
      <c r="BC314" s="21">
        <v>1.4297500000000001</v>
      </c>
      <c r="BD314">
        <f t="shared" si="58"/>
        <v>15.933209876543209</v>
      </c>
      <c r="BE314">
        <f t="shared" si="59"/>
        <v>22.797555355555556</v>
      </c>
    </row>
    <row r="315" spans="6:57" x14ac:dyDescent="0.25">
      <c r="F315" s="9"/>
      <c r="G315" s="21">
        <v>0.25421100000000002</v>
      </c>
      <c r="H315" s="21">
        <v>8.4439799999999998</v>
      </c>
      <c r="I315" s="21">
        <v>-1.41449E-2</v>
      </c>
      <c r="J315" s="21">
        <v>305</v>
      </c>
      <c r="K315" s="21">
        <v>0.253693</v>
      </c>
      <c r="L315">
        <f t="shared" si="48"/>
        <v>17.462839506172838</v>
      </c>
      <c r="M315">
        <f t="shared" si="49"/>
        <v>4.4392458937037036</v>
      </c>
      <c r="N315" s="9"/>
      <c r="O315" s="21">
        <v>1.4358500000000001</v>
      </c>
      <c r="P315" s="21">
        <v>12.243</v>
      </c>
      <c r="Q315" s="21">
        <v>-1.28662E-2</v>
      </c>
      <c r="R315" s="21">
        <v>305</v>
      </c>
      <c r="S315" s="21">
        <v>1.4352400000000001</v>
      </c>
      <c r="T315">
        <f t="shared" si="50"/>
        <v>15.884197530864196</v>
      </c>
      <c r="U315">
        <f t="shared" si="51"/>
        <v>22.807325024691355</v>
      </c>
      <c r="X315" s="9"/>
      <c r="Y315" s="21">
        <v>1.4358500000000001</v>
      </c>
      <c r="Z315" s="21">
        <v>12.243</v>
      </c>
      <c r="AA315" s="21">
        <v>-1.28662E-2</v>
      </c>
      <c r="AB315" s="21">
        <v>305</v>
      </c>
      <c r="AC315" s="21">
        <v>1.4352400000000001</v>
      </c>
      <c r="AD315">
        <f t="shared" si="52"/>
        <v>15.884197530864196</v>
      </c>
      <c r="AE315">
        <f t="shared" si="53"/>
        <v>22.807325024691355</v>
      </c>
      <c r="AF315" s="9"/>
      <c r="AG315" s="21">
        <v>1.4358500000000001</v>
      </c>
      <c r="AH315" s="21">
        <v>21.542200000000001</v>
      </c>
      <c r="AI315" s="21">
        <v>-1.2793000000000001E-2</v>
      </c>
      <c r="AJ315" s="21">
        <v>305</v>
      </c>
      <c r="AK315" s="21">
        <v>1.4346300000000001</v>
      </c>
      <c r="AL315">
        <f t="shared" si="54"/>
        <v>15.793827160493827</v>
      </c>
      <c r="AM315">
        <f t="shared" si="55"/>
        <v>22.67756672839506</v>
      </c>
      <c r="AP315" s="9"/>
      <c r="AQ315" s="21">
        <v>0.25421100000000002</v>
      </c>
      <c r="AR315" s="21">
        <v>27.0214</v>
      </c>
      <c r="AS315" s="21">
        <v>-1.4053299999999999E-2</v>
      </c>
      <c r="AT315" s="21">
        <v>305</v>
      </c>
      <c r="AU315" s="21">
        <v>0.25357099999999999</v>
      </c>
      <c r="AV315">
        <f t="shared" si="56"/>
        <v>17.349753086419753</v>
      </c>
      <c r="AW315">
        <f t="shared" si="57"/>
        <v>4.410498081851852</v>
      </c>
      <c r="AX315" s="9"/>
      <c r="AY315" s="21">
        <v>1.4358500000000001</v>
      </c>
      <c r="AZ315" s="21">
        <v>30.820499999999999</v>
      </c>
      <c r="BA315" s="21">
        <v>-1.28784E-2</v>
      </c>
      <c r="BB315" s="21">
        <v>305</v>
      </c>
      <c r="BC315" s="21">
        <v>1.4352400000000001</v>
      </c>
      <c r="BD315">
        <f t="shared" si="58"/>
        <v>15.899259259259258</v>
      </c>
      <c r="BE315">
        <f t="shared" si="59"/>
        <v>22.828951407407406</v>
      </c>
    </row>
    <row r="316" spans="6:57" x14ac:dyDescent="0.25">
      <c r="F316" s="9"/>
      <c r="G316" s="21">
        <v>0.24917600000000001</v>
      </c>
      <c r="H316" s="21">
        <v>8.4540500000000005</v>
      </c>
      <c r="I316" s="21">
        <v>-1.4135699999999999E-2</v>
      </c>
      <c r="J316" s="21">
        <v>306</v>
      </c>
      <c r="K316" s="21">
        <v>0.24862699999999999</v>
      </c>
      <c r="L316">
        <f t="shared" si="48"/>
        <v>17.45148148148148</v>
      </c>
      <c r="M316">
        <f t="shared" si="49"/>
        <v>4.3484903496296292</v>
      </c>
      <c r="N316" s="9"/>
      <c r="O316" s="21">
        <v>1.44089</v>
      </c>
      <c r="P316" s="21">
        <v>12.2531</v>
      </c>
      <c r="Q316" s="21">
        <v>-1.28418E-2</v>
      </c>
      <c r="R316" s="21">
        <v>306</v>
      </c>
      <c r="S316" s="21">
        <v>1.4401200000000001</v>
      </c>
      <c r="T316">
        <f t="shared" si="50"/>
        <v>15.854074074074072</v>
      </c>
      <c r="U316">
        <f t="shared" si="51"/>
        <v>22.843976792592589</v>
      </c>
      <c r="X316" s="9"/>
      <c r="Y316" s="21">
        <v>1.44089</v>
      </c>
      <c r="Z316" s="21">
        <v>12.2531</v>
      </c>
      <c r="AA316" s="21">
        <v>-1.28418E-2</v>
      </c>
      <c r="AB316" s="21">
        <v>306</v>
      </c>
      <c r="AC316" s="21">
        <v>1.4401200000000001</v>
      </c>
      <c r="AD316">
        <f t="shared" si="52"/>
        <v>15.854074074074072</v>
      </c>
      <c r="AE316">
        <f t="shared" si="53"/>
        <v>22.843976792592589</v>
      </c>
      <c r="AF316" s="9"/>
      <c r="AG316" s="21">
        <v>1.44089</v>
      </c>
      <c r="AH316" s="21">
        <v>21.552299999999999</v>
      </c>
      <c r="AI316" s="21">
        <v>-1.27625E-2</v>
      </c>
      <c r="AJ316" s="21">
        <v>306</v>
      </c>
      <c r="AK316" s="21">
        <v>1.4401200000000001</v>
      </c>
      <c r="AL316">
        <f t="shared" si="54"/>
        <v>15.756172839506172</v>
      </c>
      <c r="AM316">
        <f t="shared" si="55"/>
        <v>22.702911882716048</v>
      </c>
      <c r="AP316" s="9"/>
      <c r="AQ316" s="21">
        <v>0.24917600000000001</v>
      </c>
      <c r="AR316" s="21">
        <v>27.031500000000001</v>
      </c>
      <c r="AS316" s="21">
        <v>-1.4047199999999999E-2</v>
      </c>
      <c r="AT316" s="21">
        <v>306</v>
      </c>
      <c r="AU316" s="21">
        <v>0.24862699999999999</v>
      </c>
      <c r="AV316">
        <f t="shared" si="56"/>
        <v>17.342222222222222</v>
      </c>
      <c r="AW316">
        <f t="shared" si="57"/>
        <v>4.3212655644444444</v>
      </c>
      <c r="AX316" s="9"/>
      <c r="AY316" s="21">
        <v>1.44089</v>
      </c>
      <c r="AZ316" s="21">
        <v>30.830500000000001</v>
      </c>
      <c r="BA316" s="21">
        <v>-1.2851E-2</v>
      </c>
      <c r="BB316" s="21">
        <v>306</v>
      </c>
      <c r="BC316" s="21">
        <v>1.4407300000000001</v>
      </c>
      <c r="BD316">
        <f t="shared" si="58"/>
        <v>15.865432098765432</v>
      </c>
      <c r="BE316">
        <f t="shared" si="59"/>
        <v>22.860342456790121</v>
      </c>
    </row>
    <row r="317" spans="6:57" x14ac:dyDescent="0.25">
      <c r="F317" s="9"/>
      <c r="G317" s="21">
        <v>0.244141</v>
      </c>
      <c r="H317" s="21">
        <v>8.4641199999999994</v>
      </c>
      <c r="I317" s="21">
        <v>-1.4123500000000001E-2</v>
      </c>
      <c r="J317" s="21">
        <v>307</v>
      </c>
      <c r="K317" s="21">
        <v>0.24349999999999999</v>
      </c>
      <c r="L317">
        <f t="shared" si="48"/>
        <v>17.436419753086419</v>
      </c>
      <c r="M317">
        <f t="shared" si="49"/>
        <v>4.2569449549382714</v>
      </c>
      <c r="N317" s="9"/>
      <c r="O317" s="21">
        <v>1.4459200000000001</v>
      </c>
      <c r="P317" s="21">
        <v>12.263199999999999</v>
      </c>
      <c r="Q317" s="21">
        <v>-1.2814300000000001E-2</v>
      </c>
      <c r="R317" s="21">
        <v>307</v>
      </c>
      <c r="S317" s="21">
        <v>1.4447000000000001</v>
      </c>
      <c r="T317">
        <f t="shared" si="50"/>
        <v>15.820123456790125</v>
      </c>
      <c r="U317">
        <f t="shared" si="51"/>
        <v>22.874632908641978</v>
      </c>
      <c r="X317" s="9"/>
      <c r="Y317" s="21">
        <v>1.4459200000000001</v>
      </c>
      <c r="Z317" s="21">
        <v>12.263199999999999</v>
      </c>
      <c r="AA317" s="21">
        <v>-1.2814300000000001E-2</v>
      </c>
      <c r="AB317" s="21">
        <v>307</v>
      </c>
      <c r="AC317" s="21">
        <v>1.4447000000000001</v>
      </c>
      <c r="AD317">
        <f t="shared" si="52"/>
        <v>15.820123456790125</v>
      </c>
      <c r="AE317">
        <f t="shared" si="53"/>
        <v>22.874632908641978</v>
      </c>
      <c r="AF317" s="9"/>
      <c r="AG317" s="21">
        <v>1.4459200000000001</v>
      </c>
      <c r="AH317" s="21">
        <v>21.5624</v>
      </c>
      <c r="AI317" s="21">
        <v>-1.27289E-2</v>
      </c>
      <c r="AJ317" s="21">
        <v>307</v>
      </c>
      <c r="AK317" s="21">
        <v>1.4450099999999999</v>
      </c>
      <c r="AL317">
        <f t="shared" si="54"/>
        <v>15.714691358024689</v>
      </c>
      <c r="AM317">
        <f t="shared" si="55"/>
        <v>22.72218652839506</v>
      </c>
      <c r="AP317" s="9"/>
      <c r="AQ317" s="21">
        <v>0.244141</v>
      </c>
      <c r="AR317" s="21">
        <v>27.041599999999999</v>
      </c>
      <c r="AS317" s="21">
        <v>-1.4041100000000001E-2</v>
      </c>
      <c r="AT317" s="21">
        <v>307</v>
      </c>
      <c r="AU317" s="21">
        <v>0.243561</v>
      </c>
      <c r="AV317">
        <f t="shared" si="56"/>
        <v>17.334691358024692</v>
      </c>
      <c r="AW317">
        <f t="shared" si="57"/>
        <v>4.2321088828395066</v>
      </c>
      <c r="AX317" s="9"/>
      <c r="AY317" s="21">
        <v>1.4459200000000001</v>
      </c>
      <c r="AZ317" s="21">
        <v>30.840599999999998</v>
      </c>
      <c r="BA317" s="21">
        <v>-1.28235E-2</v>
      </c>
      <c r="BB317" s="21">
        <v>307</v>
      </c>
      <c r="BC317" s="21">
        <v>1.4453100000000001</v>
      </c>
      <c r="BD317">
        <f t="shared" si="58"/>
        <v>15.831481481481481</v>
      </c>
      <c r="BE317">
        <f t="shared" si="59"/>
        <v>22.891055703703703</v>
      </c>
    </row>
    <row r="318" spans="6:57" x14ac:dyDescent="0.25">
      <c r="F318" s="9"/>
      <c r="G318" s="21">
        <v>0.23910500000000001</v>
      </c>
      <c r="H318" s="21">
        <v>8.4741900000000001</v>
      </c>
      <c r="I318" s="21">
        <v>-1.4123500000000001E-2</v>
      </c>
      <c r="J318" s="21">
        <v>308</v>
      </c>
      <c r="K318" s="21">
        <v>0.23849500000000001</v>
      </c>
      <c r="L318">
        <f t="shared" si="48"/>
        <v>17.436419753086419</v>
      </c>
      <c r="M318">
        <f t="shared" si="49"/>
        <v>4.1691351450617287</v>
      </c>
      <c r="N318" s="9"/>
      <c r="O318" s="21">
        <v>1.45096</v>
      </c>
      <c r="P318" s="21">
        <v>12.273199999999999</v>
      </c>
      <c r="Q318" s="21">
        <v>-1.27869E-2</v>
      </c>
      <c r="R318" s="21">
        <v>308</v>
      </c>
      <c r="S318" s="21">
        <v>1.4504999999999999</v>
      </c>
      <c r="T318">
        <f t="shared" si="50"/>
        <v>15.786296296296294</v>
      </c>
      <c r="U318">
        <f t="shared" si="51"/>
        <v>22.905284474074072</v>
      </c>
      <c r="X318" s="9"/>
      <c r="Y318" s="21">
        <v>1.45096</v>
      </c>
      <c r="Z318" s="21">
        <v>12.273199999999999</v>
      </c>
      <c r="AA318" s="21">
        <v>-1.27869E-2</v>
      </c>
      <c r="AB318" s="21">
        <v>308</v>
      </c>
      <c r="AC318" s="21">
        <v>1.4504999999999999</v>
      </c>
      <c r="AD318">
        <f t="shared" si="52"/>
        <v>15.786296296296294</v>
      </c>
      <c r="AE318">
        <f t="shared" si="53"/>
        <v>22.905284474074072</v>
      </c>
      <c r="AF318" s="9"/>
      <c r="AG318" s="21">
        <v>1.45096</v>
      </c>
      <c r="AH318" s="21">
        <v>21.572500000000002</v>
      </c>
      <c r="AI318" s="21">
        <v>-1.26984E-2</v>
      </c>
      <c r="AJ318" s="21">
        <v>308</v>
      </c>
      <c r="AK318" s="21">
        <v>1.4498899999999999</v>
      </c>
      <c r="AL318">
        <f t="shared" si="54"/>
        <v>15.677037037037039</v>
      </c>
      <c r="AM318">
        <f t="shared" si="55"/>
        <v>22.746753659259262</v>
      </c>
      <c r="AP318" s="9"/>
      <c r="AQ318" s="21">
        <v>0.23910500000000001</v>
      </c>
      <c r="AR318" s="21">
        <v>27.051600000000001</v>
      </c>
      <c r="AS318" s="21">
        <v>-1.4047199999999999E-2</v>
      </c>
      <c r="AT318" s="21">
        <v>308</v>
      </c>
      <c r="AU318" s="21">
        <v>0.23877000000000001</v>
      </c>
      <c r="AV318">
        <f t="shared" si="56"/>
        <v>17.342222222222222</v>
      </c>
      <c r="AW318">
        <f t="shared" si="57"/>
        <v>4.1466120444444448</v>
      </c>
      <c r="AX318" s="9"/>
      <c r="AY318" s="21">
        <v>1.45096</v>
      </c>
      <c r="AZ318" s="21">
        <v>30.8507</v>
      </c>
      <c r="BA318" s="21">
        <v>-1.27899E-2</v>
      </c>
      <c r="BB318" s="21">
        <v>308</v>
      </c>
      <c r="BC318" s="21">
        <v>1.4508099999999999</v>
      </c>
      <c r="BD318">
        <f t="shared" si="58"/>
        <v>15.79</v>
      </c>
      <c r="BE318">
        <f t="shared" si="59"/>
        <v>22.910658399999999</v>
      </c>
    </row>
    <row r="319" spans="6:57" x14ac:dyDescent="0.25">
      <c r="F319" s="9"/>
      <c r="G319" s="21">
        <v>0.23407</v>
      </c>
      <c r="H319" s="21">
        <v>8.4842700000000004</v>
      </c>
      <c r="I319" s="21">
        <v>-1.41113E-2</v>
      </c>
      <c r="J319" s="21">
        <v>309</v>
      </c>
      <c r="K319" s="21">
        <v>0.23355100000000001</v>
      </c>
      <c r="L319">
        <f t="shared" si="48"/>
        <v>17.421358024691358</v>
      </c>
      <c r="M319">
        <f t="shared" si="49"/>
        <v>4.0778172728395061</v>
      </c>
      <c r="N319" s="9"/>
      <c r="O319" s="21">
        <v>1.4559899999999999</v>
      </c>
      <c r="P319" s="21">
        <v>12.283300000000001</v>
      </c>
      <c r="Q319" s="21">
        <v>-1.2759400000000001E-2</v>
      </c>
      <c r="R319" s="21">
        <v>309</v>
      </c>
      <c r="S319" s="21">
        <v>1.4550799999999999</v>
      </c>
      <c r="T319">
        <f t="shared" si="50"/>
        <v>15.752345679012343</v>
      </c>
      <c r="U319">
        <f t="shared" si="51"/>
        <v>22.935257785185179</v>
      </c>
      <c r="X319" s="9"/>
      <c r="Y319" s="21">
        <v>1.4559899999999999</v>
      </c>
      <c r="Z319" s="21">
        <v>12.283300000000001</v>
      </c>
      <c r="AA319" s="21">
        <v>-1.2759400000000001E-2</v>
      </c>
      <c r="AB319" s="21">
        <v>309</v>
      </c>
      <c r="AC319" s="21">
        <v>1.4550799999999999</v>
      </c>
      <c r="AD319">
        <f t="shared" si="52"/>
        <v>15.752345679012343</v>
      </c>
      <c r="AE319">
        <f t="shared" si="53"/>
        <v>22.935257785185179</v>
      </c>
      <c r="AF319" s="9"/>
      <c r="AG319" s="21">
        <v>1.4559899999999999</v>
      </c>
      <c r="AH319" s="21">
        <v>21.5825</v>
      </c>
      <c r="AI319" s="21">
        <v>-1.26617E-2</v>
      </c>
      <c r="AJ319" s="21">
        <v>309</v>
      </c>
      <c r="AK319" s="21">
        <v>1.4553799999999999</v>
      </c>
      <c r="AL319">
        <f t="shared" si="54"/>
        <v>15.631728395061728</v>
      </c>
      <c r="AM319">
        <f t="shared" si="55"/>
        <v>22.759640225925924</v>
      </c>
      <c r="AP319" s="9"/>
      <c r="AQ319" s="21">
        <v>0.23407</v>
      </c>
      <c r="AR319" s="21">
        <v>27.061699999999998</v>
      </c>
      <c r="AS319" s="21">
        <v>-1.40594E-2</v>
      </c>
      <c r="AT319" s="21">
        <v>309</v>
      </c>
      <c r="AU319" s="21">
        <v>0.23349</v>
      </c>
      <c r="AV319">
        <f t="shared" si="56"/>
        <v>17.357283950617283</v>
      </c>
      <c r="AW319">
        <f t="shared" si="57"/>
        <v>4.0628194543209872</v>
      </c>
      <c r="AX319" s="9"/>
      <c r="AY319" s="21">
        <v>1.4559899999999999</v>
      </c>
      <c r="AZ319" s="21">
        <v>30.860800000000001</v>
      </c>
      <c r="BA319" s="21">
        <v>-1.27533E-2</v>
      </c>
      <c r="BB319" s="21">
        <v>309</v>
      </c>
      <c r="BC319" s="21">
        <v>1.4556899999999999</v>
      </c>
      <c r="BD319">
        <f t="shared" si="58"/>
        <v>15.744814814814816</v>
      </c>
      <c r="BE319">
        <f t="shared" si="59"/>
        <v>22.924292922222222</v>
      </c>
    </row>
    <row r="320" spans="6:57" x14ac:dyDescent="0.25">
      <c r="F320" s="9"/>
      <c r="G320" s="21">
        <v>0.22903399999999999</v>
      </c>
      <c r="H320" s="21">
        <v>8.4943399999999993</v>
      </c>
      <c r="I320" s="21">
        <v>-1.41052E-2</v>
      </c>
      <c r="J320" s="21">
        <v>310</v>
      </c>
      <c r="K320" s="21">
        <v>0.228516</v>
      </c>
      <c r="L320">
        <f t="shared" si="48"/>
        <v>17.413827160493828</v>
      </c>
      <c r="M320">
        <f t="shared" si="49"/>
        <v>3.9883584898765432</v>
      </c>
      <c r="N320" s="9"/>
      <c r="O320" s="21">
        <v>1.4610300000000001</v>
      </c>
      <c r="P320" s="21">
        <v>12.2934</v>
      </c>
      <c r="Q320" s="21">
        <v>-1.2725800000000001E-2</v>
      </c>
      <c r="R320" s="21">
        <v>310</v>
      </c>
      <c r="S320" s="21">
        <v>1.46027</v>
      </c>
      <c r="T320">
        <f t="shared" si="50"/>
        <v>15.710864197530865</v>
      </c>
      <c r="U320">
        <f t="shared" si="51"/>
        <v>22.954043918518522</v>
      </c>
      <c r="X320" s="9"/>
      <c r="Y320" s="21">
        <v>1.4610300000000001</v>
      </c>
      <c r="Z320" s="21">
        <v>12.2934</v>
      </c>
      <c r="AA320" s="21">
        <v>-1.2725800000000001E-2</v>
      </c>
      <c r="AB320" s="21">
        <v>310</v>
      </c>
      <c r="AC320" s="21">
        <v>1.46027</v>
      </c>
      <c r="AD320">
        <f t="shared" si="52"/>
        <v>15.710864197530865</v>
      </c>
      <c r="AE320">
        <f t="shared" si="53"/>
        <v>22.954043918518522</v>
      </c>
      <c r="AF320" s="9"/>
      <c r="AG320" s="21">
        <v>1.4610300000000001</v>
      </c>
      <c r="AH320" s="21">
        <v>21.592600000000001</v>
      </c>
      <c r="AI320" s="21">
        <v>-1.2628199999999999E-2</v>
      </c>
      <c r="AJ320" s="21">
        <v>310</v>
      </c>
      <c r="AK320" s="21">
        <v>1.46088</v>
      </c>
      <c r="AL320">
        <f t="shared" si="54"/>
        <v>15.590370370370369</v>
      </c>
      <c r="AM320">
        <f t="shared" si="55"/>
        <v>22.777998822222219</v>
      </c>
      <c r="AP320" s="9"/>
      <c r="AQ320" s="21">
        <v>0.22903399999999999</v>
      </c>
      <c r="AR320" s="21">
        <v>27.0718</v>
      </c>
      <c r="AS320" s="21">
        <v>-1.40594E-2</v>
      </c>
      <c r="AT320" s="21">
        <v>310</v>
      </c>
      <c r="AU320" s="21">
        <v>0.228546</v>
      </c>
      <c r="AV320">
        <f t="shared" si="56"/>
        <v>17.357283950617283</v>
      </c>
      <c r="AW320">
        <f t="shared" si="57"/>
        <v>3.9754081723456784</v>
      </c>
      <c r="AX320" s="9"/>
      <c r="AY320" s="21">
        <v>1.4610300000000001</v>
      </c>
      <c r="AZ320" s="21">
        <v>30.870799999999999</v>
      </c>
      <c r="BA320" s="21">
        <v>-1.27197E-2</v>
      </c>
      <c r="BB320" s="21">
        <v>310</v>
      </c>
      <c r="BC320" s="21">
        <v>1.4605699999999999</v>
      </c>
      <c r="BD320">
        <f t="shared" si="58"/>
        <v>15.703333333333333</v>
      </c>
      <c r="BE320">
        <f t="shared" si="59"/>
        <v>22.943041100000002</v>
      </c>
    </row>
    <row r="321" spans="6:57" x14ac:dyDescent="0.25">
      <c r="F321" s="9"/>
      <c r="G321" s="21">
        <v>0.223999</v>
      </c>
      <c r="H321" s="21">
        <v>8.50441</v>
      </c>
      <c r="I321" s="21">
        <v>-1.4108300000000001E-2</v>
      </c>
      <c r="J321" s="21">
        <v>311</v>
      </c>
      <c r="K321" s="21">
        <v>0.22345000000000001</v>
      </c>
      <c r="L321">
        <f t="shared" si="48"/>
        <v>17.417654320987655</v>
      </c>
      <c r="M321">
        <f t="shared" si="49"/>
        <v>3.9015371502469138</v>
      </c>
      <c r="N321" s="9"/>
      <c r="O321" s="21">
        <v>1.4660599999999999</v>
      </c>
      <c r="P321" s="21">
        <v>12.3035</v>
      </c>
      <c r="Q321" s="21">
        <v>-1.26862E-2</v>
      </c>
      <c r="R321" s="21">
        <v>311</v>
      </c>
      <c r="S321" s="21">
        <v>1.46515</v>
      </c>
      <c r="T321">
        <f t="shared" si="50"/>
        <v>15.661975308641974</v>
      </c>
      <c r="U321">
        <f t="shared" si="51"/>
        <v>22.961395520987651</v>
      </c>
      <c r="X321" s="9"/>
      <c r="Y321" s="21">
        <v>1.4660599999999999</v>
      </c>
      <c r="Z321" s="21">
        <v>12.3035</v>
      </c>
      <c r="AA321" s="21">
        <v>-1.26862E-2</v>
      </c>
      <c r="AB321" s="21">
        <v>311</v>
      </c>
      <c r="AC321" s="21">
        <v>1.46515</v>
      </c>
      <c r="AD321">
        <f t="shared" si="52"/>
        <v>15.661975308641974</v>
      </c>
      <c r="AE321">
        <f t="shared" si="53"/>
        <v>22.961395520987651</v>
      </c>
      <c r="AF321" s="9"/>
      <c r="AG321" s="21">
        <v>1.4660599999999999</v>
      </c>
      <c r="AH321" s="21">
        <v>21.602699999999999</v>
      </c>
      <c r="AI321" s="21">
        <v>-1.25916E-2</v>
      </c>
      <c r="AJ321" s="21">
        <v>311</v>
      </c>
      <c r="AK321" s="21">
        <v>1.46515</v>
      </c>
      <c r="AL321">
        <f t="shared" si="54"/>
        <v>15.545185185185185</v>
      </c>
      <c r="AM321">
        <f t="shared" si="55"/>
        <v>22.790174192592591</v>
      </c>
      <c r="AP321" s="9"/>
      <c r="AQ321" s="21">
        <v>0.223999</v>
      </c>
      <c r="AR321" s="21">
        <v>27.081900000000001</v>
      </c>
      <c r="AS321" s="21">
        <v>-1.40442E-2</v>
      </c>
      <c r="AT321" s="21">
        <v>311</v>
      </c>
      <c r="AU321" s="21">
        <v>0.22375500000000001</v>
      </c>
      <c r="AV321">
        <f t="shared" si="56"/>
        <v>17.338518518518516</v>
      </c>
      <c r="AW321">
        <f t="shared" si="57"/>
        <v>3.8838108096296291</v>
      </c>
      <c r="AX321" s="9"/>
      <c r="AY321" s="21">
        <v>1.4660599999999999</v>
      </c>
      <c r="AZ321" s="21">
        <v>30.8809</v>
      </c>
      <c r="BA321" s="21">
        <v>-1.26923E-2</v>
      </c>
      <c r="BB321" s="21">
        <v>311</v>
      </c>
      <c r="BC321" s="21">
        <v>1.46515</v>
      </c>
      <c r="BD321">
        <f t="shared" si="58"/>
        <v>15.669506172839506</v>
      </c>
      <c r="BE321">
        <f t="shared" si="59"/>
        <v>22.972436219753085</v>
      </c>
    </row>
    <row r="322" spans="6:57" x14ac:dyDescent="0.25">
      <c r="F322" s="9"/>
      <c r="G322" s="21">
        <v>0.21896399999999999</v>
      </c>
      <c r="H322" s="21">
        <v>8.5144800000000007</v>
      </c>
      <c r="I322" s="21">
        <v>-1.4114399999999999E-2</v>
      </c>
      <c r="J322" s="21">
        <v>312</v>
      </c>
      <c r="K322" s="21">
        <v>0.21856700000000001</v>
      </c>
      <c r="L322">
        <f t="shared" si="48"/>
        <v>17.425185185185182</v>
      </c>
      <c r="M322">
        <f t="shared" si="49"/>
        <v>3.8154882488888879</v>
      </c>
      <c r="N322" s="9"/>
      <c r="O322" s="21">
        <v>1.4711000000000001</v>
      </c>
      <c r="P322" s="21">
        <v>12.313499999999999</v>
      </c>
      <c r="Q322" s="21">
        <v>-1.26587E-2</v>
      </c>
      <c r="R322" s="21">
        <v>312</v>
      </c>
      <c r="S322" s="21">
        <v>1.4700299999999999</v>
      </c>
      <c r="T322">
        <f t="shared" si="50"/>
        <v>15.628024691358023</v>
      </c>
      <c r="U322">
        <f t="shared" si="51"/>
        <v>22.990387123456788</v>
      </c>
      <c r="X322" s="9"/>
      <c r="Y322" s="21">
        <v>1.4711000000000001</v>
      </c>
      <c r="Z322" s="21">
        <v>12.313499999999999</v>
      </c>
      <c r="AA322" s="21">
        <v>-1.26587E-2</v>
      </c>
      <c r="AB322" s="21">
        <v>312</v>
      </c>
      <c r="AC322" s="21">
        <v>1.4700299999999999</v>
      </c>
      <c r="AD322">
        <f t="shared" si="52"/>
        <v>15.628024691358023</v>
      </c>
      <c r="AE322">
        <f t="shared" si="53"/>
        <v>22.990387123456788</v>
      </c>
      <c r="AF322" s="9"/>
      <c r="AG322" s="21">
        <v>1.4711000000000001</v>
      </c>
      <c r="AH322" s="21">
        <v>21.6127</v>
      </c>
      <c r="AI322" s="21">
        <v>-1.2554900000000001E-2</v>
      </c>
      <c r="AJ322" s="21">
        <v>312</v>
      </c>
      <c r="AK322" s="21">
        <v>1.4706399999999999</v>
      </c>
      <c r="AL322">
        <f t="shared" si="54"/>
        <v>15.499876543209876</v>
      </c>
      <c r="AM322">
        <f t="shared" si="55"/>
        <v>22.801868382716048</v>
      </c>
      <c r="AP322" s="9"/>
      <c r="AQ322" s="21">
        <v>0.21896399999999999</v>
      </c>
      <c r="AR322" s="21">
        <v>27.091899999999999</v>
      </c>
      <c r="AS322" s="21">
        <v>-1.4041100000000001E-2</v>
      </c>
      <c r="AT322" s="21">
        <v>312</v>
      </c>
      <c r="AU322" s="21">
        <v>0.218414</v>
      </c>
      <c r="AV322">
        <f t="shared" si="56"/>
        <v>17.334691358024692</v>
      </c>
      <c r="AW322">
        <f t="shared" si="57"/>
        <v>3.7956733585185187</v>
      </c>
      <c r="AX322" s="9"/>
      <c r="AY322" s="21">
        <v>1.4711000000000001</v>
      </c>
      <c r="AZ322" s="21">
        <v>30.890999999999998</v>
      </c>
      <c r="BA322" s="21">
        <v>-1.2655599999999999E-2</v>
      </c>
      <c r="BB322" s="21">
        <v>312</v>
      </c>
      <c r="BC322" s="21">
        <v>1.47034</v>
      </c>
      <c r="BD322">
        <f t="shared" si="58"/>
        <v>15.624197530864196</v>
      </c>
      <c r="BE322">
        <f t="shared" si="59"/>
        <v>22.984756987654318</v>
      </c>
    </row>
    <row r="323" spans="6:57" x14ac:dyDescent="0.25">
      <c r="F323" s="9"/>
      <c r="G323" s="21">
        <v>0.21392800000000001</v>
      </c>
      <c r="H323" s="21">
        <v>8.5245499999999996</v>
      </c>
      <c r="I323" s="21">
        <v>-1.4129600000000001E-2</v>
      </c>
      <c r="J323" s="21">
        <v>313</v>
      </c>
      <c r="K323" s="21">
        <v>0.21334800000000001</v>
      </c>
      <c r="L323">
        <f t="shared" si="48"/>
        <v>17.443950617283949</v>
      </c>
      <c r="M323">
        <f t="shared" si="49"/>
        <v>3.7317494676543208</v>
      </c>
      <c r="N323" s="9"/>
      <c r="O323" s="21">
        <v>1.47614</v>
      </c>
      <c r="P323" s="21">
        <v>12.323600000000001</v>
      </c>
      <c r="Q323" s="21">
        <v>-1.2622100000000001E-2</v>
      </c>
      <c r="R323" s="21">
        <v>313</v>
      </c>
      <c r="S323" s="21">
        <v>1.4755199999999999</v>
      </c>
      <c r="T323">
        <f t="shared" si="50"/>
        <v>15.582839506172839</v>
      </c>
      <c r="U323">
        <f t="shared" si="51"/>
        <v>23.002452708641975</v>
      </c>
      <c r="X323" s="9"/>
      <c r="Y323" s="21">
        <v>1.47614</v>
      </c>
      <c r="Z323" s="21">
        <v>12.323600000000001</v>
      </c>
      <c r="AA323" s="21">
        <v>-1.2622100000000001E-2</v>
      </c>
      <c r="AB323" s="21">
        <v>313</v>
      </c>
      <c r="AC323" s="21">
        <v>1.4755199999999999</v>
      </c>
      <c r="AD323">
        <f t="shared" si="52"/>
        <v>15.582839506172839</v>
      </c>
      <c r="AE323">
        <f t="shared" si="53"/>
        <v>23.002452708641975</v>
      </c>
      <c r="AF323" s="9"/>
      <c r="AG323" s="21">
        <v>1.47614</v>
      </c>
      <c r="AH323" s="21">
        <v>21.622800000000002</v>
      </c>
      <c r="AI323" s="21">
        <v>-1.25244E-2</v>
      </c>
      <c r="AJ323" s="21">
        <v>313</v>
      </c>
      <c r="AK323" s="21">
        <v>1.4749099999999999</v>
      </c>
      <c r="AL323">
        <f t="shared" si="54"/>
        <v>15.462222222222222</v>
      </c>
      <c r="AM323">
        <f t="shared" si="55"/>
        <v>22.824404711111111</v>
      </c>
      <c r="AP323" s="9"/>
      <c r="AQ323" s="21">
        <v>0.21392800000000001</v>
      </c>
      <c r="AR323" s="21">
        <v>27.102</v>
      </c>
      <c r="AS323" s="21">
        <v>-1.40442E-2</v>
      </c>
      <c r="AT323" s="21">
        <v>313</v>
      </c>
      <c r="AU323" s="21">
        <v>0.21337900000000001</v>
      </c>
      <c r="AV323">
        <f t="shared" si="56"/>
        <v>17.338518518518516</v>
      </c>
      <c r="AW323">
        <f t="shared" si="57"/>
        <v>3.7091945896296292</v>
      </c>
      <c r="AX323" s="9"/>
      <c r="AY323" s="21">
        <v>1.47614</v>
      </c>
      <c r="AZ323" s="21">
        <v>30.901</v>
      </c>
      <c r="BA323" s="21">
        <v>-1.2616E-2</v>
      </c>
      <c r="BB323" s="21">
        <v>313</v>
      </c>
      <c r="BC323" s="21">
        <v>1.4755199999999999</v>
      </c>
      <c r="BD323">
        <f t="shared" si="58"/>
        <v>15.575308641975308</v>
      </c>
      <c r="BE323">
        <f t="shared" si="59"/>
        <v>22.99133609876543</v>
      </c>
    </row>
    <row r="324" spans="6:57" x14ac:dyDescent="0.25">
      <c r="F324" s="9"/>
      <c r="G324" s="21">
        <v>0.208893</v>
      </c>
      <c r="H324" s="21">
        <v>8.5346200000000003</v>
      </c>
      <c r="I324" s="21">
        <v>-1.41388E-2</v>
      </c>
      <c r="J324" s="21">
        <v>314</v>
      </c>
      <c r="K324" s="21">
        <v>0.208344</v>
      </c>
      <c r="L324">
        <f t="shared" si="48"/>
        <v>17.455308641975307</v>
      </c>
      <c r="M324">
        <f t="shared" si="49"/>
        <v>3.6462917881481478</v>
      </c>
      <c r="N324" s="9"/>
      <c r="O324" s="21">
        <v>1.4811700000000001</v>
      </c>
      <c r="P324" s="21">
        <v>12.3337</v>
      </c>
      <c r="Q324" s="21">
        <v>-1.2588500000000001E-2</v>
      </c>
      <c r="R324" s="21">
        <v>314</v>
      </c>
      <c r="S324" s="21">
        <v>1.48102</v>
      </c>
      <c r="T324">
        <f t="shared" si="50"/>
        <v>15.541358024691359</v>
      </c>
      <c r="U324">
        <f t="shared" si="51"/>
        <v>23.0193932654321</v>
      </c>
      <c r="X324" s="9"/>
      <c r="Y324" s="21">
        <v>1.4811700000000001</v>
      </c>
      <c r="Z324" s="21">
        <v>12.3337</v>
      </c>
      <c r="AA324" s="21">
        <v>-1.2588500000000001E-2</v>
      </c>
      <c r="AB324" s="21">
        <v>314</v>
      </c>
      <c r="AC324" s="21">
        <v>1.48102</v>
      </c>
      <c r="AD324">
        <f t="shared" si="52"/>
        <v>15.541358024691359</v>
      </c>
      <c r="AE324">
        <f t="shared" si="53"/>
        <v>23.0193932654321</v>
      </c>
      <c r="AF324" s="9"/>
      <c r="AG324" s="21">
        <v>1.4811700000000001</v>
      </c>
      <c r="AH324" s="21">
        <v>21.632899999999999</v>
      </c>
      <c r="AI324" s="21">
        <v>-1.24939E-2</v>
      </c>
      <c r="AJ324" s="21">
        <v>314</v>
      </c>
      <c r="AK324" s="21">
        <v>1.4801</v>
      </c>
      <c r="AL324">
        <f t="shared" si="54"/>
        <v>15.424567901234568</v>
      </c>
      <c r="AM324">
        <f t="shared" si="55"/>
        <v>22.846407238271606</v>
      </c>
      <c r="AP324" s="9"/>
      <c r="AQ324" s="21">
        <v>0.208893</v>
      </c>
      <c r="AR324" s="21">
        <v>27.112100000000002</v>
      </c>
      <c r="AS324" s="21">
        <v>-1.4035000000000001E-2</v>
      </c>
      <c r="AT324" s="21">
        <v>314</v>
      </c>
      <c r="AU324" s="21">
        <v>0.20855699999999999</v>
      </c>
      <c r="AV324">
        <f t="shared" si="56"/>
        <v>17.327160493827162</v>
      </c>
      <c r="AW324">
        <f t="shared" si="57"/>
        <v>3.619522537037037</v>
      </c>
      <c r="AX324" s="9"/>
      <c r="AY324" s="21">
        <v>1.4811700000000001</v>
      </c>
      <c r="AZ324" s="21">
        <v>30.911100000000001</v>
      </c>
      <c r="BA324" s="21">
        <v>-1.25702E-2</v>
      </c>
      <c r="BB324" s="21">
        <v>314</v>
      </c>
      <c r="BC324" s="21">
        <v>1.4801</v>
      </c>
      <c r="BD324">
        <f t="shared" si="58"/>
        <v>15.518765432098766</v>
      </c>
      <c r="BE324">
        <f t="shared" si="59"/>
        <v>22.985929795061729</v>
      </c>
    </row>
    <row r="325" spans="6:57" x14ac:dyDescent="0.25">
      <c r="F325" s="9"/>
      <c r="G325" s="21">
        <v>0.20385700000000001</v>
      </c>
      <c r="H325" s="21">
        <v>8.5446899999999992</v>
      </c>
      <c r="I325" s="21">
        <v>-1.4154099999999999E-2</v>
      </c>
      <c r="J325" s="21">
        <v>315</v>
      </c>
      <c r="K325" s="21">
        <v>0.20355200000000001</v>
      </c>
      <c r="L325">
        <f t="shared" si="48"/>
        <v>17.474197530864195</v>
      </c>
      <c r="M325">
        <f t="shared" si="49"/>
        <v>3.5622374860493826</v>
      </c>
      <c r="N325" s="9"/>
      <c r="O325" s="21">
        <v>1.48621</v>
      </c>
      <c r="P325" s="21">
        <v>12.3437</v>
      </c>
      <c r="Q325" s="21">
        <v>-1.2554900000000001E-2</v>
      </c>
      <c r="R325" s="21">
        <v>315</v>
      </c>
      <c r="S325" s="21">
        <v>1.48499</v>
      </c>
      <c r="T325">
        <f t="shared" si="50"/>
        <v>15.499876543209876</v>
      </c>
      <c r="U325">
        <f t="shared" si="51"/>
        <v>23.036071517283951</v>
      </c>
      <c r="X325" s="9"/>
      <c r="Y325" s="21">
        <v>1.48621</v>
      </c>
      <c r="Z325" s="21">
        <v>12.3437</v>
      </c>
      <c r="AA325" s="21">
        <v>-1.2554900000000001E-2</v>
      </c>
      <c r="AB325" s="21">
        <v>315</v>
      </c>
      <c r="AC325" s="21">
        <v>1.48499</v>
      </c>
      <c r="AD325">
        <f t="shared" si="52"/>
        <v>15.499876543209876</v>
      </c>
      <c r="AE325">
        <f t="shared" si="53"/>
        <v>23.036071517283951</v>
      </c>
      <c r="AF325" s="9"/>
      <c r="AG325" s="21">
        <v>1.48621</v>
      </c>
      <c r="AH325" s="21">
        <v>21.643000000000001</v>
      </c>
      <c r="AI325" s="21">
        <v>-1.24695E-2</v>
      </c>
      <c r="AJ325" s="21">
        <v>315</v>
      </c>
      <c r="AK325" s="21">
        <v>1.4856</v>
      </c>
      <c r="AL325">
        <f t="shared" si="54"/>
        <v>15.394444444444444</v>
      </c>
      <c r="AM325">
        <f t="shared" si="55"/>
        <v>22.879377277777778</v>
      </c>
      <c r="AP325" s="9"/>
      <c r="AQ325" s="21">
        <v>0.20385700000000001</v>
      </c>
      <c r="AR325" s="21">
        <v>27.1221</v>
      </c>
      <c r="AS325" s="21">
        <v>-1.4025900000000001E-2</v>
      </c>
      <c r="AT325" s="21">
        <v>315</v>
      </c>
      <c r="AU325" s="21">
        <v>0.20330799999999999</v>
      </c>
      <c r="AV325">
        <f t="shared" si="56"/>
        <v>17.315925925925924</v>
      </c>
      <c r="AW325">
        <f t="shared" si="57"/>
        <v>3.5299727114814812</v>
      </c>
      <c r="AX325" s="9"/>
      <c r="AY325" s="21">
        <v>1.48621</v>
      </c>
      <c r="AZ325" s="21">
        <v>30.921199999999999</v>
      </c>
      <c r="BA325" s="21">
        <v>-1.25183E-2</v>
      </c>
      <c r="BB325" s="21">
        <v>315</v>
      </c>
      <c r="BC325" s="21">
        <v>1.4859</v>
      </c>
      <c r="BD325">
        <f t="shared" si="58"/>
        <v>15.454691358024689</v>
      </c>
      <c r="BE325">
        <f t="shared" si="59"/>
        <v>22.968916843209875</v>
      </c>
    </row>
    <row r="326" spans="6:57" x14ac:dyDescent="0.25">
      <c r="F326" s="9"/>
      <c r="G326" s="21">
        <v>0.198822</v>
      </c>
      <c r="H326" s="21">
        <v>8.5547599999999999</v>
      </c>
      <c r="I326" s="21">
        <v>-1.4154099999999999E-2</v>
      </c>
      <c r="J326" s="21">
        <v>316</v>
      </c>
      <c r="K326" s="21">
        <v>0.198273</v>
      </c>
      <c r="L326">
        <f t="shared" si="48"/>
        <v>17.474197530864195</v>
      </c>
      <c r="M326">
        <f t="shared" si="49"/>
        <v>3.4742549014814812</v>
      </c>
      <c r="N326" s="9"/>
      <c r="O326" s="21">
        <v>1.4912399999999999</v>
      </c>
      <c r="P326" s="21">
        <v>12.3538</v>
      </c>
      <c r="Q326" s="21">
        <v>-1.25153E-2</v>
      </c>
      <c r="R326" s="21">
        <v>316</v>
      </c>
      <c r="S326" s="21">
        <v>1.49109</v>
      </c>
      <c r="T326">
        <f t="shared" si="50"/>
        <v>15.450987654320988</v>
      </c>
      <c r="U326">
        <f t="shared" si="51"/>
        <v>23.04113082962963</v>
      </c>
      <c r="X326" s="9"/>
      <c r="Y326" s="21">
        <v>1.4912399999999999</v>
      </c>
      <c r="Z326" s="21">
        <v>12.3538</v>
      </c>
      <c r="AA326" s="21">
        <v>-1.25153E-2</v>
      </c>
      <c r="AB326" s="21">
        <v>316</v>
      </c>
      <c r="AC326" s="21">
        <v>1.49109</v>
      </c>
      <c r="AD326">
        <f t="shared" si="52"/>
        <v>15.450987654320988</v>
      </c>
      <c r="AE326">
        <f t="shared" si="53"/>
        <v>23.04113082962963</v>
      </c>
      <c r="AF326" s="9"/>
      <c r="AG326" s="21">
        <v>1.4912399999999999</v>
      </c>
      <c r="AH326" s="21">
        <v>21.652999999999999</v>
      </c>
      <c r="AI326" s="21">
        <v>-1.24329E-2</v>
      </c>
      <c r="AJ326" s="21">
        <v>316</v>
      </c>
      <c r="AK326" s="21">
        <v>1.49048</v>
      </c>
      <c r="AL326">
        <f t="shared" si="54"/>
        <v>15.349259259259259</v>
      </c>
      <c r="AM326">
        <f t="shared" si="55"/>
        <v>22.889429377777777</v>
      </c>
      <c r="AP326" s="9"/>
      <c r="AQ326" s="21">
        <v>0.198822</v>
      </c>
      <c r="AR326" s="21">
        <v>27.132200000000001</v>
      </c>
      <c r="AS326" s="21">
        <v>-1.40137E-2</v>
      </c>
      <c r="AT326" s="21">
        <v>316</v>
      </c>
      <c r="AU326" s="21">
        <v>0.19833400000000001</v>
      </c>
      <c r="AV326">
        <f t="shared" si="56"/>
        <v>17.300864197530863</v>
      </c>
      <c r="AW326">
        <f t="shared" si="57"/>
        <v>3.4397924214814815</v>
      </c>
      <c r="AX326" s="9"/>
      <c r="AY326" s="21">
        <v>1.4912399999999999</v>
      </c>
      <c r="AZ326" s="21">
        <v>30.9313</v>
      </c>
      <c r="BA326" s="21">
        <v>-1.24817E-2</v>
      </c>
      <c r="BB326" s="21">
        <v>316</v>
      </c>
      <c r="BC326" s="21">
        <v>1.49017</v>
      </c>
      <c r="BD326">
        <f t="shared" si="58"/>
        <v>15.409506172839505</v>
      </c>
      <c r="BE326">
        <f t="shared" si="59"/>
        <v>22.979271985185182</v>
      </c>
    </row>
    <row r="327" spans="6:57" x14ac:dyDescent="0.25">
      <c r="F327" s="9"/>
      <c r="G327" s="21">
        <v>0.19378699999999999</v>
      </c>
      <c r="H327" s="21">
        <v>8.5648300000000006</v>
      </c>
      <c r="I327" s="21">
        <v>-1.4154099999999999E-2</v>
      </c>
      <c r="J327" s="21">
        <v>317</v>
      </c>
      <c r="K327" s="21">
        <v>0.19323699999999999</v>
      </c>
      <c r="L327">
        <f t="shared" si="48"/>
        <v>17.474197530864195</v>
      </c>
      <c r="M327">
        <f t="shared" si="49"/>
        <v>3.3862723169135798</v>
      </c>
      <c r="N327" s="9"/>
      <c r="O327" s="21">
        <v>1.4962800000000001</v>
      </c>
      <c r="P327" s="21">
        <v>12.363899999999999</v>
      </c>
      <c r="Q327" s="21">
        <v>-1.2478599999999999E-2</v>
      </c>
      <c r="R327" s="21">
        <v>317</v>
      </c>
      <c r="S327" s="21">
        <v>1.4956700000000001</v>
      </c>
      <c r="T327">
        <f t="shared" si="50"/>
        <v>15.405679012345677</v>
      </c>
      <c r="U327">
        <f t="shared" si="51"/>
        <v>23.05120939259259</v>
      </c>
      <c r="X327" s="9"/>
      <c r="Y327" s="21">
        <v>1.4962800000000001</v>
      </c>
      <c r="Z327" s="21">
        <v>12.363899999999999</v>
      </c>
      <c r="AA327" s="21">
        <v>-1.2478599999999999E-2</v>
      </c>
      <c r="AB327" s="21">
        <v>317</v>
      </c>
      <c r="AC327" s="21">
        <v>1.4956700000000001</v>
      </c>
      <c r="AD327">
        <f t="shared" si="52"/>
        <v>15.405679012345677</v>
      </c>
      <c r="AE327">
        <f t="shared" si="53"/>
        <v>23.05120939259259</v>
      </c>
      <c r="AF327" s="9"/>
      <c r="AG327" s="21">
        <v>1.4962800000000001</v>
      </c>
      <c r="AH327" s="21">
        <v>21.6631</v>
      </c>
      <c r="AI327" s="21">
        <v>-1.23932E-2</v>
      </c>
      <c r="AJ327" s="21">
        <v>317</v>
      </c>
      <c r="AK327" s="21">
        <v>1.49536</v>
      </c>
      <c r="AL327">
        <f t="shared" si="54"/>
        <v>15.300246913580246</v>
      </c>
      <c r="AM327">
        <f t="shared" si="55"/>
        <v>22.893453451851851</v>
      </c>
      <c r="AP327" s="9"/>
      <c r="AQ327" s="21">
        <v>0.19378699999999999</v>
      </c>
      <c r="AR327" s="21">
        <v>27.142299999999999</v>
      </c>
      <c r="AS327" s="21">
        <v>-1.40167E-2</v>
      </c>
      <c r="AT327" s="21">
        <v>317</v>
      </c>
      <c r="AU327" s="21">
        <v>0.19323699999999999</v>
      </c>
      <c r="AV327">
        <f t="shared" si="56"/>
        <v>17.304567901234567</v>
      </c>
      <c r="AW327">
        <f t="shared" si="57"/>
        <v>3.3534002998765429</v>
      </c>
      <c r="AX327" s="9"/>
      <c r="AY327" s="21">
        <v>1.4962800000000001</v>
      </c>
      <c r="AZ327" s="21">
        <v>30.941299999999998</v>
      </c>
      <c r="BA327" s="21">
        <v>-1.2442E-2</v>
      </c>
      <c r="BB327" s="21">
        <v>317</v>
      </c>
      <c r="BC327" s="21">
        <v>1.49536</v>
      </c>
      <c r="BD327">
        <f t="shared" si="58"/>
        <v>15.360493827160493</v>
      </c>
      <c r="BE327">
        <f t="shared" si="59"/>
        <v>22.983599703703703</v>
      </c>
    </row>
    <row r="328" spans="6:57" x14ac:dyDescent="0.25">
      <c r="F328" s="9"/>
      <c r="G328" s="21">
        <v>0.188751</v>
      </c>
      <c r="H328" s="21">
        <v>8.5748999999999995</v>
      </c>
      <c r="I328" s="21">
        <v>-1.4154099999999999E-2</v>
      </c>
      <c r="J328" s="21">
        <v>318</v>
      </c>
      <c r="K328" s="21">
        <v>0.18820200000000001</v>
      </c>
      <c r="L328">
        <f t="shared" si="48"/>
        <v>17.474197530864195</v>
      </c>
      <c r="M328">
        <f t="shared" si="49"/>
        <v>3.2982722581481476</v>
      </c>
      <c r="N328" s="9"/>
      <c r="O328" s="21">
        <v>1.5013099999999999</v>
      </c>
      <c r="P328" s="21">
        <v>12.374000000000001</v>
      </c>
      <c r="Q328" s="21">
        <v>-1.24298E-2</v>
      </c>
      <c r="R328" s="21">
        <v>318</v>
      </c>
      <c r="S328" s="21">
        <v>1.5005500000000001</v>
      </c>
      <c r="T328">
        <f t="shared" si="50"/>
        <v>15.34543209876543</v>
      </c>
      <c r="U328">
        <f t="shared" si="51"/>
        <v>23.038250664197527</v>
      </c>
      <c r="X328" s="9"/>
      <c r="Y328" s="21">
        <v>1.5013099999999999</v>
      </c>
      <c r="Z328" s="21">
        <v>12.374000000000001</v>
      </c>
      <c r="AA328" s="21">
        <v>-1.24298E-2</v>
      </c>
      <c r="AB328" s="21">
        <v>318</v>
      </c>
      <c r="AC328" s="21">
        <v>1.5005500000000001</v>
      </c>
      <c r="AD328">
        <f t="shared" si="52"/>
        <v>15.34543209876543</v>
      </c>
      <c r="AE328">
        <f t="shared" si="53"/>
        <v>23.038250664197527</v>
      </c>
      <c r="AF328" s="9"/>
      <c r="AG328" s="21">
        <v>1.5013099999999999</v>
      </c>
      <c r="AH328" s="21">
        <v>21.673200000000001</v>
      </c>
      <c r="AI328" s="21">
        <v>-1.23535E-2</v>
      </c>
      <c r="AJ328" s="21">
        <v>318</v>
      </c>
      <c r="AK328" s="21">
        <v>1.50116</v>
      </c>
      <c r="AL328">
        <f t="shared" si="54"/>
        <v>15.251234567901234</v>
      </c>
      <c r="AM328">
        <f t="shared" si="55"/>
        <v>22.896830969135799</v>
      </c>
      <c r="AP328" s="9"/>
      <c r="AQ328" s="21">
        <v>0.188751</v>
      </c>
      <c r="AR328" s="21">
        <v>27.1523</v>
      </c>
      <c r="AS328" s="21">
        <v>-1.40228E-2</v>
      </c>
      <c r="AT328" s="21">
        <v>318</v>
      </c>
      <c r="AU328" s="21">
        <v>0.18826300000000001</v>
      </c>
      <c r="AV328">
        <f t="shared" si="56"/>
        <v>17.312098765432097</v>
      </c>
      <c r="AW328">
        <f t="shared" si="57"/>
        <v>3.2676759540740736</v>
      </c>
      <c r="AX328" s="9"/>
      <c r="AY328" s="21">
        <v>1.5013099999999999</v>
      </c>
      <c r="AZ328" s="21">
        <v>30.9514</v>
      </c>
      <c r="BA328" s="21">
        <v>-1.2411500000000001E-2</v>
      </c>
      <c r="BB328" s="21">
        <v>318</v>
      </c>
      <c r="BC328" s="21">
        <v>1.5005500000000001</v>
      </c>
      <c r="BD328">
        <f t="shared" si="58"/>
        <v>15.322839506172839</v>
      </c>
      <c r="BE328">
        <f t="shared" si="59"/>
        <v>23.004332179012344</v>
      </c>
    </row>
    <row r="329" spans="6:57" x14ac:dyDescent="0.25">
      <c r="F329" s="9"/>
      <c r="G329" s="21">
        <v>0.18371599999999999</v>
      </c>
      <c r="H329" s="21">
        <v>8.5849799999999998</v>
      </c>
      <c r="I329" s="21">
        <v>-1.4157100000000001E-2</v>
      </c>
      <c r="J329" s="21">
        <v>319</v>
      </c>
      <c r="K329" s="21">
        <v>0.18331900000000001</v>
      </c>
      <c r="L329">
        <f t="shared" si="48"/>
        <v>17.477901234567902</v>
      </c>
      <c r="M329">
        <f t="shared" si="49"/>
        <v>3.2109701032098767</v>
      </c>
      <c r="N329" s="9"/>
      <c r="O329" s="21">
        <v>1.5063500000000001</v>
      </c>
      <c r="P329" s="21">
        <v>12.384</v>
      </c>
      <c r="Q329" s="21">
        <v>-1.23871E-2</v>
      </c>
      <c r="R329" s="21">
        <v>319</v>
      </c>
      <c r="S329" s="21">
        <v>1.5057400000000001</v>
      </c>
      <c r="T329">
        <f t="shared" si="50"/>
        <v>15.292716049382715</v>
      </c>
      <c r="U329">
        <f t="shared" si="51"/>
        <v>23.036182820987655</v>
      </c>
      <c r="X329" s="9"/>
      <c r="Y329" s="21">
        <v>1.5063500000000001</v>
      </c>
      <c r="Z329" s="21">
        <v>12.384</v>
      </c>
      <c r="AA329" s="21">
        <v>-1.23871E-2</v>
      </c>
      <c r="AB329" s="21">
        <v>319</v>
      </c>
      <c r="AC329" s="21">
        <v>1.5057400000000001</v>
      </c>
      <c r="AD329">
        <f t="shared" si="52"/>
        <v>15.292716049382715</v>
      </c>
      <c r="AE329">
        <f t="shared" si="53"/>
        <v>23.036182820987655</v>
      </c>
      <c r="AF329" s="9"/>
      <c r="AG329" s="21">
        <v>1.5063500000000001</v>
      </c>
      <c r="AH329" s="21">
        <v>21.683199999999999</v>
      </c>
      <c r="AI329" s="21">
        <v>-1.23169E-2</v>
      </c>
      <c r="AJ329" s="21">
        <v>319</v>
      </c>
      <c r="AK329" s="21">
        <v>1.50604</v>
      </c>
      <c r="AL329">
        <f t="shared" si="54"/>
        <v>15.206049382716049</v>
      </c>
      <c r="AM329">
        <f t="shared" si="55"/>
        <v>22.905632487654323</v>
      </c>
      <c r="AP329" s="9"/>
      <c r="AQ329" s="21">
        <v>0.18371599999999999</v>
      </c>
      <c r="AR329" s="21">
        <v>27.162400000000002</v>
      </c>
      <c r="AS329" s="21">
        <v>-1.40289E-2</v>
      </c>
      <c r="AT329" s="21">
        <v>319</v>
      </c>
      <c r="AU329" s="21">
        <v>0.18304400000000001</v>
      </c>
      <c r="AV329">
        <f t="shared" si="56"/>
        <v>17.319629629629631</v>
      </c>
      <c r="AW329">
        <f t="shared" si="57"/>
        <v>3.1818930770370373</v>
      </c>
      <c r="AX329" s="9"/>
      <c r="AY329" s="21">
        <v>1.5063500000000001</v>
      </c>
      <c r="AZ329" s="21">
        <v>30.961500000000001</v>
      </c>
      <c r="BA329" s="21">
        <v>-1.2368799999999999E-2</v>
      </c>
      <c r="BB329" s="21">
        <v>319</v>
      </c>
      <c r="BC329" s="21">
        <v>1.5051300000000001</v>
      </c>
      <c r="BD329">
        <f t="shared" si="58"/>
        <v>15.270123456790122</v>
      </c>
      <c r="BE329">
        <f t="shared" si="59"/>
        <v>23.002150469135803</v>
      </c>
    </row>
    <row r="330" spans="6:57" x14ac:dyDescent="0.25">
      <c r="F330" s="9"/>
      <c r="G330" s="21">
        <v>0.17868000000000001</v>
      </c>
      <c r="H330" s="21">
        <v>8.5950500000000005</v>
      </c>
      <c r="I330" s="21">
        <v>-1.41602E-2</v>
      </c>
      <c r="J330" s="21">
        <v>320</v>
      </c>
      <c r="K330" s="21">
        <v>0.17816199999999999</v>
      </c>
      <c r="L330">
        <f t="shared" si="48"/>
        <v>17.481728395061729</v>
      </c>
      <c r="M330">
        <f t="shared" si="49"/>
        <v>3.1236352296296301</v>
      </c>
      <c r="N330" s="9"/>
      <c r="O330" s="21">
        <v>1.5113799999999999</v>
      </c>
      <c r="P330" s="21">
        <v>12.3941</v>
      </c>
      <c r="Q330" s="21">
        <v>-1.23444E-2</v>
      </c>
      <c r="R330" s="21">
        <v>320</v>
      </c>
      <c r="S330" s="21">
        <v>1.5106200000000001</v>
      </c>
      <c r="T330">
        <f t="shared" si="50"/>
        <v>15.239999999999998</v>
      </c>
      <c r="U330">
        <f t="shared" si="51"/>
        <v>23.033431199999995</v>
      </c>
      <c r="X330" s="9"/>
      <c r="Y330" s="21">
        <v>1.5113799999999999</v>
      </c>
      <c r="Z330" s="21">
        <v>12.3941</v>
      </c>
      <c r="AA330" s="21">
        <v>-1.23444E-2</v>
      </c>
      <c r="AB330" s="21">
        <v>320</v>
      </c>
      <c r="AC330" s="21">
        <v>1.5106200000000001</v>
      </c>
      <c r="AD330">
        <f t="shared" si="52"/>
        <v>15.239999999999998</v>
      </c>
      <c r="AE330">
        <f t="shared" si="53"/>
        <v>23.033431199999995</v>
      </c>
      <c r="AF330" s="9"/>
      <c r="AG330" s="21">
        <v>1.5113799999999999</v>
      </c>
      <c r="AH330" s="21">
        <v>21.693300000000001</v>
      </c>
      <c r="AI330" s="21">
        <v>-1.22772E-2</v>
      </c>
      <c r="AJ330" s="21">
        <v>320</v>
      </c>
      <c r="AK330" s="21">
        <v>1.5106200000000001</v>
      </c>
      <c r="AL330">
        <f t="shared" si="54"/>
        <v>15.157037037037037</v>
      </c>
      <c r="AM330">
        <f t="shared" si="55"/>
        <v>22.908042637037038</v>
      </c>
      <c r="AP330" s="9"/>
      <c r="AQ330" s="21">
        <v>0.17868000000000001</v>
      </c>
      <c r="AR330" s="21">
        <v>27.172499999999999</v>
      </c>
      <c r="AS330" s="21">
        <v>-1.4035000000000001E-2</v>
      </c>
      <c r="AT330" s="21">
        <v>320</v>
      </c>
      <c r="AU330" s="21">
        <v>0.17813100000000001</v>
      </c>
      <c r="AV330">
        <f t="shared" si="56"/>
        <v>17.327160493827162</v>
      </c>
      <c r="AW330">
        <f t="shared" si="57"/>
        <v>3.0960170370370372</v>
      </c>
      <c r="AX330" s="9"/>
      <c r="AY330" s="21">
        <v>1.5113799999999999</v>
      </c>
      <c r="AZ330" s="21">
        <v>30.971499999999999</v>
      </c>
      <c r="BA330" s="21">
        <v>-1.23169E-2</v>
      </c>
      <c r="BB330" s="21">
        <v>320</v>
      </c>
      <c r="BC330" s="21">
        <v>1.5109300000000001</v>
      </c>
      <c r="BD330">
        <f t="shared" si="58"/>
        <v>15.206049382716049</v>
      </c>
      <c r="BE330">
        <f t="shared" si="59"/>
        <v>22.98211891604938</v>
      </c>
    </row>
    <row r="331" spans="6:57" x14ac:dyDescent="0.25">
      <c r="F331" s="9"/>
      <c r="G331" s="21">
        <v>0.17364499999999999</v>
      </c>
      <c r="H331" s="21">
        <v>8.6051199999999994</v>
      </c>
      <c r="I331" s="21">
        <v>-1.4163200000000001E-2</v>
      </c>
      <c r="J331" s="21">
        <v>321</v>
      </c>
      <c r="K331" s="21">
        <v>0.173065</v>
      </c>
      <c r="L331">
        <f t="shared" si="48"/>
        <v>17.485432098765433</v>
      </c>
      <c r="M331">
        <f t="shared" si="49"/>
        <v>3.0362578567901233</v>
      </c>
      <c r="N331" s="9"/>
      <c r="O331" s="21">
        <v>1.5164200000000001</v>
      </c>
      <c r="P331" s="21">
        <v>12.404199999999999</v>
      </c>
      <c r="Q331" s="21">
        <v>-1.2301599999999999E-2</v>
      </c>
      <c r="R331" s="21">
        <v>321</v>
      </c>
      <c r="S331" s="21">
        <v>1.5158100000000001</v>
      </c>
      <c r="T331">
        <f t="shared" si="50"/>
        <v>15.187160493827157</v>
      </c>
      <c r="U331">
        <f t="shared" si="51"/>
        <v>23.03011391604938</v>
      </c>
      <c r="X331" s="9"/>
      <c r="Y331" s="21">
        <v>1.5164200000000001</v>
      </c>
      <c r="Z331" s="21">
        <v>12.404199999999999</v>
      </c>
      <c r="AA331" s="21">
        <v>-1.2301599999999999E-2</v>
      </c>
      <c r="AB331" s="21">
        <v>321</v>
      </c>
      <c r="AC331" s="21">
        <v>1.5158100000000001</v>
      </c>
      <c r="AD331">
        <f t="shared" si="52"/>
        <v>15.187160493827157</v>
      </c>
      <c r="AE331">
        <f t="shared" si="53"/>
        <v>23.03011391604938</v>
      </c>
      <c r="AF331" s="9"/>
      <c r="AG331" s="21">
        <v>1.5164200000000001</v>
      </c>
      <c r="AH331" s="21">
        <v>21.703399999999998</v>
      </c>
      <c r="AI331" s="21">
        <v>-1.22253E-2</v>
      </c>
      <c r="AJ331" s="21">
        <v>321</v>
      </c>
      <c r="AK331" s="21">
        <v>1.5158100000000001</v>
      </c>
      <c r="AL331">
        <f t="shared" si="54"/>
        <v>15.092962962962961</v>
      </c>
      <c r="AM331">
        <f t="shared" si="55"/>
        <v>22.887270896296293</v>
      </c>
      <c r="AP331" s="9"/>
      <c r="AQ331" s="21">
        <v>0.17364499999999999</v>
      </c>
      <c r="AR331" s="21">
        <v>27.182600000000001</v>
      </c>
      <c r="AS331" s="21">
        <v>-1.40289E-2</v>
      </c>
      <c r="AT331" s="21">
        <v>321</v>
      </c>
      <c r="AU331" s="21">
        <v>0.173126</v>
      </c>
      <c r="AV331">
        <f t="shared" si="56"/>
        <v>17.319629629629631</v>
      </c>
      <c r="AW331">
        <f t="shared" si="57"/>
        <v>3.0074670870370372</v>
      </c>
      <c r="AX331" s="9"/>
      <c r="AY331" s="21">
        <v>1.5164200000000001</v>
      </c>
      <c r="AZ331" s="21">
        <v>30.9816</v>
      </c>
      <c r="BA331" s="21">
        <v>-1.2274200000000001E-2</v>
      </c>
      <c r="BB331" s="21">
        <v>321</v>
      </c>
      <c r="BC331" s="21">
        <v>1.5155000000000001</v>
      </c>
      <c r="BD331">
        <f t="shared" si="58"/>
        <v>15.153333333333332</v>
      </c>
      <c r="BE331">
        <f t="shared" si="59"/>
        <v>22.978817733333333</v>
      </c>
    </row>
    <row r="332" spans="6:57" x14ac:dyDescent="0.25">
      <c r="F332" s="9"/>
      <c r="G332" s="21">
        <v>0.16861000000000001</v>
      </c>
      <c r="H332" s="21">
        <v>8.6151900000000001</v>
      </c>
      <c r="I332" s="21">
        <v>-1.4169299999999999E-2</v>
      </c>
      <c r="J332" s="21">
        <v>322</v>
      </c>
      <c r="K332" s="21">
        <v>0.16796900000000001</v>
      </c>
      <c r="L332">
        <f t="shared" ref="L332:L386" si="60">-I332/$F$2*1000</f>
        <v>17.492962962962959</v>
      </c>
      <c r="M332">
        <f t="shared" ref="M332:M386" si="61">L332*G332</f>
        <v>2.9494884851851846</v>
      </c>
      <c r="N332" s="9"/>
      <c r="O332" s="21">
        <v>1.52145</v>
      </c>
      <c r="P332" s="21">
        <v>12.414199999999999</v>
      </c>
      <c r="Q332" s="21">
        <v>-1.2252799999999999E-2</v>
      </c>
      <c r="R332" s="21">
        <v>322</v>
      </c>
      <c r="S332" s="21">
        <v>1.5206900000000001</v>
      </c>
      <c r="T332">
        <f t="shared" ref="T332:T386" si="62">-Q332/$F$2*1000</f>
        <v>15.126913580246912</v>
      </c>
      <c r="U332">
        <f t="shared" ref="U332:U386" si="63">T332*O332</f>
        <v>23.014842666666663</v>
      </c>
      <c r="X332" s="9"/>
      <c r="Y332" s="21">
        <v>1.52145</v>
      </c>
      <c r="Z332" s="21">
        <v>12.414199999999999</v>
      </c>
      <c r="AA332" s="21">
        <v>-1.2252799999999999E-2</v>
      </c>
      <c r="AB332" s="21">
        <v>322</v>
      </c>
      <c r="AC332" s="21">
        <v>1.5206900000000001</v>
      </c>
      <c r="AD332">
        <f t="shared" ref="AD332:AD386" si="64">-AA332/$F$2*1000</f>
        <v>15.126913580246912</v>
      </c>
      <c r="AE332">
        <f t="shared" ref="AE332:AE386" si="65">AD332*Y332</f>
        <v>23.014842666666663</v>
      </c>
      <c r="AF332" s="9"/>
      <c r="AG332" s="21">
        <v>1.52145</v>
      </c>
      <c r="AH332" s="21">
        <v>21.7135</v>
      </c>
      <c r="AI332" s="21">
        <v>-1.21826E-2</v>
      </c>
      <c r="AJ332" s="21">
        <v>322</v>
      </c>
      <c r="AK332" s="21">
        <v>1.5200800000000001</v>
      </c>
      <c r="AL332">
        <f t="shared" ref="AL332:AL386" si="66">-AI332/$F$2*1000</f>
        <v>15.040246913580246</v>
      </c>
      <c r="AM332">
        <f t="shared" ref="AM332:AM386" si="67">AL332*AG332</f>
        <v>22.882983666666664</v>
      </c>
      <c r="AP332" s="9"/>
      <c r="AQ332" s="21">
        <v>0.16861000000000001</v>
      </c>
      <c r="AR332" s="21">
        <v>27.192599999999999</v>
      </c>
      <c r="AS332" s="21">
        <v>-1.40289E-2</v>
      </c>
      <c r="AT332" s="21">
        <v>322</v>
      </c>
      <c r="AU332" s="21">
        <v>0.16809099999999999</v>
      </c>
      <c r="AV332">
        <f t="shared" ref="AV332:AV386" si="68">-AS332/$F$2*1000</f>
        <v>17.319629629629631</v>
      </c>
      <c r="AW332">
        <f t="shared" ref="AW332:AW386" si="69">AV332*AQ332</f>
        <v>2.9202627518518525</v>
      </c>
      <c r="AX332" s="9"/>
      <c r="AY332" s="21">
        <v>1.52145</v>
      </c>
      <c r="AZ332" s="21">
        <v>30.991700000000002</v>
      </c>
      <c r="BA332" s="21">
        <v>-1.2234500000000001E-2</v>
      </c>
      <c r="BB332" s="21">
        <v>322</v>
      </c>
      <c r="BC332" s="21">
        <v>1.5209999999999999</v>
      </c>
      <c r="BD332">
        <f t="shared" ref="BD332:BD386" si="70">-BA332/$F$2*1000</f>
        <v>15.104320987654321</v>
      </c>
      <c r="BE332">
        <f t="shared" ref="BE332:BE386" si="71">BD332*AY332</f>
        <v>22.980469166666666</v>
      </c>
    </row>
    <row r="333" spans="6:57" x14ac:dyDescent="0.25">
      <c r="F333" s="9"/>
      <c r="G333" s="21">
        <v>0.163574</v>
      </c>
      <c r="H333" s="21">
        <v>8.6252600000000008</v>
      </c>
      <c r="I333" s="21">
        <v>-1.4163200000000001E-2</v>
      </c>
      <c r="J333" s="21">
        <v>323</v>
      </c>
      <c r="K333" s="21">
        <v>0.16311600000000001</v>
      </c>
      <c r="L333">
        <f t="shared" si="60"/>
        <v>17.485432098765433</v>
      </c>
      <c r="M333">
        <f t="shared" si="61"/>
        <v>2.8601620701234567</v>
      </c>
      <c r="N333" s="9"/>
      <c r="O333" s="21">
        <v>1.5264899999999999</v>
      </c>
      <c r="P333" s="21">
        <v>12.424300000000001</v>
      </c>
      <c r="Q333" s="21">
        <v>-1.21887E-2</v>
      </c>
      <c r="R333" s="21">
        <v>323</v>
      </c>
      <c r="S333" s="21">
        <v>1.5261800000000001</v>
      </c>
      <c r="T333">
        <f t="shared" si="62"/>
        <v>15.047777777777776</v>
      </c>
      <c r="U333">
        <f t="shared" si="63"/>
        <v>22.970282299999997</v>
      </c>
      <c r="X333" s="9"/>
      <c r="Y333" s="21">
        <v>1.5264899999999999</v>
      </c>
      <c r="Z333" s="21">
        <v>12.424300000000001</v>
      </c>
      <c r="AA333" s="21">
        <v>-1.21887E-2</v>
      </c>
      <c r="AB333" s="21">
        <v>323</v>
      </c>
      <c r="AC333" s="21">
        <v>1.5261800000000001</v>
      </c>
      <c r="AD333">
        <f t="shared" si="64"/>
        <v>15.047777777777776</v>
      </c>
      <c r="AE333">
        <f t="shared" si="65"/>
        <v>22.970282299999997</v>
      </c>
      <c r="AF333" s="9"/>
      <c r="AG333" s="21">
        <v>1.5264899999999999</v>
      </c>
      <c r="AH333" s="21">
        <v>21.723500000000001</v>
      </c>
      <c r="AI333" s="21">
        <v>-1.21338E-2</v>
      </c>
      <c r="AJ333" s="21">
        <v>323</v>
      </c>
      <c r="AK333" s="21">
        <v>1.5258799999999999</v>
      </c>
      <c r="AL333">
        <f t="shared" si="66"/>
        <v>14.979999999999999</v>
      </c>
      <c r="AM333">
        <f t="shared" si="67"/>
        <v>22.866820199999996</v>
      </c>
      <c r="AP333" s="9"/>
      <c r="AQ333" s="21">
        <v>0.163574</v>
      </c>
      <c r="AR333" s="21">
        <v>27.2027</v>
      </c>
      <c r="AS333" s="21">
        <v>-1.40289E-2</v>
      </c>
      <c r="AT333" s="21">
        <v>323</v>
      </c>
      <c r="AU333" s="21">
        <v>0.163239</v>
      </c>
      <c r="AV333">
        <f t="shared" si="68"/>
        <v>17.319629629629631</v>
      </c>
      <c r="AW333">
        <f t="shared" si="69"/>
        <v>2.8330410970370372</v>
      </c>
      <c r="AX333" s="9"/>
      <c r="AY333" s="21">
        <v>1.5264899999999999</v>
      </c>
      <c r="AZ333" s="21">
        <v>31.001799999999999</v>
      </c>
      <c r="BA333" s="21">
        <v>-1.21887E-2</v>
      </c>
      <c r="BB333" s="21">
        <v>323</v>
      </c>
      <c r="BC333" s="21">
        <v>1.5261800000000001</v>
      </c>
      <c r="BD333">
        <f t="shared" si="70"/>
        <v>15.047777777777776</v>
      </c>
      <c r="BE333">
        <f t="shared" si="71"/>
        <v>22.970282299999997</v>
      </c>
    </row>
    <row r="334" spans="6:57" x14ac:dyDescent="0.25">
      <c r="F334" s="9"/>
      <c r="G334" s="21">
        <v>0.15853900000000001</v>
      </c>
      <c r="H334" s="21">
        <v>8.6353299999999997</v>
      </c>
      <c r="I334" s="21">
        <v>-1.4154099999999999E-2</v>
      </c>
      <c r="J334" s="21">
        <v>324</v>
      </c>
      <c r="K334" s="21">
        <v>0.15792800000000001</v>
      </c>
      <c r="L334">
        <f t="shared" si="60"/>
        <v>17.474197530864195</v>
      </c>
      <c r="M334">
        <f t="shared" si="61"/>
        <v>2.7703418023456789</v>
      </c>
      <c r="N334" s="9"/>
      <c r="O334" s="21">
        <v>1.53152</v>
      </c>
      <c r="P334" s="21">
        <v>12.4344</v>
      </c>
      <c r="Q334" s="21">
        <v>-1.2124599999999999E-2</v>
      </c>
      <c r="R334" s="21">
        <v>324</v>
      </c>
      <c r="S334" s="21">
        <v>1.5307599999999999</v>
      </c>
      <c r="T334">
        <f t="shared" si="62"/>
        <v>14.968641975308641</v>
      </c>
      <c r="U334">
        <f t="shared" si="63"/>
        <v>22.924774558024691</v>
      </c>
      <c r="X334" s="9"/>
      <c r="Y334" s="21">
        <v>1.53152</v>
      </c>
      <c r="Z334" s="21">
        <v>12.4344</v>
      </c>
      <c r="AA334" s="21">
        <v>-1.2124599999999999E-2</v>
      </c>
      <c r="AB334" s="21">
        <v>324</v>
      </c>
      <c r="AC334" s="21">
        <v>1.5307599999999999</v>
      </c>
      <c r="AD334">
        <f t="shared" si="64"/>
        <v>14.968641975308641</v>
      </c>
      <c r="AE334">
        <f t="shared" si="65"/>
        <v>22.924774558024691</v>
      </c>
      <c r="AF334" s="9"/>
      <c r="AG334" s="21">
        <v>1.53152</v>
      </c>
      <c r="AH334" s="21">
        <v>21.733599999999999</v>
      </c>
      <c r="AI334" s="21">
        <v>-1.2085E-2</v>
      </c>
      <c r="AJ334" s="21">
        <v>324</v>
      </c>
      <c r="AK334" s="21">
        <v>1.5307599999999999</v>
      </c>
      <c r="AL334">
        <f t="shared" si="66"/>
        <v>14.919753086419753</v>
      </c>
      <c r="AM334">
        <f t="shared" si="67"/>
        <v>22.849900246913581</v>
      </c>
      <c r="AP334" s="9"/>
      <c r="AQ334" s="21">
        <v>0.15853900000000001</v>
      </c>
      <c r="AR334" s="21">
        <v>27.212800000000001</v>
      </c>
      <c r="AS334" s="21">
        <v>-1.40228E-2</v>
      </c>
      <c r="AT334" s="21">
        <v>324</v>
      </c>
      <c r="AU334" s="21">
        <v>0.15798999999999999</v>
      </c>
      <c r="AV334">
        <f t="shared" si="68"/>
        <v>17.312098765432097</v>
      </c>
      <c r="AW334">
        <f t="shared" si="69"/>
        <v>2.7446428261728393</v>
      </c>
      <c r="AX334" s="9"/>
      <c r="AY334" s="21">
        <v>1.53152</v>
      </c>
      <c r="AZ334" s="21">
        <v>31.011800000000001</v>
      </c>
      <c r="BA334" s="21">
        <v>-1.21338E-2</v>
      </c>
      <c r="BB334" s="21">
        <v>324</v>
      </c>
      <c r="BC334" s="21">
        <v>1.5310699999999999</v>
      </c>
      <c r="BD334">
        <f t="shared" si="70"/>
        <v>14.979999999999999</v>
      </c>
      <c r="BE334">
        <f t="shared" si="71"/>
        <v>22.942169599999996</v>
      </c>
    </row>
    <row r="335" spans="6:57" x14ac:dyDescent="0.25">
      <c r="F335" s="9"/>
      <c r="G335" s="21">
        <v>0.153503</v>
      </c>
      <c r="H335" s="21">
        <v>8.6454000000000004</v>
      </c>
      <c r="I335" s="21">
        <v>-1.4151E-2</v>
      </c>
      <c r="J335" s="21">
        <v>325</v>
      </c>
      <c r="K335" s="21">
        <v>0.15304599999999999</v>
      </c>
      <c r="L335">
        <f t="shared" si="60"/>
        <v>17.470370370370368</v>
      </c>
      <c r="M335">
        <f t="shared" si="61"/>
        <v>2.6817542629629627</v>
      </c>
      <c r="N335" s="9"/>
      <c r="O335" s="21">
        <v>1.5365599999999999</v>
      </c>
      <c r="P335" s="21">
        <v>12.4444</v>
      </c>
      <c r="Q335" s="21">
        <v>-1.20667E-2</v>
      </c>
      <c r="R335" s="21">
        <v>325</v>
      </c>
      <c r="S335" s="21">
        <v>1.5365599999999999</v>
      </c>
      <c r="T335">
        <f t="shared" si="62"/>
        <v>14.89716049382716</v>
      </c>
      <c r="U335">
        <f t="shared" si="63"/>
        <v>22.890380928395061</v>
      </c>
      <c r="X335" s="9"/>
      <c r="Y335" s="21">
        <v>1.5365599999999999</v>
      </c>
      <c r="Z335" s="21">
        <v>12.4444</v>
      </c>
      <c r="AA335" s="21">
        <v>-1.20667E-2</v>
      </c>
      <c r="AB335" s="21">
        <v>325</v>
      </c>
      <c r="AC335" s="21">
        <v>1.5365599999999999</v>
      </c>
      <c r="AD335">
        <f t="shared" si="64"/>
        <v>14.89716049382716</v>
      </c>
      <c r="AE335">
        <f t="shared" si="65"/>
        <v>22.890380928395061</v>
      </c>
      <c r="AF335" s="9"/>
      <c r="AG335" s="21">
        <v>1.5365599999999999</v>
      </c>
      <c r="AH335" s="21">
        <v>21.7437</v>
      </c>
      <c r="AI335" s="21">
        <v>-1.2036099999999999E-2</v>
      </c>
      <c r="AJ335" s="21">
        <v>325</v>
      </c>
      <c r="AK335" s="21">
        <v>1.5359499999999999</v>
      </c>
      <c r="AL335">
        <f t="shared" si="66"/>
        <v>14.85938271604938</v>
      </c>
      <c r="AM335">
        <f t="shared" si="67"/>
        <v>22.832333106172833</v>
      </c>
      <c r="AP335" s="9"/>
      <c r="AQ335" s="21">
        <v>0.153503</v>
      </c>
      <c r="AR335" s="21">
        <v>27.222799999999999</v>
      </c>
      <c r="AS335" s="21">
        <v>-1.4025900000000001E-2</v>
      </c>
      <c r="AT335" s="21">
        <v>325</v>
      </c>
      <c r="AU335" s="21">
        <v>0.15301500000000001</v>
      </c>
      <c r="AV335">
        <f t="shared" si="68"/>
        <v>17.315925925925924</v>
      </c>
      <c r="AW335">
        <f t="shared" si="69"/>
        <v>2.6580465774074074</v>
      </c>
      <c r="AX335" s="9"/>
      <c r="AY335" s="21">
        <v>1.5365599999999999</v>
      </c>
      <c r="AZ335" s="21">
        <v>31.021899999999999</v>
      </c>
      <c r="BA335" s="21">
        <v>-1.20789E-2</v>
      </c>
      <c r="BB335" s="21">
        <v>325</v>
      </c>
      <c r="BC335" s="21">
        <v>1.5356399999999999</v>
      </c>
      <c r="BD335">
        <f t="shared" si="70"/>
        <v>14.912222222222221</v>
      </c>
      <c r="BE335">
        <f t="shared" si="71"/>
        <v>22.913524177777774</v>
      </c>
    </row>
    <row r="336" spans="6:57" x14ac:dyDescent="0.25">
      <c r="F336" s="9"/>
      <c r="G336" s="21">
        <v>0.14846799999999999</v>
      </c>
      <c r="H336" s="21">
        <v>8.6554699999999993</v>
      </c>
      <c r="I336" s="21">
        <v>-1.41449E-2</v>
      </c>
      <c r="J336" s="21">
        <v>326</v>
      </c>
      <c r="K336" s="21">
        <v>0.14785799999999999</v>
      </c>
      <c r="L336">
        <f t="shared" si="60"/>
        <v>17.462839506172838</v>
      </c>
      <c r="M336">
        <f t="shared" si="61"/>
        <v>2.5926728558024688</v>
      </c>
      <c r="N336" s="9"/>
      <c r="O336" s="21">
        <v>1.5416000000000001</v>
      </c>
      <c r="P336" s="21">
        <v>12.454499999999999</v>
      </c>
      <c r="Q336" s="21">
        <v>-1.20056E-2</v>
      </c>
      <c r="R336" s="21">
        <v>326</v>
      </c>
      <c r="S336" s="21">
        <v>1.5408299999999999</v>
      </c>
      <c r="T336">
        <f t="shared" si="62"/>
        <v>14.821728395061728</v>
      </c>
      <c r="U336">
        <f t="shared" si="63"/>
        <v>22.849176493827159</v>
      </c>
      <c r="X336" s="9"/>
      <c r="Y336" s="21">
        <v>1.5416000000000001</v>
      </c>
      <c r="Z336" s="21">
        <v>12.454499999999999</v>
      </c>
      <c r="AA336" s="21">
        <v>-1.20056E-2</v>
      </c>
      <c r="AB336" s="21">
        <v>326</v>
      </c>
      <c r="AC336" s="21">
        <v>1.5408299999999999</v>
      </c>
      <c r="AD336">
        <f t="shared" si="64"/>
        <v>14.821728395061728</v>
      </c>
      <c r="AE336">
        <f t="shared" si="65"/>
        <v>22.849176493827159</v>
      </c>
      <c r="AF336" s="9"/>
      <c r="AG336" s="21">
        <v>1.5416000000000001</v>
      </c>
      <c r="AH336" s="21">
        <v>21.753699999999998</v>
      </c>
      <c r="AI336" s="21">
        <v>-1.1981199999999999E-2</v>
      </c>
      <c r="AJ336" s="21">
        <v>326</v>
      </c>
      <c r="AK336" s="21">
        <v>1.5408299999999999</v>
      </c>
      <c r="AL336">
        <f t="shared" si="66"/>
        <v>14.791604938271602</v>
      </c>
      <c r="AM336">
        <f t="shared" si="67"/>
        <v>22.802738172839504</v>
      </c>
      <c r="AP336" s="9"/>
      <c r="AQ336" s="21">
        <v>0.14846799999999999</v>
      </c>
      <c r="AR336" s="21">
        <v>27.232900000000001</v>
      </c>
      <c r="AS336" s="21">
        <v>-1.4025900000000001E-2</v>
      </c>
      <c r="AT336" s="21">
        <v>326</v>
      </c>
      <c r="AU336" s="21">
        <v>0.14791899999999999</v>
      </c>
      <c r="AV336">
        <f t="shared" si="68"/>
        <v>17.315925925925924</v>
      </c>
      <c r="AW336">
        <f t="shared" si="69"/>
        <v>2.57086089037037</v>
      </c>
      <c r="AX336" s="9"/>
      <c r="AY336" s="21">
        <v>1.5416000000000001</v>
      </c>
      <c r="AZ336" s="21">
        <v>31.032</v>
      </c>
      <c r="BA336" s="21">
        <v>-1.2020899999999999E-2</v>
      </c>
      <c r="BB336" s="21">
        <v>326</v>
      </c>
      <c r="BC336" s="21">
        <v>1.5414399999999999</v>
      </c>
      <c r="BD336">
        <f t="shared" si="70"/>
        <v>14.840617283950616</v>
      </c>
      <c r="BE336">
        <f t="shared" si="71"/>
        <v>22.87829560493827</v>
      </c>
    </row>
    <row r="337" spans="6:57" x14ac:dyDescent="0.25">
      <c r="F337" s="9"/>
      <c r="G337" s="21">
        <v>0.143433</v>
      </c>
      <c r="H337" s="21">
        <v>8.66554</v>
      </c>
      <c r="I337" s="21">
        <v>-1.41449E-2</v>
      </c>
      <c r="J337" s="21">
        <v>327</v>
      </c>
      <c r="K337" s="21">
        <v>0.142761</v>
      </c>
      <c r="L337">
        <f t="shared" si="60"/>
        <v>17.462839506172838</v>
      </c>
      <c r="M337">
        <f t="shared" si="61"/>
        <v>2.5047474588888887</v>
      </c>
      <c r="N337" s="9"/>
      <c r="O337" s="21">
        <v>1.5466299999999999</v>
      </c>
      <c r="P337" s="21">
        <v>12.464600000000001</v>
      </c>
      <c r="Q337" s="21">
        <v>-1.1941500000000001E-2</v>
      </c>
      <c r="R337" s="21">
        <v>327</v>
      </c>
      <c r="S337" s="21">
        <v>1.54633</v>
      </c>
      <c r="T337">
        <f t="shared" si="62"/>
        <v>14.742592592592592</v>
      </c>
      <c r="U337">
        <f t="shared" si="63"/>
        <v>22.801335981481479</v>
      </c>
      <c r="X337" s="9"/>
      <c r="Y337" s="21">
        <v>1.5466299999999999</v>
      </c>
      <c r="Z337" s="21">
        <v>12.464600000000001</v>
      </c>
      <c r="AA337" s="21">
        <v>-1.1941500000000001E-2</v>
      </c>
      <c r="AB337" s="21">
        <v>327</v>
      </c>
      <c r="AC337" s="21">
        <v>1.54633</v>
      </c>
      <c r="AD337">
        <f t="shared" si="64"/>
        <v>14.742592592592592</v>
      </c>
      <c r="AE337">
        <f t="shared" si="65"/>
        <v>22.801335981481479</v>
      </c>
      <c r="AF337" s="9"/>
      <c r="AG337" s="21">
        <v>1.5466299999999999</v>
      </c>
      <c r="AH337" s="21">
        <v>21.7638</v>
      </c>
      <c r="AI337" s="21">
        <v>-1.19232E-2</v>
      </c>
      <c r="AJ337" s="21">
        <v>327</v>
      </c>
      <c r="AK337" s="21">
        <v>1.5466299999999999</v>
      </c>
      <c r="AL337">
        <f t="shared" si="66"/>
        <v>14.719999999999999</v>
      </c>
      <c r="AM337">
        <f t="shared" si="67"/>
        <v>22.766393599999997</v>
      </c>
      <c r="AP337" s="9"/>
      <c r="AQ337" s="21">
        <v>0.143433</v>
      </c>
      <c r="AR337" s="21">
        <v>27.242999999999999</v>
      </c>
      <c r="AS337" s="21">
        <v>-1.4025900000000001E-2</v>
      </c>
      <c r="AT337" s="21">
        <v>327</v>
      </c>
      <c r="AU337" s="21">
        <v>0.14300499999999999</v>
      </c>
      <c r="AV337">
        <f t="shared" si="68"/>
        <v>17.315925925925924</v>
      </c>
      <c r="AW337">
        <f t="shared" si="69"/>
        <v>2.4836752033333331</v>
      </c>
      <c r="AX337" s="9"/>
      <c r="AY337" s="21">
        <v>1.5466299999999999</v>
      </c>
      <c r="AZ337" s="21">
        <v>31.042000000000002</v>
      </c>
      <c r="BA337" s="21">
        <v>-1.1969E-2</v>
      </c>
      <c r="BB337" s="21">
        <v>327</v>
      </c>
      <c r="BC337" s="21">
        <v>1.54541</v>
      </c>
      <c r="BD337">
        <f t="shared" si="70"/>
        <v>14.776543209876543</v>
      </c>
      <c r="BE337">
        <f t="shared" si="71"/>
        <v>22.853845024691356</v>
      </c>
    </row>
    <row r="338" spans="6:57" x14ac:dyDescent="0.25">
      <c r="F338" s="9"/>
      <c r="G338" s="21">
        <v>0.13839699999999999</v>
      </c>
      <c r="H338" s="21">
        <v>8.6756100000000007</v>
      </c>
      <c r="I338" s="21">
        <v>-1.41418E-2</v>
      </c>
      <c r="J338" s="21">
        <v>328</v>
      </c>
      <c r="K338" s="21">
        <v>0.137878</v>
      </c>
      <c r="L338">
        <f t="shared" si="60"/>
        <v>17.45901234567901</v>
      </c>
      <c r="M338">
        <f t="shared" si="61"/>
        <v>2.4162749316049377</v>
      </c>
      <c r="N338" s="9"/>
      <c r="O338" s="21">
        <v>1.5516700000000001</v>
      </c>
      <c r="P338" s="21">
        <v>12.4747</v>
      </c>
      <c r="Q338" s="21">
        <v>-1.18805E-2</v>
      </c>
      <c r="R338" s="21">
        <v>328</v>
      </c>
      <c r="S338" s="21">
        <v>1.5502899999999999</v>
      </c>
      <c r="T338">
        <f t="shared" si="62"/>
        <v>14.667283950617284</v>
      </c>
      <c r="U338">
        <f t="shared" si="63"/>
        <v>22.758784487654321</v>
      </c>
      <c r="X338" s="9"/>
      <c r="Y338" s="21">
        <v>1.5516700000000001</v>
      </c>
      <c r="Z338" s="21">
        <v>12.4747</v>
      </c>
      <c r="AA338" s="21">
        <v>-1.18805E-2</v>
      </c>
      <c r="AB338" s="21">
        <v>328</v>
      </c>
      <c r="AC338" s="21">
        <v>1.5502899999999999</v>
      </c>
      <c r="AD338">
        <f t="shared" si="64"/>
        <v>14.667283950617284</v>
      </c>
      <c r="AE338">
        <f t="shared" si="65"/>
        <v>22.758784487654321</v>
      </c>
      <c r="AF338" s="9"/>
      <c r="AG338" s="21">
        <v>1.5516700000000001</v>
      </c>
      <c r="AH338" s="21">
        <v>21.773900000000001</v>
      </c>
      <c r="AI338" s="21">
        <v>-1.1865199999999999E-2</v>
      </c>
      <c r="AJ338" s="21">
        <v>328</v>
      </c>
      <c r="AK338" s="21">
        <v>1.55121</v>
      </c>
      <c r="AL338">
        <f t="shared" si="66"/>
        <v>14.648395061728394</v>
      </c>
      <c r="AM338">
        <f t="shared" si="67"/>
        <v>22.729475165432099</v>
      </c>
      <c r="AP338" s="9"/>
      <c r="AQ338" s="21">
        <v>0.13839699999999999</v>
      </c>
      <c r="AR338" s="21">
        <v>27.2531</v>
      </c>
      <c r="AS338" s="21">
        <v>-1.40289E-2</v>
      </c>
      <c r="AT338" s="21">
        <v>328</v>
      </c>
      <c r="AU338" s="21">
        <v>0.137909</v>
      </c>
      <c r="AV338">
        <f t="shared" si="68"/>
        <v>17.319629629629631</v>
      </c>
      <c r="AW338">
        <f t="shared" si="69"/>
        <v>2.3969847818518519</v>
      </c>
      <c r="AX338" s="9"/>
      <c r="AY338" s="21">
        <v>1.5516700000000001</v>
      </c>
      <c r="AZ338" s="21">
        <v>31.052099999999999</v>
      </c>
      <c r="BA338" s="21">
        <v>-1.19171E-2</v>
      </c>
      <c r="BB338" s="21">
        <v>328</v>
      </c>
      <c r="BC338" s="21">
        <v>1.55121</v>
      </c>
      <c r="BD338">
        <f t="shared" si="70"/>
        <v>14.712469135802468</v>
      </c>
      <c r="BE338">
        <f t="shared" si="71"/>
        <v>22.828896983950617</v>
      </c>
    </row>
    <row r="339" spans="6:57" x14ac:dyDescent="0.25">
      <c r="F339" s="9"/>
      <c r="G339" s="21">
        <v>0.13336200000000001</v>
      </c>
      <c r="H339" s="21">
        <v>8.6856899999999992</v>
      </c>
      <c r="I339" s="21">
        <v>-1.41418E-2</v>
      </c>
      <c r="J339" s="21">
        <v>329</v>
      </c>
      <c r="K339" s="21">
        <v>0.13284299999999999</v>
      </c>
      <c r="L339">
        <f t="shared" si="60"/>
        <v>17.45901234567901</v>
      </c>
      <c r="M339">
        <f t="shared" si="61"/>
        <v>2.3283688044444442</v>
      </c>
      <c r="N339" s="9"/>
      <c r="O339" s="21">
        <v>1.5567</v>
      </c>
      <c r="P339" s="21">
        <v>12.4847</v>
      </c>
      <c r="Q339" s="21">
        <v>-1.18256E-2</v>
      </c>
      <c r="R339" s="21">
        <v>329</v>
      </c>
      <c r="S339" s="21">
        <v>1.55609</v>
      </c>
      <c r="T339">
        <f t="shared" si="62"/>
        <v>14.599506172839504</v>
      </c>
      <c r="U339">
        <f t="shared" si="63"/>
        <v>22.727051259259255</v>
      </c>
      <c r="X339" s="9"/>
      <c r="Y339" s="21">
        <v>1.5567</v>
      </c>
      <c r="Z339" s="21">
        <v>12.4847</v>
      </c>
      <c r="AA339" s="21">
        <v>-1.18256E-2</v>
      </c>
      <c r="AB339" s="21">
        <v>329</v>
      </c>
      <c r="AC339" s="21">
        <v>1.55609</v>
      </c>
      <c r="AD339">
        <f t="shared" si="64"/>
        <v>14.599506172839504</v>
      </c>
      <c r="AE339">
        <f t="shared" si="65"/>
        <v>22.727051259259255</v>
      </c>
      <c r="AF339" s="9"/>
      <c r="AG339" s="21">
        <v>1.5567</v>
      </c>
      <c r="AH339" s="21">
        <v>21.783999999999999</v>
      </c>
      <c r="AI339" s="21">
        <v>-1.1816399999999999E-2</v>
      </c>
      <c r="AJ339" s="21">
        <v>329</v>
      </c>
      <c r="AK339" s="21">
        <v>1.55579</v>
      </c>
      <c r="AL339">
        <f t="shared" si="66"/>
        <v>14.588148148148147</v>
      </c>
      <c r="AM339">
        <f t="shared" si="67"/>
        <v>22.709370222222219</v>
      </c>
      <c r="AP339" s="9"/>
      <c r="AQ339" s="21">
        <v>0.13336200000000001</v>
      </c>
      <c r="AR339" s="21">
        <v>27.263100000000001</v>
      </c>
      <c r="AS339" s="21">
        <v>-1.4047199999999999E-2</v>
      </c>
      <c r="AT339" s="21">
        <v>329</v>
      </c>
      <c r="AU339" s="21">
        <v>0.13272100000000001</v>
      </c>
      <c r="AV339">
        <f t="shared" si="68"/>
        <v>17.342222222222222</v>
      </c>
      <c r="AW339">
        <f t="shared" si="69"/>
        <v>2.3127934400000001</v>
      </c>
      <c r="AX339" s="9"/>
      <c r="AY339" s="21">
        <v>1.5567</v>
      </c>
      <c r="AZ339" s="21">
        <v>31.062200000000001</v>
      </c>
      <c r="BA339" s="21">
        <v>-1.1849999999999999E-2</v>
      </c>
      <c r="BB339" s="21">
        <v>329</v>
      </c>
      <c r="BC339" s="21">
        <v>1.5564</v>
      </c>
      <c r="BD339">
        <f t="shared" si="70"/>
        <v>14.629629629629628</v>
      </c>
      <c r="BE339">
        <f t="shared" si="71"/>
        <v>22.773944444444442</v>
      </c>
    </row>
    <row r="340" spans="6:57" x14ac:dyDescent="0.25">
      <c r="F340" s="9"/>
      <c r="G340" s="21">
        <v>0.128326</v>
      </c>
      <c r="H340" s="21">
        <v>8.6957599999999999</v>
      </c>
      <c r="I340" s="21">
        <v>-1.4154099999999999E-2</v>
      </c>
      <c r="J340" s="21">
        <v>330</v>
      </c>
      <c r="K340" s="21">
        <v>0.12783800000000001</v>
      </c>
      <c r="L340">
        <f t="shared" si="60"/>
        <v>17.474197530864195</v>
      </c>
      <c r="M340">
        <f t="shared" si="61"/>
        <v>2.2423938723456787</v>
      </c>
      <c r="N340" s="9"/>
      <c r="O340" s="21">
        <v>1.5617399999999999</v>
      </c>
      <c r="P340" s="21">
        <v>12.4948</v>
      </c>
      <c r="Q340" s="21">
        <v>-1.17523E-2</v>
      </c>
      <c r="R340" s="21">
        <v>330</v>
      </c>
      <c r="S340" s="21">
        <v>1.56067</v>
      </c>
      <c r="T340">
        <f t="shared" si="62"/>
        <v>14.509012345679011</v>
      </c>
      <c r="U340">
        <f t="shared" si="63"/>
        <v>22.659304940740736</v>
      </c>
      <c r="X340" s="9"/>
      <c r="Y340" s="21">
        <v>1.5617399999999999</v>
      </c>
      <c r="Z340" s="21">
        <v>12.4948</v>
      </c>
      <c r="AA340" s="21">
        <v>-1.17523E-2</v>
      </c>
      <c r="AB340" s="21">
        <v>330</v>
      </c>
      <c r="AC340" s="21">
        <v>1.56067</v>
      </c>
      <c r="AD340">
        <f t="shared" si="64"/>
        <v>14.509012345679011</v>
      </c>
      <c r="AE340">
        <f t="shared" si="65"/>
        <v>22.659304940740736</v>
      </c>
      <c r="AF340" s="9"/>
      <c r="AG340" s="21">
        <v>1.5617399999999999</v>
      </c>
      <c r="AH340" s="21">
        <v>21.794</v>
      </c>
      <c r="AI340" s="21">
        <v>-1.1761499999999999E-2</v>
      </c>
      <c r="AJ340" s="21">
        <v>330</v>
      </c>
      <c r="AK340" s="21">
        <v>1.56067</v>
      </c>
      <c r="AL340">
        <f t="shared" si="66"/>
        <v>14.520370370370369</v>
      </c>
      <c r="AM340">
        <f t="shared" si="67"/>
        <v>22.677043222222217</v>
      </c>
      <c r="AP340" s="9"/>
      <c r="AQ340" s="21">
        <v>0.128326</v>
      </c>
      <c r="AR340" s="21">
        <v>27.273199999999999</v>
      </c>
      <c r="AS340" s="21">
        <v>-1.40625E-2</v>
      </c>
      <c r="AT340" s="21">
        <v>330</v>
      </c>
      <c r="AU340" s="21">
        <v>0.12768599999999999</v>
      </c>
      <c r="AV340">
        <f t="shared" si="68"/>
        <v>17.361111111111111</v>
      </c>
      <c r="AW340">
        <f t="shared" si="69"/>
        <v>2.2278819444444444</v>
      </c>
      <c r="AX340" s="9"/>
      <c r="AY340" s="21">
        <v>1.5617399999999999</v>
      </c>
      <c r="AZ340" s="21">
        <v>31.072199999999999</v>
      </c>
      <c r="BA340" s="21">
        <v>-1.17737E-2</v>
      </c>
      <c r="BB340" s="21">
        <v>330</v>
      </c>
      <c r="BC340" s="21">
        <v>1.56128</v>
      </c>
      <c r="BD340">
        <f t="shared" si="70"/>
        <v>14.535432098765432</v>
      </c>
      <c r="BE340">
        <f t="shared" si="71"/>
        <v>22.700565725925923</v>
      </c>
    </row>
    <row r="341" spans="6:57" x14ac:dyDescent="0.25">
      <c r="F341" s="9"/>
      <c r="G341" s="21">
        <v>0.123291</v>
      </c>
      <c r="H341" s="21">
        <v>8.7058300000000006</v>
      </c>
      <c r="I341" s="21">
        <v>-1.4157100000000001E-2</v>
      </c>
      <c r="J341" s="21">
        <v>331</v>
      </c>
      <c r="K341" s="21">
        <v>0.12277200000000001</v>
      </c>
      <c r="L341">
        <f t="shared" si="60"/>
        <v>17.477901234567902</v>
      </c>
      <c r="M341">
        <f t="shared" si="61"/>
        <v>2.1548679211111113</v>
      </c>
      <c r="N341" s="9"/>
      <c r="O341" s="21">
        <v>1.56677</v>
      </c>
      <c r="P341" s="21">
        <v>12.504899999999999</v>
      </c>
      <c r="Q341" s="21">
        <v>-1.16791E-2</v>
      </c>
      <c r="R341" s="21">
        <v>331</v>
      </c>
      <c r="S341" s="21">
        <v>1.56586</v>
      </c>
      <c r="T341">
        <f t="shared" si="62"/>
        <v>14.41864197530864</v>
      </c>
      <c r="U341">
        <f t="shared" si="63"/>
        <v>22.590695687654318</v>
      </c>
      <c r="X341" s="9"/>
      <c r="Y341" s="21">
        <v>1.56677</v>
      </c>
      <c r="Z341" s="21">
        <v>12.504899999999999</v>
      </c>
      <c r="AA341" s="21">
        <v>-1.16791E-2</v>
      </c>
      <c r="AB341" s="21">
        <v>331</v>
      </c>
      <c r="AC341" s="21">
        <v>1.56586</v>
      </c>
      <c r="AD341">
        <f t="shared" si="64"/>
        <v>14.41864197530864</v>
      </c>
      <c r="AE341">
        <f t="shared" si="65"/>
        <v>22.590695687654318</v>
      </c>
      <c r="AF341" s="9"/>
      <c r="AG341" s="21">
        <v>1.56677</v>
      </c>
      <c r="AH341" s="21">
        <v>21.804099999999998</v>
      </c>
      <c r="AI341" s="21">
        <v>-1.16913E-2</v>
      </c>
      <c r="AJ341" s="21">
        <v>331</v>
      </c>
      <c r="AK341" s="21">
        <v>1.56616</v>
      </c>
      <c r="AL341">
        <f t="shared" si="66"/>
        <v>14.433703703703703</v>
      </c>
      <c r="AM341">
        <f t="shared" si="67"/>
        <v>22.614293951851849</v>
      </c>
      <c r="AP341" s="9"/>
      <c r="AQ341" s="21">
        <v>0.123291</v>
      </c>
      <c r="AR341" s="21">
        <v>27.283300000000001</v>
      </c>
      <c r="AS341" s="21">
        <v>-1.4065599999999999E-2</v>
      </c>
      <c r="AT341" s="21">
        <v>331</v>
      </c>
      <c r="AU341" s="21">
        <v>0.122803</v>
      </c>
      <c r="AV341">
        <f t="shared" si="68"/>
        <v>17.364938271604938</v>
      </c>
      <c r="AW341">
        <f t="shared" si="69"/>
        <v>2.1409406044444443</v>
      </c>
      <c r="AX341" s="9"/>
      <c r="AY341" s="21">
        <v>1.56677</v>
      </c>
      <c r="AZ341" s="21">
        <v>31.0823</v>
      </c>
      <c r="BA341" s="21">
        <v>-1.16974E-2</v>
      </c>
      <c r="BB341" s="21">
        <v>331</v>
      </c>
      <c r="BC341" s="21">
        <v>1.56586</v>
      </c>
      <c r="BD341">
        <f t="shared" si="70"/>
        <v>14.441234567901233</v>
      </c>
      <c r="BE341">
        <f t="shared" si="71"/>
        <v>22.626093083950614</v>
      </c>
    </row>
    <row r="342" spans="6:57" x14ac:dyDescent="0.25">
      <c r="F342" s="9"/>
      <c r="G342" s="21">
        <v>0.118256</v>
      </c>
      <c r="H342" s="21">
        <v>8.7158999999999995</v>
      </c>
      <c r="I342" s="21">
        <v>-1.4169299999999999E-2</v>
      </c>
      <c r="J342" s="21">
        <v>332</v>
      </c>
      <c r="K342" s="21">
        <v>0.11788899999999999</v>
      </c>
      <c r="L342">
        <f t="shared" si="60"/>
        <v>17.492962962962959</v>
      </c>
      <c r="M342">
        <f t="shared" si="61"/>
        <v>2.0686478281481477</v>
      </c>
      <c r="N342" s="9"/>
      <c r="O342" s="21">
        <v>1.5718099999999999</v>
      </c>
      <c r="P342" s="21">
        <v>12.514900000000001</v>
      </c>
      <c r="Q342" s="21">
        <v>-1.1599699999999999E-2</v>
      </c>
      <c r="R342" s="21">
        <v>332</v>
      </c>
      <c r="S342" s="21">
        <v>1.5716600000000001</v>
      </c>
      <c r="T342">
        <f t="shared" si="62"/>
        <v>14.320617283950616</v>
      </c>
      <c r="U342">
        <f t="shared" si="63"/>
        <v>22.509289453086417</v>
      </c>
      <c r="X342" s="9"/>
      <c r="Y342" s="21">
        <v>1.5718099999999999</v>
      </c>
      <c r="Z342" s="21">
        <v>12.514900000000001</v>
      </c>
      <c r="AA342" s="21">
        <v>-1.1599699999999999E-2</v>
      </c>
      <c r="AB342" s="21">
        <v>332</v>
      </c>
      <c r="AC342" s="21">
        <v>1.5716600000000001</v>
      </c>
      <c r="AD342">
        <f t="shared" si="64"/>
        <v>14.320617283950616</v>
      </c>
      <c r="AE342">
        <f t="shared" si="65"/>
        <v>22.509289453086417</v>
      </c>
      <c r="AF342" s="9"/>
      <c r="AG342" s="21">
        <v>1.5718099999999999</v>
      </c>
      <c r="AH342" s="21">
        <v>21.8142</v>
      </c>
      <c r="AI342" s="21">
        <v>-1.1618E-2</v>
      </c>
      <c r="AJ342" s="21">
        <v>332</v>
      </c>
      <c r="AK342" s="21">
        <v>1.57104</v>
      </c>
      <c r="AL342">
        <f t="shared" si="66"/>
        <v>14.343209876543209</v>
      </c>
      <c r="AM342">
        <f t="shared" si="67"/>
        <v>22.54480071604938</v>
      </c>
      <c r="AP342" s="9"/>
      <c r="AQ342" s="21">
        <v>0.118256</v>
      </c>
      <c r="AR342" s="21">
        <v>27.293299999999999</v>
      </c>
      <c r="AS342" s="21">
        <v>-1.40564E-2</v>
      </c>
      <c r="AT342" s="21">
        <v>332</v>
      </c>
      <c r="AU342" s="21">
        <v>0.11773699999999999</v>
      </c>
      <c r="AV342">
        <f t="shared" si="68"/>
        <v>17.35358024691358</v>
      </c>
      <c r="AW342">
        <f t="shared" si="69"/>
        <v>2.0521649856790125</v>
      </c>
      <c r="AX342" s="9"/>
      <c r="AY342" s="21">
        <v>1.5718099999999999</v>
      </c>
      <c r="AZ342" s="21">
        <v>31.092400000000001</v>
      </c>
      <c r="BA342" s="21">
        <v>-1.1627200000000001E-2</v>
      </c>
      <c r="BB342" s="21">
        <v>332</v>
      </c>
      <c r="BC342" s="21">
        <v>1.57104</v>
      </c>
      <c r="BD342">
        <f t="shared" si="70"/>
        <v>14.354567901234569</v>
      </c>
      <c r="BE342">
        <f t="shared" si="71"/>
        <v>22.562653372839506</v>
      </c>
    </row>
    <row r="343" spans="6:57" x14ac:dyDescent="0.25">
      <c r="F343" s="9"/>
      <c r="G343" s="21">
        <v>0.11322</v>
      </c>
      <c r="H343" s="21">
        <v>8.7259700000000002</v>
      </c>
      <c r="I343" s="21">
        <v>-1.41785E-2</v>
      </c>
      <c r="J343" s="21">
        <v>333</v>
      </c>
      <c r="K343" s="21">
        <v>0.112701</v>
      </c>
      <c r="L343">
        <f t="shared" si="60"/>
        <v>17.504320987654321</v>
      </c>
      <c r="M343">
        <f t="shared" si="61"/>
        <v>1.9818392222222223</v>
      </c>
      <c r="N343" s="9"/>
      <c r="O343" s="21">
        <v>1.57684</v>
      </c>
      <c r="P343" s="21">
        <v>12.525</v>
      </c>
      <c r="Q343" s="21">
        <v>-1.15326E-2</v>
      </c>
      <c r="R343" s="21">
        <v>333</v>
      </c>
      <c r="S343" s="21">
        <v>1.5759300000000001</v>
      </c>
      <c r="T343">
        <f t="shared" si="62"/>
        <v>14.237777777777778</v>
      </c>
      <c r="U343">
        <f t="shared" si="63"/>
        <v>22.450697511111112</v>
      </c>
      <c r="X343" s="9"/>
      <c r="Y343" s="21">
        <v>1.57684</v>
      </c>
      <c r="Z343" s="21">
        <v>12.525</v>
      </c>
      <c r="AA343" s="21">
        <v>-1.15326E-2</v>
      </c>
      <c r="AB343" s="21">
        <v>333</v>
      </c>
      <c r="AC343" s="21">
        <v>1.5759300000000001</v>
      </c>
      <c r="AD343">
        <f t="shared" si="64"/>
        <v>14.237777777777778</v>
      </c>
      <c r="AE343">
        <f t="shared" si="65"/>
        <v>22.450697511111112</v>
      </c>
      <c r="AF343" s="9"/>
      <c r="AG343" s="21">
        <v>1.57684</v>
      </c>
      <c r="AH343" s="21">
        <v>21.824200000000001</v>
      </c>
      <c r="AI343" s="21">
        <v>-1.1538700000000001E-2</v>
      </c>
      <c r="AJ343" s="21">
        <v>333</v>
      </c>
      <c r="AK343" s="21">
        <v>1.57623</v>
      </c>
      <c r="AL343">
        <f t="shared" si="66"/>
        <v>14.245308641975308</v>
      </c>
      <c r="AM343">
        <f t="shared" si="67"/>
        <v>22.462572479012344</v>
      </c>
      <c r="AP343" s="9"/>
      <c r="AQ343" s="21">
        <v>0.11322</v>
      </c>
      <c r="AR343" s="21">
        <v>27.3034</v>
      </c>
      <c r="AS343" s="21">
        <v>-1.40594E-2</v>
      </c>
      <c r="AT343" s="21">
        <v>333</v>
      </c>
      <c r="AU343" s="21">
        <v>0.112732</v>
      </c>
      <c r="AV343">
        <f t="shared" si="68"/>
        <v>17.357283950617283</v>
      </c>
      <c r="AW343">
        <f t="shared" si="69"/>
        <v>1.9651916888888887</v>
      </c>
      <c r="AX343" s="9"/>
      <c r="AY343" s="21">
        <v>1.57684</v>
      </c>
      <c r="AZ343" s="21">
        <v>31.102499999999999</v>
      </c>
      <c r="BA343" s="21">
        <v>-1.15479E-2</v>
      </c>
      <c r="BB343" s="21">
        <v>333</v>
      </c>
      <c r="BC343" s="21">
        <v>1.57623</v>
      </c>
      <c r="BD343">
        <f t="shared" si="70"/>
        <v>14.256666666666666</v>
      </c>
      <c r="BE343">
        <f t="shared" si="71"/>
        <v>22.480482266666666</v>
      </c>
    </row>
    <row r="344" spans="6:57" x14ac:dyDescent="0.25">
      <c r="F344" s="9"/>
      <c r="G344" s="21">
        <v>0.108185</v>
      </c>
      <c r="H344" s="21">
        <v>8.7360399999999991</v>
      </c>
      <c r="I344" s="21">
        <v>-1.4190700000000001E-2</v>
      </c>
      <c r="J344" s="21">
        <v>334</v>
      </c>
      <c r="K344" s="21">
        <v>0.10760500000000001</v>
      </c>
      <c r="L344">
        <f t="shared" si="60"/>
        <v>17.519382716049382</v>
      </c>
      <c r="M344">
        <f t="shared" si="61"/>
        <v>1.8953344191358024</v>
      </c>
      <c r="N344" s="9"/>
      <c r="O344" s="21">
        <v>1.58188</v>
      </c>
      <c r="P344" s="21">
        <v>12.5351</v>
      </c>
      <c r="Q344" s="21">
        <v>-1.14746E-2</v>
      </c>
      <c r="R344" s="21">
        <v>334</v>
      </c>
      <c r="S344" s="21">
        <v>1.5811200000000001</v>
      </c>
      <c r="T344">
        <f t="shared" si="62"/>
        <v>14.166172839506173</v>
      </c>
      <c r="U344">
        <f t="shared" si="63"/>
        <v>22.409185491358024</v>
      </c>
      <c r="X344" s="9"/>
      <c r="Y344" s="21">
        <v>1.58188</v>
      </c>
      <c r="Z344" s="21">
        <v>12.5351</v>
      </c>
      <c r="AA344" s="21">
        <v>-1.14746E-2</v>
      </c>
      <c r="AB344" s="21">
        <v>334</v>
      </c>
      <c r="AC344" s="21">
        <v>1.5811200000000001</v>
      </c>
      <c r="AD344">
        <f t="shared" si="64"/>
        <v>14.166172839506173</v>
      </c>
      <c r="AE344">
        <f t="shared" si="65"/>
        <v>22.409185491358024</v>
      </c>
      <c r="AF344" s="9"/>
      <c r="AG344" s="21">
        <v>1.58188</v>
      </c>
      <c r="AH344" s="21">
        <v>21.834299999999999</v>
      </c>
      <c r="AI344" s="21">
        <v>-1.14594E-2</v>
      </c>
      <c r="AJ344" s="21">
        <v>334</v>
      </c>
      <c r="AK344" s="21">
        <v>1.5811200000000001</v>
      </c>
      <c r="AL344">
        <f t="shared" si="66"/>
        <v>14.147407407407405</v>
      </c>
      <c r="AM344">
        <f t="shared" si="67"/>
        <v>22.379500829629624</v>
      </c>
      <c r="AP344" s="9"/>
      <c r="AQ344" s="21">
        <v>0.108185</v>
      </c>
      <c r="AR344" s="21">
        <v>27.313500000000001</v>
      </c>
      <c r="AS344" s="21">
        <v>-1.40594E-2</v>
      </c>
      <c r="AT344" s="21">
        <v>334</v>
      </c>
      <c r="AU344" s="21">
        <v>0.107727</v>
      </c>
      <c r="AV344">
        <f t="shared" si="68"/>
        <v>17.357283950617283</v>
      </c>
      <c r="AW344">
        <f t="shared" si="69"/>
        <v>1.8777977641975307</v>
      </c>
      <c r="AX344" s="9"/>
      <c r="AY344" s="21">
        <v>1.58188</v>
      </c>
      <c r="AZ344" s="21">
        <v>31.112500000000001</v>
      </c>
      <c r="BA344" s="21">
        <v>-1.14716E-2</v>
      </c>
      <c r="BB344" s="21">
        <v>334</v>
      </c>
      <c r="BC344" s="21">
        <v>1.58081</v>
      </c>
      <c r="BD344">
        <f t="shared" si="70"/>
        <v>14.162469135802469</v>
      </c>
      <c r="BE344">
        <f t="shared" si="71"/>
        <v>22.403326676543209</v>
      </c>
    </row>
    <row r="345" spans="6:57" x14ac:dyDescent="0.25">
      <c r="F345" s="9"/>
      <c r="G345" s="21">
        <v>0.103149</v>
      </c>
      <c r="H345" s="21">
        <v>8.7461099999999998</v>
      </c>
      <c r="I345" s="21">
        <v>-1.4202899999999999E-2</v>
      </c>
      <c r="J345" s="21">
        <v>335</v>
      </c>
      <c r="K345" s="21">
        <v>0.102631</v>
      </c>
      <c r="L345">
        <f t="shared" si="60"/>
        <v>17.534444444444443</v>
      </c>
      <c r="M345">
        <f t="shared" si="61"/>
        <v>1.8086604099999999</v>
      </c>
      <c r="N345" s="9"/>
      <c r="O345" s="21">
        <v>1.58691</v>
      </c>
      <c r="P345" s="21">
        <v>12.545199999999999</v>
      </c>
      <c r="Q345" s="21">
        <v>-1.1401400000000001E-2</v>
      </c>
      <c r="R345" s="21">
        <v>335</v>
      </c>
      <c r="S345" s="21">
        <v>1.5860000000000001</v>
      </c>
      <c r="T345">
        <f t="shared" si="62"/>
        <v>14.075802469135803</v>
      </c>
      <c r="U345">
        <f t="shared" si="63"/>
        <v>22.337031696296297</v>
      </c>
      <c r="X345" s="9"/>
      <c r="Y345" s="21">
        <v>1.58691</v>
      </c>
      <c r="Z345" s="21">
        <v>12.545199999999999</v>
      </c>
      <c r="AA345" s="21">
        <v>-1.1401400000000001E-2</v>
      </c>
      <c r="AB345" s="21">
        <v>335</v>
      </c>
      <c r="AC345" s="21">
        <v>1.5860000000000001</v>
      </c>
      <c r="AD345">
        <f t="shared" si="64"/>
        <v>14.075802469135803</v>
      </c>
      <c r="AE345">
        <f t="shared" si="65"/>
        <v>22.337031696296297</v>
      </c>
      <c r="AF345" s="9"/>
      <c r="AG345" s="21">
        <v>1.58691</v>
      </c>
      <c r="AH345" s="21">
        <v>21.8444</v>
      </c>
      <c r="AI345" s="21">
        <v>-1.1377E-2</v>
      </c>
      <c r="AJ345" s="21">
        <v>335</v>
      </c>
      <c r="AK345" s="21">
        <v>1.58569</v>
      </c>
      <c r="AL345">
        <f t="shared" si="66"/>
        <v>14.045679012345678</v>
      </c>
      <c r="AM345">
        <f t="shared" si="67"/>
        <v>22.28922848148148</v>
      </c>
      <c r="AP345" s="9"/>
      <c r="AQ345" s="21">
        <v>0.103149</v>
      </c>
      <c r="AR345" s="21">
        <v>27.323599999999999</v>
      </c>
      <c r="AS345" s="21">
        <v>-1.40594E-2</v>
      </c>
      <c r="AT345" s="21">
        <v>335</v>
      </c>
      <c r="AU345" s="21">
        <v>0.10272199999999999</v>
      </c>
      <c r="AV345">
        <f t="shared" si="68"/>
        <v>17.357283950617283</v>
      </c>
      <c r="AW345">
        <f t="shared" si="69"/>
        <v>1.7903864822222222</v>
      </c>
      <c r="AX345" s="9"/>
      <c r="AY345" s="21">
        <v>1.58691</v>
      </c>
      <c r="AZ345" s="21">
        <v>31.122599999999998</v>
      </c>
      <c r="BA345" s="21">
        <v>-1.1395300000000001E-2</v>
      </c>
      <c r="BB345" s="21">
        <v>335</v>
      </c>
      <c r="BC345" s="21">
        <v>1.5863</v>
      </c>
      <c r="BD345">
        <f t="shared" si="70"/>
        <v>14.068271604938271</v>
      </c>
      <c r="BE345">
        <f t="shared" si="71"/>
        <v>22.325080892592592</v>
      </c>
    </row>
    <row r="346" spans="6:57" x14ac:dyDescent="0.25">
      <c r="F346" s="9"/>
      <c r="G346" s="21">
        <v>9.8114000000000007E-2</v>
      </c>
      <c r="H346" s="21">
        <v>8.7561800000000005</v>
      </c>
      <c r="I346" s="21">
        <v>-1.4202899999999999E-2</v>
      </c>
      <c r="J346" s="21">
        <v>336</v>
      </c>
      <c r="K346" s="21">
        <v>9.7656300000000001E-2</v>
      </c>
      <c r="L346">
        <f t="shared" si="60"/>
        <v>17.534444444444443</v>
      </c>
      <c r="M346">
        <f t="shared" si="61"/>
        <v>1.7203744822222222</v>
      </c>
      <c r="N346" s="9"/>
      <c r="O346" s="21">
        <v>1.59195</v>
      </c>
      <c r="P346" s="21">
        <v>12.555199999999999</v>
      </c>
      <c r="Q346" s="21">
        <v>-1.1318999999999999E-2</v>
      </c>
      <c r="R346" s="21">
        <v>336</v>
      </c>
      <c r="S346" s="21">
        <v>1.5918000000000001</v>
      </c>
      <c r="T346">
        <f t="shared" si="62"/>
        <v>13.974074074074073</v>
      </c>
      <c r="U346">
        <f t="shared" si="63"/>
        <v>22.246027222222221</v>
      </c>
      <c r="X346" s="9"/>
      <c r="Y346" s="21">
        <v>1.59195</v>
      </c>
      <c r="Z346" s="21">
        <v>12.555199999999999</v>
      </c>
      <c r="AA346" s="21">
        <v>-1.1318999999999999E-2</v>
      </c>
      <c r="AB346" s="21">
        <v>336</v>
      </c>
      <c r="AC346" s="21">
        <v>1.5918000000000001</v>
      </c>
      <c r="AD346">
        <f t="shared" si="64"/>
        <v>13.974074074074073</v>
      </c>
      <c r="AE346">
        <f t="shared" si="65"/>
        <v>22.246027222222221</v>
      </c>
      <c r="AF346" s="9"/>
      <c r="AG346" s="21">
        <v>1.59195</v>
      </c>
      <c r="AH346" s="21">
        <v>21.854399999999998</v>
      </c>
      <c r="AI346" s="21">
        <v>-1.1291499999999999E-2</v>
      </c>
      <c r="AJ346" s="21">
        <v>336</v>
      </c>
      <c r="AK346" s="21">
        <v>1.5914900000000001</v>
      </c>
      <c r="AL346">
        <f t="shared" si="66"/>
        <v>13.940123456790122</v>
      </c>
      <c r="AM346">
        <f t="shared" si="67"/>
        <v>22.191979537037035</v>
      </c>
      <c r="AP346" s="9"/>
      <c r="AQ346" s="21">
        <v>9.8114000000000007E-2</v>
      </c>
      <c r="AR346" s="21">
        <v>27.333600000000001</v>
      </c>
      <c r="AS346" s="21">
        <v>-1.40625E-2</v>
      </c>
      <c r="AT346" s="21">
        <v>336</v>
      </c>
      <c r="AU346" s="21">
        <v>9.7625699999999996E-2</v>
      </c>
      <c r="AV346">
        <f t="shared" si="68"/>
        <v>17.361111111111111</v>
      </c>
      <c r="AW346">
        <f t="shared" si="69"/>
        <v>1.7033680555555557</v>
      </c>
      <c r="AX346" s="9"/>
      <c r="AY346" s="21">
        <v>1.59195</v>
      </c>
      <c r="AZ346" s="21">
        <v>31.1327</v>
      </c>
      <c r="BA346" s="21">
        <v>-1.13037E-2</v>
      </c>
      <c r="BB346" s="21">
        <v>336</v>
      </c>
      <c r="BC346" s="21">
        <v>1.5918000000000001</v>
      </c>
      <c r="BD346">
        <f t="shared" si="70"/>
        <v>13.955185185185183</v>
      </c>
      <c r="BE346">
        <f t="shared" si="71"/>
        <v>22.215957055555553</v>
      </c>
    </row>
    <row r="347" spans="6:57" x14ac:dyDescent="0.25">
      <c r="F347" s="9"/>
      <c r="G347" s="21">
        <v>9.3078599999999997E-2</v>
      </c>
      <c r="H347" s="21">
        <v>8.7662499999999994</v>
      </c>
      <c r="I347" s="21">
        <v>-1.4202899999999999E-2</v>
      </c>
      <c r="J347" s="21">
        <v>337</v>
      </c>
      <c r="K347" s="21">
        <v>9.2651399999999995E-2</v>
      </c>
      <c r="L347">
        <f t="shared" si="60"/>
        <v>17.534444444444443</v>
      </c>
      <c r="M347">
        <f t="shared" si="61"/>
        <v>1.6320815406666664</v>
      </c>
      <c r="N347" s="9"/>
      <c r="O347" s="21">
        <v>1.5969800000000001</v>
      </c>
      <c r="P347" s="21">
        <v>12.565300000000001</v>
      </c>
      <c r="Q347" s="21">
        <v>-1.12274E-2</v>
      </c>
      <c r="R347" s="21">
        <v>337</v>
      </c>
      <c r="S347" s="21">
        <v>1.5963700000000001</v>
      </c>
      <c r="T347">
        <f t="shared" si="62"/>
        <v>13.860987654320986</v>
      </c>
      <c r="U347">
        <f t="shared" si="63"/>
        <v>22.135720064197528</v>
      </c>
      <c r="X347" s="9"/>
      <c r="Y347" s="21">
        <v>1.5969800000000001</v>
      </c>
      <c r="Z347" s="21">
        <v>12.565300000000001</v>
      </c>
      <c r="AA347" s="21">
        <v>-1.12274E-2</v>
      </c>
      <c r="AB347" s="21">
        <v>337</v>
      </c>
      <c r="AC347" s="21">
        <v>1.5963700000000001</v>
      </c>
      <c r="AD347">
        <f t="shared" si="64"/>
        <v>13.860987654320986</v>
      </c>
      <c r="AE347">
        <f t="shared" si="65"/>
        <v>22.135720064197528</v>
      </c>
      <c r="AF347" s="9"/>
      <c r="AG347" s="21">
        <v>1.5969800000000001</v>
      </c>
      <c r="AH347" s="21">
        <v>21.8645</v>
      </c>
      <c r="AI347" s="21">
        <v>-1.12061E-2</v>
      </c>
      <c r="AJ347" s="21">
        <v>337</v>
      </c>
      <c r="AK347" s="21">
        <v>1.5960700000000001</v>
      </c>
      <c r="AL347">
        <f t="shared" si="66"/>
        <v>13.834691358024692</v>
      </c>
      <c r="AM347">
        <f t="shared" si="67"/>
        <v>22.093725404938272</v>
      </c>
      <c r="AP347" s="9"/>
      <c r="AQ347" s="21">
        <v>9.3078599999999997E-2</v>
      </c>
      <c r="AR347" s="21">
        <v>27.343699999999998</v>
      </c>
      <c r="AS347" s="21">
        <v>-1.40625E-2</v>
      </c>
      <c r="AT347" s="21">
        <v>337</v>
      </c>
      <c r="AU347" s="21">
        <v>9.2559799999999998E-2</v>
      </c>
      <c r="AV347">
        <f t="shared" si="68"/>
        <v>17.361111111111111</v>
      </c>
      <c r="AW347">
        <f t="shared" si="69"/>
        <v>1.6159479166666666</v>
      </c>
      <c r="AX347" s="9"/>
      <c r="AY347" s="21">
        <v>1.5969800000000001</v>
      </c>
      <c r="AZ347" s="21">
        <v>31.142700000000001</v>
      </c>
      <c r="BA347" s="21">
        <v>-1.1224400000000001E-2</v>
      </c>
      <c r="BB347" s="21">
        <v>337</v>
      </c>
      <c r="BC347" s="21">
        <v>1.5957600000000001</v>
      </c>
      <c r="BD347">
        <f t="shared" si="70"/>
        <v>13.857283950617285</v>
      </c>
      <c r="BE347">
        <f t="shared" si="71"/>
        <v>22.129805323456793</v>
      </c>
    </row>
    <row r="348" spans="6:57" x14ac:dyDescent="0.25">
      <c r="F348" s="9"/>
      <c r="G348" s="21">
        <v>8.8043200000000002E-2</v>
      </c>
      <c r="H348" s="21">
        <v>8.7763200000000001</v>
      </c>
      <c r="I348" s="21">
        <v>-1.41937E-2</v>
      </c>
      <c r="J348" s="21">
        <v>338</v>
      </c>
      <c r="K348" s="21">
        <v>8.7677000000000005E-2</v>
      </c>
      <c r="L348">
        <f t="shared" si="60"/>
        <v>17.523086419753085</v>
      </c>
      <c r="M348">
        <f t="shared" si="61"/>
        <v>1.5427886022716049</v>
      </c>
      <c r="N348" s="9"/>
      <c r="O348" s="21">
        <v>1.60202</v>
      </c>
      <c r="P348" s="21">
        <v>12.5754</v>
      </c>
      <c r="Q348" s="21">
        <v>-1.11328E-2</v>
      </c>
      <c r="R348" s="21">
        <v>338</v>
      </c>
      <c r="S348" s="21">
        <v>1.6012599999999999</v>
      </c>
      <c r="T348">
        <f t="shared" si="62"/>
        <v>13.744197530864197</v>
      </c>
      <c r="U348">
        <f t="shared" si="63"/>
        <v>22.01847932839506</v>
      </c>
      <c r="X348" s="9"/>
      <c r="Y348" s="21">
        <v>1.60202</v>
      </c>
      <c r="Z348" s="21">
        <v>12.5754</v>
      </c>
      <c r="AA348" s="21">
        <v>-1.11328E-2</v>
      </c>
      <c r="AB348" s="21">
        <v>338</v>
      </c>
      <c r="AC348" s="21">
        <v>1.6012599999999999</v>
      </c>
      <c r="AD348">
        <f t="shared" si="64"/>
        <v>13.744197530864197</v>
      </c>
      <c r="AE348">
        <f t="shared" si="65"/>
        <v>22.01847932839506</v>
      </c>
      <c r="AF348" s="9"/>
      <c r="AG348" s="21">
        <v>1.60202</v>
      </c>
      <c r="AH348" s="21">
        <v>21.874600000000001</v>
      </c>
      <c r="AI348" s="21">
        <v>-1.1102300000000001E-2</v>
      </c>
      <c r="AJ348" s="21">
        <v>338</v>
      </c>
      <c r="AK348" s="21">
        <v>1.6009500000000001</v>
      </c>
      <c r="AL348">
        <f t="shared" si="66"/>
        <v>13.706543209876543</v>
      </c>
      <c r="AM348">
        <f t="shared" si="67"/>
        <v>21.958156353086419</v>
      </c>
      <c r="AP348" s="9"/>
      <c r="AQ348" s="21">
        <v>8.8043200000000002E-2</v>
      </c>
      <c r="AR348" s="21">
        <v>27.3538</v>
      </c>
      <c r="AS348" s="21">
        <v>-1.4080799999999999E-2</v>
      </c>
      <c r="AT348" s="21">
        <v>338</v>
      </c>
      <c r="AU348" s="21">
        <v>8.7432899999999994E-2</v>
      </c>
      <c r="AV348">
        <f t="shared" si="68"/>
        <v>17.383703703703702</v>
      </c>
      <c r="AW348">
        <f t="shared" si="69"/>
        <v>1.5305169019259257</v>
      </c>
      <c r="AX348" s="9"/>
      <c r="AY348" s="21">
        <v>1.60202</v>
      </c>
      <c r="AZ348" s="21">
        <v>31.152799999999999</v>
      </c>
      <c r="BA348" s="21">
        <v>-1.1135900000000001E-2</v>
      </c>
      <c r="BB348" s="21">
        <v>338</v>
      </c>
      <c r="BC348" s="21">
        <v>1.6018699999999999</v>
      </c>
      <c r="BD348">
        <f t="shared" si="70"/>
        <v>13.748024691358024</v>
      </c>
      <c r="BE348">
        <f t="shared" si="71"/>
        <v>22.024610516049382</v>
      </c>
    </row>
    <row r="349" spans="6:57" x14ac:dyDescent="0.25">
      <c r="F349" s="9"/>
      <c r="G349" s="21">
        <v>8.3007800000000007E-2</v>
      </c>
      <c r="H349" s="21">
        <v>8.7864000000000004</v>
      </c>
      <c r="I349" s="21">
        <v>-1.41937E-2</v>
      </c>
      <c r="J349" s="21">
        <v>339</v>
      </c>
      <c r="K349" s="21">
        <v>8.2336400000000004E-2</v>
      </c>
      <c r="L349">
        <f t="shared" si="60"/>
        <v>17.523086419753085</v>
      </c>
      <c r="M349">
        <f t="shared" si="61"/>
        <v>1.4545528529135803</v>
      </c>
      <c r="N349" s="9"/>
      <c r="O349" s="21">
        <v>1.6070599999999999</v>
      </c>
      <c r="P349" s="21">
        <v>12.5854</v>
      </c>
      <c r="Q349" s="21">
        <v>-1.10321E-2</v>
      </c>
      <c r="R349" s="21">
        <v>339</v>
      </c>
      <c r="S349" s="21">
        <v>1.6064499999999999</v>
      </c>
      <c r="T349">
        <f t="shared" si="62"/>
        <v>13.619876543209877</v>
      </c>
      <c r="U349">
        <f t="shared" si="63"/>
        <v>21.887958797530864</v>
      </c>
      <c r="X349" s="9"/>
      <c r="Y349" s="21">
        <v>1.6070599999999999</v>
      </c>
      <c r="Z349" s="21">
        <v>12.5854</v>
      </c>
      <c r="AA349" s="21">
        <v>-1.10321E-2</v>
      </c>
      <c r="AB349" s="21">
        <v>339</v>
      </c>
      <c r="AC349" s="21">
        <v>1.6064499999999999</v>
      </c>
      <c r="AD349">
        <f t="shared" si="64"/>
        <v>13.619876543209877</v>
      </c>
      <c r="AE349">
        <f t="shared" si="65"/>
        <v>21.887958797530864</v>
      </c>
      <c r="AF349" s="9"/>
      <c r="AG349" s="21">
        <v>1.6070599999999999</v>
      </c>
      <c r="AH349" s="21">
        <v>21.884699999999999</v>
      </c>
      <c r="AI349" s="21">
        <v>-1.09985E-2</v>
      </c>
      <c r="AJ349" s="21">
        <v>339</v>
      </c>
      <c r="AK349" s="21">
        <v>1.6064499999999999</v>
      </c>
      <c r="AL349">
        <f t="shared" si="66"/>
        <v>13.578395061728394</v>
      </c>
      <c r="AM349">
        <f t="shared" si="67"/>
        <v>21.821295567901231</v>
      </c>
      <c r="AP349" s="9"/>
      <c r="AQ349" s="21">
        <v>8.3007800000000007E-2</v>
      </c>
      <c r="AR349" s="21">
        <v>27.363800000000001</v>
      </c>
      <c r="AS349" s="21">
        <v>-1.409E-2</v>
      </c>
      <c r="AT349" s="21">
        <v>339</v>
      </c>
      <c r="AU349" s="21">
        <v>8.2519499999999996E-2</v>
      </c>
      <c r="AV349">
        <f t="shared" si="68"/>
        <v>17.39506172839506</v>
      </c>
      <c r="AW349">
        <f t="shared" si="69"/>
        <v>1.4439258049382715</v>
      </c>
      <c r="AX349" s="9"/>
      <c r="AY349" s="21">
        <v>1.6070599999999999</v>
      </c>
      <c r="AZ349" s="21">
        <v>31.1629</v>
      </c>
      <c r="BA349" s="21">
        <v>-1.10443E-2</v>
      </c>
      <c r="BB349" s="21">
        <v>339</v>
      </c>
      <c r="BC349" s="21">
        <v>1.6061399999999999</v>
      </c>
      <c r="BD349">
        <f t="shared" si="70"/>
        <v>13.634938271604938</v>
      </c>
      <c r="BE349">
        <f t="shared" si="71"/>
        <v>21.912163898765431</v>
      </c>
    </row>
    <row r="350" spans="6:57" x14ac:dyDescent="0.25">
      <c r="F350" s="9"/>
      <c r="G350" s="21">
        <v>7.7972399999999997E-2</v>
      </c>
      <c r="H350" s="21">
        <v>8.7964699999999993</v>
      </c>
      <c r="I350" s="21">
        <v>-1.4196800000000001E-2</v>
      </c>
      <c r="J350" s="21">
        <v>340</v>
      </c>
      <c r="K350" s="21">
        <v>7.7545199999999995E-2</v>
      </c>
      <c r="L350">
        <f t="shared" si="60"/>
        <v>17.526913580246916</v>
      </c>
      <c r="M350">
        <f t="shared" si="61"/>
        <v>1.3666155164444447</v>
      </c>
      <c r="N350" s="9"/>
      <c r="O350" s="21">
        <v>1.61209</v>
      </c>
      <c r="P350" s="21">
        <v>12.595499999999999</v>
      </c>
      <c r="Q350" s="21">
        <v>-1.09192E-2</v>
      </c>
      <c r="R350" s="21">
        <v>340</v>
      </c>
      <c r="S350" s="21">
        <v>1.6116299999999999</v>
      </c>
      <c r="T350">
        <f t="shared" si="62"/>
        <v>13.480493827160494</v>
      </c>
      <c r="U350">
        <f t="shared" si="63"/>
        <v>21.73176929382716</v>
      </c>
      <c r="X350" s="9"/>
      <c r="Y350" s="21">
        <v>1.61209</v>
      </c>
      <c r="Z350" s="21">
        <v>12.595499999999999</v>
      </c>
      <c r="AA350" s="21">
        <v>-1.09192E-2</v>
      </c>
      <c r="AB350" s="21">
        <v>340</v>
      </c>
      <c r="AC350" s="21">
        <v>1.6116299999999999</v>
      </c>
      <c r="AD350">
        <f t="shared" si="64"/>
        <v>13.480493827160494</v>
      </c>
      <c r="AE350">
        <f t="shared" si="65"/>
        <v>21.73176929382716</v>
      </c>
      <c r="AF350" s="9"/>
      <c r="AG350" s="21">
        <v>1.61209</v>
      </c>
      <c r="AH350" s="21">
        <v>21.8947</v>
      </c>
      <c r="AI350" s="21">
        <v>-1.08948E-2</v>
      </c>
      <c r="AJ350" s="21">
        <v>340</v>
      </c>
      <c r="AK350" s="21">
        <v>1.6113299999999999</v>
      </c>
      <c r="AL350">
        <f t="shared" si="66"/>
        <v>13.45037037037037</v>
      </c>
      <c r="AM350">
        <f t="shared" si="67"/>
        <v>21.683207570370371</v>
      </c>
      <c r="AP350" s="9"/>
      <c r="AQ350" s="21">
        <v>7.7972399999999997E-2</v>
      </c>
      <c r="AR350" s="21">
        <v>27.373899999999999</v>
      </c>
      <c r="AS350" s="21">
        <v>-1.4093E-2</v>
      </c>
      <c r="AT350" s="21">
        <v>340</v>
      </c>
      <c r="AU350" s="21">
        <v>7.74841E-2</v>
      </c>
      <c r="AV350">
        <f t="shared" si="68"/>
        <v>17.398765432098763</v>
      </c>
      <c r="AW350">
        <f t="shared" si="69"/>
        <v>1.3566234977777776</v>
      </c>
      <c r="AX350" s="9"/>
      <c r="AY350" s="21">
        <v>1.61209</v>
      </c>
      <c r="AZ350" s="21">
        <v>31.172999999999998</v>
      </c>
      <c r="BA350" s="21">
        <v>-1.09436E-2</v>
      </c>
      <c r="BB350" s="21">
        <v>340</v>
      </c>
      <c r="BC350" s="21">
        <v>1.6116299999999999</v>
      </c>
      <c r="BD350">
        <f t="shared" si="70"/>
        <v>13.510617283950616</v>
      </c>
      <c r="BE350">
        <f t="shared" si="71"/>
        <v>21.780331017283949</v>
      </c>
    </row>
    <row r="351" spans="6:57" x14ac:dyDescent="0.25">
      <c r="F351" s="9"/>
      <c r="G351" s="21">
        <v>7.2937000000000002E-2</v>
      </c>
      <c r="H351" s="21">
        <v>8.80654</v>
      </c>
      <c r="I351" s="21">
        <v>-1.41998E-2</v>
      </c>
      <c r="J351" s="21">
        <v>341</v>
      </c>
      <c r="K351" s="21">
        <v>7.2448700000000005E-2</v>
      </c>
      <c r="L351">
        <f t="shared" si="60"/>
        <v>17.530617283950615</v>
      </c>
      <c r="M351">
        <f t="shared" si="61"/>
        <v>1.2786306328395061</v>
      </c>
      <c r="N351" s="9"/>
      <c r="O351" s="21">
        <v>1.61713</v>
      </c>
      <c r="P351" s="21">
        <v>12.605600000000001</v>
      </c>
      <c r="Q351" s="21">
        <v>-1.0791E-2</v>
      </c>
      <c r="R351" s="21">
        <v>341</v>
      </c>
      <c r="S351" s="21">
        <v>1.6162099999999999</v>
      </c>
      <c r="T351">
        <f t="shared" si="62"/>
        <v>13.322222222222221</v>
      </c>
      <c r="U351">
        <f t="shared" si="63"/>
        <v>21.54376522222222</v>
      </c>
      <c r="X351" s="9"/>
      <c r="Y351" s="21">
        <v>1.61713</v>
      </c>
      <c r="Z351" s="21">
        <v>12.605600000000001</v>
      </c>
      <c r="AA351" s="21">
        <v>-1.0791E-2</v>
      </c>
      <c r="AB351" s="21">
        <v>341</v>
      </c>
      <c r="AC351" s="21">
        <v>1.6162099999999999</v>
      </c>
      <c r="AD351">
        <f t="shared" si="64"/>
        <v>13.322222222222221</v>
      </c>
      <c r="AE351">
        <f t="shared" si="65"/>
        <v>21.54376522222222</v>
      </c>
      <c r="AF351" s="9"/>
      <c r="AG351" s="21">
        <v>1.61713</v>
      </c>
      <c r="AH351" s="21">
        <v>21.904800000000002</v>
      </c>
      <c r="AI351" s="21">
        <v>-1.0788000000000001E-2</v>
      </c>
      <c r="AJ351" s="21">
        <v>341</v>
      </c>
      <c r="AK351" s="21">
        <v>1.61652</v>
      </c>
      <c r="AL351">
        <f t="shared" si="66"/>
        <v>13.318518518518518</v>
      </c>
      <c r="AM351">
        <f t="shared" si="67"/>
        <v>21.537775851851851</v>
      </c>
      <c r="AP351" s="9"/>
      <c r="AQ351" s="21">
        <v>7.2937000000000002E-2</v>
      </c>
      <c r="AR351" s="21">
        <v>27.384</v>
      </c>
      <c r="AS351" s="21">
        <v>-1.409E-2</v>
      </c>
      <c r="AT351" s="21">
        <v>341</v>
      </c>
      <c r="AU351" s="21">
        <v>7.2296100000000002E-2</v>
      </c>
      <c r="AV351">
        <f t="shared" si="68"/>
        <v>17.39506172839506</v>
      </c>
      <c r="AW351">
        <f t="shared" si="69"/>
        <v>1.2687436172839506</v>
      </c>
      <c r="AX351" s="9"/>
      <c r="AY351" s="21">
        <v>1.61713</v>
      </c>
      <c r="AZ351" s="21">
        <v>31.183</v>
      </c>
      <c r="BA351" s="21">
        <v>-1.08307E-2</v>
      </c>
      <c r="BB351" s="21">
        <v>341</v>
      </c>
      <c r="BC351" s="21">
        <v>1.6162099999999999</v>
      </c>
      <c r="BD351">
        <f t="shared" si="70"/>
        <v>13.371234567901235</v>
      </c>
      <c r="BE351">
        <f t="shared" si="71"/>
        <v>21.623024556790124</v>
      </c>
    </row>
    <row r="352" spans="6:57" x14ac:dyDescent="0.25">
      <c r="F352" s="9"/>
      <c r="G352" s="21">
        <v>6.7901600000000006E-2</v>
      </c>
      <c r="H352" s="21">
        <v>8.8166100000000007</v>
      </c>
      <c r="I352" s="21">
        <v>-1.41998E-2</v>
      </c>
      <c r="J352" s="21">
        <v>342</v>
      </c>
      <c r="K352" s="21">
        <v>6.7321800000000001E-2</v>
      </c>
      <c r="L352">
        <f t="shared" si="60"/>
        <v>17.530617283950615</v>
      </c>
      <c r="M352">
        <f t="shared" si="61"/>
        <v>1.1903569625679011</v>
      </c>
      <c r="N352" s="9"/>
      <c r="O352" s="21">
        <v>1.62216</v>
      </c>
      <c r="P352" s="21">
        <v>12.6157</v>
      </c>
      <c r="Q352" s="21">
        <v>-1.0665900000000001E-2</v>
      </c>
      <c r="R352" s="21">
        <v>342</v>
      </c>
      <c r="S352" s="21">
        <v>1.6216999999999999</v>
      </c>
      <c r="T352">
        <f t="shared" si="62"/>
        <v>13.167777777777779</v>
      </c>
      <c r="U352">
        <f t="shared" si="63"/>
        <v>21.360242400000004</v>
      </c>
      <c r="X352" s="9"/>
      <c r="Y352" s="21">
        <v>1.62216</v>
      </c>
      <c r="Z352" s="21">
        <v>12.6157</v>
      </c>
      <c r="AA352" s="21">
        <v>-1.0665900000000001E-2</v>
      </c>
      <c r="AB352" s="21">
        <v>342</v>
      </c>
      <c r="AC352" s="21">
        <v>1.6216999999999999</v>
      </c>
      <c r="AD352">
        <f t="shared" si="64"/>
        <v>13.167777777777779</v>
      </c>
      <c r="AE352">
        <f t="shared" si="65"/>
        <v>21.360242400000004</v>
      </c>
      <c r="AF352" s="9"/>
      <c r="AG352" s="21">
        <v>1.62216</v>
      </c>
      <c r="AH352" s="21">
        <v>21.914899999999999</v>
      </c>
      <c r="AI352" s="21">
        <v>-1.0665900000000001E-2</v>
      </c>
      <c r="AJ352" s="21">
        <v>342</v>
      </c>
      <c r="AK352" s="21">
        <v>1.6214</v>
      </c>
      <c r="AL352">
        <f t="shared" si="66"/>
        <v>13.167777777777779</v>
      </c>
      <c r="AM352">
        <f t="shared" si="67"/>
        <v>21.360242400000004</v>
      </c>
      <c r="AP352" s="9"/>
      <c r="AQ352" s="21">
        <v>6.7901600000000006E-2</v>
      </c>
      <c r="AR352" s="21">
        <v>27.394100000000002</v>
      </c>
      <c r="AS352" s="21">
        <v>-1.40991E-2</v>
      </c>
      <c r="AT352" s="21">
        <v>342</v>
      </c>
      <c r="AU352" s="21">
        <v>6.7443799999999998E-2</v>
      </c>
      <c r="AV352">
        <f t="shared" si="68"/>
        <v>17.406296296296293</v>
      </c>
      <c r="AW352">
        <f t="shared" si="69"/>
        <v>1.1819153685925925</v>
      </c>
      <c r="AX352" s="9"/>
      <c r="AY352" s="21">
        <v>1.62216</v>
      </c>
      <c r="AZ352" s="21">
        <v>31.193100000000001</v>
      </c>
      <c r="BA352" s="21">
        <v>-1.07178E-2</v>
      </c>
      <c r="BB352" s="21">
        <v>342</v>
      </c>
      <c r="BC352" s="21">
        <v>1.62079</v>
      </c>
      <c r="BD352">
        <f t="shared" si="70"/>
        <v>13.23185185185185</v>
      </c>
      <c r="BE352">
        <f t="shared" si="71"/>
        <v>21.464180799999998</v>
      </c>
    </row>
    <row r="353" spans="6:57" x14ac:dyDescent="0.25">
      <c r="F353" s="9"/>
      <c r="G353" s="21">
        <v>6.2866199999999997E-2</v>
      </c>
      <c r="H353" s="21">
        <v>8.8266799999999996</v>
      </c>
      <c r="I353" s="21">
        <v>-1.41937E-2</v>
      </c>
      <c r="J353" s="21">
        <v>343</v>
      </c>
      <c r="K353" s="21">
        <v>6.2286399999999999E-2</v>
      </c>
      <c r="L353">
        <f t="shared" si="60"/>
        <v>17.523086419753085</v>
      </c>
      <c r="M353">
        <f t="shared" si="61"/>
        <v>1.1016098554814813</v>
      </c>
      <c r="N353" s="9"/>
      <c r="O353" s="21">
        <v>1.6272</v>
      </c>
      <c r="P353" s="21">
        <v>12.6257</v>
      </c>
      <c r="Q353" s="21">
        <v>-1.0537700000000001E-2</v>
      </c>
      <c r="R353" s="21">
        <v>343</v>
      </c>
      <c r="S353" s="21">
        <v>1.62659</v>
      </c>
      <c r="T353">
        <f t="shared" si="62"/>
        <v>13.009506172839506</v>
      </c>
      <c r="U353">
        <f t="shared" si="63"/>
        <v>21.169068444444445</v>
      </c>
      <c r="X353" s="9"/>
      <c r="Y353" s="21">
        <v>1.6272</v>
      </c>
      <c r="Z353" s="21">
        <v>12.6257</v>
      </c>
      <c r="AA353" s="21">
        <v>-1.0537700000000001E-2</v>
      </c>
      <c r="AB353" s="21">
        <v>343</v>
      </c>
      <c r="AC353" s="21">
        <v>1.62659</v>
      </c>
      <c r="AD353">
        <f t="shared" si="64"/>
        <v>13.009506172839506</v>
      </c>
      <c r="AE353">
        <f t="shared" si="65"/>
        <v>21.169068444444445</v>
      </c>
      <c r="AF353" s="9"/>
      <c r="AG353" s="21">
        <v>1.6272</v>
      </c>
      <c r="AH353" s="21">
        <v>21.924900000000001</v>
      </c>
      <c r="AI353" s="21">
        <v>-1.0534699999999999E-2</v>
      </c>
      <c r="AJ353" s="21">
        <v>343</v>
      </c>
      <c r="AK353" s="21">
        <v>1.6268899999999999</v>
      </c>
      <c r="AL353">
        <f t="shared" si="66"/>
        <v>13.0058024691358</v>
      </c>
      <c r="AM353">
        <f t="shared" si="67"/>
        <v>21.163041777777774</v>
      </c>
      <c r="AP353" s="9"/>
      <c r="AQ353" s="21">
        <v>6.2866199999999997E-2</v>
      </c>
      <c r="AR353" s="21">
        <v>27.4041</v>
      </c>
      <c r="AS353" s="21">
        <v>-1.4093E-2</v>
      </c>
      <c r="AT353" s="21">
        <v>343</v>
      </c>
      <c r="AU353" s="21">
        <v>6.2347399999999997E-2</v>
      </c>
      <c r="AV353">
        <f t="shared" si="68"/>
        <v>17.398765432098763</v>
      </c>
      <c r="AW353">
        <f t="shared" si="69"/>
        <v>1.0937942674074073</v>
      </c>
      <c r="AX353" s="9"/>
      <c r="AY353" s="21">
        <v>1.6272</v>
      </c>
      <c r="AZ353" s="21">
        <v>31.203199999999999</v>
      </c>
      <c r="BA353" s="21">
        <v>-1.05927E-2</v>
      </c>
      <c r="BB353" s="21">
        <v>343</v>
      </c>
      <c r="BC353" s="21">
        <v>1.6268899999999999</v>
      </c>
      <c r="BD353">
        <f t="shared" si="70"/>
        <v>13.077407407407408</v>
      </c>
      <c r="BE353">
        <f t="shared" si="71"/>
        <v>21.279557333333333</v>
      </c>
    </row>
    <row r="354" spans="6:57" x14ac:dyDescent="0.25">
      <c r="F354" s="9"/>
      <c r="G354" s="21">
        <v>5.7830800000000002E-2</v>
      </c>
      <c r="H354" s="21">
        <v>8.8367500000000003</v>
      </c>
      <c r="I354" s="21">
        <v>-1.4190700000000001E-2</v>
      </c>
      <c r="J354" s="21">
        <v>344</v>
      </c>
      <c r="K354" s="21">
        <v>5.7312000000000002E-2</v>
      </c>
      <c r="L354">
        <f t="shared" si="60"/>
        <v>17.519382716049382</v>
      </c>
      <c r="M354">
        <f t="shared" si="61"/>
        <v>1.0131599179753086</v>
      </c>
      <c r="N354" s="9"/>
      <c r="O354" s="21">
        <v>1.6322300000000001</v>
      </c>
      <c r="P354" s="21">
        <v>12.6358</v>
      </c>
      <c r="Q354" s="21">
        <v>-1.0406500000000001E-2</v>
      </c>
      <c r="R354" s="21">
        <v>344</v>
      </c>
      <c r="S354" s="21">
        <v>1.63086</v>
      </c>
      <c r="T354">
        <f t="shared" si="62"/>
        <v>12.84753086419753</v>
      </c>
      <c r="U354">
        <f t="shared" si="63"/>
        <v>20.970125302469135</v>
      </c>
      <c r="X354" s="9"/>
      <c r="Y354" s="21">
        <v>1.6322300000000001</v>
      </c>
      <c r="Z354" s="21">
        <v>12.6358</v>
      </c>
      <c r="AA354" s="21">
        <v>-1.0406500000000001E-2</v>
      </c>
      <c r="AB354" s="21">
        <v>344</v>
      </c>
      <c r="AC354" s="21">
        <v>1.63086</v>
      </c>
      <c r="AD354">
        <f t="shared" si="64"/>
        <v>12.84753086419753</v>
      </c>
      <c r="AE354">
        <f t="shared" si="65"/>
        <v>20.970125302469135</v>
      </c>
      <c r="AF354" s="9"/>
      <c r="AG354" s="21">
        <v>1.6322300000000001</v>
      </c>
      <c r="AH354" s="21">
        <v>21.934999999999999</v>
      </c>
      <c r="AI354" s="21">
        <v>-1.03912E-2</v>
      </c>
      <c r="AJ354" s="21">
        <v>344</v>
      </c>
      <c r="AK354" s="21">
        <v>1.6317699999999999</v>
      </c>
      <c r="AL354">
        <f t="shared" si="66"/>
        <v>12.828641975308642</v>
      </c>
      <c r="AM354">
        <f t="shared" si="67"/>
        <v>20.939294291358024</v>
      </c>
      <c r="AP354" s="9"/>
      <c r="AQ354" s="21">
        <v>5.7830800000000002E-2</v>
      </c>
      <c r="AR354" s="21">
        <v>27.414200000000001</v>
      </c>
      <c r="AS354" s="21">
        <v>-1.4093E-2</v>
      </c>
      <c r="AT354" s="21">
        <v>344</v>
      </c>
      <c r="AU354" s="21">
        <v>5.7281499999999999E-2</v>
      </c>
      <c r="AV354">
        <f t="shared" si="68"/>
        <v>17.398765432098763</v>
      </c>
      <c r="AW354">
        <f t="shared" si="69"/>
        <v>1.0061845239506171</v>
      </c>
      <c r="AX354" s="9"/>
      <c r="AY354" s="21">
        <v>1.6322300000000001</v>
      </c>
      <c r="AZ354" s="21">
        <v>31.213200000000001</v>
      </c>
      <c r="BA354" s="21">
        <v>-1.04645E-2</v>
      </c>
      <c r="BB354" s="21">
        <v>344</v>
      </c>
      <c r="BC354" s="21">
        <v>1.63147</v>
      </c>
      <c r="BD354">
        <f t="shared" si="70"/>
        <v>12.919135802469135</v>
      </c>
      <c r="BE354">
        <f t="shared" si="71"/>
        <v>21.087001030864197</v>
      </c>
    </row>
    <row r="355" spans="6:57" x14ac:dyDescent="0.25">
      <c r="F355" s="9"/>
      <c r="G355" s="21">
        <v>5.2795399999999999E-2</v>
      </c>
      <c r="H355" s="21">
        <v>8.8468199999999992</v>
      </c>
      <c r="I355" s="21">
        <v>-1.4196800000000001E-2</v>
      </c>
      <c r="J355" s="21">
        <v>345</v>
      </c>
      <c r="K355" s="21">
        <v>5.2337599999999998E-2</v>
      </c>
      <c r="L355">
        <f t="shared" si="60"/>
        <v>17.526913580246916</v>
      </c>
      <c r="M355">
        <f t="shared" si="61"/>
        <v>0.92534041323456806</v>
      </c>
      <c r="N355" s="9"/>
      <c r="O355" s="21">
        <v>1.63727</v>
      </c>
      <c r="P355" s="21">
        <v>12.645899999999999</v>
      </c>
      <c r="Q355" s="21">
        <v>-1.02661E-2</v>
      </c>
      <c r="R355" s="21">
        <v>345</v>
      </c>
      <c r="S355" s="21">
        <v>1.63666</v>
      </c>
      <c r="T355">
        <f t="shared" si="62"/>
        <v>12.674197530864197</v>
      </c>
      <c r="U355">
        <f t="shared" si="63"/>
        <v>20.751083391358023</v>
      </c>
      <c r="X355" s="9"/>
      <c r="Y355" s="21">
        <v>1.63727</v>
      </c>
      <c r="Z355" s="21">
        <v>12.645899999999999</v>
      </c>
      <c r="AA355" s="21">
        <v>-1.02661E-2</v>
      </c>
      <c r="AB355" s="21">
        <v>345</v>
      </c>
      <c r="AC355" s="21">
        <v>1.63666</v>
      </c>
      <c r="AD355">
        <f t="shared" si="64"/>
        <v>12.674197530864197</v>
      </c>
      <c r="AE355">
        <f t="shared" si="65"/>
        <v>20.751083391358023</v>
      </c>
      <c r="AF355" s="9"/>
      <c r="AG355" s="21">
        <v>1.63727</v>
      </c>
      <c r="AH355" s="21">
        <v>21.9451</v>
      </c>
      <c r="AI355" s="21">
        <v>-1.02478E-2</v>
      </c>
      <c r="AJ355" s="21">
        <v>345</v>
      </c>
      <c r="AK355" s="21">
        <v>1.63696</v>
      </c>
      <c r="AL355">
        <f t="shared" si="66"/>
        <v>12.651604938271603</v>
      </c>
      <c r="AM355">
        <f t="shared" si="67"/>
        <v>20.714093217283949</v>
      </c>
      <c r="AP355" s="9"/>
      <c r="AQ355" s="21">
        <v>5.2795399999999999E-2</v>
      </c>
      <c r="AR355" s="21">
        <v>27.424299999999999</v>
      </c>
      <c r="AS355" s="21">
        <v>-1.4093E-2</v>
      </c>
      <c r="AT355" s="21">
        <v>345</v>
      </c>
      <c r="AU355" s="21">
        <v>5.2337599999999998E-2</v>
      </c>
      <c r="AV355">
        <f t="shared" si="68"/>
        <v>17.398765432098763</v>
      </c>
      <c r="AW355">
        <f t="shared" si="69"/>
        <v>0.91857478049382701</v>
      </c>
      <c r="AX355" s="9"/>
      <c r="AY355" s="21">
        <v>1.63727</v>
      </c>
      <c r="AZ355" s="21">
        <v>31.223299999999998</v>
      </c>
      <c r="BA355" s="21">
        <v>-1.03149E-2</v>
      </c>
      <c r="BB355" s="21">
        <v>345</v>
      </c>
      <c r="BC355" s="21">
        <v>1.63666</v>
      </c>
      <c r="BD355">
        <f t="shared" si="70"/>
        <v>12.734444444444444</v>
      </c>
      <c r="BE355">
        <f t="shared" si="71"/>
        <v>20.849723855555556</v>
      </c>
    </row>
    <row r="356" spans="6:57" x14ac:dyDescent="0.25">
      <c r="F356" s="9"/>
      <c r="G356" s="21">
        <v>4.7759999999999997E-2</v>
      </c>
      <c r="H356" s="21">
        <v>8.8568899999999999</v>
      </c>
      <c r="I356" s="21">
        <v>-1.41937E-2</v>
      </c>
      <c r="J356" s="21">
        <v>346</v>
      </c>
      <c r="K356" s="21">
        <v>4.7857700000000003E-2</v>
      </c>
      <c r="L356">
        <f t="shared" si="60"/>
        <v>17.523086419753085</v>
      </c>
      <c r="M356">
        <f t="shared" si="61"/>
        <v>0.8369026074074073</v>
      </c>
      <c r="N356" s="9"/>
      <c r="O356" s="21">
        <v>1.6423000000000001</v>
      </c>
      <c r="P356" s="21">
        <v>12.655900000000001</v>
      </c>
      <c r="Q356" s="21">
        <v>-1.01105E-2</v>
      </c>
      <c r="R356" s="21">
        <v>346</v>
      </c>
      <c r="S356" s="21">
        <v>1.64154</v>
      </c>
      <c r="T356">
        <f t="shared" si="62"/>
        <v>12.482098765432099</v>
      </c>
      <c r="U356">
        <f t="shared" si="63"/>
        <v>20.499350802469138</v>
      </c>
      <c r="X356" s="9"/>
      <c r="Y356" s="21">
        <v>1.6423000000000001</v>
      </c>
      <c r="Z356" s="21">
        <v>12.655900000000001</v>
      </c>
      <c r="AA356" s="21">
        <v>-1.01105E-2</v>
      </c>
      <c r="AB356" s="21">
        <v>346</v>
      </c>
      <c r="AC356" s="21">
        <v>1.64154</v>
      </c>
      <c r="AD356">
        <f t="shared" si="64"/>
        <v>12.482098765432099</v>
      </c>
      <c r="AE356">
        <f t="shared" si="65"/>
        <v>20.499350802469138</v>
      </c>
      <c r="AF356" s="9"/>
      <c r="AG356" s="21">
        <v>1.6423000000000001</v>
      </c>
      <c r="AH356" s="21">
        <v>21.955200000000001</v>
      </c>
      <c r="AI356" s="21">
        <v>-1.0098299999999999E-2</v>
      </c>
      <c r="AJ356" s="21">
        <v>346</v>
      </c>
      <c r="AK356" s="21">
        <v>1.64154</v>
      </c>
      <c r="AL356">
        <f t="shared" si="66"/>
        <v>12.467037037037036</v>
      </c>
      <c r="AM356">
        <f t="shared" si="67"/>
        <v>20.474614925925927</v>
      </c>
      <c r="AP356" s="9"/>
      <c r="AQ356" s="21">
        <v>4.7759999999999997E-2</v>
      </c>
      <c r="AR356" s="21">
        <v>27.4343</v>
      </c>
      <c r="AS356" s="21">
        <v>-1.40839E-2</v>
      </c>
      <c r="AT356" s="21">
        <v>346</v>
      </c>
      <c r="AU356" s="21">
        <v>4.7613500000000003E-2</v>
      </c>
      <c r="AV356">
        <f t="shared" si="68"/>
        <v>17.387530864197529</v>
      </c>
      <c r="AW356">
        <f t="shared" si="69"/>
        <v>0.83042847407407394</v>
      </c>
      <c r="AX356" s="9"/>
      <c r="AY356" s="21">
        <v>1.6423000000000001</v>
      </c>
      <c r="AZ356" s="21">
        <v>31.2334</v>
      </c>
      <c r="BA356" s="21">
        <v>-1.01501E-2</v>
      </c>
      <c r="BB356" s="21">
        <v>346</v>
      </c>
      <c r="BC356" s="21">
        <v>1.64215</v>
      </c>
      <c r="BD356">
        <f t="shared" si="70"/>
        <v>12.530987654320986</v>
      </c>
      <c r="BE356">
        <f t="shared" si="71"/>
        <v>20.579641024691359</v>
      </c>
    </row>
    <row r="357" spans="6:57" x14ac:dyDescent="0.25">
      <c r="F357" s="9"/>
      <c r="G357" s="21">
        <v>4.2724600000000001E-2</v>
      </c>
      <c r="H357" s="21">
        <v>8.8669600000000006</v>
      </c>
      <c r="I357" s="21">
        <v>-1.4202899999999999E-2</v>
      </c>
      <c r="J357" s="21">
        <v>347</v>
      </c>
      <c r="K357" s="21">
        <v>4.2623899999999999E-2</v>
      </c>
      <c r="L357">
        <f t="shared" si="60"/>
        <v>17.534444444444443</v>
      </c>
      <c r="M357">
        <f t="shared" si="61"/>
        <v>0.74915212511111107</v>
      </c>
      <c r="N357" s="9"/>
      <c r="O357" s="21">
        <v>1.64734</v>
      </c>
      <c r="P357" s="21">
        <v>12.666</v>
      </c>
      <c r="Q357" s="21">
        <v>-9.9456800000000001E-3</v>
      </c>
      <c r="R357" s="21">
        <v>347</v>
      </c>
      <c r="S357" s="21">
        <v>1.64642</v>
      </c>
      <c r="T357">
        <f t="shared" si="62"/>
        <v>12.278617283950616</v>
      </c>
      <c r="U357">
        <f t="shared" si="63"/>
        <v>20.227057396543209</v>
      </c>
      <c r="X357" s="9"/>
      <c r="Y357" s="21">
        <v>1.64734</v>
      </c>
      <c r="Z357" s="21">
        <v>12.666</v>
      </c>
      <c r="AA357" s="21">
        <v>-9.9456800000000001E-3</v>
      </c>
      <c r="AB357" s="21">
        <v>347</v>
      </c>
      <c r="AC357" s="21">
        <v>1.64642</v>
      </c>
      <c r="AD357">
        <f t="shared" si="64"/>
        <v>12.278617283950616</v>
      </c>
      <c r="AE357">
        <f t="shared" si="65"/>
        <v>20.227057396543209</v>
      </c>
      <c r="AF357" s="9"/>
      <c r="AG357" s="21">
        <v>1.64734</v>
      </c>
      <c r="AH357" s="21">
        <v>21.965199999999999</v>
      </c>
      <c r="AI357" s="21">
        <v>-9.9487299999999994E-3</v>
      </c>
      <c r="AJ357" s="21">
        <v>347</v>
      </c>
      <c r="AK357" s="21">
        <v>1.64642</v>
      </c>
      <c r="AL357">
        <f t="shared" si="66"/>
        <v>12.282382716049382</v>
      </c>
      <c r="AM357">
        <f t="shared" si="67"/>
        <v>20.233260343456788</v>
      </c>
      <c r="AP357" s="9"/>
      <c r="AQ357" s="21">
        <v>4.2724600000000001E-2</v>
      </c>
      <c r="AR357" s="21">
        <v>27.444400000000002</v>
      </c>
      <c r="AS357" s="21">
        <v>-1.4080799999999999E-2</v>
      </c>
      <c r="AT357" s="21">
        <v>347</v>
      </c>
      <c r="AU357" s="21">
        <v>4.2733800000000002E-2</v>
      </c>
      <c r="AV357">
        <f t="shared" si="68"/>
        <v>17.383703703703702</v>
      </c>
      <c r="AW357">
        <f t="shared" si="69"/>
        <v>0.74271178725925924</v>
      </c>
      <c r="AX357" s="9"/>
      <c r="AY357" s="21">
        <v>1.64734</v>
      </c>
      <c r="AZ357" s="21">
        <v>31.243500000000001</v>
      </c>
      <c r="BA357" s="21">
        <v>-9.9975600000000008E-3</v>
      </c>
      <c r="BB357" s="21">
        <v>347</v>
      </c>
      <c r="BC357" s="21">
        <v>1.64642</v>
      </c>
      <c r="BD357">
        <f t="shared" si="70"/>
        <v>12.342666666666666</v>
      </c>
      <c r="BE357">
        <f t="shared" si="71"/>
        <v>20.332568506666668</v>
      </c>
    </row>
    <row r="358" spans="6:57" x14ac:dyDescent="0.25">
      <c r="F358" s="9"/>
      <c r="G358" s="21">
        <v>3.7689199999999999E-2</v>
      </c>
      <c r="H358" s="21">
        <v>8.8770299999999995</v>
      </c>
      <c r="I358" s="21">
        <v>-1.4208999999999999E-2</v>
      </c>
      <c r="J358" s="21">
        <v>348</v>
      </c>
      <c r="K358" s="21">
        <v>3.7606800000000003E-2</v>
      </c>
      <c r="L358">
        <f t="shared" si="60"/>
        <v>17.541975308641973</v>
      </c>
      <c r="M358">
        <f t="shared" si="61"/>
        <v>0.66114301580246904</v>
      </c>
      <c r="N358" s="9"/>
      <c r="O358" s="21">
        <v>1.6523699999999999</v>
      </c>
      <c r="P358" s="21">
        <v>12.6761</v>
      </c>
      <c r="Q358" s="21">
        <v>-9.7656300000000008E-3</v>
      </c>
      <c r="R358" s="21">
        <v>348</v>
      </c>
      <c r="S358" s="21">
        <v>1.6513100000000001</v>
      </c>
      <c r="T358">
        <f t="shared" si="62"/>
        <v>12.056333333333335</v>
      </c>
      <c r="U358">
        <f t="shared" si="63"/>
        <v>19.92152351</v>
      </c>
      <c r="X358" s="9"/>
      <c r="Y358" s="21">
        <v>1.6523699999999999</v>
      </c>
      <c r="Z358" s="21">
        <v>12.6761</v>
      </c>
      <c r="AA358" s="21">
        <v>-9.7656300000000008E-3</v>
      </c>
      <c r="AB358" s="21">
        <v>348</v>
      </c>
      <c r="AC358" s="21">
        <v>1.6513100000000001</v>
      </c>
      <c r="AD358">
        <f t="shared" si="64"/>
        <v>12.056333333333335</v>
      </c>
      <c r="AE358">
        <f t="shared" si="65"/>
        <v>19.92152351</v>
      </c>
      <c r="AF358" s="9"/>
      <c r="AG358" s="21">
        <v>1.6523699999999999</v>
      </c>
      <c r="AH358" s="21">
        <v>21.975300000000001</v>
      </c>
      <c r="AI358" s="21">
        <v>-9.7778299999999995E-3</v>
      </c>
      <c r="AJ358" s="21">
        <v>348</v>
      </c>
      <c r="AK358" s="21">
        <v>1.6519200000000001</v>
      </c>
      <c r="AL358">
        <f t="shared" si="66"/>
        <v>12.071395061728394</v>
      </c>
      <c r="AM358">
        <f t="shared" si="67"/>
        <v>19.946411058148144</v>
      </c>
      <c r="AP358" s="9"/>
      <c r="AQ358" s="21">
        <v>3.7689199999999999E-2</v>
      </c>
      <c r="AR358" s="21">
        <v>27.454499999999999</v>
      </c>
      <c r="AS358" s="21">
        <v>-1.4068600000000001E-2</v>
      </c>
      <c r="AT358" s="21">
        <v>348</v>
      </c>
      <c r="AU358" s="21">
        <v>3.7579300000000003E-2</v>
      </c>
      <c r="AV358">
        <f t="shared" si="68"/>
        <v>17.368641975308641</v>
      </c>
      <c r="AW358">
        <f t="shared" si="69"/>
        <v>0.65461022113580247</v>
      </c>
      <c r="AX358" s="9"/>
      <c r="AY358" s="21">
        <v>1.6523699999999999</v>
      </c>
      <c r="AZ358" s="21">
        <v>31.253499999999999</v>
      </c>
      <c r="BA358" s="21">
        <v>-9.8327599999999994E-3</v>
      </c>
      <c r="BB358" s="21">
        <v>348</v>
      </c>
      <c r="BC358" s="21">
        <v>1.6513100000000001</v>
      </c>
      <c r="BD358">
        <f t="shared" si="70"/>
        <v>12.139209876543207</v>
      </c>
      <c r="BE358">
        <f t="shared" si="71"/>
        <v>20.058466223703697</v>
      </c>
    </row>
    <row r="359" spans="6:57" x14ac:dyDescent="0.25">
      <c r="F359" s="9"/>
      <c r="G359" s="21">
        <v>3.2653799999999997E-2</v>
      </c>
      <c r="H359" s="21">
        <v>8.8871099999999998</v>
      </c>
      <c r="I359" s="21">
        <v>-1.42151E-2</v>
      </c>
      <c r="J359" s="21">
        <v>349</v>
      </c>
      <c r="K359" s="21">
        <v>3.2574499999999999E-2</v>
      </c>
      <c r="L359">
        <f t="shared" si="60"/>
        <v>17.549506172839507</v>
      </c>
      <c r="M359">
        <f t="shared" si="61"/>
        <v>0.57305806466666664</v>
      </c>
      <c r="N359" s="9"/>
      <c r="O359" s="21">
        <v>1.65741</v>
      </c>
      <c r="P359" s="21">
        <v>12.686199999999999</v>
      </c>
      <c r="Q359" s="21">
        <v>-9.5794699999999997E-3</v>
      </c>
      <c r="R359" s="21">
        <v>349</v>
      </c>
      <c r="S359" s="21">
        <v>1.6561900000000001</v>
      </c>
      <c r="T359">
        <f t="shared" si="62"/>
        <v>11.826506172839505</v>
      </c>
      <c r="U359">
        <f t="shared" si="63"/>
        <v>19.601369595925924</v>
      </c>
      <c r="X359" s="9"/>
      <c r="Y359" s="21">
        <v>1.65741</v>
      </c>
      <c r="Z359" s="21">
        <v>12.686199999999999</v>
      </c>
      <c r="AA359" s="21">
        <v>-9.5794699999999997E-3</v>
      </c>
      <c r="AB359" s="21">
        <v>349</v>
      </c>
      <c r="AC359" s="21">
        <v>1.6561900000000001</v>
      </c>
      <c r="AD359">
        <f t="shared" si="64"/>
        <v>11.826506172839505</v>
      </c>
      <c r="AE359">
        <f t="shared" si="65"/>
        <v>19.601369595925924</v>
      </c>
      <c r="AF359" s="9"/>
      <c r="AG359" s="21">
        <v>1.65741</v>
      </c>
      <c r="AH359" s="21">
        <v>21.985399999999998</v>
      </c>
      <c r="AI359" s="21">
        <v>-9.5947299999999992E-3</v>
      </c>
      <c r="AJ359" s="21">
        <v>349</v>
      </c>
      <c r="AK359" s="21">
        <v>1.6561900000000001</v>
      </c>
      <c r="AL359">
        <f t="shared" si="66"/>
        <v>11.845345679012345</v>
      </c>
      <c r="AM359">
        <f t="shared" si="67"/>
        <v>19.632594381851852</v>
      </c>
      <c r="AP359" s="9"/>
      <c r="AQ359" s="21">
        <v>3.2653799999999997E-2</v>
      </c>
      <c r="AR359" s="21">
        <v>27.464600000000001</v>
      </c>
      <c r="AS359" s="21">
        <v>-1.4068600000000001E-2</v>
      </c>
      <c r="AT359" s="21">
        <v>349</v>
      </c>
      <c r="AU359" s="21">
        <v>3.2595800000000001E-2</v>
      </c>
      <c r="AV359">
        <f t="shared" si="68"/>
        <v>17.368641975308641</v>
      </c>
      <c r="AW359">
        <f t="shared" si="69"/>
        <v>0.56715216133333324</v>
      </c>
      <c r="AX359" s="9"/>
      <c r="AY359" s="21">
        <v>1.65741</v>
      </c>
      <c r="AZ359" s="21">
        <v>31.2636</v>
      </c>
      <c r="BA359" s="21">
        <v>-9.6588100000000003E-3</v>
      </c>
      <c r="BB359" s="21">
        <v>349</v>
      </c>
      <c r="BC359" s="21">
        <v>1.65649</v>
      </c>
      <c r="BD359">
        <f t="shared" si="70"/>
        <v>11.924456790123456</v>
      </c>
      <c r="BE359">
        <f t="shared" si="71"/>
        <v>19.763713928518516</v>
      </c>
    </row>
    <row r="360" spans="6:57" x14ac:dyDescent="0.25">
      <c r="F360" s="9"/>
      <c r="G360" s="21">
        <v>2.7618400000000001E-2</v>
      </c>
      <c r="H360" s="21">
        <v>8.8971800000000005</v>
      </c>
      <c r="I360" s="21">
        <v>-1.4212000000000001E-2</v>
      </c>
      <c r="J360" s="21">
        <v>350</v>
      </c>
      <c r="K360" s="21">
        <v>2.74597E-2</v>
      </c>
      <c r="L360">
        <f t="shared" si="60"/>
        <v>17.54567901234568</v>
      </c>
      <c r="M360">
        <f t="shared" si="61"/>
        <v>0.48458358123456796</v>
      </c>
      <c r="N360" s="9"/>
      <c r="O360" s="21">
        <v>1.66245</v>
      </c>
      <c r="P360" s="21">
        <v>12.696199999999999</v>
      </c>
      <c r="Q360" s="21">
        <v>-9.3719500000000004E-3</v>
      </c>
      <c r="R360" s="21">
        <v>350</v>
      </c>
      <c r="S360" s="21">
        <v>1.66168</v>
      </c>
      <c r="T360">
        <f t="shared" si="62"/>
        <v>11.570308641975307</v>
      </c>
      <c r="U360">
        <f t="shared" si="63"/>
        <v>19.235059601851848</v>
      </c>
      <c r="X360" s="9"/>
      <c r="Y360" s="21">
        <v>1.66245</v>
      </c>
      <c r="Z360" s="21">
        <v>12.696199999999999</v>
      </c>
      <c r="AA360" s="21">
        <v>-9.3719500000000004E-3</v>
      </c>
      <c r="AB360" s="21">
        <v>350</v>
      </c>
      <c r="AC360" s="21">
        <v>1.66168</v>
      </c>
      <c r="AD360">
        <f t="shared" si="64"/>
        <v>11.570308641975307</v>
      </c>
      <c r="AE360">
        <f t="shared" si="65"/>
        <v>19.235059601851848</v>
      </c>
      <c r="AF360" s="9"/>
      <c r="AG360" s="21">
        <v>1.66245</v>
      </c>
      <c r="AH360" s="21">
        <v>21.9954</v>
      </c>
      <c r="AI360" s="21">
        <v>-9.3933100000000002E-3</v>
      </c>
      <c r="AJ360" s="21">
        <v>350</v>
      </c>
      <c r="AK360" s="21">
        <v>1.66168</v>
      </c>
      <c r="AL360">
        <f t="shared" si="66"/>
        <v>11.596679012345678</v>
      </c>
      <c r="AM360">
        <f t="shared" si="67"/>
        <v>19.278899024074072</v>
      </c>
      <c r="AP360" s="9"/>
      <c r="AQ360" s="21">
        <v>2.7618400000000001E-2</v>
      </c>
      <c r="AR360" s="21">
        <v>27.474599999999999</v>
      </c>
      <c r="AS360" s="21">
        <v>-1.4071699999999999E-2</v>
      </c>
      <c r="AT360" s="21">
        <v>350</v>
      </c>
      <c r="AU360" s="21">
        <v>2.74994E-2</v>
      </c>
      <c r="AV360">
        <f t="shared" si="68"/>
        <v>17.372469135802469</v>
      </c>
      <c r="AW360">
        <f t="shared" si="69"/>
        <v>0.47979980158024693</v>
      </c>
      <c r="AX360" s="9"/>
      <c r="AY360" s="21">
        <v>1.66245</v>
      </c>
      <c r="AZ360" s="21">
        <v>31.273700000000002</v>
      </c>
      <c r="BA360" s="21">
        <v>-9.4512899999999993E-3</v>
      </c>
      <c r="BB360" s="21">
        <v>350</v>
      </c>
      <c r="BC360" s="21">
        <v>1.6613800000000001</v>
      </c>
      <c r="BD360">
        <f t="shared" si="70"/>
        <v>11.668259259259258</v>
      </c>
      <c r="BE360">
        <f t="shared" si="71"/>
        <v>19.397897605555553</v>
      </c>
    </row>
    <row r="361" spans="6:57" x14ac:dyDescent="0.25">
      <c r="F361" s="9"/>
      <c r="G361" s="21">
        <v>2.2582999999999999E-2</v>
      </c>
      <c r="H361" s="21">
        <v>8.9072499999999994</v>
      </c>
      <c r="I361" s="21">
        <v>-1.4212000000000001E-2</v>
      </c>
      <c r="J361" s="21">
        <v>351</v>
      </c>
      <c r="K361" s="21">
        <v>2.2671500000000001E-2</v>
      </c>
      <c r="L361">
        <f t="shared" si="60"/>
        <v>17.54567901234568</v>
      </c>
      <c r="M361">
        <f t="shared" si="61"/>
        <v>0.39623406913580245</v>
      </c>
      <c r="N361" s="9"/>
      <c r="O361" s="21">
        <v>1.6674800000000001</v>
      </c>
      <c r="P361" s="21">
        <v>12.706300000000001</v>
      </c>
      <c r="Q361" s="21">
        <v>-9.1491699999999999E-3</v>
      </c>
      <c r="R361" s="21">
        <v>351</v>
      </c>
      <c r="S361" s="21">
        <v>1.6668700000000001</v>
      </c>
      <c r="T361">
        <f t="shared" si="62"/>
        <v>11.29527160493827</v>
      </c>
      <c r="U361">
        <f t="shared" si="63"/>
        <v>18.834639495802467</v>
      </c>
      <c r="X361" s="9"/>
      <c r="Y361" s="21">
        <v>1.6674800000000001</v>
      </c>
      <c r="Z361" s="21">
        <v>12.706300000000001</v>
      </c>
      <c r="AA361" s="21">
        <v>-9.1491699999999999E-3</v>
      </c>
      <c r="AB361" s="21">
        <v>351</v>
      </c>
      <c r="AC361" s="21">
        <v>1.6668700000000001</v>
      </c>
      <c r="AD361">
        <f t="shared" si="64"/>
        <v>11.29527160493827</v>
      </c>
      <c r="AE361">
        <f t="shared" si="65"/>
        <v>18.834639495802467</v>
      </c>
      <c r="AF361" s="9"/>
      <c r="AG361" s="21">
        <v>1.6674800000000001</v>
      </c>
      <c r="AH361" s="21">
        <v>22.005500000000001</v>
      </c>
      <c r="AI361" s="21">
        <v>-9.18274E-3</v>
      </c>
      <c r="AJ361" s="21">
        <v>351</v>
      </c>
      <c r="AK361" s="21">
        <v>1.6668700000000001</v>
      </c>
      <c r="AL361">
        <f t="shared" si="66"/>
        <v>11.336716049382716</v>
      </c>
      <c r="AM361">
        <f t="shared" si="67"/>
        <v>18.903747278024692</v>
      </c>
      <c r="AP361" s="9"/>
      <c r="AQ361" s="21">
        <v>2.2582999999999999E-2</v>
      </c>
      <c r="AR361" s="21">
        <v>27.4847</v>
      </c>
      <c r="AS361" s="21">
        <v>-1.40625E-2</v>
      </c>
      <c r="AT361" s="21">
        <v>351</v>
      </c>
      <c r="AU361" s="21">
        <v>2.2488399999999999E-2</v>
      </c>
      <c r="AV361">
        <f t="shared" si="68"/>
        <v>17.361111111111111</v>
      </c>
      <c r="AW361">
        <f t="shared" si="69"/>
        <v>0.39206597222222217</v>
      </c>
      <c r="AX361" s="9"/>
      <c r="AY361" s="21">
        <v>1.6674800000000001</v>
      </c>
      <c r="AZ361" s="21">
        <v>31.2837</v>
      </c>
      <c r="BA361" s="21">
        <v>-9.2407199999999991E-3</v>
      </c>
      <c r="BB361" s="21">
        <v>351</v>
      </c>
      <c r="BC361" s="21">
        <v>1.6668700000000001</v>
      </c>
      <c r="BD361">
        <f t="shared" si="70"/>
        <v>11.408296296296294</v>
      </c>
      <c r="BE361">
        <f t="shared" si="71"/>
        <v>19.023105908148146</v>
      </c>
    </row>
    <row r="362" spans="6:57" x14ac:dyDescent="0.25">
      <c r="F362" s="9"/>
      <c r="G362" s="21">
        <v>1.75476E-2</v>
      </c>
      <c r="H362" s="21">
        <v>8.9173200000000001</v>
      </c>
      <c r="I362" s="21">
        <v>-1.42212E-2</v>
      </c>
      <c r="J362" s="21">
        <v>352</v>
      </c>
      <c r="K362" s="21">
        <v>1.74225E-2</v>
      </c>
      <c r="L362">
        <f t="shared" si="60"/>
        <v>17.557037037037034</v>
      </c>
      <c r="M362">
        <f t="shared" si="61"/>
        <v>0.30808386311111108</v>
      </c>
      <c r="N362" s="9"/>
      <c r="O362" s="21">
        <v>1.67252</v>
      </c>
      <c r="P362" s="21">
        <v>12.7164</v>
      </c>
      <c r="Q362" s="21">
        <v>-8.9172399999999999E-3</v>
      </c>
      <c r="R362" s="21">
        <v>352</v>
      </c>
      <c r="S362" s="21">
        <v>1.6720600000000001</v>
      </c>
      <c r="T362">
        <f t="shared" si="62"/>
        <v>11.008938271604938</v>
      </c>
      <c r="U362">
        <f t="shared" si="63"/>
        <v>18.41266943802469</v>
      </c>
      <c r="X362" s="9"/>
      <c r="Y362" s="21">
        <v>1.67252</v>
      </c>
      <c r="Z362" s="21">
        <v>12.7164</v>
      </c>
      <c r="AA362" s="21">
        <v>-8.9172399999999999E-3</v>
      </c>
      <c r="AB362" s="21">
        <v>352</v>
      </c>
      <c r="AC362" s="21">
        <v>1.6720600000000001</v>
      </c>
      <c r="AD362">
        <f t="shared" si="64"/>
        <v>11.008938271604938</v>
      </c>
      <c r="AE362">
        <f t="shared" si="65"/>
        <v>18.41266943802469</v>
      </c>
      <c r="AF362" s="9"/>
      <c r="AG362" s="21">
        <v>1.67252</v>
      </c>
      <c r="AH362" s="21">
        <v>22.015599999999999</v>
      </c>
      <c r="AI362" s="21">
        <v>-8.9538599999999993E-3</v>
      </c>
      <c r="AJ362" s="21">
        <v>352</v>
      </c>
      <c r="AK362" s="21">
        <v>1.6717500000000001</v>
      </c>
      <c r="AL362">
        <f t="shared" si="66"/>
        <v>11.054148148148146</v>
      </c>
      <c r="AM362">
        <f t="shared" si="67"/>
        <v>18.488283860740736</v>
      </c>
      <c r="AP362" s="9"/>
      <c r="AQ362" s="21">
        <v>1.75476E-2</v>
      </c>
      <c r="AR362" s="21">
        <v>27.494800000000001</v>
      </c>
      <c r="AS362" s="21">
        <v>-1.4074700000000001E-2</v>
      </c>
      <c r="AT362" s="21">
        <v>352</v>
      </c>
      <c r="AU362" s="21">
        <v>1.7401099999999999E-2</v>
      </c>
      <c r="AV362">
        <f t="shared" si="68"/>
        <v>17.376172839506172</v>
      </c>
      <c r="AW362">
        <f t="shared" si="69"/>
        <v>0.30491013051851851</v>
      </c>
      <c r="AX362" s="9"/>
      <c r="AY362" s="21">
        <v>1.67252</v>
      </c>
      <c r="AZ362" s="21">
        <v>31.293800000000001</v>
      </c>
      <c r="BA362" s="21">
        <v>-9.0118400000000001E-3</v>
      </c>
      <c r="BB362" s="21">
        <v>352</v>
      </c>
      <c r="BC362" s="21">
        <v>1.6723600000000001</v>
      </c>
      <c r="BD362">
        <f t="shared" si="70"/>
        <v>11.125728395061728</v>
      </c>
      <c r="BE362">
        <f t="shared" si="71"/>
        <v>18.608003255308642</v>
      </c>
    </row>
    <row r="363" spans="6:57" x14ac:dyDescent="0.25">
      <c r="F363" s="9"/>
      <c r="G363" s="21">
        <v>1.2512199999999999E-2</v>
      </c>
      <c r="H363" s="21">
        <v>8.9273900000000008</v>
      </c>
      <c r="I363" s="21">
        <v>-1.4218099999999999E-2</v>
      </c>
      <c r="J363" s="21">
        <v>353</v>
      </c>
      <c r="K363" s="21">
        <v>1.23657E-2</v>
      </c>
      <c r="L363">
        <f t="shared" si="60"/>
        <v>17.553209876543207</v>
      </c>
      <c r="M363">
        <f t="shared" si="61"/>
        <v>0.2196292726172839</v>
      </c>
      <c r="N363" s="9"/>
      <c r="O363" s="21">
        <v>1.6775500000000001</v>
      </c>
      <c r="P363" s="21">
        <v>12.7264</v>
      </c>
      <c r="Q363" s="21">
        <v>-8.6669899999999994E-3</v>
      </c>
      <c r="R363" s="21">
        <v>353</v>
      </c>
      <c r="S363" s="21">
        <v>1.6769400000000001</v>
      </c>
      <c r="T363">
        <f t="shared" si="62"/>
        <v>10.699987654320985</v>
      </c>
      <c r="U363">
        <f t="shared" si="63"/>
        <v>17.94976428950617</v>
      </c>
      <c r="X363" s="9"/>
      <c r="Y363" s="21">
        <v>1.6775500000000001</v>
      </c>
      <c r="Z363" s="21">
        <v>12.7264</v>
      </c>
      <c r="AA363" s="21">
        <v>-8.6669899999999994E-3</v>
      </c>
      <c r="AB363" s="21">
        <v>353</v>
      </c>
      <c r="AC363" s="21">
        <v>1.6769400000000001</v>
      </c>
      <c r="AD363">
        <f t="shared" si="64"/>
        <v>10.699987654320985</v>
      </c>
      <c r="AE363">
        <f t="shared" si="65"/>
        <v>17.94976428950617</v>
      </c>
      <c r="AF363" s="9"/>
      <c r="AG363" s="21">
        <v>1.6775500000000001</v>
      </c>
      <c r="AH363" s="21">
        <v>22.025700000000001</v>
      </c>
      <c r="AI363" s="21">
        <v>-8.7097200000000007E-3</v>
      </c>
      <c r="AJ363" s="21">
        <v>353</v>
      </c>
      <c r="AK363" s="21">
        <v>1.6769400000000001</v>
      </c>
      <c r="AL363">
        <f t="shared" si="66"/>
        <v>10.752740740740741</v>
      </c>
      <c r="AM363">
        <f t="shared" si="67"/>
        <v>18.038260229629632</v>
      </c>
      <c r="AP363" s="9"/>
      <c r="AQ363" s="21">
        <v>1.2512199999999999E-2</v>
      </c>
      <c r="AR363" s="21">
        <v>27.504799999999999</v>
      </c>
      <c r="AS363" s="21">
        <v>-1.4074700000000001E-2</v>
      </c>
      <c r="AT363" s="21">
        <v>353</v>
      </c>
      <c r="AU363" s="21">
        <v>1.2368799999999999E-2</v>
      </c>
      <c r="AV363">
        <f t="shared" si="68"/>
        <v>17.376172839506172</v>
      </c>
      <c r="AW363">
        <f t="shared" si="69"/>
        <v>0.21741414980246912</v>
      </c>
      <c r="AX363" s="9"/>
      <c r="AY363" s="21">
        <v>1.6775500000000001</v>
      </c>
      <c r="AZ363" s="21">
        <v>31.303899999999999</v>
      </c>
      <c r="BA363" s="21">
        <v>-8.7646500000000006E-3</v>
      </c>
      <c r="BB363" s="21">
        <v>353</v>
      </c>
      <c r="BC363" s="21">
        <v>1.6769400000000001</v>
      </c>
      <c r="BD363">
        <f t="shared" si="70"/>
        <v>10.820555555555556</v>
      </c>
      <c r="BE363">
        <f t="shared" si="71"/>
        <v>18.152022972222223</v>
      </c>
    </row>
    <row r="364" spans="6:57" x14ac:dyDescent="0.25">
      <c r="F364" s="9"/>
      <c r="G364" s="21">
        <v>7.4768100000000004E-3</v>
      </c>
      <c r="H364" s="21">
        <v>8.9374599999999997</v>
      </c>
      <c r="I364" s="21">
        <v>-1.4212000000000001E-2</v>
      </c>
      <c r="J364" s="21">
        <v>354</v>
      </c>
      <c r="K364" s="21">
        <v>7.49207E-3</v>
      </c>
      <c r="L364">
        <f t="shared" si="60"/>
        <v>17.54567901234568</v>
      </c>
      <c r="M364">
        <f t="shared" si="61"/>
        <v>0.13118570829629631</v>
      </c>
      <c r="N364" s="9"/>
      <c r="O364" s="21">
        <v>1.68259</v>
      </c>
      <c r="P364" s="21">
        <v>12.736499999999999</v>
      </c>
      <c r="Q364" s="21">
        <v>-8.3892800000000007E-3</v>
      </c>
      <c r="R364" s="21">
        <v>354</v>
      </c>
      <c r="S364" s="21">
        <v>1.6818200000000001</v>
      </c>
      <c r="T364">
        <f t="shared" si="62"/>
        <v>10.357135802469136</v>
      </c>
      <c r="U364">
        <f t="shared" si="63"/>
        <v>17.426813129876543</v>
      </c>
      <c r="X364" s="9"/>
      <c r="Y364" s="21">
        <v>1.68259</v>
      </c>
      <c r="Z364" s="21">
        <v>12.736499999999999</v>
      </c>
      <c r="AA364" s="21">
        <v>-8.3892800000000007E-3</v>
      </c>
      <c r="AB364" s="21">
        <v>354</v>
      </c>
      <c r="AC364" s="21">
        <v>1.6818200000000001</v>
      </c>
      <c r="AD364">
        <f t="shared" si="64"/>
        <v>10.357135802469136</v>
      </c>
      <c r="AE364">
        <f t="shared" si="65"/>
        <v>17.426813129876543</v>
      </c>
      <c r="AF364" s="9"/>
      <c r="AG364" s="21">
        <v>1.68259</v>
      </c>
      <c r="AH364" s="21">
        <v>22.035699999999999</v>
      </c>
      <c r="AI364" s="21">
        <v>-8.4564199999999992E-3</v>
      </c>
      <c r="AJ364" s="21">
        <v>354</v>
      </c>
      <c r="AK364" s="21">
        <v>1.6821299999999999</v>
      </c>
      <c r="AL364">
        <f t="shared" si="66"/>
        <v>10.440024691358024</v>
      </c>
      <c r="AM364">
        <f t="shared" si="67"/>
        <v>17.5662811454321</v>
      </c>
      <c r="AP364" s="9"/>
      <c r="AQ364" s="21">
        <v>7.4768100000000004E-3</v>
      </c>
      <c r="AR364" s="21">
        <v>27.514900000000001</v>
      </c>
      <c r="AS364" s="21">
        <v>-1.4086899999999999E-2</v>
      </c>
      <c r="AT364" s="21">
        <v>354</v>
      </c>
      <c r="AU364" s="21">
        <v>7.0648200000000003E-3</v>
      </c>
      <c r="AV364">
        <f t="shared" si="68"/>
        <v>17.391234567901233</v>
      </c>
      <c r="AW364">
        <f t="shared" si="69"/>
        <v>0.13003095652962962</v>
      </c>
      <c r="AX364" s="9"/>
      <c r="AY364" s="21">
        <v>1.68259</v>
      </c>
      <c r="AZ364" s="21">
        <v>31.314</v>
      </c>
      <c r="BA364" s="21">
        <v>-8.5021999999999997E-3</v>
      </c>
      <c r="BB364" s="21">
        <v>354</v>
      </c>
      <c r="BC364" s="21">
        <v>1.6818200000000001</v>
      </c>
      <c r="BD364">
        <f t="shared" si="70"/>
        <v>10.496543209876542</v>
      </c>
      <c r="BE364">
        <f t="shared" si="71"/>
        <v>17.661378639506172</v>
      </c>
    </row>
    <row r="365" spans="6:57" x14ac:dyDescent="0.25">
      <c r="F365" s="9"/>
      <c r="G365" s="21">
        <v>2.4414100000000002E-3</v>
      </c>
      <c r="H365" s="21">
        <v>8.9475300000000004</v>
      </c>
      <c r="I365" s="21">
        <v>-1.4202899999999999E-2</v>
      </c>
      <c r="J365" s="21">
        <v>355</v>
      </c>
      <c r="K365" s="21">
        <v>2.2857699999999999E-3</v>
      </c>
      <c r="L365">
        <f t="shared" si="60"/>
        <v>17.534444444444443</v>
      </c>
      <c r="M365">
        <f t="shared" si="61"/>
        <v>4.2808768011111109E-2</v>
      </c>
      <c r="N365" s="9"/>
      <c r="O365" s="21">
        <v>1.6876199999999999</v>
      </c>
      <c r="P365" s="21">
        <v>12.746600000000001</v>
      </c>
      <c r="Q365" s="21">
        <v>-8.0993699999999998E-3</v>
      </c>
      <c r="R365" s="21">
        <v>355</v>
      </c>
      <c r="S365" s="21">
        <v>1.6870099999999999</v>
      </c>
      <c r="T365">
        <f t="shared" si="62"/>
        <v>9.9992222222222225</v>
      </c>
      <c r="U365">
        <f t="shared" si="63"/>
        <v>16.874887406666666</v>
      </c>
      <c r="X365" s="9"/>
      <c r="Y365" s="21">
        <v>1.6876199999999999</v>
      </c>
      <c r="Z365" s="21">
        <v>12.746600000000001</v>
      </c>
      <c r="AA365" s="21">
        <v>-8.0993699999999998E-3</v>
      </c>
      <c r="AB365" s="21">
        <v>355</v>
      </c>
      <c r="AC365" s="21">
        <v>1.6870099999999999</v>
      </c>
      <c r="AD365">
        <f t="shared" si="64"/>
        <v>9.9992222222222225</v>
      </c>
      <c r="AE365">
        <f t="shared" si="65"/>
        <v>16.874887406666666</v>
      </c>
      <c r="AF365" s="9"/>
      <c r="AG365" s="21">
        <v>1.6876199999999999</v>
      </c>
      <c r="AH365" s="21">
        <v>22.0458</v>
      </c>
      <c r="AI365" s="21">
        <v>-8.1848100000000007E-3</v>
      </c>
      <c r="AJ365" s="21">
        <v>355</v>
      </c>
      <c r="AK365" s="21">
        <v>1.6870099999999999</v>
      </c>
      <c r="AL365">
        <f t="shared" si="66"/>
        <v>10.104703703703704</v>
      </c>
      <c r="AM365">
        <f t="shared" si="67"/>
        <v>17.052900064444444</v>
      </c>
      <c r="AP365" s="9"/>
      <c r="AQ365" s="21">
        <v>2.4414100000000002E-3</v>
      </c>
      <c r="AR365" s="21">
        <v>27.524999999999999</v>
      </c>
      <c r="AS365" s="21">
        <v>-1.40961E-2</v>
      </c>
      <c r="AT365" s="21">
        <v>355</v>
      </c>
      <c r="AU365" s="21">
        <v>2.3284899999999999E-3</v>
      </c>
      <c r="AV365">
        <f t="shared" si="68"/>
        <v>17.40259259259259</v>
      </c>
      <c r="AW365">
        <f t="shared" si="69"/>
        <v>4.2486863581481481E-2</v>
      </c>
      <c r="AX365" s="9"/>
      <c r="AY365" s="21">
        <v>1.6876199999999999</v>
      </c>
      <c r="AZ365" s="21">
        <v>31.324000000000002</v>
      </c>
      <c r="BA365" s="21">
        <v>-8.2244899999999992E-3</v>
      </c>
      <c r="BB365" s="21">
        <v>355</v>
      </c>
      <c r="BC365" s="21">
        <v>1.6867099999999999</v>
      </c>
      <c r="BD365">
        <f t="shared" si="70"/>
        <v>10.153691358024689</v>
      </c>
      <c r="BE365">
        <f t="shared" si="71"/>
        <v>17.135572609629627</v>
      </c>
    </row>
    <row r="366" spans="6:57" x14ac:dyDescent="0.25">
      <c r="F366" s="9"/>
      <c r="G366" s="21">
        <v>-2.59399E-3</v>
      </c>
      <c r="H366" s="21">
        <v>8.9575999999999993</v>
      </c>
      <c r="I366" s="21">
        <v>-1.42059E-2</v>
      </c>
      <c r="J366" s="21">
        <v>356</v>
      </c>
      <c r="K366" s="21">
        <v>-2.81372E-3</v>
      </c>
      <c r="L366">
        <f t="shared" si="60"/>
        <v>17.538148148148146</v>
      </c>
      <c r="M366">
        <f t="shared" si="61"/>
        <v>-4.5493780914814812E-2</v>
      </c>
      <c r="N366" s="9"/>
      <c r="O366" s="21">
        <v>1.6926600000000001</v>
      </c>
      <c r="P366" s="21">
        <v>12.756600000000001</v>
      </c>
      <c r="Q366" s="21">
        <v>-7.7758799999999998E-3</v>
      </c>
      <c r="R366" s="21">
        <v>356</v>
      </c>
      <c r="S366" s="21">
        <v>1.6918899999999999</v>
      </c>
      <c r="T366">
        <f t="shared" si="62"/>
        <v>9.5998518518518505</v>
      </c>
      <c r="U366">
        <f t="shared" si="63"/>
        <v>16.249285235555554</v>
      </c>
      <c r="X366" s="9"/>
      <c r="Y366" s="21">
        <v>1.6926600000000001</v>
      </c>
      <c r="Z366" s="21">
        <v>12.756600000000001</v>
      </c>
      <c r="AA366" s="21">
        <v>-7.7758799999999998E-3</v>
      </c>
      <c r="AB366" s="21">
        <v>356</v>
      </c>
      <c r="AC366" s="21">
        <v>1.6918899999999999</v>
      </c>
      <c r="AD366">
        <f t="shared" si="64"/>
        <v>9.5998518518518505</v>
      </c>
      <c r="AE366">
        <f t="shared" si="65"/>
        <v>16.249285235555554</v>
      </c>
      <c r="AF366" s="9"/>
      <c r="AG366" s="21">
        <v>1.6926600000000001</v>
      </c>
      <c r="AH366" s="21">
        <v>22.055900000000001</v>
      </c>
      <c r="AI366" s="21">
        <v>-7.8826899999999995E-3</v>
      </c>
      <c r="AJ366" s="21">
        <v>356</v>
      </c>
      <c r="AK366" s="21">
        <v>1.6918899999999999</v>
      </c>
      <c r="AL366">
        <f t="shared" si="66"/>
        <v>9.7317160493827153</v>
      </c>
      <c r="AM366">
        <f t="shared" si="67"/>
        <v>16.472486488148146</v>
      </c>
      <c r="AP366" s="9"/>
      <c r="AQ366" s="21">
        <v>-2.59399E-3</v>
      </c>
      <c r="AR366" s="21">
        <v>27.535</v>
      </c>
      <c r="AS366" s="21">
        <v>-1.40991E-2</v>
      </c>
      <c r="AT366" s="21">
        <v>356</v>
      </c>
      <c r="AU366" s="21">
        <v>-2.7740500000000001E-3</v>
      </c>
      <c r="AV366">
        <f t="shared" si="68"/>
        <v>17.406296296296293</v>
      </c>
      <c r="AW366">
        <f t="shared" si="69"/>
        <v>-4.5151758529629625E-2</v>
      </c>
      <c r="AX366" s="9"/>
      <c r="AY366" s="21">
        <v>1.6926600000000001</v>
      </c>
      <c r="AZ366" s="21">
        <v>31.334099999999999</v>
      </c>
      <c r="BA366" s="21">
        <v>-7.9132100000000004E-3</v>
      </c>
      <c r="BB366" s="21">
        <v>356</v>
      </c>
      <c r="BC366" s="21">
        <v>1.6918899999999999</v>
      </c>
      <c r="BD366">
        <f t="shared" si="70"/>
        <v>9.769395061728396</v>
      </c>
      <c r="BE366">
        <f t="shared" si="71"/>
        <v>16.536264245185187</v>
      </c>
    </row>
    <row r="367" spans="6:57" x14ac:dyDescent="0.25">
      <c r="F367" s="9"/>
      <c r="G367" s="21">
        <v>-7.6293899999999998E-3</v>
      </c>
      <c r="H367" s="21">
        <v>8.96767</v>
      </c>
      <c r="I367" s="21">
        <v>-1.41998E-2</v>
      </c>
      <c r="J367" s="21">
        <v>357</v>
      </c>
      <c r="K367" s="21">
        <v>-7.8277599999999996E-3</v>
      </c>
      <c r="L367">
        <f t="shared" si="60"/>
        <v>17.530617283950615</v>
      </c>
      <c r="M367">
        <f t="shared" si="61"/>
        <v>-0.13374791619999998</v>
      </c>
      <c r="N367" s="9"/>
      <c r="O367" s="21">
        <v>1.6976899999999999</v>
      </c>
      <c r="P367" s="21">
        <v>12.7667</v>
      </c>
      <c r="Q367" s="21">
        <v>-7.4249299999999997E-3</v>
      </c>
      <c r="R367" s="21">
        <v>357</v>
      </c>
      <c r="S367" s="21">
        <v>1.69739</v>
      </c>
      <c r="T367">
        <f t="shared" si="62"/>
        <v>9.1665802469135791</v>
      </c>
      <c r="U367">
        <f t="shared" si="63"/>
        <v>15.562011619382714</v>
      </c>
      <c r="X367" s="9"/>
      <c r="Y367" s="21">
        <v>1.6976899999999999</v>
      </c>
      <c r="Z367" s="21">
        <v>12.7667</v>
      </c>
      <c r="AA367" s="21">
        <v>-7.4249299999999997E-3</v>
      </c>
      <c r="AB367" s="21">
        <v>357</v>
      </c>
      <c r="AC367" s="21">
        <v>1.69739</v>
      </c>
      <c r="AD367">
        <f t="shared" si="64"/>
        <v>9.1665802469135791</v>
      </c>
      <c r="AE367">
        <f t="shared" si="65"/>
        <v>15.562011619382714</v>
      </c>
      <c r="AF367" s="9"/>
      <c r="AG367" s="21">
        <v>1.6976899999999999</v>
      </c>
      <c r="AH367" s="21">
        <v>22.065899999999999</v>
      </c>
      <c r="AI367" s="21">
        <v>-7.5378399999999996E-3</v>
      </c>
      <c r="AJ367" s="21">
        <v>357</v>
      </c>
      <c r="AK367" s="21">
        <v>1.69678</v>
      </c>
      <c r="AL367">
        <f t="shared" si="66"/>
        <v>9.3059753086419743</v>
      </c>
      <c r="AM367">
        <f t="shared" si="67"/>
        <v>15.798661221728393</v>
      </c>
      <c r="AP367" s="9"/>
      <c r="AQ367" s="21">
        <v>-7.6293899999999998E-3</v>
      </c>
      <c r="AR367" s="21">
        <v>27.545100000000001</v>
      </c>
      <c r="AS367" s="21">
        <v>-1.40991E-2</v>
      </c>
      <c r="AT367" s="21">
        <v>357</v>
      </c>
      <c r="AU367" s="21">
        <v>-7.8063999999999998E-3</v>
      </c>
      <c r="AV367">
        <f t="shared" si="68"/>
        <v>17.406296296296293</v>
      </c>
      <c r="AW367">
        <f t="shared" si="69"/>
        <v>-0.13279942289999996</v>
      </c>
      <c r="AX367" s="9"/>
      <c r="AY367" s="21">
        <v>1.6976899999999999</v>
      </c>
      <c r="AZ367" s="21">
        <v>31.344200000000001</v>
      </c>
      <c r="BA367" s="21">
        <v>-7.57751E-3</v>
      </c>
      <c r="BB367" s="21">
        <v>357</v>
      </c>
      <c r="BC367" s="21">
        <v>1.6970799999999999</v>
      </c>
      <c r="BD367">
        <f t="shared" si="70"/>
        <v>9.3549506172839507</v>
      </c>
      <c r="BE367">
        <f t="shared" si="71"/>
        <v>15.88180611345679</v>
      </c>
    </row>
    <row r="368" spans="6:57" x14ac:dyDescent="0.25">
      <c r="F368" s="9"/>
      <c r="G368" s="21">
        <v>-1.26648E-2</v>
      </c>
      <c r="H368" s="21">
        <v>8.9777400000000007</v>
      </c>
      <c r="I368" s="21">
        <v>-1.4196800000000001E-2</v>
      </c>
      <c r="J368" s="21">
        <v>358</v>
      </c>
      <c r="K368" s="21">
        <v>-1.2912E-2</v>
      </c>
      <c r="L368">
        <f t="shared" si="60"/>
        <v>17.526913580246916</v>
      </c>
      <c r="M368">
        <f t="shared" si="61"/>
        <v>-0.22197485511111115</v>
      </c>
      <c r="N368" s="9"/>
      <c r="O368" s="21">
        <v>1.7027300000000001</v>
      </c>
      <c r="P368" s="21">
        <v>12.7768</v>
      </c>
      <c r="Q368" s="21">
        <v>-7.0465099999999998E-3</v>
      </c>
      <c r="R368" s="21">
        <v>358</v>
      </c>
      <c r="S368" s="21">
        <v>1.7013499999999999</v>
      </c>
      <c r="T368">
        <f t="shared" si="62"/>
        <v>8.6993950617283939</v>
      </c>
      <c r="U368">
        <f t="shared" si="63"/>
        <v>14.81272095345679</v>
      </c>
      <c r="X368" s="9"/>
      <c r="Y368" s="21">
        <v>1.7027300000000001</v>
      </c>
      <c r="Z368" s="21">
        <v>12.7768</v>
      </c>
      <c r="AA368" s="21">
        <v>-7.0465099999999998E-3</v>
      </c>
      <c r="AB368" s="21">
        <v>358</v>
      </c>
      <c r="AC368" s="21">
        <v>1.7013499999999999</v>
      </c>
      <c r="AD368">
        <f t="shared" si="64"/>
        <v>8.6993950617283939</v>
      </c>
      <c r="AE368">
        <f t="shared" si="65"/>
        <v>14.81272095345679</v>
      </c>
      <c r="AF368" s="9"/>
      <c r="AG368" s="21">
        <v>1.7027300000000001</v>
      </c>
      <c r="AH368" s="21">
        <v>22.076000000000001</v>
      </c>
      <c r="AI368" s="21">
        <v>-7.1563699999999996E-3</v>
      </c>
      <c r="AJ368" s="21">
        <v>358</v>
      </c>
      <c r="AK368" s="21">
        <v>1.7022699999999999</v>
      </c>
      <c r="AL368">
        <f t="shared" si="66"/>
        <v>8.8350246913580239</v>
      </c>
      <c r="AM368">
        <f t="shared" si="67"/>
        <v>15.043661592716049</v>
      </c>
      <c r="AP368" s="9"/>
      <c r="AQ368" s="21">
        <v>-1.26648E-2</v>
      </c>
      <c r="AR368" s="21">
        <v>27.555199999999999</v>
      </c>
      <c r="AS368" s="21">
        <v>-1.409E-2</v>
      </c>
      <c r="AT368" s="21">
        <v>358</v>
      </c>
      <c r="AU368" s="21">
        <v>-1.2793000000000001E-2</v>
      </c>
      <c r="AV368">
        <f t="shared" si="68"/>
        <v>17.39506172839506</v>
      </c>
      <c r="AW368">
        <f t="shared" si="69"/>
        <v>-0.22030497777777777</v>
      </c>
      <c r="AX368" s="9"/>
      <c r="AY368" s="21">
        <v>1.7027300000000001</v>
      </c>
      <c r="AZ368" s="21">
        <v>31.354199999999999</v>
      </c>
      <c r="BA368" s="21">
        <v>-7.1899399999999997E-3</v>
      </c>
      <c r="BB368" s="21">
        <v>358</v>
      </c>
      <c r="BC368" s="21">
        <v>1.70258</v>
      </c>
      <c r="BD368">
        <f t="shared" si="70"/>
        <v>8.8764691358024681</v>
      </c>
      <c r="BE368">
        <f t="shared" si="71"/>
        <v>15.114230291604937</v>
      </c>
    </row>
    <row r="369" spans="6:57" x14ac:dyDescent="0.25">
      <c r="F369" s="9"/>
      <c r="G369" s="21">
        <v>-1.7700199999999999E-2</v>
      </c>
      <c r="H369" s="21">
        <v>8.9878199999999993</v>
      </c>
      <c r="I369" s="21">
        <v>-1.41998E-2</v>
      </c>
      <c r="J369" s="21">
        <v>359</v>
      </c>
      <c r="K369" s="21">
        <v>-1.7950399999999998E-2</v>
      </c>
      <c r="L369">
        <f t="shared" si="60"/>
        <v>17.530617283950615</v>
      </c>
      <c r="M369">
        <f t="shared" si="61"/>
        <v>-0.31029543204938265</v>
      </c>
      <c r="N369" s="9"/>
      <c r="O369" s="21">
        <v>1.7077599999999999</v>
      </c>
      <c r="P369" s="21">
        <v>12.786899999999999</v>
      </c>
      <c r="Q369" s="21">
        <v>-6.6101099999999998E-3</v>
      </c>
      <c r="R369" s="21">
        <v>359</v>
      </c>
      <c r="S369" s="21">
        <v>1.70685</v>
      </c>
      <c r="T369">
        <f t="shared" si="62"/>
        <v>8.1606296296296286</v>
      </c>
      <c r="U369">
        <f t="shared" si="63"/>
        <v>13.936396856296295</v>
      </c>
      <c r="X369" s="9"/>
      <c r="Y369" s="21">
        <v>1.7077599999999999</v>
      </c>
      <c r="Z369" s="21">
        <v>12.786899999999999</v>
      </c>
      <c r="AA369" s="21">
        <v>-6.6101099999999998E-3</v>
      </c>
      <c r="AB369" s="21">
        <v>359</v>
      </c>
      <c r="AC369" s="21">
        <v>1.70685</v>
      </c>
      <c r="AD369">
        <f t="shared" si="64"/>
        <v>8.1606296296296286</v>
      </c>
      <c r="AE369">
        <f t="shared" si="65"/>
        <v>13.936396856296295</v>
      </c>
      <c r="AF369" s="9"/>
      <c r="AG369" s="21">
        <v>1.7077599999999999</v>
      </c>
      <c r="AH369" s="21">
        <v>22.086099999999998</v>
      </c>
      <c r="AI369" s="21">
        <v>-6.73523E-3</v>
      </c>
      <c r="AJ369" s="21">
        <v>359</v>
      </c>
      <c r="AK369" s="21">
        <v>1.7071499999999999</v>
      </c>
      <c r="AL369">
        <f t="shared" si="66"/>
        <v>8.3150987654320971</v>
      </c>
      <c r="AM369">
        <f t="shared" si="67"/>
        <v>14.200193067654318</v>
      </c>
      <c r="AP369" s="9"/>
      <c r="AQ369" s="21">
        <v>-1.7700199999999999E-2</v>
      </c>
      <c r="AR369" s="21">
        <v>27.565300000000001</v>
      </c>
      <c r="AS369" s="21">
        <v>-1.4093E-2</v>
      </c>
      <c r="AT369" s="21">
        <v>359</v>
      </c>
      <c r="AU369" s="21">
        <v>-1.7852799999999999E-2</v>
      </c>
      <c r="AV369">
        <f t="shared" si="68"/>
        <v>17.398765432098763</v>
      </c>
      <c r="AW369">
        <f t="shared" si="69"/>
        <v>-0.30796162790123449</v>
      </c>
      <c r="AX369" s="9"/>
      <c r="AY369" s="21">
        <v>1.7077599999999999</v>
      </c>
      <c r="AZ369" s="21">
        <v>31.3643</v>
      </c>
      <c r="BA369" s="21">
        <v>-6.7749000000000004E-3</v>
      </c>
      <c r="BB369" s="21">
        <v>359</v>
      </c>
      <c r="BC369" s="21">
        <v>1.70746</v>
      </c>
      <c r="BD369">
        <f t="shared" si="70"/>
        <v>8.3640740740740736</v>
      </c>
      <c r="BE369">
        <f t="shared" si="71"/>
        <v>14.283831140740739</v>
      </c>
    </row>
    <row r="370" spans="6:57" x14ac:dyDescent="0.25">
      <c r="F370" s="9"/>
      <c r="G370" s="21">
        <v>-2.2735600000000002E-2</v>
      </c>
      <c r="H370" s="21">
        <v>8.9978899999999999</v>
      </c>
      <c r="I370" s="21">
        <v>-1.41937E-2</v>
      </c>
      <c r="J370" s="21">
        <v>360</v>
      </c>
      <c r="K370" s="21">
        <v>-2.2921799999999999E-2</v>
      </c>
      <c r="L370">
        <f t="shared" si="60"/>
        <v>17.523086419753085</v>
      </c>
      <c r="M370">
        <f t="shared" si="61"/>
        <v>-0.39839788360493827</v>
      </c>
      <c r="N370" s="9"/>
      <c r="O370" s="21">
        <v>1.7128000000000001</v>
      </c>
      <c r="P370" s="21">
        <v>12.796900000000001</v>
      </c>
      <c r="Q370" s="21">
        <v>-6.1096199999999996E-3</v>
      </c>
      <c r="R370" s="21">
        <v>360</v>
      </c>
      <c r="S370" s="21">
        <v>1.71234</v>
      </c>
      <c r="T370">
        <f t="shared" si="62"/>
        <v>7.5427407407407392</v>
      </c>
      <c r="U370">
        <f t="shared" si="63"/>
        <v>12.91920634074074</v>
      </c>
      <c r="X370" s="9"/>
      <c r="Y370" s="21">
        <v>1.7128000000000001</v>
      </c>
      <c r="Z370" s="21">
        <v>12.796900000000001</v>
      </c>
      <c r="AA370" s="21">
        <v>-6.1096199999999996E-3</v>
      </c>
      <c r="AB370" s="21">
        <v>360</v>
      </c>
      <c r="AC370" s="21">
        <v>1.71234</v>
      </c>
      <c r="AD370">
        <f t="shared" si="64"/>
        <v>7.5427407407407392</v>
      </c>
      <c r="AE370">
        <f t="shared" si="65"/>
        <v>12.91920634074074</v>
      </c>
      <c r="AF370" s="9"/>
      <c r="AG370" s="21">
        <v>1.7128000000000001</v>
      </c>
      <c r="AH370" s="21">
        <v>22.0962</v>
      </c>
      <c r="AI370" s="21">
        <v>-6.2652599999999999E-3</v>
      </c>
      <c r="AJ370" s="21">
        <v>360</v>
      </c>
      <c r="AK370" s="21">
        <v>1.71265</v>
      </c>
      <c r="AL370">
        <f t="shared" si="66"/>
        <v>7.7348888888888885</v>
      </c>
      <c r="AM370">
        <f t="shared" si="67"/>
        <v>13.248317688888889</v>
      </c>
      <c r="AP370" s="9"/>
      <c r="AQ370" s="21">
        <v>-2.2735600000000002E-2</v>
      </c>
      <c r="AR370" s="21">
        <v>27.575299999999999</v>
      </c>
      <c r="AS370" s="21">
        <v>-1.40991E-2</v>
      </c>
      <c r="AT370" s="21">
        <v>360</v>
      </c>
      <c r="AU370" s="21">
        <v>-2.3007199999999998E-2</v>
      </c>
      <c r="AV370">
        <f t="shared" si="68"/>
        <v>17.406296296296293</v>
      </c>
      <c r="AW370">
        <f t="shared" si="69"/>
        <v>-0.39574259007407403</v>
      </c>
      <c r="AX370" s="9"/>
      <c r="AY370" s="21">
        <v>1.7128000000000001</v>
      </c>
      <c r="AZ370" s="21">
        <v>31.374400000000001</v>
      </c>
      <c r="BA370" s="21">
        <v>-6.2988300000000001E-3</v>
      </c>
      <c r="BB370" s="21">
        <v>360</v>
      </c>
      <c r="BC370" s="21">
        <v>1.71173</v>
      </c>
      <c r="BD370">
        <f t="shared" si="70"/>
        <v>7.7763333333333327</v>
      </c>
      <c r="BE370">
        <f t="shared" si="71"/>
        <v>13.319303733333333</v>
      </c>
    </row>
    <row r="371" spans="6:57" x14ac:dyDescent="0.25">
      <c r="F371" s="9"/>
      <c r="G371" s="21">
        <v>-2.7771000000000001E-2</v>
      </c>
      <c r="H371" s="21">
        <v>9.0079600000000006</v>
      </c>
      <c r="I371" s="21">
        <v>-1.4196800000000001E-2</v>
      </c>
      <c r="J371" s="21">
        <v>361</v>
      </c>
      <c r="K371" s="21">
        <v>-2.8039600000000001E-2</v>
      </c>
      <c r="L371">
        <f t="shared" si="60"/>
        <v>17.526913580246916</v>
      </c>
      <c r="M371">
        <f t="shared" si="61"/>
        <v>-0.48673991703703712</v>
      </c>
      <c r="N371" s="9"/>
      <c r="O371" s="21">
        <v>1.71783</v>
      </c>
      <c r="P371" s="21">
        <v>12.807</v>
      </c>
      <c r="Q371" s="21">
        <v>-5.5328399999999998E-3</v>
      </c>
      <c r="R371" s="21">
        <v>361</v>
      </c>
      <c r="S371" s="21">
        <v>1.71692</v>
      </c>
      <c r="T371">
        <f t="shared" si="62"/>
        <v>6.8306666666666667</v>
      </c>
      <c r="U371">
        <f t="shared" si="63"/>
        <v>11.733924119999999</v>
      </c>
      <c r="X371" s="9"/>
      <c r="Y371" s="21">
        <v>1.71783</v>
      </c>
      <c r="Z371" s="21">
        <v>12.807</v>
      </c>
      <c r="AA371" s="21">
        <v>-5.5328399999999998E-3</v>
      </c>
      <c r="AB371" s="21">
        <v>361</v>
      </c>
      <c r="AC371" s="21">
        <v>1.71692</v>
      </c>
      <c r="AD371">
        <f t="shared" si="64"/>
        <v>6.8306666666666667</v>
      </c>
      <c r="AE371">
        <f t="shared" si="65"/>
        <v>11.733924119999999</v>
      </c>
      <c r="AF371" s="9"/>
      <c r="AG371" s="21">
        <v>1.71783</v>
      </c>
      <c r="AH371" s="21">
        <v>22.106200000000001</v>
      </c>
      <c r="AI371" s="21">
        <v>-5.7251000000000003E-3</v>
      </c>
      <c r="AJ371" s="21">
        <v>361</v>
      </c>
      <c r="AK371" s="21">
        <v>1.71692</v>
      </c>
      <c r="AL371">
        <f t="shared" si="66"/>
        <v>7.0680246913580245</v>
      </c>
      <c r="AM371">
        <f t="shared" si="67"/>
        <v>12.141664855555556</v>
      </c>
      <c r="AP371" s="9"/>
      <c r="AQ371" s="21">
        <v>-2.7771000000000001E-2</v>
      </c>
      <c r="AR371" s="21">
        <v>27.5854</v>
      </c>
      <c r="AS371" s="21">
        <v>-1.4108300000000001E-2</v>
      </c>
      <c r="AT371" s="21">
        <v>361</v>
      </c>
      <c r="AU371" s="21">
        <v>-2.8051800000000002E-2</v>
      </c>
      <c r="AV371">
        <f t="shared" si="68"/>
        <v>17.417654320987655</v>
      </c>
      <c r="AW371">
        <f t="shared" si="69"/>
        <v>-0.48370567814814819</v>
      </c>
      <c r="AX371" s="9"/>
      <c r="AY371" s="21">
        <v>1.71783</v>
      </c>
      <c r="AZ371" s="21">
        <v>31.384399999999999</v>
      </c>
      <c r="BA371" s="21">
        <v>-5.7617199999999997E-3</v>
      </c>
      <c r="BB371" s="21">
        <v>361</v>
      </c>
      <c r="BC371" s="21">
        <v>1.71692</v>
      </c>
      <c r="BD371">
        <f t="shared" si="70"/>
        <v>7.113234567901233</v>
      </c>
      <c r="BE371">
        <f t="shared" si="71"/>
        <v>12.219327737777775</v>
      </c>
    </row>
    <row r="372" spans="6:57" x14ac:dyDescent="0.25">
      <c r="F372" s="9"/>
      <c r="G372" s="21">
        <v>-3.2806399999999999E-2</v>
      </c>
      <c r="H372" s="21">
        <v>9.0180299999999995</v>
      </c>
      <c r="I372" s="21">
        <v>-1.41998E-2</v>
      </c>
      <c r="J372" s="21">
        <v>362</v>
      </c>
      <c r="K372" s="21">
        <v>-3.3157300000000001E-2</v>
      </c>
      <c r="L372">
        <f t="shared" si="60"/>
        <v>17.530617283950615</v>
      </c>
      <c r="M372">
        <f t="shared" si="61"/>
        <v>-0.5751164428641975</v>
      </c>
      <c r="N372" s="9"/>
      <c r="O372" s="21">
        <v>1.7228699999999999</v>
      </c>
      <c r="P372" s="21">
        <v>12.8171</v>
      </c>
      <c r="Q372" s="21">
        <v>-4.8821999999999997E-3</v>
      </c>
      <c r="R372" s="21">
        <v>362</v>
      </c>
      <c r="S372" s="21">
        <v>1.7215</v>
      </c>
      <c r="T372">
        <f t="shared" si="62"/>
        <v>6.0274074074074067</v>
      </c>
      <c r="U372">
        <f t="shared" si="63"/>
        <v>10.384439399999998</v>
      </c>
      <c r="X372" s="9"/>
      <c r="Y372" s="21">
        <v>1.7228699999999999</v>
      </c>
      <c r="Z372" s="21">
        <v>12.8171</v>
      </c>
      <c r="AA372" s="21">
        <v>-4.8821999999999997E-3</v>
      </c>
      <c r="AB372" s="21">
        <v>362</v>
      </c>
      <c r="AC372" s="21">
        <v>1.7215</v>
      </c>
      <c r="AD372">
        <f t="shared" si="64"/>
        <v>6.0274074074074067</v>
      </c>
      <c r="AE372">
        <f t="shared" si="65"/>
        <v>10.384439399999998</v>
      </c>
      <c r="AF372" s="9"/>
      <c r="AG372" s="21">
        <v>1.7228699999999999</v>
      </c>
      <c r="AH372" s="21">
        <v>22.116299999999999</v>
      </c>
      <c r="AI372" s="21">
        <v>-5.0994899999999999E-3</v>
      </c>
      <c r="AJ372" s="21">
        <v>362</v>
      </c>
      <c r="AK372" s="21">
        <v>1.72241</v>
      </c>
      <c r="AL372">
        <f t="shared" si="66"/>
        <v>6.2956666666666665</v>
      </c>
      <c r="AM372">
        <f t="shared" si="67"/>
        <v>10.846615229999999</v>
      </c>
      <c r="AP372" s="9"/>
      <c r="AQ372" s="21">
        <v>-3.2806399999999999E-2</v>
      </c>
      <c r="AR372" s="21">
        <v>27.595500000000001</v>
      </c>
      <c r="AS372" s="21">
        <v>-1.41266E-2</v>
      </c>
      <c r="AT372" s="21">
        <v>362</v>
      </c>
      <c r="AU372" s="21">
        <v>-3.3071900000000001E-2</v>
      </c>
      <c r="AV372">
        <f t="shared" si="68"/>
        <v>17.440246913580246</v>
      </c>
      <c r="AW372">
        <f t="shared" si="69"/>
        <v>-0.57215171634567896</v>
      </c>
      <c r="AX372" s="9"/>
      <c r="AY372" s="21">
        <v>1.7228699999999999</v>
      </c>
      <c r="AZ372" s="21">
        <v>31.394500000000001</v>
      </c>
      <c r="BA372" s="21">
        <v>-5.1147500000000004E-3</v>
      </c>
      <c r="BB372" s="21">
        <v>362</v>
      </c>
      <c r="BC372" s="21">
        <v>1.72211</v>
      </c>
      <c r="BD372">
        <f t="shared" si="70"/>
        <v>6.314506172839506</v>
      </c>
      <c r="BE372">
        <f t="shared" si="71"/>
        <v>10.879073249999999</v>
      </c>
    </row>
    <row r="373" spans="6:57" x14ac:dyDescent="0.25">
      <c r="F373" s="9"/>
      <c r="G373" s="21">
        <v>-3.7841800000000002E-2</v>
      </c>
      <c r="H373" s="21">
        <v>9.0281000000000002</v>
      </c>
      <c r="I373" s="21">
        <v>-1.42059E-2</v>
      </c>
      <c r="J373" s="21">
        <v>363</v>
      </c>
      <c r="K373" s="21">
        <v>-3.8113399999999999E-2</v>
      </c>
      <c r="L373">
        <f t="shared" si="60"/>
        <v>17.538148148148146</v>
      </c>
      <c r="M373">
        <f t="shared" si="61"/>
        <v>-0.66367509459259255</v>
      </c>
      <c r="N373" s="9"/>
      <c r="O373" s="21">
        <v>1.7279100000000001</v>
      </c>
      <c r="P373" s="21">
        <v>12.8271</v>
      </c>
      <c r="Q373" s="21">
        <v>-4.12781E-3</v>
      </c>
      <c r="R373" s="21">
        <v>363</v>
      </c>
      <c r="S373" s="21">
        <v>1.72668</v>
      </c>
      <c r="T373">
        <f t="shared" si="62"/>
        <v>5.0960617283950613</v>
      </c>
      <c r="U373">
        <f t="shared" si="63"/>
        <v>8.8055360211111111</v>
      </c>
      <c r="X373" s="9"/>
      <c r="Y373" s="21">
        <v>1.7279100000000001</v>
      </c>
      <c r="Z373" s="21">
        <v>12.8271</v>
      </c>
      <c r="AA373" s="21">
        <v>-4.12781E-3</v>
      </c>
      <c r="AB373" s="21">
        <v>363</v>
      </c>
      <c r="AC373" s="21">
        <v>1.72668</v>
      </c>
      <c r="AD373">
        <f t="shared" si="64"/>
        <v>5.0960617283950613</v>
      </c>
      <c r="AE373">
        <f t="shared" si="65"/>
        <v>8.8055360211111111</v>
      </c>
      <c r="AF373" s="9"/>
      <c r="AG373" s="21">
        <v>1.7279100000000001</v>
      </c>
      <c r="AH373" s="21">
        <v>22.1264</v>
      </c>
      <c r="AI373" s="21">
        <v>-4.3673699999999998E-3</v>
      </c>
      <c r="AJ373" s="21">
        <v>363</v>
      </c>
      <c r="AK373" s="21">
        <v>1.72729</v>
      </c>
      <c r="AL373">
        <f t="shared" si="66"/>
        <v>5.3918148148148148</v>
      </c>
      <c r="AM373">
        <f t="shared" si="67"/>
        <v>9.3165707366666677</v>
      </c>
      <c r="AP373" s="9"/>
      <c r="AQ373" s="21">
        <v>-3.7841800000000002E-2</v>
      </c>
      <c r="AR373" s="21">
        <v>27.605499999999999</v>
      </c>
      <c r="AS373" s="21">
        <v>-1.41388E-2</v>
      </c>
      <c r="AT373" s="21">
        <v>363</v>
      </c>
      <c r="AU373" s="21">
        <v>-3.8153100000000002E-2</v>
      </c>
      <c r="AV373">
        <f t="shared" si="68"/>
        <v>17.455308641975307</v>
      </c>
      <c r="AW373">
        <f t="shared" si="69"/>
        <v>-0.6605402985679012</v>
      </c>
      <c r="AX373" s="9"/>
      <c r="AY373" s="21">
        <v>1.7279100000000001</v>
      </c>
      <c r="AZ373" s="21">
        <v>31.404599999999999</v>
      </c>
      <c r="BA373" s="21">
        <v>-4.3719500000000003E-3</v>
      </c>
      <c r="BB373" s="21">
        <v>363</v>
      </c>
      <c r="BC373" s="21">
        <v>1.7276</v>
      </c>
      <c r="BD373">
        <f t="shared" si="70"/>
        <v>5.3974691358024689</v>
      </c>
      <c r="BE373">
        <f t="shared" si="71"/>
        <v>9.3263408944444439</v>
      </c>
    </row>
    <row r="374" spans="6:57" x14ac:dyDescent="0.25">
      <c r="F374" s="9"/>
      <c r="G374" s="21">
        <v>-4.2877199999999997E-2</v>
      </c>
      <c r="H374" s="21">
        <v>9.0381699999999991</v>
      </c>
      <c r="I374" s="21">
        <v>-1.42151E-2</v>
      </c>
      <c r="J374" s="21">
        <v>364</v>
      </c>
      <c r="K374" s="21">
        <v>-4.3185399999999999E-2</v>
      </c>
      <c r="L374">
        <f t="shared" si="60"/>
        <v>17.549506172839507</v>
      </c>
      <c r="M374">
        <f t="shared" si="61"/>
        <v>-0.75247368607407406</v>
      </c>
      <c r="N374" s="9"/>
      <c r="O374" s="21">
        <v>1.7329399999999999</v>
      </c>
      <c r="P374" s="21">
        <v>12.837199999999999</v>
      </c>
      <c r="Q374" s="21">
        <v>-3.2266199999999999E-3</v>
      </c>
      <c r="R374" s="21">
        <v>364</v>
      </c>
      <c r="S374" s="21">
        <v>1.7321800000000001</v>
      </c>
      <c r="T374">
        <f t="shared" si="62"/>
        <v>3.9834814814814812</v>
      </c>
      <c r="U374">
        <f t="shared" si="63"/>
        <v>6.9031343985185174</v>
      </c>
      <c r="X374" s="9"/>
      <c r="Y374" s="21">
        <v>1.7329399999999999</v>
      </c>
      <c r="Z374" s="21">
        <v>12.837199999999999</v>
      </c>
      <c r="AA374" s="21">
        <v>-3.2266199999999999E-3</v>
      </c>
      <c r="AB374" s="21">
        <v>364</v>
      </c>
      <c r="AC374" s="21">
        <v>1.7321800000000001</v>
      </c>
      <c r="AD374">
        <f t="shared" si="64"/>
        <v>3.9834814814814812</v>
      </c>
      <c r="AE374">
        <f t="shared" si="65"/>
        <v>6.9031343985185174</v>
      </c>
      <c r="AF374" s="9"/>
      <c r="AG374" s="21">
        <v>1.7329399999999999</v>
      </c>
      <c r="AH374" s="21">
        <v>22.136399999999998</v>
      </c>
      <c r="AI374" s="21">
        <v>-3.4811400000000002E-3</v>
      </c>
      <c r="AJ374" s="21">
        <v>364</v>
      </c>
      <c r="AK374" s="21">
        <v>1.73187</v>
      </c>
      <c r="AL374">
        <f t="shared" si="66"/>
        <v>4.2977037037037036</v>
      </c>
      <c r="AM374">
        <f t="shared" si="67"/>
        <v>7.4476626562962958</v>
      </c>
      <c r="AP374" s="9"/>
      <c r="AQ374" s="21">
        <v>-4.2877199999999997E-2</v>
      </c>
      <c r="AR374" s="21">
        <v>27.615600000000001</v>
      </c>
      <c r="AS374" s="21">
        <v>-1.41479E-2</v>
      </c>
      <c r="AT374" s="21">
        <v>364</v>
      </c>
      <c r="AU374" s="21">
        <v>-4.3188499999999998E-2</v>
      </c>
      <c r="AV374">
        <f t="shared" si="68"/>
        <v>17.466543209876541</v>
      </c>
      <c r="AW374">
        <f t="shared" si="69"/>
        <v>-0.7489164665185184</v>
      </c>
      <c r="AX374" s="9"/>
      <c r="AY374" s="21">
        <v>1.7329399999999999</v>
      </c>
      <c r="AZ374" s="21">
        <v>31.4147</v>
      </c>
      <c r="BA374" s="21">
        <v>-3.4435999999999998E-3</v>
      </c>
      <c r="BB374" s="21">
        <v>364</v>
      </c>
      <c r="BC374" s="21">
        <v>1.73248</v>
      </c>
      <c r="BD374">
        <f t="shared" si="70"/>
        <v>4.251358024691358</v>
      </c>
      <c r="BE374">
        <f t="shared" si="71"/>
        <v>7.3673483753086417</v>
      </c>
    </row>
    <row r="375" spans="6:57" x14ac:dyDescent="0.25">
      <c r="F375" s="9"/>
      <c r="G375" s="21">
        <v>-4.79126E-2</v>
      </c>
      <c r="H375" s="21">
        <v>9.0482399999999998</v>
      </c>
      <c r="I375" s="21">
        <v>-1.42151E-2</v>
      </c>
      <c r="J375" s="21">
        <v>365</v>
      </c>
      <c r="K375" s="21">
        <v>-4.8217799999999998E-2</v>
      </c>
      <c r="L375">
        <f t="shared" si="60"/>
        <v>17.549506172839507</v>
      </c>
      <c r="M375">
        <f t="shared" si="61"/>
        <v>-0.8408424694567902</v>
      </c>
      <c r="N375" s="9"/>
      <c r="O375" s="21">
        <v>1.7379800000000001</v>
      </c>
      <c r="P375" s="21">
        <v>12.847300000000001</v>
      </c>
      <c r="Q375" s="21">
        <v>-2.1362299999999998E-3</v>
      </c>
      <c r="R375" s="21">
        <v>365</v>
      </c>
      <c r="S375" s="21">
        <v>1.7367600000000001</v>
      </c>
      <c r="T375">
        <f t="shared" si="62"/>
        <v>2.6373209876543204</v>
      </c>
      <c r="U375">
        <f t="shared" si="63"/>
        <v>4.5836111301234563</v>
      </c>
      <c r="X375" s="9"/>
      <c r="Y375" s="21">
        <v>1.7379800000000001</v>
      </c>
      <c r="Z375" s="21">
        <v>12.847300000000001</v>
      </c>
      <c r="AA375" s="21">
        <v>-2.1362299999999998E-3</v>
      </c>
      <c r="AB375" s="21">
        <v>365</v>
      </c>
      <c r="AC375" s="21">
        <v>1.7367600000000001</v>
      </c>
      <c r="AD375">
        <f t="shared" si="64"/>
        <v>2.6373209876543204</v>
      </c>
      <c r="AE375">
        <f t="shared" si="65"/>
        <v>4.5836111301234563</v>
      </c>
      <c r="AF375" s="9"/>
      <c r="AG375" s="21">
        <v>1.7379800000000001</v>
      </c>
      <c r="AH375" s="21">
        <v>22.1465</v>
      </c>
      <c r="AI375" s="21">
        <v>-2.40631E-3</v>
      </c>
      <c r="AJ375" s="21">
        <v>365</v>
      </c>
      <c r="AK375" s="21">
        <v>1.7373700000000001</v>
      </c>
      <c r="AL375">
        <f t="shared" si="66"/>
        <v>2.9707530864197529</v>
      </c>
      <c r="AM375">
        <f t="shared" si="67"/>
        <v>5.1631094491358027</v>
      </c>
      <c r="AP375" s="9"/>
      <c r="AQ375" s="21">
        <v>-4.79126E-2</v>
      </c>
      <c r="AR375" s="21">
        <v>27.625699999999998</v>
      </c>
      <c r="AS375" s="21">
        <v>-1.41449E-2</v>
      </c>
      <c r="AT375" s="21">
        <v>365</v>
      </c>
      <c r="AU375" s="21">
        <v>-4.8172E-2</v>
      </c>
      <c r="AV375">
        <f t="shared" si="68"/>
        <v>17.462839506172838</v>
      </c>
      <c r="AW375">
        <f t="shared" si="69"/>
        <v>-0.83669004412345671</v>
      </c>
      <c r="AX375" s="9"/>
      <c r="AY375" s="21">
        <v>1.7379800000000001</v>
      </c>
      <c r="AZ375" s="21">
        <v>31.424700000000001</v>
      </c>
      <c r="BA375" s="21">
        <v>-2.3376500000000001E-3</v>
      </c>
      <c r="BB375" s="21">
        <v>365</v>
      </c>
      <c r="BC375" s="21">
        <v>1.73706</v>
      </c>
      <c r="BD375">
        <f t="shared" si="70"/>
        <v>2.8859876543209877</v>
      </c>
      <c r="BE375">
        <f t="shared" si="71"/>
        <v>5.0157888234567904</v>
      </c>
    </row>
    <row r="376" spans="6:57" x14ac:dyDescent="0.25">
      <c r="F376" s="9"/>
      <c r="G376" s="21">
        <v>-5.2948000000000002E-2</v>
      </c>
      <c r="H376" s="21">
        <v>9.0583100000000005</v>
      </c>
      <c r="I376" s="21">
        <v>-1.42151E-2</v>
      </c>
      <c r="J376" s="21">
        <v>366</v>
      </c>
      <c r="K376" s="21">
        <v>-5.3466800000000002E-2</v>
      </c>
      <c r="L376">
        <f t="shared" si="60"/>
        <v>17.549506172839507</v>
      </c>
      <c r="M376">
        <f t="shared" si="61"/>
        <v>-0.92921125283950623</v>
      </c>
      <c r="N376" s="9"/>
      <c r="O376" s="21">
        <v>1.7430099999999999</v>
      </c>
      <c r="P376" s="21">
        <v>12.8574</v>
      </c>
      <c r="Q376" s="21">
        <v>-7.7758799999999996E-4</v>
      </c>
      <c r="R376" s="21">
        <v>366</v>
      </c>
      <c r="S376" s="21">
        <v>1.74194</v>
      </c>
      <c r="T376">
        <f t="shared" si="62"/>
        <v>0.95998518518518516</v>
      </c>
      <c r="U376">
        <f t="shared" si="63"/>
        <v>1.6732637776296295</v>
      </c>
      <c r="X376" s="9"/>
      <c r="Y376" s="21">
        <v>1.7430099999999999</v>
      </c>
      <c r="Z376" s="21">
        <v>12.8574</v>
      </c>
      <c r="AA376" s="21">
        <v>-7.7758799999999996E-4</v>
      </c>
      <c r="AB376" s="21">
        <v>366</v>
      </c>
      <c r="AC376" s="21">
        <v>1.74194</v>
      </c>
      <c r="AD376">
        <f t="shared" si="64"/>
        <v>0.95998518518518516</v>
      </c>
      <c r="AE376">
        <f t="shared" si="65"/>
        <v>1.6732637776296295</v>
      </c>
      <c r="AF376" s="9"/>
      <c r="AG376" s="21">
        <v>1.7430099999999999</v>
      </c>
      <c r="AH376" s="21">
        <v>22.156600000000001</v>
      </c>
      <c r="AI376" s="21">
        <v>-1.10413E-3</v>
      </c>
      <c r="AJ376" s="21">
        <v>366</v>
      </c>
      <c r="AK376" s="21">
        <v>1.74255</v>
      </c>
      <c r="AL376">
        <f t="shared" si="66"/>
        <v>1.3631234567901234</v>
      </c>
      <c r="AM376">
        <f t="shared" si="67"/>
        <v>2.3759378164197527</v>
      </c>
      <c r="AP376" s="9"/>
      <c r="AQ376" s="21">
        <v>-5.2948000000000002E-2</v>
      </c>
      <c r="AR376" s="21">
        <v>27.6358</v>
      </c>
      <c r="AS376" s="21">
        <v>-1.41479E-2</v>
      </c>
      <c r="AT376" s="21">
        <v>366</v>
      </c>
      <c r="AU376" s="21">
        <v>-5.3375199999999998E-2</v>
      </c>
      <c r="AV376">
        <f t="shared" si="68"/>
        <v>17.466543209876541</v>
      </c>
      <c r="AW376">
        <f t="shared" si="69"/>
        <v>-0.92481852987654312</v>
      </c>
      <c r="AX376" s="9"/>
      <c r="AY376" s="21">
        <v>1.7430099999999999</v>
      </c>
      <c r="AZ376" s="21">
        <v>31.434799999999999</v>
      </c>
      <c r="BA376" s="21">
        <v>-9.5550500000000005E-4</v>
      </c>
      <c r="BB376" s="21">
        <v>366</v>
      </c>
      <c r="BC376" s="21">
        <v>1.74255</v>
      </c>
      <c r="BD376">
        <f t="shared" si="70"/>
        <v>1.1796358024691358</v>
      </c>
      <c r="BE376">
        <f t="shared" si="71"/>
        <v>2.0561170000617284</v>
      </c>
    </row>
    <row r="377" spans="6:57" x14ac:dyDescent="0.25">
      <c r="F377" s="9"/>
      <c r="G377" s="21">
        <v>-5.7983399999999997E-2</v>
      </c>
      <c r="H377" s="21">
        <v>9.0683799999999994</v>
      </c>
      <c r="I377" s="21">
        <v>-1.4212000000000001E-2</v>
      </c>
      <c r="J377" s="21">
        <v>367</v>
      </c>
      <c r="K377" s="21">
        <v>-5.8502199999999997E-2</v>
      </c>
      <c r="L377">
        <f t="shared" si="60"/>
        <v>17.54567901234568</v>
      </c>
      <c r="M377">
        <f t="shared" si="61"/>
        <v>-1.0173581244444445</v>
      </c>
      <c r="N377" s="9"/>
      <c r="O377" s="21">
        <v>1.7480500000000001</v>
      </c>
      <c r="P377" s="21">
        <v>12.8674</v>
      </c>
      <c r="Q377" s="21">
        <v>8.9599600000000003E-4</v>
      </c>
      <c r="R377" s="21">
        <v>367</v>
      </c>
      <c r="S377" s="21">
        <v>1.7474400000000001</v>
      </c>
      <c r="T377">
        <f t="shared" si="62"/>
        <v>-1.1061679012345678</v>
      </c>
      <c r="U377">
        <f t="shared" si="63"/>
        <v>-1.9336367997530863</v>
      </c>
      <c r="X377" s="9"/>
      <c r="Y377" s="21">
        <v>1.7480500000000001</v>
      </c>
      <c r="Z377" s="21">
        <v>12.8674</v>
      </c>
      <c r="AA377" s="21">
        <v>8.9599600000000003E-4</v>
      </c>
      <c r="AB377" s="21">
        <v>367</v>
      </c>
      <c r="AC377" s="21">
        <v>1.7474400000000001</v>
      </c>
      <c r="AD377">
        <f t="shared" si="64"/>
        <v>-1.1061679012345678</v>
      </c>
      <c r="AE377">
        <f t="shared" si="65"/>
        <v>-1.9336367997530863</v>
      </c>
      <c r="AF377" s="9"/>
      <c r="AG377" s="21">
        <v>1.7480500000000001</v>
      </c>
      <c r="AH377" s="21">
        <v>22.166599999999999</v>
      </c>
      <c r="AI377" s="21">
        <v>5.3070099999999996E-4</v>
      </c>
      <c r="AJ377" s="21">
        <v>367</v>
      </c>
      <c r="AK377" s="21">
        <v>1.7474400000000001</v>
      </c>
      <c r="AL377">
        <f t="shared" si="66"/>
        <v>-0.65518641975308634</v>
      </c>
      <c r="AM377">
        <f t="shared" si="67"/>
        <v>-1.1452986210493827</v>
      </c>
      <c r="AP377" s="9"/>
      <c r="AQ377" s="21">
        <v>-5.7983399999999997E-2</v>
      </c>
      <c r="AR377" s="21">
        <v>27.645800000000001</v>
      </c>
      <c r="AS377" s="21">
        <v>-1.4135699999999999E-2</v>
      </c>
      <c r="AT377" s="21">
        <v>367</v>
      </c>
      <c r="AU377" s="21">
        <v>-5.8441199999999999E-2</v>
      </c>
      <c r="AV377">
        <f t="shared" si="68"/>
        <v>17.45148148148148</v>
      </c>
      <c r="AW377">
        <f t="shared" si="69"/>
        <v>-1.0118962313333333</v>
      </c>
      <c r="AX377" s="9"/>
      <c r="AY377" s="21">
        <v>1.7480500000000001</v>
      </c>
      <c r="AZ377" s="21">
        <v>31.444900000000001</v>
      </c>
      <c r="BA377" s="21">
        <v>7.4615499999999997E-4</v>
      </c>
      <c r="BB377" s="21">
        <v>367</v>
      </c>
      <c r="BC377" s="21">
        <v>1.7471300000000001</v>
      </c>
      <c r="BD377">
        <f t="shared" si="70"/>
        <v>-0.92117901234567889</v>
      </c>
      <c r="BE377">
        <f t="shared" si="71"/>
        <v>-1.610266972530864</v>
      </c>
    </row>
    <row r="378" spans="6:57" x14ac:dyDescent="0.25">
      <c r="F378" s="9"/>
      <c r="G378" s="21">
        <v>-6.30188E-2</v>
      </c>
      <c r="H378" s="21">
        <v>9.0784500000000001</v>
      </c>
      <c r="I378" s="21">
        <v>-1.42151E-2</v>
      </c>
      <c r="J378" s="21">
        <v>368</v>
      </c>
      <c r="K378" s="21">
        <v>-6.34155E-2</v>
      </c>
      <c r="L378">
        <f t="shared" si="60"/>
        <v>17.549506172839507</v>
      </c>
      <c r="M378">
        <f t="shared" si="61"/>
        <v>-1.1059488196049383</v>
      </c>
      <c r="N378" s="9"/>
      <c r="O378" s="21">
        <v>1.75308</v>
      </c>
      <c r="P378" s="21">
        <v>12.8775</v>
      </c>
      <c r="Q378" s="21">
        <v>2.8912400000000002E-3</v>
      </c>
      <c r="R378" s="21">
        <v>368</v>
      </c>
      <c r="S378" s="21">
        <v>1.7523200000000001</v>
      </c>
      <c r="T378">
        <f t="shared" si="62"/>
        <v>-3.5694320987654322</v>
      </c>
      <c r="U378">
        <f t="shared" si="63"/>
        <v>-6.2575000237037042</v>
      </c>
      <c r="X378" s="9"/>
      <c r="Y378" s="21">
        <v>1.75308</v>
      </c>
      <c r="Z378" s="21">
        <v>12.8775</v>
      </c>
      <c r="AA378" s="21">
        <v>2.8912400000000002E-3</v>
      </c>
      <c r="AB378" s="21">
        <v>368</v>
      </c>
      <c r="AC378" s="21">
        <v>1.7523200000000001</v>
      </c>
      <c r="AD378">
        <f t="shared" si="64"/>
        <v>-3.5694320987654322</v>
      </c>
      <c r="AE378">
        <f t="shared" si="65"/>
        <v>-6.2575000237037042</v>
      </c>
      <c r="AF378" s="9"/>
      <c r="AG378" s="21">
        <v>1.75308</v>
      </c>
      <c r="AH378" s="21">
        <v>22.1767</v>
      </c>
      <c r="AI378" s="21">
        <v>2.4877900000000001E-3</v>
      </c>
      <c r="AJ378" s="21">
        <v>368</v>
      </c>
      <c r="AK378" s="21">
        <v>1.7526200000000001</v>
      </c>
      <c r="AL378">
        <f t="shared" si="66"/>
        <v>-3.0713456790123455</v>
      </c>
      <c r="AM378">
        <f t="shared" si="67"/>
        <v>-5.3843146829629625</v>
      </c>
      <c r="AP378" s="9"/>
      <c r="AQ378" s="21">
        <v>-6.30188E-2</v>
      </c>
      <c r="AR378" s="21">
        <v>27.655899999999999</v>
      </c>
      <c r="AS378" s="21">
        <v>-1.4123500000000001E-2</v>
      </c>
      <c r="AT378" s="21">
        <v>368</v>
      </c>
      <c r="AU378" s="21">
        <v>-6.35376E-2</v>
      </c>
      <c r="AV378">
        <f t="shared" si="68"/>
        <v>17.436419753086419</v>
      </c>
      <c r="AW378">
        <f t="shared" si="69"/>
        <v>-1.0988222491358024</v>
      </c>
      <c r="AX378" s="9"/>
      <c r="AY378" s="21">
        <v>1.75308</v>
      </c>
      <c r="AZ378" s="21">
        <v>31.454899999999999</v>
      </c>
      <c r="BA378" s="21">
        <v>2.8076199999999998E-3</v>
      </c>
      <c r="BB378" s="21">
        <v>368</v>
      </c>
      <c r="BC378" s="21">
        <v>1.7520100000000001</v>
      </c>
      <c r="BD378">
        <f t="shared" si="70"/>
        <v>-3.4661975308641972</v>
      </c>
      <c r="BE378">
        <f t="shared" si="71"/>
        <v>-6.0765215674074069</v>
      </c>
    </row>
    <row r="379" spans="6:57" x14ac:dyDescent="0.25">
      <c r="F379" s="9"/>
      <c r="G379" s="21">
        <v>-6.8054199999999995E-2</v>
      </c>
      <c r="H379" s="21">
        <v>9.0885300000000004</v>
      </c>
      <c r="I379" s="21">
        <v>-1.4212000000000001E-2</v>
      </c>
      <c r="J379" s="21">
        <v>369</v>
      </c>
      <c r="K379" s="21">
        <v>-6.8450899999999995E-2</v>
      </c>
      <c r="L379">
        <f t="shared" si="60"/>
        <v>17.54567901234568</v>
      </c>
      <c r="M379">
        <f t="shared" si="61"/>
        <v>-1.1940571486419753</v>
      </c>
      <c r="N379" s="9"/>
      <c r="O379" s="21">
        <v>1.7581199999999999</v>
      </c>
      <c r="P379" s="21">
        <v>12.887600000000001</v>
      </c>
      <c r="Q379" s="21">
        <v>5.2062999999999996E-3</v>
      </c>
      <c r="R379" s="21">
        <v>369</v>
      </c>
      <c r="S379" s="21">
        <v>1.7565900000000001</v>
      </c>
      <c r="T379">
        <f t="shared" si="62"/>
        <v>-6.4275308641975304</v>
      </c>
      <c r="U379">
        <f t="shared" si="63"/>
        <v>-11.300370562962961</v>
      </c>
      <c r="X379" s="9"/>
      <c r="Y379" s="21">
        <v>1.7581199999999999</v>
      </c>
      <c r="Z379" s="21">
        <v>12.887600000000001</v>
      </c>
      <c r="AA379" s="21">
        <v>5.2062999999999996E-3</v>
      </c>
      <c r="AB379" s="21">
        <v>369</v>
      </c>
      <c r="AC379" s="21">
        <v>1.7565900000000001</v>
      </c>
      <c r="AD379">
        <f t="shared" si="64"/>
        <v>-6.4275308641975304</v>
      </c>
      <c r="AE379">
        <f t="shared" si="65"/>
        <v>-11.300370562962961</v>
      </c>
      <c r="AF379" s="9"/>
      <c r="AG379" s="21">
        <v>1.7581199999999999</v>
      </c>
      <c r="AH379" s="21">
        <v>22.186800000000002</v>
      </c>
      <c r="AI379" s="21">
        <v>4.7860699999999999E-3</v>
      </c>
      <c r="AJ379" s="21">
        <v>369</v>
      </c>
      <c r="AK379" s="21">
        <v>1.7572000000000001</v>
      </c>
      <c r="AL379">
        <f t="shared" si="66"/>
        <v>-5.9087283950617273</v>
      </c>
      <c r="AM379">
        <f t="shared" si="67"/>
        <v>-10.388253565925924</v>
      </c>
      <c r="AP379" s="9"/>
      <c r="AQ379" s="21">
        <v>-6.8054199999999995E-2</v>
      </c>
      <c r="AR379" s="21">
        <v>27.666</v>
      </c>
      <c r="AS379" s="21">
        <v>-1.41174E-2</v>
      </c>
      <c r="AT379" s="21">
        <v>369</v>
      </c>
      <c r="AU379" s="21">
        <v>-6.8664600000000006E-2</v>
      </c>
      <c r="AV379">
        <f t="shared" si="68"/>
        <v>17.428888888888888</v>
      </c>
      <c r="AW379">
        <f t="shared" si="69"/>
        <v>-1.1861090902222222</v>
      </c>
      <c r="AX379" s="9"/>
      <c r="AY379" s="21">
        <v>1.7581199999999999</v>
      </c>
      <c r="AZ379" s="21">
        <v>31.465</v>
      </c>
      <c r="BA379" s="21">
        <v>5.1727300000000004E-3</v>
      </c>
      <c r="BB379" s="21">
        <v>369</v>
      </c>
      <c r="BC379" s="21">
        <v>1.7575099999999999</v>
      </c>
      <c r="BD379">
        <f t="shared" si="70"/>
        <v>-6.3860864197530862</v>
      </c>
      <c r="BE379">
        <f t="shared" si="71"/>
        <v>-11.227506256296296</v>
      </c>
    </row>
    <row r="380" spans="6:57" x14ac:dyDescent="0.25">
      <c r="F380" s="9"/>
      <c r="G380" s="21">
        <v>-7.3089600000000005E-2</v>
      </c>
      <c r="H380" s="21">
        <v>9.0985999999999994</v>
      </c>
      <c r="I380" s="21">
        <v>-1.4202899999999999E-2</v>
      </c>
      <c r="J380" s="21">
        <v>370</v>
      </c>
      <c r="K380" s="21">
        <v>-7.3608400000000004E-2</v>
      </c>
      <c r="L380">
        <f t="shared" si="60"/>
        <v>17.534444444444443</v>
      </c>
      <c r="M380">
        <f t="shared" si="61"/>
        <v>-1.2815855306666666</v>
      </c>
      <c r="N380" s="9"/>
      <c r="O380" s="21">
        <v>1.76315</v>
      </c>
      <c r="P380" s="21">
        <v>12.897600000000001</v>
      </c>
      <c r="Q380" s="21">
        <v>7.7606200000000002E-3</v>
      </c>
      <c r="R380" s="21">
        <v>370</v>
      </c>
      <c r="S380" s="21">
        <v>1.7620800000000001</v>
      </c>
      <c r="T380">
        <f t="shared" si="62"/>
        <v>-9.5810123456790119</v>
      </c>
      <c r="U380">
        <f t="shared" si="63"/>
        <v>-16.892761917283948</v>
      </c>
      <c r="X380" s="9"/>
      <c r="Y380" s="21">
        <v>1.76315</v>
      </c>
      <c r="Z380" s="21">
        <v>12.897600000000001</v>
      </c>
      <c r="AA380" s="21">
        <v>7.7606200000000002E-3</v>
      </c>
      <c r="AB380" s="21">
        <v>370</v>
      </c>
      <c r="AC380" s="21">
        <v>1.7620800000000001</v>
      </c>
      <c r="AD380">
        <f t="shared" si="64"/>
        <v>-9.5810123456790119</v>
      </c>
      <c r="AE380">
        <f t="shared" si="65"/>
        <v>-16.892761917283948</v>
      </c>
      <c r="AF380" s="9"/>
      <c r="AG380" s="21">
        <v>1.76315</v>
      </c>
      <c r="AH380" s="21">
        <v>22.196899999999999</v>
      </c>
      <c r="AI380" s="21">
        <v>7.3608399999999996E-3</v>
      </c>
      <c r="AJ380" s="21">
        <v>370</v>
      </c>
      <c r="AK380" s="21">
        <v>1.7626999999999999</v>
      </c>
      <c r="AL380">
        <f t="shared" si="66"/>
        <v>-9.087456790123456</v>
      </c>
      <c r="AM380">
        <f t="shared" si="67"/>
        <v>-16.022549439506172</v>
      </c>
      <c r="AP380" s="9"/>
      <c r="AQ380" s="21">
        <v>-7.3089600000000005E-2</v>
      </c>
      <c r="AR380" s="21">
        <v>27.675999999999998</v>
      </c>
      <c r="AS380" s="21">
        <v>-1.4123500000000001E-2</v>
      </c>
      <c r="AT380" s="21">
        <v>370</v>
      </c>
      <c r="AU380" s="21">
        <v>-7.3700000000000002E-2</v>
      </c>
      <c r="AV380">
        <f t="shared" si="68"/>
        <v>17.436419753086419</v>
      </c>
      <c r="AW380">
        <f t="shared" si="69"/>
        <v>-1.2744209451851851</v>
      </c>
      <c r="AX380" s="9"/>
      <c r="AY380" s="21">
        <v>1.76315</v>
      </c>
      <c r="AZ380" s="21">
        <v>31.475100000000001</v>
      </c>
      <c r="BA380" s="21">
        <v>7.8125E-3</v>
      </c>
      <c r="BB380" s="21">
        <v>370</v>
      </c>
      <c r="BC380" s="21">
        <v>1.7620800000000001</v>
      </c>
      <c r="BD380">
        <f t="shared" si="70"/>
        <v>-9.6450617283950617</v>
      </c>
      <c r="BE380">
        <f t="shared" si="71"/>
        <v>-17.005690586419753</v>
      </c>
    </row>
    <row r="381" spans="6:57" x14ac:dyDescent="0.25">
      <c r="F381" s="9"/>
      <c r="G381" s="21">
        <v>-7.8125E-2</v>
      </c>
      <c r="H381" s="21">
        <v>9.10867</v>
      </c>
      <c r="I381" s="21">
        <v>-1.4196800000000001E-2</v>
      </c>
      <c r="J381" s="21">
        <v>371</v>
      </c>
      <c r="K381" s="21">
        <v>-7.8552200000000003E-2</v>
      </c>
      <c r="L381">
        <f t="shared" si="60"/>
        <v>17.526913580246916</v>
      </c>
      <c r="M381">
        <f t="shared" si="61"/>
        <v>-1.3692901234567902</v>
      </c>
      <c r="N381" s="9"/>
      <c r="O381" s="21">
        <v>1.7681899999999999</v>
      </c>
      <c r="P381" s="21">
        <v>12.9077</v>
      </c>
      <c r="Q381" s="21">
        <v>1.05103E-2</v>
      </c>
      <c r="R381" s="21">
        <v>371</v>
      </c>
      <c r="S381" s="21">
        <v>1.7672699999999999</v>
      </c>
      <c r="T381">
        <f t="shared" si="62"/>
        <v>-12.97567901234568</v>
      </c>
      <c r="U381">
        <f t="shared" si="63"/>
        <v>-22.943465872839507</v>
      </c>
      <c r="X381" s="9"/>
      <c r="Y381" s="21">
        <v>1.7681899999999999</v>
      </c>
      <c r="Z381" s="21">
        <v>12.9077</v>
      </c>
      <c r="AA381" s="21">
        <v>1.05103E-2</v>
      </c>
      <c r="AB381" s="21">
        <v>371</v>
      </c>
      <c r="AC381" s="21">
        <v>1.7672699999999999</v>
      </c>
      <c r="AD381">
        <f t="shared" si="64"/>
        <v>-12.97567901234568</v>
      </c>
      <c r="AE381">
        <f t="shared" si="65"/>
        <v>-22.943465872839507</v>
      </c>
      <c r="AF381" s="9"/>
      <c r="AG381" s="21">
        <v>1.7681899999999999</v>
      </c>
      <c r="AH381" s="21">
        <v>22.206900000000001</v>
      </c>
      <c r="AI381" s="21">
        <v>1.01685E-2</v>
      </c>
      <c r="AJ381" s="21">
        <v>371</v>
      </c>
      <c r="AK381" s="21">
        <v>1.7675799999999999</v>
      </c>
      <c r="AL381">
        <f t="shared" si="66"/>
        <v>-12.553703703703704</v>
      </c>
      <c r="AM381">
        <f t="shared" si="67"/>
        <v>-22.197333351851849</v>
      </c>
      <c r="AP381" s="9"/>
      <c r="AQ381" s="21">
        <v>-7.8125E-2</v>
      </c>
      <c r="AR381" s="21">
        <v>27.6861</v>
      </c>
      <c r="AS381" s="21">
        <v>-1.41174E-2</v>
      </c>
      <c r="AT381" s="21">
        <v>371</v>
      </c>
      <c r="AU381" s="21">
        <v>-7.8613299999999997E-2</v>
      </c>
      <c r="AV381">
        <f t="shared" si="68"/>
        <v>17.428888888888888</v>
      </c>
      <c r="AW381">
        <f t="shared" si="69"/>
        <v>-1.3616319444444445</v>
      </c>
      <c r="AX381" s="9"/>
      <c r="AY381" s="21">
        <v>1.7681899999999999</v>
      </c>
      <c r="AZ381" s="21">
        <v>31.485199999999999</v>
      </c>
      <c r="BA381" s="21">
        <v>1.0726899999999999E-2</v>
      </c>
      <c r="BB381" s="21">
        <v>371</v>
      </c>
      <c r="BC381" s="21">
        <v>1.7678799999999999</v>
      </c>
      <c r="BD381">
        <f t="shared" si="70"/>
        <v>-13.243086419753084</v>
      </c>
      <c r="BE381">
        <f t="shared" si="71"/>
        <v>-23.416292976543204</v>
      </c>
    </row>
    <row r="382" spans="6:57" x14ac:dyDescent="0.25">
      <c r="F382" s="9"/>
      <c r="G382" s="21">
        <v>-8.3160399999999995E-2</v>
      </c>
      <c r="H382" s="21">
        <v>9.1187400000000007</v>
      </c>
      <c r="I382" s="21">
        <v>-1.42059E-2</v>
      </c>
      <c r="J382" s="21">
        <v>372</v>
      </c>
      <c r="K382" s="21">
        <v>-8.3679199999999995E-2</v>
      </c>
      <c r="L382">
        <f t="shared" si="60"/>
        <v>17.538148148148146</v>
      </c>
      <c r="M382">
        <f t="shared" si="61"/>
        <v>-1.4584794152592591</v>
      </c>
      <c r="N382" s="9"/>
      <c r="O382" s="21">
        <v>1.77322</v>
      </c>
      <c r="P382" s="21">
        <v>12.9178</v>
      </c>
      <c r="Q382" s="21">
        <v>1.3439899999999999E-2</v>
      </c>
      <c r="R382" s="21">
        <v>372</v>
      </c>
      <c r="S382" s="21">
        <v>1.77277</v>
      </c>
      <c r="T382">
        <f t="shared" si="62"/>
        <v>-16.592469135802467</v>
      </c>
      <c r="U382">
        <f t="shared" si="63"/>
        <v>-29.422098120987652</v>
      </c>
      <c r="X382" s="9"/>
      <c r="Y382" s="21">
        <v>1.77322</v>
      </c>
      <c r="Z382" s="21">
        <v>12.9178</v>
      </c>
      <c r="AA382" s="21">
        <v>1.3439899999999999E-2</v>
      </c>
      <c r="AB382" s="21">
        <v>372</v>
      </c>
      <c r="AC382" s="21">
        <v>1.77277</v>
      </c>
      <c r="AD382">
        <f t="shared" si="64"/>
        <v>-16.592469135802467</v>
      </c>
      <c r="AE382">
        <f t="shared" si="65"/>
        <v>-29.422098120987652</v>
      </c>
      <c r="AF382" s="9"/>
      <c r="AG382" s="21">
        <v>1.77322</v>
      </c>
      <c r="AH382" s="21">
        <v>22.216999999999999</v>
      </c>
      <c r="AI382" s="21">
        <v>1.31775E-2</v>
      </c>
      <c r="AJ382" s="21">
        <v>372</v>
      </c>
      <c r="AK382" s="21">
        <v>1.77277</v>
      </c>
      <c r="AL382">
        <f t="shared" si="66"/>
        <v>-16.268518518518519</v>
      </c>
      <c r="AM382">
        <f t="shared" si="67"/>
        <v>-28.847662407407409</v>
      </c>
      <c r="AP382" s="9"/>
      <c r="AQ382" s="21">
        <v>-8.3160399999999995E-2</v>
      </c>
      <c r="AR382" s="21">
        <v>27.696200000000001</v>
      </c>
      <c r="AS382" s="21">
        <v>-1.4108300000000001E-2</v>
      </c>
      <c r="AT382" s="21">
        <v>372</v>
      </c>
      <c r="AU382" s="21">
        <v>-8.3648700000000006E-2</v>
      </c>
      <c r="AV382">
        <f t="shared" si="68"/>
        <v>17.417654320987655</v>
      </c>
      <c r="AW382">
        <f t="shared" si="69"/>
        <v>-1.4484591003950618</v>
      </c>
      <c r="AX382" s="9"/>
      <c r="AY382" s="21">
        <v>1.77322</v>
      </c>
      <c r="AZ382" s="21">
        <v>31.495200000000001</v>
      </c>
      <c r="BA382" s="21">
        <v>1.3861099999999999E-2</v>
      </c>
      <c r="BB382" s="21">
        <v>372</v>
      </c>
      <c r="BC382" s="21">
        <v>1.77277</v>
      </c>
      <c r="BD382">
        <f t="shared" si="70"/>
        <v>-17.112469135802467</v>
      </c>
      <c r="BE382">
        <f t="shared" si="71"/>
        <v>-30.344172520987652</v>
      </c>
    </row>
    <row r="383" spans="6:57" x14ac:dyDescent="0.25">
      <c r="F383" s="9"/>
      <c r="G383" s="21">
        <v>-8.8195800000000005E-2</v>
      </c>
      <c r="H383" s="21">
        <v>9.1288099999999996</v>
      </c>
      <c r="I383" s="21">
        <v>-1.42151E-2</v>
      </c>
      <c r="J383" s="21">
        <v>373</v>
      </c>
      <c r="K383" s="21">
        <v>-8.8592500000000005E-2</v>
      </c>
      <c r="L383">
        <f t="shared" si="60"/>
        <v>17.549506172839507</v>
      </c>
      <c r="M383">
        <f t="shared" si="61"/>
        <v>-1.5477927365185187</v>
      </c>
      <c r="N383" s="9"/>
      <c r="O383" s="21">
        <v>1.77826</v>
      </c>
      <c r="P383" s="21">
        <v>12.927899999999999</v>
      </c>
      <c r="Q383" s="21">
        <v>1.6500899999999999E-2</v>
      </c>
      <c r="R383" s="21">
        <v>373</v>
      </c>
      <c r="S383" s="21">
        <v>1.7773399999999999</v>
      </c>
      <c r="T383">
        <f t="shared" si="62"/>
        <v>-20.371481481481482</v>
      </c>
      <c r="U383">
        <f t="shared" si="63"/>
        <v>-36.22579065925926</v>
      </c>
      <c r="X383" s="9"/>
      <c r="Y383" s="21">
        <v>1.77826</v>
      </c>
      <c r="Z383" s="21">
        <v>12.927899999999999</v>
      </c>
      <c r="AA383" s="21">
        <v>1.6500899999999999E-2</v>
      </c>
      <c r="AB383" s="21">
        <v>373</v>
      </c>
      <c r="AC383" s="21">
        <v>1.7773399999999999</v>
      </c>
      <c r="AD383">
        <f t="shared" si="64"/>
        <v>-20.371481481481482</v>
      </c>
      <c r="AE383">
        <f t="shared" si="65"/>
        <v>-36.22579065925926</v>
      </c>
      <c r="AF383" s="9"/>
      <c r="AG383" s="21">
        <v>1.77826</v>
      </c>
      <c r="AH383" s="21">
        <v>22.2271</v>
      </c>
      <c r="AI383" s="21">
        <v>1.63635E-2</v>
      </c>
      <c r="AJ383" s="21">
        <v>373</v>
      </c>
      <c r="AK383" s="21">
        <v>1.77765</v>
      </c>
      <c r="AL383">
        <f t="shared" si="66"/>
        <v>-20.201851851851849</v>
      </c>
      <c r="AM383">
        <f t="shared" si="67"/>
        <v>-35.924145074074069</v>
      </c>
      <c r="AP383" s="9"/>
      <c r="AQ383" s="21">
        <v>-8.8195800000000005E-2</v>
      </c>
      <c r="AR383" s="21">
        <v>27.706299999999999</v>
      </c>
      <c r="AS383" s="21">
        <v>-1.4114399999999999E-2</v>
      </c>
      <c r="AT383" s="21">
        <v>373</v>
      </c>
      <c r="AU383" s="21">
        <v>-8.8622999999999993E-2</v>
      </c>
      <c r="AV383">
        <f t="shared" si="68"/>
        <v>17.425185185185182</v>
      </c>
      <c r="AW383">
        <f t="shared" si="69"/>
        <v>-1.5368281475555554</v>
      </c>
      <c r="AX383" s="9"/>
      <c r="AY383" s="21">
        <v>1.77826</v>
      </c>
      <c r="AZ383" s="21">
        <v>31.505299999999998</v>
      </c>
      <c r="BA383" s="21">
        <v>1.7147800000000001E-2</v>
      </c>
      <c r="BB383" s="21">
        <v>373</v>
      </c>
      <c r="BC383" s="21">
        <v>1.77826</v>
      </c>
      <c r="BD383">
        <f t="shared" si="70"/>
        <v>-21.170123456790122</v>
      </c>
      <c r="BE383">
        <f t="shared" si="71"/>
        <v>-37.645983738271603</v>
      </c>
    </row>
    <row r="384" spans="6:57" x14ac:dyDescent="0.25">
      <c r="F384" s="9"/>
      <c r="G384" s="21">
        <v>-9.32312E-2</v>
      </c>
      <c r="H384" s="21">
        <v>9.1388800000000003</v>
      </c>
      <c r="I384" s="21">
        <v>-1.42151E-2</v>
      </c>
      <c r="J384" s="21">
        <v>374</v>
      </c>
      <c r="K384" s="21">
        <v>-9.3841599999999997E-2</v>
      </c>
      <c r="L384">
        <f t="shared" si="60"/>
        <v>17.549506172839507</v>
      </c>
      <c r="M384">
        <f t="shared" si="61"/>
        <v>-1.6361615199012347</v>
      </c>
      <c r="N384" s="9"/>
      <c r="O384" s="21">
        <v>1.78329</v>
      </c>
      <c r="P384" s="21">
        <v>12.937900000000001</v>
      </c>
      <c r="Q384" s="21">
        <v>1.9638099999999999E-2</v>
      </c>
      <c r="R384" s="21">
        <v>374</v>
      </c>
      <c r="S384" s="21">
        <v>1.78223</v>
      </c>
      <c r="T384">
        <f t="shared" si="62"/>
        <v>-24.244567901234564</v>
      </c>
      <c r="U384">
        <f t="shared" si="63"/>
        <v>-43.235095492592585</v>
      </c>
      <c r="X384" s="9"/>
      <c r="Y384" s="21">
        <v>1.78329</v>
      </c>
      <c r="Z384" s="21">
        <v>12.937900000000001</v>
      </c>
      <c r="AA384" s="21">
        <v>1.9638099999999999E-2</v>
      </c>
      <c r="AB384" s="21">
        <v>374</v>
      </c>
      <c r="AC384" s="21">
        <v>1.78223</v>
      </c>
      <c r="AD384">
        <f t="shared" si="64"/>
        <v>-24.244567901234564</v>
      </c>
      <c r="AE384">
        <f t="shared" si="65"/>
        <v>-43.235095492592585</v>
      </c>
      <c r="AF384" s="9"/>
      <c r="AG384" s="21">
        <v>1.78329</v>
      </c>
      <c r="AH384" s="21">
        <v>22.237100000000002</v>
      </c>
      <c r="AI384" s="21">
        <v>1.96472E-2</v>
      </c>
      <c r="AJ384" s="21">
        <v>374</v>
      </c>
      <c r="AK384" s="21">
        <v>1.7825299999999999</v>
      </c>
      <c r="AL384">
        <f t="shared" si="66"/>
        <v>-24.255802469135798</v>
      </c>
      <c r="AM384">
        <f t="shared" si="67"/>
        <v>-43.255129985185178</v>
      </c>
      <c r="AP384" s="9"/>
      <c r="AQ384" s="21">
        <v>-9.32312E-2</v>
      </c>
      <c r="AR384" s="21">
        <v>27.7163</v>
      </c>
      <c r="AS384" s="21">
        <v>-1.4114399999999999E-2</v>
      </c>
      <c r="AT384" s="21">
        <v>374</v>
      </c>
      <c r="AU384" s="21">
        <v>-9.3780500000000003E-2</v>
      </c>
      <c r="AV384">
        <f t="shared" si="68"/>
        <v>17.425185185185182</v>
      </c>
      <c r="AW384">
        <f t="shared" si="69"/>
        <v>-1.6245709250370368</v>
      </c>
      <c r="AX384" s="9"/>
      <c r="AY384" s="21">
        <v>1.78329</v>
      </c>
      <c r="AZ384" s="21">
        <v>31.5154</v>
      </c>
      <c r="BA384" s="21">
        <v>2.05597E-2</v>
      </c>
      <c r="BB384" s="21">
        <v>374</v>
      </c>
      <c r="BC384" s="21">
        <v>1.78284</v>
      </c>
      <c r="BD384">
        <f t="shared" si="70"/>
        <v>-25.382345679012342</v>
      </c>
      <c r="BE384">
        <f t="shared" si="71"/>
        <v>-45.264083225925923</v>
      </c>
    </row>
    <row r="385" spans="6:57" x14ac:dyDescent="0.25">
      <c r="F385" s="9"/>
      <c r="G385" s="21">
        <v>-9.8266599999999996E-2</v>
      </c>
      <c r="H385" s="21">
        <v>9.1489499999999992</v>
      </c>
      <c r="I385" s="21">
        <v>-1.4202899999999999E-2</v>
      </c>
      <c r="J385" s="21">
        <v>375</v>
      </c>
      <c r="K385" s="21">
        <v>-9.8754900000000007E-2</v>
      </c>
      <c r="L385">
        <f t="shared" si="60"/>
        <v>17.534444444444443</v>
      </c>
      <c r="M385">
        <f t="shared" si="61"/>
        <v>-1.7230502384444442</v>
      </c>
      <c r="N385" s="9"/>
      <c r="O385" s="21">
        <v>1.78833</v>
      </c>
      <c r="P385" s="21">
        <v>12.948</v>
      </c>
      <c r="Q385" s="21">
        <v>2.2900400000000001E-2</v>
      </c>
      <c r="R385" s="21">
        <v>375</v>
      </c>
      <c r="S385" s="21">
        <v>1.78772</v>
      </c>
      <c r="T385">
        <f t="shared" si="62"/>
        <v>-28.272098765432098</v>
      </c>
      <c r="U385">
        <f t="shared" si="63"/>
        <v>-50.559842385185185</v>
      </c>
      <c r="X385" s="9"/>
      <c r="Y385" s="21">
        <v>1.78833</v>
      </c>
      <c r="Z385" s="21">
        <v>12.948</v>
      </c>
      <c r="AA385" s="21">
        <v>2.2900400000000001E-2</v>
      </c>
      <c r="AB385" s="21">
        <v>375</v>
      </c>
      <c r="AC385" s="21">
        <v>1.78772</v>
      </c>
      <c r="AD385">
        <f t="shared" si="64"/>
        <v>-28.272098765432098</v>
      </c>
      <c r="AE385">
        <f t="shared" si="65"/>
        <v>-50.559842385185185</v>
      </c>
      <c r="AF385" s="9"/>
      <c r="AG385" s="21">
        <v>1.78833</v>
      </c>
      <c r="AH385" s="21">
        <v>22.247199999999999</v>
      </c>
      <c r="AI385" s="21">
        <v>2.3068200000000001E-2</v>
      </c>
      <c r="AJ385" s="21">
        <v>375</v>
      </c>
      <c r="AK385" s="21">
        <v>1.7880199999999999</v>
      </c>
      <c r="AL385">
        <f t="shared" si="66"/>
        <v>-28.479259259259258</v>
      </c>
      <c r="AM385">
        <f t="shared" si="67"/>
        <v>-50.930313711111111</v>
      </c>
      <c r="AP385" s="9"/>
      <c r="AQ385" s="21">
        <v>-9.8266599999999996E-2</v>
      </c>
      <c r="AR385" s="21">
        <v>27.726400000000002</v>
      </c>
      <c r="AS385" s="21">
        <v>-1.41174E-2</v>
      </c>
      <c r="AT385" s="21">
        <v>375</v>
      </c>
      <c r="AU385" s="21">
        <v>-9.8785399999999995E-2</v>
      </c>
      <c r="AV385">
        <f t="shared" si="68"/>
        <v>17.428888888888888</v>
      </c>
      <c r="AW385">
        <f t="shared" si="69"/>
        <v>-1.7126776528888887</v>
      </c>
      <c r="AX385" s="9"/>
      <c r="AY385" s="21">
        <v>1.78833</v>
      </c>
      <c r="AZ385" s="21">
        <v>31.525400000000001</v>
      </c>
      <c r="BA385" s="21">
        <v>2.4072300000000001E-2</v>
      </c>
      <c r="BB385" s="21">
        <v>375</v>
      </c>
      <c r="BC385" s="21">
        <v>1.78833</v>
      </c>
      <c r="BD385">
        <f t="shared" si="70"/>
        <v>-29.718888888888888</v>
      </c>
      <c r="BE385">
        <f t="shared" si="71"/>
        <v>-53.147180566666663</v>
      </c>
    </row>
    <row r="386" spans="6:57" x14ac:dyDescent="0.25">
      <c r="F386" s="9"/>
      <c r="G386" s="21">
        <v>-0.103302</v>
      </c>
      <c r="H386" s="21">
        <v>9.1590199999999999</v>
      </c>
      <c r="I386" s="21">
        <v>-1.4202899999999999E-2</v>
      </c>
      <c r="J386" s="21">
        <v>376</v>
      </c>
      <c r="K386" s="21">
        <v>-0.103699</v>
      </c>
      <c r="L386">
        <f t="shared" si="60"/>
        <v>17.534444444444443</v>
      </c>
      <c r="M386">
        <f t="shared" si="61"/>
        <v>-1.8113431799999999</v>
      </c>
      <c r="N386" s="9"/>
      <c r="O386" s="21">
        <v>1.7933699999999999</v>
      </c>
      <c r="P386" s="21">
        <v>12.9581</v>
      </c>
      <c r="Q386" s="21">
        <v>2.6180999999999999E-2</v>
      </c>
      <c r="R386" s="21">
        <v>376</v>
      </c>
      <c r="S386" s="21">
        <v>1.7926</v>
      </c>
      <c r="T386">
        <f t="shared" si="62"/>
        <v>-32.322222222222216</v>
      </c>
      <c r="U386">
        <f t="shared" si="63"/>
        <v>-57.965703666666656</v>
      </c>
      <c r="X386" s="9"/>
      <c r="Y386" s="21">
        <v>1.7933699999999999</v>
      </c>
      <c r="Z386" s="21">
        <v>12.9581</v>
      </c>
      <c r="AA386" s="21">
        <v>2.6180999999999999E-2</v>
      </c>
      <c r="AB386" s="21">
        <v>376</v>
      </c>
      <c r="AC386" s="21">
        <v>1.7926</v>
      </c>
      <c r="AD386">
        <f t="shared" si="64"/>
        <v>-32.322222222222216</v>
      </c>
      <c r="AE386">
        <f t="shared" si="65"/>
        <v>-57.965703666666656</v>
      </c>
      <c r="AF386" s="9"/>
      <c r="AG386" s="21">
        <v>1.7933699999999999</v>
      </c>
      <c r="AH386" s="21">
        <v>22.257300000000001</v>
      </c>
      <c r="AI386" s="21">
        <v>2.6516700000000001E-2</v>
      </c>
      <c r="AJ386" s="21">
        <v>376</v>
      </c>
      <c r="AK386" s="21">
        <v>1.7926</v>
      </c>
      <c r="AL386">
        <f t="shared" si="66"/>
        <v>-32.736666666666665</v>
      </c>
      <c r="AM386">
        <f t="shared" si="67"/>
        <v>-58.708955899999992</v>
      </c>
      <c r="AP386" s="9"/>
      <c r="AQ386" s="21">
        <v>-0.103302</v>
      </c>
      <c r="AR386" s="21">
        <v>27.736499999999999</v>
      </c>
      <c r="AS386" s="21">
        <v>-1.4123500000000001E-2</v>
      </c>
      <c r="AT386" s="21">
        <v>376</v>
      </c>
      <c r="AU386" s="21">
        <v>-0.10376000000000001</v>
      </c>
      <c r="AV386">
        <f t="shared" si="68"/>
        <v>17.436419753086419</v>
      </c>
      <c r="AW386">
        <f t="shared" si="69"/>
        <v>-1.8012170333333333</v>
      </c>
      <c r="AX386" s="9"/>
      <c r="AY386" s="21">
        <v>1.7933699999999999</v>
      </c>
      <c r="AZ386" s="21">
        <v>31.535499999999999</v>
      </c>
      <c r="BA386" s="21">
        <v>2.7651999999999999E-2</v>
      </c>
      <c r="BB386" s="21">
        <v>376</v>
      </c>
      <c r="BC386" s="21">
        <v>1.7926</v>
      </c>
      <c r="BD386">
        <f t="shared" si="70"/>
        <v>-34.138271604938268</v>
      </c>
      <c r="BE386">
        <f t="shared" si="71"/>
        <v>-61.222552148148139</v>
      </c>
    </row>
    <row r="387" spans="6:57" x14ac:dyDescent="0.25">
      <c r="F387" s="9"/>
      <c r="G387" s="21"/>
      <c r="H387" s="21"/>
      <c r="I387" s="21"/>
      <c r="J387" s="21"/>
      <c r="K387" s="21"/>
      <c r="N387" s="9"/>
      <c r="O387" s="21"/>
      <c r="P387" s="21"/>
      <c r="Q387" s="21"/>
      <c r="R387" s="21"/>
      <c r="S387" s="21"/>
      <c r="X387" s="9"/>
      <c r="Y387" s="21"/>
      <c r="Z387" s="21"/>
      <c r="AA387" s="21"/>
      <c r="AB387" s="21"/>
      <c r="AC387" s="21"/>
      <c r="AF387" s="9"/>
      <c r="AG387" s="21"/>
      <c r="AH387" s="21"/>
      <c r="AI387" s="21"/>
      <c r="AJ387" s="21"/>
      <c r="AK387" s="21"/>
      <c r="AP387" s="9"/>
      <c r="AQ387" s="21"/>
      <c r="AR387" s="21"/>
      <c r="AS387" s="21"/>
      <c r="AT387" s="21"/>
      <c r="AU387" s="21"/>
      <c r="AX387" s="9"/>
      <c r="AY387" s="21"/>
      <c r="AZ387" s="21"/>
      <c r="BA387" s="21"/>
      <c r="BB387" s="21"/>
      <c r="BC387" s="21"/>
    </row>
    <row r="388" spans="6:57" x14ac:dyDescent="0.25">
      <c r="F388" s="9"/>
      <c r="G388" s="21"/>
      <c r="H388" s="21"/>
      <c r="I388" s="21"/>
      <c r="J388" s="21"/>
      <c r="K388" s="21"/>
      <c r="N388" s="9"/>
      <c r="O388" s="21"/>
      <c r="P388" s="21"/>
      <c r="Q388" s="21"/>
      <c r="R388" s="21"/>
      <c r="S388" s="21"/>
      <c r="X388" s="9"/>
      <c r="Y388" s="21"/>
      <c r="Z388" s="21"/>
      <c r="AA388" s="21"/>
      <c r="AB388" s="21"/>
      <c r="AC388" s="21"/>
      <c r="AF388" s="9"/>
      <c r="AG388" s="21"/>
      <c r="AH388" s="21"/>
      <c r="AI388" s="21"/>
      <c r="AJ388" s="21"/>
      <c r="AK388" s="21"/>
      <c r="AP388" s="9"/>
      <c r="AQ388" s="21"/>
      <c r="AR388" s="21"/>
      <c r="AS388" s="21"/>
      <c r="AT388" s="21"/>
      <c r="AU388" s="21"/>
      <c r="AX388" s="9"/>
      <c r="AY388" s="21"/>
      <c r="AZ388" s="21"/>
      <c r="BA388" s="21"/>
      <c r="BB388" s="21"/>
      <c r="BC388" s="21"/>
    </row>
    <row r="389" spans="6:57" x14ac:dyDescent="0.25">
      <c r="F389" s="9"/>
      <c r="G389" s="21"/>
      <c r="H389" s="21"/>
      <c r="I389" s="21"/>
      <c r="J389" s="21"/>
      <c r="K389" s="21"/>
      <c r="N389" s="9"/>
      <c r="O389" s="21"/>
      <c r="P389" s="21"/>
      <c r="Q389" s="21"/>
      <c r="R389" s="21"/>
      <c r="S389" s="21"/>
      <c r="X389" s="9"/>
      <c r="Y389" s="21"/>
      <c r="Z389" s="21"/>
      <c r="AA389" s="21"/>
      <c r="AB389" s="21"/>
      <c r="AC389" s="21"/>
      <c r="AF389" s="9"/>
      <c r="AG389" s="21"/>
      <c r="AH389" s="21"/>
      <c r="AI389" s="21"/>
      <c r="AJ389" s="21"/>
      <c r="AK389" s="21"/>
      <c r="AP389" s="9"/>
      <c r="AQ389" s="21"/>
      <c r="AR389" s="21"/>
      <c r="AS389" s="21"/>
      <c r="AT389" s="21"/>
      <c r="AU389" s="21"/>
      <c r="AX389" s="9"/>
      <c r="AY389" s="21"/>
      <c r="AZ389" s="21"/>
      <c r="BA389" s="24"/>
      <c r="BB389" s="21"/>
      <c r="BC389" s="21"/>
    </row>
    <row r="390" spans="6:57" x14ac:dyDescent="0.25">
      <c r="F390" s="9"/>
      <c r="G390" s="21"/>
      <c r="H390" s="21"/>
      <c r="I390" s="21"/>
      <c r="J390" s="21"/>
      <c r="K390" s="21"/>
      <c r="N390" s="9"/>
      <c r="O390" s="21"/>
      <c r="P390" s="21"/>
      <c r="Q390" s="21"/>
      <c r="R390" s="21"/>
      <c r="S390" s="21"/>
      <c r="X390" s="9"/>
      <c r="Y390" s="21"/>
      <c r="Z390" s="21"/>
      <c r="AA390" s="21"/>
      <c r="AB390" s="21"/>
      <c r="AC390" s="21"/>
      <c r="AF390" s="9"/>
      <c r="AG390" s="21"/>
      <c r="AH390" s="21"/>
      <c r="AI390" s="24"/>
      <c r="AJ390" s="21"/>
      <c r="AK390" s="21"/>
      <c r="AP390" s="9"/>
      <c r="AQ390" s="21"/>
      <c r="AR390" s="21"/>
      <c r="AS390" s="21"/>
      <c r="AT390" s="21"/>
      <c r="AU390" s="21"/>
      <c r="AX390" s="9"/>
      <c r="AY390" s="21"/>
      <c r="AZ390" s="21"/>
      <c r="BA390" s="21"/>
      <c r="BB390" s="21"/>
      <c r="BC390" s="21"/>
    </row>
    <row r="391" spans="6:57" x14ac:dyDescent="0.25">
      <c r="F391" s="9"/>
      <c r="G391" s="21"/>
      <c r="H391" s="21"/>
      <c r="I391" s="21"/>
      <c r="J391" s="21"/>
      <c r="K391" s="21"/>
      <c r="N391" s="9"/>
      <c r="O391" s="21"/>
      <c r="P391" s="21"/>
      <c r="Q391" s="24"/>
      <c r="R391" s="21"/>
      <c r="S391" s="21"/>
      <c r="X391" s="9"/>
      <c r="Y391" s="21"/>
      <c r="Z391" s="21"/>
      <c r="AA391" s="21"/>
      <c r="AB391" s="21"/>
      <c r="AC391" s="21"/>
      <c r="AF391" s="9"/>
      <c r="AG391" s="21"/>
      <c r="AH391" s="21"/>
      <c r="AI391" s="21"/>
      <c r="AJ391" s="21"/>
      <c r="AK391" s="21"/>
      <c r="AP391" s="9"/>
      <c r="AQ391" s="21"/>
      <c r="AR391" s="21"/>
      <c r="AS391" s="21"/>
      <c r="AT391" s="21"/>
      <c r="AU391" s="21"/>
      <c r="AX391" s="9"/>
      <c r="AY391" s="21"/>
      <c r="AZ391" s="21"/>
      <c r="BA391" s="21"/>
      <c r="BB391" s="21"/>
      <c r="BC391" s="21"/>
    </row>
    <row r="392" spans="6:57" x14ac:dyDescent="0.25">
      <c r="F392" s="9"/>
      <c r="G392" s="21"/>
      <c r="H392" s="21"/>
      <c r="I392" s="21"/>
      <c r="J392" s="21"/>
      <c r="K392" s="21"/>
      <c r="N392" s="9"/>
      <c r="O392" s="21"/>
      <c r="P392" s="21"/>
      <c r="Q392" s="21"/>
      <c r="R392" s="21"/>
      <c r="S392" s="21"/>
      <c r="X392" s="9"/>
      <c r="Y392" s="21"/>
      <c r="Z392" s="21"/>
      <c r="AA392" s="21"/>
      <c r="AB392" s="21"/>
      <c r="AC392" s="21"/>
      <c r="AF392" s="9"/>
      <c r="AG392" s="21"/>
      <c r="AH392" s="21"/>
      <c r="AI392" s="21"/>
      <c r="AJ392" s="21"/>
      <c r="AK392" s="21"/>
      <c r="AP392" s="9"/>
      <c r="AQ392" s="21"/>
      <c r="AR392" s="21"/>
      <c r="AS392" s="21"/>
      <c r="AT392" s="21"/>
      <c r="AU392" s="21"/>
      <c r="AX392" s="9"/>
      <c r="AY392" s="21"/>
      <c r="AZ392" s="21"/>
      <c r="BA392" s="21"/>
      <c r="BB392" s="21"/>
      <c r="BC392" s="21"/>
    </row>
    <row r="393" spans="6:57" x14ac:dyDescent="0.25">
      <c r="F393" s="9"/>
      <c r="G393" s="21"/>
      <c r="H393" s="21"/>
      <c r="I393" s="21"/>
      <c r="J393" s="21"/>
      <c r="K393" s="21"/>
      <c r="N393" s="9"/>
      <c r="O393" s="21"/>
      <c r="P393" s="21"/>
      <c r="Q393" s="21"/>
      <c r="R393" s="21"/>
      <c r="S393" s="21"/>
      <c r="X393" s="9"/>
      <c r="Y393" s="21"/>
      <c r="Z393" s="21"/>
      <c r="AA393" s="21"/>
      <c r="AB393" s="21"/>
      <c r="AC393" s="21"/>
      <c r="AF393" s="9"/>
      <c r="AG393" s="21"/>
      <c r="AH393" s="21"/>
      <c r="AI393" s="21"/>
      <c r="AJ393" s="21"/>
      <c r="AK393" s="21"/>
      <c r="AP393" s="9"/>
      <c r="AQ393" s="21"/>
      <c r="AR393" s="21"/>
      <c r="AS393" s="21"/>
      <c r="AT393" s="21"/>
      <c r="AU393" s="21"/>
      <c r="AX393" s="9"/>
      <c r="AY393" s="21"/>
      <c r="AZ393" s="21"/>
      <c r="BA393" s="21"/>
      <c r="BB393" s="21"/>
      <c r="BC393" s="21"/>
    </row>
    <row r="394" spans="6:57" x14ac:dyDescent="0.25">
      <c r="F394" s="9"/>
      <c r="G394" s="21"/>
      <c r="H394" s="21"/>
      <c r="I394" s="21"/>
      <c r="J394" s="21"/>
      <c r="K394" s="21"/>
      <c r="N394" s="9"/>
      <c r="O394" s="21"/>
      <c r="P394" s="21"/>
      <c r="Q394" s="21"/>
      <c r="R394" s="21"/>
      <c r="S394" s="21"/>
      <c r="X394" s="9"/>
      <c r="Y394" s="21"/>
      <c r="Z394" s="21"/>
      <c r="AA394" s="21"/>
      <c r="AB394" s="21"/>
      <c r="AC394" s="21"/>
      <c r="AF394" s="9"/>
      <c r="AG394" s="21"/>
      <c r="AH394" s="21"/>
      <c r="AI394" s="21"/>
      <c r="AJ394" s="21"/>
      <c r="AK394" s="21"/>
      <c r="AP394" s="9"/>
      <c r="AQ394" s="21"/>
      <c r="AR394" s="21"/>
      <c r="AS394" s="21"/>
      <c r="AT394" s="21"/>
      <c r="AU394" s="21"/>
      <c r="AX394" s="9"/>
      <c r="AY394" s="21"/>
      <c r="AZ394" s="21"/>
      <c r="BA394" s="21"/>
      <c r="BB394" s="21"/>
      <c r="BC394" s="21"/>
    </row>
    <row r="395" spans="6:57" x14ac:dyDescent="0.25">
      <c r="F395" s="9"/>
      <c r="G395" s="21"/>
      <c r="H395" s="21"/>
      <c r="I395" s="21"/>
      <c r="J395" s="21"/>
      <c r="K395" s="21"/>
      <c r="N395" s="9"/>
      <c r="O395" s="21"/>
      <c r="P395" s="21"/>
      <c r="Q395" s="21"/>
      <c r="R395" s="21"/>
      <c r="S395" s="21"/>
      <c r="X395" s="9"/>
      <c r="Y395" s="21"/>
      <c r="Z395" s="21"/>
      <c r="AA395" s="21"/>
      <c r="AB395" s="21"/>
      <c r="AC395" s="21"/>
      <c r="AF395" s="9"/>
      <c r="AG395" s="21"/>
      <c r="AH395" s="21"/>
      <c r="AI395" s="21"/>
      <c r="AJ395" s="21"/>
      <c r="AK395" s="21"/>
      <c r="AP395" s="9"/>
      <c r="AQ395" s="21"/>
      <c r="AR395" s="21"/>
      <c r="AS395" s="21"/>
      <c r="AT395" s="21"/>
      <c r="AU395" s="21"/>
      <c r="AX395" s="9"/>
      <c r="AY395" s="21"/>
      <c r="AZ395" s="21"/>
      <c r="BA395" s="21"/>
      <c r="BB395" s="21"/>
      <c r="BC395" s="21"/>
    </row>
    <row r="396" spans="6:57" x14ac:dyDescent="0.25">
      <c r="F396" s="9"/>
      <c r="G396" s="21"/>
      <c r="H396" s="21"/>
      <c r="I396" s="21"/>
      <c r="J396" s="21"/>
      <c r="K396" s="21"/>
      <c r="N396" s="9"/>
      <c r="O396" s="21"/>
      <c r="P396" s="21"/>
      <c r="Q396" s="21"/>
      <c r="R396" s="21"/>
      <c r="S396" s="21"/>
      <c r="X396" s="9"/>
      <c r="Y396" s="21"/>
      <c r="Z396" s="21"/>
      <c r="AA396" s="21"/>
      <c r="AB396" s="21"/>
      <c r="AC396" s="21"/>
      <c r="AF396" s="9"/>
      <c r="AG396" s="21"/>
      <c r="AH396" s="21"/>
      <c r="AI396" s="21"/>
      <c r="AJ396" s="21"/>
      <c r="AK396" s="21"/>
      <c r="AP396" s="9"/>
      <c r="AQ396" s="21"/>
      <c r="AR396" s="21"/>
      <c r="AS396" s="21"/>
      <c r="AT396" s="21"/>
      <c r="AU396" s="21"/>
      <c r="AX396" s="9"/>
      <c r="AY396" s="21"/>
      <c r="AZ396" s="21"/>
      <c r="BA396" s="21"/>
      <c r="BB396" s="21"/>
      <c r="BC396" s="21"/>
    </row>
    <row r="397" spans="6:57" x14ac:dyDescent="0.25">
      <c r="F397" s="9"/>
      <c r="G397" s="21"/>
      <c r="H397" s="21"/>
      <c r="I397" s="21"/>
      <c r="J397" s="21"/>
      <c r="K397" s="21"/>
      <c r="N397" s="9"/>
      <c r="O397" s="21"/>
      <c r="P397" s="21"/>
      <c r="Q397" s="21"/>
      <c r="R397" s="21"/>
      <c r="S397" s="21"/>
      <c r="X397" s="9"/>
      <c r="Y397" s="21"/>
      <c r="Z397" s="21"/>
      <c r="AA397" s="21"/>
      <c r="AB397" s="21"/>
      <c r="AC397" s="21"/>
      <c r="AF397" s="9"/>
      <c r="AG397" s="21"/>
      <c r="AH397" s="21"/>
      <c r="AI397" s="21"/>
      <c r="AJ397" s="21"/>
      <c r="AK397" s="21"/>
      <c r="AP397" s="9"/>
      <c r="AQ397" s="21"/>
      <c r="AR397" s="21"/>
      <c r="AS397" s="21"/>
      <c r="AT397" s="21"/>
      <c r="AU397" s="21"/>
      <c r="AX397" s="9"/>
      <c r="AY397" s="21"/>
      <c r="AZ397" s="21"/>
      <c r="BA397" s="21"/>
      <c r="BB397" s="21"/>
      <c r="BC397" s="21"/>
    </row>
    <row r="398" spans="6:57" x14ac:dyDescent="0.25">
      <c r="F398" s="9"/>
      <c r="G398" s="21"/>
      <c r="H398" s="21"/>
      <c r="I398" s="21"/>
      <c r="J398" s="21"/>
      <c r="K398" s="21"/>
      <c r="N398" s="9"/>
      <c r="O398" s="21"/>
      <c r="P398" s="21"/>
      <c r="Q398" s="21"/>
      <c r="R398" s="21"/>
      <c r="S398" s="21"/>
      <c r="X398" s="9"/>
      <c r="Y398" s="21"/>
      <c r="Z398" s="21"/>
      <c r="AA398" s="21"/>
      <c r="AB398" s="21"/>
      <c r="AC398" s="21"/>
      <c r="AF398" s="9"/>
      <c r="AG398" s="21"/>
      <c r="AH398" s="21"/>
      <c r="AI398" s="21"/>
      <c r="AJ398" s="21"/>
      <c r="AK398" s="21"/>
      <c r="AP398" s="9"/>
      <c r="AQ398" s="21"/>
      <c r="AR398" s="21"/>
      <c r="AS398" s="21"/>
      <c r="AT398" s="21"/>
      <c r="AU398" s="21"/>
      <c r="AX398" s="9"/>
      <c r="AY398" s="21"/>
      <c r="AZ398" s="21"/>
      <c r="BA398" s="21"/>
      <c r="BB398" s="21"/>
      <c r="BC398" s="21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22860</xdr:rowOff>
                  </from>
                  <to>
                    <xdr:col>3</xdr:col>
                    <xdr:colOff>556260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H376"/>
  <sheetViews>
    <sheetView topLeftCell="AT1" workbookViewId="0">
      <selection activeCell="BH10" sqref="BH10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1355.5150819672845</v>
      </c>
      <c r="H2" s="2"/>
      <c r="I2" s="6" t="s">
        <v>12</v>
      </c>
      <c r="J2" s="2"/>
      <c r="K2" s="7" t="s">
        <v>13</v>
      </c>
      <c r="L2" s="3">
        <f>L4*I6*L9/100*100</f>
        <v>22.37411588148148</v>
      </c>
      <c r="M2" s="8" t="s">
        <v>14</v>
      </c>
      <c r="N2" s="9"/>
      <c r="O2" s="2">
        <f>ABS(S7-S6)/ABS(T7-T6)*1000</f>
        <v>662.55649672165941</v>
      </c>
      <c r="P2" s="2"/>
      <c r="Q2" s="6" t="s">
        <v>15</v>
      </c>
      <c r="R2" s="2"/>
      <c r="S2" s="7" t="s">
        <v>13</v>
      </c>
      <c r="T2" s="3">
        <f>T4*Q6*T9/100*100</f>
        <v>20.978413624691356</v>
      </c>
      <c r="U2" s="8" t="s">
        <v>14</v>
      </c>
      <c r="X2" s="9"/>
      <c r="Y2" s="2">
        <f>ABS(AC7-AC6)/ABS(AD7-AD6)*1000</f>
        <v>4662.6149508199214</v>
      </c>
      <c r="Z2" s="2"/>
      <c r="AA2" s="6" t="s">
        <v>12</v>
      </c>
      <c r="AB2" s="2"/>
      <c r="AC2" s="7" t="s">
        <v>13</v>
      </c>
      <c r="AD2" s="3">
        <f>AD4*AA6*AD9/100*100</f>
        <v>22.32941369382716</v>
      </c>
      <c r="AE2" s="8" t="s">
        <v>14</v>
      </c>
      <c r="AF2" s="9"/>
      <c r="AG2" s="2">
        <f>ABS(AK7-AK6)/ABS(AL7-AL6)*1000</f>
        <v>1359.558000000221</v>
      </c>
      <c r="AH2" s="2"/>
      <c r="AI2" s="6" t="s">
        <v>15</v>
      </c>
      <c r="AJ2" s="2"/>
      <c r="AK2" s="7" t="s">
        <v>13</v>
      </c>
      <c r="AL2" s="3">
        <f>AL4*AI6*AL9/100*100</f>
        <v>20.764906237037039</v>
      </c>
      <c r="AM2" s="8" t="s">
        <v>14</v>
      </c>
      <c r="AP2" s="9"/>
      <c r="AQ2" s="2" t="e">
        <f>ABS(AU7-AU6)/ABS(AV7-AV6)*1000</f>
        <v>#DIV/0!</v>
      </c>
      <c r="AR2" s="2"/>
      <c r="AS2" s="6" t="s">
        <v>12</v>
      </c>
      <c r="AT2" s="2"/>
      <c r="AU2" s="7" t="s">
        <v>13</v>
      </c>
      <c r="AV2" s="3">
        <f>AV4*AS6*AV9/100*100</f>
        <v>22.340450413580243</v>
      </c>
      <c r="AW2" s="8" t="s">
        <v>14</v>
      </c>
      <c r="AX2" s="9"/>
      <c r="AY2" s="2">
        <f>ABS(BC7-BC6)/ABS(BD7-BD6)*1000</f>
        <v>2006.9194057378122</v>
      </c>
      <c r="AZ2" s="2"/>
      <c r="BA2" s="6" t="s">
        <v>15</v>
      </c>
      <c r="BB2" s="2"/>
      <c r="BC2" s="7" t="s">
        <v>13</v>
      </c>
      <c r="BD2" s="3">
        <f>BD4*BA6*BD9/100*100</f>
        <v>20.579208829629625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1.72882</v>
      </c>
      <c r="J3" s="2"/>
      <c r="K3" s="10">
        <f>INDEX(L11:L1056,MATCH(I3,K11:K1056,0))</f>
        <v>-1.5601604938271605</v>
      </c>
      <c r="L3" s="26" t="s">
        <v>16</v>
      </c>
      <c r="M3" s="11">
        <f>M9</f>
        <v>22.37411588148148</v>
      </c>
      <c r="N3" s="9"/>
      <c r="O3" s="2" t="s">
        <v>44</v>
      </c>
      <c r="P3" s="2"/>
      <c r="Q3" s="2">
        <f>INDEX(S11:S1056,MATCH(0,T11:T1056,-1))</f>
        <v>1.71692</v>
      </c>
      <c r="R3" s="2"/>
      <c r="S3" s="10">
        <f>INDEX(T11:T1056,MATCH(Q3,S11:S1056,0))</f>
        <v>1.1374395061728393</v>
      </c>
      <c r="T3" s="26" t="s">
        <v>16</v>
      </c>
      <c r="U3" s="11">
        <f>U9</f>
        <v>20.978413624691356</v>
      </c>
      <c r="X3" s="9"/>
      <c r="Y3" s="2" t="s">
        <v>44</v>
      </c>
      <c r="Z3" s="2"/>
      <c r="AA3" s="2">
        <f>INDEX(AC11:AC856,MATCH(0,AD11:AD856,1))</f>
        <v>1.72394</v>
      </c>
      <c r="AB3" s="2"/>
      <c r="AC3" s="10">
        <f>INDEX(AD11:AD1056,MATCH(AA3,AC11:AC1056,0))</f>
        <v>-1.3186666666666669</v>
      </c>
      <c r="AD3" s="26" t="s">
        <v>16</v>
      </c>
      <c r="AE3" s="11">
        <f>AE9</f>
        <v>22.32941369382716</v>
      </c>
      <c r="AF3" s="9"/>
      <c r="AG3" s="2" t="s">
        <v>44</v>
      </c>
      <c r="AH3" s="2"/>
      <c r="AI3" s="2">
        <f>INDEX(AK11:AK1056,MATCH(0,AL11:AL1056,-1))</f>
        <v>1.72211</v>
      </c>
      <c r="AJ3" s="2"/>
      <c r="AK3" s="10">
        <f>INDEX(AL11:AL1056,MATCH(AI3,AK11:AK1056,0))</f>
        <v>0.1755320987654321</v>
      </c>
      <c r="AL3" s="26" t="s">
        <v>16</v>
      </c>
      <c r="AM3" s="11">
        <f>AM9</f>
        <v>20.764906237037039</v>
      </c>
      <c r="AP3" s="9"/>
      <c r="AQ3" s="2" t="s">
        <v>44</v>
      </c>
      <c r="AR3" s="2"/>
      <c r="AS3" s="2">
        <f>INDEX(AU11:AU856,MATCH(0,AV11:AV856,1))</f>
        <v>1.72516</v>
      </c>
      <c r="AT3" s="2"/>
      <c r="AU3" s="10">
        <f>INDEX(AV11:AV1056,MATCH(AS3,AU11:AU1056,0))</f>
        <v>-1.4331975308641973</v>
      </c>
      <c r="AV3" s="26" t="s">
        <v>16</v>
      </c>
      <c r="AW3" s="11">
        <f>AW9</f>
        <v>22.340450413580246</v>
      </c>
      <c r="AX3" s="9"/>
      <c r="AY3" s="2" t="s">
        <v>44</v>
      </c>
      <c r="AZ3" s="2"/>
      <c r="BA3" s="2">
        <f>INDEX(BC11:BC1056,MATCH(0,BD11:BD1056,-1))</f>
        <v>1.71753</v>
      </c>
      <c r="BB3" s="2"/>
      <c r="BC3" s="10">
        <f>INDEX(BD11:BD1056,MATCH(BA3,BC11:BC1056,0))</f>
        <v>0.80777407407407398</v>
      </c>
      <c r="BD3" s="26" t="s">
        <v>16</v>
      </c>
      <c r="BE3" s="11">
        <f>BE9</f>
        <v>20.579208829629625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3.0538637671221101</v>
      </c>
      <c r="H4" s="2"/>
      <c r="I4" s="2">
        <f>INDEX(K11:K1000,1+MATCH(0,L11:L856,1))</f>
        <v>1.72363</v>
      </c>
      <c r="J4" s="2"/>
      <c r="K4" s="10">
        <f>INDEX(L11:L1056,MATCH(I4,K11:K1056,0))</f>
        <v>0.13932592592592594</v>
      </c>
      <c r="L4" s="25">
        <f>M3/(I6*L9)</f>
        <v>0.75119686555295651</v>
      </c>
      <c r="M4" s="8" t="s">
        <v>17</v>
      </c>
      <c r="N4" s="9"/>
      <c r="O4" s="2">
        <f>ABS(Q3-Q4)/ABS(S3-S4)*1000</f>
        <v>3.8105001536382557</v>
      </c>
      <c r="P4" s="2"/>
      <c r="Q4" s="2">
        <f>INDEX(S11:S856,1+MATCH(0,T11:T856,-1))</f>
        <v>1.72211</v>
      </c>
      <c r="R4" s="2"/>
      <c r="S4" s="10">
        <f>INDEX(T11:T856,MATCH(Q4,S11:S856,0))</f>
        <v>-0.22458641975308641</v>
      </c>
      <c r="T4" s="25">
        <f>U3/(Q6*T9)</f>
        <v>0.71265900366655577</v>
      </c>
      <c r="U4" s="8" t="s">
        <v>17</v>
      </c>
      <c r="X4" s="9"/>
      <c r="Y4" s="2">
        <f>ABS(AA3-AA4)/ABS(AC3-AC4)*1000</f>
        <v>2.9817645275025657</v>
      </c>
      <c r="Z4" s="2"/>
      <c r="AA4" s="2">
        <f>INDEX(AC11:AC1000,1+MATCH(0,AD11:AD856,1))</f>
        <v>1.71906</v>
      </c>
      <c r="AB4" s="2"/>
      <c r="AC4" s="10">
        <f>INDEX(AD11:AD1056,MATCH(AA4,AC11:AC1056,0))</f>
        <v>0.3179481481481482</v>
      </c>
      <c r="AD4" s="25">
        <f>AE3/(AA6*AD9)</f>
        <v>0.75806772010212298</v>
      </c>
      <c r="AE4" s="8" t="s">
        <v>17</v>
      </c>
      <c r="AF4" s="9"/>
      <c r="AG4" s="2">
        <f>ABS(AI3-AI4)/ABS(AK3-AK4)*1000</f>
        <v>3.2117236689116533</v>
      </c>
      <c r="AH4" s="2"/>
      <c r="AI4" s="2">
        <f>INDEX(AK11:AK856,1+MATCH(0,AL11:AL856,-1))</f>
        <v>1.72699</v>
      </c>
      <c r="AJ4" s="2"/>
      <c r="AK4" s="10">
        <f>INDEX(AL11:AL856,MATCH(AI4,AK11:AK856,0))</f>
        <v>-1.3439012345679011</v>
      </c>
      <c r="AL4" s="25">
        <f>AM3/(AI6*AL9)</f>
        <v>0.70996212759012312</v>
      </c>
      <c r="AM4" s="8" t="s">
        <v>17</v>
      </c>
      <c r="AP4" s="9"/>
      <c r="AQ4" s="2">
        <f>ABS(AS3-AS4)/ABS(AU3-AU4)*1000</f>
        <v>3.401398528653619</v>
      </c>
      <c r="AR4" s="2"/>
      <c r="AS4" s="2">
        <f>INDEX(AU11:AU1000,1+MATCH(0,AV11:AV856,1))</f>
        <v>1.71967</v>
      </c>
      <c r="AT4" s="2"/>
      <c r="AU4" s="10">
        <f>INDEX(AV11:AV1056,MATCH(AS4,AU11:AU1056,0))</f>
        <v>0.18084444444444442</v>
      </c>
      <c r="AV4" s="25">
        <f>AW3/(AS6*AV9)</f>
        <v>0.76006342392685644</v>
      </c>
      <c r="AW4" s="8" t="s">
        <v>17</v>
      </c>
      <c r="AX4" s="9"/>
      <c r="AY4" s="2">
        <f>ABS(BA3-BA4)/ABS(BC3-BC4)*1000</f>
        <v>3.3161290553260474</v>
      </c>
      <c r="AZ4" s="2"/>
      <c r="BA4" s="2">
        <f>INDEX(BC11:BC856,1+MATCH(0,BD11:BD856,-1))</f>
        <v>1.72211</v>
      </c>
      <c r="BB4" s="2"/>
      <c r="BC4" s="10">
        <f>INDEX(BD11:BD856,MATCH(BA4,BC11:BC856,0))</f>
        <v>-0.57335432098765426</v>
      </c>
      <c r="BD4" s="25">
        <f>BE3/(BA6*BD9)</f>
        <v>0.7059209036100671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14.983703703703702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14.309382716049383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15.315308641975308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14.019259259259259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15.062839506172839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14.588148148148147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1.724055482397006</v>
      </c>
      <c r="J6" s="25"/>
      <c r="K6" s="2">
        <f>INDEX(K11:K1056,MATCH(L6,L11:L1056,0))</f>
        <v>3.7796000000000003E-2</v>
      </c>
      <c r="L6" s="10">
        <f>INDEX(L11:L1056,MATCH(0,K11:K1056,-1))</f>
        <v>17.248024691358022</v>
      </c>
      <c r="M6" s="8" t="s">
        <v>22</v>
      </c>
      <c r="N6" s="9"/>
      <c r="O6" s="2"/>
      <c r="P6" s="2"/>
      <c r="Q6" s="27">
        <f>(Q3-Q4)/(S3-S4)*(-S4)+Q4</f>
        <v>1.7212542134130258</v>
      </c>
      <c r="R6" s="27"/>
      <c r="S6" s="2">
        <f>INDEX(S11:S1056,MATCH(T6,T11:T1056,0))</f>
        <v>-4.4280999999999999E-3</v>
      </c>
      <c r="T6" s="10">
        <f>INDEX(T11:T1056,MATCH(0,S11:S1056,1))</f>
        <v>17.10864197530864</v>
      </c>
      <c r="U6" s="8" t="s">
        <v>22</v>
      </c>
      <c r="X6" s="9"/>
      <c r="Y6" s="2"/>
      <c r="Z6" s="2"/>
      <c r="AA6" s="25">
        <f>(AA3-AA4)/(AC3-AC4)*(-AC4)+AA4</f>
        <v>1.7200080465097334</v>
      </c>
      <c r="AB6" s="25"/>
      <c r="AC6" s="2">
        <f>INDEX(AC11:AC1056,MATCH(AD6,AD11:AD1056,0))</f>
        <v>7.5622600000000003E-3</v>
      </c>
      <c r="AD6" s="10">
        <f>INDEX(AD11:AD1056,MATCH(0,AC11:AC1056,-1))</f>
        <v>17.123703703703701</v>
      </c>
      <c r="AE6" s="8" t="s">
        <v>22</v>
      </c>
      <c r="AF6" s="9"/>
      <c r="AG6" s="2"/>
      <c r="AH6" s="2"/>
      <c r="AI6" s="27">
        <f>(AI3-AI4)/(AK3-AK4)*(-AK4)+AI4</f>
        <v>1.7226737605962588</v>
      </c>
      <c r="AJ6" s="27"/>
      <c r="AK6" s="2">
        <f>INDEX(AK11:AK1056,MATCH(AL6,AL11:AL1056,0))</f>
        <v>-9.5428499999999999E-2</v>
      </c>
      <c r="AL6" s="10">
        <f>INDEX(AL11:AL1056,MATCH(0,AK11:AK1056,1))</f>
        <v>17.048395061728392</v>
      </c>
      <c r="AM6" s="8" t="s">
        <v>22</v>
      </c>
      <c r="AP6" s="9"/>
      <c r="AQ6" s="2"/>
      <c r="AR6" s="2"/>
      <c r="AS6" s="25">
        <f>(AS3-AS4)/(AU3-AU4)*(-AU4)+AS4</f>
        <v>1.7202851240272485</v>
      </c>
      <c r="AT6" s="25"/>
      <c r="AU6" s="2">
        <f>INDEX(AU11:AU1056,MATCH(AV6,AV11:AV1056,0))</f>
        <v>0.123016</v>
      </c>
      <c r="AV6" s="10">
        <f>INDEX(AV11:AV1056,MATCH(0,AU11:AU1056,-1))</f>
        <v>17.086049382716048</v>
      </c>
      <c r="AW6" s="8" t="s">
        <v>22</v>
      </c>
      <c r="AX6" s="9"/>
      <c r="AY6" s="2"/>
      <c r="AZ6" s="2"/>
      <c r="BA6" s="27">
        <f>(BA3-BA4)/(BC3-BC4)*(-BC4)+BA4</f>
        <v>1.7202086830771761</v>
      </c>
      <c r="BB6" s="27"/>
      <c r="BC6" s="2">
        <f>INDEX(BC11:BC1056,MATCH(BD6,BD11:BD1056,0))</f>
        <v>-2.9663100000000001E-2</v>
      </c>
      <c r="BD6" s="10">
        <f>INDEX(BD11:BD1056,MATCH(0,BC11:BC1056,1))</f>
        <v>16.961728395061726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4.8004199999999997E-2</v>
      </c>
      <c r="L7" s="10">
        <f>INDEX(L11:L856,1+MATCH(0,K11:K856,-1))</f>
        <v>17.240493827160492</v>
      </c>
      <c r="M7" s="12">
        <f>INDEX(K11:K1056,MATCH(M9,M11:M1056,0))</f>
        <v>1.49261</v>
      </c>
      <c r="N7" s="9"/>
      <c r="O7" s="2"/>
      <c r="P7" s="2"/>
      <c r="Q7" s="2"/>
      <c r="R7" s="2"/>
      <c r="S7" s="2">
        <f>INDEX(S11:S1056,MATCH(T7,T11:T1056,0))</f>
        <v>5.6152299999999997E-4</v>
      </c>
      <c r="T7" s="10">
        <f>INDEX(T11:T1056,1+MATCH(0,S11:S1056,1))</f>
        <v>17.101111111111113</v>
      </c>
      <c r="U7" s="12">
        <f>INDEX(S11:S1056,MATCH(U9,U11:U1056,0))</f>
        <v>1.46637</v>
      </c>
      <c r="X7" s="9"/>
      <c r="Y7" s="2"/>
      <c r="Z7" s="2"/>
      <c r="AA7" s="2"/>
      <c r="AB7" s="2"/>
      <c r="AC7" s="2">
        <f>INDEX(AC11:AC856,MATCH(AD7,AD11:AD856,1))</f>
        <v>7.7789300000000006E-2</v>
      </c>
      <c r="AD7" s="10">
        <f>INDEX(AD11:AD856,1+MATCH(0,AC11:AC856,-1))</f>
        <v>17.10864197530864</v>
      </c>
      <c r="AE7" s="12">
        <f>INDEX(AC11:AC1056,MATCH(AE9,AE11:AE1056,0))</f>
        <v>1.4578199999999999</v>
      </c>
      <c r="AF7" s="9"/>
      <c r="AG7" s="2"/>
      <c r="AH7" s="2"/>
      <c r="AI7" s="2"/>
      <c r="AJ7" s="2"/>
      <c r="AK7" s="2">
        <f>INDEX(AK11:AK1056,MATCH(AL7,AL11:AL1056,0))</f>
        <v>-9.0393100000000004E-2</v>
      </c>
      <c r="AL7" s="10">
        <f>INDEX(AL11:AL1056,1+MATCH(0,AK11:AK1056,1))</f>
        <v>17.044691358024689</v>
      </c>
      <c r="AM7" s="12">
        <f>INDEX(AK11:AK1056,MATCH(AM9,AM11:AM1056,0))</f>
        <v>1.4801</v>
      </c>
      <c r="AP7" s="9"/>
      <c r="AQ7" s="2"/>
      <c r="AR7" s="2"/>
      <c r="AS7" s="2"/>
      <c r="AT7" s="2"/>
      <c r="AU7" s="2">
        <f>INDEX(AU11:AU856,MATCH(AV7,AV11:AV856,1))</f>
        <v>0.15832499999999999</v>
      </c>
      <c r="AV7" s="10">
        <f>INDEX(AV11:AV856,1+MATCH(0,AU11:AU856,-1))</f>
        <v>17.086049382716048</v>
      </c>
      <c r="AW7" s="12">
        <f>INDEX(AU11:AU1056,MATCH(AW9,AW11:AW1056,0))</f>
        <v>1.48193</v>
      </c>
      <c r="AX7" s="9"/>
      <c r="AY7" s="2"/>
      <c r="AZ7" s="2"/>
      <c r="BA7" s="2"/>
      <c r="BB7" s="2"/>
      <c r="BC7" s="2">
        <f>INDEX(BC11:BC1056,MATCH(BD7,BD11:BD1056,0))</f>
        <v>5.6457499999999999E-4</v>
      </c>
      <c r="BD7" s="10">
        <f>INDEX(BD11:BD1056,1+MATCH(0,BC11:BC1056,1))</f>
        <v>16.946666666666665</v>
      </c>
      <c r="BE7" s="12">
        <f>INDEX(BC11:BC1056,MATCH(BE9,BE11:BE1056,0))</f>
        <v>1.41022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6.2380219365240386</v>
      </c>
      <c r="J9" s="2"/>
      <c r="K9" s="2"/>
      <c r="L9" s="3">
        <f>(L6-L7)/(K6-K7)*(-K7)+L7</f>
        <v>17.275907818962288</v>
      </c>
      <c r="M9" s="15">
        <f>MAX(M11:M1056)</f>
        <v>22.37411588148148</v>
      </c>
      <c r="N9" s="9"/>
      <c r="O9" s="2"/>
      <c r="P9" s="2"/>
      <c r="Q9" s="2"/>
      <c r="R9" s="2"/>
      <c r="S9" s="2"/>
      <c r="T9" s="3">
        <f>(T6-T7)/(S6-S7)*(-S7)+T7</f>
        <v>17.10195862072392</v>
      </c>
      <c r="U9" s="15">
        <f>MAX(U11:U1056)</f>
        <v>20.978413624691356</v>
      </c>
      <c r="X9" s="9"/>
      <c r="Y9" s="2"/>
      <c r="Z9" s="2"/>
      <c r="AA9" s="14">
        <f>(MAX(AD2,AL2)-MIN(AD2,AL2))/MAX(AD2,AL2)%</f>
        <v>7.0064869514358108</v>
      </c>
      <c r="AB9" s="2"/>
      <c r="AC9" s="2"/>
      <c r="AD9" s="3">
        <f>(AD6-AD7)/(AC6-AC7)*(-AC7)+AD7</f>
        <v>17.125325596156706</v>
      </c>
      <c r="AE9" s="15">
        <f>MAX(AE11:AE1056)</f>
        <v>22.32941369382716</v>
      </c>
      <c r="AF9" s="9"/>
      <c r="AG9" s="2"/>
      <c r="AH9" s="2"/>
      <c r="AI9" s="2"/>
      <c r="AJ9" s="2"/>
      <c r="AK9" s="2"/>
      <c r="AL9" s="3">
        <f>(AL6-AL7)/(AK6-AK7)*(-AK7)+AL7</f>
        <v>16.978204235003837</v>
      </c>
      <c r="AM9" s="15">
        <f>MAX(AM11:AM1056)</f>
        <v>20.764906237037039</v>
      </c>
      <c r="AP9" s="9"/>
      <c r="AQ9" s="2"/>
      <c r="AR9" s="2"/>
      <c r="AS9" s="14">
        <f>(MAX(AV2,BD2)-MIN(AV2,BD2))/MAX(AV2,BD2)%</f>
        <v>7.8836440239360606</v>
      </c>
      <c r="AT9" s="2"/>
      <c r="AU9" s="2"/>
      <c r="AV9" s="3">
        <f>(AV6-AV7)/(AU6-AU7)*(-AU7)+AV7</f>
        <v>17.086049382716048</v>
      </c>
      <c r="AW9" s="15">
        <f>MAX(AW11:AW1056)</f>
        <v>22.340450413580246</v>
      </c>
      <c r="AX9" s="9"/>
      <c r="AY9" s="2"/>
      <c r="AZ9" s="2"/>
      <c r="BA9" s="2"/>
      <c r="BB9" s="2"/>
      <c r="BC9" s="2"/>
      <c r="BD9" s="3">
        <f>(BD6-BD7)/(BC6-BC7)*(-BC7)+BD7</f>
        <v>16.946947980902994</v>
      </c>
      <c r="BE9" s="15">
        <f>MAX(BE11:BE1056)</f>
        <v>20.579208829629625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1.724055482397006</v>
      </c>
      <c r="B11" s="18">
        <f>IFERROR(L9,0)</f>
        <v>17.275907818962288</v>
      </c>
      <c r="C11" s="19">
        <f>IFERROR(L4,0)</f>
        <v>0.75119686555295651</v>
      </c>
      <c r="D11" s="20">
        <f>IFERROR(L2,0)</f>
        <v>22.37411588148148</v>
      </c>
      <c r="E11" s="20">
        <f>IFERROR(I9,0)</f>
        <v>6.2380219365240386</v>
      </c>
      <c r="F11" s="9"/>
      <c r="G11" s="21">
        <v>1.73492</v>
      </c>
      <c r="H11" s="21">
        <v>5.5994000000000002</v>
      </c>
      <c r="I11" s="21">
        <v>3.0190999999999998E-3</v>
      </c>
      <c r="J11" s="21">
        <v>1</v>
      </c>
      <c r="K11" s="21">
        <v>1.73492</v>
      </c>
      <c r="L11">
        <f>-I11/$F$2*1000</f>
        <v>-3.7272839506172835</v>
      </c>
      <c r="M11">
        <f>L11*G11</f>
        <v>-6.4665394716049374</v>
      </c>
      <c r="N11" s="9"/>
      <c r="O11" s="21">
        <v>-9.49097E-2</v>
      </c>
      <c r="P11" s="21">
        <v>9.2977399999999992</v>
      </c>
      <c r="Q11" s="21">
        <v>-1.3952600000000001E-2</v>
      </c>
      <c r="R11" s="21">
        <v>1</v>
      </c>
      <c r="S11" s="21">
        <v>-9.5367400000000005E-2</v>
      </c>
      <c r="T11">
        <f>-Q11/$F$2*1000</f>
        <v>17.225432098765431</v>
      </c>
      <c r="U11">
        <f>T11*O11</f>
        <v>-1.6348605928641975</v>
      </c>
      <c r="V11" s="22"/>
      <c r="W11" s="23"/>
      <c r="X11" s="9"/>
      <c r="Y11" s="21">
        <v>1.73492</v>
      </c>
      <c r="Z11" s="21">
        <v>14.6586</v>
      </c>
      <c r="AA11" s="21">
        <v>4.2327900000000002E-3</v>
      </c>
      <c r="AB11" s="21">
        <v>1</v>
      </c>
      <c r="AC11" s="21">
        <v>1.73431</v>
      </c>
      <c r="AD11">
        <f>-AA11/$F$2*1000</f>
        <v>-5.2256666666666662</v>
      </c>
      <c r="AE11">
        <f>AD11*Y11</f>
        <v>-9.0661136133333322</v>
      </c>
      <c r="AF11" s="9"/>
      <c r="AG11" s="21">
        <v>-9.49097E-2</v>
      </c>
      <c r="AH11" s="21">
        <v>18.356999999999999</v>
      </c>
      <c r="AI11" s="21">
        <v>-1.3809200000000001E-2</v>
      </c>
      <c r="AJ11" s="21">
        <v>1</v>
      </c>
      <c r="AK11" s="21">
        <v>-9.5428499999999999E-2</v>
      </c>
      <c r="AL11">
        <f>-AI11/$F$2*1000</f>
        <v>17.048395061728392</v>
      </c>
      <c r="AM11">
        <f>AL11*AG11</f>
        <v>-1.6180580607901232</v>
      </c>
      <c r="AP11" s="9"/>
      <c r="AQ11" s="21">
        <v>1.73492</v>
      </c>
      <c r="AR11" s="21">
        <v>23.790800000000001</v>
      </c>
      <c r="AS11" s="21">
        <v>4.4049099999999997E-3</v>
      </c>
      <c r="AT11" s="21">
        <v>1</v>
      </c>
      <c r="AU11" s="21">
        <v>1.7340100000000001</v>
      </c>
      <c r="AV11">
        <f>-AS11/$F$2*1000</f>
        <v>-5.4381604938271595</v>
      </c>
      <c r="AW11">
        <f>AV11*AQ11</f>
        <v>-9.434773403950615</v>
      </c>
      <c r="AX11" s="9"/>
      <c r="AY11" s="21">
        <v>-9.49097E-2</v>
      </c>
      <c r="AZ11" s="21">
        <v>27.4892</v>
      </c>
      <c r="BA11" s="21">
        <v>-1.3797E-2</v>
      </c>
      <c r="BB11" s="21">
        <v>1</v>
      </c>
      <c r="BC11" s="21">
        <v>-9.5306399999999999E-2</v>
      </c>
      <c r="BD11">
        <f>-BA11/$F$2*1000</f>
        <v>17.033333333333331</v>
      </c>
      <c r="BE11">
        <f>BD11*AY11</f>
        <v>-1.6166285566666665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1.7212542134130258</v>
      </c>
      <c r="B12" s="18">
        <f>IFERROR(T9,0)</f>
        <v>17.10195862072392</v>
      </c>
      <c r="C12" s="19">
        <f>IFERROR(T4,0)</f>
        <v>0.71265900366655577</v>
      </c>
      <c r="D12" s="20">
        <f>IFERROR(T2,0)</f>
        <v>20.978413624691356</v>
      </c>
      <c r="E12" s="20"/>
      <c r="F12" s="9"/>
      <c r="G12" s="21">
        <v>1.7298899999999999</v>
      </c>
      <c r="H12" s="21">
        <v>5.60947</v>
      </c>
      <c r="I12" s="21">
        <v>1.26373E-3</v>
      </c>
      <c r="J12" s="21">
        <v>2</v>
      </c>
      <c r="K12" s="21">
        <v>1.72882</v>
      </c>
      <c r="L12">
        <f t="shared" ref="L12:L75" si="0">-I12/$F$2*1000</f>
        <v>-1.5601604938271605</v>
      </c>
      <c r="M12">
        <f t="shared" ref="M12:M75" si="1">L12*G12</f>
        <v>-2.6989060366666666</v>
      </c>
      <c r="N12" s="9"/>
      <c r="O12" s="21">
        <v>-8.9874300000000004E-2</v>
      </c>
      <c r="P12" s="21">
        <v>9.3078099999999999</v>
      </c>
      <c r="Q12" s="21">
        <v>-1.3946500000000001E-2</v>
      </c>
      <c r="R12" s="21">
        <v>2</v>
      </c>
      <c r="S12" s="21">
        <v>-9.0362499999999998E-2</v>
      </c>
      <c r="T12">
        <f t="shared" ref="T12:T75" si="2">-Q12/$F$2*1000</f>
        <v>17.217901234567901</v>
      </c>
      <c r="U12">
        <f t="shared" ref="U12:U75" si="3">T12*O12</f>
        <v>-1.547446820925926</v>
      </c>
      <c r="V12" s="22"/>
      <c r="W12" s="23"/>
      <c r="X12" s="9"/>
      <c r="Y12" s="21">
        <v>1.7298899999999999</v>
      </c>
      <c r="Z12" s="21">
        <v>14.668699999999999</v>
      </c>
      <c r="AA12" s="21">
        <v>2.5491300000000001E-3</v>
      </c>
      <c r="AB12" s="21">
        <v>2</v>
      </c>
      <c r="AC12" s="21">
        <v>1.72943</v>
      </c>
      <c r="AD12">
        <f t="shared" ref="AD12:AD75" si="4">-AA12/$F$2*1000</f>
        <v>-3.1470740740740739</v>
      </c>
      <c r="AE12">
        <f t="shared" ref="AE12:AE75" si="5">AD12*Y12</f>
        <v>-5.4440919699999997</v>
      </c>
      <c r="AF12" s="9"/>
      <c r="AG12" s="21">
        <v>-8.9874300000000004E-2</v>
      </c>
      <c r="AH12" s="21">
        <v>18.367100000000001</v>
      </c>
      <c r="AI12" s="21">
        <v>-1.3806199999999999E-2</v>
      </c>
      <c r="AJ12" s="21">
        <v>2</v>
      </c>
      <c r="AK12" s="21">
        <v>-9.0393100000000004E-2</v>
      </c>
      <c r="AL12">
        <f t="shared" ref="AL12:AL75" si="6">-AI12/$F$2*1000</f>
        <v>17.044691358024689</v>
      </c>
      <c r="AM12">
        <f t="shared" ref="AM12:AM75" si="7">AL12*AG12</f>
        <v>-1.5318797045185184</v>
      </c>
      <c r="AP12" s="9"/>
      <c r="AQ12" s="21">
        <v>1.7298899999999999</v>
      </c>
      <c r="AR12" s="21">
        <v>23.800899999999999</v>
      </c>
      <c r="AS12" s="21">
        <v>2.67578E-3</v>
      </c>
      <c r="AT12" s="21">
        <v>2</v>
      </c>
      <c r="AU12" s="21">
        <v>1.7291300000000001</v>
      </c>
      <c r="AV12">
        <f t="shared" ref="AV12:AV75" si="8">-AS12/$F$2*1000</f>
        <v>-3.3034320987654318</v>
      </c>
      <c r="AW12">
        <f t="shared" ref="AW12:AW75" si="9">AV12*AQ12</f>
        <v>-5.7145741533333325</v>
      </c>
      <c r="AX12" s="9"/>
      <c r="AY12" s="21">
        <v>-8.9874300000000004E-2</v>
      </c>
      <c r="AZ12" s="21">
        <v>27.499199999999998</v>
      </c>
      <c r="BA12" s="21">
        <v>-1.37939E-2</v>
      </c>
      <c r="BB12" s="21">
        <v>2</v>
      </c>
      <c r="BC12" s="21">
        <v>-9.0301500000000007E-2</v>
      </c>
      <c r="BD12">
        <f t="shared" ref="BD12:BD75" si="10">-BA12/$F$2*1000</f>
        <v>17.029506172839504</v>
      </c>
      <c r="BE12">
        <f t="shared" ref="BE12:BE75" si="11">BD12*AY12</f>
        <v>-1.5305149466296295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1.7200080465097334</v>
      </c>
      <c r="B13" s="18">
        <f>IFERROR(AD9,0)</f>
        <v>17.125325596156706</v>
      </c>
      <c r="C13" s="19">
        <f>IFERROR(AD4,0)</f>
        <v>0.75806772010212298</v>
      </c>
      <c r="D13" s="20">
        <f>IFERROR(AD2,0)</f>
        <v>22.32941369382716</v>
      </c>
      <c r="E13" s="20">
        <f>IFERROR(AA9,0)</f>
        <v>7.0064869514358108</v>
      </c>
      <c r="F13" s="9"/>
      <c r="G13" s="21">
        <v>1.72485</v>
      </c>
      <c r="H13" s="21">
        <v>5.6195399999999998</v>
      </c>
      <c r="I13" s="21">
        <v>-1.12854E-4</v>
      </c>
      <c r="J13" s="21">
        <v>3</v>
      </c>
      <c r="K13" s="21">
        <v>1.72363</v>
      </c>
      <c r="L13">
        <f t="shared" si="0"/>
        <v>0.13932592592592594</v>
      </c>
      <c r="M13">
        <f t="shared" si="1"/>
        <v>0.24031632333333336</v>
      </c>
      <c r="N13" s="9"/>
      <c r="O13" s="21">
        <v>-8.4838899999999995E-2</v>
      </c>
      <c r="P13" s="21">
        <v>9.3178800000000006</v>
      </c>
      <c r="Q13" s="21">
        <v>-1.39343E-2</v>
      </c>
      <c r="R13" s="21">
        <v>3</v>
      </c>
      <c r="S13" s="21">
        <v>-8.5266099999999997E-2</v>
      </c>
      <c r="T13">
        <f t="shared" si="2"/>
        <v>17.202839506172836</v>
      </c>
      <c r="U13">
        <f t="shared" si="3"/>
        <v>-1.4594699805802465</v>
      </c>
      <c r="V13" s="22"/>
      <c r="W13" s="23"/>
      <c r="X13" s="9"/>
      <c r="Y13" s="21">
        <v>1.72485</v>
      </c>
      <c r="Z13" s="21">
        <v>14.678800000000001</v>
      </c>
      <c r="AA13" s="21">
        <v>1.0681200000000001E-3</v>
      </c>
      <c r="AB13" s="21">
        <v>3</v>
      </c>
      <c r="AC13" s="21">
        <v>1.72394</v>
      </c>
      <c r="AD13">
        <f t="shared" si="4"/>
        <v>-1.3186666666666669</v>
      </c>
      <c r="AE13">
        <f t="shared" si="5"/>
        <v>-2.2745022000000001</v>
      </c>
      <c r="AF13" s="9"/>
      <c r="AG13" s="21">
        <v>-8.4838899999999995E-2</v>
      </c>
      <c r="AH13" s="21">
        <v>18.377099999999999</v>
      </c>
      <c r="AI13" s="21">
        <v>-1.38184E-2</v>
      </c>
      <c r="AJ13" s="21">
        <v>3</v>
      </c>
      <c r="AK13" s="21">
        <v>-8.5174600000000003E-2</v>
      </c>
      <c r="AL13">
        <f t="shared" si="6"/>
        <v>17.05975308641975</v>
      </c>
      <c r="AM13">
        <f t="shared" si="7"/>
        <v>-1.4473306861234565</v>
      </c>
      <c r="AP13" s="9"/>
      <c r="AQ13" s="21">
        <v>1.72485</v>
      </c>
      <c r="AR13" s="21">
        <v>23.811</v>
      </c>
      <c r="AS13" s="21">
        <v>1.1608899999999999E-3</v>
      </c>
      <c r="AT13" s="21">
        <v>3</v>
      </c>
      <c r="AU13" s="21">
        <v>1.72516</v>
      </c>
      <c r="AV13">
        <f t="shared" si="8"/>
        <v>-1.4331975308641973</v>
      </c>
      <c r="AW13">
        <f t="shared" si="9"/>
        <v>-2.4720507611111109</v>
      </c>
      <c r="AX13" s="9"/>
      <c r="AY13" s="21">
        <v>-8.4838899999999995E-2</v>
      </c>
      <c r="AZ13" s="21">
        <v>27.5093</v>
      </c>
      <c r="BA13" s="21">
        <v>-1.37848E-2</v>
      </c>
      <c r="BB13" s="21">
        <v>3</v>
      </c>
      <c r="BC13" s="21">
        <v>-8.5235599999999995E-2</v>
      </c>
      <c r="BD13">
        <f t="shared" si="10"/>
        <v>17.018271604938271</v>
      </c>
      <c r="BE13">
        <f t="shared" si="11"/>
        <v>-1.4438114428641973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1.7226737605962588</v>
      </c>
      <c r="B14" s="18">
        <f>IFERROR(AL9,0)</f>
        <v>16.978204235003837</v>
      </c>
      <c r="C14" s="19">
        <f>IFERROR(AL4,0)</f>
        <v>0.70996212759012312</v>
      </c>
      <c r="D14" s="20">
        <f>IFERROR(AL2,0)</f>
        <v>20.764906237037039</v>
      </c>
      <c r="E14" s="20"/>
      <c r="F14" s="9"/>
      <c r="G14" s="21">
        <v>1.7198199999999999</v>
      </c>
      <c r="H14" s="21">
        <v>5.6296099999999996</v>
      </c>
      <c r="I14" s="21">
        <v>-1.32324E-3</v>
      </c>
      <c r="J14" s="21">
        <v>4</v>
      </c>
      <c r="K14" s="21">
        <v>1.71997</v>
      </c>
      <c r="L14">
        <f t="shared" si="0"/>
        <v>1.6336296296296295</v>
      </c>
      <c r="M14">
        <f t="shared" si="1"/>
        <v>2.8095489096296293</v>
      </c>
      <c r="N14" s="9"/>
      <c r="O14" s="21">
        <v>-7.9803499999999999E-2</v>
      </c>
      <c r="P14" s="21">
        <v>9.3279499999999995</v>
      </c>
      <c r="Q14" s="21">
        <v>-1.39221E-2</v>
      </c>
      <c r="R14" s="21">
        <v>4</v>
      </c>
      <c r="S14" s="21">
        <v>-8.0261200000000005E-2</v>
      </c>
      <c r="T14">
        <f t="shared" si="2"/>
        <v>17.187777777777779</v>
      </c>
      <c r="U14">
        <f t="shared" si="3"/>
        <v>-1.371644823888889</v>
      </c>
      <c r="V14" s="22"/>
      <c r="W14" s="23"/>
      <c r="X14" s="9"/>
      <c r="Y14" s="21">
        <v>1.7198199999999999</v>
      </c>
      <c r="Z14" s="21">
        <v>14.688800000000001</v>
      </c>
      <c r="AA14" s="21">
        <v>-2.5753800000000003E-4</v>
      </c>
      <c r="AB14" s="21">
        <v>4</v>
      </c>
      <c r="AC14" s="21">
        <v>1.71906</v>
      </c>
      <c r="AD14">
        <f t="shared" si="4"/>
        <v>0.3179481481481482</v>
      </c>
      <c r="AE14">
        <f t="shared" si="5"/>
        <v>0.54681358414814818</v>
      </c>
      <c r="AF14" s="9"/>
      <c r="AG14" s="21">
        <v>-7.9803499999999999E-2</v>
      </c>
      <c r="AH14" s="21">
        <v>18.3872</v>
      </c>
      <c r="AI14" s="21">
        <v>-1.38397E-2</v>
      </c>
      <c r="AJ14" s="21">
        <v>4</v>
      </c>
      <c r="AK14" s="21">
        <v>-8.0291699999999994E-2</v>
      </c>
      <c r="AL14">
        <f t="shared" si="6"/>
        <v>17.086049382716048</v>
      </c>
      <c r="AM14">
        <f t="shared" si="7"/>
        <v>-1.3635265419135802</v>
      </c>
      <c r="AP14" s="9"/>
      <c r="AQ14" s="21">
        <v>1.7198199999999999</v>
      </c>
      <c r="AR14" s="21">
        <v>23.821000000000002</v>
      </c>
      <c r="AS14" s="21">
        <v>-1.46484E-4</v>
      </c>
      <c r="AT14" s="21">
        <v>4</v>
      </c>
      <c r="AU14" s="21">
        <v>1.71967</v>
      </c>
      <c r="AV14">
        <f t="shared" si="8"/>
        <v>0.18084444444444442</v>
      </c>
      <c r="AW14">
        <f t="shared" si="9"/>
        <v>0.31101989244444439</v>
      </c>
      <c r="AX14" s="9"/>
      <c r="AY14" s="21">
        <v>-7.9803499999999999E-2</v>
      </c>
      <c r="AZ14" s="21">
        <v>27.519400000000001</v>
      </c>
      <c r="BA14" s="21">
        <v>-1.37695E-2</v>
      </c>
      <c r="BB14" s="21">
        <v>4</v>
      </c>
      <c r="BC14" s="21">
        <v>-8.0291699999999994E-2</v>
      </c>
      <c r="BD14">
        <f t="shared" si="10"/>
        <v>16.999382716049382</v>
      </c>
      <c r="BE14">
        <f t="shared" si="11"/>
        <v>-1.3566102385802468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1.7202851240272485</v>
      </c>
      <c r="B15" s="18">
        <f>IFERROR(AV9,0)</f>
        <v>17.086049382716048</v>
      </c>
      <c r="C15" s="19">
        <f>IFERROR(AV4,0)</f>
        <v>0.76006342392685644</v>
      </c>
      <c r="D15" s="20">
        <f>IFERROR(AV2,0)</f>
        <v>22.340450413580243</v>
      </c>
      <c r="E15" s="20">
        <f>IFERROR(AS9,0)</f>
        <v>7.8836440239360606</v>
      </c>
      <c r="F15" s="9"/>
      <c r="G15" s="21">
        <v>1.71478</v>
      </c>
      <c r="H15" s="21">
        <v>5.6396800000000002</v>
      </c>
      <c r="I15" s="21">
        <v>-2.3938000000000002E-3</v>
      </c>
      <c r="J15" s="21">
        <v>5</v>
      </c>
      <c r="K15" s="21">
        <v>1.71387</v>
      </c>
      <c r="L15">
        <f t="shared" si="0"/>
        <v>2.9553086419753085</v>
      </c>
      <c r="M15">
        <f t="shared" si="1"/>
        <v>5.0677041530864191</v>
      </c>
      <c r="N15" s="9"/>
      <c r="O15" s="21">
        <v>-7.4768100000000004E-2</v>
      </c>
      <c r="P15" s="21">
        <v>9.3380200000000002</v>
      </c>
      <c r="Q15" s="21">
        <v>-1.39282E-2</v>
      </c>
      <c r="R15" s="21">
        <v>5</v>
      </c>
      <c r="S15" s="21">
        <v>-7.5286900000000004E-2</v>
      </c>
      <c r="T15">
        <f t="shared" si="2"/>
        <v>17.195308641975309</v>
      </c>
      <c r="U15">
        <f t="shared" si="3"/>
        <v>-1.2856605560740741</v>
      </c>
      <c r="V15" s="22"/>
      <c r="W15" s="23"/>
      <c r="X15" s="9"/>
      <c r="Y15" s="21">
        <v>1.71478</v>
      </c>
      <c r="Z15" s="21">
        <v>14.6989</v>
      </c>
      <c r="AA15" s="21">
        <v>-1.43524E-3</v>
      </c>
      <c r="AB15" s="21">
        <v>5</v>
      </c>
      <c r="AC15" s="21">
        <v>1.71387</v>
      </c>
      <c r="AD15">
        <f t="shared" si="4"/>
        <v>1.7719012345679011</v>
      </c>
      <c r="AE15">
        <f t="shared" si="5"/>
        <v>3.0384207990123455</v>
      </c>
      <c r="AF15" s="9"/>
      <c r="AG15" s="21">
        <v>-7.4768100000000004E-2</v>
      </c>
      <c r="AH15" s="21">
        <v>18.397300000000001</v>
      </c>
      <c r="AI15" s="21">
        <v>-1.3842800000000001E-2</v>
      </c>
      <c r="AJ15" s="21">
        <v>5</v>
      </c>
      <c r="AK15" s="21">
        <v>-7.5256299999999998E-2</v>
      </c>
      <c r="AL15">
        <f t="shared" si="6"/>
        <v>17.089876543209876</v>
      </c>
      <c r="AM15">
        <f t="shared" si="7"/>
        <v>-1.2777775983703703</v>
      </c>
      <c r="AP15" s="9"/>
      <c r="AQ15" s="21">
        <v>1.71478</v>
      </c>
      <c r="AR15" s="21">
        <v>23.831099999999999</v>
      </c>
      <c r="AS15" s="21">
        <v>-1.3177499999999999E-3</v>
      </c>
      <c r="AT15" s="21">
        <v>5</v>
      </c>
      <c r="AU15" s="21">
        <v>1.71417</v>
      </c>
      <c r="AV15">
        <f t="shared" si="8"/>
        <v>1.6268518518518515</v>
      </c>
      <c r="AW15">
        <f t="shared" si="9"/>
        <v>2.789693018518518</v>
      </c>
      <c r="AX15" s="9"/>
      <c r="AY15" s="21">
        <v>-7.4768100000000004E-2</v>
      </c>
      <c r="AZ15" s="21">
        <v>27.529499999999999</v>
      </c>
      <c r="BA15" s="21">
        <v>-1.3772599999999999E-2</v>
      </c>
      <c r="BB15" s="21">
        <v>5</v>
      </c>
      <c r="BC15" s="21">
        <v>-7.5225799999999995E-2</v>
      </c>
      <c r="BD15">
        <f t="shared" si="10"/>
        <v>17.00320987654321</v>
      </c>
      <c r="BE15">
        <f t="shared" si="11"/>
        <v>-1.2712976963703704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1.7202086830771761</v>
      </c>
      <c r="B16" s="18">
        <f>IFERROR(BD9,0)</f>
        <v>16.946947980902994</v>
      </c>
      <c r="C16" s="19">
        <f>IFERROR(BD4,0)</f>
        <v>0.7059209036100671</v>
      </c>
      <c r="D16" s="20">
        <f>IFERROR(BD2,0)</f>
        <v>20.579208829629625</v>
      </c>
      <c r="E16" s="20"/>
      <c r="F16" s="9"/>
      <c r="G16" s="21">
        <v>1.7097500000000001</v>
      </c>
      <c r="H16" s="21">
        <v>5.6497599999999997</v>
      </c>
      <c r="I16" s="21">
        <v>-3.33038E-3</v>
      </c>
      <c r="J16" s="21">
        <v>6</v>
      </c>
      <c r="K16" s="21">
        <v>1.70868</v>
      </c>
      <c r="L16">
        <f t="shared" si="0"/>
        <v>4.1115802469135803</v>
      </c>
      <c r="M16">
        <f t="shared" si="1"/>
        <v>7.029774327160494</v>
      </c>
      <c r="N16" s="9"/>
      <c r="O16" s="21">
        <v>-6.9732699999999995E-2</v>
      </c>
      <c r="P16" s="21">
        <v>9.3480899999999991</v>
      </c>
      <c r="Q16" s="21">
        <v>-1.3931300000000001E-2</v>
      </c>
      <c r="R16" s="21">
        <v>6</v>
      </c>
      <c r="S16" s="21">
        <v>-7.0373500000000005E-2</v>
      </c>
      <c r="T16">
        <f t="shared" si="2"/>
        <v>17.199135802469137</v>
      </c>
      <c r="U16">
        <f t="shared" si="3"/>
        <v>-1.1993421771728394</v>
      </c>
      <c r="V16" s="22"/>
      <c r="W16" s="23"/>
      <c r="X16" s="9"/>
      <c r="Y16" s="21">
        <v>1.7097500000000001</v>
      </c>
      <c r="Z16" s="21">
        <v>14.709</v>
      </c>
      <c r="AA16" s="21">
        <v>-2.4655200000000001E-3</v>
      </c>
      <c r="AB16" s="21">
        <v>6</v>
      </c>
      <c r="AC16" s="21">
        <v>1.70929</v>
      </c>
      <c r="AD16">
        <f t="shared" si="4"/>
        <v>3.0438518518518518</v>
      </c>
      <c r="AE16">
        <f t="shared" si="5"/>
        <v>5.2042257037037043</v>
      </c>
      <c r="AF16" s="9"/>
      <c r="AG16" s="21">
        <v>-6.9732699999999995E-2</v>
      </c>
      <c r="AH16" s="21">
        <v>18.407299999999999</v>
      </c>
      <c r="AI16" s="21">
        <v>-1.38519E-2</v>
      </c>
      <c r="AJ16" s="21">
        <v>6</v>
      </c>
      <c r="AK16" s="21">
        <v>-7.0251499999999995E-2</v>
      </c>
      <c r="AL16">
        <f t="shared" si="6"/>
        <v>17.101111111111113</v>
      </c>
      <c r="AM16">
        <f t="shared" si="7"/>
        <v>-1.1925066507777777</v>
      </c>
      <c r="AP16" s="9"/>
      <c r="AQ16" s="21">
        <v>1.7097500000000001</v>
      </c>
      <c r="AR16" s="21">
        <v>23.841200000000001</v>
      </c>
      <c r="AS16" s="21">
        <v>-2.3611499999999998E-3</v>
      </c>
      <c r="AT16" s="21">
        <v>6</v>
      </c>
      <c r="AU16" s="21">
        <v>1.7089799999999999</v>
      </c>
      <c r="AV16">
        <f t="shared" si="8"/>
        <v>2.9149999999999996</v>
      </c>
      <c r="AW16">
        <f t="shared" si="9"/>
        <v>4.9839212499999999</v>
      </c>
      <c r="AX16" s="9"/>
      <c r="AY16" s="21">
        <v>-6.9732699999999995E-2</v>
      </c>
      <c r="AZ16" s="21">
        <v>27.5395</v>
      </c>
      <c r="BA16" s="21">
        <v>-1.37634E-2</v>
      </c>
      <c r="BB16" s="21">
        <v>6</v>
      </c>
      <c r="BC16" s="21">
        <v>-7.01904E-2</v>
      </c>
      <c r="BD16">
        <f t="shared" si="10"/>
        <v>16.991851851851852</v>
      </c>
      <c r="BE16">
        <f t="shared" si="11"/>
        <v>-1.1848877076296296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1.7047099999999999</v>
      </c>
      <c r="H17" s="21">
        <v>5.6598300000000004</v>
      </c>
      <c r="I17" s="21">
        <v>-4.1680900000000002E-3</v>
      </c>
      <c r="J17" s="21">
        <v>7</v>
      </c>
      <c r="K17" s="21">
        <v>1.7040999999999999</v>
      </c>
      <c r="L17">
        <f t="shared" si="0"/>
        <v>5.1457901234567895</v>
      </c>
      <c r="M17">
        <f t="shared" si="1"/>
        <v>8.7720798813580227</v>
      </c>
      <c r="N17" s="9"/>
      <c r="O17" s="21">
        <v>-6.4697299999999999E-2</v>
      </c>
      <c r="P17" s="21">
        <v>9.3581699999999994</v>
      </c>
      <c r="Q17" s="21">
        <v>-1.39282E-2</v>
      </c>
      <c r="R17" s="21">
        <v>7</v>
      </c>
      <c r="S17" s="21">
        <v>-6.5155000000000005E-2</v>
      </c>
      <c r="T17">
        <f t="shared" si="2"/>
        <v>17.195308641975309</v>
      </c>
      <c r="U17">
        <f t="shared" si="3"/>
        <v>-1.1124900418024692</v>
      </c>
      <c r="V17" s="22"/>
      <c r="W17" s="23"/>
      <c r="X17" s="9"/>
      <c r="Y17" s="21">
        <v>1.7047099999999999</v>
      </c>
      <c r="Z17" s="21">
        <v>14.718999999999999</v>
      </c>
      <c r="AA17" s="21">
        <v>-3.3938599999999998E-3</v>
      </c>
      <c r="AB17" s="21">
        <v>7</v>
      </c>
      <c r="AC17" s="21">
        <v>1.7038</v>
      </c>
      <c r="AD17">
        <f t="shared" si="4"/>
        <v>4.1899506172839498</v>
      </c>
      <c r="AE17">
        <f t="shared" si="5"/>
        <v>7.1426507167901221</v>
      </c>
      <c r="AF17" s="9"/>
      <c r="AG17" s="21">
        <v>-6.4697299999999999E-2</v>
      </c>
      <c r="AH17" s="21">
        <v>18.417400000000001</v>
      </c>
      <c r="AI17" s="21">
        <v>-1.38519E-2</v>
      </c>
      <c r="AJ17" s="21">
        <v>7</v>
      </c>
      <c r="AK17" s="21">
        <v>-6.5155000000000005E-2</v>
      </c>
      <c r="AL17">
        <f t="shared" si="6"/>
        <v>17.101111111111113</v>
      </c>
      <c r="AM17">
        <f t="shared" si="7"/>
        <v>-1.1063957158888891</v>
      </c>
      <c r="AP17" s="9"/>
      <c r="AQ17" s="21">
        <v>1.7047099999999999</v>
      </c>
      <c r="AR17" s="21">
        <v>23.851299999999998</v>
      </c>
      <c r="AS17" s="21">
        <v>-3.2794199999999999E-3</v>
      </c>
      <c r="AT17" s="21">
        <v>7</v>
      </c>
      <c r="AU17" s="21">
        <v>1.7040999999999999</v>
      </c>
      <c r="AV17">
        <f t="shared" si="8"/>
        <v>4.0486666666666666</v>
      </c>
      <c r="AW17">
        <f t="shared" si="9"/>
        <v>6.9018025533333329</v>
      </c>
      <c r="AX17" s="9"/>
      <c r="AY17" s="21">
        <v>-6.4697299999999999E-2</v>
      </c>
      <c r="AZ17" s="21">
        <v>27.549600000000002</v>
      </c>
      <c r="BA17" s="21">
        <v>-1.37634E-2</v>
      </c>
      <c r="BB17" s="21">
        <v>7</v>
      </c>
      <c r="BC17" s="21">
        <v>-6.5124500000000002E-2</v>
      </c>
      <c r="BD17">
        <f t="shared" si="10"/>
        <v>16.991851851851852</v>
      </c>
      <c r="BE17">
        <f t="shared" si="11"/>
        <v>-1.0993269368148149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1.6996800000000001</v>
      </c>
      <c r="H18" s="21">
        <v>5.6699000000000002</v>
      </c>
      <c r="I18" s="21">
        <v>-4.9475099999999996E-3</v>
      </c>
      <c r="J18" s="21">
        <v>8</v>
      </c>
      <c r="K18" s="21">
        <v>1.6989099999999999</v>
      </c>
      <c r="L18">
        <f t="shared" si="0"/>
        <v>6.108037037037036</v>
      </c>
      <c r="M18">
        <f t="shared" si="1"/>
        <v>10.381708391111109</v>
      </c>
      <c r="N18" s="9"/>
      <c r="O18" s="21">
        <v>-5.9661899999999997E-2</v>
      </c>
      <c r="P18" s="21">
        <v>9.3682400000000001</v>
      </c>
      <c r="Q18" s="21">
        <v>-1.39191E-2</v>
      </c>
      <c r="R18" s="21">
        <v>8</v>
      </c>
      <c r="S18" s="21">
        <v>-6.0150099999999998E-2</v>
      </c>
      <c r="T18">
        <f t="shared" si="2"/>
        <v>17.184074074074076</v>
      </c>
      <c r="U18">
        <f t="shared" si="3"/>
        <v>-1.0252345090000001</v>
      </c>
      <c r="V18" s="22"/>
      <c r="W18" s="23"/>
      <c r="X18" s="9"/>
      <c r="Y18" s="21">
        <v>1.6996800000000001</v>
      </c>
      <c r="Z18" s="21">
        <v>14.729100000000001</v>
      </c>
      <c r="AA18" s="21">
        <v>-4.1961699999999999E-3</v>
      </c>
      <c r="AB18" s="21">
        <v>8</v>
      </c>
      <c r="AC18" s="21">
        <v>1.6982999999999999</v>
      </c>
      <c r="AD18">
        <f t="shared" si="4"/>
        <v>5.1804567901234559</v>
      </c>
      <c r="AE18">
        <f t="shared" si="5"/>
        <v>8.8051187970370357</v>
      </c>
      <c r="AF18" s="9"/>
      <c r="AG18" s="21">
        <v>-5.9661899999999997E-2</v>
      </c>
      <c r="AH18" s="21">
        <v>18.427499999999998</v>
      </c>
      <c r="AI18" s="21">
        <v>-1.38458E-2</v>
      </c>
      <c r="AJ18" s="21">
        <v>8</v>
      </c>
      <c r="AK18" s="21">
        <v>-6.0150099999999998E-2</v>
      </c>
      <c r="AL18">
        <f t="shared" si="6"/>
        <v>17.093580246913579</v>
      </c>
      <c r="AM18">
        <f t="shared" si="7"/>
        <v>-1.0198354753333332</v>
      </c>
      <c r="AP18" s="9"/>
      <c r="AQ18" s="21">
        <v>1.6996800000000001</v>
      </c>
      <c r="AR18" s="21">
        <v>23.8613</v>
      </c>
      <c r="AS18" s="21">
        <v>-4.1113299999999998E-3</v>
      </c>
      <c r="AT18" s="21">
        <v>8</v>
      </c>
      <c r="AU18" s="21">
        <v>1.6989099999999999</v>
      </c>
      <c r="AV18">
        <f t="shared" si="8"/>
        <v>5.0757160493827156</v>
      </c>
      <c r="AW18">
        <f t="shared" si="9"/>
        <v>8.6270930548148144</v>
      </c>
      <c r="AX18" s="9"/>
      <c r="AY18" s="21">
        <v>-5.9661899999999997E-2</v>
      </c>
      <c r="AZ18" s="21">
        <v>27.559699999999999</v>
      </c>
      <c r="BA18" s="21">
        <v>-1.37634E-2</v>
      </c>
      <c r="BB18" s="21">
        <v>8</v>
      </c>
      <c r="BC18" s="21">
        <v>-6.0119600000000002E-2</v>
      </c>
      <c r="BD18">
        <f t="shared" si="10"/>
        <v>16.991851851851852</v>
      </c>
      <c r="BE18">
        <f t="shared" si="11"/>
        <v>-1.0137661659999999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1.6946399999999999</v>
      </c>
      <c r="H19" s="21">
        <v>5.67997</v>
      </c>
      <c r="I19" s="21">
        <v>-5.5999800000000001E-3</v>
      </c>
      <c r="J19" s="21">
        <v>9</v>
      </c>
      <c r="K19" s="21">
        <v>1.6940299999999999</v>
      </c>
      <c r="L19">
        <f t="shared" si="0"/>
        <v>6.9135555555555559</v>
      </c>
      <c r="M19">
        <f t="shared" si="1"/>
        <v>11.715987786666666</v>
      </c>
      <c r="N19" s="9"/>
      <c r="O19" s="21">
        <v>-5.4626500000000001E-2</v>
      </c>
      <c r="P19" s="21">
        <v>9.3783100000000008</v>
      </c>
      <c r="Q19" s="21">
        <v>-1.3897700000000001E-2</v>
      </c>
      <c r="R19" s="21">
        <v>9</v>
      </c>
      <c r="S19" s="21">
        <v>-5.5053699999999997E-2</v>
      </c>
      <c r="T19">
        <f t="shared" si="2"/>
        <v>17.157654320987653</v>
      </c>
      <c r="U19">
        <f t="shared" si="3"/>
        <v>-0.93726260376543202</v>
      </c>
      <c r="V19" s="22"/>
      <c r="W19" s="23"/>
      <c r="X19" s="9"/>
      <c r="Y19" s="21">
        <v>1.6946399999999999</v>
      </c>
      <c r="Z19" s="21">
        <v>14.7392</v>
      </c>
      <c r="AA19" s="21">
        <v>-4.9224899999999999E-3</v>
      </c>
      <c r="AB19" s="21">
        <v>9</v>
      </c>
      <c r="AC19" s="21">
        <v>1.69373</v>
      </c>
      <c r="AD19">
        <f t="shared" si="4"/>
        <v>6.0771481481481473</v>
      </c>
      <c r="AE19">
        <f t="shared" si="5"/>
        <v>10.298578337777776</v>
      </c>
      <c r="AF19" s="9"/>
      <c r="AG19" s="21">
        <v>-5.4626500000000001E-2</v>
      </c>
      <c r="AH19" s="21">
        <v>18.4376</v>
      </c>
      <c r="AI19" s="21">
        <v>-1.3842800000000001E-2</v>
      </c>
      <c r="AJ19" s="21">
        <v>9</v>
      </c>
      <c r="AK19" s="21">
        <v>-5.5175799999999997E-2</v>
      </c>
      <c r="AL19">
        <f t="shared" si="6"/>
        <v>17.089876543209876</v>
      </c>
      <c r="AM19">
        <f t="shared" si="7"/>
        <v>-0.93356014098765427</v>
      </c>
      <c r="AP19" s="9"/>
      <c r="AQ19" s="21">
        <v>1.6946399999999999</v>
      </c>
      <c r="AR19" s="21">
        <v>23.871400000000001</v>
      </c>
      <c r="AS19" s="21">
        <v>-4.8519899999999996E-3</v>
      </c>
      <c r="AT19" s="21">
        <v>9</v>
      </c>
      <c r="AU19" s="21">
        <v>1.69434</v>
      </c>
      <c r="AV19">
        <f t="shared" si="8"/>
        <v>5.9901111111111103</v>
      </c>
      <c r="AW19">
        <f t="shared" si="9"/>
        <v>10.151081893333332</v>
      </c>
      <c r="AX19" s="9"/>
      <c r="AY19" s="21">
        <v>-5.4626500000000001E-2</v>
      </c>
      <c r="AZ19" s="21">
        <v>27.569700000000001</v>
      </c>
      <c r="BA19" s="21">
        <v>-1.3766499999999999E-2</v>
      </c>
      <c r="BB19" s="21">
        <v>9</v>
      </c>
      <c r="BC19" s="21">
        <v>-5.5175799999999997E-2</v>
      </c>
      <c r="BD19">
        <f t="shared" si="10"/>
        <v>16.995679012345676</v>
      </c>
      <c r="BE19">
        <f t="shared" si="11"/>
        <v>-0.92841445956790103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1.6896100000000001</v>
      </c>
      <c r="H20" s="21">
        <v>5.6900399999999998</v>
      </c>
      <c r="I20" s="21">
        <v>-6.17981E-3</v>
      </c>
      <c r="J20" s="21">
        <v>10</v>
      </c>
      <c r="K20" s="21">
        <v>1.6888399999999999</v>
      </c>
      <c r="L20">
        <f t="shared" si="0"/>
        <v>7.6293950617283945</v>
      </c>
      <c r="M20">
        <f t="shared" si="1"/>
        <v>12.890702190246913</v>
      </c>
      <c r="N20" s="9"/>
      <c r="O20" s="21">
        <v>-4.9591099999999999E-2</v>
      </c>
      <c r="P20" s="21">
        <v>9.3883799999999997</v>
      </c>
      <c r="Q20" s="21">
        <v>-1.38855E-2</v>
      </c>
      <c r="R20" s="21">
        <v>10</v>
      </c>
      <c r="S20" s="21">
        <v>-5.0109899999999999E-2</v>
      </c>
      <c r="T20">
        <f t="shared" si="2"/>
        <v>17.142592592592592</v>
      </c>
      <c r="U20">
        <f t="shared" si="3"/>
        <v>-0.85012002351851845</v>
      </c>
      <c r="V20" s="22"/>
      <c r="W20" s="23"/>
      <c r="X20" s="9"/>
      <c r="Y20" s="21">
        <v>1.6896100000000001</v>
      </c>
      <c r="Z20" s="21">
        <v>14.7493</v>
      </c>
      <c r="AA20" s="21">
        <v>-5.5328399999999998E-3</v>
      </c>
      <c r="AB20" s="21">
        <v>10</v>
      </c>
      <c r="AC20" s="21">
        <v>1.6894499999999999</v>
      </c>
      <c r="AD20">
        <f t="shared" si="4"/>
        <v>6.8306666666666667</v>
      </c>
      <c r="AE20">
        <f t="shared" si="5"/>
        <v>11.541162706666666</v>
      </c>
      <c r="AF20" s="9"/>
      <c r="AG20" s="21">
        <v>-4.9591099999999999E-2</v>
      </c>
      <c r="AH20" s="21">
        <v>18.447600000000001</v>
      </c>
      <c r="AI20" s="21">
        <v>-1.3842800000000001E-2</v>
      </c>
      <c r="AJ20" s="21">
        <v>10</v>
      </c>
      <c r="AK20" s="21">
        <v>-5.0048799999999997E-2</v>
      </c>
      <c r="AL20">
        <f t="shared" si="6"/>
        <v>17.089876543209876</v>
      </c>
      <c r="AM20">
        <f t="shared" si="7"/>
        <v>-0.84750577664197524</v>
      </c>
      <c r="AP20" s="9"/>
      <c r="AQ20" s="21">
        <v>1.6896100000000001</v>
      </c>
      <c r="AR20" s="21">
        <v>23.881499999999999</v>
      </c>
      <c r="AS20" s="21">
        <v>-5.4870600000000002E-3</v>
      </c>
      <c r="AT20" s="21">
        <v>10</v>
      </c>
      <c r="AU20" s="21">
        <v>1.6891499999999999</v>
      </c>
      <c r="AV20">
        <f t="shared" si="8"/>
        <v>6.7741481481481483</v>
      </c>
      <c r="AW20">
        <f t="shared" si="9"/>
        <v>11.445668452592594</v>
      </c>
      <c r="AX20" s="9"/>
      <c r="AY20" s="21">
        <v>-4.9591099999999999E-2</v>
      </c>
      <c r="AZ20" s="21">
        <v>27.579799999999999</v>
      </c>
      <c r="BA20" s="21">
        <v>-1.37695E-2</v>
      </c>
      <c r="BB20" s="21">
        <v>10</v>
      </c>
      <c r="BC20" s="21">
        <v>-5.00793E-2</v>
      </c>
      <c r="BD20">
        <f t="shared" si="10"/>
        <v>16.999382716049382</v>
      </c>
      <c r="BE20">
        <f t="shared" si="11"/>
        <v>-0.84301808820987645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1.6845699999999999</v>
      </c>
      <c r="H21" s="21">
        <v>5.7001099999999996</v>
      </c>
      <c r="I21" s="21">
        <v>-6.6803000000000001E-3</v>
      </c>
      <c r="J21" s="21">
        <v>11</v>
      </c>
      <c r="K21" s="21">
        <v>1.6839599999999999</v>
      </c>
      <c r="L21">
        <f t="shared" si="0"/>
        <v>8.2472839506172839</v>
      </c>
      <c r="M21">
        <f t="shared" si="1"/>
        <v>13.893127124691357</v>
      </c>
      <c r="N21" s="9"/>
      <c r="O21" s="21">
        <v>-4.4555699999999997E-2</v>
      </c>
      <c r="P21" s="21">
        <v>9.3984500000000004</v>
      </c>
      <c r="Q21" s="21">
        <v>-1.38824E-2</v>
      </c>
      <c r="R21" s="21">
        <v>11</v>
      </c>
      <c r="S21" s="21">
        <v>-4.4979900000000003E-2</v>
      </c>
      <c r="T21">
        <f t="shared" si="2"/>
        <v>17.138765432098765</v>
      </c>
      <c r="U21">
        <f t="shared" si="3"/>
        <v>-0.76362969096296285</v>
      </c>
      <c r="V21" s="22"/>
      <c r="W21" s="23"/>
      <c r="X21" s="9"/>
      <c r="Y21" s="21">
        <v>1.6845699999999999</v>
      </c>
      <c r="Z21" s="21">
        <v>14.7593</v>
      </c>
      <c r="AA21" s="21">
        <v>-6.1035200000000003E-3</v>
      </c>
      <c r="AB21" s="21">
        <v>11</v>
      </c>
      <c r="AC21" s="21">
        <v>1.6836500000000001</v>
      </c>
      <c r="AD21">
        <f t="shared" si="4"/>
        <v>7.5352098765432096</v>
      </c>
      <c r="AE21">
        <f t="shared" si="5"/>
        <v>12.693588501728394</v>
      </c>
      <c r="AF21" s="9"/>
      <c r="AG21" s="21">
        <v>-4.4555699999999997E-2</v>
      </c>
      <c r="AH21" s="21">
        <v>18.457699999999999</v>
      </c>
      <c r="AI21" s="21">
        <v>-1.3848900000000001E-2</v>
      </c>
      <c r="AJ21" s="21">
        <v>11</v>
      </c>
      <c r="AK21" s="21">
        <v>-4.4879200000000001E-2</v>
      </c>
      <c r="AL21">
        <f t="shared" si="6"/>
        <v>17.09740740740741</v>
      </c>
      <c r="AM21">
        <f t="shared" si="7"/>
        <v>-0.76178695522222228</v>
      </c>
      <c r="AP21" s="9"/>
      <c r="AQ21" s="21">
        <v>1.6845699999999999</v>
      </c>
      <c r="AR21" s="21">
        <v>23.891500000000001</v>
      </c>
      <c r="AS21" s="21">
        <v>-6.0699500000000002E-3</v>
      </c>
      <c r="AT21" s="21">
        <v>11</v>
      </c>
      <c r="AU21" s="21">
        <v>1.6842699999999999</v>
      </c>
      <c r="AV21">
        <f t="shared" si="8"/>
        <v>7.4937654320987654</v>
      </c>
      <c r="AW21">
        <f t="shared" si="9"/>
        <v>12.623772433950617</v>
      </c>
      <c r="AX21" s="9"/>
      <c r="AY21" s="21">
        <v>-4.4555699999999997E-2</v>
      </c>
      <c r="AZ21" s="21">
        <v>27.5899</v>
      </c>
      <c r="BA21" s="21">
        <v>-1.3760400000000001E-2</v>
      </c>
      <c r="BB21" s="21">
        <v>11</v>
      </c>
      <c r="BC21" s="21">
        <v>-4.4985999999999998E-2</v>
      </c>
      <c r="BD21">
        <f t="shared" si="10"/>
        <v>16.988148148148149</v>
      </c>
      <c r="BE21">
        <f t="shared" si="11"/>
        <v>-0.75691883244444436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1.67953</v>
      </c>
      <c r="H22" s="21">
        <v>5.7101800000000003</v>
      </c>
      <c r="I22" s="21">
        <v>-7.1289099999999996E-3</v>
      </c>
      <c r="J22" s="21">
        <v>12</v>
      </c>
      <c r="K22" s="21">
        <v>1.6787700000000001</v>
      </c>
      <c r="L22">
        <f t="shared" si="0"/>
        <v>8.8011234567901226</v>
      </c>
      <c r="M22">
        <f t="shared" si="1"/>
        <v>14.781750879382715</v>
      </c>
      <c r="N22" s="9"/>
      <c r="O22" s="21">
        <v>-3.9520300000000001E-2</v>
      </c>
      <c r="P22" s="21">
        <v>9.4085199999999993</v>
      </c>
      <c r="Q22" s="21">
        <v>-1.3876299999999999E-2</v>
      </c>
      <c r="R22" s="21">
        <v>12</v>
      </c>
      <c r="S22" s="21">
        <v>-3.9883399999999999E-2</v>
      </c>
      <c r="T22">
        <f t="shared" si="2"/>
        <v>17.131234567901231</v>
      </c>
      <c r="U22">
        <f t="shared" si="3"/>
        <v>-0.67703152949382706</v>
      </c>
      <c r="V22" s="22"/>
      <c r="W22" s="23"/>
      <c r="X22" s="9"/>
      <c r="Y22" s="21">
        <v>1.67953</v>
      </c>
      <c r="Z22" s="21">
        <v>14.769399999999999</v>
      </c>
      <c r="AA22" s="21">
        <v>-6.6101099999999998E-3</v>
      </c>
      <c r="AB22" s="21">
        <v>12</v>
      </c>
      <c r="AC22" s="21">
        <v>1.6790799999999999</v>
      </c>
      <c r="AD22">
        <f t="shared" si="4"/>
        <v>8.1606296296296286</v>
      </c>
      <c r="AE22">
        <f t="shared" si="5"/>
        <v>13.706022281851849</v>
      </c>
      <c r="AF22" s="9"/>
      <c r="AG22" s="21">
        <v>-3.9520300000000001E-2</v>
      </c>
      <c r="AH22" s="21">
        <v>18.4678</v>
      </c>
      <c r="AI22" s="21">
        <v>-1.38458E-2</v>
      </c>
      <c r="AJ22" s="21">
        <v>12</v>
      </c>
      <c r="AK22" s="21">
        <v>-3.9834599999999998E-2</v>
      </c>
      <c r="AL22">
        <f t="shared" si="6"/>
        <v>17.093580246913579</v>
      </c>
      <c r="AM22">
        <f t="shared" si="7"/>
        <v>-0.67554341943209872</v>
      </c>
      <c r="AP22" s="9"/>
      <c r="AQ22" s="21">
        <v>1.67953</v>
      </c>
      <c r="AR22" s="21">
        <v>23.901599999999998</v>
      </c>
      <c r="AS22" s="21">
        <v>-6.5795899999999997E-3</v>
      </c>
      <c r="AT22" s="21">
        <v>12</v>
      </c>
      <c r="AU22" s="21">
        <v>1.6784699999999999</v>
      </c>
      <c r="AV22">
        <f t="shared" si="8"/>
        <v>8.1229506172839496</v>
      </c>
      <c r="AW22">
        <f t="shared" si="9"/>
        <v>13.642739250246912</v>
      </c>
      <c r="AX22" s="9"/>
      <c r="AY22" s="21">
        <v>-3.9520300000000001E-2</v>
      </c>
      <c r="AZ22" s="21">
        <v>27.6</v>
      </c>
      <c r="BA22" s="21">
        <v>-1.3754300000000001E-2</v>
      </c>
      <c r="BB22" s="21">
        <v>12</v>
      </c>
      <c r="BC22" s="21">
        <v>-3.9868199999999999E-2</v>
      </c>
      <c r="BD22">
        <f t="shared" si="10"/>
        <v>16.980617283950615</v>
      </c>
      <c r="BE22">
        <f t="shared" si="11"/>
        <v>-0.67107908924691351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1.6745000000000001</v>
      </c>
      <c r="H23" s="21">
        <v>5.7202500000000001</v>
      </c>
      <c r="I23" s="21">
        <v>-7.51953E-3</v>
      </c>
      <c r="J23" s="21">
        <v>13</v>
      </c>
      <c r="K23" s="21">
        <v>1.6741900000000001</v>
      </c>
      <c r="L23">
        <f t="shared" si="0"/>
        <v>9.2833703703703687</v>
      </c>
      <c r="M23">
        <f t="shared" si="1"/>
        <v>15.545003685185183</v>
      </c>
      <c r="N23" s="9"/>
      <c r="O23" s="21">
        <v>-3.4484899999999999E-2</v>
      </c>
      <c r="P23" s="21">
        <v>9.41859</v>
      </c>
      <c r="Q23" s="21">
        <v>-1.38885E-2</v>
      </c>
      <c r="R23" s="21">
        <v>13</v>
      </c>
      <c r="S23" s="21">
        <v>-3.48785E-2</v>
      </c>
      <c r="T23">
        <f t="shared" si="2"/>
        <v>17.146296296296295</v>
      </c>
      <c r="U23">
        <f t="shared" si="3"/>
        <v>-0.59128831314814811</v>
      </c>
      <c r="V23" s="22"/>
      <c r="W23" s="23"/>
      <c r="X23" s="9"/>
      <c r="Y23" s="21">
        <v>1.6745000000000001</v>
      </c>
      <c r="Z23" s="21">
        <v>14.779500000000001</v>
      </c>
      <c r="AA23" s="21">
        <v>-7.0617700000000002E-3</v>
      </c>
      <c r="AB23" s="21">
        <v>13</v>
      </c>
      <c r="AC23" s="21">
        <v>1.6732800000000001</v>
      </c>
      <c r="AD23">
        <f t="shared" si="4"/>
        <v>8.7182345679012343</v>
      </c>
      <c r="AE23">
        <f t="shared" si="5"/>
        <v>14.598683783950618</v>
      </c>
      <c r="AF23" s="9"/>
      <c r="AG23" s="21">
        <v>-3.4484899999999999E-2</v>
      </c>
      <c r="AH23" s="21">
        <v>18.477799999999998</v>
      </c>
      <c r="AI23" s="21">
        <v>-1.38336E-2</v>
      </c>
      <c r="AJ23" s="21">
        <v>13</v>
      </c>
      <c r="AK23" s="21">
        <v>-3.4786999999999998E-2</v>
      </c>
      <c r="AL23">
        <f t="shared" si="6"/>
        <v>17.078518518518518</v>
      </c>
      <c r="AM23">
        <f t="shared" si="7"/>
        <v>-0.5889510032592592</v>
      </c>
      <c r="AP23" s="9"/>
      <c r="AQ23" s="21">
        <v>1.6745000000000001</v>
      </c>
      <c r="AR23" s="21">
        <v>23.9117</v>
      </c>
      <c r="AS23" s="21">
        <v>-7.0404100000000004E-3</v>
      </c>
      <c r="AT23" s="21">
        <v>13</v>
      </c>
      <c r="AU23" s="21">
        <v>1.6735800000000001</v>
      </c>
      <c r="AV23">
        <f t="shared" si="8"/>
        <v>8.6918641975308635</v>
      </c>
      <c r="AW23">
        <f t="shared" si="9"/>
        <v>14.554526598765431</v>
      </c>
      <c r="AX23" s="9"/>
      <c r="AY23" s="21">
        <v>-3.4484899999999999E-2</v>
      </c>
      <c r="AZ23" s="21">
        <v>27.61</v>
      </c>
      <c r="BA23" s="21">
        <v>-1.37451E-2</v>
      </c>
      <c r="BB23" s="21">
        <v>13</v>
      </c>
      <c r="BC23" s="21">
        <v>-3.4735099999999998E-2</v>
      </c>
      <c r="BD23">
        <f t="shared" si="10"/>
        <v>16.969259259259257</v>
      </c>
      <c r="BE23">
        <f t="shared" si="11"/>
        <v>-0.58518320862962958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1.6694599999999999</v>
      </c>
      <c r="H24" s="21">
        <v>5.7303199999999999</v>
      </c>
      <c r="I24" s="21">
        <v>-7.8552199999999996E-3</v>
      </c>
      <c r="J24" s="21">
        <v>14</v>
      </c>
      <c r="K24" s="21">
        <v>1.6690100000000001</v>
      </c>
      <c r="L24">
        <f t="shared" si="0"/>
        <v>9.6978024691358016</v>
      </c>
      <c r="M24">
        <f t="shared" si="1"/>
        <v>16.190093310123455</v>
      </c>
      <c r="N24" s="9"/>
      <c r="O24" s="21">
        <v>-2.94495E-2</v>
      </c>
      <c r="P24" s="21">
        <v>9.4286600000000007</v>
      </c>
      <c r="Q24" s="21">
        <v>-1.3897700000000001E-2</v>
      </c>
      <c r="R24" s="21">
        <v>14</v>
      </c>
      <c r="S24" s="21">
        <v>-2.9757700000000002E-2</v>
      </c>
      <c r="T24">
        <f t="shared" si="2"/>
        <v>17.157654320987653</v>
      </c>
      <c r="U24">
        <f t="shared" si="3"/>
        <v>-0.50528434092592589</v>
      </c>
      <c r="V24" s="22"/>
      <c r="W24" s="23"/>
      <c r="X24" s="9"/>
      <c r="Y24" s="21">
        <v>1.6694599999999999</v>
      </c>
      <c r="Z24" s="21">
        <v>14.7895</v>
      </c>
      <c r="AA24" s="21">
        <v>-7.4707000000000003E-3</v>
      </c>
      <c r="AB24" s="21">
        <v>14</v>
      </c>
      <c r="AC24" s="21">
        <v>1.6687000000000001</v>
      </c>
      <c r="AD24">
        <f t="shared" si="4"/>
        <v>9.223086419753086</v>
      </c>
      <c r="AE24">
        <f t="shared" si="5"/>
        <v>15.397573854320987</v>
      </c>
      <c r="AF24" s="9"/>
      <c r="AG24" s="21">
        <v>-2.94495E-2</v>
      </c>
      <c r="AH24" s="21">
        <v>18.4879</v>
      </c>
      <c r="AI24" s="21">
        <v>-1.38245E-2</v>
      </c>
      <c r="AJ24" s="21">
        <v>14</v>
      </c>
      <c r="AK24" s="21">
        <v>-2.9833999999999999E-2</v>
      </c>
      <c r="AL24">
        <f t="shared" si="6"/>
        <v>17.067283950617281</v>
      </c>
      <c r="AM24">
        <f t="shared" si="7"/>
        <v>-0.50262297870370365</v>
      </c>
      <c r="AP24" s="9"/>
      <c r="AQ24" s="21">
        <v>1.6694599999999999</v>
      </c>
      <c r="AR24" s="21">
        <v>23.921800000000001</v>
      </c>
      <c r="AS24" s="21">
        <v>-7.4432400000000003E-3</v>
      </c>
      <c r="AT24" s="21">
        <v>14</v>
      </c>
      <c r="AU24" s="21">
        <v>1.6680900000000001</v>
      </c>
      <c r="AV24">
        <f t="shared" si="8"/>
        <v>9.1891851851851865</v>
      </c>
      <c r="AW24">
        <f t="shared" si="9"/>
        <v>15.340977099259261</v>
      </c>
      <c r="AX24" s="9"/>
      <c r="AY24" s="21">
        <v>-2.94495E-2</v>
      </c>
      <c r="AZ24" s="21">
        <v>27.620100000000001</v>
      </c>
      <c r="BA24" s="21">
        <v>-1.3738999999999999E-2</v>
      </c>
      <c r="BB24" s="21">
        <v>14</v>
      </c>
      <c r="BC24" s="21">
        <v>-2.9663100000000001E-2</v>
      </c>
      <c r="BD24">
        <f t="shared" si="10"/>
        <v>16.961728395061726</v>
      </c>
      <c r="BE24">
        <f t="shared" si="11"/>
        <v>-0.4995144203703703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1.6644300000000001</v>
      </c>
      <c r="H25" s="21">
        <v>5.7403899999999997</v>
      </c>
      <c r="I25" s="21">
        <v>-8.1756599999999995E-3</v>
      </c>
      <c r="J25" s="21">
        <v>15</v>
      </c>
      <c r="K25" s="21">
        <v>1.66351</v>
      </c>
      <c r="L25">
        <f t="shared" si="0"/>
        <v>10.093407407407406</v>
      </c>
      <c r="M25">
        <f t="shared" si="1"/>
        <v>16.79977009111111</v>
      </c>
      <c r="N25" s="9"/>
      <c r="O25" s="21">
        <v>-2.4414100000000001E-2</v>
      </c>
      <c r="P25" s="21">
        <v>9.4387299999999996</v>
      </c>
      <c r="Q25" s="21">
        <v>-1.3897700000000001E-2</v>
      </c>
      <c r="R25" s="21">
        <v>15</v>
      </c>
      <c r="S25" s="21">
        <v>-2.46246E-2</v>
      </c>
      <c r="T25">
        <f t="shared" si="2"/>
        <v>17.157654320987653</v>
      </c>
      <c r="U25">
        <f t="shared" si="3"/>
        <v>-0.41888868835802467</v>
      </c>
      <c r="V25" s="22"/>
      <c r="W25" s="23"/>
      <c r="X25" s="9"/>
      <c r="Y25" s="21">
        <v>1.6644300000000001</v>
      </c>
      <c r="Z25" s="21">
        <v>14.7996</v>
      </c>
      <c r="AA25" s="21">
        <v>-7.8277599999999996E-3</v>
      </c>
      <c r="AB25" s="21">
        <v>15</v>
      </c>
      <c r="AC25" s="21">
        <v>1.6638200000000001</v>
      </c>
      <c r="AD25">
        <f t="shared" si="4"/>
        <v>9.6639012345679003</v>
      </c>
      <c r="AE25">
        <f t="shared" si="5"/>
        <v>16.08488713185185</v>
      </c>
      <c r="AF25" s="9"/>
      <c r="AG25" s="21">
        <v>-2.4414100000000001E-2</v>
      </c>
      <c r="AH25" s="21">
        <v>18.498000000000001</v>
      </c>
      <c r="AI25" s="21">
        <v>-1.3806199999999999E-2</v>
      </c>
      <c r="AJ25" s="21">
        <v>15</v>
      </c>
      <c r="AK25" s="21">
        <v>-2.4728400000000001E-2</v>
      </c>
      <c r="AL25">
        <f t="shared" si="6"/>
        <v>17.044691358024689</v>
      </c>
      <c r="AM25">
        <f t="shared" si="7"/>
        <v>-0.41613079928395058</v>
      </c>
      <c r="AP25" s="9"/>
      <c r="AQ25" s="21">
        <v>1.6644300000000001</v>
      </c>
      <c r="AR25" s="21">
        <v>23.931799999999999</v>
      </c>
      <c r="AS25" s="21">
        <v>-7.8094499999999999E-3</v>
      </c>
      <c r="AT25" s="21">
        <v>15</v>
      </c>
      <c r="AU25" s="21">
        <v>1.6638200000000001</v>
      </c>
      <c r="AV25">
        <f t="shared" si="8"/>
        <v>9.6412962962962947</v>
      </c>
      <c r="AW25">
        <f t="shared" si="9"/>
        <v>16.047262794444443</v>
      </c>
      <c r="AX25" s="9"/>
      <c r="AY25" s="21">
        <v>-2.4414100000000001E-2</v>
      </c>
      <c r="AZ25" s="21">
        <v>27.630199999999999</v>
      </c>
      <c r="BA25" s="21">
        <v>-1.3754300000000001E-2</v>
      </c>
      <c r="BB25" s="21">
        <v>15</v>
      </c>
      <c r="BC25" s="21">
        <v>-2.4731400000000001E-2</v>
      </c>
      <c r="BD25">
        <f t="shared" si="10"/>
        <v>16.980617283950615</v>
      </c>
      <c r="BE25">
        <f t="shared" si="11"/>
        <v>-0.4145664884320987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1.6593899999999999</v>
      </c>
      <c r="H26" s="21">
        <v>5.75047</v>
      </c>
      <c r="I26" s="21">
        <v>-8.4869400000000001E-3</v>
      </c>
      <c r="J26" s="21">
        <v>16</v>
      </c>
      <c r="K26" s="21">
        <v>1.65924</v>
      </c>
      <c r="L26">
        <f t="shared" si="0"/>
        <v>10.477703703703703</v>
      </c>
      <c r="M26">
        <f t="shared" si="1"/>
        <v>17.386596748888888</v>
      </c>
      <c r="N26" s="9"/>
      <c r="O26" s="21">
        <v>-1.9378699999999999E-2</v>
      </c>
      <c r="P26" s="21">
        <v>9.4488000000000003</v>
      </c>
      <c r="Q26" s="21">
        <v>-1.38824E-2</v>
      </c>
      <c r="R26" s="21">
        <v>16</v>
      </c>
      <c r="S26" s="21">
        <v>-1.96472E-2</v>
      </c>
      <c r="T26">
        <f t="shared" si="2"/>
        <v>17.138765432098765</v>
      </c>
      <c r="U26">
        <f t="shared" si="3"/>
        <v>-0.33212699367901233</v>
      </c>
      <c r="V26" s="22"/>
      <c r="W26" s="23"/>
      <c r="X26" s="9"/>
      <c r="Y26" s="21">
        <v>1.6593899999999999</v>
      </c>
      <c r="Z26" s="21">
        <v>14.809699999999999</v>
      </c>
      <c r="AA26" s="21">
        <v>-8.1481899999999996E-3</v>
      </c>
      <c r="AB26" s="21">
        <v>16</v>
      </c>
      <c r="AC26" s="21">
        <v>1.6583300000000001</v>
      </c>
      <c r="AD26">
        <f t="shared" si="4"/>
        <v>10.059493827160493</v>
      </c>
      <c r="AE26">
        <f t="shared" si="5"/>
        <v>16.692623461851849</v>
      </c>
      <c r="AF26" s="9"/>
      <c r="AG26" s="21">
        <v>-1.9378699999999999E-2</v>
      </c>
      <c r="AH26" s="21">
        <v>18.508099999999999</v>
      </c>
      <c r="AI26" s="21">
        <v>-1.3797E-2</v>
      </c>
      <c r="AJ26" s="21">
        <v>16</v>
      </c>
      <c r="AK26" s="21">
        <v>-1.9754000000000001E-2</v>
      </c>
      <c r="AL26">
        <f t="shared" si="6"/>
        <v>17.033333333333331</v>
      </c>
      <c r="AM26">
        <f t="shared" si="7"/>
        <v>-0.33008385666666662</v>
      </c>
      <c r="AP26" s="9"/>
      <c r="AQ26" s="21">
        <v>1.6593899999999999</v>
      </c>
      <c r="AR26" s="21">
        <v>23.9419</v>
      </c>
      <c r="AS26" s="21">
        <v>-8.1298800000000008E-3</v>
      </c>
      <c r="AT26" s="21">
        <v>16</v>
      </c>
      <c r="AU26" s="21">
        <v>1.6583300000000001</v>
      </c>
      <c r="AV26">
        <f t="shared" si="8"/>
        <v>10.036888888888889</v>
      </c>
      <c r="AW26">
        <f t="shared" si="9"/>
        <v>16.655113053333334</v>
      </c>
      <c r="AX26" s="9"/>
      <c r="AY26" s="21">
        <v>-1.9378699999999999E-2</v>
      </c>
      <c r="AZ26" s="21">
        <v>27.6402</v>
      </c>
      <c r="BA26" s="21">
        <v>-1.3760400000000001E-2</v>
      </c>
      <c r="BB26" s="21">
        <v>16</v>
      </c>
      <c r="BC26" s="21">
        <v>-1.9677699999999999E-2</v>
      </c>
      <c r="BD26">
        <f t="shared" si="10"/>
        <v>16.988148148148149</v>
      </c>
      <c r="BE26">
        <f t="shared" si="11"/>
        <v>-0.3292082265185185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1.6543600000000001</v>
      </c>
      <c r="H27" s="21">
        <v>5.7605399999999998</v>
      </c>
      <c r="I27" s="21">
        <v>-8.7554899999999995E-3</v>
      </c>
      <c r="J27" s="21">
        <v>17</v>
      </c>
      <c r="K27" s="21">
        <v>1.6537500000000001</v>
      </c>
      <c r="L27">
        <f t="shared" si="0"/>
        <v>10.809246913580246</v>
      </c>
      <c r="M27">
        <f t="shared" si="1"/>
        <v>17.882385723950616</v>
      </c>
      <c r="N27" s="9"/>
      <c r="O27" s="21">
        <v>-1.43433E-2</v>
      </c>
      <c r="P27" s="21">
        <v>9.4588800000000006</v>
      </c>
      <c r="Q27" s="21">
        <v>-1.3870199999999999E-2</v>
      </c>
      <c r="R27" s="21">
        <v>17</v>
      </c>
      <c r="S27" s="21">
        <v>-1.45142E-2</v>
      </c>
      <c r="T27">
        <f t="shared" si="2"/>
        <v>17.123703703703701</v>
      </c>
      <c r="U27">
        <f t="shared" si="3"/>
        <v>-0.24561041933333327</v>
      </c>
      <c r="X27" s="9"/>
      <c r="Y27" s="21">
        <v>1.6543600000000001</v>
      </c>
      <c r="Z27" s="21">
        <v>14.819699999999999</v>
      </c>
      <c r="AA27" s="21">
        <v>-8.4350599999999994E-3</v>
      </c>
      <c r="AB27" s="21">
        <v>17</v>
      </c>
      <c r="AC27" s="21">
        <v>1.65344</v>
      </c>
      <c r="AD27">
        <f t="shared" si="4"/>
        <v>10.413654320987654</v>
      </c>
      <c r="AE27">
        <f t="shared" si="5"/>
        <v>17.227933162469135</v>
      </c>
      <c r="AF27" s="9"/>
      <c r="AG27" s="21">
        <v>-1.43433E-2</v>
      </c>
      <c r="AH27" s="21">
        <v>18.5181</v>
      </c>
      <c r="AI27" s="21">
        <v>-1.37939E-2</v>
      </c>
      <c r="AJ27" s="21">
        <v>17</v>
      </c>
      <c r="AK27" s="21">
        <v>-1.46179E-2</v>
      </c>
      <c r="AL27">
        <f t="shared" si="6"/>
        <v>17.029506172839504</v>
      </c>
      <c r="AM27">
        <f t="shared" si="7"/>
        <v>-0.24425931588888886</v>
      </c>
      <c r="AP27" s="9"/>
      <c r="AQ27" s="21">
        <v>1.6543600000000001</v>
      </c>
      <c r="AR27" s="21">
        <v>23.952000000000002</v>
      </c>
      <c r="AS27" s="21">
        <v>-8.4197999999999999E-3</v>
      </c>
      <c r="AT27" s="21">
        <v>17</v>
      </c>
      <c r="AU27" s="21">
        <v>1.65405</v>
      </c>
      <c r="AV27">
        <f t="shared" si="8"/>
        <v>10.394814814814813</v>
      </c>
      <c r="AW27">
        <f t="shared" si="9"/>
        <v>17.196765837037034</v>
      </c>
      <c r="AX27" s="9"/>
      <c r="AY27" s="21">
        <v>-1.43433E-2</v>
      </c>
      <c r="AZ27" s="21">
        <v>27.650300000000001</v>
      </c>
      <c r="BA27" s="21">
        <v>-1.3760400000000001E-2</v>
      </c>
      <c r="BB27" s="21">
        <v>17</v>
      </c>
      <c r="BC27" s="21">
        <v>-1.46179E-2</v>
      </c>
      <c r="BD27">
        <f t="shared" si="10"/>
        <v>16.988148148148149</v>
      </c>
      <c r="BE27">
        <f t="shared" si="11"/>
        <v>-0.24366610533333333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1.6493199999999999</v>
      </c>
      <c r="H28" s="21">
        <v>5.7706099999999996</v>
      </c>
      <c r="I28" s="21">
        <v>-9.0087899999999992E-3</v>
      </c>
      <c r="J28" s="21">
        <v>18</v>
      </c>
      <c r="K28" s="21">
        <v>1.64825</v>
      </c>
      <c r="L28">
        <f t="shared" si="0"/>
        <v>11.121962962962963</v>
      </c>
      <c r="M28">
        <f t="shared" si="1"/>
        <v>18.343675954074072</v>
      </c>
      <c r="N28" s="9"/>
      <c r="O28" s="21">
        <v>-9.3078599999999994E-3</v>
      </c>
      <c r="P28" s="21">
        <v>9.4689499999999995</v>
      </c>
      <c r="Q28" s="21">
        <v>-1.38672E-2</v>
      </c>
      <c r="R28" s="21">
        <v>18</v>
      </c>
      <c r="S28" s="21">
        <v>-9.7686800000000001E-3</v>
      </c>
      <c r="T28">
        <f t="shared" si="2"/>
        <v>17.12</v>
      </c>
      <c r="U28">
        <f t="shared" si="3"/>
        <v>-0.15935056319999999</v>
      </c>
      <c r="X28" s="9"/>
      <c r="Y28" s="21">
        <v>1.6493199999999999</v>
      </c>
      <c r="Z28" s="21">
        <v>14.829800000000001</v>
      </c>
      <c r="AA28" s="21">
        <v>-8.6975100000000003E-3</v>
      </c>
      <c r="AB28" s="21">
        <v>18</v>
      </c>
      <c r="AC28" s="21">
        <v>1.64886</v>
      </c>
      <c r="AD28">
        <f t="shared" si="4"/>
        <v>10.737666666666666</v>
      </c>
      <c r="AE28">
        <f t="shared" si="5"/>
        <v>17.709848386666664</v>
      </c>
      <c r="AF28" s="9"/>
      <c r="AG28" s="21">
        <v>-9.3078599999999994E-3</v>
      </c>
      <c r="AH28" s="21">
        <v>18.528199999999998</v>
      </c>
      <c r="AI28" s="21">
        <v>-1.37939E-2</v>
      </c>
      <c r="AJ28" s="21">
        <v>18</v>
      </c>
      <c r="AK28" s="21">
        <v>-9.4970699999999998E-3</v>
      </c>
      <c r="AL28">
        <f t="shared" si="6"/>
        <v>17.029506172839504</v>
      </c>
      <c r="AM28">
        <f t="shared" si="7"/>
        <v>-0.15850825932592591</v>
      </c>
      <c r="AP28" s="9"/>
      <c r="AQ28" s="21">
        <v>1.6493199999999999</v>
      </c>
      <c r="AR28" s="21">
        <v>23.962</v>
      </c>
      <c r="AS28" s="21">
        <v>-8.6853E-3</v>
      </c>
      <c r="AT28" s="21">
        <v>18</v>
      </c>
      <c r="AU28" s="21">
        <v>1.64886</v>
      </c>
      <c r="AV28">
        <f t="shared" si="8"/>
        <v>10.722592592592592</v>
      </c>
      <c r="AW28">
        <f t="shared" si="9"/>
        <v>17.684986414814812</v>
      </c>
      <c r="AX28" s="9"/>
      <c r="AY28" s="21">
        <v>-9.3078599999999994E-3</v>
      </c>
      <c r="AZ28" s="21">
        <v>27.660399999999999</v>
      </c>
      <c r="BA28" s="21">
        <v>-1.37512E-2</v>
      </c>
      <c r="BB28" s="21">
        <v>18</v>
      </c>
      <c r="BC28" s="21">
        <v>-9.5733599999999995E-3</v>
      </c>
      <c r="BD28">
        <f t="shared" si="10"/>
        <v>16.976790123456787</v>
      </c>
      <c r="BE28">
        <f t="shared" si="11"/>
        <v>-0.15801758571851848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1.64429</v>
      </c>
      <c r="H29" s="21">
        <v>5.7806800000000003</v>
      </c>
      <c r="I29" s="21">
        <v>-9.2285200000000005E-3</v>
      </c>
      <c r="J29" s="21">
        <v>19</v>
      </c>
      <c r="K29" s="21">
        <v>1.64368</v>
      </c>
      <c r="L29">
        <f t="shared" si="0"/>
        <v>11.393234567901235</v>
      </c>
      <c r="M29">
        <f t="shared" si="1"/>
        <v>18.733781667654323</v>
      </c>
      <c r="N29" s="9"/>
      <c r="O29" s="21">
        <v>-4.2724599999999996E-3</v>
      </c>
      <c r="P29" s="21">
        <v>9.4790200000000002</v>
      </c>
      <c r="Q29" s="21">
        <v>-1.3858000000000001E-2</v>
      </c>
      <c r="R29" s="21">
        <v>19</v>
      </c>
      <c r="S29" s="21">
        <v>-4.4280999999999999E-3</v>
      </c>
      <c r="T29">
        <f t="shared" si="2"/>
        <v>17.10864197530864</v>
      </c>
      <c r="U29">
        <f t="shared" si="3"/>
        <v>-7.3095988493827146E-2</v>
      </c>
      <c r="X29" s="9"/>
      <c r="Y29" s="21">
        <v>1.64429</v>
      </c>
      <c r="Z29" s="21">
        <v>14.8399</v>
      </c>
      <c r="AA29" s="21">
        <v>-8.9385999999999997E-3</v>
      </c>
      <c r="AB29" s="21">
        <v>19</v>
      </c>
      <c r="AC29" s="21">
        <v>1.64368</v>
      </c>
      <c r="AD29">
        <f t="shared" si="4"/>
        <v>11.035308641975307</v>
      </c>
      <c r="AE29">
        <f t="shared" si="5"/>
        <v>18.145247646913578</v>
      </c>
      <c r="AF29" s="9"/>
      <c r="AG29" s="21">
        <v>-4.2724599999999996E-3</v>
      </c>
      <c r="AH29" s="21">
        <v>18.5383</v>
      </c>
      <c r="AI29" s="21">
        <v>-1.3809200000000001E-2</v>
      </c>
      <c r="AJ29" s="21">
        <v>19</v>
      </c>
      <c r="AK29" s="21">
        <v>-4.5288100000000003E-3</v>
      </c>
      <c r="AL29">
        <f t="shared" si="6"/>
        <v>17.048395061728392</v>
      </c>
      <c r="AM29">
        <f t="shared" si="7"/>
        <v>-7.2838585965432079E-2</v>
      </c>
      <c r="AP29" s="9"/>
      <c r="AQ29" s="21">
        <v>1.64429</v>
      </c>
      <c r="AR29" s="21">
        <v>23.972100000000001</v>
      </c>
      <c r="AS29" s="21">
        <v>-8.9355500000000004E-3</v>
      </c>
      <c r="AT29" s="21">
        <v>19</v>
      </c>
      <c r="AU29" s="21">
        <v>1.64398</v>
      </c>
      <c r="AV29">
        <f t="shared" si="8"/>
        <v>11.031543209876542</v>
      </c>
      <c r="AW29">
        <f t="shared" si="9"/>
        <v>18.139056184567899</v>
      </c>
      <c r="AX29" s="9"/>
      <c r="AY29" s="21">
        <v>-4.2724599999999996E-3</v>
      </c>
      <c r="AZ29" s="21">
        <v>27.670500000000001</v>
      </c>
      <c r="BA29" s="21">
        <v>-1.3738999999999999E-2</v>
      </c>
      <c r="BB29" s="21">
        <v>19</v>
      </c>
      <c r="BC29" s="21">
        <v>-4.5013400000000004E-3</v>
      </c>
      <c r="BD29">
        <f t="shared" si="10"/>
        <v>16.961728395061726</v>
      </c>
      <c r="BE29">
        <f t="shared" si="11"/>
        <v>-7.2468306098765423E-2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1.6392500000000001</v>
      </c>
      <c r="H30" s="21">
        <v>5.7907500000000001</v>
      </c>
      <c r="I30" s="21">
        <v>-9.4329800000000005E-3</v>
      </c>
      <c r="J30" s="21">
        <v>20</v>
      </c>
      <c r="K30" s="21">
        <v>1.63879</v>
      </c>
      <c r="L30">
        <f t="shared" si="0"/>
        <v>11.645654320987655</v>
      </c>
      <c r="M30">
        <f t="shared" si="1"/>
        <v>19.090138845679014</v>
      </c>
      <c r="N30" s="9"/>
      <c r="O30" s="21">
        <v>7.6293900000000002E-4</v>
      </c>
      <c r="P30" s="21">
        <v>9.4890899999999991</v>
      </c>
      <c r="Q30" s="21">
        <v>-1.38519E-2</v>
      </c>
      <c r="R30" s="21">
        <v>20</v>
      </c>
      <c r="S30" s="21">
        <v>5.6152299999999997E-4</v>
      </c>
      <c r="T30">
        <f t="shared" si="2"/>
        <v>17.101111111111113</v>
      </c>
      <c r="U30">
        <f t="shared" si="3"/>
        <v>1.3047104610000002E-2</v>
      </c>
      <c r="X30" s="9"/>
      <c r="Y30" s="21">
        <v>1.6392500000000001</v>
      </c>
      <c r="Z30" s="21">
        <v>14.85</v>
      </c>
      <c r="AA30" s="21">
        <v>-9.1491699999999999E-3</v>
      </c>
      <c r="AB30" s="21">
        <v>20</v>
      </c>
      <c r="AC30" s="21">
        <v>1.63879</v>
      </c>
      <c r="AD30">
        <f t="shared" si="4"/>
        <v>11.29527160493827</v>
      </c>
      <c r="AE30">
        <f t="shared" si="5"/>
        <v>18.51577397839506</v>
      </c>
      <c r="AF30" s="9"/>
      <c r="AG30" s="21">
        <v>7.6293900000000002E-4</v>
      </c>
      <c r="AH30" s="21">
        <v>18.548300000000001</v>
      </c>
      <c r="AI30" s="21">
        <v>-1.3806199999999999E-2</v>
      </c>
      <c r="AJ30" s="21">
        <v>20</v>
      </c>
      <c r="AK30" s="21">
        <v>6.0424800000000005E-4</v>
      </c>
      <c r="AL30">
        <f t="shared" si="6"/>
        <v>17.044691358024689</v>
      </c>
      <c r="AM30">
        <f t="shared" si="7"/>
        <v>1.3004059779999999E-2</v>
      </c>
      <c r="AP30" s="9"/>
      <c r="AQ30" s="21">
        <v>1.6392500000000001</v>
      </c>
      <c r="AR30" s="21">
        <v>23.982199999999999</v>
      </c>
      <c r="AS30" s="21">
        <v>-9.1552700000000001E-3</v>
      </c>
      <c r="AT30" s="21">
        <v>20</v>
      </c>
      <c r="AU30" s="21">
        <v>1.63849</v>
      </c>
      <c r="AV30">
        <f t="shared" si="8"/>
        <v>11.302802469135802</v>
      </c>
      <c r="AW30">
        <f t="shared" si="9"/>
        <v>18.528118947530864</v>
      </c>
      <c r="AX30" s="9"/>
      <c r="AY30" s="21">
        <v>7.6293900000000002E-4</v>
      </c>
      <c r="AZ30" s="21">
        <v>27.680499999999999</v>
      </c>
      <c r="BA30" s="21">
        <v>-1.3726800000000001E-2</v>
      </c>
      <c r="BB30" s="21">
        <v>20</v>
      </c>
      <c r="BC30" s="21">
        <v>5.6457499999999999E-4</v>
      </c>
      <c r="BD30">
        <f t="shared" si="10"/>
        <v>16.946666666666665</v>
      </c>
      <c r="BE30">
        <f t="shared" si="11"/>
        <v>1.292927292E-2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1.63422</v>
      </c>
      <c r="H31" s="21">
        <v>5.8008199999999999</v>
      </c>
      <c r="I31" s="21">
        <v>-9.6160900000000007E-3</v>
      </c>
      <c r="J31" s="21">
        <v>21</v>
      </c>
      <c r="K31" s="21">
        <v>1.6333</v>
      </c>
      <c r="L31">
        <f t="shared" si="0"/>
        <v>11.871716049382716</v>
      </c>
      <c r="M31">
        <f t="shared" si="1"/>
        <v>19.400995802222223</v>
      </c>
      <c r="N31" s="9"/>
      <c r="O31" s="21">
        <v>5.7983399999999999E-3</v>
      </c>
      <c r="P31" s="21">
        <v>9.4991599999999998</v>
      </c>
      <c r="Q31" s="21">
        <v>-1.3861099999999999E-2</v>
      </c>
      <c r="R31" s="21">
        <v>21</v>
      </c>
      <c r="S31" s="21">
        <v>5.7159400000000001E-3</v>
      </c>
      <c r="T31">
        <f t="shared" si="2"/>
        <v>17.112469135802467</v>
      </c>
      <c r="U31">
        <f t="shared" si="3"/>
        <v>9.9223914288888881E-2</v>
      </c>
      <c r="X31" s="9"/>
      <c r="Y31" s="21">
        <v>1.63422</v>
      </c>
      <c r="Z31" s="21">
        <v>14.86</v>
      </c>
      <c r="AA31" s="21">
        <v>-9.3475299999999997E-3</v>
      </c>
      <c r="AB31" s="21">
        <v>21</v>
      </c>
      <c r="AC31" s="21">
        <v>1.63361</v>
      </c>
      <c r="AD31">
        <f t="shared" si="4"/>
        <v>11.540160493827159</v>
      </c>
      <c r="AE31">
        <f t="shared" si="5"/>
        <v>18.859161082222219</v>
      </c>
      <c r="AF31" s="9"/>
      <c r="AG31" s="21">
        <v>5.7983399999999999E-3</v>
      </c>
      <c r="AH31" s="21">
        <v>18.558399999999999</v>
      </c>
      <c r="AI31" s="21">
        <v>-1.38123E-2</v>
      </c>
      <c r="AJ31" s="21">
        <v>21</v>
      </c>
      <c r="AK31" s="21">
        <v>5.6091300000000004E-3</v>
      </c>
      <c r="AL31">
        <f t="shared" si="6"/>
        <v>17.052222222222223</v>
      </c>
      <c r="AM31">
        <f t="shared" si="7"/>
        <v>9.8874582200000005E-2</v>
      </c>
      <c r="AP31" s="9"/>
      <c r="AQ31" s="21">
        <v>1.63422</v>
      </c>
      <c r="AR31" s="21">
        <v>23.9923</v>
      </c>
      <c r="AS31" s="21">
        <v>-9.3566900000000008E-3</v>
      </c>
      <c r="AT31" s="21">
        <v>21</v>
      </c>
      <c r="AU31" s="21">
        <v>1.63361</v>
      </c>
      <c r="AV31">
        <f t="shared" si="8"/>
        <v>11.551469135802471</v>
      </c>
      <c r="AW31">
        <f t="shared" si="9"/>
        <v>18.877641891111114</v>
      </c>
      <c r="AX31" s="9"/>
      <c r="AY31" s="21">
        <v>5.7983399999999999E-3</v>
      </c>
      <c r="AZ31" s="21">
        <v>27.6906</v>
      </c>
      <c r="BA31" s="21">
        <v>-1.3726800000000001E-2</v>
      </c>
      <c r="BB31" s="21">
        <v>21</v>
      </c>
      <c r="BC31" s="21">
        <v>5.5999800000000001E-3</v>
      </c>
      <c r="BD31">
        <f t="shared" si="10"/>
        <v>16.946666666666665</v>
      </c>
      <c r="BE31">
        <f t="shared" si="11"/>
        <v>9.8262535199999987E-2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1.6291800000000001</v>
      </c>
      <c r="H32" s="21">
        <v>5.8108899999999997</v>
      </c>
      <c r="I32" s="21">
        <v>-9.7991899999999993E-3</v>
      </c>
      <c r="J32" s="21">
        <v>22</v>
      </c>
      <c r="K32" s="21">
        <v>1.62842</v>
      </c>
      <c r="L32">
        <f t="shared" si="0"/>
        <v>12.097765432098763</v>
      </c>
      <c r="M32">
        <f t="shared" si="1"/>
        <v>19.709437486666662</v>
      </c>
      <c r="N32" s="9"/>
      <c r="O32" s="21">
        <v>1.08337E-2</v>
      </c>
      <c r="P32" s="21">
        <v>9.5092300000000005</v>
      </c>
      <c r="Q32" s="21">
        <v>-1.3870199999999999E-2</v>
      </c>
      <c r="R32" s="21">
        <v>22</v>
      </c>
      <c r="S32" s="21">
        <v>1.0626200000000001E-2</v>
      </c>
      <c r="T32">
        <f t="shared" si="2"/>
        <v>17.123703703703701</v>
      </c>
      <c r="U32">
        <f t="shared" si="3"/>
        <v>0.18551306881481477</v>
      </c>
      <c r="X32" s="9"/>
      <c r="Y32" s="21">
        <v>1.6291800000000001</v>
      </c>
      <c r="Z32" s="21">
        <v>14.870100000000001</v>
      </c>
      <c r="AA32" s="21">
        <v>-9.5336899999999992E-3</v>
      </c>
      <c r="AB32" s="21">
        <v>22</v>
      </c>
      <c r="AC32" s="21">
        <v>1.62842</v>
      </c>
      <c r="AD32">
        <f t="shared" si="4"/>
        <v>11.769987654320985</v>
      </c>
      <c r="AE32">
        <f t="shared" si="5"/>
        <v>19.175428486666664</v>
      </c>
      <c r="AF32" s="9"/>
      <c r="AG32" s="21">
        <v>1.08337E-2</v>
      </c>
      <c r="AH32" s="21">
        <v>18.5685</v>
      </c>
      <c r="AI32" s="21">
        <v>-1.38031E-2</v>
      </c>
      <c r="AJ32" s="21">
        <v>22</v>
      </c>
      <c r="AK32" s="21">
        <v>1.0671999999999999E-2</v>
      </c>
      <c r="AL32">
        <f t="shared" si="6"/>
        <v>17.040864197530862</v>
      </c>
      <c r="AM32">
        <f t="shared" si="7"/>
        <v>0.18461561045679009</v>
      </c>
      <c r="AP32" s="9"/>
      <c r="AQ32" s="21">
        <v>1.6291800000000001</v>
      </c>
      <c r="AR32" s="21">
        <v>24.002300000000002</v>
      </c>
      <c r="AS32" s="21">
        <v>-9.5489500000000005E-3</v>
      </c>
      <c r="AT32" s="21">
        <v>22</v>
      </c>
      <c r="AU32" s="21">
        <v>1.6281099999999999</v>
      </c>
      <c r="AV32">
        <f t="shared" si="8"/>
        <v>11.788827160493826</v>
      </c>
      <c r="AW32">
        <f t="shared" si="9"/>
        <v>19.206121433333333</v>
      </c>
      <c r="AX32" s="9"/>
      <c r="AY32" s="21">
        <v>1.08337E-2</v>
      </c>
      <c r="AZ32" s="21">
        <v>27.700700000000001</v>
      </c>
      <c r="BA32" s="21">
        <v>-1.37299E-2</v>
      </c>
      <c r="BB32" s="21">
        <v>22</v>
      </c>
      <c r="BC32" s="21">
        <v>1.0794099999999999E-2</v>
      </c>
      <c r="BD32">
        <f t="shared" si="10"/>
        <v>16.950493827160493</v>
      </c>
      <c r="BE32">
        <f t="shared" si="11"/>
        <v>0.18363656497530864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1.62415</v>
      </c>
      <c r="H33" s="21">
        <v>5.8209600000000004</v>
      </c>
      <c r="I33" s="21">
        <v>-9.9639900000000007E-3</v>
      </c>
      <c r="J33" s="21">
        <v>23</v>
      </c>
      <c r="K33" s="21">
        <v>1.62323</v>
      </c>
      <c r="L33">
        <f t="shared" si="0"/>
        <v>12.301222222222222</v>
      </c>
      <c r="M33">
        <f t="shared" si="1"/>
        <v>19.979030072222223</v>
      </c>
      <c r="N33" s="9"/>
      <c r="O33" s="21">
        <v>1.5869100000000001E-2</v>
      </c>
      <c r="P33" s="21">
        <v>9.5192999999999994</v>
      </c>
      <c r="Q33" s="21">
        <v>-1.3870199999999999E-2</v>
      </c>
      <c r="R33" s="21">
        <v>23</v>
      </c>
      <c r="S33" s="21">
        <v>1.54999E-2</v>
      </c>
      <c r="T33">
        <f t="shared" si="2"/>
        <v>17.123703703703701</v>
      </c>
      <c r="U33">
        <f t="shared" si="3"/>
        <v>0.27173776644444442</v>
      </c>
      <c r="X33" s="9"/>
      <c r="Y33" s="21">
        <v>1.62415</v>
      </c>
      <c r="Z33" s="21">
        <v>14.8802</v>
      </c>
      <c r="AA33" s="21">
        <v>-9.7106899999999993E-3</v>
      </c>
      <c r="AB33" s="21">
        <v>23</v>
      </c>
      <c r="AC33" s="21">
        <v>1.62323</v>
      </c>
      <c r="AD33">
        <f t="shared" si="4"/>
        <v>11.988506172839504</v>
      </c>
      <c r="AE33">
        <f t="shared" si="5"/>
        <v>19.471132300617281</v>
      </c>
      <c r="AF33" s="9"/>
      <c r="AG33" s="21">
        <v>1.5869100000000001E-2</v>
      </c>
      <c r="AH33" s="21">
        <v>18.578499999999998</v>
      </c>
      <c r="AI33" s="21">
        <v>-1.3797E-2</v>
      </c>
      <c r="AJ33" s="21">
        <v>23</v>
      </c>
      <c r="AK33" s="21">
        <v>1.55792E-2</v>
      </c>
      <c r="AL33">
        <f t="shared" si="6"/>
        <v>17.033333333333331</v>
      </c>
      <c r="AM33">
        <f t="shared" si="7"/>
        <v>0.27030367</v>
      </c>
      <c r="AP33" s="9"/>
      <c r="AQ33" s="21">
        <v>1.62415</v>
      </c>
      <c r="AR33" s="21">
        <v>24.0124</v>
      </c>
      <c r="AS33" s="21">
        <v>-9.7228999999999996E-3</v>
      </c>
      <c r="AT33" s="21">
        <v>23</v>
      </c>
      <c r="AU33" s="21">
        <v>1.62384</v>
      </c>
      <c r="AV33">
        <f t="shared" si="8"/>
        <v>12.003580246913579</v>
      </c>
      <c r="AW33">
        <f t="shared" si="9"/>
        <v>19.495614858024688</v>
      </c>
      <c r="AX33" s="9"/>
      <c r="AY33" s="21">
        <v>1.5869100000000001E-2</v>
      </c>
      <c r="AZ33" s="21">
        <v>27.710699999999999</v>
      </c>
      <c r="BA33" s="21">
        <v>-1.3726800000000001E-2</v>
      </c>
      <c r="BB33" s="21">
        <v>23</v>
      </c>
      <c r="BC33" s="21">
        <v>1.56677E-2</v>
      </c>
      <c r="BD33">
        <f t="shared" si="10"/>
        <v>16.946666666666665</v>
      </c>
      <c r="BE33">
        <f t="shared" si="11"/>
        <v>0.26892834799999998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1.61911</v>
      </c>
      <c r="H34" s="21">
        <v>5.8310300000000002</v>
      </c>
      <c r="I34" s="21">
        <v>-1.01166E-2</v>
      </c>
      <c r="J34" s="21">
        <v>24</v>
      </c>
      <c r="K34" s="21">
        <v>1.61835</v>
      </c>
      <c r="L34">
        <f t="shared" si="0"/>
        <v>12.489629629629629</v>
      </c>
      <c r="M34">
        <f t="shared" si="1"/>
        <v>20.22208422962963</v>
      </c>
      <c r="N34" s="9"/>
      <c r="O34" s="21">
        <v>2.0904499999999999E-2</v>
      </c>
      <c r="P34" s="21">
        <v>9.5293700000000001</v>
      </c>
      <c r="Q34" s="21">
        <v>-1.3854999999999999E-2</v>
      </c>
      <c r="R34" s="21">
        <v>24</v>
      </c>
      <c r="S34" s="21">
        <v>2.0754999999999999E-2</v>
      </c>
      <c r="T34">
        <f t="shared" si="2"/>
        <v>17.104938271604937</v>
      </c>
      <c r="U34">
        <f t="shared" si="3"/>
        <v>0.3575701820987654</v>
      </c>
      <c r="X34" s="9"/>
      <c r="Y34" s="21">
        <v>1.61911</v>
      </c>
      <c r="Z34" s="21">
        <v>14.8902</v>
      </c>
      <c r="AA34" s="21">
        <v>-9.8693800000000005E-3</v>
      </c>
      <c r="AB34" s="21">
        <v>24</v>
      </c>
      <c r="AC34" s="21">
        <v>1.6180399999999999</v>
      </c>
      <c r="AD34">
        <f t="shared" si="4"/>
        <v>12.18441975308642</v>
      </c>
      <c r="AE34">
        <f t="shared" si="5"/>
        <v>19.727915866419753</v>
      </c>
      <c r="AF34" s="9"/>
      <c r="AG34" s="21">
        <v>2.0904499999999999E-2</v>
      </c>
      <c r="AH34" s="21">
        <v>18.5886</v>
      </c>
      <c r="AI34" s="21">
        <v>-1.37939E-2</v>
      </c>
      <c r="AJ34" s="21">
        <v>24</v>
      </c>
      <c r="AK34" s="21">
        <v>2.0721400000000001E-2</v>
      </c>
      <c r="AL34">
        <f t="shared" si="6"/>
        <v>17.029506172839504</v>
      </c>
      <c r="AM34">
        <f t="shared" si="7"/>
        <v>0.35599331179012339</v>
      </c>
      <c r="AP34" s="9"/>
      <c r="AQ34" s="21">
        <v>1.61911</v>
      </c>
      <c r="AR34" s="21">
        <v>24.022500000000001</v>
      </c>
      <c r="AS34" s="21">
        <v>-9.8815900000000009E-3</v>
      </c>
      <c r="AT34" s="21">
        <v>24</v>
      </c>
      <c r="AU34" s="21">
        <v>1.61835</v>
      </c>
      <c r="AV34">
        <f t="shared" si="8"/>
        <v>12.199493827160493</v>
      </c>
      <c r="AW34">
        <f t="shared" si="9"/>
        <v>19.752322450493828</v>
      </c>
      <c r="AX34" s="9"/>
      <c r="AY34" s="21">
        <v>2.0904499999999999E-2</v>
      </c>
      <c r="AZ34" s="21">
        <v>27.720800000000001</v>
      </c>
      <c r="BA34" s="21">
        <v>-1.37146E-2</v>
      </c>
      <c r="BB34" s="21">
        <v>24</v>
      </c>
      <c r="BC34" s="21">
        <v>2.0754999999999999E-2</v>
      </c>
      <c r="BD34">
        <f t="shared" si="10"/>
        <v>16.931604938271605</v>
      </c>
      <c r="BE34">
        <f t="shared" si="11"/>
        <v>0.35394673543209876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1.6140699999999999</v>
      </c>
      <c r="H35" s="21">
        <v>5.8411</v>
      </c>
      <c r="I35" s="21">
        <v>-1.0263100000000001E-2</v>
      </c>
      <c r="J35" s="21">
        <v>25</v>
      </c>
      <c r="K35" s="21">
        <v>1.6137699999999999</v>
      </c>
      <c r="L35">
        <f t="shared" si="0"/>
        <v>12.670493827160493</v>
      </c>
      <c r="M35">
        <f t="shared" si="1"/>
        <v>20.451063971604935</v>
      </c>
      <c r="N35" s="9"/>
      <c r="O35" s="21">
        <v>2.5939899999999998E-2</v>
      </c>
      <c r="P35" s="21">
        <v>9.5394400000000008</v>
      </c>
      <c r="Q35" s="21">
        <v>-1.3842800000000001E-2</v>
      </c>
      <c r="R35" s="21">
        <v>25</v>
      </c>
      <c r="S35" s="21">
        <v>2.57813E-2</v>
      </c>
      <c r="T35">
        <f t="shared" si="2"/>
        <v>17.089876543209876</v>
      </c>
      <c r="U35">
        <f t="shared" si="3"/>
        <v>0.44330968854320985</v>
      </c>
      <c r="X35" s="9"/>
      <c r="Y35" s="21">
        <v>1.6140699999999999</v>
      </c>
      <c r="Z35" s="21">
        <v>14.9003</v>
      </c>
      <c r="AA35" s="21">
        <v>-1.0015899999999999E-2</v>
      </c>
      <c r="AB35" s="21">
        <v>25</v>
      </c>
      <c r="AC35" s="21">
        <v>1.6131599999999999</v>
      </c>
      <c r="AD35">
        <f t="shared" si="4"/>
        <v>12.365308641975307</v>
      </c>
      <c r="AE35">
        <f t="shared" si="5"/>
        <v>19.958473719753083</v>
      </c>
      <c r="AF35" s="9"/>
      <c r="AG35" s="21">
        <v>2.5939899999999998E-2</v>
      </c>
      <c r="AH35" s="21">
        <v>18.598700000000001</v>
      </c>
      <c r="AI35" s="21">
        <v>-1.3781699999999999E-2</v>
      </c>
      <c r="AJ35" s="21">
        <v>25</v>
      </c>
      <c r="AK35" s="21">
        <v>2.57843E-2</v>
      </c>
      <c r="AL35">
        <f t="shared" si="6"/>
        <v>17.014444444444443</v>
      </c>
      <c r="AM35">
        <f t="shared" si="7"/>
        <v>0.4413529874444444</v>
      </c>
      <c r="AP35" s="9"/>
      <c r="AQ35" s="21">
        <v>1.6140699999999999</v>
      </c>
      <c r="AR35" s="21">
        <v>24.032499999999999</v>
      </c>
      <c r="AS35" s="21">
        <v>-1.00372E-2</v>
      </c>
      <c r="AT35" s="21">
        <v>25</v>
      </c>
      <c r="AU35" s="21">
        <v>1.6137699999999999</v>
      </c>
      <c r="AV35">
        <f t="shared" si="8"/>
        <v>12.391604938271604</v>
      </c>
      <c r="AW35">
        <f t="shared" si="9"/>
        <v>20.000917782716044</v>
      </c>
      <c r="AX35" s="9"/>
      <c r="AY35" s="21">
        <v>2.5939899999999998E-2</v>
      </c>
      <c r="AZ35" s="21">
        <v>27.730899999999998</v>
      </c>
      <c r="BA35" s="21">
        <v>-1.37054E-2</v>
      </c>
      <c r="BB35" s="21">
        <v>25</v>
      </c>
      <c r="BC35" s="21">
        <v>2.5772099999999999E-2</v>
      </c>
      <c r="BD35">
        <f t="shared" si="10"/>
        <v>16.920246913580247</v>
      </c>
      <c r="BE35">
        <f t="shared" si="11"/>
        <v>0.43890951291358021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1.60904</v>
      </c>
      <c r="H36" s="21">
        <v>5.8511800000000003</v>
      </c>
      <c r="I36" s="21">
        <v>-1.0400400000000001E-2</v>
      </c>
      <c r="J36" s="21">
        <v>26</v>
      </c>
      <c r="K36" s="21">
        <v>1.6085799999999999</v>
      </c>
      <c r="L36">
        <f t="shared" si="0"/>
        <v>12.84</v>
      </c>
      <c r="M36">
        <f t="shared" si="1"/>
        <v>20.6600736</v>
      </c>
      <c r="N36" s="9"/>
      <c r="O36" s="21">
        <v>3.0975300000000001E-2</v>
      </c>
      <c r="P36" s="21">
        <v>9.5495099999999997</v>
      </c>
      <c r="Q36" s="21">
        <v>-1.38306E-2</v>
      </c>
      <c r="R36" s="21">
        <v>26</v>
      </c>
      <c r="S36" s="21">
        <v>3.0859399999999999E-2</v>
      </c>
      <c r="T36">
        <f t="shared" si="2"/>
        <v>17.074814814814815</v>
      </c>
      <c r="U36">
        <f t="shared" si="3"/>
        <v>0.52889751133333329</v>
      </c>
      <c r="X36" s="9"/>
      <c r="Y36" s="21">
        <v>1.60904</v>
      </c>
      <c r="Z36" s="21">
        <v>14.910399999999999</v>
      </c>
      <c r="AA36" s="21">
        <v>-1.0153199999999999E-2</v>
      </c>
      <c r="AB36" s="21">
        <v>26</v>
      </c>
      <c r="AC36" s="21">
        <v>1.6082799999999999</v>
      </c>
      <c r="AD36">
        <f t="shared" si="4"/>
        <v>12.534814814814814</v>
      </c>
      <c r="AE36">
        <f t="shared" si="5"/>
        <v>20.169018429629627</v>
      </c>
      <c r="AF36" s="9"/>
      <c r="AG36" s="21">
        <v>3.0975300000000001E-2</v>
      </c>
      <c r="AH36" s="21">
        <v>18.608799999999999</v>
      </c>
      <c r="AI36" s="21">
        <v>-1.37634E-2</v>
      </c>
      <c r="AJ36" s="21">
        <v>26</v>
      </c>
      <c r="AK36" s="21">
        <v>3.08563E-2</v>
      </c>
      <c r="AL36">
        <f t="shared" si="6"/>
        <v>16.991851851851852</v>
      </c>
      <c r="AM36">
        <f t="shared" si="7"/>
        <v>0.52632770866666667</v>
      </c>
      <c r="AP36" s="9"/>
      <c r="AQ36" s="21">
        <v>1.60904</v>
      </c>
      <c r="AR36" s="21">
        <v>24.0426</v>
      </c>
      <c r="AS36" s="21">
        <v>-1.0189800000000001E-2</v>
      </c>
      <c r="AT36" s="21">
        <v>26</v>
      </c>
      <c r="AU36" s="21">
        <v>1.6085799999999999</v>
      </c>
      <c r="AV36">
        <f t="shared" si="8"/>
        <v>12.579999999999998</v>
      </c>
      <c r="AW36">
        <f t="shared" si="9"/>
        <v>20.241723199999999</v>
      </c>
      <c r="AX36" s="9"/>
      <c r="AY36" s="21">
        <v>3.0975300000000001E-2</v>
      </c>
      <c r="AZ36" s="21">
        <v>27.7409</v>
      </c>
      <c r="BA36" s="21">
        <v>-1.36963E-2</v>
      </c>
      <c r="BB36" s="21">
        <v>26</v>
      </c>
      <c r="BC36" s="21">
        <v>3.0795300000000001E-2</v>
      </c>
      <c r="BD36">
        <f t="shared" si="10"/>
        <v>16.90901234567901</v>
      </c>
      <c r="BE36">
        <f t="shared" si="11"/>
        <v>0.52376173011111105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1.6040000000000001</v>
      </c>
      <c r="H37" s="21">
        <v>5.8612500000000001</v>
      </c>
      <c r="I37" s="21">
        <v>-1.05164E-2</v>
      </c>
      <c r="J37" s="21">
        <v>27</v>
      </c>
      <c r="K37" s="21">
        <v>1.6033900000000001</v>
      </c>
      <c r="L37">
        <f t="shared" si="0"/>
        <v>12.98320987654321</v>
      </c>
      <c r="M37">
        <f t="shared" si="1"/>
        <v>20.82506864197531</v>
      </c>
      <c r="N37" s="9"/>
      <c r="O37" s="21">
        <v>3.60107E-2</v>
      </c>
      <c r="P37" s="21">
        <v>9.55959</v>
      </c>
      <c r="Q37" s="21">
        <v>-1.38336E-2</v>
      </c>
      <c r="R37" s="21">
        <v>27</v>
      </c>
      <c r="S37" s="21">
        <v>3.5870399999999997E-2</v>
      </c>
      <c r="T37">
        <f t="shared" si="2"/>
        <v>17.078518518518518</v>
      </c>
      <c r="U37">
        <f t="shared" si="3"/>
        <v>0.61500940681481475</v>
      </c>
      <c r="X37" s="9"/>
      <c r="Y37" s="21">
        <v>1.6040000000000001</v>
      </c>
      <c r="Z37" s="21">
        <v>14.920500000000001</v>
      </c>
      <c r="AA37" s="21">
        <v>-1.0278300000000001E-2</v>
      </c>
      <c r="AB37" s="21">
        <v>27</v>
      </c>
      <c r="AC37" s="21">
        <v>1.6033900000000001</v>
      </c>
      <c r="AD37">
        <f t="shared" si="4"/>
        <v>12.689259259259259</v>
      </c>
      <c r="AE37">
        <f t="shared" si="5"/>
        <v>20.353571851851854</v>
      </c>
      <c r="AF37" s="9"/>
      <c r="AG37" s="21">
        <v>3.60107E-2</v>
      </c>
      <c r="AH37" s="21">
        <v>18.6188</v>
      </c>
      <c r="AI37" s="21">
        <v>-1.3760400000000001E-2</v>
      </c>
      <c r="AJ37" s="21">
        <v>27</v>
      </c>
      <c r="AK37" s="21">
        <v>3.5913100000000003E-2</v>
      </c>
      <c r="AL37">
        <f t="shared" si="6"/>
        <v>16.988148148148149</v>
      </c>
      <c r="AM37">
        <f t="shared" si="7"/>
        <v>0.6117551065185185</v>
      </c>
      <c r="AP37" s="9"/>
      <c r="AQ37" s="21">
        <v>1.6040000000000001</v>
      </c>
      <c r="AR37" s="21">
        <v>24.052700000000002</v>
      </c>
      <c r="AS37" s="21">
        <v>-1.03363E-2</v>
      </c>
      <c r="AT37" s="21">
        <v>27</v>
      </c>
      <c r="AU37" s="21">
        <v>1.6033900000000001</v>
      </c>
      <c r="AV37">
        <f t="shared" si="8"/>
        <v>12.760864197530864</v>
      </c>
      <c r="AW37">
        <f t="shared" si="9"/>
        <v>20.468426172839507</v>
      </c>
      <c r="AX37" s="9"/>
      <c r="AY37" s="21">
        <v>3.60107E-2</v>
      </c>
      <c r="AZ37" s="21">
        <v>27.751000000000001</v>
      </c>
      <c r="BA37" s="21">
        <v>-1.3684099999999999E-2</v>
      </c>
      <c r="BB37" s="21">
        <v>27</v>
      </c>
      <c r="BC37" s="21">
        <v>3.5882600000000001E-2</v>
      </c>
      <c r="BD37">
        <f t="shared" si="10"/>
        <v>16.893950617283949</v>
      </c>
      <c r="BE37">
        <f t="shared" si="11"/>
        <v>0.60836298749382711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1.59897</v>
      </c>
      <c r="H38" s="21">
        <v>5.8713199999999999</v>
      </c>
      <c r="I38" s="21">
        <v>-1.0632300000000001E-2</v>
      </c>
      <c r="J38" s="21">
        <v>28</v>
      </c>
      <c r="K38" s="21">
        <v>1.5985100000000001</v>
      </c>
      <c r="L38">
        <f t="shared" si="0"/>
        <v>13.126296296296296</v>
      </c>
      <c r="M38">
        <f t="shared" si="1"/>
        <v>20.988553988888889</v>
      </c>
      <c r="N38" s="9"/>
      <c r="O38" s="21">
        <v>4.1046100000000002E-2</v>
      </c>
      <c r="P38" s="21">
        <v>9.5696600000000007</v>
      </c>
      <c r="Q38" s="21">
        <v>-1.38336E-2</v>
      </c>
      <c r="R38" s="21">
        <v>28</v>
      </c>
      <c r="S38" s="21">
        <v>4.0884400000000001E-2</v>
      </c>
      <c r="T38">
        <f t="shared" si="2"/>
        <v>17.078518518518518</v>
      </c>
      <c r="U38">
        <f t="shared" si="3"/>
        <v>0.70100657896296292</v>
      </c>
      <c r="X38" s="9"/>
      <c r="Y38" s="21">
        <v>1.59897</v>
      </c>
      <c r="Z38" s="21">
        <v>14.9305</v>
      </c>
      <c r="AA38" s="21">
        <v>-1.04034E-2</v>
      </c>
      <c r="AB38" s="21">
        <v>28</v>
      </c>
      <c r="AC38" s="21">
        <v>1.5982099999999999</v>
      </c>
      <c r="AD38">
        <f t="shared" si="4"/>
        <v>12.843703703703703</v>
      </c>
      <c r="AE38">
        <f t="shared" si="5"/>
        <v>20.536696911111111</v>
      </c>
      <c r="AF38" s="9"/>
      <c r="AG38" s="21">
        <v>4.1046100000000002E-2</v>
      </c>
      <c r="AH38" s="21">
        <v>18.628900000000002</v>
      </c>
      <c r="AI38" s="21">
        <v>-1.3772599999999999E-2</v>
      </c>
      <c r="AJ38" s="21">
        <v>28</v>
      </c>
      <c r="AK38" s="21">
        <v>4.086E-2</v>
      </c>
      <c r="AL38">
        <f t="shared" si="6"/>
        <v>17.00320987654321</v>
      </c>
      <c r="AM38">
        <f t="shared" si="7"/>
        <v>0.69791545291358026</v>
      </c>
      <c r="AP38" s="9"/>
      <c r="AQ38" s="21">
        <v>1.59897</v>
      </c>
      <c r="AR38" s="21">
        <v>24.062799999999999</v>
      </c>
      <c r="AS38" s="21">
        <v>-1.04645E-2</v>
      </c>
      <c r="AT38" s="21">
        <v>28</v>
      </c>
      <c r="AU38" s="21">
        <v>1.5985100000000001</v>
      </c>
      <c r="AV38">
        <f t="shared" si="8"/>
        <v>12.919135802469135</v>
      </c>
      <c r="AW38">
        <f t="shared" si="9"/>
        <v>20.657310574074074</v>
      </c>
      <c r="AX38" s="9"/>
      <c r="AY38" s="21">
        <v>4.1046100000000002E-2</v>
      </c>
      <c r="AZ38" s="21">
        <v>27.761099999999999</v>
      </c>
      <c r="BA38" s="21">
        <v>-1.3671900000000001E-2</v>
      </c>
      <c r="BB38" s="21">
        <v>28</v>
      </c>
      <c r="BC38" s="21">
        <v>4.1055300000000003E-2</v>
      </c>
      <c r="BD38">
        <f t="shared" si="10"/>
        <v>16.878888888888888</v>
      </c>
      <c r="BE38">
        <f t="shared" si="11"/>
        <v>0.69281256122222223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1.5939300000000001</v>
      </c>
      <c r="H39" s="21">
        <v>5.8813899999999997</v>
      </c>
      <c r="I39" s="21">
        <v>-1.07422E-2</v>
      </c>
      <c r="J39" s="21">
        <v>29</v>
      </c>
      <c r="K39" s="21">
        <v>1.5933200000000001</v>
      </c>
      <c r="L39">
        <f t="shared" si="0"/>
        <v>13.261975308641976</v>
      </c>
      <c r="M39">
        <f t="shared" si="1"/>
        <v>21.138660303703706</v>
      </c>
      <c r="N39" s="9"/>
      <c r="O39" s="21">
        <v>4.6081499999999997E-2</v>
      </c>
      <c r="P39" s="21">
        <v>9.5797299999999996</v>
      </c>
      <c r="Q39" s="21">
        <v>-1.38367E-2</v>
      </c>
      <c r="R39" s="21">
        <v>29</v>
      </c>
      <c r="S39" s="21">
        <v>4.5846600000000001E-2</v>
      </c>
      <c r="T39">
        <f t="shared" si="2"/>
        <v>17.082345679012345</v>
      </c>
      <c r="U39">
        <f t="shared" si="3"/>
        <v>0.78718011240740737</v>
      </c>
      <c r="X39" s="9"/>
      <c r="Y39" s="21">
        <v>1.5939300000000001</v>
      </c>
      <c r="Z39" s="21">
        <v>14.9406</v>
      </c>
      <c r="AA39" s="21">
        <v>-1.0537700000000001E-2</v>
      </c>
      <c r="AB39" s="21">
        <v>29</v>
      </c>
      <c r="AC39" s="21">
        <v>1.5933200000000001</v>
      </c>
      <c r="AD39">
        <f t="shared" si="4"/>
        <v>13.009506172839506</v>
      </c>
      <c r="AE39">
        <f t="shared" si="5"/>
        <v>20.736242174074075</v>
      </c>
      <c r="AF39" s="9"/>
      <c r="AG39" s="21">
        <v>4.6081499999999997E-2</v>
      </c>
      <c r="AH39" s="21">
        <v>18.638999999999999</v>
      </c>
      <c r="AI39" s="21">
        <v>-1.3775600000000001E-2</v>
      </c>
      <c r="AJ39" s="21">
        <v>29</v>
      </c>
      <c r="AK39" s="21">
        <v>4.6026600000000001E-2</v>
      </c>
      <c r="AL39">
        <f t="shared" si="6"/>
        <v>17.006913580246916</v>
      </c>
      <c r="AM39">
        <f t="shared" si="7"/>
        <v>0.78370408814814818</v>
      </c>
      <c r="AP39" s="9"/>
      <c r="AQ39" s="21">
        <v>1.5939300000000001</v>
      </c>
      <c r="AR39" s="21">
        <v>24.072800000000001</v>
      </c>
      <c r="AS39" s="21">
        <v>-1.05957E-2</v>
      </c>
      <c r="AT39" s="21">
        <v>29</v>
      </c>
      <c r="AU39" s="21">
        <v>1.5933200000000001</v>
      </c>
      <c r="AV39">
        <f t="shared" si="8"/>
        <v>13.08111111111111</v>
      </c>
      <c r="AW39">
        <f t="shared" si="9"/>
        <v>20.850375433333333</v>
      </c>
      <c r="AX39" s="9"/>
      <c r="AY39" s="21">
        <v>4.6081499999999997E-2</v>
      </c>
      <c r="AZ39" s="21">
        <v>27.7712</v>
      </c>
      <c r="BA39" s="21">
        <v>-1.3684099999999999E-2</v>
      </c>
      <c r="BB39" s="21">
        <v>29</v>
      </c>
      <c r="BC39" s="21">
        <v>4.5901499999999998E-2</v>
      </c>
      <c r="BD39">
        <f t="shared" si="10"/>
        <v>16.893950617283949</v>
      </c>
      <c r="BE39">
        <f t="shared" si="11"/>
        <v>0.7784985853703702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1.5889</v>
      </c>
      <c r="H40" s="21">
        <v>5.8914600000000004</v>
      </c>
      <c r="I40" s="21">
        <v>-1.0842900000000001E-2</v>
      </c>
      <c r="J40" s="21">
        <v>30</v>
      </c>
      <c r="K40" s="21">
        <v>1.5878300000000001</v>
      </c>
      <c r="L40">
        <f t="shared" si="0"/>
        <v>13.386296296296297</v>
      </c>
      <c r="M40">
        <f t="shared" si="1"/>
        <v>21.269486185185187</v>
      </c>
      <c r="N40" s="9"/>
      <c r="O40" s="21">
        <v>5.11169E-2</v>
      </c>
      <c r="P40" s="21">
        <v>9.5898000000000003</v>
      </c>
      <c r="Q40" s="21">
        <v>-1.38306E-2</v>
      </c>
      <c r="R40" s="21">
        <v>30</v>
      </c>
      <c r="S40" s="21">
        <v>5.1040599999999998E-2</v>
      </c>
      <c r="T40">
        <f t="shared" si="2"/>
        <v>17.074814814814815</v>
      </c>
      <c r="U40">
        <f t="shared" si="3"/>
        <v>0.87281160140740743</v>
      </c>
      <c r="X40" s="9"/>
      <c r="Y40" s="21">
        <v>1.5889</v>
      </c>
      <c r="Z40" s="21">
        <v>14.950699999999999</v>
      </c>
      <c r="AA40" s="21">
        <v>-1.06537E-2</v>
      </c>
      <c r="AB40" s="21">
        <v>30</v>
      </c>
      <c r="AC40" s="21">
        <v>1.5887500000000001</v>
      </c>
      <c r="AD40">
        <f t="shared" si="4"/>
        <v>13.152716049382715</v>
      </c>
      <c r="AE40">
        <f t="shared" si="5"/>
        <v>20.898350530864196</v>
      </c>
      <c r="AF40" s="9"/>
      <c r="AG40" s="21">
        <v>5.11169E-2</v>
      </c>
      <c r="AH40" s="21">
        <v>18.649000000000001</v>
      </c>
      <c r="AI40" s="21">
        <v>-1.3781699999999999E-2</v>
      </c>
      <c r="AJ40" s="21">
        <v>30</v>
      </c>
      <c r="AK40" s="21">
        <v>5.0689699999999997E-2</v>
      </c>
      <c r="AL40">
        <f t="shared" si="6"/>
        <v>17.014444444444443</v>
      </c>
      <c r="AM40">
        <f t="shared" si="7"/>
        <v>0.86972565522222212</v>
      </c>
      <c r="AP40" s="9"/>
      <c r="AQ40" s="21">
        <v>1.5889</v>
      </c>
      <c r="AR40" s="21">
        <v>24.082899999999999</v>
      </c>
      <c r="AS40" s="21">
        <v>-1.0711699999999999E-2</v>
      </c>
      <c r="AT40" s="21">
        <v>30</v>
      </c>
      <c r="AU40" s="21">
        <v>1.58813</v>
      </c>
      <c r="AV40">
        <f t="shared" si="8"/>
        <v>13.22432098765432</v>
      </c>
      <c r="AW40">
        <f t="shared" si="9"/>
        <v>21.012123617283947</v>
      </c>
      <c r="AX40" s="9"/>
      <c r="AY40" s="21">
        <v>5.11169E-2</v>
      </c>
      <c r="AZ40" s="21">
        <v>27.781199999999998</v>
      </c>
      <c r="BA40" s="21">
        <v>-1.37085E-2</v>
      </c>
      <c r="BB40" s="21">
        <v>30</v>
      </c>
      <c r="BC40" s="21">
        <v>5.0506599999999999E-2</v>
      </c>
      <c r="BD40">
        <f t="shared" si="10"/>
        <v>16.924074074074074</v>
      </c>
      <c r="BE40">
        <f t="shared" si="11"/>
        <v>0.86510620203703703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1.58386</v>
      </c>
      <c r="H41" s="21">
        <v>5.9015300000000002</v>
      </c>
      <c r="I41" s="21">
        <v>-1.09467E-2</v>
      </c>
      <c r="J41" s="21">
        <v>31</v>
      </c>
      <c r="K41" s="21">
        <v>1.5835600000000001</v>
      </c>
      <c r="L41">
        <f t="shared" si="0"/>
        <v>13.514444444444443</v>
      </c>
      <c r="M41">
        <f t="shared" si="1"/>
        <v>21.404987977777775</v>
      </c>
      <c r="N41" s="9"/>
      <c r="O41" s="21">
        <v>5.6152300000000002E-2</v>
      </c>
      <c r="P41" s="21">
        <v>9.5998699999999992</v>
      </c>
      <c r="Q41" s="21">
        <v>-1.38275E-2</v>
      </c>
      <c r="R41" s="21">
        <v>31</v>
      </c>
      <c r="S41" s="21">
        <v>5.5603E-2</v>
      </c>
      <c r="T41">
        <f t="shared" si="2"/>
        <v>17.070987654320987</v>
      </c>
      <c r="U41">
        <f t="shared" si="3"/>
        <v>0.95857522006172846</v>
      </c>
      <c r="X41" s="9"/>
      <c r="Y41" s="21">
        <v>1.58386</v>
      </c>
      <c r="Z41" s="21">
        <v>14.960699999999999</v>
      </c>
      <c r="AA41" s="21">
        <v>-1.0766599999999999E-2</v>
      </c>
      <c r="AB41" s="21">
        <v>31</v>
      </c>
      <c r="AC41" s="21">
        <v>1.58264</v>
      </c>
      <c r="AD41">
        <f t="shared" si="4"/>
        <v>13.292098765432097</v>
      </c>
      <c r="AE41">
        <f t="shared" si="5"/>
        <v>21.052823550617283</v>
      </c>
      <c r="AF41" s="9"/>
      <c r="AG41" s="21">
        <v>5.6152300000000002E-2</v>
      </c>
      <c r="AH41" s="21">
        <v>18.659099999999999</v>
      </c>
      <c r="AI41" s="21">
        <v>-1.37787E-2</v>
      </c>
      <c r="AJ41" s="21">
        <v>31</v>
      </c>
      <c r="AK41" s="21">
        <v>5.5603E-2</v>
      </c>
      <c r="AL41">
        <f t="shared" si="6"/>
        <v>17.01074074074074</v>
      </c>
      <c r="AM41">
        <f t="shared" si="7"/>
        <v>0.95519221729629633</v>
      </c>
      <c r="AP41" s="9"/>
      <c r="AQ41" s="21">
        <v>1.58386</v>
      </c>
      <c r="AR41" s="21">
        <v>24.093</v>
      </c>
      <c r="AS41" s="21">
        <v>-1.0809300000000001E-2</v>
      </c>
      <c r="AT41" s="21">
        <v>31</v>
      </c>
      <c r="AU41" s="21">
        <v>1.58325</v>
      </c>
      <c r="AV41">
        <f t="shared" si="8"/>
        <v>13.344814814814814</v>
      </c>
      <c r="AW41">
        <f t="shared" si="9"/>
        <v>21.136318392592592</v>
      </c>
      <c r="AX41" s="9"/>
      <c r="AY41" s="21">
        <v>5.6152300000000002E-2</v>
      </c>
      <c r="AZ41" s="21">
        <v>27.7913</v>
      </c>
      <c r="BA41" s="21">
        <v>-1.3717699999999999E-2</v>
      </c>
      <c r="BB41" s="21">
        <v>31</v>
      </c>
      <c r="BC41" s="21">
        <v>5.5664100000000001E-2</v>
      </c>
      <c r="BD41">
        <f t="shared" si="10"/>
        <v>16.935432098765432</v>
      </c>
      <c r="BE41">
        <f t="shared" si="11"/>
        <v>0.95096346383950625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1.57883</v>
      </c>
      <c r="H42" s="21">
        <v>5.9116</v>
      </c>
      <c r="I42" s="21">
        <v>-1.10352E-2</v>
      </c>
      <c r="J42" s="21">
        <v>32</v>
      </c>
      <c r="K42" s="21">
        <v>1.57867</v>
      </c>
      <c r="L42">
        <f t="shared" si="0"/>
        <v>13.623703703703704</v>
      </c>
      <c r="M42">
        <f t="shared" si="1"/>
        <v>21.509512118518519</v>
      </c>
      <c r="N42" s="9"/>
      <c r="O42" s="21">
        <v>6.1187699999999998E-2</v>
      </c>
      <c r="P42" s="21">
        <v>9.6099399999999999</v>
      </c>
      <c r="Q42" s="21">
        <v>-1.3815300000000001E-2</v>
      </c>
      <c r="R42" s="21">
        <v>32</v>
      </c>
      <c r="S42" s="21">
        <v>6.0668899999999998E-2</v>
      </c>
      <c r="T42">
        <f t="shared" si="2"/>
        <v>17.055925925925926</v>
      </c>
      <c r="U42">
        <f t="shared" si="3"/>
        <v>1.0436128787777779</v>
      </c>
      <c r="X42" s="9"/>
      <c r="Y42" s="21">
        <v>1.57883</v>
      </c>
      <c r="Z42" s="21">
        <v>14.970800000000001</v>
      </c>
      <c r="AA42" s="21">
        <v>-1.0876500000000001E-2</v>
      </c>
      <c r="AB42" s="21">
        <v>32</v>
      </c>
      <c r="AC42" s="21">
        <v>1.57745</v>
      </c>
      <c r="AD42">
        <f t="shared" si="4"/>
        <v>13.427777777777779</v>
      </c>
      <c r="AE42">
        <f t="shared" si="5"/>
        <v>21.20017838888889</v>
      </c>
      <c r="AF42" s="9"/>
      <c r="AG42" s="21">
        <v>6.1187699999999998E-2</v>
      </c>
      <c r="AH42" s="21">
        <v>18.6692</v>
      </c>
      <c r="AI42" s="21">
        <v>-1.37787E-2</v>
      </c>
      <c r="AJ42" s="21">
        <v>32</v>
      </c>
      <c r="AK42" s="21">
        <v>6.0729999999999999E-2</v>
      </c>
      <c r="AL42">
        <f t="shared" si="6"/>
        <v>17.01074074074074</v>
      </c>
      <c r="AM42">
        <f t="shared" si="7"/>
        <v>1.0408481012222222</v>
      </c>
      <c r="AP42" s="9"/>
      <c r="AQ42" s="21">
        <v>1.57883</v>
      </c>
      <c r="AR42" s="21">
        <v>24.103000000000002</v>
      </c>
      <c r="AS42" s="21">
        <v>-1.0903899999999999E-2</v>
      </c>
      <c r="AT42" s="21">
        <v>32</v>
      </c>
      <c r="AU42" s="21">
        <v>1.57806</v>
      </c>
      <c r="AV42">
        <f t="shared" si="8"/>
        <v>13.461604938271604</v>
      </c>
      <c r="AW42">
        <f t="shared" si="9"/>
        <v>21.253585724691355</v>
      </c>
      <c r="AX42" s="9"/>
      <c r="AY42" s="21">
        <v>6.1187699999999998E-2</v>
      </c>
      <c r="AZ42" s="21">
        <v>27.801400000000001</v>
      </c>
      <c r="BA42" s="21">
        <v>-1.3726800000000001E-2</v>
      </c>
      <c r="BB42" s="21">
        <v>32</v>
      </c>
      <c r="BC42" s="21">
        <v>6.0638400000000002E-2</v>
      </c>
      <c r="BD42">
        <f t="shared" si="10"/>
        <v>16.946666666666665</v>
      </c>
      <c r="BE42">
        <f t="shared" si="11"/>
        <v>1.036927556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1.57379</v>
      </c>
      <c r="H43" s="21">
        <v>5.9216699999999998</v>
      </c>
      <c r="I43" s="21">
        <v>-1.11176E-2</v>
      </c>
      <c r="J43" s="21">
        <v>33</v>
      </c>
      <c r="K43" s="21">
        <v>1.57318</v>
      </c>
      <c r="L43">
        <f t="shared" si="0"/>
        <v>13.725432098765431</v>
      </c>
      <c r="M43">
        <f t="shared" si="1"/>
        <v>21.600947782716048</v>
      </c>
      <c r="N43" s="9"/>
      <c r="O43" s="21">
        <v>6.6223099999999993E-2</v>
      </c>
      <c r="P43" s="21">
        <v>9.6200100000000006</v>
      </c>
      <c r="Q43" s="21">
        <v>-1.38031E-2</v>
      </c>
      <c r="R43" s="21">
        <v>33</v>
      </c>
      <c r="S43" s="21">
        <v>6.5704299999999993E-2</v>
      </c>
      <c r="T43">
        <f t="shared" si="2"/>
        <v>17.040864197530862</v>
      </c>
      <c r="U43">
        <f t="shared" si="3"/>
        <v>1.128498853839506</v>
      </c>
      <c r="X43" s="9"/>
      <c r="Y43" s="21">
        <v>1.57379</v>
      </c>
      <c r="Z43" s="21">
        <v>14.9809</v>
      </c>
      <c r="AA43" s="21">
        <v>-1.0977199999999999E-2</v>
      </c>
      <c r="AB43" s="21">
        <v>33</v>
      </c>
      <c r="AC43" s="21">
        <v>1.57318</v>
      </c>
      <c r="AD43">
        <f t="shared" si="4"/>
        <v>13.552098765432097</v>
      </c>
      <c r="AE43">
        <f t="shared" si="5"/>
        <v>21.32815751604938</v>
      </c>
      <c r="AF43" s="9"/>
      <c r="AG43" s="21">
        <v>6.6223099999999993E-2</v>
      </c>
      <c r="AH43" s="21">
        <v>18.679300000000001</v>
      </c>
      <c r="AI43" s="21">
        <v>-1.3772599999999999E-2</v>
      </c>
      <c r="AJ43" s="21">
        <v>33</v>
      </c>
      <c r="AK43" s="21">
        <v>6.5612799999999999E-2</v>
      </c>
      <c r="AL43">
        <f t="shared" si="6"/>
        <v>17.00320987654321</v>
      </c>
      <c r="AM43">
        <f t="shared" si="7"/>
        <v>1.1260052679753085</v>
      </c>
      <c r="AP43" s="9"/>
      <c r="AQ43" s="21">
        <v>1.57379</v>
      </c>
      <c r="AR43" s="21">
        <v>24.113099999999999</v>
      </c>
      <c r="AS43" s="21">
        <v>-1.10168E-2</v>
      </c>
      <c r="AT43" s="21">
        <v>33</v>
      </c>
      <c r="AU43" s="21">
        <v>1.57318</v>
      </c>
      <c r="AV43">
        <f t="shared" si="8"/>
        <v>13.600987654320987</v>
      </c>
      <c r="AW43">
        <f t="shared" si="9"/>
        <v>21.405098360493827</v>
      </c>
      <c r="AX43" s="9"/>
      <c r="AY43" s="21">
        <v>6.6223099999999993E-2</v>
      </c>
      <c r="AZ43" s="21">
        <v>27.811399999999999</v>
      </c>
      <c r="BA43" s="21">
        <v>-1.3732899999999999E-2</v>
      </c>
      <c r="BB43" s="21">
        <v>33</v>
      </c>
      <c r="BC43" s="21">
        <v>6.5643300000000002E-2</v>
      </c>
      <c r="BD43">
        <f t="shared" si="10"/>
        <v>16.954197530864196</v>
      </c>
      <c r="BE43">
        <f t="shared" si="11"/>
        <v>1.1227595185061725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1.5687599999999999</v>
      </c>
      <c r="H44" s="21">
        <v>5.9317399999999996</v>
      </c>
      <c r="I44" s="21">
        <v>-1.1196899999999999E-2</v>
      </c>
      <c r="J44" s="21">
        <v>34</v>
      </c>
      <c r="K44" s="21">
        <v>1.56769</v>
      </c>
      <c r="L44">
        <f t="shared" si="0"/>
        <v>13.823333333333332</v>
      </c>
      <c r="M44">
        <f t="shared" si="1"/>
        <v>21.685492399999998</v>
      </c>
      <c r="N44" s="9"/>
      <c r="O44" s="21">
        <v>7.1258500000000002E-2</v>
      </c>
      <c r="P44" s="21">
        <v>9.6300799999999995</v>
      </c>
      <c r="Q44" s="21">
        <v>-1.37939E-2</v>
      </c>
      <c r="R44" s="21">
        <v>34</v>
      </c>
      <c r="S44" s="21">
        <v>7.0526099999999994E-2</v>
      </c>
      <c r="T44">
        <f t="shared" si="2"/>
        <v>17.029506172839504</v>
      </c>
      <c r="U44">
        <f t="shared" si="3"/>
        <v>1.2134970656172839</v>
      </c>
      <c r="X44" s="9"/>
      <c r="Y44" s="21">
        <v>1.5687599999999999</v>
      </c>
      <c r="Z44" s="21">
        <v>14.991</v>
      </c>
      <c r="AA44" s="21">
        <v>-1.1065699999999999E-2</v>
      </c>
      <c r="AB44" s="21">
        <v>34</v>
      </c>
      <c r="AC44" s="21">
        <v>1.56799</v>
      </c>
      <c r="AD44">
        <f t="shared" si="4"/>
        <v>13.661358024691356</v>
      </c>
      <c r="AE44">
        <f t="shared" si="5"/>
        <v>21.431392014814811</v>
      </c>
      <c r="AF44" s="9"/>
      <c r="AG44" s="21">
        <v>7.1258500000000002E-2</v>
      </c>
      <c r="AH44" s="21">
        <v>18.689299999999999</v>
      </c>
      <c r="AI44" s="21">
        <v>-1.37695E-2</v>
      </c>
      <c r="AJ44" s="21">
        <v>34</v>
      </c>
      <c r="AK44" s="21">
        <v>7.07092E-2</v>
      </c>
      <c r="AL44">
        <f t="shared" si="6"/>
        <v>16.999382716049382</v>
      </c>
      <c r="AM44">
        <f t="shared" si="7"/>
        <v>1.2113505132716049</v>
      </c>
      <c r="AP44" s="9"/>
      <c r="AQ44" s="21">
        <v>1.5687599999999999</v>
      </c>
      <c r="AR44" s="21">
        <v>24.123200000000001</v>
      </c>
      <c r="AS44" s="21">
        <v>-1.11176E-2</v>
      </c>
      <c r="AT44" s="21">
        <v>34</v>
      </c>
      <c r="AU44" s="21">
        <v>1.56799</v>
      </c>
      <c r="AV44">
        <f t="shared" si="8"/>
        <v>13.725432098765431</v>
      </c>
      <c r="AW44">
        <f t="shared" si="9"/>
        <v>21.531908859259257</v>
      </c>
      <c r="AX44" s="9"/>
      <c r="AY44" s="21">
        <v>7.1258500000000002E-2</v>
      </c>
      <c r="AZ44" s="21">
        <v>27.8215</v>
      </c>
      <c r="BA44" s="21">
        <v>-1.3732899999999999E-2</v>
      </c>
      <c r="BB44" s="21">
        <v>34</v>
      </c>
      <c r="BC44" s="21">
        <v>7.0556599999999997E-2</v>
      </c>
      <c r="BD44">
        <f t="shared" si="10"/>
        <v>16.954197530864196</v>
      </c>
      <c r="BE44">
        <f t="shared" si="11"/>
        <v>1.2081306847530864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1.56372</v>
      </c>
      <c r="H45" s="21">
        <v>5.9418100000000003</v>
      </c>
      <c r="I45" s="21">
        <v>-1.12762E-2</v>
      </c>
      <c r="J45" s="21">
        <v>35</v>
      </c>
      <c r="K45" s="21">
        <v>1.56311</v>
      </c>
      <c r="L45">
        <f t="shared" si="0"/>
        <v>13.921234567901234</v>
      </c>
      <c r="M45">
        <f t="shared" si="1"/>
        <v>21.768912918518517</v>
      </c>
      <c r="N45" s="9"/>
      <c r="O45" s="21">
        <v>7.6293899999999998E-2</v>
      </c>
      <c r="P45" s="21">
        <v>9.6401500000000002</v>
      </c>
      <c r="Q45" s="21">
        <v>-1.3781699999999999E-2</v>
      </c>
      <c r="R45" s="21">
        <v>35</v>
      </c>
      <c r="S45" s="21">
        <v>7.5592000000000006E-2</v>
      </c>
      <c r="T45">
        <f t="shared" si="2"/>
        <v>17.014444444444443</v>
      </c>
      <c r="U45">
        <f t="shared" si="3"/>
        <v>1.2980983229999998</v>
      </c>
      <c r="X45" s="9"/>
      <c r="Y45" s="21">
        <v>1.56372</v>
      </c>
      <c r="Z45" s="21">
        <v>15.000999999999999</v>
      </c>
      <c r="AA45" s="21">
        <v>-1.11542E-2</v>
      </c>
      <c r="AB45" s="21">
        <v>35</v>
      </c>
      <c r="AC45" s="21">
        <v>1.56311</v>
      </c>
      <c r="AD45">
        <f t="shared" si="4"/>
        <v>13.770617283950616</v>
      </c>
      <c r="AE45">
        <f t="shared" si="5"/>
        <v>21.533389659259257</v>
      </c>
      <c r="AF45" s="9"/>
      <c r="AG45" s="21">
        <v>7.6293899999999998E-2</v>
      </c>
      <c r="AH45" s="21">
        <v>18.699400000000001</v>
      </c>
      <c r="AI45" s="21">
        <v>-1.3781699999999999E-2</v>
      </c>
      <c r="AJ45" s="21">
        <v>35</v>
      </c>
      <c r="AK45" s="21">
        <v>7.5744599999999995E-2</v>
      </c>
      <c r="AL45">
        <f t="shared" si="6"/>
        <v>17.014444444444443</v>
      </c>
      <c r="AM45">
        <f t="shared" si="7"/>
        <v>1.2980983229999998</v>
      </c>
      <c r="AP45" s="9"/>
      <c r="AQ45" s="21">
        <v>1.56372</v>
      </c>
      <c r="AR45" s="21">
        <v>24.133199999999999</v>
      </c>
      <c r="AS45" s="21">
        <v>-1.12152E-2</v>
      </c>
      <c r="AT45" s="21">
        <v>35</v>
      </c>
      <c r="AU45" s="21">
        <v>1.56342</v>
      </c>
      <c r="AV45">
        <f t="shared" si="8"/>
        <v>13.845925925925926</v>
      </c>
      <c r="AW45">
        <f t="shared" si="9"/>
        <v>21.651151288888887</v>
      </c>
      <c r="AX45" s="9"/>
      <c r="AY45" s="21">
        <v>7.6293899999999998E-2</v>
      </c>
      <c r="AZ45" s="21">
        <v>27.831600000000002</v>
      </c>
      <c r="BA45" s="21">
        <v>-1.37299E-2</v>
      </c>
      <c r="BB45" s="21">
        <v>35</v>
      </c>
      <c r="BC45" s="21">
        <v>7.5744599999999995E-2</v>
      </c>
      <c r="BD45">
        <f t="shared" si="10"/>
        <v>16.950493827160493</v>
      </c>
      <c r="BE45">
        <f t="shared" si="11"/>
        <v>1.2932192809999998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1.5586899999999999</v>
      </c>
      <c r="H46" s="21">
        <v>5.9518899999999997</v>
      </c>
      <c r="I46" s="21">
        <v>-1.13464E-2</v>
      </c>
      <c r="J46" s="21">
        <v>36</v>
      </c>
      <c r="K46" s="21">
        <v>1.55884</v>
      </c>
      <c r="L46">
        <f t="shared" si="0"/>
        <v>14.0079012345679</v>
      </c>
      <c r="M46">
        <f t="shared" si="1"/>
        <v>21.833975575308639</v>
      </c>
      <c r="N46" s="9"/>
      <c r="O46" s="21">
        <v>8.1329299999999993E-2</v>
      </c>
      <c r="P46" s="21">
        <v>9.6502199999999991</v>
      </c>
      <c r="Q46" s="21">
        <v>-1.37695E-2</v>
      </c>
      <c r="R46" s="21">
        <v>36</v>
      </c>
      <c r="S46" s="21">
        <v>8.0841099999999999E-2</v>
      </c>
      <c r="T46">
        <f t="shared" si="2"/>
        <v>16.999382716049382</v>
      </c>
      <c r="U46">
        <f t="shared" si="3"/>
        <v>1.3825478967283948</v>
      </c>
      <c r="X46" s="9"/>
      <c r="Y46" s="21">
        <v>1.5586899999999999</v>
      </c>
      <c r="Z46" s="21">
        <v>15.011100000000001</v>
      </c>
      <c r="AA46" s="21">
        <v>-1.1236599999999999E-2</v>
      </c>
      <c r="AB46" s="21">
        <v>36</v>
      </c>
      <c r="AC46" s="21">
        <v>1.55823</v>
      </c>
      <c r="AD46">
        <f t="shared" si="4"/>
        <v>13.872345679012344</v>
      </c>
      <c r="AE46">
        <f t="shared" si="5"/>
        <v>21.622686486419749</v>
      </c>
      <c r="AF46" s="9"/>
      <c r="AG46" s="21">
        <v>8.1329299999999993E-2</v>
      </c>
      <c r="AH46" s="21">
        <v>18.709499999999998</v>
      </c>
      <c r="AI46" s="21">
        <v>-1.3797E-2</v>
      </c>
      <c r="AJ46" s="21">
        <v>36</v>
      </c>
      <c r="AK46" s="21">
        <v>8.0688499999999996E-2</v>
      </c>
      <c r="AL46">
        <f t="shared" si="6"/>
        <v>17.033333333333331</v>
      </c>
      <c r="AM46">
        <f t="shared" si="7"/>
        <v>1.3853090766666665</v>
      </c>
      <c r="AP46" s="9"/>
      <c r="AQ46" s="21">
        <v>1.5586899999999999</v>
      </c>
      <c r="AR46" s="21">
        <v>24.1433</v>
      </c>
      <c r="AS46" s="21">
        <v>-1.13037E-2</v>
      </c>
      <c r="AT46" s="21">
        <v>36</v>
      </c>
      <c r="AU46" s="21">
        <v>1.55792</v>
      </c>
      <c r="AV46">
        <f t="shared" si="8"/>
        <v>13.955185185185183</v>
      </c>
      <c r="AW46">
        <f t="shared" si="9"/>
        <v>21.751807596296292</v>
      </c>
      <c r="AX46" s="9"/>
      <c r="AY46" s="21">
        <v>8.1329299999999993E-2</v>
      </c>
      <c r="AZ46" s="21">
        <v>27.841699999999999</v>
      </c>
      <c r="BA46" s="21">
        <v>-1.37299E-2</v>
      </c>
      <c r="BB46" s="21">
        <v>36</v>
      </c>
      <c r="BC46" s="21">
        <v>8.0841099999999999E-2</v>
      </c>
      <c r="BD46">
        <f t="shared" si="10"/>
        <v>16.950493827160493</v>
      </c>
      <c r="BE46">
        <f t="shared" si="11"/>
        <v>1.3785717976172838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1.55365</v>
      </c>
      <c r="H47" s="21">
        <v>5.9619600000000004</v>
      </c>
      <c r="I47" s="21">
        <v>-1.1422699999999999E-2</v>
      </c>
      <c r="J47" s="21">
        <v>37</v>
      </c>
      <c r="K47" s="21">
        <v>1.5533399999999999</v>
      </c>
      <c r="L47">
        <f t="shared" si="0"/>
        <v>14.102098765432096</v>
      </c>
      <c r="M47">
        <f t="shared" si="1"/>
        <v>21.909725746913576</v>
      </c>
      <c r="N47" s="9"/>
      <c r="O47" s="21">
        <v>8.6364700000000003E-2</v>
      </c>
      <c r="P47" s="21">
        <v>9.6602999999999994</v>
      </c>
      <c r="Q47" s="21">
        <v>-1.37573E-2</v>
      </c>
      <c r="R47" s="21">
        <v>37</v>
      </c>
      <c r="S47" s="21">
        <v>8.5754399999999995E-2</v>
      </c>
      <c r="T47">
        <f t="shared" si="2"/>
        <v>16.984320987654321</v>
      </c>
      <c r="U47">
        <f t="shared" si="3"/>
        <v>1.4668457868024691</v>
      </c>
      <c r="X47" s="9"/>
      <c r="Y47" s="21">
        <v>1.55365</v>
      </c>
      <c r="Z47" s="21">
        <v>15.0212</v>
      </c>
      <c r="AA47" s="21">
        <v>-1.1318999999999999E-2</v>
      </c>
      <c r="AB47" s="21">
        <v>37</v>
      </c>
      <c r="AC47" s="21">
        <v>1.55304</v>
      </c>
      <c r="AD47">
        <f t="shared" si="4"/>
        <v>13.974074074074073</v>
      </c>
      <c r="AE47">
        <f t="shared" si="5"/>
        <v>21.710820185185185</v>
      </c>
      <c r="AF47" s="9"/>
      <c r="AG47" s="21">
        <v>8.6364700000000003E-2</v>
      </c>
      <c r="AH47" s="21">
        <v>18.7195</v>
      </c>
      <c r="AI47" s="21">
        <v>-1.38031E-2</v>
      </c>
      <c r="AJ47" s="21">
        <v>37</v>
      </c>
      <c r="AK47" s="21">
        <v>8.5906999999999997E-2</v>
      </c>
      <c r="AL47">
        <f t="shared" si="6"/>
        <v>17.040864197530862</v>
      </c>
      <c r="AM47">
        <f t="shared" si="7"/>
        <v>1.4717291241604937</v>
      </c>
      <c r="AP47" s="9"/>
      <c r="AQ47" s="21">
        <v>1.55365</v>
      </c>
      <c r="AR47" s="21">
        <v>24.153400000000001</v>
      </c>
      <c r="AS47" s="21">
        <v>-1.13861E-2</v>
      </c>
      <c r="AT47" s="21">
        <v>37</v>
      </c>
      <c r="AU47" s="21">
        <v>1.5533399999999999</v>
      </c>
      <c r="AV47">
        <f t="shared" si="8"/>
        <v>14.056913580246912</v>
      </c>
      <c r="AW47">
        <f t="shared" si="9"/>
        <v>21.839523783950614</v>
      </c>
      <c r="AX47" s="9"/>
      <c r="AY47" s="21">
        <v>8.6364700000000003E-2</v>
      </c>
      <c r="AZ47" s="21">
        <v>27.851700000000001</v>
      </c>
      <c r="BA47" s="21">
        <v>-1.3732899999999999E-2</v>
      </c>
      <c r="BB47" s="21">
        <v>37</v>
      </c>
      <c r="BC47" s="21">
        <v>8.5968000000000003E-2</v>
      </c>
      <c r="BD47">
        <f t="shared" si="10"/>
        <v>16.954197530864196</v>
      </c>
      <c r="BE47">
        <f t="shared" si="11"/>
        <v>1.4642441834938271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1.54861</v>
      </c>
      <c r="H48" s="21">
        <v>5.9720300000000002</v>
      </c>
      <c r="I48" s="21">
        <v>-1.1502099999999999E-2</v>
      </c>
      <c r="J48" s="21">
        <v>38</v>
      </c>
      <c r="K48" s="21">
        <v>1.5478499999999999</v>
      </c>
      <c r="L48">
        <f t="shared" si="0"/>
        <v>14.200123456790122</v>
      </c>
      <c r="M48">
        <f t="shared" si="1"/>
        <v>21.990453186419749</v>
      </c>
      <c r="N48" s="9"/>
      <c r="O48" s="21">
        <v>9.1400099999999998E-2</v>
      </c>
      <c r="P48" s="21">
        <v>9.6703700000000001</v>
      </c>
      <c r="Q48" s="21">
        <v>-1.37573E-2</v>
      </c>
      <c r="R48" s="21">
        <v>38</v>
      </c>
      <c r="S48" s="21">
        <v>9.0911900000000004E-2</v>
      </c>
      <c r="T48">
        <f t="shared" si="2"/>
        <v>16.984320987654321</v>
      </c>
      <c r="U48">
        <f t="shared" si="3"/>
        <v>1.5523686367037037</v>
      </c>
      <c r="X48" s="9"/>
      <c r="Y48" s="21">
        <v>1.54861</v>
      </c>
      <c r="Z48" s="21">
        <v>15.0312</v>
      </c>
      <c r="AA48" s="21">
        <v>-1.13892E-2</v>
      </c>
      <c r="AB48" s="21">
        <v>38</v>
      </c>
      <c r="AC48" s="21">
        <v>1.54816</v>
      </c>
      <c r="AD48">
        <f t="shared" si="4"/>
        <v>14.060740740740741</v>
      </c>
      <c r="AE48">
        <f t="shared" si="5"/>
        <v>21.77460371851852</v>
      </c>
      <c r="AF48" s="9"/>
      <c r="AG48" s="21">
        <v>9.1400099999999998E-2</v>
      </c>
      <c r="AH48" s="21">
        <v>18.729600000000001</v>
      </c>
      <c r="AI48" s="21">
        <v>-1.38031E-2</v>
      </c>
      <c r="AJ48" s="21">
        <v>38</v>
      </c>
      <c r="AK48" s="21">
        <v>9.0850799999999995E-2</v>
      </c>
      <c r="AL48">
        <f t="shared" si="6"/>
        <v>17.040864197530862</v>
      </c>
      <c r="AM48">
        <f t="shared" si="7"/>
        <v>1.5575366917407405</v>
      </c>
      <c r="AP48" s="9"/>
      <c r="AQ48" s="21">
        <v>1.54861</v>
      </c>
      <c r="AR48" s="21">
        <v>24.163499999999999</v>
      </c>
      <c r="AS48" s="21">
        <v>-1.1456300000000001E-2</v>
      </c>
      <c r="AT48" s="21">
        <v>38</v>
      </c>
      <c r="AU48" s="21">
        <v>1.54755</v>
      </c>
      <c r="AV48">
        <f t="shared" si="8"/>
        <v>14.143580246913581</v>
      </c>
      <c r="AW48">
        <f t="shared" si="9"/>
        <v>21.902889806172841</v>
      </c>
      <c r="AX48" s="9"/>
      <c r="AY48" s="21">
        <v>9.1400099999999998E-2</v>
      </c>
      <c r="AZ48" s="21">
        <v>27.861799999999999</v>
      </c>
      <c r="BA48" s="21">
        <v>-1.3736E-2</v>
      </c>
      <c r="BB48" s="21">
        <v>38</v>
      </c>
      <c r="BC48" s="21">
        <v>9.0881299999999998E-2</v>
      </c>
      <c r="BD48">
        <f t="shared" si="10"/>
        <v>16.958024691358023</v>
      </c>
      <c r="BE48">
        <f t="shared" si="11"/>
        <v>1.5499651525925924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1.54358</v>
      </c>
      <c r="H49" s="21">
        <v>5.9821</v>
      </c>
      <c r="I49" s="21">
        <v>-1.15753E-2</v>
      </c>
      <c r="J49" s="21">
        <v>39</v>
      </c>
      <c r="K49" s="21">
        <v>1.5432699999999999</v>
      </c>
      <c r="L49">
        <f t="shared" si="0"/>
        <v>14.290493827160493</v>
      </c>
      <c r="M49">
        <f t="shared" si="1"/>
        <v>22.058520461728392</v>
      </c>
      <c r="N49" s="9"/>
      <c r="O49" s="21">
        <v>9.6435499999999993E-2</v>
      </c>
      <c r="P49" s="21">
        <v>9.6804400000000008</v>
      </c>
      <c r="Q49" s="21">
        <v>-1.3766499999999999E-2</v>
      </c>
      <c r="R49" s="21">
        <v>39</v>
      </c>
      <c r="S49" s="21">
        <v>9.5916699999999994E-2</v>
      </c>
      <c r="T49">
        <f t="shared" si="2"/>
        <v>16.995679012345676</v>
      </c>
      <c r="U49">
        <f t="shared" si="3"/>
        <v>1.6389868033950612</v>
      </c>
      <c r="X49" s="9"/>
      <c r="Y49" s="21">
        <v>1.54358</v>
      </c>
      <c r="Z49" s="21">
        <v>15.0413</v>
      </c>
      <c r="AA49" s="21">
        <v>-1.14716E-2</v>
      </c>
      <c r="AB49" s="21">
        <v>39</v>
      </c>
      <c r="AC49" s="21">
        <v>1.54297</v>
      </c>
      <c r="AD49">
        <f t="shared" si="4"/>
        <v>14.162469135802469</v>
      </c>
      <c r="AE49">
        <f t="shared" si="5"/>
        <v>21.860904108641975</v>
      </c>
      <c r="AF49" s="9"/>
      <c r="AG49" s="21">
        <v>9.6435499999999993E-2</v>
      </c>
      <c r="AH49" s="21">
        <v>18.739699999999999</v>
      </c>
      <c r="AI49" s="21">
        <v>-1.38123E-2</v>
      </c>
      <c r="AJ49" s="21">
        <v>39</v>
      </c>
      <c r="AK49" s="21">
        <v>9.5886200000000005E-2</v>
      </c>
      <c r="AL49">
        <f t="shared" si="6"/>
        <v>17.052222222222223</v>
      </c>
      <c r="AM49">
        <f t="shared" si="7"/>
        <v>1.644439576111111</v>
      </c>
      <c r="AP49" s="9"/>
      <c r="AQ49" s="21">
        <v>1.54358</v>
      </c>
      <c r="AR49" s="21">
        <v>24.173500000000001</v>
      </c>
      <c r="AS49" s="21">
        <v>-1.15326E-2</v>
      </c>
      <c r="AT49" s="21">
        <v>39</v>
      </c>
      <c r="AU49" s="21">
        <v>1.54297</v>
      </c>
      <c r="AV49">
        <f t="shared" si="8"/>
        <v>14.237777777777778</v>
      </c>
      <c r="AW49">
        <f t="shared" si="9"/>
        <v>21.977149022222221</v>
      </c>
      <c r="AX49" s="9"/>
      <c r="AY49" s="21">
        <v>9.6435499999999993E-2</v>
      </c>
      <c r="AZ49" s="21">
        <v>27.8719</v>
      </c>
      <c r="BA49" s="21">
        <v>-1.3732899999999999E-2</v>
      </c>
      <c r="BB49" s="21">
        <v>39</v>
      </c>
      <c r="BC49" s="21">
        <v>9.5916699999999994E-2</v>
      </c>
      <c r="BD49">
        <f t="shared" si="10"/>
        <v>16.954197530864196</v>
      </c>
      <c r="BE49">
        <f t="shared" si="11"/>
        <v>1.634986515987654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1.53854</v>
      </c>
      <c r="H50" s="21">
        <v>5.9921699999999998</v>
      </c>
      <c r="I50" s="21">
        <v>-1.1639399999999999E-2</v>
      </c>
      <c r="J50" s="21">
        <v>40</v>
      </c>
      <c r="K50" s="21">
        <v>1.5377799999999999</v>
      </c>
      <c r="L50">
        <f t="shared" si="0"/>
        <v>14.369629629629628</v>
      </c>
      <c r="M50">
        <f t="shared" si="1"/>
        <v>22.10824997037037</v>
      </c>
      <c r="N50" s="9"/>
      <c r="O50" s="21">
        <v>0.10147100000000001</v>
      </c>
      <c r="P50" s="21">
        <v>9.6905099999999997</v>
      </c>
      <c r="Q50" s="21">
        <v>-1.3781699999999999E-2</v>
      </c>
      <c r="R50" s="21">
        <v>40</v>
      </c>
      <c r="S50" s="21">
        <v>0.10083</v>
      </c>
      <c r="T50">
        <f t="shared" si="2"/>
        <v>17.014444444444443</v>
      </c>
      <c r="U50">
        <f t="shared" si="3"/>
        <v>1.7264726922222222</v>
      </c>
      <c r="X50" s="9"/>
      <c r="Y50" s="21">
        <v>1.53854</v>
      </c>
      <c r="Z50" s="21">
        <v>15.051399999999999</v>
      </c>
      <c r="AA50" s="21">
        <v>-1.1550899999999999E-2</v>
      </c>
      <c r="AB50" s="21">
        <v>40</v>
      </c>
      <c r="AC50" s="21">
        <v>1.53748</v>
      </c>
      <c r="AD50">
        <f t="shared" si="4"/>
        <v>14.260370370370369</v>
      </c>
      <c r="AE50">
        <f t="shared" si="5"/>
        <v>21.940150229629626</v>
      </c>
      <c r="AF50" s="9"/>
      <c r="AG50" s="21">
        <v>0.10147100000000001</v>
      </c>
      <c r="AH50" s="21">
        <v>18.7498</v>
      </c>
      <c r="AI50" s="21">
        <v>-1.38123E-2</v>
      </c>
      <c r="AJ50" s="21">
        <v>40</v>
      </c>
      <c r="AK50" s="21">
        <v>0.100952</v>
      </c>
      <c r="AL50">
        <f t="shared" si="6"/>
        <v>17.052222222222223</v>
      </c>
      <c r="AM50">
        <f t="shared" si="7"/>
        <v>1.7303060411111113</v>
      </c>
      <c r="AP50" s="9"/>
      <c r="AQ50" s="21">
        <v>1.53854</v>
      </c>
      <c r="AR50" s="21">
        <v>24.183599999999998</v>
      </c>
      <c r="AS50" s="21">
        <v>-1.16028E-2</v>
      </c>
      <c r="AT50" s="21">
        <v>40</v>
      </c>
      <c r="AU50" s="21">
        <v>1.53748</v>
      </c>
      <c r="AV50">
        <f t="shared" si="8"/>
        <v>14.324444444444444</v>
      </c>
      <c r="AW50">
        <f t="shared" si="9"/>
        <v>22.038730755555555</v>
      </c>
      <c r="AX50" s="9"/>
      <c r="AY50" s="21">
        <v>0.10147100000000001</v>
      </c>
      <c r="AZ50" s="21">
        <v>27.881900000000002</v>
      </c>
      <c r="BA50" s="21">
        <v>-1.37299E-2</v>
      </c>
      <c r="BB50" s="21">
        <v>40</v>
      </c>
      <c r="BC50" s="21">
        <v>0.10104399999999999</v>
      </c>
      <c r="BD50">
        <f t="shared" si="10"/>
        <v>16.950493827160493</v>
      </c>
      <c r="BE50">
        <f t="shared" si="11"/>
        <v>1.7199835591358024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1.5335099999999999</v>
      </c>
      <c r="H51" s="21">
        <v>6.0022399999999996</v>
      </c>
      <c r="I51" s="21">
        <v>-1.17035E-2</v>
      </c>
      <c r="J51" s="21">
        <v>41</v>
      </c>
      <c r="K51" s="21">
        <v>1.5325899999999999</v>
      </c>
      <c r="L51">
        <f t="shared" si="0"/>
        <v>14.448765432098766</v>
      </c>
      <c r="M51">
        <f t="shared" si="1"/>
        <v>22.157326277777777</v>
      </c>
      <c r="N51" s="9"/>
      <c r="O51" s="21">
        <v>0.106506</v>
      </c>
      <c r="P51" s="21">
        <v>9.7005800000000004</v>
      </c>
      <c r="Q51" s="21">
        <v>-1.37939E-2</v>
      </c>
      <c r="R51" s="21">
        <v>41</v>
      </c>
      <c r="S51" s="21">
        <v>0.105957</v>
      </c>
      <c r="T51">
        <f t="shared" si="2"/>
        <v>17.029506172839504</v>
      </c>
      <c r="U51">
        <f t="shared" si="3"/>
        <v>1.8137445844444442</v>
      </c>
      <c r="X51" s="9"/>
      <c r="Y51" s="21">
        <v>1.5335099999999999</v>
      </c>
      <c r="Z51" s="21">
        <v>15.061500000000001</v>
      </c>
      <c r="AA51" s="21">
        <v>-1.1639399999999999E-2</v>
      </c>
      <c r="AB51" s="21">
        <v>41</v>
      </c>
      <c r="AC51" s="21">
        <v>1.5338099999999999</v>
      </c>
      <c r="AD51">
        <f t="shared" si="4"/>
        <v>14.369629629629628</v>
      </c>
      <c r="AE51">
        <f t="shared" si="5"/>
        <v>22.035970733333329</v>
      </c>
      <c r="AF51" s="9"/>
      <c r="AG51" s="21">
        <v>0.106506</v>
      </c>
      <c r="AH51" s="21">
        <v>18.759799999999998</v>
      </c>
      <c r="AI51" s="21">
        <v>-1.3821399999999999E-2</v>
      </c>
      <c r="AJ51" s="21">
        <v>41</v>
      </c>
      <c r="AK51" s="21">
        <v>0.106018</v>
      </c>
      <c r="AL51">
        <f t="shared" si="6"/>
        <v>17.063456790123453</v>
      </c>
      <c r="AM51">
        <f t="shared" si="7"/>
        <v>1.8173605288888885</v>
      </c>
      <c r="AP51" s="9"/>
      <c r="AQ51" s="21">
        <v>1.5335099999999999</v>
      </c>
      <c r="AR51" s="21">
        <v>24.1937</v>
      </c>
      <c r="AS51" s="21">
        <v>-1.1666899999999999E-2</v>
      </c>
      <c r="AT51" s="21">
        <v>41</v>
      </c>
      <c r="AU51" s="21">
        <v>1.5328999999999999</v>
      </c>
      <c r="AV51">
        <f t="shared" si="8"/>
        <v>14.403580246913579</v>
      </c>
      <c r="AW51">
        <f t="shared" si="9"/>
        <v>22.088034344444441</v>
      </c>
      <c r="AX51" s="9"/>
      <c r="AY51" s="21">
        <v>0.106506</v>
      </c>
      <c r="AZ51" s="21">
        <v>27.891999999999999</v>
      </c>
      <c r="BA51" s="21">
        <v>-1.3732899999999999E-2</v>
      </c>
      <c r="BB51" s="21">
        <v>41</v>
      </c>
      <c r="BC51" s="21">
        <v>0.10611</v>
      </c>
      <c r="BD51">
        <f t="shared" si="10"/>
        <v>16.954197530864196</v>
      </c>
      <c r="BE51">
        <f t="shared" si="11"/>
        <v>1.8057237622222222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1.52847</v>
      </c>
      <c r="H52" s="21">
        <v>6.0123100000000003</v>
      </c>
      <c r="I52" s="21">
        <v>-1.1764500000000001E-2</v>
      </c>
      <c r="J52" s="21">
        <v>42</v>
      </c>
      <c r="K52" s="21">
        <v>1.5280199999999999</v>
      </c>
      <c r="L52">
        <f t="shared" si="0"/>
        <v>14.524074074074075</v>
      </c>
      <c r="M52">
        <f t="shared" si="1"/>
        <v>22.199611500000003</v>
      </c>
      <c r="N52" s="9"/>
      <c r="O52" s="21">
        <v>0.111542</v>
      </c>
      <c r="P52" s="21">
        <v>9.7106499999999993</v>
      </c>
      <c r="Q52" s="21">
        <v>-1.37939E-2</v>
      </c>
      <c r="R52" s="21">
        <v>42</v>
      </c>
      <c r="S52" s="21">
        <v>0.110901</v>
      </c>
      <c r="T52">
        <f t="shared" si="2"/>
        <v>17.029506172839504</v>
      </c>
      <c r="U52">
        <f t="shared" si="3"/>
        <v>1.899505177530864</v>
      </c>
      <c r="X52" s="9"/>
      <c r="Y52" s="21">
        <v>1.52847</v>
      </c>
      <c r="Z52" s="21">
        <v>15.0715</v>
      </c>
      <c r="AA52" s="21">
        <v>-1.1709600000000001E-2</v>
      </c>
      <c r="AB52" s="21">
        <v>42</v>
      </c>
      <c r="AC52" s="21">
        <v>1.5277099999999999</v>
      </c>
      <c r="AD52">
        <f t="shared" si="4"/>
        <v>14.456296296296296</v>
      </c>
      <c r="AE52">
        <f t="shared" si="5"/>
        <v>22.0960152</v>
      </c>
      <c r="AF52" s="9"/>
      <c r="AG52" s="21">
        <v>0.111542</v>
      </c>
      <c r="AH52" s="21">
        <v>18.7699</v>
      </c>
      <c r="AI52" s="21">
        <v>-1.38245E-2</v>
      </c>
      <c r="AJ52" s="21">
        <v>42</v>
      </c>
      <c r="AK52" s="21">
        <v>0.11099199999999999</v>
      </c>
      <c r="AL52">
        <f t="shared" si="6"/>
        <v>17.067283950617281</v>
      </c>
      <c r="AM52">
        <f t="shared" si="7"/>
        <v>1.9037189864197528</v>
      </c>
      <c r="AP52" s="9"/>
      <c r="AQ52" s="21">
        <v>1.52847</v>
      </c>
      <c r="AR52" s="21">
        <v>24.203700000000001</v>
      </c>
      <c r="AS52" s="21">
        <v>-1.1734E-2</v>
      </c>
      <c r="AT52" s="21">
        <v>42</v>
      </c>
      <c r="AU52" s="21">
        <v>1.5277099999999999</v>
      </c>
      <c r="AV52">
        <f t="shared" si="8"/>
        <v>14.486419753086418</v>
      </c>
      <c r="AW52">
        <f t="shared" si="9"/>
        <v>22.142057999999999</v>
      </c>
      <c r="AX52" s="9"/>
      <c r="AY52" s="21">
        <v>0.111542</v>
      </c>
      <c r="AZ52" s="21">
        <v>27.902100000000001</v>
      </c>
      <c r="BA52" s="21">
        <v>-1.3738999999999999E-2</v>
      </c>
      <c r="BB52" s="21">
        <v>42</v>
      </c>
      <c r="BC52" s="21">
        <v>0.111053</v>
      </c>
      <c r="BD52">
        <f t="shared" si="10"/>
        <v>16.961728395061726</v>
      </c>
      <c r="BE52">
        <f t="shared" si="11"/>
        <v>1.8919451086419752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1.5234399999999999</v>
      </c>
      <c r="H53" s="21">
        <v>6.0223800000000001</v>
      </c>
      <c r="I53" s="21">
        <v>-1.18195E-2</v>
      </c>
      <c r="J53" s="21">
        <v>43</v>
      </c>
      <c r="K53" s="21">
        <v>1.5234399999999999</v>
      </c>
      <c r="L53">
        <f t="shared" si="0"/>
        <v>14.591975308641976</v>
      </c>
      <c r="M53">
        <f t="shared" si="1"/>
        <v>22.22999886419753</v>
      </c>
      <c r="N53" s="9"/>
      <c r="O53" s="21">
        <v>0.116577</v>
      </c>
      <c r="P53" s="21">
        <v>9.72072</v>
      </c>
      <c r="Q53" s="21">
        <v>-1.37939E-2</v>
      </c>
      <c r="R53" s="21">
        <v>43</v>
      </c>
      <c r="S53" s="21">
        <v>0.115997</v>
      </c>
      <c r="T53">
        <f t="shared" si="2"/>
        <v>17.029506172839504</v>
      </c>
      <c r="U53">
        <f t="shared" si="3"/>
        <v>1.9852487411111108</v>
      </c>
      <c r="X53" s="9"/>
      <c r="Y53" s="21">
        <v>1.5234399999999999</v>
      </c>
      <c r="Z53" s="21">
        <v>15.0816</v>
      </c>
      <c r="AA53" s="21">
        <v>-1.1770600000000001E-2</v>
      </c>
      <c r="AB53" s="21">
        <v>43</v>
      </c>
      <c r="AC53" s="21">
        <v>1.5228299999999999</v>
      </c>
      <c r="AD53">
        <f t="shared" si="4"/>
        <v>14.531604938271604</v>
      </c>
      <c r="AE53">
        <f t="shared" si="5"/>
        <v>22.13802822716049</v>
      </c>
      <c r="AF53" s="9"/>
      <c r="AG53" s="21">
        <v>0.116577</v>
      </c>
      <c r="AH53" s="21">
        <v>18.78</v>
      </c>
      <c r="AI53" s="21">
        <v>-1.38184E-2</v>
      </c>
      <c r="AJ53" s="21">
        <v>43</v>
      </c>
      <c r="AK53" s="21">
        <v>0.11587500000000001</v>
      </c>
      <c r="AL53">
        <f t="shared" si="6"/>
        <v>17.05975308641975</v>
      </c>
      <c r="AM53">
        <f t="shared" si="7"/>
        <v>1.9887748355555552</v>
      </c>
      <c r="AP53" s="9"/>
      <c r="AQ53" s="21">
        <v>1.5234399999999999</v>
      </c>
      <c r="AR53" s="21">
        <v>24.213799999999999</v>
      </c>
      <c r="AS53" s="21">
        <v>-1.1804200000000001E-2</v>
      </c>
      <c r="AT53" s="21">
        <v>43</v>
      </c>
      <c r="AU53" s="21">
        <v>1.5225200000000001</v>
      </c>
      <c r="AV53">
        <f t="shared" si="8"/>
        <v>14.573086419753087</v>
      </c>
      <c r="AW53">
        <f t="shared" si="9"/>
        <v>22.201222775308644</v>
      </c>
      <c r="AX53" s="9"/>
      <c r="AY53" s="21">
        <v>0.116577</v>
      </c>
      <c r="AZ53" s="21">
        <v>27.912199999999999</v>
      </c>
      <c r="BA53" s="21">
        <v>-1.3736E-2</v>
      </c>
      <c r="BB53" s="21">
        <v>43</v>
      </c>
      <c r="BC53" s="21">
        <v>0.115997</v>
      </c>
      <c r="BD53">
        <f t="shared" si="10"/>
        <v>16.958024691358023</v>
      </c>
      <c r="BE53">
        <f t="shared" si="11"/>
        <v>1.9769156444444442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1.5184</v>
      </c>
      <c r="H54" s="21">
        <v>6.0324499999999999</v>
      </c>
      <c r="I54" s="21">
        <v>-1.18774E-2</v>
      </c>
      <c r="J54" s="21">
        <v>44</v>
      </c>
      <c r="K54" s="21">
        <v>1.5176400000000001</v>
      </c>
      <c r="L54">
        <f t="shared" si="0"/>
        <v>14.663456790123456</v>
      </c>
      <c r="M54">
        <f t="shared" si="1"/>
        <v>22.264992790123458</v>
      </c>
      <c r="N54" s="9"/>
      <c r="O54" s="21">
        <v>0.121613</v>
      </c>
      <c r="P54" s="21">
        <v>9.7307900000000007</v>
      </c>
      <c r="Q54" s="21">
        <v>-1.37909E-2</v>
      </c>
      <c r="R54" s="21">
        <v>44</v>
      </c>
      <c r="S54" s="21">
        <v>0.121033</v>
      </c>
      <c r="T54">
        <f t="shared" si="2"/>
        <v>17.025802469135801</v>
      </c>
      <c r="U54">
        <f t="shared" si="3"/>
        <v>2.0705589156790123</v>
      </c>
      <c r="X54" s="9"/>
      <c r="Y54" s="21">
        <v>1.5184</v>
      </c>
      <c r="Z54" s="21">
        <v>15.091699999999999</v>
      </c>
      <c r="AA54" s="21">
        <v>-1.1831700000000001E-2</v>
      </c>
      <c r="AB54" s="21">
        <v>44</v>
      </c>
      <c r="AC54" s="21">
        <v>1.5173300000000001</v>
      </c>
      <c r="AD54">
        <f t="shared" si="4"/>
        <v>14.607037037037037</v>
      </c>
      <c r="AE54">
        <f t="shared" si="5"/>
        <v>22.179325037037035</v>
      </c>
      <c r="AF54" s="9"/>
      <c r="AG54" s="21">
        <v>0.121613</v>
      </c>
      <c r="AH54" s="21">
        <v>18.79</v>
      </c>
      <c r="AI54" s="21">
        <v>-1.38184E-2</v>
      </c>
      <c r="AJ54" s="21">
        <v>44</v>
      </c>
      <c r="AK54" s="21">
        <v>0.12109399999999999</v>
      </c>
      <c r="AL54">
        <f t="shared" si="6"/>
        <v>17.05975308641975</v>
      </c>
      <c r="AM54">
        <f t="shared" si="7"/>
        <v>2.074687752098765</v>
      </c>
      <c r="AP54" s="9"/>
      <c r="AQ54" s="21">
        <v>1.5184</v>
      </c>
      <c r="AR54" s="21">
        <v>24.2239</v>
      </c>
      <c r="AS54" s="21">
        <v>-1.1865199999999999E-2</v>
      </c>
      <c r="AT54" s="21">
        <v>44</v>
      </c>
      <c r="AU54" s="21">
        <v>1.5176400000000001</v>
      </c>
      <c r="AV54">
        <f t="shared" si="8"/>
        <v>14.648395061728394</v>
      </c>
      <c r="AW54">
        <f t="shared" si="9"/>
        <v>22.242123061728392</v>
      </c>
      <c r="AX54" s="9"/>
      <c r="AY54" s="21">
        <v>0.121613</v>
      </c>
      <c r="AZ54" s="21">
        <v>27.9222</v>
      </c>
      <c r="BA54" s="21">
        <v>-1.3720700000000001E-2</v>
      </c>
      <c r="BB54" s="21">
        <v>44</v>
      </c>
      <c r="BC54" s="21">
        <v>0.121124</v>
      </c>
      <c r="BD54">
        <f t="shared" si="10"/>
        <v>16.939135802469135</v>
      </c>
      <c r="BE54">
        <f t="shared" si="11"/>
        <v>2.060019122345679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1.5133700000000001</v>
      </c>
      <c r="H55" s="21">
        <v>6.0425199999999997</v>
      </c>
      <c r="I55" s="21">
        <v>-1.1935400000000001E-2</v>
      </c>
      <c r="J55" s="21">
        <v>45</v>
      </c>
      <c r="K55" s="21">
        <v>1.5124500000000001</v>
      </c>
      <c r="L55">
        <f t="shared" si="0"/>
        <v>14.735061728395062</v>
      </c>
      <c r="M55">
        <f t="shared" si="1"/>
        <v>22.299600367901235</v>
      </c>
      <c r="N55" s="9"/>
      <c r="O55" s="21">
        <v>0.12664800000000001</v>
      </c>
      <c r="P55" s="21">
        <v>9.7408599999999996</v>
      </c>
      <c r="Q55" s="21">
        <v>-1.3797E-2</v>
      </c>
      <c r="R55" s="21">
        <v>45</v>
      </c>
      <c r="S55" s="21">
        <v>0.12612899999999999</v>
      </c>
      <c r="T55">
        <f t="shared" si="2"/>
        <v>17.033333333333331</v>
      </c>
      <c r="U55">
        <f t="shared" si="3"/>
        <v>2.1572375999999998</v>
      </c>
      <c r="X55" s="9"/>
      <c r="Y55" s="21">
        <v>1.5133700000000001</v>
      </c>
      <c r="Z55" s="21">
        <v>15.101699999999999</v>
      </c>
      <c r="AA55" s="21">
        <v>-1.18896E-2</v>
      </c>
      <c r="AB55" s="21">
        <v>45</v>
      </c>
      <c r="AC55" s="21">
        <v>1.5127600000000001</v>
      </c>
      <c r="AD55">
        <f t="shared" si="4"/>
        <v>14.678518518518517</v>
      </c>
      <c r="AE55">
        <f t="shared" si="5"/>
        <v>22.214029570370371</v>
      </c>
      <c r="AF55" s="9"/>
      <c r="AG55" s="21">
        <v>0.12664800000000001</v>
      </c>
      <c r="AH55" s="21">
        <v>18.8001</v>
      </c>
      <c r="AI55" s="21">
        <v>-1.38245E-2</v>
      </c>
      <c r="AJ55" s="21">
        <v>45</v>
      </c>
      <c r="AK55" s="21">
        <v>0.12606800000000001</v>
      </c>
      <c r="AL55">
        <f t="shared" si="6"/>
        <v>17.067283950617281</v>
      </c>
      <c r="AM55">
        <f t="shared" si="7"/>
        <v>2.1615373777777775</v>
      </c>
      <c r="AP55" s="9"/>
      <c r="AQ55" s="21">
        <v>1.5133700000000001</v>
      </c>
      <c r="AR55" s="21">
        <v>24.234000000000002</v>
      </c>
      <c r="AS55" s="21">
        <v>-1.1920200000000001E-2</v>
      </c>
      <c r="AT55" s="21">
        <v>45</v>
      </c>
      <c r="AU55" s="21">
        <v>1.5121500000000001</v>
      </c>
      <c r="AV55">
        <f t="shared" si="8"/>
        <v>14.716296296296298</v>
      </c>
      <c r="AW55">
        <f t="shared" si="9"/>
        <v>22.271201325925929</v>
      </c>
      <c r="AX55" s="9"/>
      <c r="AY55" s="21">
        <v>0.12664800000000001</v>
      </c>
      <c r="AZ55" s="21">
        <v>27.932300000000001</v>
      </c>
      <c r="BA55" s="21">
        <v>-1.37054E-2</v>
      </c>
      <c r="BB55" s="21">
        <v>45</v>
      </c>
      <c r="BC55" s="21">
        <v>0.12606800000000001</v>
      </c>
      <c r="BD55">
        <f t="shared" si="10"/>
        <v>16.920246913580247</v>
      </c>
      <c r="BE55">
        <f t="shared" si="11"/>
        <v>2.1429154311111112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1.5083299999999999</v>
      </c>
      <c r="H56" s="21">
        <v>6.0526</v>
      </c>
      <c r="I56" s="21">
        <v>-1.19934E-2</v>
      </c>
      <c r="J56" s="21">
        <v>46</v>
      </c>
      <c r="K56" s="21">
        <v>1.50726</v>
      </c>
      <c r="L56">
        <f t="shared" si="0"/>
        <v>14.806666666666667</v>
      </c>
      <c r="M56">
        <f t="shared" si="1"/>
        <v>22.333339533333334</v>
      </c>
      <c r="N56" s="9"/>
      <c r="O56" s="21">
        <v>0.13168299999999999</v>
      </c>
      <c r="P56" s="21">
        <v>9.7509300000000003</v>
      </c>
      <c r="Q56" s="21">
        <v>-1.38031E-2</v>
      </c>
      <c r="R56" s="21">
        <v>46</v>
      </c>
      <c r="S56" s="21">
        <v>0.13122600000000001</v>
      </c>
      <c r="T56">
        <f t="shared" si="2"/>
        <v>17.040864197530862</v>
      </c>
      <c r="U56">
        <f t="shared" si="3"/>
        <v>2.2439921201234565</v>
      </c>
      <c r="X56" s="9"/>
      <c r="Y56" s="21">
        <v>1.5083299999999999</v>
      </c>
      <c r="Z56" s="21">
        <v>15.111800000000001</v>
      </c>
      <c r="AA56" s="21">
        <v>-1.1935400000000001E-2</v>
      </c>
      <c r="AB56" s="21">
        <v>46</v>
      </c>
      <c r="AC56" s="21">
        <v>1.5069600000000001</v>
      </c>
      <c r="AD56">
        <f t="shared" si="4"/>
        <v>14.735061728395062</v>
      </c>
      <c r="AE56">
        <f t="shared" si="5"/>
        <v>22.225335656790122</v>
      </c>
      <c r="AF56" s="9"/>
      <c r="AG56" s="21">
        <v>0.13168299999999999</v>
      </c>
      <c r="AH56" s="21">
        <v>18.810199999999998</v>
      </c>
      <c r="AI56" s="21">
        <v>-1.38306E-2</v>
      </c>
      <c r="AJ56" s="21">
        <v>46</v>
      </c>
      <c r="AK56" s="21">
        <v>0.131165</v>
      </c>
      <c r="AL56">
        <f t="shared" si="6"/>
        <v>17.074814814814815</v>
      </c>
      <c r="AM56">
        <f t="shared" si="7"/>
        <v>2.2484628392592589</v>
      </c>
      <c r="AP56" s="9"/>
      <c r="AQ56" s="21">
        <v>1.5083299999999999</v>
      </c>
      <c r="AR56" s="21">
        <v>24.244</v>
      </c>
      <c r="AS56" s="21">
        <v>-1.1969E-2</v>
      </c>
      <c r="AT56" s="21">
        <v>46</v>
      </c>
      <c r="AU56" s="21">
        <v>1.50726</v>
      </c>
      <c r="AV56">
        <f t="shared" si="8"/>
        <v>14.776543209876543</v>
      </c>
      <c r="AW56">
        <f t="shared" si="9"/>
        <v>22.287903419753086</v>
      </c>
      <c r="AX56" s="9"/>
      <c r="AY56" s="21">
        <v>0.13168299999999999</v>
      </c>
      <c r="AZ56" s="21">
        <v>27.942399999999999</v>
      </c>
      <c r="BA56" s="21">
        <v>-1.36963E-2</v>
      </c>
      <c r="BB56" s="21">
        <v>46</v>
      </c>
      <c r="BC56" s="21">
        <v>0.131134</v>
      </c>
      <c r="BD56">
        <f t="shared" si="10"/>
        <v>16.90901234567901</v>
      </c>
      <c r="BE56">
        <f t="shared" si="11"/>
        <v>2.2266294727160489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1.5033000000000001</v>
      </c>
      <c r="H57" s="21">
        <v>6.0626699999999998</v>
      </c>
      <c r="I57" s="21">
        <v>-1.20514E-2</v>
      </c>
      <c r="J57" s="21">
        <v>47</v>
      </c>
      <c r="K57" s="21">
        <v>1.5033000000000001</v>
      </c>
      <c r="L57">
        <f t="shared" si="0"/>
        <v>14.878271604938272</v>
      </c>
      <c r="M57">
        <f t="shared" si="1"/>
        <v>22.366505703703705</v>
      </c>
      <c r="N57" s="9"/>
      <c r="O57" s="21">
        <v>0.13671900000000001</v>
      </c>
      <c r="P57" s="21">
        <v>9.7610100000000006</v>
      </c>
      <c r="Q57" s="21">
        <v>-1.3815300000000001E-2</v>
      </c>
      <c r="R57" s="21">
        <v>47</v>
      </c>
      <c r="S57" s="21">
        <v>0.136078</v>
      </c>
      <c r="T57">
        <f t="shared" si="2"/>
        <v>17.055925925925926</v>
      </c>
      <c r="U57">
        <f t="shared" si="3"/>
        <v>2.3318691366666671</v>
      </c>
      <c r="X57" s="9"/>
      <c r="Y57" s="21">
        <v>1.5033000000000001</v>
      </c>
      <c r="Z57" s="21">
        <v>15.1219</v>
      </c>
      <c r="AA57" s="21">
        <v>-1.19843E-2</v>
      </c>
      <c r="AB57" s="21">
        <v>47</v>
      </c>
      <c r="AC57" s="21">
        <v>1.5026900000000001</v>
      </c>
      <c r="AD57">
        <f t="shared" si="4"/>
        <v>14.795432098765431</v>
      </c>
      <c r="AE57">
        <f t="shared" si="5"/>
        <v>22.241973074074075</v>
      </c>
      <c r="AF57" s="9"/>
      <c r="AG57" s="21">
        <v>0.13671900000000001</v>
      </c>
      <c r="AH57" s="21">
        <v>18.8203</v>
      </c>
      <c r="AI57" s="21">
        <v>-1.38245E-2</v>
      </c>
      <c r="AJ57" s="21">
        <v>47</v>
      </c>
      <c r="AK57" s="21">
        <v>0.13613900000000001</v>
      </c>
      <c r="AL57">
        <f t="shared" si="6"/>
        <v>17.067283950617281</v>
      </c>
      <c r="AM57">
        <f t="shared" si="7"/>
        <v>2.3334219944444441</v>
      </c>
      <c r="AP57" s="9"/>
      <c r="AQ57" s="21">
        <v>1.5033000000000001</v>
      </c>
      <c r="AR57" s="21">
        <v>24.254100000000001</v>
      </c>
      <c r="AS57" s="21">
        <v>-1.2008700000000001E-2</v>
      </c>
      <c r="AT57" s="21">
        <v>47</v>
      </c>
      <c r="AU57" s="21">
        <v>1.5026900000000001</v>
      </c>
      <c r="AV57">
        <f t="shared" si="8"/>
        <v>14.825555555555555</v>
      </c>
      <c r="AW57">
        <f t="shared" si="9"/>
        <v>22.287257666666665</v>
      </c>
      <c r="AX57" s="9"/>
      <c r="AY57" s="21">
        <v>0.13671900000000001</v>
      </c>
      <c r="AZ57" s="21">
        <v>27.952400000000001</v>
      </c>
      <c r="BA57" s="21">
        <v>-1.37054E-2</v>
      </c>
      <c r="BB57" s="21">
        <v>47</v>
      </c>
      <c r="BC57" s="21">
        <v>0.13622999999999999</v>
      </c>
      <c r="BD57">
        <f t="shared" si="10"/>
        <v>16.920246913580247</v>
      </c>
      <c r="BE57">
        <f t="shared" si="11"/>
        <v>2.3133192377777778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1.4982599999999999</v>
      </c>
      <c r="H58" s="21">
        <v>6.0727399999999996</v>
      </c>
      <c r="I58" s="21">
        <v>-1.20911E-2</v>
      </c>
      <c r="J58" s="21">
        <v>48</v>
      </c>
      <c r="K58" s="21">
        <v>1.49719</v>
      </c>
      <c r="L58">
        <f t="shared" si="0"/>
        <v>14.927283950617284</v>
      </c>
      <c r="M58">
        <f t="shared" si="1"/>
        <v>22.364952451851849</v>
      </c>
      <c r="N58" s="9"/>
      <c r="O58" s="21">
        <v>0.14175399999999999</v>
      </c>
      <c r="P58" s="21">
        <v>9.7710799999999995</v>
      </c>
      <c r="Q58" s="21">
        <v>-1.38245E-2</v>
      </c>
      <c r="R58" s="21">
        <v>48</v>
      </c>
      <c r="S58" s="21">
        <v>0.14111299999999999</v>
      </c>
      <c r="T58">
        <f t="shared" si="2"/>
        <v>17.067283950617281</v>
      </c>
      <c r="U58">
        <f t="shared" si="3"/>
        <v>2.4193557691358016</v>
      </c>
      <c r="X58" s="9"/>
      <c r="Y58" s="21">
        <v>1.4982599999999999</v>
      </c>
      <c r="Z58" s="21">
        <v>15.132</v>
      </c>
      <c r="AA58" s="21">
        <v>-1.20331E-2</v>
      </c>
      <c r="AB58" s="21">
        <v>48</v>
      </c>
      <c r="AC58" s="21">
        <v>1.4975000000000001</v>
      </c>
      <c r="AD58">
        <f t="shared" si="4"/>
        <v>14.855679012345679</v>
      </c>
      <c r="AE58">
        <f t="shared" si="5"/>
        <v>22.257669637037036</v>
      </c>
      <c r="AF58" s="9"/>
      <c r="AG58" s="21">
        <v>0.14175399999999999</v>
      </c>
      <c r="AH58" s="21">
        <v>18.830300000000001</v>
      </c>
      <c r="AI58" s="21">
        <v>-1.38184E-2</v>
      </c>
      <c r="AJ58" s="21">
        <v>48</v>
      </c>
      <c r="AK58" s="21">
        <v>0.14114399999999999</v>
      </c>
      <c r="AL58">
        <f t="shared" si="6"/>
        <v>17.05975308641975</v>
      </c>
      <c r="AM58">
        <f t="shared" si="7"/>
        <v>2.418288239012345</v>
      </c>
      <c r="AP58" s="9"/>
      <c r="AQ58" s="21">
        <v>1.4982599999999999</v>
      </c>
      <c r="AR58" s="21">
        <v>24.264199999999999</v>
      </c>
      <c r="AS58" s="21">
        <v>-1.20544E-2</v>
      </c>
      <c r="AT58" s="21">
        <v>48</v>
      </c>
      <c r="AU58" s="21">
        <v>1.4978</v>
      </c>
      <c r="AV58">
        <f t="shared" si="8"/>
        <v>14.881975308641973</v>
      </c>
      <c r="AW58">
        <f t="shared" si="9"/>
        <v>22.29706832592592</v>
      </c>
      <c r="AX58" s="9"/>
      <c r="AY58" s="21">
        <v>0.14175399999999999</v>
      </c>
      <c r="AZ58" s="21">
        <v>27.962499999999999</v>
      </c>
      <c r="BA58" s="21">
        <v>-1.3717699999999999E-2</v>
      </c>
      <c r="BB58" s="21">
        <v>48</v>
      </c>
      <c r="BC58" s="21">
        <v>0.141266</v>
      </c>
      <c r="BD58">
        <f t="shared" si="10"/>
        <v>16.935432098765432</v>
      </c>
      <c r="BE58">
        <f t="shared" si="11"/>
        <v>2.4006652417283947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1.4932300000000001</v>
      </c>
      <c r="H59" s="21">
        <v>6.0828100000000003</v>
      </c>
      <c r="I59" s="21">
        <v>-1.21368E-2</v>
      </c>
      <c r="J59" s="21">
        <v>49</v>
      </c>
      <c r="K59" s="21">
        <v>1.49261</v>
      </c>
      <c r="L59">
        <f t="shared" si="0"/>
        <v>14.983703703703702</v>
      </c>
      <c r="M59">
        <f t="shared" si="1"/>
        <v>22.37411588148148</v>
      </c>
      <c r="N59" s="9"/>
      <c r="O59" s="21">
        <v>0.14679</v>
      </c>
      <c r="P59" s="21">
        <v>9.7811500000000002</v>
      </c>
      <c r="Q59" s="21">
        <v>-1.38275E-2</v>
      </c>
      <c r="R59" s="21">
        <v>49</v>
      </c>
      <c r="S59" s="21">
        <v>0.14630099999999999</v>
      </c>
      <c r="T59">
        <f t="shared" si="2"/>
        <v>17.070987654320987</v>
      </c>
      <c r="U59">
        <f t="shared" si="3"/>
        <v>2.5058502777777778</v>
      </c>
      <c r="X59" s="9"/>
      <c r="Y59" s="21">
        <v>1.4932300000000001</v>
      </c>
      <c r="Z59" s="21">
        <v>15.141999999999999</v>
      </c>
      <c r="AA59" s="21">
        <v>-1.2085E-2</v>
      </c>
      <c r="AB59" s="21">
        <v>49</v>
      </c>
      <c r="AC59" s="21">
        <v>1.4932300000000001</v>
      </c>
      <c r="AD59">
        <f t="shared" si="4"/>
        <v>14.919753086419753</v>
      </c>
      <c r="AE59">
        <f t="shared" si="5"/>
        <v>22.27862290123457</v>
      </c>
      <c r="AF59" s="9"/>
      <c r="AG59" s="21">
        <v>0.14679</v>
      </c>
      <c r="AH59" s="21">
        <v>18.840399999999999</v>
      </c>
      <c r="AI59" s="21">
        <v>-1.3809200000000001E-2</v>
      </c>
      <c r="AJ59" s="21">
        <v>49</v>
      </c>
      <c r="AK59" s="21">
        <v>0.14624000000000001</v>
      </c>
      <c r="AL59">
        <f t="shared" si="6"/>
        <v>17.048395061728392</v>
      </c>
      <c r="AM59">
        <f t="shared" si="7"/>
        <v>2.5025339111111107</v>
      </c>
      <c r="AP59" s="9"/>
      <c r="AQ59" s="21">
        <v>1.4932300000000001</v>
      </c>
      <c r="AR59" s="21">
        <v>24.2742</v>
      </c>
      <c r="AS59" s="21">
        <v>-1.2103300000000001E-2</v>
      </c>
      <c r="AT59" s="21">
        <v>49</v>
      </c>
      <c r="AU59" s="21">
        <v>1.492</v>
      </c>
      <c r="AV59">
        <f t="shared" si="8"/>
        <v>14.942345679012346</v>
      </c>
      <c r="AW59">
        <f t="shared" si="9"/>
        <v>22.312358838271606</v>
      </c>
      <c r="AX59" s="9"/>
      <c r="AY59" s="21">
        <v>0.14679</v>
      </c>
      <c r="AZ59" s="21">
        <v>27.9726</v>
      </c>
      <c r="BA59" s="21">
        <v>-1.37238E-2</v>
      </c>
      <c r="BB59" s="21">
        <v>49</v>
      </c>
      <c r="BC59" s="21">
        <v>0.146179</v>
      </c>
      <c r="BD59">
        <f t="shared" si="10"/>
        <v>16.942962962962962</v>
      </c>
      <c r="BE59">
        <f t="shared" si="11"/>
        <v>2.4870575333333331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1.4881899999999999</v>
      </c>
      <c r="H60" s="21">
        <v>6.0928800000000001</v>
      </c>
      <c r="I60" s="21">
        <v>-1.21613E-2</v>
      </c>
      <c r="J60" s="21">
        <v>50</v>
      </c>
      <c r="K60" s="21">
        <v>1.48743</v>
      </c>
      <c r="L60">
        <f t="shared" si="0"/>
        <v>15.01395061728395</v>
      </c>
      <c r="M60">
        <f t="shared" si="1"/>
        <v>22.343611169135798</v>
      </c>
      <c r="N60" s="9"/>
      <c r="O60" s="21">
        <v>0.15182499999999999</v>
      </c>
      <c r="P60" s="21">
        <v>9.7912199999999991</v>
      </c>
      <c r="Q60" s="21">
        <v>-1.3821399999999999E-2</v>
      </c>
      <c r="R60" s="21">
        <v>50</v>
      </c>
      <c r="S60" s="21">
        <v>0.15127599999999999</v>
      </c>
      <c r="T60">
        <f t="shared" si="2"/>
        <v>17.063456790123453</v>
      </c>
      <c r="U60">
        <f t="shared" si="3"/>
        <v>2.590659327160493</v>
      </c>
      <c r="X60" s="9"/>
      <c r="Y60" s="21">
        <v>1.4881899999999999</v>
      </c>
      <c r="Z60" s="21">
        <v>15.152100000000001</v>
      </c>
      <c r="AA60" s="21">
        <v>-1.21368E-2</v>
      </c>
      <c r="AB60" s="21">
        <v>50</v>
      </c>
      <c r="AC60" s="21">
        <v>1.48773</v>
      </c>
      <c r="AD60">
        <f t="shared" si="4"/>
        <v>14.983703703703702</v>
      </c>
      <c r="AE60">
        <f t="shared" si="5"/>
        <v>22.298598014814811</v>
      </c>
      <c r="AF60" s="9"/>
      <c r="AG60" s="21">
        <v>0.15182499999999999</v>
      </c>
      <c r="AH60" s="21">
        <v>18.8505</v>
      </c>
      <c r="AI60" s="21">
        <v>-1.3809200000000001E-2</v>
      </c>
      <c r="AJ60" s="21">
        <v>50</v>
      </c>
      <c r="AK60" s="21">
        <v>0.15121499999999999</v>
      </c>
      <c r="AL60">
        <f t="shared" si="6"/>
        <v>17.048395061728392</v>
      </c>
      <c r="AM60">
        <f t="shared" si="7"/>
        <v>2.5883725802469129</v>
      </c>
      <c r="AP60" s="9"/>
      <c r="AQ60" s="21">
        <v>1.4881899999999999</v>
      </c>
      <c r="AR60" s="21">
        <v>24.284300000000002</v>
      </c>
      <c r="AS60" s="21">
        <v>-1.2152100000000001E-2</v>
      </c>
      <c r="AT60" s="21">
        <v>50</v>
      </c>
      <c r="AU60" s="21">
        <v>1.48773</v>
      </c>
      <c r="AV60">
        <f t="shared" si="8"/>
        <v>15.002592592592592</v>
      </c>
      <c r="AW60">
        <f t="shared" si="9"/>
        <v>22.326708270370368</v>
      </c>
      <c r="AX60" s="9"/>
      <c r="AY60" s="21">
        <v>0.15182499999999999</v>
      </c>
      <c r="AZ60" s="21">
        <v>27.982700000000001</v>
      </c>
      <c r="BA60" s="21">
        <v>-1.37146E-2</v>
      </c>
      <c r="BB60" s="21">
        <v>50</v>
      </c>
      <c r="BC60" s="21">
        <v>0.15124499999999999</v>
      </c>
      <c r="BD60">
        <f t="shared" si="10"/>
        <v>16.931604938271605</v>
      </c>
      <c r="BE60">
        <f t="shared" si="11"/>
        <v>2.5706409197530862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1.48315</v>
      </c>
      <c r="H61" s="21">
        <v>6.1029499999999999</v>
      </c>
      <c r="I61" s="21">
        <v>-1.2191799999999999E-2</v>
      </c>
      <c r="J61" s="21">
        <v>51</v>
      </c>
      <c r="K61" s="21">
        <v>1.48315</v>
      </c>
      <c r="L61">
        <f t="shared" si="0"/>
        <v>15.051604938271602</v>
      </c>
      <c r="M61">
        <f t="shared" si="1"/>
        <v>22.323787864197527</v>
      </c>
      <c r="N61" s="9"/>
      <c r="O61" s="21">
        <v>0.15686</v>
      </c>
      <c r="P61" s="21">
        <v>9.8012899999999998</v>
      </c>
      <c r="Q61" s="21">
        <v>-1.38184E-2</v>
      </c>
      <c r="R61" s="21">
        <v>51</v>
      </c>
      <c r="S61" s="21">
        <v>0.156281</v>
      </c>
      <c r="T61">
        <f t="shared" si="2"/>
        <v>17.05975308641975</v>
      </c>
      <c r="U61">
        <f t="shared" si="3"/>
        <v>2.6759928691358019</v>
      </c>
      <c r="X61" s="9"/>
      <c r="Y61" s="21">
        <v>1.48315</v>
      </c>
      <c r="Z61" s="21">
        <v>15.1622</v>
      </c>
      <c r="AA61" s="21">
        <v>-1.21826E-2</v>
      </c>
      <c r="AB61" s="21">
        <v>51</v>
      </c>
      <c r="AC61" s="21">
        <v>1.48254</v>
      </c>
      <c r="AD61">
        <f t="shared" si="4"/>
        <v>15.040246913580246</v>
      </c>
      <c r="AE61">
        <f t="shared" si="5"/>
        <v>22.306942209876542</v>
      </c>
      <c r="AF61" s="9"/>
      <c r="AG61" s="21">
        <v>0.15686</v>
      </c>
      <c r="AH61" s="21">
        <v>18.860499999999998</v>
      </c>
      <c r="AI61" s="21">
        <v>-1.38E-2</v>
      </c>
      <c r="AJ61" s="21">
        <v>51</v>
      </c>
      <c r="AK61" s="21">
        <v>0.15640299999999999</v>
      </c>
      <c r="AL61">
        <f t="shared" si="6"/>
        <v>17.037037037037035</v>
      </c>
      <c r="AM61">
        <f t="shared" si="7"/>
        <v>2.672429629629629</v>
      </c>
      <c r="AP61" s="9"/>
      <c r="AQ61" s="21">
        <v>1.48315</v>
      </c>
      <c r="AR61" s="21">
        <v>24.2944</v>
      </c>
      <c r="AS61" s="21">
        <v>-1.2200900000000001E-2</v>
      </c>
      <c r="AT61" s="21">
        <v>51</v>
      </c>
      <c r="AU61" s="21">
        <v>1.48193</v>
      </c>
      <c r="AV61">
        <f t="shared" si="8"/>
        <v>15.062839506172839</v>
      </c>
      <c r="AW61">
        <f t="shared" si="9"/>
        <v>22.340450413580246</v>
      </c>
      <c r="AX61" s="9"/>
      <c r="AY61" s="21">
        <v>0.15686</v>
      </c>
      <c r="AZ61" s="21">
        <v>27.992699999999999</v>
      </c>
      <c r="BA61" s="21">
        <v>-1.37054E-2</v>
      </c>
      <c r="BB61" s="21">
        <v>51</v>
      </c>
      <c r="BC61" s="21">
        <v>0.15625</v>
      </c>
      <c r="BD61">
        <f t="shared" si="10"/>
        <v>16.920246913580247</v>
      </c>
      <c r="BE61">
        <f t="shared" si="11"/>
        <v>2.6541099308641973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1.4781200000000001</v>
      </c>
      <c r="H62" s="21">
        <v>6.1130199999999997</v>
      </c>
      <c r="I62" s="21">
        <v>-1.22284E-2</v>
      </c>
      <c r="J62" s="21">
        <v>52</v>
      </c>
      <c r="K62" s="21">
        <v>1.47766</v>
      </c>
      <c r="L62">
        <f t="shared" si="0"/>
        <v>15.096790123456788</v>
      </c>
      <c r="M62">
        <f t="shared" si="1"/>
        <v>22.314867417283949</v>
      </c>
      <c r="N62" s="9"/>
      <c r="O62" s="21">
        <v>0.16189600000000001</v>
      </c>
      <c r="P62" s="21">
        <v>9.8113600000000005</v>
      </c>
      <c r="Q62" s="21">
        <v>-1.3821399999999999E-2</v>
      </c>
      <c r="R62" s="21">
        <v>52</v>
      </c>
      <c r="S62" s="21">
        <v>0.16131599999999999</v>
      </c>
      <c r="T62">
        <f t="shared" si="2"/>
        <v>17.063456790123453</v>
      </c>
      <c r="U62">
        <f t="shared" si="3"/>
        <v>2.762505400493827</v>
      </c>
      <c r="X62" s="9"/>
      <c r="Y62" s="21">
        <v>1.4781200000000001</v>
      </c>
      <c r="Z62" s="21">
        <v>15.1722</v>
      </c>
      <c r="AA62" s="21">
        <v>-1.22253E-2</v>
      </c>
      <c r="AB62" s="21">
        <v>52</v>
      </c>
      <c r="AC62" s="21">
        <v>1.47766</v>
      </c>
      <c r="AD62">
        <f t="shared" si="4"/>
        <v>15.092962962962961</v>
      </c>
      <c r="AE62">
        <f t="shared" si="5"/>
        <v>22.309210414814814</v>
      </c>
      <c r="AF62" s="9"/>
      <c r="AG62" s="21">
        <v>0.16189600000000001</v>
      </c>
      <c r="AH62" s="21">
        <v>18.8706</v>
      </c>
      <c r="AI62" s="21">
        <v>-1.37909E-2</v>
      </c>
      <c r="AJ62" s="21">
        <v>52</v>
      </c>
      <c r="AK62" s="21">
        <v>0.16156000000000001</v>
      </c>
      <c r="AL62">
        <f t="shared" si="6"/>
        <v>17.025802469135801</v>
      </c>
      <c r="AM62">
        <f t="shared" si="7"/>
        <v>2.75640931654321</v>
      </c>
      <c r="AP62" s="9"/>
      <c r="AQ62" s="21">
        <v>1.4781200000000001</v>
      </c>
      <c r="AR62" s="21">
        <v>24.304500000000001</v>
      </c>
      <c r="AS62" s="21">
        <v>-1.22314E-2</v>
      </c>
      <c r="AT62" s="21">
        <v>52</v>
      </c>
      <c r="AU62" s="21">
        <v>1.47766</v>
      </c>
      <c r="AV62">
        <f t="shared" si="8"/>
        <v>15.100493827160493</v>
      </c>
      <c r="AW62">
        <f t="shared" si="9"/>
        <v>22.320341935802471</v>
      </c>
      <c r="AX62" s="9"/>
      <c r="AY62" s="21">
        <v>0.16189600000000001</v>
      </c>
      <c r="AZ62" s="21">
        <v>28.002800000000001</v>
      </c>
      <c r="BA62" s="21">
        <v>-1.3699299999999999E-2</v>
      </c>
      <c r="BB62" s="21">
        <v>52</v>
      </c>
      <c r="BC62" s="21">
        <v>0.16137699999999999</v>
      </c>
      <c r="BD62">
        <f t="shared" si="10"/>
        <v>16.912716049382716</v>
      </c>
      <c r="BE62">
        <f t="shared" si="11"/>
        <v>2.7381010775308643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1.4730799999999999</v>
      </c>
      <c r="H63" s="21">
        <v>6.1230900000000004</v>
      </c>
      <c r="I63" s="21">
        <v>-1.2265E-2</v>
      </c>
      <c r="J63" s="21">
        <v>53</v>
      </c>
      <c r="K63" s="21">
        <v>1.4724699999999999</v>
      </c>
      <c r="L63">
        <f t="shared" si="0"/>
        <v>15.141975308641973</v>
      </c>
      <c r="M63">
        <f t="shared" si="1"/>
        <v>22.305340987654315</v>
      </c>
      <c r="N63" s="9"/>
      <c r="O63" s="21">
        <v>0.166931</v>
      </c>
      <c r="P63" s="21">
        <v>9.8214299999999994</v>
      </c>
      <c r="Q63" s="21">
        <v>-1.3815300000000001E-2</v>
      </c>
      <c r="R63" s="21">
        <v>53</v>
      </c>
      <c r="S63" s="21">
        <v>0.166412</v>
      </c>
      <c r="T63">
        <f t="shared" si="2"/>
        <v>17.055925925925926</v>
      </c>
      <c r="U63">
        <f t="shared" si="3"/>
        <v>2.8471627707407405</v>
      </c>
      <c r="X63" s="9"/>
      <c r="Y63" s="21">
        <v>1.4730799999999999</v>
      </c>
      <c r="Z63" s="21">
        <v>15.1823</v>
      </c>
      <c r="AA63" s="21">
        <v>-1.2262E-2</v>
      </c>
      <c r="AB63" s="21">
        <v>53</v>
      </c>
      <c r="AC63" s="21">
        <v>1.4730799999999999</v>
      </c>
      <c r="AD63">
        <f t="shared" si="4"/>
        <v>15.138271604938272</v>
      </c>
      <c r="AE63">
        <f t="shared" si="5"/>
        <v>22.299885135802469</v>
      </c>
      <c r="AF63" s="9"/>
      <c r="AG63" s="21">
        <v>0.166931</v>
      </c>
      <c r="AH63" s="21">
        <v>18.880700000000001</v>
      </c>
      <c r="AI63" s="21">
        <v>-1.3772599999999999E-2</v>
      </c>
      <c r="AJ63" s="21">
        <v>53</v>
      </c>
      <c r="AK63" s="21">
        <v>0.16628999999999999</v>
      </c>
      <c r="AL63">
        <f t="shared" si="6"/>
        <v>17.00320987654321</v>
      </c>
      <c r="AM63">
        <f t="shared" si="7"/>
        <v>2.8383628279012343</v>
      </c>
      <c r="AP63" s="9"/>
      <c r="AQ63" s="21">
        <v>1.4730799999999999</v>
      </c>
      <c r="AR63" s="21">
        <v>24.314499999999999</v>
      </c>
      <c r="AS63" s="21">
        <v>-1.22711E-2</v>
      </c>
      <c r="AT63" s="21">
        <v>53</v>
      </c>
      <c r="AU63" s="21">
        <v>1.47217</v>
      </c>
      <c r="AV63">
        <f t="shared" si="8"/>
        <v>15.149506172839505</v>
      </c>
      <c r="AW63">
        <f t="shared" si="9"/>
        <v>22.316434553086417</v>
      </c>
      <c r="AX63" s="9"/>
      <c r="AY63" s="21">
        <v>0.166931</v>
      </c>
      <c r="AZ63" s="21">
        <v>28.012899999999998</v>
      </c>
      <c r="BA63" s="21">
        <v>-1.37085E-2</v>
      </c>
      <c r="BB63" s="21">
        <v>53</v>
      </c>
      <c r="BC63" s="21">
        <v>0.166382</v>
      </c>
      <c r="BD63">
        <f t="shared" si="10"/>
        <v>16.924074074074074</v>
      </c>
      <c r="BE63">
        <f t="shared" si="11"/>
        <v>2.8251526092592592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1.4680500000000001</v>
      </c>
      <c r="H64" s="21">
        <v>6.1331600000000002</v>
      </c>
      <c r="I64" s="21">
        <v>-1.2301599999999999E-2</v>
      </c>
      <c r="J64" s="21">
        <v>54</v>
      </c>
      <c r="K64" s="21">
        <v>1.46759</v>
      </c>
      <c r="L64">
        <f t="shared" si="0"/>
        <v>15.187160493827157</v>
      </c>
      <c r="M64">
        <f t="shared" si="1"/>
        <v>22.295510962962961</v>
      </c>
      <c r="N64" s="9"/>
      <c r="O64" s="21">
        <v>0.17196700000000001</v>
      </c>
      <c r="P64" s="21">
        <v>9.8315000000000001</v>
      </c>
      <c r="Q64" s="21">
        <v>-1.38245E-2</v>
      </c>
      <c r="R64" s="21">
        <v>54</v>
      </c>
      <c r="S64" s="21">
        <v>0.17135600000000001</v>
      </c>
      <c r="T64">
        <f t="shared" si="2"/>
        <v>17.067283950617281</v>
      </c>
      <c r="U64">
        <f t="shared" si="3"/>
        <v>2.9350096191358022</v>
      </c>
      <c r="X64" s="9"/>
      <c r="Y64" s="21">
        <v>1.4680500000000001</v>
      </c>
      <c r="Z64" s="21">
        <v>15.192399999999999</v>
      </c>
      <c r="AA64" s="21">
        <v>-1.23108E-2</v>
      </c>
      <c r="AB64" s="21">
        <v>54</v>
      </c>
      <c r="AC64" s="21">
        <v>1.46759</v>
      </c>
      <c r="AD64">
        <f t="shared" si="4"/>
        <v>15.198518518518517</v>
      </c>
      <c r="AE64">
        <f t="shared" si="5"/>
        <v>22.312185111111109</v>
      </c>
      <c r="AF64" s="9"/>
      <c r="AG64" s="21">
        <v>0.17196700000000001</v>
      </c>
      <c r="AH64" s="21">
        <v>18.890699999999999</v>
      </c>
      <c r="AI64" s="21">
        <v>-1.37634E-2</v>
      </c>
      <c r="AJ64" s="21">
        <v>54</v>
      </c>
      <c r="AK64" s="21">
        <v>0.171295</v>
      </c>
      <c r="AL64">
        <f t="shared" si="6"/>
        <v>16.991851851851852</v>
      </c>
      <c r="AM64">
        <f t="shared" si="7"/>
        <v>2.9220377874074077</v>
      </c>
      <c r="AP64" s="9"/>
      <c r="AQ64" s="21">
        <v>1.4680500000000001</v>
      </c>
      <c r="AR64" s="21">
        <v>24.3246</v>
      </c>
      <c r="AS64" s="21">
        <v>-1.23077E-2</v>
      </c>
      <c r="AT64" s="21">
        <v>54</v>
      </c>
      <c r="AU64" s="21">
        <v>1.4666699999999999</v>
      </c>
      <c r="AV64">
        <f t="shared" si="8"/>
        <v>15.19469135802469</v>
      </c>
      <c r="AW64">
        <f t="shared" si="9"/>
        <v>22.306566648148145</v>
      </c>
      <c r="AX64" s="9"/>
      <c r="AY64" s="21">
        <v>0.17196700000000001</v>
      </c>
      <c r="AZ64" s="21">
        <v>28.0229</v>
      </c>
      <c r="BA64" s="21">
        <v>-1.37115E-2</v>
      </c>
      <c r="BB64" s="21">
        <v>54</v>
      </c>
      <c r="BC64" s="21">
        <v>0.171265</v>
      </c>
      <c r="BD64">
        <f t="shared" si="10"/>
        <v>16.927777777777777</v>
      </c>
      <c r="BE64">
        <f t="shared" si="11"/>
        <v>2.9110191611111111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1.4630099999999999</v>
      </c>
      <c r="H65" s="21">
        <v>6.14323</v>
      </c>
      <c r="I65" s="21">
        <v>-1.23383E-2</v>
      </c>
      <c r="J65" s="21">
        <v>55</v>
      </c>
      <c r="K65" s="21">
        <v>1.4623999999999999</v>
      </c>
      <c r="L65">
        <f t="shared" si="0"/>
        <v>15.232469135802468</v>
      </c>
      <c r="M65">
        <f t="shared" si="1"/>
        <v>22.285254670370367</v>
      </c>
      <c r="N65" s="9"/>
      <c r="O65" s="21">
        <v>0.17700199999999999</v>
      </c>
      <c r="P65" s="21">
        <v>9.8415700000000008</v>
      </c>
      <c r="Q65" s="21">
        <v>-1.3821399999999999E-2</v>
      </c>
      <c r="R65" s="21">
        <v>55</v>
      </c>
      <c r="S65" s="21">
        <v>0.176453</v>
      </c>
      <c r="T65">
        <f t="shared" si="2"/>
        <v>17.063456790123453</v>
      </c>
      <c r="U65">
        <f t="shared" si="3"/>
        <v>3.0202659787654316</v>
      </c>
      <c r="X65" s="9"/>
      <c r="Y65" s="21">
        <v>1.4630099999999999</v>
      </c>
      <c r="Z65" s="21">
        <v>15.202400000000001</v>
      </c>
      <c r="AA65" s="21">
        <v>-1.2362700000000001E-2</v>
      </c>
      <c r="AB65" s="21">
        <v>55</v>
      </c>
      <c r="AC65" s="21">
        <v>1.4623999999999999</v>
      </c>
      <c r="AD65">
        <f t="shared" si="4"/>
        <v>15.262592592592593</v>
      </c>
      <c r="AE65">
        <f t="shared" si="5"/>
        <v>22.329325588888889</v>
      </c>
      <c r="AF65" s="9"/>
      <c r="AG65" s="21">
        <v>0.17700199999999999</v>
      </c>
      <c r="AH65" s="21">
        <v>18.9008</v>
      </c>
      <c r="AI65" s="21">
        <v>-1.3760400000000001E-2</v>
      </c>
      <c r="AJ65" s="21">
        <v>55</v>
      </c>
      <c r="AK65" s="21">
        <v>0.176422</v>
      </c>
      <c r="AL65">
        <f t="shared" si="6"/>
        <v>16.988148148148149</v>
      </c>
      <c r="AM65">
        <f t="shared" si="7"/>
        <v>3.0069361985185186</v>
      </c>
      <c r="AP65" s="9"/>
      <c r="AQ65" s="21">
        <v>1.4630099999999999</v>
      </c>
      <c r="AR65" s="21">
        <v>24.334700000000002</v>
      </c>
      <c r="AS65" s="21">
        <v>-1.23444E-2</v>
      </c>
      <c r="AT65" s="21">
        <v>55</v>
      </c>
      <c r="AU65" s="21">
        <v>1.46271</v>
      </c>
      <c r="AV65">
        <f t="shared" si="8"/>
        <v>15.239999999999998</v>
      </c>
      <c r="AW65">
        <f t="shared" si="9"/>
        <v>22.296272399999996</v>
      </c>
      <c r="AX65" s="9"/>
      <c r="AY65" s="21">
        <v>0.17700199999999999</v>
      </c>
      <c r="AZ65" s="21">
        <v>28.033000000000001</v>
      </c>
      <c r="BA65" s="21">
        <v>-1.37115E-2</v>
      </c>
      <c r="BB65" s="21">
        <v>55</v>
      </c>
      <c r="BC65" s="21">
        <v>0.17654400000000001</v>
      </c>
      <c r="BD65">
        <f t="shared" si="10"/>
        <v>16.927777777777777</v>
      </c>
      <c r="BE65">
        <f t="shared" si="11"/>
        <v>2.9962505222222218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1.4579800000000001</v>
      </c>
      <c r="H66" s="21">
        <v>6.1533100000000003</v>
      </c>
      <c r="I66" s="21">
        <v>-1.23657E-2</v>
      </c>
      <c r="J66" s="21">
        <v>56</v>
      </c>
      <c r="K66" s="21">
        <v>1.4572099999999999</v>
      </c>
      <c r="L66">
        <f t="shared" si="0"/>
        <v>15.266296296296295</v>
      </c>
      <c r="M66">
        <f t="shared" si="1"/>
        <v>22.257954674074071</v>
      </c>
      <c r="N66" s="9"/>
      <c r="O66" s="21">
        <v>0.182037</v>
      </c>
      <c r="P66" s="21">
        <v>9.8516399999999997</v>
      </c>
      <c r="Q66" s="21">
        <v>-1.38336E-2</v>
      </c>
      <c r="R66" s="21">
        <v>56</v>
      </c>
      <c r="S66" s="21">
        <v>0.18124399999999999</v>
      </c>
      <c r="T66">
        <f t="shared" si="2"/>
        <v>17.078518518518518</v>
      </c>
      <c r="U66">
        <f t="shared" si="3"/>
        <v>3.1089222755555554</v>
      </c>
      <c r="X66" s="9"/>
      <c r="Y66" s="21">
        <v>1.4579800000000001</v>
      </c>
      <c r="Z66" s="21">
        <v>15.2125</v>
      </c>
      <c r="AA66" s="21">
        <v>-1.24054E-2</v>
      </c>
      <c r="AB66" s="21">
        <v>56</v>
      </c>
      <c r="AC66" s="21">
        <v>1.4578199999999999</v>
      </c>
      <c r="AD66">
        <f t="shared" si="4"/>
        <v>15.315308641975308</v>
      </c>
      <c r="AE66">
        <f t="shared" si="5"/>
        <v>22.32941369382716</v>
      </c>
      <c r="AF66" s="9"/>
      <c r="AG66" s="21">
        <v>0.182037</v>
      </c>
      <c r="AH66" s="21">
        <v>18.910900000000002</v>
      </c>
      <c r="AI66" s="21">
        <v>-1.37573E-2</v>
      </c>
      <c r="AJ66" s="21">
        <v>56</v>
      </c>
      <c r="AK66" s="21">
        <v>0.18145800000000001</v>
      </c>
      <c r="AL66">
        <f t="shared" si="6"/>
        <v>16.984320987654321</v>
      </c>
      <c r="AM66">
        <f t="shared" si="7"/>
        <v>3.0917748396296298</v>
      </c>
      <c r="AP66" s="9"/>
      <c r="AQ66" s="21">
        <v>1.4579800000000001</v>
      </c>
      <c r="AR66" s="21">
        <v>24.3447</v>
      </c>
      <c r="AS66" s="21">
        <v>-1.23871E-2</v>
      </c>
      <c r="AT66" s="21">
        <v>56</v>
      </c>
      <c r="AU66" s="21">
        <v>1.4572099999999999</v>
      </c>
      <c r="AV66">
        <f t="shared" si="8"/>
        <v>15.292716049382715</v>
      </c>
      <c r="AW66">
        <f t="shared" si="9"/>
        <v>22.296474145679014</v>
      </c>
      <c r="AX66" s="9"/>
      <c r="AY66" s="21">
        <v>0.182037</v>
      </c>
      <c r="AZ66" s="21">
        <v>28.043099999999999</v>
      </c>
      <c r="BA66" s="21">
        <v>-1.37146E-2</v>
      </c>
      <c r="BB66" s="21">
        <v>56</v>
      </c>
      <c r="BC66" s="21">
        <v>0.18148800000000001</v>
      </c>
      <c r="BD66">
        <f t="shared" si="10"/>
        <v>16.931604938271605</v>
      </c>
      <c r="BE66">
        <f t="shared" si="11"/>
        <v>3.0821785681481479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1.4529399999999999</v>
      </c>
      <c r="H67" s="21">
        <v>6.1633800000000001</v>
      </c>
      <c r="I67" s="21">
        <v>-1.24054E-2</v>
      </c>
      <c r="J67" s="21">
        <v>57</v>
      </c>
      <c r="K67" s="21">
        <v>1.4526399999999999</v>
      </c>
      <c r="L67">
        <f t="shared" si="0"/>
        <v>15.315308641975308</v>
      </c>
      <c r="M67">
        <f t="shared" si="1"/>
        <v>22.252224538271602</v>
      </c>
      <c r="N67" s="9"/>
      <c r="O67" s="21">
        <v>0.18707299999999999</v>
      </c>
      <c r="P67" s="21">
        <v>9.86172</v>
      </c>
      <c r="Q67" s="21">
        <v>-1.38184E-2</v>
      </c>
      <c r="R67" s="21">
        <v>57</v>
      </c>
      <c r="S67" s="21">
        <v>0.18652299999999999</v>
      </c>
      <c r="T67">
        <f t="shared" si="2"/>
        <v>17.05975308641975</v>
      </c>
      <c r="U67">
        <f t="shared" si="3"/>
        <v>3.1914191891358019</v>
      </c>
      <c r="X67" s="9"/>
      <c r="Y67" s="21">
        <v>1.4529399999999999</v>
      </c>
      <c r="Z67" s="21">
        <v>15.2226</v>
      </c>
      <c r="AA67" s="21">
        <v>-1.2445100000000001E-2</v>
      </c>
      <c r="AB67" s="21">
        <v>57</v>
      </c>
      <c r="AC67" s="21">
        <v>1.4523299999999999</v>
      </c>
      <c r="AD67">
        <f t="shared" si="4"/>
        <v>15.36432098765432</v>
      </c>
      <c r="AE67">
        <f t="shared" si="5"/>
        <v>22.323436535802468</v>
      </c>
      <c r="AF67" s="9"/>
      <c r="AG67" s="21">
        <v>0.18707299999999999</v>
      </c>
      <c r="AH67" s="21">
        <v>18.920999999999999</v>
      </c>
      <c r="AI67" s="21">
        <v>-1.37451E-2</v>
      </c>
      <c r="AJ67" s="21">
        <v>57</v>
      </c>
      <c r="AK67" s="21">
        <v>0.18652299999999999</v>
      </c>
      <c r="AL67">
        <f t="shared" si="6"/>
        <v>16.969259259259257</v>
      </c>
      <c r="AM67">
        <f t="shared" si="7"/>
        <v>3.1744902374074067</v>
      </c>
      <c r="AP67" s="9"/>
      <c r="AQ67" s="21">
        <v>1.4529399999999999</v>
      </c>
      <c r="AR67" s="21">
        <v>24.354800000000001</v>
      </c>
      <c r="AS67" s="21">
        <v>-1.2423699999999999E-2</v>
      </c>
      <c r="AT67" s="21">
        <v>57</v>
      </c>
      <c r="AU67" s="21">
        <v>1.4523299999999999</v>
      </c>
      <c r="AV67">
        <f t="shared" si="8"/>
        <v>15.3379012345679</v>
      </c>
      <c r="AW67">
        <f t="shared" si="9"/>
        <v>22.285050219753082</v>
      </c>
      <c r="AX67" s="9"/>
      <c r="AY67" s="21">
        <v>0.18707299999999999</v>
      </c>
      <c r="AZ67" s="21">
        <v>28.053100000000001</v>
      </c>
      <c r="BA67" s="21">
        <v>-1.3726800000000001E-2</v>
      </c>
      <c r="BB67" s="21">
        <v>57</v>
      </c>
      <c r="BC67" s="21">
        <v>0.18646199999999999</v>
      </c>
      <c r="BD67">
        <f t="shared" si="10"/>
        <v>16.946666666666665</v>
      </c>
      <c r="BE67">
        <f t="shared" si="11"/>
        <v>3.1702637733333328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1.44791</v>
      </c>
      <c r="H68" s="21">
        <v>6.1734499999999999</v>
      </c>
      <c r="I68" s="21">
        <v>-1.24359E-2</v>
      </c>
      <c r="J68" s="21">
        <v>58</v>
      </c>
      <c r="K68" s="21">
        <v>1.4480599999999999</v>
      </c>
      <c r="L68">
        <f t="shared" si="0"/>
        <v>15.352962962962962</v>
      </c>
      <c r="M68">
        <f t="shared" si="1"/>
        <v>22.229708603703703</v>
      </c>
      <c r="N68" s="9"/>
      <c r="O68" s="21">
        <v>0.192108</v>
      </c>
      <c r="P68" s="21">
        <v>9.8717900000000007</v>
      </c>
      <c r="Q68" s="21">
        <v>-1.3809200000000001E-2</v>
      </c>
      <c r="R68" s="21">
        <v>58</v>
      </c>
      <c r="S68" s="21">
        <v>0.191498</v>
      </c>
      <c r="T68">
        <f t="shared" si="2"/>
        <v>17.048395061728392</v>
      </c>
      <c r="U68">
        <f t="shared" si="3"/>
        <v>3.2751330785185182</v>
      </c>
      <c r="X68" s="9"/>
      <c r="Y68" s="21">
        <v>1.44791</v>
      </c>
      <c r="Z68" s="21">
        <v>15.232699999999999</v>
      </c>
      <c r="AA68" s="21">
        <v>-1.24756E-2</v>
      </c>
      <c r="AB68" s="21">
        <v>58</v>
      </c>
      <c r="AC68" s="21">
        <v>1.4468399999999999</v>
      </c>
      <c r="AD68">
        <f t="shared" si="4"/>
        <v>15.401975308641974</v>
      </c>
      <c r="AE68">
        <f t="shared" si="5"/>
        <v>22.300674069135802</v>
      </c>
      <c r="AF68" s="9"/>
      <c r="AG68" s="21">
        <v>0.192108</v>
      </c>
      <c r="AH68" s="21">
        <v>18.931000000000001</v>
      </c>
      <c r="AI68" s="21">
        <v>-1.37238E-2</v>
      </c>
      <c r="AJ68" s="21">
        <v>58</v>
      </c>
      <c r="AK68" s="21">
        <v>0.19155900000000001</v>
      </c>
      <c r="AL68">
        <f t="shared" si="6"/>
        <v>16.942962962962962</v>
      </c>
      <c r="AM68">
        <f t="shared" si="7"/>
        <v>3.254878728888889</v>
      </c>
      <c r="AP68" s="9"/>
      <c r="AQ68" s="21">
        <v>1.44791</v>
      </c>
      <c r="AR68" s="21">
        <v>24.364899999999999</v>
      </c>
      <c r="AS68" s="21">
        <v>-1.2466400000000001E-2</v>
      </c>
      <c r="AT68" s="21">
        <v>58</v>
      </c>
      <c r="AU68" s="21">
        <v>1.4474499999999999</v>
      </c>
      <c r="AV68">
        <f t="shared" si="8"/>
        <v>15.390617283950617</v>
      </c>
      <c r="AW68">
        <f t="shared" si="9"/>
        <v>22.284228671604939</v>
      </c>
      <c r="AX68" s="9"/>
      <c r="AY68" s="21">
        <v>0.192108</v>
      </c>
      <c r="AZ68" s="21">
        <v>28.063199999999998</v>
      </c>
      <c r="BA68" s="21">
        <v>-1.3736E-2</v>
      </c>
      <c r="BB68" s="21">
        <v>58</v>
      </c>
      <c r="BC68" s="21">
        <v>0.19162000000000001</v>
      </c>
      <c r="BD68">
        <f t="shared" si="10"/>
        <v>16.958024691358023</v>
      </c>
      <c r="BE68">
        <f t="shared" si="11"/>
        <v>3.2577722074074074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1.4428700000000001</v>
      </c>
      <c r="H69" s="21">
        <v>6.1835199999999997</v>
      </c>
      <c r="I69" s="21">
        <v>-1.24756E-2</v>
      </c>
      <c r="J69" s="21">
        <v>59</v>
      </c>
      <c r="K69" s="21">
        <v>1.4422600000000001</v>
      </c>
      <c r="L69">
        <f t="shared" si="0"/>
        <v>15.401975308641974</v>
      </c>
      <c r="M69">
        <f t="shared" si="1"/>
        <v>22.223048113580248</v>
      </c>
      <c r="N69" s="9"/>
      <c r="O69" s="21">
        <v>0.19714400000000001</v>
      </c>
      <c r="P69" s="21">
        <v>9.8818599999999996</v>
      </c>
      <c r="Q69" s="21">
        <v>-1.38E-2</v>
      </c>
      <c r="R69" s="21">
        <v>59</v>
      </c>
      <c r="S69" s="21">
        <v>0.196655</v>
      </c>
      <c r="T69">
        <f t="shared" si="2"/>
        <v>17.037037037037035</v>
      </c>
      <c r="U69">
        <f t="shared" si="3"/>
        <v>3.3587496296296293</v>
      </c>
      <c r="X69" s="9"/>
      <c r="Y69" s="21">
        <v>1.4428700000000001</v>
      </c>
      <c r="Z69" s="21">
        <v>15.242699999999999</v>
      </c>
      <c r="AA69" s="21">
        <v>-1.25153E-2</v>
      </c>
      <c r="AB69" s="21">
        <v>59</v>
      </c>
      <c r="AC69" s="21">
        <v>1.4416500000000001</v>
      </c>
      <c r="AD69">
        <f t="shared" si="4"/>
        <v>15.450987654320988</v>
      </c>
      <c r="AE69">
        <f t="shared" si="5"/>
        <v>22.293766556790125</v>
      </c>
      <c r="AF69" s="9"/>
      <c r="AG69" s="21">
        <v>0.19714400000000001</v>
      </c>
      <c r="AH69" s="21">
        <v>18.941099999999999</v>
      </c>
      <c r="AI69" s="21">
        <v>-1.37085E-2</v>
      </c>
      <c r="AJ69" s="21">
        <v>59</v>
      </c>
      <c r="AK69" s="21">
        <v>0.196716</v>
      </c>
      <c r="AL69">
        <f t="shared" si="6"/>
        <v>16.924074074074074</v>
      </c>
      <c r="AM69">
        <f t="shared" si="7"/>
        <v>3.3364796592592594</v>
      </c>
      <c r="AP69" s="9"/>
      <c r="AQ69" s="21">
        <v>1.4428700000000001</v>
      </c>
      <c r="AR69" s="21">
        <v>24.375</v>
      </c>
      <c r="AS69" s="21">
        <v>-1.2506099999999999E-2</v>
      </c>
      <c r="AT69" s="21">
        <v>59</v>
      </c>
      <c r="AU69" s="21">
        <v>1.4422600000000001</v>
      </c>
      <c r="AV69">
        <f t="shared" si="8"/>
        <v>15.439629629629628</v>
      </c>
      <c r="AW69">
        <f t="shared" si="9"/>
        <v>22.277378403703704</v>
      </c>
      <c r="AX69" s="9"/>
      <c r="AY69" s="21">
        <v>0.19714400000000001</v>
      </c>
      <c r="AZ69" s="21">
        <v>28.0733</v>
      </c>
      <c r="BA69" s="21">
        <v>-1.3738999999999999E-2</v>
      </c>
      <c r="BB69" s="21">
        <v>59</v>
      </c>
      <c r="BC69" s="21">
        <v>0.19659399999999999</v>
      </c>
      <c r="BD69">
        <f t="shared" si="10"/>
        <v>16.961728395061726</v>
      </c>
      <c r="BE69">
        <f t="shared" si="11"/>
        <v>3.3439029827160494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1.43784</v>
      </c>
      <c r="H70" s="21">
        <v>6.1935900000000004</v>
      </c>
      <c r="I70" s="21">
        <v>-1.2500000000000001E-2</v>
      </c>
      <c r="J70" s="21">
        <v>60</v>
      </c>
      <c r="K70" s="21">
        <v>1.4373800000000001</v>
      </c>
      <c r="L70">
        <f t="shared" si="0"/>
        <v>15.432098765432098</v>
      </c>
      <c r="M70">
        <f t="shared" si="1"/>
        <v>22.188888888888886</v>
      </c>
      <c r="N70" s="9"/>
      <c r="O70" s="21">
        <v>0.202179</v>
      </c>
      <c r="P70" s="21">
        <v>9.8919300000000003</v>
      </c>
      <c r="Q70" s="21">
        <v>-1.37848E-2</v>
      </c>
      <c r="R70" s="21">
        <v>60</v>
      </c>
      <c r="S70" s="21">
        <v>0.201569</v>
      </c>
      <c r="T70">
        <f t="shared" si="2"/>
        <v>17.018271604938271</v>
      </c>
      <c r="U70">
        <f t="shared" si="3"/>
        <v>3.4407371348148144</v>
      </c>
      <c r="X70" s="9"/>
      <c r="Y70" s="21">
        <v>1.43784</v>
      </c>
      <c r="Z70" s="21">
        <v>15.252800000000001</v>
      </c>
      <c r="AA70" s="21">
        <v>-1.2548800000000001E-2</v>
      </c>
      <c r="AB70" s="21">
        <v>60</v>
      </c>
      <c r="AC70" s="21">
        <v>1.4376800000000001</v>
      </c>
      <c r="AD70">
        <f t="shared" si="4"/>
        <v>15.492345679012345</v>
      </c>
      <c r="AE70">
        <f t="shared" si="5"/>
        <v>22.27551431111111</v>
      </c>
      <c r="AF70" s="9"/>
      <c r="AG70" s="21">
        <v>0.202179</v>
      </c>
      <c r="AH70" s="21">
        <v>18.9512</v>
      </c>
      <c r="AI70" s="21">
        <v>-1.37054E-2</v>
      </c>
      <c r="AJ70" s="21">
        <v>60</v>
      </c>
      <c r="AK70" s="21">
        <v>0.20166000000000001</v>
      </c>
      <c r="AL70">
        <f t="shared" si="6"/>
        <v>16.920246913580247</v>
      </c>
      <c r="AM70">
        <f t="shared" si="7"/>
        <v>3.4209186007407406</v>
      </c>
      <c r="AP70" s="9"/>
      <c r="AQ70" s="21">
        <v>1.43784</v>
      </c>
      <c r="AR70" s="21">
        <v>24.385000000000002</v>
      </c>
      <c r="AS70" s="21">
        <v>-1.2539700000000001E-2</v>
      </c>
      <c r="AT70" s="21">
        <v>60</v>
      </c>
      <c r="AU70" s="21">
        <v>1.4379900000000001</v>
      </c>
      <c r="AV70">
        <f t="shared" si="8"/>
        <v>15.48111111111111</v>
      </c>
      <c r="AW70">
        <f t="shared" si="9"/>
        <v>22.2593608</v>
      </c>
      <c r="AX70" s="9"/>
      <c r="AY70" s="21">
        <v>0.202179</v>
      </c>
      <c r="AZ70" s="21">
        <v>28.083400000000001</v>
      </c>
      <c r="BA70" s="21">
        <v>-1.37482E-2</v>
      </c>
      <c r="BB70" s="21">
        <v>60</v>
      </c>
      <c r="BC70" s="21">
        <v>0.201599</v>
      </c>
      <c r="BD70">
        <f t="shared" si="10"/>
        <v>16.973086419753084</v>
      </c>
      <c r="BE70">
        <f t="shared" si="11"/>
        <v>3.431601639259259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1.4328000000000001</v>
      </c>
      <c r="H71" s="21">
        <v>6.2036600000000002</v>
      </c>
      <c r="I71" s="21">
        <v>-1.25366E-2</v>
      </c>
      <c r="J71" s="21">
        <v>61</v>
      </c>
      <c r="K71" s="21">
        <v>1.43188</v>
      </c>
      <c r="L71">
        <f t="shared" si="0"/>
        <v>15.477283950617283</v>
      </c>
      <c r="M71">
        <f t="shared" si="1"/>
        <v>22.175852444444445</v>
      </c>
      <c r="N71" s="9"/>
      <c r="O71" s="21">
        <v>0.20721400000000001</v>
      </c>
      <c r="P71" s="21">
        <v>9.9019999999999992</v>
      </c>
      <c r="Q71" s="21">
        <v>-1.37848E-2</v>
      </c>
      <c r="R71" s="21">
        <v>61</v>
      </c>
      <c r="S71" s="21">
        <v>0.20663500000000001</v>
      </c>
      <c r="T71">
        <f t="shared" si="2"/>
        <v>17.018271604938271</v>
      </c>
      <c r="U71">
        <f t="shared" si="3"/>
        <v>3.5264241323456789</v>
      </c>
      <c r="X71" s="9"/>
      <c r="Y71" s="21">
        <v>1.4328000000000001</v>
      </c>
      <c r="Z71" s="21">
        <v>15.2629</v>
      </c>
      <c r="AA71" s="21">
        <v>-1.25793E-2</v>
      </c>
      <c r="AB71" s="21">
        <v>61</v>
      </c>
      <c r="AC71" s="21">
        <v>1.4321900000000001</v>
      </c>
      <c r="AD71">
        <f t="shared" si="4"/>
        <v>15.53</v>
      </c>
      <c r="AE71">
        <f t="shared" si="5"/>
        <v>22.251384000000002</v>
      </c>
      <c r="AF71" s="9"/>
      <c r="AG71" s="21">
        <v>0.20721400000000001</v>
      </c>
      <c r="AH71" s="21">
        <v>18.961200000000002</v>
      </c>
      <c r="AI71" s="21">
        <v>-1.37054E-2</v>
      </c>
      <c r="AJ71" s="21">
        <v>61</v>
      </c>
      <c r="AK71" s="21">
        <v>0.20666499999999999</v>
      </c>
      <c r="AL71">
        <f t="shared" si="6"/>
        <v>16.920246913580247</v>
      </c>
      <c r="AM71">
        <f t="shared" si="7"/>
        <v>3.5061120439506173</v>
      </c>
      <c r="AP71" s="9"/>
      <c r="AQ71" s="21">
        <v>1.4328000000000001</v>
      </c>
      <c r="AR71" s="21">
        <v>24.395099999999999</v>
      </c>
      <c r="AS71" s="21">
        <v>-1.25732E-2</v>
      </c>
      <c r="AT71" s="21">
        <v>61</v>
      </c>
      <c r="AU71" s="21">
        <v>1.4321900000000001</v>
      </c>
      <c r="AV71">
        <f t="shared" si="8"/>
        <v>15.522469135802467</v>
      </c>
      <c r="AW71">
        <f t="shared" si="9"/>
        <v>22.240593777777775</v>
      </c>
      <c r="AX71" s="9"/>
      <c r="AY71" s="21">
        <v>0.20721400000000001</v>
      </c>
      <c r="AZ71" s="21">
        <v>28.093399999999999</v>
      </c>
      <c r="BA71" s="21">
        <v>-1.3738999999999999E-2</v>
      </c>
      <c r="BB71" s="21">
        <v>61</v>
      </c>
      <c r="BC71" s="21">
        <v>0.20666499999999999</v>
      </c>
      <c r="BD71">
        <f t="shared" si="10"/>
        <v>16.961728395061726</v>
      </c>
      <c r="BE71">
        <f t="shared" si="11"/>
        <v>3.5147075876543208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1.4277599999999999</v>
      </c>
      <c r="H72" s="21">
        <v>6.21373</v>
      </c>
      <c r="I72" s="21">
        <v>-1.25732E-2</v>
      </c>
      <c r="J72" s="21">
        <v>62</v>
      </c>
      <c r="K72" s="21">
        <v>1.427</v>
      </c>
      <c r="L72">
        <f t="shared" si="0"/>
        <v>15.522469135802467</v>
      </c>
      <c r="M72">
        <f t="shared" si="1"/>
        <v>22.162360533333331</v>
      </c>
      <c r="N72" s="9"/>
      <c r="O72" s="21">
        <v>0.21224999999999999</v>
      </c>
      <c r="P72" s="21">
        <v>9.9120699999999999</v>
      </c>
      <c r="Q72" s="21">
        <v>-1.37848E-2</v>
      </c>
      <c r="R72" s="21">
        <v>62</v>
      </c>
      <c r="S72" s="21">
        <v>0.21163899999999999</v>
      </c>
      <c r="T72">
        <f t="shared" si="2"/>
        <v>17.018271604938271</v>
      </c>
      <c r="U72">
        <f t="shared" si="3"/>
        <v>3.6121281481481478</v>
      </c>
      <c r="X72" s="9"/>
      <c r="Y72" s="21">
        <v>1.4277599999999999</v>
      </c>
      <c r="Z72" s="21">
        <v>15.2729</v>
      </c>
      <c r="AA72" s="21">
        <v>-1.26099E-2</v>
      </c>
      <c r="AB72" s="21">
        <v>62</v>
      </c>
      <c r="AC72" s="21">
        <v>1.427</v>
      </c>
      <c r="AD72">
        <f t="shared" si="4"/>
        <v>15.567777777777778</v>
      </c>
      <c r="AE72">
        <f t="shared" si="5"/>
        <v>22.2270504</v>
      </c>
      <c r="AF72" s="9"/>
      <c r="AG72" s="21">
        <v>0.21224999999999999</v>
      </c>
      <c r="AH72" s="21">
        <v>18.971299999999999</v>
      </c>
      <c r="AI72" s="21">
        <v>-1.37115E-2</v>
      </c>
      <c r="AJ72" s="21">
        <v>62</v>
      </c>
      <c r="AK72" s="21">
        <v>0.21163899999999999</v>
      </c>
      <c r="AL72">
        <f t="shared" si="6"/>
        <v>16.927777777777777</v>
      </c>
      <c r="AM72">
        <f t="shared" si="7"/>
        <v>3.5929208333333329</v>
      </c>
      <c r="AP72" s="9"/>
      <c r="AQ72" s="21">
        <v>1.4277599999999999</v>
      </c>
      <c r="AR72" s="21">
        <v>24.405200000000001</v>
      </c>
      <c r="AS72" s="21">
        <v>-1.26129E-2</v>
      </c>
      <c r="AT72" s="21">
        <v>62</v>
      </c>
      <c r="AU72" s="21">
        <v>1.4273100000000001</v>
      </c>
      <c r="AV72">
        <f t="shared" si="8"/>
        <v>15.571481481481479</v>
      </c>
      <c r="AW72">
        <f t="shared" si="9"/>
        <v>22.232338399999996</v>
      </c>
      <c r="AX72" s="9"/>
      <c r="AY72" s="21">
        <v>0.21224999999999999</v>
      </c>
      <c r="AZ72" s="21">
        <v>28.1035</v>
      </c>
      <c r="BA72" s="21">
        <v>-1.37421E-2</v>
      </c>
      <c r="BB72" s="21">
        <v>62</v>
      </c>
      <c r="BC72" s="21">
        <v>0.21167</v>
      </c>
      <c r="BD72">
        <f t="shared" si="10"/>
        <v>16.965555555555554</v>
      </c>
      <c r="BE72">
        <f t="shared" si="11"/>
        <v>3.6009391666666661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1.4227300000000001</v>
      </c>
      <c r="H73" s="21">
        <v>6.2237999999999998</v>
      </c>
      <c r="I73" s="21">
        <v>-1.26129E-2</v>
      </c>
      <c r="J73" s="21">
        <v>63</v>
      </c>
      <c r="K73" s="21">
        <v>1.4215100000000001</v>
      </c>
      <c r="L73">
        <f t="shared" si="0"/>
        <v>15.571481481481479</v>
      </c>
      <c r="M73">
        <f t="shared" si="1"/>
        <v>22.154013848148146</v>
      </c>
      <c r="N73" s="9"/>
      <c r="O73" s="21">
        <v>0.21728500000000001</v>
      </c>
      <c r="P73" s="21">
        <v>9.9221400000000006</v>
      </c>
      <c r="Q73" s="21">
        <v>-1.37848E-2</v>
      </c>
      <c r="R73" s="21">
        <v>63</v>
      </c>
      <c r="S73" s="21">
        <v>0.21670500000000001</v>
      </c>
      <c r="T73">
        <f t="shared" si="2"/>
        <v>17.018271604938271</v>
      </c>
      <c r="U73">
        <f t="shared" si="3"/>
        <v>3.6978151456790123</v>
      </c>
      <c r="X73" s="9"/>
      <c r="Y73" s="21">
        <v>1.4227300000000001</v>
      </c>
      <c r="Z73" s="21">
        <v>15.282999999999999</v>
      </c>
      <c r="AA73" s="21">
        <v>-1.2637300000000001E-2</v>
      </c>
      <c r="AB73" s="21">
        <v>63</v>
      </c>
      <c r="AC73" s="21">
        <v>1.42242</v>
      </c>
      <c r="AD73">
        <f t="shared" si="4"/>
        <v>15.601604938271604</v>
      </c>
      <c r="AE73">
        <f t="shared" si="5"/>
        <v>22.196871393827159</v>
      </c>
      <c r="AF73" s="9"/>
      <c r="AG73" s="21">
        <v>0.21728500000000001</v>
      </c>
      <c r="AH73" s="21">
        <v>18.981400000000001</v>
      </c>
      <c r="AI73" s="21">
        <v>-1.37054E-2</v>
      </c>
      <c r="AJ73" s="21">
        <v>63</v>
      </c>
      <c r="AK73" s="21">
        <v>0.21682699999999999</v>
      </c>
      <c r="AL73">
        <f t="shared" si="6"/>
        <v>16.920246913580247</v>
      </c>
      <c r="AM73">
        <f t="shared" si="7"/>
        <v>3.6765158506172839</v>
      </c>
      <c r="AP73" s="9"/>
      <c r="AQ73" s="21">
        <v>1.4227300000000001</v>
      </c>
      <c r="AR73" s="21">
        <v>24.415199999999999</v>
      </c>
      <c r="AS73" s="21">
        <v>-1.26526E-2</v>
      </c>
      <c r="AT73" s="21">
        <v>63</v>
      </c>
      <c r="AU73" s="21">
        <v>1.42181</v>
      </c>
      <c r="AV73">
        <f t="shared" si="8"/>
        <v>15.620493827160493</v>
      </c>
      <c r="AW73">
        <f t="shared" si="9"/>
        <v>22.223745182716048</v>
      </c>
      <c r="AX73" s="9"/>
      <c r="AY73" s="21">
        <v>0.21728500000000001</v>
      </c>
      <c r="AZ73" s="21">
        <v>28.113600000000002</v>
      </c>
      <c r="BA73" s="21">
        <v>-1.37421E-2</v>
      </c>
      <c r="BB73" s="21">
        <v>63</v>
      </c>
      <c r="BC73" s="21">
        <v>0.21682699999999999</v>
      </c>
      <c r="BD73">
        <f t="shared" si="10"/>
        <v>16.965555555555554</v>
      </c>
      <c r="BE73">
        <f t="shared" si="11"/>
        <v>3.6863607388888884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1.4176899999999999</v>
      </c>
      <c r="H74" s="21">
        <v>6.2338699999999996</v>
      </c>
      <c r="I74" s="21">
        <v>-1.2628199999999999E-2</v>
      </c>
      <c r="J74" s="21">
        <v>64</v>
      </c>
      <c r="K74" s="21">
        <v>1.4172400000000001</v>
      </c>
      <c r="L74">
        <f t="shared" si="0"/>
        <v>15.590370370370369</v>
      </c>
      <c r="M74">
        <f t="shared" si="1"/>
        <v>22.102312170370368</v>
      </c>
      <c r="N74" s="9"/>
      <c r="O74" s="21">
        <v>0.22232099999999999</v>
      </c>
      <c r="P74" s="21">
        <v>9.9322099999999995</v>
      </c>
      <c r="Q74" s="21">
        <v>-1.37848E-2</v>
      </c>
      <c r="R74" s="21">
        <v>64</v>
      </c>
      <c r="S74" s="21">
        <v>0.22174099999999999</v>
      </c>
      <c r="T74">
        <f t="shared" si="2"/>
        <v>17.018271604938271</v>
      </c>
      <c r="U74">
        <f t="shared" si="3"/>
        <v>3.7835191614814812</v>
      </c>
      <c r="X74" s="9"/>
      <c r="Y74" s="21">
        <v>1.4176899999999999</v>
      </c>
      <c r="Z74" s="21">
        <v>15.293100000000001</v>
      </c>
      <c r="AA74" s="21">
        <v>-1.2655599999999999E-2</v>
      </c>
      <c r="AB74" s="21">
        <v>64</v>
      </c>
      <c r="AC74" s="21">
        <v>1.4172400000000001</v>
      </c>
      <c r="AD74">
        <f t="shared" si="4"/>
        <v>15.624197530864196</v>
      </c>
      <c r="AE74">
        <f t="shared" si="5"/>
        <v>22.150268597530861</v>
      </c>
      <c r="AF74" s="9"/>
      <c r="AG74" s="21">
        <v>0.22232099999999999</v>
      </c>
      <c r="AH74" s="21">
        <v>18.991499999999998</v>
      </c>
      <c r="AI74" s="21">
        <v>-1.37146E-2</v>
      </c>
      <c r="AJ74" s="21">
        <v>64</v>
      </c>
      <c r="AK74" s="21">
        <v>0.221771</v>
      </c>
      <c r="AL74">
        <f t="shared" si="6"/>
        <v>16.931604938271605</v>
      </c>
      <c r="AM74">
        <f t="shared" si="7"/>
        <v>3.7642513414814811</v>
      </c>
      <c r="AP74" s="9"/>
      <c r="AQ74" s="21">
        <v>1.4176899999999999</v>
      </c>
      <c r="AR74" s="21">
        <v>24.4253</v>
      </c>
      <c r="AS74" s="21">
        <v>-1.2689199999999999E-2</v>
      </c>
      <c r="AT74" s="21">
        <v>64</v>
      </c>
      <c r="AU74" s="21">
        <v>1.41693</v>
      </c>
      <c r="AV74">
        <f t="shared" si="8"/>
        <v>15.665679012345679</v>
      </c>
      <c r="AW74">
        <f t="shared" si="9"/>
        <v>22.209076479012346</v>
      </c>
      <c r="AX74" s="9"/>
      <c r="AY74" s="21">
        <v>0.22232099999999999</v>
      </c>
      <c r="AZ74" s="21">
        <v>28.1236</v>
      </c>
      <c r="BA74" s="21">
        <v>-1.37299E-2</v>
      </c>
      <c r="BB74" s="21">
        <v>64</v>
      </c>
      <c r="BC74" s="21">
        <v>0.22174099999999999</v>
      </c>
      <c r="BD74">
        <f t="shared" si="10"/>
        <v>16.950493827160493</v>
      </c>
      <c r="BE74">
        <f t="shared" si="11"/>
        <v>3.7684507381481476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1.41266</v>
      </c>
      <c r="H75" s="21">
        <v>6.2439400000000003</v>
      </c>
      <c r="I75" s="21">
        <v>-1.2643400000000001E-2</v>
      </c>
      <c r="J75" s="21">
        <v>65</v>
      </c>
      <c r="K75" s="21">
        <v>1.41205</v>
      </c>
      <c r="L75">
        <f t="shared" si="0"/>
        <v>15.609135802469137</v>
      </c>
      <c r="M75">
        <f t="shared" si="1"/>
        <v>22.050401782716051</v>
      </c>
      <c r="N75" s="9"/>
      <c r="O75" s="21">
        <v>0.227356</v>
      </c>
      <c r="P75" s="21">
        <v>9.9422800000000002</v>
      </c>
      <c r="Q75" s="21">
        <v>-1.37787E-2</v>
      </c>
      <c r="R75" s="21">
        <v>65</v>
      </c>
      <c r="S75" s="21">
        <v>0.22677600000000001</v>
      </c>
      <c r="T75">
        <f t="shared" si="2"/>
        <v>17.01074074074074</v>
      </c>
      <c r="U75">
        <f t="shared" si="3"/>
        <v>3.867493971851852</v>
      </c>
      <c r="X75" s="9"/>
      <c r="Y75" s="21">
        <v>1.41266</v>
      </c>
      <c r="Z75" s="21">
        <v>15.3032</v>
      </c>
      <c r="AA75" s="21">
        <v>-1.2670900000000001E-2</v>
      </c>
      <c r="AB75" s="21">
        <v>65</v>
      </c>
      <c r="AC75" s="21">
        <v>1.41205</v>
      </c>
      <c r="AD75">
        <f t="shared" si="4"/>
        <v>15.643086419753088</v>
      </c>
      <c r="AE75">
        <f t="shared" si="5"/>
        <v>22.098362461728396</v>
      </c>
      <c r="AF75" s="9"/>
      <c r="AG75" s="21">
        <v>0.227356</v>
      </c>
      <c r="AH75" s="21">
        <v>19.0015</v>
      </c>
      <c r="AI75" s="21">
        <v>-1.3720700000000001E-2</v>
      </c>
      <c r="AJ75" s="21">
        <v>65</v>
      </c>
      <c r="AK75" s="21">
        <v>0.22683700000000001</v>
      </c>
      <c r="AL75">
        <f t="shared" si="6"/>
        <v>16.939135802469135</v>
      </c>
      <c r="AM75">
        <f t="shared" si="7"/>
        <v>3.8512141595061729</v>
      </c>
      <c r="AP75" s="9"/>
      <c r="AQ75" s="21">
        <v>1.41266</v>
      </c>
      <c r="AR75" s="21">
        <v>24.435400000000001</v>
      </c>
      <c r="AS75" s="21">
        <v>-1.27289E-2</v>
      </c>
      <c r="AT75" s="21">
        <v>65</v>
      </c>
      <c r="AU75" s="21">
        <v>1.41205</v>
      </c>
      <c r="AV75">
        <f t="shared" si="8"/>
        <v>15.714691358024689</v>
      </c>
      <c r="AW75">
        <f t="shared" si="9"/>
        <v>22.199515893827158</v>
      </c>
      <c r="AX75" s="9"/>
      <c r="AY75" s="21">
        <v>0.227356</v>
      </c>
      <c r="AZ75" s="21">
        <v>28.133700000000001</v>
      </c>
      <c r="BA75" s="21">
        <v>-1.3726800000000001E-2</v>
      </c>
      <c r="BB75" s="21">
        <v>65</v>
      </c>
      <c r="BC75" s="21">
        <v>0.22677600000000001</v>
      </c>
      <c r="BD75">
        <f t="shared" si="10"/>
        <v>16.946666666666665</v>
      </c>
      <c r="BE75">
        <f t="shared" si="11"/>
        <v>3.8529263466666666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1.4076200000000001</v>
      </c>
      <c r="H76" s="21">
        <v>6.2540199999999997</v>
      </c>
      <c r="I76" s="21">
        <v>-1.26617E-2</v>
      </c>
      <c r="J76" s="21">
        <v>66</v>
      </c>
      <c r="K76" s="21">
        <v>1.40686</v>
      </c>
      <c r="L76">
        <f t="shared" ref="L76:L139" si="12">-I76/$F$2*1000</f>
        <v>15.631728395061728</v>
      </c>
      <c r="M76">
        <f t="shared" ref="M76:M139" si="13">L76*G76</f>
        <v>22.003533523456792</v>
      </c>
      <c r="N76" s="9"/>
      <c r="O76" s="21">
        <v>0.23239099999999999</v>
      </c>
      <c r="P76" s="21">
        <v>9.9523499999999991</v>
      </c>
      <c r="Q76" s="21">
        <v>-1.37848E-2</v>
      </c>
      <c r="R76" s="21">
        <v>66</v>
      </c>
      <c r="S76" s="21">
        <v>0.23181199999999999</v>
      </c>
      <c r="T76">
        <f t="shared" ref="T76:T139" si="14">-Q76/$F$2*1000</f>
        <v>17.018271604938271</v>
      </c>
      <c r="U76">
        <f t="shared" ref="U76:U139" si="15">T76*O76</f>
        <v>3.9548931565432093</v>
      </c>
      <c r="X76" s="9"/>
      <c r="Y76" s="21">
        <v>1.4076200000000001</v>
      </c>
      <c r="Z76" s="21">
        <v>15.3132</v>
      </c>
      <c r="AA76" s="21">
        <v>-1.26862E-2</v>
      </c>
      <c r="AB76" s="21">
        <v>66</v>
      </c>
      <c r="AC76" s="21">
        <v>1.40625</v>
      </c>
      <c r="AD76">
        <f t="shared" ref="AD76:AD139" si="16">-AA76/$F$2*1000</f>
        <v>15.661975308641974</v>
      </c>
      <c r="AE76">
        <f t="shared" ref="AE76:AE139" si="17">AD76*Y76</f>
        <v>22.046109683950618</v>
      </c>
      <c r="AF76" s="9"/>
      <c r="AG76" s="21">
        <v>0.23239099999999999</v>
      </c>
      <c r="AH76" s="21">
        <v>19.011600000000001</v>
      </c>
      <c r="AI76" s="21">
        <v>-1.37238E-2</v>
      </c>
      <c r="AJ76" s="21">
        <v>66</v>
      </c>
      <c r="AK76" s="21">
        <v>0.23178099999999999</v>
      </c>
      <c r="AL76">
        <f t="shared" ref="AL76:AL139" si="18">-AI76/$F$2*1000</f>
        <v>16.942962962962962</v>
      </c>
      <c r="AM76">
        <f t="shared" ref="AM76:AM139" si="19">AL76*AG76</f>
        <v>3.9373921059259254</v>
      </c>
      <c r="AP76" s="9"/>
      <c r="AQ76" s="21">
        <v>1.4076200000000001</v>
      </c>
      <c r="AR76" s="21">
        <v>24.445499999999999</v>
      </c>
      <c r="AS76" s="21">
        <v>-1.27472E-2</v>
      </c>
      <c r="AT76" s="21">
        <v>66</v>
      </c>
      <c r="AU76" s="21">
        <v>1.40717</v>
      </c>
      <c r="AV76">
        <f t="shared" ref="AV76:AV139" si="20">-AS76/$F$2*1000</f>
        <v>15.737283950617284</v>
      </c>
      <c r="AW76">
        <f t="shared" ref="AW76:AW139" si="21">AV76*AQ76</f>
        <v>22.152115634567902</v>
      </c>
      <c r="AX76" s="9"/>
      <c r="AY76" s="21">
        <v>0.23239099999999999</v>
      </c>
      <c r="AZ76" s="21">
        <v>28.143799999999999</v>
      </c>
      <c r="BA76" s="21">
        <v>-1.3738999999999999E-2</v>
      </c>
      <c r="BB76" s="21">
        <v>66</v>
      </c>
      <c r="BC76" s="21">
        <v>0.23178099999999999</v>
      </c>
      <c r="BD76">
        <f t="shared" ref="BD76:BD139" si="22">-BA76/$F$2*1000</f>
        <v>16.961728395061726</v>
      </c>
      <c r="BE76">
        <f t="shared" ref="BE76:BE139" si="23">BD76*AY76</f>
        <v>3.9417530234567892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1.40259</v>
      </c>
      <c r="H77" s="21">
        <v>6.2640900000000004</v>
      </c>
      <c r="I77" s="21">
        <v>-1.2683099999999999E-2</v>
      </c>
      <c r="J77" s="21">
        <v>67</v>
      </c>
      <c r="K77" s="21">
        <v>1.40167</v>
      </c>
      <c r="L77">
        <f t="shared" si="12"/>
        <v>15.658148148148147</v>
      </c>
      <c r="M77">
        <f t="shared" si="13"/>
        <v>21.961962011111108</v>
      </c>
      <c r="N77" s="9"/>
      <c r="O77" s="21">
        <v>0.237427</v>
      </c>
      <c r="P77" s="21">
        <v>9.9624299999999995</v>
      </c>
      <c r="Q77" s="21">
        <v>-1.3797E-2</v>
      </c>
      <c r="R77" s="21">
        <v>67</v>
      </c>
      <c r="S77" s="21">
        <v>0.23690800000000001</v>
      </c>
      <c r="T77">
        <f t="shared" si="14"/>
        <v>17.033333333333331</v>
      </c>
      <c r="U77">
        <f t="shared" si="15"/>
        <v>4.0441732333333329</v>
      </c>
      <c r="X77" s="9"/>
      <c r="Y77" s="21">
        <v>1.40259</v>
      </c>
      <c r="Z77" s="21">
        <v>15.3233</v>
      </c>
      <c r="AA77" s="21">
        <v>-1.26984E-2</v>
      </c>
      <c r="AB77" s="21">
        <v>67</v>
      </c>
      <c r="AC77" s="21">
        <v>1.40198</v>
      </c>
      <c r="AD77">
        <f t="shared" si="16"/>
        <v>15.677037037037039</v>
      </c>
      <c r="AE77">
        <f t="shared" si="17"/>
        <v>21.988455377777779</v>
      </c>
      <c r="AF77" s="9"/>
      <c r="AG77" s="21">
        <v>0.237427</v>
      </c>
      <c r="AH77" s="21">
        <v>19.021699999999999</v>
      </c>
      <c r="AI77" s="21">
        <v>-1.3720700000000001E-2</v>
      </c>
      <c r="AJ77" s="21">
        <v>67</v>
      </c>
      <c r="AK77" s="21">
        <v>0.23702999999999999</v>
      </c>
      <c r="AL77">
        <f t="shared" si="18"/>
        <v>16.939135802469135</v>
      </c>
      <c r="AM77">
        <f t="shared" si="19"/>
        <v>4.0218081961728389</v>
      </c>
      <c r="AP77" s="9"/>
      <c r="AQ77" s="21">
        <v>1.40259</v>
      </c>
      <c r="AR77" s="21">
        <v>24.455500000000001</v>
      </c>
      <c r="AS77" s="21">
        <v>-1.27747E-2</v>
      </c>
      <c r="AT77" s="21">
        <v>67</v>
      </c>
      <c r="AU77" s="21">
        <v>1.40228</v>
      </c>
      <c r="AV77">
        <f t="shared" si="20"/>
        <v>15.771234567901235</v>
      </c>
      <c r="AW77">
        <f t="shared" si="21"/>
        <v>22.120575892592594</v>
      </c>
      <c r="AX77" s="9"/>
      <c r="AY77" s="21">
        <v>0.237427</v>
      </c>
      <c r="AZ77" s="21">
        <v>28.1539</v>
      </c>
      <c r="BA77" s="21">
        <v>-1.37573E-2</v>
      </c>
      <c r="BB77" s="21">
        <v>67</v>
      </c>
      <c r="BC77" s="21">
        <v>0.236877</v>
      </c>
      <c r="BD77">
        <f t="shared" si="22"/>
        <v>16.984320987654321</v>
      </c>
      <c r="BE77">
        <f t="shared" si="23"/>
        <v>4.0325363791358022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1.3975500000000001</v>
      </c>
      <c r="H78" s="21">
        <v>6.2741600000000002</v>
      </c>
      <c r="I78" s="21">
        <v>-1.26984E-2</v>
      </c>
      <c r="J78" s="21">
        <v>68</v>
      </c>
      <c r="K78" s="21">
        <v>1.39679</v>
      </c>
      <c r="L78">
        <f t="shared" si="12"/>
        <v>15.677037037037039</v>
      </c>
      <c r="M78">
        <f t="shared" si="13"/>
        <v>21.909443111111113</v>
      </c>
      <c r="N78" s="9"/>
      <c r="O78" s="21">
        <v>0.24246200000000001</v>
      </c>
      <c r="P78" s="21">
        <v>9.9725000000000001</v>
      </c>
      <c r="Q78" s="21">
        <v>-1.38123E-2</v>
      </c>
      <c r="R78" s="21">
        <v>68</v>
      </c>
      <c r="S78" s="21">
        <v>0.24188200000000001</v>
      </c>
      <c r="T78">
        <f t="shared" si="14"/>
        <v>17.052222222222223</v>
      </c>
      <c r="U78">
        <f t="shared" si="15"/>
        <v>4.1345159044444451</v>
      </c>
      <c r="X78" s="9"/>
      <c r="Y78" s="21">
        <v>1.3975500000000001</v>
      </c>
      <c r="Z78" s="21">
        <v>15.333399999999999</v>
      </c>
      <c r="AA78" s="21">
        <v>-1.2722799999999999E-2</v>
      </c>
      <c r="AB78" s="21">
        <v>68</v>
      </c>
      <c r="AC78" s="21">
        <v>1.3964799999999999</v>
      </c>
      <c r="AD78">
        <f t="shared" si="16"/>
        <v>15.707160493827157</v>
      </c>
      <c r="AE78">
        <f t="shared" si="17"/>
        <v>21.951542148148143</v>
      </c>
      <c r="AF78" s="9"/>
      <c r="AG78" s="21">
        <v>0.24246200000000001</v>
      </c>
      <c r="AH78" s="21">
        <v>19.031700000000001</v>
      </c>
      <c r="AI78" s="21">
        <v>-1.3736E-2</v>
      </c>
      <c r="AJ78" s="21">
        <v>68</v>
      </c>
      <c r="AK78" s="21">
        <v>0.24188200000000001</v>
      </c>
      <c r="AL78">
        <f t="shared" si="18"/>
        <v>16.958024691358023</v>
      </c>
      <c r="AM78">
        <f t="shared" si="19"/>
        <v>4.1116765827160489</v>
      </c>
      <c r="AP78" s="9"/>
      <c r="AQ78" s="21">
        <v>1.3975500000000001</v>
      </c>
      <c r="AR78" s="21">
        <v>24.465599999999998</v>
      </c>
      <c r="AS78" s="21">
        <v>-1.27869E-2</v>
      </c>
      <c r="AT78" s="21">
        <v>68</v>
      </c>
      <c r="AU78" s="21">
        <v>1.3970899999999999</v>
      </c>
      <c r="AV78">
        <f t="shared" si="20"/>
        <v>15.786296296296294</v>
      </c>
      <c r="AW78">
        <f t="shared" si="21"/>
        <v>22.062138388888886</v>
      </c>
      <c r="AX78" s="9"/>
      <c r="AY78" s="21">
        <v>0.24246200000000001</v>
      </c>
      <c r="AZ78" s="21">
        <v>28.163900000000002</v>
      </c>
      <c r="BA78" s="21">
        <v>-1.37634E-2</v>
      </c>
      <c r="BB78" s="21">
        <v>68</v>
      </c>
      <c r="BC78" s="21">
        <v>0.24188200000000001</v>
      </c>
      <c r="BD78">
        <f t="shared" si="22"/>
        <v>16.991851851851852</v>
      </c>
      <c r="BE78">
        <f t="shared" si="23"/>
        <v>4.1198783837037043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1.39252</v>
      </c>
      <c r="H79" s="21">
        <v>6.28423</v>
      </c>
      <c r="I79" s="21">
        <v>-1.2731900000000001E-2</v>
      </c>
      <c r="J79" s="21">
        <v>69</v>
      </c>
      <c r="K79" s="21">
        <v>1.39191</v>
      </c>
      <c r="L79">
        <f t="shared" si="12"/>
        <v>15.718395061728396</v>
      </c>
      <c r="M79">
        <f t="shared" si="13"/>
        <v>21.888179491358027</v>
      </c>
      <c r="N79" s="9"/>
      <c r="O79" s="21">
        <v>0.247498</v>
      </c>
      <c r="P79" s="21">
        <v>9.9825700000000008</v>
      </c>
      <c r="Q79" s="21">
        <v>-1.38275E-2</v>
      </c>
      <c r="R79" s="21">
        <v>69</v>
      </c>
      <c r="S79" s="21">
        <v>0.246979</v>
      </c>
      <c r="T79">
        <f t="shared" si="14"/>
        <v>17.070987654320987</v>
      </c>
      <c r="U79">
        <f t="shared" si="15"/>
        <v>4.2250353024691361</v>
      </c>
      <c r="X79" s="9"/>
      <c r="Y79" s="21">
        <v>1.39252</v>
      </c>
      <c r="Z79" s="21">
        <v>15.343400000000001</v>
      </c>
      <c r="AA79" s="21">
        <v>-1.27441E-2</v>
      </c>
      <c r="AB79" s="21">
        <v>69</v>
      </c>
      <c r="AC79" s="21">
        <v>1.39191</v>
      </c>
      <c r="AD79">
        <f t="shared" si="16"/>
        <v>15.733456790123457</v>
      </c>
      <c r="AE79">
        <f t="shared" si="17"/>
        <v>21.909153249382715</v>
      </c>
      <c r="AF79" s="9"/>
      <c r="AG79" s="21">
        <v>0.247498</v>
      </c>
      <c r="AH79" s="21">
        <v>19.041799999999999</v>
      </c>
      <c r="AI79" s="21">
        <v>-1.37482E-2</v>
      </c>
      <c r="AJ79" s="21">
        <v>69</v>
      </c>
      <c r="AK79" s="21">
        <v>0.246918</v>
      </c>
      <c r="AL79">
        <f t="shared" si="18"/>
        <v>16.973086419753084</v>
      </c>
      <c r="AM79">
        <f t="shared" si="19"/>
        <v>4.200804942716049</v>
      </c>
      <c r="AP79" s="9"/>
      <c r="AQ79" s="21">
        <v>1.39252</v>
      </c>
      <c r="AR79" s="21">
        <v>24.4757</v>
      </c>
      <c r="AS79" s="21">
        <v>-1.2796E-2</v>
      </c>
      <c r="AT79" s="21">
        <v>69</v>
      </c>
      <c r="AU79" s="21">
        <v>1.3915999999999999</v>
      </c>
      <c r="AV79">
        <f t="shared" si="20"/>
        <v>15.79753086419753</v>
      </c>
      <c r="AW79">
        <f t="shared" si="21"/>
        <v>21.998377679012343</v>
      </c>
      <c r="AX79" s="9"/>
      <c r="AY79" s="21">
        <v>0.247498</v>
      </c>
      <c r="AZ79" s="21">
        <v>28.173999999999999</v>
      </c>
      <c r="BA79" s="21">
        <v>-1.3766499999999999E-2</v>
      </c>
      <c r="BB79" s="21">
        <v>69</v>
      </c>
      <c r="BC79" s="21">
        <v>0.246887</v>
      </c>
      <c r="BD79">
        <f t="shared" si="22"/>
        <v>16.995679012345676</v>
      </c>
      <c r="BE79">
        <f t="shared" si="23"/>
        <v>4.2063965641975303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1.38748</v>
      </c>
      <c r="H80" s="21">
        <v>6.2942999999999998</v>
      </c>
      <c r="I80" s="21">
        <v>-1.27563E-2</v>
      </c>
      <c r="J80" s="21">
        <v>70</v>
      </c>
      <c r="K80" s="21">
        <v>1.38672</v>
      </c>
      <c r="L80">
        <f t="shared" si="12"/>
        <v>15.748518518518516</v>
      </c>
      <c r="M80">
        <f t="shared" si="13"/>
        <v>21.850754474074073</v>
      </c>
      <c r="N80" s="9"/>
      <c r="O80" s="21">
        <v>0.25253300000000001</v>
      </c>
      <c r="P80" s="21">
        <v>9.9926399999999997</v>
      </c>
      <c r="Q80" s="21">
        <v>-1.38245E-2</v>
      </c>
      <c r="R80" s="21">
        <v>70</v>
      </c>
      <c r="S80" s="21">
        <v>0.25192300000000001</v>
      </c>
      <c r="T80">
        <f t="shared" si="14"/>
        <v>17.067283950617281</v>
      </c>
      <c r="U80">
        <f t="shared" si="15"/>
        <v>4.3100524179012343</v>
      </c>
      <c r="X80" s="9"/>
      <c r="Y80" s="21">
        <v>1.38748</v>
      </c>
      <c r="Z80" s="21">
        <v>15.3535</v>
      </c>
      <c r="AA80" s="21">
        <v>-1.27686E-2</v>
      </c>
      <c r="AB80" s="21">
        <v>70</v>
      </c>
      <c r="AC80" s="21">
        <v>1.38672</v>
      </c>
      <c r="AD80">
        <f t="shared" si="16"/>
        <v>15.763703703703703</v>
      </c>
      <c r="AE80">
        <f t="shared" si="17"/>
        <v>21.871823614814815</v>
      </c>
      <c r="AF80" s="9"/>
      <c r="AG80" s="21">
        <v>0.25253300000000001</v>
      </c>
      <c r="AH80" s="21">
        <v>19.0519</v>
      </c>
      <c r="AI80" s="21">
        <v>-1.3754300000000001E-2</v>
      </c>
      <c r="AJ80" s="21">
        <v>70</v>
      </c>
      <c r="AK80" s="21">
        <v>0.25192300000000001</v>
      </c>
      <c r="AL80">
        <f t="shared" si="18"/>
        <v>16.980617283950615</v>
      </c>
      <c r="AM80">
        <f t="shared" si="19"/>
        <v>4.2881662245679006</v>
      </c>
      <c r="AP80" s="9"/>
      <c r="AQ80" s="21">
        <v>1.38748</v>
      </c>
      <c r="AR80" s="21">
        <v>24.485700000000001</v>
      </c>
      <c r="AS80" s="21">
        <v>-1.28021E-2</v>
      </c>
      <c r="AT80" s="21">
        <v>70</v>
      </c>
      <c r="AU80" s="21">
        <v>1.38672</v>
      </c>
      <c r="AV80">
        <f t="shared" si="20"/>
        <v>15.805061728395062</v>
      </c>
      <c r="AW80">
        <f t="shared" si="21"/>
        <v>21.929207046913582</v>
      </c>
      <c r="AX80" s="9"/>
      <c r="AY80" s="21">
        <v>0.25253300000000001</v>
      </c>
      <c r="AZ80" s="21">
        <v>28.184100000000001</v>
      </c>
      <c r="BA80" s="21">
        <v>-1.3760400000000001E-2</v>
      </c>
      <c r="BB80" s="21">
        <v>70</v>
      </c>
      <c r="BC80" s="21">
        <v>0.251892</v>
      </c>
      <c r="BD80">
        <f t="shared" si="22"/>
        <v>16.988148148148149</v>
      </c>
      <c r="BE80">
        <f t="shared" si="23"/>
        <v>4.2900680162962965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1.38245</v>
      </c>
      <c r="H81" s="21">
        <v>6.3043699999999996</v>
      </c>
      <c r="I81" s="21">
        <v>-1.27747E-2</v>
      </c>
      <c r="J81" s="21">
        <v>71</v>
      </c>
      <c r="K81" s="21">
        <v>1.3821399999999999</v>
      </c>
      <c r="L81">
        <f t="shared" si="12"/>
        <v>15.771234567901235</v>
      </c>
      <c r="M81">
        <f t="shared" si="13"/>
        <v>21.802943228395062</v>
      </c>
      <c r="N81" s="9"/>
      <c r="O81" s="21">
        <v>0.25756800000000002</v>
      </c>
      <c r="P81" s="21">
        <v>10.002700000000001</v>
      </c>
      <c r="Q81" s="21">
        <v>-1.38306E-2</v>
      </c>
      <c r="R81" s="21">
        <v>71</v>
      </c>
      <c r="S81" s="21">
        <v>0.25689699999999999</v>
      </c>
      <c r="T81">
        <f t="shared" si="14"/>
        <v>17.074814814814815</v>
      </c>
      <c r="U81">
        <f t="shared" si="15"/>
        <v>4.3979259022222221</v>
      </c>
      <c r="X81" s="9"/>
      <c r="Y81" s="21">
        <v>1.38245</v>
      </c>
      <c r="Z81" s="21">
        <v>15.3636</v>
      </c>
      <c r="AA81" s="21">
        <v>-1.2799100000000001E-2</v>
      </c>
      <c r="AB81" s="21">
        <v>71</v>
      </c>
      <c r="AC81" s="21">
        <v>1.38184</v>
      </c>
      <c r="AD81">
        <f t="shared" si="16"/>
        <v>15.801358024691359</v>
      </c>
      <c r="AE81">
        <f t="shared" si="17"/>
        <v>21.84458740123457</v>
      </c>
      <c r="AF81" s="9"/>
      <c r="AG81" s="21">
        <v>0.25756800000000002</v>
      </c>
      <c r="AH81" s="21">
        <v>19.062000000000001</v>
      </c>
      <c r="AI81" s="21">
        <v>-1.37482E-2</v>
      </c>
      <c r="AJ81" s="21">
        <v>71</v>
      </c>
      <c r="AK81" s="21">
        <v>0.25695800000000002</v>
      </c>
      <c r="AL81">
        <f t="shared" si="18"/>
        <v>16.973086419753084</v>
      </c>
      <c r="AM81">
        <f t="shared" si="19"/>
        <v>4.3717239229629623</v>
      </c>
      <c r="AP81" s="9"/>
      <c r="AQ81" s="21">
        <v>1.38245</v>
      </c>
      <c r="AR81" s="21">
        <v>24.495799999999999</v>
      </c>
      <c r="AS81" s="21">
        <v>-1.2814300000000001E-2</v>
      </c>
      <c r="AT81" s="21">
        <v>71</v>
      </c>
      <c r="AU81" s="21">
        <v>1.38184</v>
      </c>
      <c r="AV81">
        <f t="shared" si="20"/>
        <v>15.820123456790125</v>
      </c>
      <c r="AW81">
        <f t="shared" si="21"/>
        <v>21.870529672839506</v>
      </c>
      <c r="AX81" s="9"/>
      <c r="AY81" s="21">
        <v>0.25756800000000002</v>
      </c>
      <c r="AZ81" s="21">
        <v>28.194099999999999</v>
      </c>
      <c r="BA81" s="21">
        <v>-1.37512E-2</v>
      </c>
      <c r="BB81" s="21">
        <v>71</v>
      </c>
      <c r="BC81" s="21">
        <v>0.25692700000000002</v>
      </c>
      <c r="BD81">
        <f t="shared" si="22"/>
        <v>16.976790123456787</v>
      </c>
      <c r="BE81">
        <f t="shared" si="23"/>
        <v>4.3726778785185179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1.37741</v>
      </c>
      <c r="H82" s="21">
        <v>6.3144400000000003</v>
      </c>
      <c r="I82" s="21">
        <v>-1.27838E-2</v>
      </c>
      <c r="J82" s="21">
        <v>72</v>
      </c>
      <c r="K82" s="21">
        <v>1.3763399999999999</v>
      </c>
      <c r="L82">
        <f t="shared" si="12"/>
        <v>15.782469135802467</v>
      </c>
      <c r="M82">
        <f t="shared" si="13"/>
        <v>21.738930812345675</v>
      </c>
      <c r="N82" s="9"/>
      <c r="O82" s="21">
        <v>0.262604</v>
      </c>
      <c r="P82" s="21">
        <v>10.0128</v>
      </c>
      <c r="Q82" s="21">
        <v>-1.38275E-2</v>
      </c>
      <c r="R82" s="21">
        <v>72</v>
      </c>
      <c r="S82" s="21">
        <v>0.26202399999999998</v>
      </c>
      <c r="T82">
        <f t="shared" si="14"/>
        <v>17.070987654320987</v>
      </c>
      <c r="U82">
        <f t="shared" si="15"/>
        <v>4.4829096419753087</v>
      </c>
      <c r="X82" s="9"/>
      <c r="Y82" s="21">
        <v>1.37741</v>
      </c>
      <c r="Z82" s="21">
        <v>15.373699999999999</v>
      </c>
      <c r="AA82" s="21">
        <v>-1.2820399999999999E-2</v>
      </c>
      <c r="AB82" s="21">
        <v>72</v>
      </c>
      <c r="AC82" s="21">
        <v>1.3760399999999999</v>
      </c>
      <c r="AD82">
        <f t="shared" si="16"/>
        <v>15.827654320987653</v>
      </c>
      <c r="AE82">
        <f t="shared" si="17"/>
        <v>21.801169338271603</v>
      </c>
      <c r="AF82" s="9"/>
      <c r="AG82" s="21">
        <v>0.262604</v>
      </c>
      <c r="AH82" s="21">
        <v>19.071999999999999</v>
      </c>
      <c r="AI82" s="21">
        <v>-1.37421E-2</v>
      </c>
      <c r="AJ82" s="21">
        <v>72</v>
      </c>
      <c r="AK82" s="21">
        <v>0.26199299999999998</v>
      </c>
      <c r="AL82">
        <f t="shared" si="18"/>
        <v>16.965555555555554</v>
      </c>
      <c r="AM82">
        <f t="shared" si="19"/>
        <v>4.4552227511111111</v>
      </c>
      <c r="AP82" s="9"/>
      <c r="AQ82" s="21">
        <v>1.37741</v>
      </c>
      <c r="AR82" s="21">
        <v>24.5059</v>
      </c>
      <c r="AS82" s="21">
        <v>-1.28448E-2</v>
      </c>
      <c r="AT82" s="21">
        <v>72</v>
      </c>
      <c r="AU82" s="21">
        <v>1.3766499999999999</v>
      </c>
      <c r="AV82">
        <f t="shared" si="20"/>
        <v>15.857777777777777</v>
      </c>
      <c r="AW82">
        <f t="shared" si="21"/>
        <v>21.842661688888889</v>
      </c>
      <c r="AX82" s="9"/>
      <c r="AY82" s="21">
        <v>0.262604</v>
      </c>
      <c r="AZ82" s="21">
        <v>28.2042</v>
      </c>
      <c r="BA82" s="21">
        <v>-1.37451E-2</v>
      </c>
      <c r="BB82" s="21">
        <v>72</v>
      </c>
      <c r="BC82" s="21">
        <v>0.261963</v>
      </c>
      <c r="BD82">
        <f t="shared" si="22"/>
        <v>16.969259259259257</v>
      </c>
      <c r="BE82">
        <f t="shared" si="23"/>
        <v>4.4561953585185181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1.3723799999999999</v>
      </c>
      <c r="H83" s="21">
        <v>6.3245100000000001</v>
      </c>
      <c r="I83" s="21">
        <v>-1.2805199999999999E-2</v>
      </c>
      <c r="J83" s="21">
        <v>73</v>
      </c>
      <c r="K83" s="21">
        <v>1.3717699999999999</v>
      </c>
      <c r="L83">
        <f t="shared" si="12"/>
        <v>15.808888888888886</v>
      </c>
      <c r="M83">
        <f t="shared" si="13"/>
        <v>21.695802933333329</v>
      </c>
      <c r="N83" s="9"/>
      <c r="O83" s="21">
        <v>0.26763900000000002</v>
      </c>
      <c r="P83" s="21">
        <v>10.0229</v>
      </c>
      <c r="Q83" s="21">
        <v>-1.38245E-2</v>
      </c>
      <c r="R83" s="21">
        <v>73</v>
      </c>
      <c r="S83" s="21">
        <v>0.26699800000000001</v>
      </c>
      <c r="T83">
        <f t="shared" si="14"/>
        <v>17.067283950617281</v>
      </c>
      <c r="U83">
        <f t="shared" si="15"/>
        <v>4.5678708092592588</v>
      </c>
      <c r="X83" s="9"/>
      <c r="Y83" s="21">
        <v>1.3723799999999999</v>
      </c>
      <c r="Z83" s="21">
        <v>15.383699999999999</v>
      </c>
      <c r="AA83" s="21">
        <v>-1.2847900000000001E-2</v>
      </c>
      <c r="AB83" s="21">
        <v>73</v>
      </c>
      <c r="AC83" s="21">
        <v>1.3714599999999999</v>
      </c>
      <c r="AD83">
        <f t="shared" si="16"/>
        <v>15.861604938271604</v>
      </c>
      <c r="AE83">
        <f t="shared" si="17"/>
        <v>21.768149385185183</v>
      </c>
      <c r="AF83" s="9"/>
      <c r="AG83" s="21">
        <v>0.26763900000000002</v>
      </c>
      <c r="AH83" s="21">
        <v>19.082100000000001</v>
      </c>
      <c r="AI83" s="21">
        <v>-1.37421E-2</v>
      </c>
      <c r="AJ83" s="21">
        <v>73</v>
      </c>
      <c r="AK83" s="21">
        <v>0.26702900000000002</v>
      </c>
      <c r="AL83">
        <f t="shared" si="18"/>
        <v>16.965555555555554</v>
      </c>
      <c r="AM83">
        <f t="shared" si="19"/>
        <v>4.5406443233333329</v>
      </c>
      <c r="AP83" s="9"/>
      <c r="AQ83" s="21">
        <v>1.3723799999999999</v>
      </c>
      <c r="AR83" s="21">
        <v>24.515899999999998</v>
      </c>
      <c r="AS83" s="21">
        <v>-1.2881500000000001E-2</v>
      </c>
      <c r="AT83" s="21">
        <v>73</v>
      </c>
      <c r="AU83" s="21">
        <v>1.3717699999999999</v>
      </c>
      <c r="AV83">
        <f t="shared" si="20"/>
        <v>15.903086419753087</v>
      </c>
      <c r="AW83">
        <f t="shared" si="21"/>
        <v>21.825077740740742</v>
      </c>
      <c r="AX83" s="9"/>
      <c r="AY83" s="21">
        <v>0.26763900000000002</v>
      </c>
      <c r="AZ83" s="21">
        <v>28.214300000000001</v>
      </c>
      <c r="BA83" s="21">
        <v>-1.3736E-2</v>
      </c>
      <c r="BB83" s="21">
        <v>73</v>
      </c>
      <c r="BC83" s="21">
        <v>0.26702900000000002</v>
      </c>
      <c r="BD83">
        <f t="shared" si="22"/>
        <v>16.958024691358023</v>
      </c>
      <c r="BE83">
        <f t="shared" si="23"/>
        <v>4.5386287703703703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1.36734</v>
      </c>
      <c r="H84" s="21">
        <v>6.3345799999999999</v>
      </c>
      <c r="I84" s="21">
        <v>-1.28235E-2</v>
      </c>
      <c r="J84" s="21">
        <v>74</v>
      </c>
      <c r="K84" s="21">
        <v>1.3668800000000001</v>
      </c>
      <c r="L84">
        <f t="shared" si="12"/>
        <v>15.831481481481481</v>
      </c>
      <c r="M84">
        <f t="shared" si="13"/>
        <v>21.647017888888886</v>
      </c>
      <c r="N84" s="9"/>
      <c r="O84" s="21">
        <v>0.272675</v>
      </c>
      <c r="P84" s="21">
        <v>10.0329</v>
      </c>
      <c r="Q84" s="21">
        <v>-1.38123E-2</v>
      </c>
      <c r="R84" s="21">
        <v>74</v>
      </c>
      <c r="S84" s="21">
        <v>0.272034</v>
      </c>
      <c r="T84">
        <f t="shared" si="14"/>
        <v>17.052222222222223</v>
      </c>
      <c r="U84">
        <f t="shared" si="15"/>
        <v>4.6497146944444445</v>
      </c>
      <c r="X84" s="9"/>
      <c r="Y84" s="21">
        <v>1.36734</v>
      </c>
      <c r="Z84" s="21">
        <v>15.393800000000001</v>
      </c>
      <c r="AA84" s="21">
        <v>-1.28723E-2</v>
      </c>
      <c r="AB84" s="21">
        <v>74</v>
      </c>
      <c r="AC84" s="21">
        <v>1.3674900000000001</v>
      </c>
      <c r="AD84">
        <f t="shared" si="16"/>
        <v>15.891728395061728</v>
      </c>
      <c r="AE84">
        <f t="shared" si="17"/>
        <v>21.729395903703704</v>
      </c>
      <c r="AF84" s="9"/>
      <c r="AG84" s="21">
        <v>0.272675</v>
      </c>
      <c r="AH84" s="21">
        <v>19.092199999999998</v>
      </c>
      <c r="AI84" s="21">
        <v>-1.37573E-2</v>
      </c>
      <c r="AJ84" s="21">
        <v>74</v>
      </c>
      <c r="AK84" s="21">
        <v>0.27209499999999998</v>
      </c>
      <c r="AL84">
        <f t="shared" si="18"/>
        <v>16.984320987654321</v>
      </c>
      <c r="AM84">
        <f t="shared" si="19"/>
        <v>4.6311997253086421</v>
      </c>
      <c r="AP84" s="9"/>
      <c r="AQ84" s="21">
        <v>1.36734</v>
      </c>
      <c r="AR84" s="21">
        <v>24.526</v>
      </c>
      <c r="AS84" s="21">
        <v>-1.29059E-2</v>
      </c>
      <c r="AT84" s="21">
        <v>74</v>
      </c>
      <c r="AU84" s="21">
        <v>1.3668800000000001</v>
      </c>
      <c r="AV84">
        <f t="shared" si="20"/>
        <v>15.933209876543209</v>
      </c>
      <c r="AW84">
        <f t="shared" si="21"/>
        <v>21.786115192592593</v>
      </c>
      <c r="AX84" s="9"/>
      <c r="AY84" s="21">
        <v>0.272675</v>
      </c>
      <c r="AZ84" s="21">
        <v>28.224399999999999</v>
      </c>
      <c r="BA84" s="21">
        <v>-1.37421E-2</v>
      </c>
      <c r="BB84" s="21">
        <v>74</v>
      </c>
      <c r="BC84" s="21">
        <v>0.27218599999999998</v>
      </c>
      <c r="BD84">
        <f t="shared" si="22"/>
        <v>16.965555555555554</v>
      </c>
      <c r="BE84">
        <f t="shared" si="23"/>
        <v>4.6260828611111107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1.3623000000000001</v>
      </c>
      <c r="H85" s="21">
        <v>6.3446499999999997</v>
      </c>
      <c r="I85" s="21">
        <v>-1.2847900000000001E-2</v>
      </c>
      <c r="J85" s="21">
        <v>75</v>
      </c>
      <c r="K85" s="21">
        <v>1.3616900000000001</v>
      </c>
      <c r="L85">
        <f t="shared" si="12"/>
        <v>15.861604938271604</v>
      </c>
      <c r="M85">
        <f t="shared" si="13"/>
        <v>21.608264407407408</v>
      </c>
      <c r="N85" s="9"/>
      <c r="O85" s="21">
        <v>0.27771000000000001</v>
      </c>
      <c r="P85" s="21">
        <v>10.042999999999999</v>
      </c>
      <c r="Q85" s="21">
        <v>-1.38031E-2</v>
      </c>
      <c r="R85" s="21">
        <v>75</v>
      </c>
      <c r="S85" s="21">
        <v>0.27706900000000001</v>
      </c>
      <c r="T85">
        <f t="shared" si="14"/>
        <v>17.040864197530862</v>
      </c>
      <c r="U85">
        <f t="shared" si="15"/>
        <v>4.7324183962962962</v>
      </c>
      <c r="X85" s="9"/>
      <c r="Y85" s="21">
        <v>1.3623000000000001</v>
      </c>
      <c r="Z85" s="21">
        <v>15.4039</v>
      </c>
      <c r="AA85" s="21">
        <v>-1.2887600000000001E-2</v>
      </c>
      <c r="AB85" s="21">
        <v>75</v>
      </c>
      <c r="AC85" s="21">
        <v>1.3613900000000001</v>
      </c>
      <c r="AD85">
        <f t="shared" si="16"/>
        <v>15.910617283950618</v>
      </c>
      <c r="AE85">
        <f t="shared" si="17"/>
        <v>21.675033925925927</v>
      </c>
      <c r="AF85" s="9"/>
      <c r="AG85" s="21">
        <v>0.27771000000000001</v>
      </c>
      <c r="AH85" s="21">
        <v>19.1022</v>
      </c>
      <c r="AI85" s="21">
        <v>-1.37634E-2</v>
      </c>
      <c r="AJ85" s="21">
        <v>75</v>
      </c>
      <c r="AK85" s="21">
        <v>0.276978</v>
      </c>
      <c r="AL85">
        <f t="shared" si="18"/>
        <v>16.991851851851852</v>
      </c>
      <c r="AM85">
        <f t="shared" si="19"/>
        <v>4.7188071777777783</v>
      </c>
      <c r="AP85" s="9"/>
      <c r="AQ85" s="21">
        <v>1.3623000000000001</v>
      </c>
      <c r="AR85" s="21">
        <v>24.536100000000001</v>
      </c>
      <c r="AS85" s="21">
        <v>-1.29181E-2</v>
      </c>
      <c r="AT85" s="21">
        <v>75</v>
      </c>
      <c r="AU85" s="21">
        <v>1.3616900000000001</v>
      </c>
      <c r="AV85">
        <f t="shared" si="20"/>
        <v>15.94827160493827</v>
      </c>
      <c r="AW85">
        <f t="shared" si="21"/>
        <v>21.726330407407406</v>
      </c>
      <c r="AX85" s="9"/>
      <c r="AY85" s="21">
        <v>0.27771000000000001</v>
      </c>
      <c r="AZ85" s="21">
        <v>28.234400000000001</v>
      </c>
      <c r="BA85" s="21">
        <v>-1.37451E-2</v>
      </c>
      <c r="BB85" s="21">
        <v>75</v>
      </c>
      <c r="BC85" s="21">
        <v>0.27700799999999998</v>
      </c>
      <c r="BD85">
        <f t="shared" si="22"/>
        <v>16.969259259259257</v>
      </c>
      <c r="BE85">
        <f t="shared" si="23"/>
        <v>4.7125329888888885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1.35727</v>
      </c>
      <c r="H86" s="21">
        <v>6.35473</v>
      </c>
      <c r="I86" s="21">
        <v>-1.28723E-2</v>
      </c>
      <c r="J86" s="21">
        <v>76</v>
      </c>
      <c r="K86" s="21">
        <v>1.3565100000000001</v>
      </c>
      <c r="L86">
        <f t="shared" si="12"/>
        <v>15.891728395061728</v>
      </c>
      <c r="M86">
        <f t="shared" si="13"/>
        <v>21.569366198765429</v>
      </c>
      <c r="N86" s="9"/>
      <c r="O86" s="21">
        <v>0.28274500000000002</v>
      </c>
      <c r="P86" s="21">
        <v>10.053100000000001</v>
      </c>
      <c r="Q86" s="21">
        <v>-1.37909E-2</v>
      </c>
      <c r="R86" s="21">
        <v>76</v>
      </c>
      <c r="S86" s="21">
        <v>0.28213500000000002</v>
      </c>
      <c r="T86">
        <f t="shared" si="14"/>
        <v>17.025802469135801</v>
      </c>
      <c r="U86">
        <f t="shared" si="15"/>
        <v>4.8139605191358026</v>
      </c>
      <c r="X86" s="9"/>
      <c r="Y86" s="21">
        <v>1.35727</v>
      </c>
      <c r="Z86" s="21">
        <v>15.4139</v>
      </c>
      <c r="AA86" s="21">
        <v>-1.2899799999999999E-2</v>
      </c>
      <c r="AB86" s="21">
        <v>76</v>
      </c>
      <c r="AC86" s="21">
        <v>1.3562000000000001</v>
      </c>
      <c r="AD86">
        <f t="shared" si="16"/>
        <v>15.925679012345679</v>
      </c>
      <c r="AE86">
        <f t="shared" si="17"/>
        <v>21.615446353086419</v>
      </c>
      <c r="AF86" s="9"/>
      <c r="AG86" s="21">
        <v>0.28274500000000002</v>
      </c>
      <c r="AH86" s="21">
        <v>19.112300000000001</v>
      </c>
      <c r="AI86" s="21">
        <v>-1.3766499999999999E-2</v>
      </c>
      <c r="AJ86" s="21">
        <v>76</v>
      </c>
      <c r="AK86" s="21">
        <v>0.28210400000000002</v>
      </c>
      <c r="AL86">
        <f t="shared" si="18"/>
        <v>16.995679012345676</v>
      </c>
      <c r="AM86">
        <f t="shared" si="19"/>
        <v>4.8054432623456789</v>
      </c>
      <c r="AP86" s="9"/>
      <c r="AQ86" s="21">
        <v>1.35727</v>
      </c>
      <c r="AR86" s="21">
        <v>24.546199999999999</v>
      </c>
      <c r="AS86" s="21">
        <v>-1.2936400000000001E-2</v>
      </c>
      <c r="AT86" s="21">
        <v>76</v>
      </c>
      <c r="AU86" s="21">
        <v>1.3565100000000001</v>
      </c>
      <c r="AV86">
        <f t="shared" si="20"/>
        <v>15.970864197530865</v>
      </c>
      <c r="AW86">
        <f t="shared" si="21"/>
        <v>21.676774849382717</v>
      </c>
      <c r="AX86" s="9"/>
      <c r="AY86" s="21">
        <v>0.28274500000000002</v>
      </c>
      <c r="AZ86" s="21">
        <v>28.244499999999999</v>
      </c>
      <c r="BA86" s="21">
        <v>-1.37421E-2</v>
      </c>
      <c r="BB86" s="21">
        <v>76</v>
      </c>
      <c r="BC86" s="21">
        <v>0.28207399999999999</v>
      </c>
      <c r="BD86">
        <f t="shared" si="22"/>
        <v>16.965555555555554</v>
      </c>
      <c r="BE86">
        <f t="shared" si="23"/>
        <v>4.7969260055555552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1.35223</v>
      </c>
      <c r="H87" s="21">
        <v>6.3647999999999998</v>
      </c>
      <c r="I87" s="21">
        <v>-1.2896700000000001E-2</v>
      </c>
      <c r="J87" s="21">
        <v>77</v>
      </c>
      <c r="K87" s="21">
        <v>1.35101</v>
      </c>
      <c r="L87">
        <f t="shared" si="12"/>
        <v>15.92185185185185</v>
      </c>
      <c r="M87">
        <f t="shared" si="13"/>
        <v>21.530005729629629</v>
      </c>
      <c r="N87" s="9"/>
      <c r="O87" s="21">
        <v>0.28778100000000001</v>
      </c>
      <c r="P87" s="21">
        <v>10.0631</v>
      </c>
      <c r="Q87" s="21">
        <v>-1.37695E-2</v>
      </c>
      <c r="R87" s="21">
        <v>77</v>
      </c>
      <c r="S87" s="21">
        <v>0.28720099999999998</v>
      </c>
      <c r="T87">
        <f t="shared" si="14"/>
        <v>16.999382716049382</v>
      </c>
      <c r="U87">
        <f t="shared" si="15"/>
        <v>4.8920993574074076</v>
      </c>
      <c r="X87" s="9"/>
      <c r="Y87" s="21">
        <v>1.35223</v>
      </c>
      <c r="Z87" s="21">
        <v>15.423999999999999</v>
      </c>
      <c r="AA87" s="21">
        <v>-1.29059E-2</v>
      </c>
      <c r="AB87" s="21">
        <v>77</v>
      </c>
      <c r="AC87" s="21">
        <v>1.3513200000000001</v>
      </c>
      <c r="AD87">
        <f t="shared" si="16"/>
        <v>15.933209876543209</v>
      </c>
      <c r="AE87">
        <f t="shared" si="17"/>
        <v>21.545364391358024</v>
      </c>
      <c r="AF87" s="9"/>
      <c r="AG87" s="21">
        <v>0.28778100000000001</v>
      </c>
      <c r="AH87" s="21">
        <v>19.122399999999999</v>
      </c>
      <c r="AI87" s="21">
        <v>-1.3754300000000001E-2</v>
      </c>
      <c r="AJ87" s="21">
        <v>77</v>
      </c>
      <c r="AK87" s="21">
        <v>0.28726200000000002</v>
      </c>
      <c r="AL87">
        <f t="shared" si="18"/>
        <v>16.980617283950615</v>
      </c>
      <c r="AM87">
        <f t="shared" si="19"/>
        <v>4.8866990225925919</v>
      </c>
      <c r="AP87" s="9"/>
      <c r="AQ87" s="21">
        <v>1.35223</v>
      </c>
      <c r="AR87" s="21">
        <v>24.5562</v>
      </c>
      <c r="AS87" s="21">
        <v>-1.29517E-2</v>
      </c>
      <c r="AT87" s="21">
        <v>77</v>
      </c>
      <c r="AU87" s="21">
        <v>1.35162</v>
      </c>
      <c r="AV87">
        <f t="shared" si="20"/>
        <v>15.989753086419752</v>
      </c>
      <c r="AW87">
        <f t="shared" si="21"/>
        <v>21.621823816049382</v>
      </c>
      <c r="AX87" s="9"/>
      <c r="AY87" s="21">
        <v>0.28778100000000001</v>
      </c>
      <c r="AZ87" s="21">
        <v>28.2546</v>
      </c>
      <c r="BA87" s="21">
        <v>-1.37421E-2</v>
      </c>
      <c r="BB87" s="21">
        <v>77</v>
      </c>
      <c r="BC87" s="21">
        <v>0.287109</v>
      </c>
      <c r="BD87">
        <f t="shared" si="22"/>
        <v>16.965555555555554</v>
      </c>
      <c r="BE87">
        <f t="shared" si="23"/>
        <v>4.8823645433333329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1.3472</v>
      </c>
      <c r="H88" s="21">
        <v>6.3748699999999996</v>
      </c>
      <c r="I88" s="21">
        <v>-1.2914999999999999E-2</v>
      </c>
      <c r="J88" s="21">
        <v>78</v>
      </c>
      <c r="K88" s="21">
        <v>1.3464400000000001</v>
      </c>
      <c r="L88">
        <f t="shared" si="12"/>
        <v>15.944444444444441</v>
      </c>
      <c r="M88">
        <f t="shared" si="13"/>
        <v>21.480355555555551</v>
      </c>
      <c r="N88" s="9"/>
      <c r="O88" s="21">
        <v>0.29281600000000002</v>
      </c>
      <c r="P88" s="21">
        <v>10.0732</v>
      </c>
      <c r="Q88" s="21">
        <v>-1.3766499999999999E-2</v>
      </c>
      <c r="R88" s="21">
        <v>78</v>
      </c>
      <c r="S88" s="21">
        <v>0.29217500000000002</v>
      </c>
      <c r="T88">
        <f t="shared" si="14"/>
        <v>16.995679012345676</v>
      </c>
      <c r="U88">
        <f t="shared" si="15"/>
        <v>4.9766067456790113</v>
      </c>
      <c r="X88" s="9"/>
      <c r="Y88" s="21">
        <v>1.3472</v>
      </c>
      <c r="Z88" s="21">
        <v>15.434100000000001</v>
      </c>
      <c r="AA88" s="21">
        <v>-1.29303E-2</v>
      </c>
      <c r="AB88" s="21">
        <v>78</v>
      </c>
      <c r="AC88" s="21">
        <v>1.3464400000000001</v>
      </c>
      <c r="AD88">
        <f t="shared" si="16"/>
        <v>15.963333333333333</v>
      </c>
      <c r="AE88">
        <f t="shared" si="17"/>
        <v>21.505802666666664</v>
      </c>
      <c r="AF88" s="9"/>
      <c r="AG88" s="21">
        <v>0.29281600000000002</v>
      </c>
      <c r="AH88" s="21">
        <v>19.1325</v>
      </c>
      <c r="AI88" s="21">
        <v>-1.37421E-2</v>
      </c>
      <c r="AJ88" s="21">
        <v>78</v>
      </c>
      <c r="AK88" s="21">
        <v>0.29217500000000002</v>
      </c>
      <c r="AL88">
        <f t="shared" si="18"/>
        <v>16.965555555555554</v>
      </c>
      <c r="AM88">
        <f t="shared" si="19"/>
        <v>4.9677861155555556</v>
      </c>
      <c r="AP88" s="9"/>
      <c r="AQ88" s="21">
        <v>1.3472</v>
      </c>
      <c r="AR88" s="21">
        <v>24.566299999999998</v>
      </c>
      <c r="AS88" s="21">
        <v>-1.2973E-2</v>
      </c>
      <c r="AT88" s="21">
        <v>78</v>
      </c>
      <c r="AU88" s="21">
        <v>1.34674</v>
      </c>
      <c r="AV88">
        <f t="shared" si="20"/>
        <v>16.016049382716048</v>
      </c>
      <c r="AW88">
        <f t="shared" si="21"/>
        <v>21.576821728395061</v>
      </c>
      <c r="AX88" s="9"/>
      <c r="AY88" s="21">
        <v>0.29281600000000002</v>
      </c>
      <c r="AZ88" s="21">
        <v>28.264600000000002</v>
      </c>
      <c r="BA88" s="21">
        <v>-1.3738999999999999E-2</v>
      </c>
      <c r="BB88" s="21">
        <v>78</v>
      </c>
      <c r="BC88" s="21">
        <v>0.29220600000000002</v>
      </c>
      <c r="BD88">
        <f t="shared" si="22"/>
        <v>16.961728395061726</v>
      </c>
      <c r="BE88">
        <f t="shared" si="23"/>
        <v>4.966665461728395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1.34216</v>
      </c>
      <c r="H89" s="21">
        <v>6.3849400000000003</v>
      </c>
      <c r="I89" s="21">
        <v>-1.2936400000000001E-2</v>
      </c>
      <c r="J89" s="21">
        <v>79</v>
      </c>
      <c r="K89" s="21">
        <v>1.3412500000000001</v>
      </c>
      <c r="L89">
        <f t="shared" si="12"/>
        <v>15.970864197530865</v>
      </c>
      <c r="M89">
        <f t="shared" si="13"/>
        <v>21.435455091358026</v>
      </c>
      <c r="N89" s="9"/>
      <c r="O89" s="21">
        <v>0.29785200000000001</v>
      </c>
      <c r="P89" s="21">
        <v>10.083299999999999</v>
      </c>
      <c r="Q89" s="21">
        <v>-1.3766499999999999E-2</v>
      </c>
      <c r="R89" s="21">
        <v>79</v>
      </c>
      <c r="S89" s="21">
        <v>0.29724099999999998</v>
      </c>
      <c r="T89">
        <f t="shared" si="14"/>
        <v>16.995679012345676</v>
      </c>
      <c r="U89">
        <f t="shared" si="15"/>
        <v>5.0621969851851842</v>
      </c>
      <c r="X89" s="9"/>
      <c r="Y89" s="21">
        <v>1.34216</v>
      </c>
      <c r="Z89" s="21">
        <v>15.4442</v>
      </c>
      <c r="AA89" s="21">
        <v>-1.29639E-2</v>
      </c>
      <c r="AB89" s="21">
        <v>79</v>
      </c>
      <c r="AC89" s="21">
        <v>1.34155</v>
      </c>
      <c r="AD89">
        <f t="shared" si="16"/>
        <v>16.004814814814814</v>
      </c>
      <c r="AE89">
        <f t="shared" si="17"/>
        <v>21.481022251851851</v>
      </c>
      <c r="AF89" s="9"/>
      <c r="AG89" s="21">
        <v>0.29785200000000001</v>
      </c>
      <c r="AH89" s="21">
        <v>19.142499999999998</v>
      </c>
      <c r="AI89" s="21">
        <v>-1.3738999999999999E-2</v>
      </c>
      <c r="AJ89" s="21">
        <v>79</v>
      </c>
      <c r="AK89" s="21">
        <v>0.29718</v>
      </c>
      <c r="AL89">
        <f t="shared" si="18"/>
        <v>16.961728395061726</v>
      </c>
      <c r="AM89">
        <f t="shared" si="19"/>
        <v>5.0520847259259254</v>
      </c>
      <c r="AP89" s="9"/>
      <c r="AQ89" s="21">
        <v>1.34216</v>
      </c>
      <c r="AR89" s="21">
        <v>24.5764</v>
      </c>
      <c r="AS89" s="21">
        <v>-1.2991300000000001E-2</v>
      </c>
      <c r="AT89" s="21">
        <v>79</v>
      </c>
      <c r="AU89" s="21">
        <v>1.3418600000000001</v>
      </c>
      <c r="AV89">
        <f t="shared" si="20"/>
        <v>16.038641975308643</v>
      </c>
      <c r="AW89">
        <f t="shared" si="21"/>
        <v>21.526423713580247</v>
      </c>
      <c r="AX89" s="9"/>
      <c r="AY89" s="21">
        <v>0.29785200000000001</v>
      </c>
      <c r="AZ89" s="21">
        <v>28.274699999999999</v>
      </c>
      <c r="BA89" s="21">
        <v>-1.37451E-2</v>
      </c>
      <c r="BB89" s="21">
        <v>79</v>
      </c>
      <c r="BC89" s="21">
        <v>0.29718</v>
      </c>
      <c r="BD89">
        <f t="shared" si="22"/>
        <v>16.969259259259257</v>
      </c>
      <c r="BE89">
        <f t="shared" si="23"/>
        <v>5.0543278088888881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1.3371299999999999</v>
      </c>
      <c r="H90" s="21">
        <v>6.3950100000000001</v>
      </c>
      <c r="I90" s="21">
        <v>-1.29517E-2</v>
      </c>
      <c r="J90" s="21">
        <v>80</v>
      </c>
      <c r="K90" s="21">
        <v>1.33667</v>
      </c>
      <c r="L90">
        <f t="shared" si="12"/>
        <v>15.989753086419752</v>
      </c>
      <c r="M90">
        <f t="shared" si="13"/>
        <v>21.38037854444444</v>
      </c>
      <c r="N90" s="9"/>
      <c r="O90" s="21">
        <v>0.30288700000000002</v>
      </c>
      <c r="P90" s="21">
        <v>10.093299999999999</v>
      </c>
      <c r="Q90" s="21">
        <v>-1.3760400000000001E-2</v>
      </c>
      <c r="R90" s="21">
        <v>80</v>
      </c>
      <c r="S90" s="21">
        <v>0.302338</v>
      </c>
      <c r="T90">
        <f t="shared" si="14"/>
        <v>16.988148148148149</v>
      </c>
      <c r="U90">
        <f t="shared" si="15"/>
        <v>5.1454892281481488</v>
      </c>
      <c r="X90" s="9"/>
      <c r="Y90" s="21">
        <v>1.3371299999999999</v>
      </c>
      <c r="Z90" s="21">
        <v>15.4542</v>
      </c>
      <c r="AA90" s="21">
        <v>-1.2985200000000001E-2</v>
      </c>
      <c r="AB90" s="21">
        <v>80</v>
      </c>
      <c r="AC90" s="21">
        <v>1.33636</v>
      </c>
      <c r="AD90">
        <f t="shared" si="16"/>
        <v>16.031111111111109</v>
      </c>
      <c r="AE90">
        <f t="shared" si="17"/>
        <v>21.435679599999997</v>
      </c>
      <c r="AF90" s="9"/>
      <c r="AG90" s="21">
        <v>0.30288700000000002</v>
      </c>
      <c r="AH90" s="21">
        <v>19.1526</v>
      </c>
      <c r="AI90" s="21">
        <v>-1.3736E-2</v>
      </c>
      <c r="AJ90" s="21">
        <v>80</v>
      </c>
      <c r="AK90" s="21">
        <v>0.30227700000000002</v>
      </c>
      <c r="AL90">
        <f t="shared" si="18"/>
        <v>16.958024691358023</v>
      </c>
      <c r="AM90">
        <f t="shared" si="19"/>
        <v>5.1363652246913576</v>
      </c>
      <c r="AP90" s="9"/>
      <c r="AQ90" s="21">
        <v>1.3371299999999999</v>
      </c>
      <c r="AR90" s="21">
        <v>24.586400000000001</v>
      </c>
      <c r="AS90" s="21">
        <v>-1.30066E-2</v>
      </c>
      <c r="AT90" s="21">
        <v>80</v>
      </c>
      <c r="AU90" s="21">
        <v>1.33636</v>
      </c>
      <c r="AV90">
        <f t="shared" si="20"/>
        <v>16.057530864197531</v>
      </c>
      <c r="AW90">
        <f t="shared" si="21"/>
        <v>21.471006244444443</v>
      </c>
      <c r="AX90" s="9"/>
      <c r="AY90" s="21">
        <v>0.30288700000000002</v>
      </c>
      <c r="AZ90" s="21">
        <v>28.284800000000001</v>
      </c>
      <c r="BA90" s="21">
        <v>-1.3738999999999999E-2</v>
      </c>
      <c r="BB90" s="21">
        <v>80</v>
      </c>
      <c r="BC90" s="21">
        <v>0.30230699999999999</v>
      </c>
      <c r="BD90">
        <f t="shared" si="22"/>
        <v>16.961728395061726</v>
      </c>
      <c r="BE90">
        <f t="shared" si="23"/>
        <v>5.1374870283950616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1.33209</v>
      </c>
      <c r="H91" s="21">
        <v>6.4050799999999999</v>
      </c>
      <c r="I91" s="21">
        <v>-1.2973E-2</v>
      </c>
      <c r="J91" s="21">
        <v>81</v>
      </c>
      <c r="K91" s="21">
        <v>1.33148</v>
      </c>
      <c r="L91">
        <f t="shared" si="12"/>
        <v>16.016049382716048</v>
      </c>
      <c r="M91">
        <f t="shared" si="13"/>
        <v>21.334819222222219</v>
      </c>
      <c r="N91" s="9"/>
      <c r="O91" s="21">
        <v>0.30792199999999997</v>
      </c>
      <c r="P91" s="21">
        <v>10.103400000000001</v>
      </c>
      <c r="Q91" s="21">
        <v>-1.3766499999999999E-2</v>
      </c>
      <c r="R91" s="21">
        <v>81</v>
      </c>
      <c r="S91" s="21">
        <v>0.30740400000000001</v>
      </c>
      <c r="T91">
        <f t="shared" si="14"/>
        <v>16.995679012345676</v>
      </c>
      <c r="U91">
        <f t="shared" si="15"/>
        <v>5.233343472839505</v>
      </c>
      <c r="X91" s="9"/>
      <c r="Y91" s="21">
        <v>1.33209</v>
      </c>
      <c r="Z91" s="21">
        <v>15.4643</v>
      </c>
      <c r="AA91" s="21">
        <v>-1.30096E-2</v>
      </c>
      <c r="AB91" s="21">
        <v>81</v>
      </c>
      <c r="AC91" s="21">
        <v>1.33148</v>
      </c>
      <c r="AD91">
        <f t="shared" si="16"/>
        <v>16.061234567901234</v>
      </c>
      <c r="AE91">
        <f t="shared" si="17"/>
        <v>21.395009955555555</v>
      </c>
      <c r="AF91" s="9"/>
      <c r="AG91" s="21">
        <v>0.30792199999999997</v>
      </c>
      <c r="AH91" s="21">
        <v>19.162700000000001</v>
      </c>
      <c r="AI91" s="21">
        <v>-1.37299E-2</v>
      </c>
      <c r="AJ91" s="21">
        <v>81</v>
      </c>
      <c r="AK91" s="21">
        <v>0.307251</v>
      </c>
      <c r="AL91">
        <f t="shared" si="18"/>
        <v>16.950493827160493</v>
      </c>
      <c r="AM91">
        <f t="shared" si="19"/>
        <v>5.219429960246913</v>
      </c>
      <c r="AP91" s="9"/>
      <c r="AQ91" s="21">
        <v>1.33209</v>
      </c>
      <c r="AR91" s="21">
        <v>24.596499999999999</v>
      </c>
      <c r="AS91" s="21">
        <v>-1.3024900000000001E-2</v>
      </c>
      <c r="AT91" s="21">
        <v>81</v>
      </c>
      <c r="AU91" s="21">
        <v>1.33179</v>
      </c>
      <c r="AV91">
        <f t="shared" si="20"/>
        <v>16.080123456790126</v>
      </c>
      <c r="AW91">
        <f t="shared" si="21"/>
        <v>21.42017165555556</v>
      </c>
      <c r="AX91" s="9"/>
      <c r="AY91" s="21">
        <v>0.30792199999999997</v>
      </c>
      <c r="AZ91" s="21">
        <v>28.294899999999998</v>
      </c>
      <c r="BA91" s="21">
        <v>-1.37451E-2</v>
      </c>
      <c r="BB91" s="21">
        <v>81</v>
      </c>
      <c r="BC91" s="21">
        <v>0.30734299999999998</v>
      </c>
      <c r="BD91">
        <f t="shared" si="22"/>
        <v>16.969259259259257</v>
      </c>
      <c r="BE91">
        <f t="shared" si="23"/>
        <v>5.2252082496296284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1.3270599999999999</v>
      </c>
      <c r="H92" s="21">
        <v>6.4151499999999997</v>
      </c>
      <c r="I92" s="21">
        <v>-1.2997399999999999E-2</v>
      </c>
      <c r="J92" s="21">
        <v>82</v>
      </c>
      <c r="K92" s="21">
        <v>1.32599</v>
      </c>
      <c r="L92">
        <f t="shared" si="12"/>
        <v>16.04617283950617</v>
      </c>
      <c r="M92">
        <f t="shared" si="13"/>
        <v>21.294234128395058</v>
      </c>
      <c r="N92" s="9"/>
      <c r="O92" s="21">
        <v>0.31295800000000001</v>
      </c>
      <c r="P92" s="21">
        <v>10.1135</v>
      </c>
      <c r="Q92" s="21">
        <v>-1.3760400000000001E-2</v>
      </c>
      <c r="R92" s="21">
        <v>82</v>
      </c>
      <c r="S92" s="21">
        <v>0.31234699999999999</v>
      </c>
      <c r="T92">
        <f t="shared" si="14"/>
        <v>16.988148148148149</v>
      </c>
      <c r="U92">
        <f t="shared" si="15"/>
        <v>5.3165768681481484</v>
      </c>
      <c r="X92" s="9"/>
      <c r="Y92" s="21">
        <v>1.3270599999999999</v>
      </c>
      <c r="Z92" s="21">
        <v>15.474399999999999</v>
      </c>
      <c r="AA92" s="21">
        <v>-1.30341E-2</v>
      </c>
      <c r="AB92" s="21">
        <v>82</v>
      </c>
      <c r="AC92" s="21">
        <v>1.32599</v>
      </c>
      <c r="AD92">
        <f t="shared" si="16"/>
        <v>16.09148148148148</v>
      </c>
      <c r="AE92">
        <f t="shared" si="17"/>
        <v>21.354361414814811</v>
      </c>
      <c r="AF92" s="9"/>
      <c r="AG92" s="21">
        <v>0.31295800000000001</v>
      </c>
      <c r="AH92" s="21">
        <v>19.172699999999999</v>
      </c>
      <c r="AI92" s="21">
        <v>-1.3736E-2</v>
      </c>
      <c r="AJ92" s="21">
        <v>82</v>
      </c>
      <c r="AK92" s="21">
        <v>0.3125</v>
      </c>
      <c r="AL92">
        <f t="shared" si="18"/>
        <v>16.958024691358023</v>
      </c>
      <c r="AM92">
        <f t="shared" si="19"/>
        <v>5.3071494913580244</v>
      </c>
      <c r="AP92" s="9"/>
      <c r="AQ92" s="21">
        <v>1.3270599999999999</v>
      </c>
      <c r="AR92" s="21">
        <v>24.6066</v>
      </c>
      <c r="AS92" s="21">
        <v>-1.30463E-2</v>
      </c>
      <c r="AT92" s="21">
        <v>82</v>
      </c>
      <c r="AU92" s="21">
        <v>1.3266</v>
      </c>
      <c r="AV92">
        <f t="shared" si="20"/>
        <v>16.106543209876545</v>
      </c>
      <c r="AW92">
        <f t="shared" si="21"/>
        <v>21.374349232098766</v>
      </c>
      <c r="AX92" s="9"/>
      <c r="AY92" s="21">
        <v>0.31295800000000001</v>
      </c>
      <c r="AZ92" s="21">
        <v>28.3049</v>
      </c>
      <c r="BA92" s="21">
        <v>-1.3732899999999999E-2</v>
      </c>
      <c r="BB92" s="21">
        <v>82</v>
      </c>
      <c r="BC92" s="21">
        <v>0.31231700000000001</v>
      </c>
      <c r="BD92">
        <f t="shared" si="22"/>
        <v>16.954197530864196</v>
      </c>
      <c r="BE92">
        <f t="shared" si="23"/>
        <v>5.3059517508641969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1.32202</v>
      </c>
      <c r="H93" s="21">
        <v>6.4252200000000004</v>
      </c>
      <c r="I93" s="21">
        <v>-1.30157E-2</v>
      </c>
      <c r="J93" s="21">
        <v>83</v>
      </c>
      <c r="K93" s="21">
        <v>1.32141</v>
      </c>
      <c r="L93">
        <f t="shared" si="12"/>
        <v>16.068765432098765</v>
      </c>
      <c r="M93">
        <f t="shared" si="13"/>
        <v>21.243229276543207</v>
      </c>
      <c r="N93" s="9"/>
      <c r="O93" s="21">
        <v>0.31799300000000003</v>
      </c>
      <c r="P93" s="21">
        <v>10.1236</v>
      </c>
      <c r="Q93" s="21">
        <v>-1.37573E-2</v>
      </c>
      <c r="R93" s="21">
        <v>83</v>
      </c>
      <c r="S93" s="21">
        <v>0.31747399999999998</v>
      </c>
      <c r="T93">
        <f t="shared" si="14"/>
        <v>16.984320987654321</v>
      </c>
      <c r="U93">
        <f t="shared" si="15"/>
        <v>5.4008951838271608</v>
      </c>
      <c r="X93" s="9"/>
      <c r="Y93" s="21">
        <v>1.32202</v>
      </c>
      <c r="Z93" s="21">
        <v>15.484400000000001</v>
      </c>
      <c r="AA93" s="21">
        <v>-1.30463E-2</v>
      </c>
      <c r="AB93" s="21">
        <v>83</v>
      </c>
      <c r="AC93" s="21">
        <v>1.32141</v>
      </c>
      <c r="AD93">
        <f t="shared" si="16"/>
        <v>16.106543209876545</v>
      </c>
      <c r="AE93">
        <f t="shared" si="17"/>
        <v>21.293172254320989</v>
      </c>
      <c r="AF93" s="9"/>
      <c r="AG93" s="21">
        <v>0.31799300000000003</v>
      </c>
      <c r="AH93" s="21">
        <v>19.1828</v>
      </c>
      <c r="AI93" s="21">
        <v>-1.3736E-2</v>
      </c>
      <c r="AJ93" s="21">
        <v>83</v>
      </c>
      <c r="AK93" s="21">
        <v>0.31738300000000003</v>
      </c>
      <c r="AL93">
        <f t="shared" si="18"/>
        <v>16.958024691358023</v>
      </c>
      <c r="AM93">
        <f t="shared" si="19"/>
        <v>5.3925331456790122</v>
      </c>
      <c r="AP93" s="9"/>
      <c r="AQ93" s="21">
        <v>1.32202</v>
      </c>
      <c r="AR93" s="21">
        <v>24.616700000000002</v>
      </c>
      <c r="AS93" s="21">
        <v>-1.3058500000000001E-2</v>
      </c>
      <c r="AT93" s="21">
        <v>83</v>
      </c>
      <c r="AU93" s="21">
        <v>1.32172</v>
      </c>
      <c r="AV93">
        <f t="shared" si="20"/>
        <v>16.121604938271602</v>
      </c>
      <c r="AW93">
        <f t="shared" si="21"/>
        <v>21.313084160493823</v>
      </c>
      <c r="AX93" s="9"/>
      <c r="AY93" s="21">
        <v>0.31799300000000003</v>
      </c>
      <c r="AZ93" s="21">
        <v>28.315000000000001</v>
      </c>
      <c r="BA93" s="21">
        <v>-1.37146E-2</v>
      </c>
      <c r="BB93" s="21">
        <v>83</v>
      </c>
      <c r="BC93" s="21">
        <v>0.317413</v>
      </c>
      <c r="BD93">
        <f t="shared" si="22"/>
        <v>16.931604938271605</v>
      </c>
      <c r="BE93">
        <f t="shared" si="23"/>
        <v>5.3841318491358026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1.3169900000000001</v>
      </c>
      <c r="H94" s="21">
        <v>6.4352900000000002</v>
      </c>
      <c r="I94" s="21">
        <v>-1.3018800000000001E-2</v>
      </c>
      <c r="J94" s="21">
        <v>84</v>
      </c>
      <c r="K94" s="21">
        <v>1.3168299999999999</v>
      </c>
      <c r="L94">
        <f t="shared" si="12"/>
        <v>16.072592592592592</v>
      </c>
      <c r="M94">
        <f t="shared" si="13"/>
        <v>21.16744371851852</v>
      </c>
      <c r="N94" s="9"/>
      <c r="O94" s="21">
        <v>0.32302900000000001</v>
      </c>
      <c r="P94" s="21">
        <v>10.133599999999999</v>
      </c>
      <c r="Q94" s="21">
        <v>-1.37512E-2</v>
      </c>
      <c r="R94" s="21">
        <v>84</v>
      </c>
      <c r="S94" s="21">
        <v>0.322357</v>
      </c>
      <c r="T94">
        <f t="shared" si="14"/>
        <v>16.976790123456787</v>
      </c>
      <c r="U94">
        <f t="shared" si="15"/>
        <v>5.4839955367901227</v>
      </c>
      <c r="X94" s="9"/>
      <c r="Y94" s="21">
        <v>1.3169900000000001</v>
      </c>
      <c r="Z94" s="21">
        <v>15.4945</v>
      </c>
      <c r="AA94" s="21">
        <v>-1.30615E-2</v>
      </c>
      <c r="AB94" s="21">
        <v>84</v>
      </c>
      <c r="AC94" s="21">
        <v>1.31592</v>
      </c>
      <c r="AD94">
        <f t="shared" si="16"/>
        <v>16.125308641975309</v>
      </c>
      <c r="AE94">
        <f t="shared" si="17"/>
        <v>21.236870228395063</v>
      </c>
      <c r="AF94" s="9"/>
      <c r="AG94" s="21">
        <v>0.32302900000000001</v>
      </c>
      <c r="AH94" s="21">
        <v>19.192900000000002</v>
      </c>
      <c r="AI94" s="21">
        <v>-1.3732899999999999E-2</v>
      </c>
      <c r="AJ94" s="21">
        <v>84</v>
      </c>
      <c r="AK94" s="21">
        <v>0.32253999999999999</v>
      </c>
      <c r="AL94">
        <f t="shared" si="18"/>
        <v>16.954197530864196</v>
      </c>
      <c r="AM94">
        <f t="shared" si="19"/>
        <v>5.4766974741975307</v>
      </c>
      <c r="AP94" s="9"/>
      <c r="AQ94" s="21">
        <v>1.3169900000000001</v>
      </c>
      <c r="AR94" s="21">
        <v>24.6267</v>
      </c>
      <c r="AS94" s="21">
        <v>-1.3079800000000001E-2</v>
      </c>
      <c r="AT94" s="21">
        <v>84</v>
      </c>
      <c r="AU94" s="21">
        <v>1.3162199999999999</v>
      </c>
      <c r="AV94">
        <f t="shared" si="20"/>
        <v>16.147901234567904</v>
      </c>
      <c r="AW94">
        <f t="shared" si="21"/>
        <v>21.266624446913585</v>
      </c>
      <c r="AX94" s="9"/>
      <c r="AY94" s="21">
        <v>0.32302900000000001</v>
      </c>
      <c r="AZ94" s="21">
        <v>28.325099999999999</v>
      </c>
      <c r="BA94" s="21">
        <v>-1.37085E-2</v>
      </c>
      <c r="BB94" s="21">
        <v>84</v>
      </c>
      <c r="BC94" s="21">
        <v>0.322357</v>
      </c>
      <c r="BD94">
        <f t="shared" si="22"/>
        <v>16.924074074074074</v>
      </c>
      <c r="BE94">
        <f t="shared" si="23"/>
        <v>5.4669667240740738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1.3119499999999999</v>
      </c>
      <c r="H95" s="21">
        <v>6.44536</v>
      </c>
      <c r="I95" s="21">
        <v>-1.3024900000000001E-2</v>
      </c>
      <c r="J95" s="21">
        <v>85</v>
      </c>
      <c r="K95" s="21">
        <v>1.31073</v>
      </c>
      <c r="L95">
        <f t="shared" si="12"/>
        <v>16.080123456790126</v>
      </c>
      <c r="M95">
        <f t="shared" si="13"/>
        <v>21.096317969135804</v>
      </c>
      <c r="N95" s="9"/>
      <c r="O95" s="21">
        <v>0.32806400000000002</v>
      </c>
      <c r="P95" s="21">
        <v>10.143700000000001</v>
      </c>
      <c r="Q95" s="21">
        <v>-1.37482E-2</v>
      </c>
      <c r="R95" s="21">
        <v>85</v>
      </c>
      <c r="S95" s="21">
        <v>0.327484</v>
      </c>
      <c r="T95">
        <f t="shared" si="14"/>
        <v>16.973086419753084</v>
      </c>
      <c r="U95">
        <f t="shared" si="15"/>
        <v>5.5682586232098759</v>
      </c>
      <c r="X95" s="9"/>
      <c r="Y95" s="21">
        <v>1.3119499999999999</v>
      </c>
      <c r="Z95" s="21">
        <v>15.5046</v>
      </c>
      <c r="AA95" s="21">
        <v>-1.3073700000000001E-2</v>
      </c>
      <c r="AB95" s="21">
        <v>85</v>
      </c>
      <c r="AC95" s="21">
        <v>1.31104</v>
      </c>
      <c r="AD95">
        <f t="shared" si="16"/>
        <v>16.14037037037037</v>
      </c>
      <c r="AE95">
        <f t="shared" si="17"/>
        <v>21.175358907407407</v>
      </c>
      <c r="AF95" s="9"/>
      <c r="AG95" s="21">
        <v>0.32806400000000002</v>
      </c>
      <c r="AH95" s="21">
        <v>19.2029</v>
      </c>
      <c r="AI95" s="21">
        <v>-1.3720700000000001E-2</v>
      </c>
      <c r="AJ95" s="21">
        <v>85</v>
      </c>
      <c r="AK95" s="21">
        <v>0.32754499999999998</v>
      </c>
      <c r="AL95">
        <f t="shared" si="18"/>
        <v>16.939135802469135</v>
      </c>
      <c r="AM95">
        <f t="shared" si="19"/>
        <v>5.5571206479012343</v>
      </c>
      <c r="AP95" s="9"/>
      <c r="AQ95" s="21">
        <v>1.3119499999999999</v>
      </c>
      <c r="AR95" s="21">
        <v>24.636800000000001</v>
      </c>
      <c r="AS95" s="21">
        <v>-1.3107300000000001E-2</v>
      </c>
      <c r="AT95" s="21">
        <v>85</v>
      </c>
      <c r="AU95" s="21">
        <v>1.31104</v>
      </c>
      <c r="AV95">
        <f t="shared" si="20"/>
        <v>16.181851851851849</v>
      </c>
      <c r="AW95">
        <f t="shared" si="21"/>
        <v>21.229780537037033</v>
      </c>
      <c r="AX95" s="9"/>
      <c r="AY95" s="21">
        <v>0.32806400000000002</v>
      </c>
      <c r="AZ95" s="21">
        <v>28.335100000000001</v>
      </c>
      <c r="BA95" s="21">
        <v>-1.3693200000000001E-2</v>
      </c>
      <c r="BB95" s="21">
        <v>85</v>
      </c>
      <c r="BC95" s="21">
        <v>0.32742300000000002</v>
      </c>
      <c r="BD95">
        <f t="shared" si="22"/>
        <v>16.905185185185186</v>
      </c>
      <c r="BE95">
        <f t="shared" si="23"/>
        <v>5.5459826725925936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1.3069200000000001</v>
      </c>
      <c r="H96" s="21">
        <v>6.4554400000000003</v>
      </c>
      <c r="I96" s="21">
        <v>-1.3030999999999999E-2</v>
      </c>
      <c r="J96" s="21">
        <v>86</v>
      </c>
      <c r="K96" s="21">
        <v>1.30585</v>
      </c>
      <c r="L96">
        <f t="shared" si="12"/>
        <v>16.087654320987653</v>
      </c>
      <c r="M96">
        <f t="shared" si="13"/>
        <v>21.025277185185185</v>
      </c>
      <c r="N96" s="9"/>
      <c r="O96" s="21">
        <v>0.33309899999999998</v>
      </c>
      <c r="P96" s="21">
        <v>10.1538</v>
      </c>
      <c r="Q96" s="21">
        <v>-1.37482E-2</v>
      </c>
      <c r="R96" s="21">
        <v>86</v>
      </c>
      <c r="S96" s="21">
        <v>0.33248899999999998</v>
      </c>
      <c r="T96">
        <f t="shared" si="14"/>
        <v>16.973086419753084</v>
      </c>
      <c r="U96">
        <f t="shared" si="15"/>
        <v>5.6537181133333325</v>
      </c>
      <c r="X96" s="9"/>
      <c r="Y96" s="21">
        <v>1.3069200000000001</v>
      </c>
      <c r="Z96" s="21">
        <v>15.5146</v>
      </c>
      <c r="AA96" s="21">
        <v>-1.30768E-2</v>
      </c>
      <c r="AB96" s="21">
        <v>86</v>
      </c>
      <c r="AC96" s="21">
        <v>1.3061499999999999</v>
      </c>
      <c r="AD96">
        <f t="shared" si="16"/>
        <v>16.144197530864194</v>
      </c>
      <c r="AE96">
        <f t="shared" si="17"/>
        <v>21.099174637037034</v>
      </c>
      <c r="AF96" s="9"/>
      <c r="AG96" s="21">
        <v>0.33309899999999998</v>
      </c>
      <c r="AH96" s="21">
        <v>19.213000000000001</v>
      </c>
      <c r="AI96" s="21">
        <v>-1.3720700000000001E-2</v>
      </c>
      <c r="AJ96" s="21">
        <v>86</v>
      </c>
      <c r="AK96" s="21">
        <v>0.332428</v>
      </c>
      <c r="AL96">
        <f t="shared" si="18"/>
        <v>16.939135802469135</v>
      </c>
      <c r="AM96">
        <f t="shared" si="19"/>
        <v>5.6424091966666658</v>
      </c>
      <c r="AP96" s="9"/>
      <c r="AQ96" s="21">
        <v>1.3069200000000001</v>
      </c>
      <c r="AR96" s="21">
        <v>24.646899999999999</v>
      </c>
      <c r="AS96" s="21">
        <v>-1.3125599999999999E-2</v>
      </c>
      <c r="AT96" s="21">
        <v>86</v>
      </c>
      <c r="AU96" s="21">
        <v>1.3061499999999999</v>
      </c>
      <c r="AV96">
        <f t="shared" si="20"/>
        <v>16.204444444444441</v>
      </c>
      <c r="AW96">
        <f t="shared" si="21"/>
        <v>21.17791253333333</v>
      </c>
      <c r="AX96" s="9"/>
      <c r="AY96" s="21">
        <v>0.33309899999999998</v>
      </c>
      <c r="AZ96" s="21">
        <v>28.345199999999998</v>
      </c>
      <c r="BA96" s="21">
        <v>-1.36963E-2</v>
      </c>
      <c r="BB96" s="21">
        <v>86</v>
      </c>
      <c r="BC96" s="21">
        <v>0.33248899999999998</v>
      </c>
      <c r="BD96">
        <f t="shared" si="22"/>
        <v>16.90901234567901</v>
      </c>
      <c r="BE96">
        <f t="shared" si="23"/>
        <v>5.6323751033333318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1.3018799999999999</v>
      </c>
      <c r="H97" s="21">
        <v>6.4655100000000001</v>
      </c>
      <c r="I97" s="21">
        <v>-1.30463E-2</v>
      </c>
      <c r="J97" s="21">
        <v>87</v>
      </c>
      <c r="K97" s="21">
        <v>1.3009599999999999</v>
      </c>
      <c r="L97">
        <f t="shared" si="12"/>
        <v>16.106543209876545</v>
      </c>
      <c r="M97">
        <f t="shared" si="13"/>
        <v>20.968786474074076</v>
      </c>
      <c r="N97" s="9"/>
      <c r="O97" s="21">
        <v>0.33813500000000002</v>
      </c>
      <c r="P97" s="21">
        <v>10.1638</v>
      </c>
      <c r="Q97" s="21">
        <v>-1.37482E-2</v>
      </c>
      <c r="R97" s="21">
        <v>87</v>
      </c>
      <c r="S97" s="21">
        <v>0.33743299999999998</v>
      </c>
      <c r="T97">
        <f t="shared" si="14"/>
        <v>16.973086419753084</v>
      </c>
      <c r="U97">
        <f t="shared" si="15"/>
        <v>5.7391945765432091</v>
      </c>
      <c r="X97" s="9"/>
      <c r="Y97" s="21">
        <v>1.3018799999999999</v>
      </c>
      <c r="Z97" s="21">
        <v>15.524699999999999</v>
      </c>
      <c r="AA97" s="21">
        <v>-1.3079800000000001E-2</v>
      </c>
      <c r="AB97" s="21">
        <v>87</v>
      </c>
      <c r="AC97" s="21">
        <v>1.3009599999999999</v>
      </c>
      <c r="AD97">
        <f t="shared" si="16"/>
        <v>16.147901234567904</v>
      </c>
      <c r="AE97">
        <f t="shared" si="17"/>
        <v>21.022629659259263</v>
      </c>
      <c r="AF97" s="9"/>
      <c r="AG97" s="21">
        <v>0.33813500000000002</v>
      </c>
      <c r="AH97" s="21">
        <v>19.223099999999999</v>
      </c>
      <c r="AI97" s="21">
        <v>-1.3717699999999999E-2</v>
      </c>
      <c r="AJ97" s="21">
        <v>87</v>
      </c>
      <c r="AK97" s="21">
        <v>0.33746300000000001</v>
      </c>
      <c r="AL97">
        <f t="shared" si="18"/>
        <v>16.935432098765432</v>
      </c>
      <c r="AM97">
        <f t="shared" si="19"/>
        <v>5.72646233271605</v>
      </c>
      <c r="AP97" s="9"/>
      <c r="AQ97" s="21">
        <v>1.3018799999999999</v>
      </c>
      <c r="AR97" s="21">
        <v>24.6569</v>
      </c>
      <c r="AS97" s="21">
        <v>-1.31409E-2</v>
      </c>
      <c r="AT97" s="21">
        <v>87</v>
      </c>
      <c r="AU97" s="21">
        <v>1.3009599999999999</v>
      </c>
      <c r="AV97">
        <f t="shared" si="20"/>
        <v>16.223333333333333</v>
      </c>
      <c r="AW97">
        <f t="shared" si="21"/>
        <v>21.120833199999996</v>
      </c>
      <c r="AX97" s="9"/>
      <c r="AY97" s="21">
        <v>0.33813500000000002</v>
      </c>
      <c r="AZ97" s="21">
        <v>28.3553</v>
      </c>
      <c r="BA97" s="21">
        <v>-1.37024E-2</v>
      </c>
      <c r="BB97" s="21">
        <v>87</v>
      </c>
      <c r="BC97" s="21">
        <v>0.33749400000000002</v>
      </c>
      <c r="BD97">
        <f t="shared" si="22"/>
        <v>16.916543209876544</v>
      </c>
      <c r="BE97">
        <f t="shared" si="23"/>
        <v>5.720075338271605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1.29684</v>
      </c>
      <c r="H98" s="21">
        <v>6.4755799999999999</v>
      </c>
      <c r="I98" s="21">
        <v>-1.3058500000000001E-2</v>
      </c>
      <c r="J98" s="21">
        <v>88</v>
      </c>
      <c r="K98" s="21">
        <v>1.2957799999999999</v>
      </c>
      <c r="L98">
        <f t="shared" si="12"/>
        <v>16.121604938271602</v>
      </c>
      <c r="M98">
        <f t="shared" si="13"/>
        <v>20.907142148148143</v>
      </c>
      <c r="N98" s="9"/>
      <c r="O98" s="21">
        <v>0.34316999999999998</v>
      </c>
      <c r="P98" s="21">
        <v>10.1739</v>
      </c>
      <c r="Q98" s="21">
        <v>-1.37421E-2</v>
      </c>
      <c r="R98" s="21">
        <v>88</v>
      </c>
      <c r="S98" s="21">
        <v>0.34259000000000001</v>
      </c>
      <c r="T98">
        <f t="shared" si="14"/>
        <v>16.965555555555554</v>
      </c>
      <c r="U98">
        <f t="shared" si="15"/>
        <v>5.8220696999999992</v>
      </c>
      <c r="X98" s="9"/>
      <c r="Y98" s="21">
        <v>1.29684</v>
      </c>
      <c r="Z98" s="21">
        <v>15.534800000000001</v>
      </c>
      <c r="AA98" s="21">
        <v>-1.30951E-2</v>
      </c>
      <c r="AB98" s="21">
        <v>88</v>
      </c>
      <c r="AC98" s="21">
        <v>1.2960799999999999</v>
      </c>
      <c r="AD98">
        <f t="shared" si="16"/>
        <v>16.166790123456789</v>
      </c>
      <c r="AE98">
        <f t="shared" si="17"/>
        <v>20.965740103703702</v>
      </c>
      <c r="AF98" s="9"/>
      <c r="AG98" s="21">
        <v>0.34316999999999998</v>
      </c>
      <c r="AH98" s="21">
        <v>19.2332</v>
      </c>
      <c r="AI98" s="21">
        <v>-1.3720700000000001E-2</v>
      </c>
      <c r="AJ98" s="21">
        <v>88</v>
      </c>
      <c r="AK98" s="21">
        <v>0.342499</v>
      </c>
      <c r="AL98">
        <f t="shared" si="18"/>
        <v>16.939135802469135</v>
      </c>
      <c r="AM98">
        <f t="shared" si="19"/>
        <v>5.8130032333333324</v>
      </c>
      <c r="AP98" s="9"/>
      <c r="AQ98" s="21">
        <v>1.29684</v>
      </c>
      <c r="AR98" s="21">
        <v>24.667000000000002</v>
      </c>
      <c r="AS98" s="21">
        <v>-1.31561E-2</v>
      </c>
      <c r="AT98" s="21">
        <v>88</v>
      </c>
      <c r="AU98" s="21">
        <v>1.2966899999999999</v>
      </c>
      <c r="AV98">
        <f t="shared" si="20"/>
        <v>16.2420987654321</v>
      </c>
      <c r="AW98">
        <f t="shared" si="21"/>
        <v>21.063403362962966</v>
      </c>
      <c r="AX98" s="9"/>
      <c r="AY98" s="21">
        <v>0.34316999999999998</v>
      </c>
      <c r="AZ98" s="21">
        <v>28.365300000000001</v>
      </c>
      <c r="BA98" s="21">
        <v>-1.37146E-2</v>
      </c>
      <c r="BB98" s="21">
        <v>88</v>
      </c>
      <c r="BC98" s="21">
        <v>0.34252899999999997</v>
      </c>
      <c r="BD98">
        <f t="shared" si="22"/>
        <v>16.931604938271605</v>
      </c>
      <c r="BE98">
        <f t="shared" si="23"/>
        <v>5.8104188666666658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1.2918099999999999</v>
      </c>
      <c r="H99" s="21">
        <v>6.4856499999999997</v>
      </c>
      <c r="I99" s="21">
        <v>-1.3079800000000001E-2</v>
      </c>
      <c r="J99" s="21">
        <v>89</v>
      </c>
      <c r="K99" s="21">
        <v>1.2911999999999999</v>
      </c>
      <c r="L99">
        <f t="shared" si="12"/>
        <v>16.147901234567904</v>
      </c>
      <c r="M99">
        <f t="shared" si="13"/>
        <v>20.860020293827162</v>
      </c>
      <c r="N99" s="9"/>
      <c r="O99" s="21">
        <v>0.34820600000000002</v>
      </c>
      <c r="P99" s="21">
        <v>10.183999999999999</v>
      </c>
      <c r="Q99" s="21">
        <v>-1.3738999999999999E-2</v>
      </c>
      <c r="R99" s="21">
        <v>89</v>
      </c>
      <c r="S99" s="21">
        <v>0.34765600000000002</v>
      </c>
      <c r="T99">
        <f t="shared" si="14"/>
        <v>16.961728395061726</v>
      </c>
      <c r="U99">
        <f t="shared" si="15"/>
        <v>5.9061755975308641</v>
      </c>
      <c r="X99" s="9"/>
      <c r="Y99" s="21">
        <v>1.2918099999999999</v>
      </c>
      <c r="Z99" s="21">
        <v>15.5449</v>
      </c>
      <c r="AA99" s="21">
        <v>-1.31165E-2</v>
      </c>
      <c r="AB99" s="21">
        <v>89</v>
      </c>
      <c r="AC99" s="21">
        <v>1.2918099999999999</v>
      </c>
      <c r="AD99">
        <f t="shared" si="16"/>
        <v>16.193209876543211</v>
      </c>
      <c r="AE99">
        <f t="shared" si="17"/>
        <v>20.918550450617282</v>
      </c>
      <c r="AF99" s="9"/>
      <c r="AG99" s="21">
        <v>0.34820600000000002</v>
      </c>
      <c r="AH99" s="21">
        <v>19.243200000000002</v>
      </c>
      <c r="AI99" s="21">
        <v>-1.3726800000000001E-2</v>
      </c>
      <c r="AJ99" s="21">
        <v>89</v>
      </c>
      <c r="AK99" s="21">
        <v>0.34762599999999999</v>
      </c>
      <c r="AL99">
        <f t="shared" si="18"/>
        <v>16.946666666666665</v>
      </c>
      <c r="AM99">
        <f t="shared" si="19"/>
        <v>5.9009310133333335</v>
      </c>
      <c r="AP99" s="9"/>
      <c r="AQ99" s="21">
        <v>1.2918099999999999</v>
      </c>
      <c r="AR99" s="21">
        <v>24.677099999999999</v>
      </c>
      <c r="AS99" s="21">
        <v>-1.31714E-2</v>
      </c>
      <c r="AT99" s="21">
        <v>89</v>
      </c>
      <c r="AU99" s="21">
        <v>1.2911999999999999</v>
      </c>
      <c r="AV99">
        <f t="shared" si="20"/>
        <v>16.260987654320989</v>
      </c>
      <c r="AW99">
        <f t="shared" si="21"/>
        <v>21.006106461728393</v>
      </c>
      <c r="AX99" s="9"/>
      <c r="AY99" s="21">
        <v>0.34820600000000002</v>
      </c>
      <c r="AZ99" s="21">
        <v>28.375399999999999</v>
      </c>
      <c r="BA99" s="21">
        <v>-1.37238E-2</v>
      </c>
      <c r="BB99" s="21">
        <v>89</v>
      </c>
      <c r="BC99" s="21">
        <v>0.34768700000000002</v>
      </c>
      <c r="BD99">
        <f t="shared" si="22"/>
        <v>16.942962962962962</v>
      </c>
      <c r="BE99">
        <f t="shared" si="23"/>
        <v>5.8996413614814811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1.28677</v>
      </c>
      <c r="H100" s="21">
        <v>6.4957200000000004</v>
      </c>
      <c r="I100" s="21">
        <v>-1.30981E-2</v>
      </c>
      <c r="J100" s="21">
        <v>90</v>
      </c>
      <c r="K100" s="21">
        <v>1.2863199999999999</v>
      </c>
      <c r="L100">
        <f t="shared" si="12"/>
        <v>16.170493827160495</v>
      </c>
      <c r="M100">
        <f t="shared" si="13"/>
        <v>20.807706341975312</v>
      </c>
      <c r="N100" s="9"/>
      <c r="O100" s="21">
        <v>0.35324100000000003</v>
      </c>
      <c r="P100" s="21">
        <v>10.194100000000001</v>
      </c>
      <c r="Q100" s="21">
        <v>-1.3736E-2</v>
      </c>
      <c r="R100" s="21">
        <v>90</v>
      </c>
      <c r="S100" s="21">
        <v>0.35263100000000003</v>
      </c>
      <c r="T100">
        <f t="shared" si="14"/>
        <v>16.958024691358023</v>
      </c>
      <c r="U100">
        <f t="shared" si="15"/>
        <v>5.9902695999999995</v>
      </c>
      <c r="X100" s="9"/>
      <c r="Y100" s="21">
        <v>1.28677</v>
      </c>
      <c r="Z100" s="21">
        <v>15.5549</v>
      </c>
      <c r="AA100" s="21">
        <v>-1.3125599999999999E-2</v>
      </c>
      <c r="AB100" s="21">
        <v>90</v>
      </c>
      <c r="AC100" s="21">
        <v>1.2860100000000001</v>
      </c>
      <c r="AD100">
        <f t="shared" si="16"/>
        <v>16.204444444444441</v>
      </c>
      <c r="AE100">
        <f t="shared" si="17"/>
        <v>20.851392977777774</v>
      </c>
      <c r="AF100" s="9"/>
      <c r="AG100" s="21">
        <v>0.35324100000000003</v>
      </c>
      <c r="AH100" s="21">
        <v>19.253299999999999</v>
      </c>
      <c r="AI100" s="21">
        <v>-1.3720700000000001E-2</v>
      </c>
      <c r="AJ100" s="21">
        <v>90</v>
      </c>
      <c r="AK100" s="21">
        <v>0.35250900000000002</v>
      </c>
      <c r="AL100">
        <f t="shared" si="18"/>
        <v>16.939135802469135</v>
      </c>
      <c r="AM100">
        <f t="shared" si="19"/>
        <v>5.9835972699999997</v>
      </c>
      <c r="AP100" s="9"/>
      <c r="AQ100" s="21">
        <v>1.28677</v>
      </c>
      <c r="AR100" s="21">
        <v>24.687200000000001</v>
      </c>
      <c r="AS100" s="21">
        <v>-1.3174399999999999E-2</v>
      </c>
      <c r="AT100" s="21">
        <v>90</v>
      </c>
      <c r="AU100" s="21">
        <v>1.2863199999999999</v>
      </c>
      <c r="AV100">
        <f t="shared" si="20"/>
        <v>16.264691358024692</v>
      </c>
      <c r="AW100">
        <f t="shared" si="21"/>
        <v>20.928916898765433</v>
      </c>
      <c r="AX100" s="9"/>
      <c r="AY100" s="21">
        <v>0.35324100000000003</v>
      </c>
      <c r="AZ100" s="21">
        <v>28.3855</v>
      </c>
      <c r="BA100" s="21">
        <v>-1.3726800000000001E-2</v>
      </c>
      <c r="BB100" s="21">
        <v>90</v>
      </c>
      <c r="BC100" s="21">
        <v>0.35263100000000003</v>
      </c>
      <c r="BD100">
        <f t="shared" si="22"/>
        <v>16.946666666666665</v>
      </c>
      <c r="BE100">
        <f t="shared" si="23"/>
        <v>5.9862574799999999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1.2817400000000001</v>
      </c>
      <c r="H101" s="21">
        <v>6.5057900000000002</v>
      </c>
      <c r="I101" s="21">
        <v>-1.3125599999999999E-2</v>
      </c>
      <c r="J101" s="21">
        <v>91</v>
      </c>
      <c r="K101" s="21">
        <v>1.2808200000000001</v>
      </c>
      <c r="L101">
        <f t="shared" si="12"/>
        <v>16.204444444444441</v>
      </c>
      <c r="M101">
        <f t="shared" si="13"/>
        <v>20.769884622222218</v>
      </c>
      <c r="N101" s="9"/>
      <c r="O101" s="21">
        <v>0.35827599999999998</v>
      </c>
      <c r="P101" s="21">
        <v>10.2041</v>
      </c>
      <c r="Q101" s="21">
        <v>-1.3732899999999999E-2</v>
      </c>
      <c r="R101" s="21">
        <v>91</v>
      </c>
      <c r="S101" s="21">
        <v>0.35760500000000001</v>
      </c>
      <c r="T101">
        <f t="shared" si="14"/>
        <v>16.954197530864196</v>
      </c>
      <c r="U101">
        <f t="shared" si="15"/>
        <v>6.0742820745679005</v>
      </c>
      <c r="X101" s="9"/>
      <c r="Y101" s="21">
        <v>1.2817400000000001</v>
      </c>
      <c r="Z101" s="21">
        <v>15.565</v>
      </c>
      <c r="AA101" s="21">
        <v>-1.3147000000000001E-2</v>
      </c>
      <c r="AB101" s="21">
        <v>91</v>
      </c>
      <c r="AC101" s="21">
        <v>1.2811300000000001</v>
      </c>
      <c r="AD101">
        <f t="shared" si="16"/>
        <v>16.230864197530863</v>
      </c>
      <c r="AE101">
        <f t="shared" si="17"/>
        <v>20.803747876543209</v>
      </c>
      <c r="AF101" s="9"/>
      <c r="AG101" s="21">
        <v>0.35827599999999998</v>
      </c>
      <c r="AH101" s="21">
        <v>19.263400000000001</v>
      </c>
      <c r="AI101" s="21">
        <v>-1.37115E-2</v>
      </c>
      <c r="AJ101" s="21">
        <v>91</v>
      </c>
      <c r="AK101" s="21">
        <v>0.357574</v>
      </c>
      <c r="AL101">
        <f t="shared" si="18"/>
        <v>16.927777777777777</v>
      </c>
      <c r="AM101">
        <f t="shared" si="19"/>
        <v>6.0648165111111103</v>
      </c>
      <c r="AP101" s="9"/>
      <c r="AQ101" s="21">
        <v>1.2817400000000001</v>
      </c>
      <c r="AR101" s="21">
        <v>24.697199999999999</v>
      </c>
      <c r="AS101" s="21">
        <v>-1.31866E-2</v>
      </c>
      <c r="AT101" s="21">
        <v>91</v>
      </c>
      <c r="AU101" s="21">
        <v>1.2811300000000001</v>
      </c>
      <c r="AV101">
        <f t="shared" si="20"/>
        <v>16.279753086419749</v>
      </c>
      <c r="AW101">
        <f t="shared" si="21"/>
        <v>20.866410720987652</v>
      </c>
      <c r="AX101" s="9"/>
      <c r="AY101" s="21">
        <v>0.35827599999999998</v>
      </c>
      <c r="AZ101" s="21">
        <v>28.395600000000002</v>
      </c>
      <c r="BA101" s="21">
        <v>-1.37299E-2</v>
      </c>
      <c r="BB101" s="21">
        <v>91</v>
      </c>
      <c r="BC101" s="21">
        <v>0.35766599999999998</v>
      </c>
      <c r="BD101">
        <f t="shared" si="22"/>
        <v>16.950493827160493</v>
      </c>
      <c r="BE101">
        <f t="shared" si="23"/>
        <v>6.0729551264197523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1.2766999999999999</v>
      </c>
      <c r="H102" s="21">
        <v>6.51586</v>
      </c>
      <c r="I102" s="21">
        <v>-1.31409E-2</v>
      </c>
      <c r="J102" s="21">
        <v>92</v>
      </c>
      <c r="K102" s="21">
        <v>1.2753300000000001</v>
      </c>
      <c r="L102">
        <f t="shared" si="12"/>
        <v>16.223333333333333</v>
      </c>
      <c r="M102">
        <f t="shared" si="13"/>
        <v>20.712329666666665</v>
      </c>
      <c r="N102" s="9"/>
      <c r="O102" s="21">
        <v>0.36331200000000002</v>
      </c>
      <c r="P102" s="21">
        <v>10.2142</v>
      </c>
      <c r="Q102" s="21">
        <v>-1.37421E-2</v>
      </c>
      <c r="R102" s="21">
        <v>92</v>
      </c>
      <c r="S102" s="21">
        <v>0.36264000000000002</v>
      </c>
      <c r="T102">
        <f t="shared" si="14"/>
        <v>16.965555555555554</v>
      </c>
      <c r="U102">
        <f t="shared" si="15"/>
        <v>6.1637899200000001</v>
      </c>
      <c r="X102" s="9"/>
      <c r="Y102" s="21">
        <v>1.2766999999999999</v>
      </c>
      <c r="Z102" s="21">
        <v>15.575100000000001</v>
      </c>
      <c r="AA102" s="21">
        <v>-1.3153099999999999E-2</v>
      </c>
      <c r="AB102" s="21">
        <v>92</v>
      </c>
      <c r="AC102" s="21">
        <v>1.2762500000000001</v>
      </c>
      <c r="AD102">
        <f t="shared" si="16"/>
        <v>16.238395061728394</v>
      </c>
      <c r="AE102">
        <f t="shared" si="17"/>
        <v>20.731558975308641</v>
      </c>
      <c r="AF102" s="9"/>
      <c r="AG102" s="21">
        <v>0.36331200000000002</v>
      </c>
      <c r="AH102" s="21">
        <v>19.273399999999999</v>
      </c>
      <c r="AI102" s="21">
        <v>-1.37054E-2</v>
      </c>
      <c r="AJ102" s="21">
        <v>92</v>
      </c>
      <c r="AK102" s="21">
        <v>0.36267100000000002</v>
      </c>
      <c r="AL102">
        <f t="shared" si="18"/>
        <v>16.920246913580247</v>
      </c>
      <c r="AM102">
        <f t="shared" si="19"/>
        <v>6.1473287466666671</v>
      </c>
      <c r="AP102" s="9"/>
      <c r="AQ102" s="21">
        <v>1.2766999999999999</v>
      </c>
      <c r="AR102" s="21">
        <v>24.7073</v>
      </c>
      <c r="AS102" s="21">
        <v>-1.31897E-2</v>
      </c>
      <c r="AT102" s="21">
        <v>92</v>
      </c>
      <c r="AU102" s="21">
        <v>1.2759400000000001</v>
      </c>
      <c r="AV102">
        <f t="shared" si="20"/>
        <v>16.28358024691358</v>
      </c>
      <c r="AW102">
        <f t="shared" si="21"/>
        <v>20.789246901234566</v>
      </c>
      <c r="AX102" s="9"/>
      <c r="AY102" s="21">
        <v>0.36331200000000002</v>
      </c>
      <c r="AZ102" s="21">
        <v>28.4056</v>
      </c>
      <c r="BA102" s="21">
        <v>-1.37146E-2</v>
      </c>
      <c r="BB102" s="21">
        <v>92</v>
      </c>
      <c r="BC102" s="21">
        <v>0.36282300000000001</v>
      </c>
      <c r="BD102">
        <f t="shared" si="22"/>
        <v>16.931604938271605</v>
      </c>
      <c r="BE102">
        <f t="shared" si="23"/>
        <v>6.1514552533333333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1.2716700000000001</v>
      </c>
      <c r="H103" s="21">
        <v>6.5259299999999998</v>
      </c>
      <c r="I103" s="21">
        <v>-1.3162200000000001E-2</v>
      </c>
      <c r="J103" s="21">
        <v>93</v>
      </c>
      <c r="K103" s="21">
        <v>1.27075</v>
      </c>
      <c r="L103">
        <f t="shared" si="12"/>
        <v>16.249629629629627</v>
      </c>
      <c r="M103">
        <f t="shared" si="13"/>
        <v>20.664166511111109</v>
      </c>
      <c r="N103" s="9"/>
      <c r="O103" s="21">
        <v>0.36834699999999998</v>
      </c>
      <c r="P103" s="21">
        <v>10.224299999999999</v>
      </c>
      <c r="Q103" s="21">
        <v>-1.37421E-2</v>
      </c>
      <c r="R103" s="21">
        <v>93</v>
      </c>
      <c r="S103" s="21">
        <v>0.36785899999999999</v>
      </c>
      <c r="T103">
        <f t="shared" si="14"/>
        <v>16.965555555555554</v>
      </c>
      <c r="U103">
        <f t="shared" si="15"/>
        <v>6.2492114922222211</v>
      </c>
      <c r="X103" s="9"/>
      <c r="Y103" s="21">
        <v>1.2716700000000001</v>
      </c>
      <c r="Z103" s="21">
        <v>15.585100000000001</v>
      </c>
      <c r="AA103" s="21">
        <v>-1.31561E-2</v>
      </c>
      <c r="AB103" s="21">
        <v>93</v>
      </c>
      <c r="AC103" s="21">
        <v>1.27075</v>
      </c>
      <c r="AD103">
        <f t="shared" si="16"/>
        <v>16.2420987654321</v>
      </c>
      <c r="AE103">
        <f t="shared" si="17"/>
        <v>20.654589737037039</v>
      </c>
      <c r="AF103" s="9"/>
      <c r="AG103" s="21">
        <v>0.36834699999999998</v>
      </c>
      <c r="AH103" s="21">
        <v>19.2835</v>
      </c>
      <c r="AI103" s="21">
        <v>-1.37146E-2</v>
      </c>
      <c r="AJ103" s="21">
        <v>93</v>
      </c>
      <c r="AK103" s="21">
        <v>0.367676</v>
      </c>
      <c r="AL103">
        <f t="shared" si="18"/>
        <v>16.931604938271605</v>
      </c>
      <c r="AM103">
        <f t="shared" si="19"/>
        <v>6.23670588419753</v>
      </c>
      <c r="AP103" s="9"/>
      <c r="AQ103" s="21">
        <v>1.2716700000000001</v>
      </c>
      <c r="AR103" s="21">
        <v>24.717400000000001</v>
      </c>
      <c r="AS103" s="21">
        <v>-1.31927E-2</v>
      </c>
      <c r="AT103" s="21">
        <v>93</v>
      </c>
      <c r="AU103" s="21">
        <v>1.27136</v>
      </c>
      <c r="AV103">
        <f t="shared" si="20"/>
        <v>16.287283950617283</v>
      </c>
      <c r="AW103">
        <f t="shared" si="21"/>
        <v>20.712050381481482</v>
      </c>
      <c r="AX103" s="9"/>
      <c r="AY103" s="21">
        <v>0.36834699999999998</v>
      </c>
      <c r="AZ103" s="21">
        <v>28.415700000000001</v>
      </c>
      <c r="BA103" s="21">
        <v>-1.37146E-2</v>
      </c>
      <c r="BB103" s="21">
        <v>93</v>
      </c>
      <c r="BC103" s="21">
        <v>0.36788900000000002</v>
      </c>
      <c r="BD103">
        <f t="shared" si="22"/>
        <v>16.931604938271605</v>
      </c>
      <c r="BE103">
        <f t="shared" si="23"/>
        <v>6.23670588419753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1.2666299999999999</v>
      </c>
      <c r="H104" s="21">
        <v>6.5359999999999996</v>
      </c>
      <c r="I104" s="21">
        <v>-1.3168300000000001E-2</v>
      </c>
      <c r="J104" s="21">
        <v>94</v>
      </c>
      <c r="K104" s="21">
        <v>1.26556</v>
      </c>
      <c r="L104">
        <f t="shared" si="12"/>
        <v>16.257160493827158</v>
      </c>
      <c r="M104">
        <f t="shared" si="13"/>
        <v>20.591807196296291</v>
      </c>
      <c r="N104" s="9"/>
      <c r="O104" s="21">
        <v>0.37338300000000002</v>
      </c>
      <c r="P104" s="21">
        <v>10.234299999999999</v>
      </c>
      <c r="Q104" s="21">
        <v>-1.37299E-2</v>
      </c>
      <c r="R104" s="21">
        <v>94</v>
      </c>
      <c r="S104" s="21">
        <v>0.37283300000000003</v>
      </c>
      <c r="T104">
        <f t="shared" si="14"/>
        <v>16.950493827160493</v>
      </c>
      <c r="U104">
        <f t="shared" si="15"/>
        <v>6.3290262366666665</v>
      </c>
      <c r="X104" s="9"/>
      <c r="Y104" s="21">
        <v>1.2666299999999999</v>
      </c>
      <c r="Z104" s="21">
        <v>15.5952</v>
      </c>
      <c r="AA104" s="21">
        <v>-1.31653E-2</v>
      </c>
      <c r="AB104" s="21">
        <v>94</v>
      </c>
      <c r="AC104" s="21">
        <v>1.26617</v>
      </c>
      <c r="AD104">
        <f t="shared" si="16"/>
        <v>16.253456790123455</v>
      </c>
      <c r="AE104">
        <f t="shared" si="17"/>
        <v>20.58711597407407</v>
      </c>
      <c r="AF104" s="9"/>
      <c r="AG104" s="21">
        <v>0.37338300000000002</v>
      </c>
      <c r="AH104" s="21">
        <v>19.293600000000001</v>
      </c>
      <c r="AI104" s="21">
        <v>-1.37238E-2</v>
      </c>
      <c r="AJ104" s="21">
        <v>94</v>
      </c>
      <c r="AK104" s="21">
        <v>0.37286399999999997</v>
      </c>
      <c r="AL104">
        <f t="shared" si="18"/>
        <v>16.942962962962962</v>
      </c>
      <c r="AM104">
        <f t="shared" si="19"/>
        <v>6.3262143399999999</v>
      </c>
      <c r="AP104" s="9"/>
      <c r="AQ104" s="21">
        <v>1.2666299999999999</v>
      </c>
      <c r="AR104" s="21">
        <v>24.727399999999999</v>
      </c>
      <c r="AS104" s="21">
        <v>-1.31989E-2</v>
      </c>
      <c r="AT104" s="21">
        <v>94</v>
      </c>
      <c r="AU104" s="21">
        <v>1.2658700000000001</v>
      </c>
      <c r="AV104">
        <f t="shared" si="20"/>
        <v>16.294938271604938</v>
      </c>
      <c r="AW104">
        <f t="shared" si="21"/>
        <v>20.639657662962961</v>
      </c>
      <c r="AX104" s="9"/>
      <c r="AY104" s="21">
        <v>0.37338300000000002</v>
      </c>
      <c r="AZ104" s="21">
        <v>28.425799999999999</v>
      </c>
      <c r="BA104" s="21">
        <v>-1.37238E-2</v>
      </c>
      <c r="BB104" s="21">
        <v>94</v>
      </c>
      <c r="BC104" s="21">
        <v>0.37277199999999999</v>
      </c>
      <c r="BD104">
        <f t="shared" si="22"/>
        <v>16.942962962962962</v>
      </c>
      <c r="BE104">
        <f t="shared" si="23"/>
        <v>6.3262143399999999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1.2616000000000001</v>
      </c>
      <c r="H105" s="21">
        <v>6.5460700000000003</v>
      </c>
      <c r="I105" s="21">
        <v>-1.3168300000000001E-2</v>
      </c>
      <c r="J105" s="21">
        <v>95</v>
      </c>
      <c r="K105" s="21">
        <v>1.2609900000000001</v>
      </c>
      <c r="L105">
        <f t="shared" si="12"/>
        <v>16.257160493827158</v>
      </c>
      <c r="M105">
        <f t="shared" si="13"/>
        <v>20.510033679012341</v>
      </c>
      <c r="N105" s="9"/>
      <c r="O105" s="21">
        <v>0.37841799999999998</v>
      </c>
      <c r="P105" s="21">
        <v>10.244400000000001</v>
      </c>
      <c r="Q105" s="21">
        <v>-1.37238E-2</v>
      </c>
      <c r="R105" s="21">
        <v>95</v>
      </c>
      <c r="S105" s="21">
        <v>0.37777699999999997</v>
      </c>
      <c r="T105">
        <f t="shared" si="14"/>
        <v>16.942962962962962</v>
      </c>
      <c r="U105">
        <f t="shared" si="15"/>
        <v>6.411522158518518</v>
      </c>
      <c r="X105" s="9"/>
      <c r="Y105" s="21">
        <v>1.2616000000000001</v>
      </c>
      <c r="Z105" s="21">
        <v>15.6053</v>
      </c>
      <c r="AA105" s="21">
        <v>-1.3174399999999999E-2</v>
      </c>
      <c r="AB105" s="21">
        <v>95</v>
      </c>
      <c r="AC105" s="21">
        <v>1.26068</v>
      </c>
      <c r="AD105">
        <f t="shared" si="16"/>
        <v>16.264691358024692</v>
      </c>
      <c r="AE105">
        <f t="shared" si="17"/>
        <v>20.519534617283952</v>
      </c>
      <c r="AF105" s="9"/>
      <c r="AG105" s="21">
        <v>0.37841799999999998</v>
      </c>
      <c r="AH105" s="21">
        <v>19.303699999999999</v>
      </c>
      <c r="AI105" s="21">
        <v>-1.3720700000000001E-2</v>
      </c>
      <c r="AJ105" s="21">
        <v>95</v>
      </c>
      <c r="AK105" s="21">
        <v>0.37780799999999998</v>
      </c>
      <c r="AL105">
        <f t="shared" si="18"/>
        <v>16.939135802469135</v>
      </c>
      <c r="AM105">
        <f t="shared" si="19"/>
        <v>6.4100738920987643</v>
      </c>
      <c r="AP105" s="9"/>
      <c r="AQ105" s="21">
        <v>1.2616000000000001</v>
      </c>
      <c r="AR105" s="21">
        <v>24.737500000000001</v>
      </c>
      <c r="AS105" s="21">
        <v>-1.3201900000000001E-2</v>
      </c>
      <c r="AT105" s="21">
        <v>95</v>
      </c>
      <c r="AU105" s="21">
        <v>1.2609900000000001</v>
      </c>
      <c r="AV105">
        <f t="shared" si="20"/>
        <v>16.298641975308641</v>
      </c>
      <c r="AW105">
        <f t="shared" si="21"/>
        <v>20.562366716049382</v>
      </c>
      <c r="AX105" s="9"/>
      <c r="AY105" s="21">
        <v>0.37841799999999998</v>
      </c>
      <c r="AZ105" s="21">
        <v>28.4358</v>
      </c>
      <c r="BA105" s="21">
        <v>-1.37115E-2</v>
      </c>
      <c r="BB105" s="21">
        <v>95</v>
      </c>
      <c r="BC105" s="21">
        <v>0.37780799999999998</v>
      </c>
      <c r="BD105">
        <f t="shared" si="22"/>
        <v>16.927777777777777</v>
      </c>
      <c r="BE105">
        <f t="shared" si="23"/>
        <v>6.4057758111111101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1.2565599999999999</v>
      </c>
      <c r="H106" s="21">
        <v>6.5561499999999997</v>
      </c>
      <c r="I106" s="21">
        <v>-1.31775E-2</v>
      </c>
      <c r="J106" s="21">
        <v>96</v>
      </c>
      <c r="K106" s="21">
        <v>1.2561</v>
      </c>
      <c r="L106">
        <f t="shared" si="12"/>
        <v>16.268518518518519</v>
      </c>
      <c r="M106">
        <f t="shared" si="13"/>
        <v>20.442369629629628</v>
      </c>
      <c r="N106" s="9"/>
      <c r="O106" s="21">
        <v>0.38345299999999999</v>
      </c>
      <c r="P106" s="21">
        <v>10.2545</v>
      </c>
      <c r="Q106" s="21">
        <v>-1.3726800000000001E-2</v>
      </c>
      <c r="R106" s="21">
        <v>96</v>
      </c>
      <c r="S106" s="21">
        <v>0.38281300000000001</v>
      </c>
      <c r="T106">
        <f t="shared" si="14"/>
        <v>16.946666666666665</v>
      </c>
      <c r="U106">
        <f t="shared" si="15"/>
        <v>6.4982501733333331</v>
      </c>
      <c r="X106" s="9"/>
      <c r="Y106" s="21">
        <v>1.2565599999999999</v>
      </c>
      <c r="Z106" s="21">
        <v>15.615399999999999</v>
      </c>
      <c r="AA106" s="21">
        <v>-1.31866E-2</v>
      </c>
      <c r="AB106" s="21">
        <v>96</v>
      </c>
      <c r="AC106" s="21">
        <v>1.2561</v>
      </c>
      <c r="AD106">
        <f t="shared" si="16"/>
        <v>16.279753086419749</v>
      </c>
      <c r="AE106">
        <f t="shared" si="17"/>
        <v>20.456486538271598</v>
      </c>
      <c r="AF106" s="9"/>
      <c r="AG106" s="21">
        <v>0.38345299999999999</v>
      </c>
      <c r="AH106" s="21">
        <v>19.313700000000001</v>
      </c>
      <c r="AI106" s="21">
        <v>-1.3720700000000001E-2</v>
      </c>
      <c r="AJ106" s="21">
        <v>96</v>
      </c>
      <c r="AK106" s="21">
        <v>0.38284299999999999</v>
      </c>
      <c r="AL106">
        <f t="shared" si="18"/>
        <v>16.939135802469135</v>
      </c>
      <c r="AM106">
        <f t="shared" si="19"/>
        <v>6.4953624408641968</v>
      </c>
      <c r="AP106" s="9"/>
      <c r="AQ106" s="21">
        <v>1.2565599999999999</v>
      </c>
      <c r="AR106" s="21">
        <v>24.747599999999998</v>
      </c>
      <c r="AS106" s="21">
        <v>-1.32202E-2</v>
      </c>
      <c r="AT106" s="21">
        <v>96</v>
      </c>
      <c r="AU106" s="21">
        <v>1.2558</v>
      </c>
      <c r="AV106">
        <f t="shared" si="20"/>
        <v>16.321234567901232</v>
      </c>
      <c r="AW106">
        <f t="shared" si="21"/>
        <v>20.508610508641972</v>
      </c>
      <c r="AX106" s="9"/>
      <c r="AY106" s="21">
        <v>0.38345299999999999</v>
      </c>
      <c r="AZ106" s="21">
        <v>28.445900000000002</v>
      </c>
      <c r="BA106" s="21">
        <v>-1.37054E-2</v>
      </c>
      <c r="BB106" s="21">
        <v>96</v>
      </c>
      <c r="BC106" s="21">
        <v>0.38281300000000001</v>
      </c>
      <c r="BD106">
        <f t="shared" si="22"/>
        <v>16.920246913580247</v>
      </c>
      <c r="BE106">
        <f t="shared" si="23"/>
        <v>6.4881194397530857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1.25153</v>
      </c>
      <c r="H107" s="21">
        <v>6.5662200000000004</v>
      </c>
      <c r="I107" s="21">
        <v>-1.31927E-2</v>
      </c>
      <c r="J107" s="21">
        <v>97</v>
      </c>
      <c r="K107" s="21">
        <v>1.25122</v>
      </c>
      <c r="L107">
        <f t="shared" si="12"/>
        <v>16.287283950617283</v>
      </c>
      <c r="M107">
        <f t="shared" si="13"/>
        <v>20.38402448271605</v>
      </c>
      <c r="N107" s="9"/>
      <c r="O107" s="21">
        <v>0.38848899999999997</v>
      </c>
      <c r="P107" s="21">
        <v>10.2646</v>
      </c>
      <c r="Q107" s="21">
        <v>-1.3732899999999999E-2</v>
      </c>
      <c r="R107" s="21">
        <v>97</v>
      </c>
      <c r="S107" s="21">
        <v>0.38781700000000002</v>
      </c>
      <c r="T107">
        <f t="shared" si="14"/>
        <v>16.954197530864196</v>
      </c>
      <c r="U107">
        <f t="shared" si="15"/>
        <v>6.5865192445679002</v>
      </c>
      <c r="X107" s="9"/>
      <c r="Y107" s="21">
        <v>1.25153</v>
      </c>
      <c r="Z107" s="21">
        <v>15.625400000000001</v>
      </c>
      <c r="AA107" s="21">
        <v>-1.3201900000000001E-2</v>
      </c>
      <c r="AB107" s="21">
        <v>97</v>
      </c>
      <c r="AC107" s="21">
        <v>1.25092</v>
      </c>
      <c r="AD107">
        <f t="shared" si="16"/>
        <v>16.298641975308641</v>
      </c>
      <c r="AE107">
        <f t="shared" si="17"/>
        <v>20.398239391358025</v>
      </c>
      <c r="AF107" s="9"/>
      <c r="AG107" s="21">
        <v>0.38848899999999997</v>
      </c>
      <c r="AH107" s="21">
        <v>19.323799999999999</v>
      </c>
      <c r="AI107" s="21">
        <v>-1.37054E-2</v>
      </c>
      <c r="AJ107" s="21">
        <v>97</v>
      </c>
      <c r="AK107" s="21">
        <v>0.387878</v>
      </c>
      <c r="AL107">
        <f t="shared" si="18"/>
        <v>16.920246913580247</v>
      </c>
      <c r="AM107">
        <f t="shared" si="19"/>
        <v>6.5733298032098757</v>
      </c>
      <c r="AP107" s="9"/>
      <c r="AQ107" s="21">
        <v>1.25153</v>
      </c>
      <c r="AR107" s="21">
        <v>24.7577</v>
      </c>
      <c r="AS107" s="21">
        <v>-1.3250700000000001E-2</v>
      </c>
      <c r="AT107" s="21">
        <v>97</v>
      </c>
      <c r="AU107" s="21">
        <v>1.25092</v>
      </c>
      <c r="AV107">
        <f t="shared" si="20"/>
        <v>16.358888888888888</v>
      </c>
      <c r="AW107">
        <f t="shared" si="21"/>
        <v>20.47364021111111</v>
      </c>
      <c r="AX107" s="9"/>
      <c r="AY107" s="21">
        <v>0.38848899999999997</v>
      </c>
      <c r="AZ107" s="21">
        <v>28.456</v>
      </c>
      <c r="BA107" s="21">
        <v>-1.36963E-2</v>
      </c>
      <c r="BB107" s="21">
        <v>97</v>
      </c>
      <c r="BC107" s="21">
        <v>0.387878</v>
      </c>
      <c r="BD107">
        <f t="shared" si="22"/>
        <v>16.90901234567901</v>
      </c>
      <c r="BE107">
        <f t="shared" si="23"/>
        <v>6.5689652971604922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1.2464900000000001</v>
      </c>
      <c r="H108" s="21">
        <v>6.5762900000000002</v>
      </c>
      <c r="I108" s="21">
        <v>-1.32172E-2</v>
      </c>
      <c r="J108" s="21">
        <v>98</v>
      </c>
      <c r="K108" s="21">
        <v>1.24573</v>
      </c>
      <c r="L108">
        <f t="shared" si="12"/>
        <v>16.317530864197529</v>
      </c>
      <c r="M108">
        <f t="shared" si="13"/>
        <v>20.339639046913579</v>
      </c>
      <c r="N108" s="9"/>
      <c r="O108" s="21">
        <v>0.39352399999999998</v>
      </c>
      <c r="P108" s="21">
        <v>10.2746</v>
      </c>
      <c r="Q108" s="21">
        <v>-1.3726800000000001E-2</v>
      </c>
      <c r="R108" s="21">
        <v>98</v>
      </c>
      <c r="S108" s="21">
        <v>0.39294400000000002</v>
      </c>
      <c r="T108">
        <f t="shared" si="14"/>
        <v>16.946666666666665</v>
      </c>
      <c r="U108">
        <f t="shared" si="15"/>
        <v>6.6689200533333324</v>
      </c>
      <c r="X108" s="9"/>
      <c r="Y108" s="21">
        <v>1.2464900000000001</v>
      </c>
      <c r="Z108" s="21">
        <v>15.6355</v>
      </c>
      <c r="AA108" s="21">
        <v>-1.32202E-2</v>
      </c>
      <c r="AB108" s="21">
        <v>98</v>
      </c>
      <c r="AC108" s="21">
        <v>1.24573</v>
      </c>
      <c r="AD108">
        <f t="shared" si="16"/>
        <v>16.321234567901232</v>
      </c>
      <c r="AE108">
        <f t="shared" si="17"/>
        <v>20.344255676543209</v>
      </c>
      <c r="AF108" s="9"/>
      <c r="AG108" s="21">
        <v>0.39352399999999998</v>
      </c>
      <c r="AH108" s="21">
        <v>19.3339</v>
      </c>
      <c r="AI108" s="21">
        <v>-1.36902E-2</v>
      </c>
      <c r="AJ108" s="21">
        <v>98</v>
      </c>
      <c r="AK108" s="21">
        <v>0.39288299999999998</v>
      </c>
      <c r="AL108">
        <f t="shared" si="18"/>
        <v>16.901481481481479</v>
      </c>
      <c r="AM108">
        <f t="shared" si="19"/>
        <v>6.651138598518517</v>
      </c>
      <c r="AP108" s="9"/>
      <c r="AQ108" s="21">
        <v>1.2464900000000001</v>
      </c>
      <c r="AR108" s="21">
        <v>24.767700000000001</v>
      </c>
      <c r="AS108" s="21">
        <v>-1.3266E-2</v>
      </c>
      <c r="AT108" s="21">
        <v>98</v>
      </c>
      <c r="AU108" s="21">
        <v>1.24603</v>
      </c>
      <c r="AV108">
        <f t="shared" si="20"/>
        <v>16.377777777777776</v>
      </c>
      <c r="AW108">
        <f t="shared" si="21"/>
        <v>20.414736222222221</v>
      </c>
      <c r="AX108" s="9"/>
      <c r="AY108" s="21">
        <v>0.39352399999999998</v>
      </c>
      <c r="AZ108" s="21">
        <v>28.466100000000001</v>
      </c>
      <c r="BA108" s="21">
        <v>-1.3693200000000001E-2</v>
      </c>
      <c r="BB108" s="21">
        <v>98</v>
      </c>
      <c r="BC108" s="21">
        <v>0.39291399999999999</v>
      </c>
      <c r="BD108">
        <f t="shared" si="22"/>
        <v>16.905185185185186</v>
      </c>
      <c r="BE108">
        <f t="shared" si="23"/>
        <v>6.6525960948148146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1.24146</v>
      </c>
      <c r="H109" s="21">
        <v>6.58636</v>
      </c>
      <c r="I109" s="21">
        <v>-1.32324E-2</v>
      </c>
      <c r="J109" s="21">
        <v>99</v>
      </c>
      <c r="K109" s="21">
        <v>1.2408399999999999</v>
      </c>
      <c r="L109">
        <f t="shared" si="12"/>
        <v>16.336296296296297</v>
      </c>
      <c r="M109">
        <f t="shared" si="13"/>
        <v>20.2808584</v>
      </c>
      <c r="N109" s="9"/>
      <c r="O109" s="21">
        <v>0.39856000000000003</v>
      </c>
      <c r="P109" s="21">
        <v>10.284700000000001</v>
      </c>
      <c r="Q109" s="21">
        <v>-1.3720700000000001E-2</v>
      </c>
      <c r="R109" s="21">
        <v>99</v>
      </c>
      <c r="S109" s="21">
        <v>0.39798</v>
      </c>
      <c r="T109">
        <f t="shared" si="14"/>
        <v>16.939135802469135</v>
      </c>
      <c r="U109">
        <f t="shared" si="15"/>
        <v>6.7512619654320991</v>
      </c>
      <c r="X109" s="9"/>
      <c r="Y109" s="21">
        <v>1.24146</v>
      </c>
      <c r="Z109" s="21">
        <v>15.6456</v>
      </c>
      <c r="AA109" s="21">
        <v>-1.3229400000000001E-2</v>
      </c>
      <c r="AB109" s="21">
        <v>99</v>
      </c>
      <c r="AC109" s="21">
        <v>1.24054</v>
      </c>
      <c r="AD109">
        <f t="shared" si="16"/>
        <v>16.332592592592594</v>
      </c>
      <c r="AE109">
        <f t="shared" si="17"/>
        <v>20.276260400000002</v>
      </c>
      <c r="AF109" s="9"/>
      <c r="AG109" s="21">
        <v>0.39856000000000003</v>
      </c>
      <c r="AH109" s="21">
        <v>19.343900000000001</v>
      </c>
      <c r="AI109" s="21">
        <v>-1.3677999999999999E-2</v>
      </c>
      <c r="AJ109" s="21">
        <v>99</v>
      </c>
      <c r="AK109" s="21">
        <v>0.39788800000000002</v>
      </c>
      <c r="AL109">
        <f t="shared" si="18"/>
        <v>16.886419753086418</v>
      </c>
      <c r="AM109">
        <f t="shared" si="19"/>
        <v>6.730251456790123</v>
      </c>
      <c r="AP109" s="9"/>
      <c r="AQ109" s="21">
        <v>1.24146</v>
      </c>
      <c r="AR109" s="21">
        <v>24.777799999999999</v>
      </c>
      <c r="AS109" s="21">
        <v>-1.3269E-2</v>
      </c>
      <c r="AT109" s="21">
        <v>99</v>
      </c>
      <c r="AU109" s="21">
        <v>1.24054</v>
      </c>
      <c r="AV109">
        <f t="shared" si="20"/>
        <v>16.38148148148148</v>
      </c>
      <c r="AW109">
        <f t="shared" si="21"/>
        <v>20.336953999999999</v>
      </c>
      <c r="AX109" s="9"/>
      <c r="AY109" s="21">
        <v>0.39856000000000003</v>
      </c>
      <c r="AZ109" s="21">
        <v>28.476099999999999</v>
      </c>
      <c r="BA109" s="21">
        <v>-1.36902E-2</v>
      </c>
      <c r="BB109" s="21">
        <v>99</v>
      </c>
      <c r="BC109" s="21">
        <v>0.39791900000000002</v>
      </c>
      <c r="BD109">
        <f t="shared" si="22"/>
        <v>16.901481481481479</v>
      </c>
      <c r="BE109">
        <f t="shared" si="23"/>
        <v>6.7362544592592588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1.2364200000000001</v>
      </c>
      <c r="H110" s="21">
        <v>6.5964299999999998</v>
      </c>
      <c r="I110" s="21">
        <v>-1.3235500000000001E-2</v>
      </c>
      <c r="J110" s="21">
        <v>100</v>
      </c>
      <c r="K110" s="21">
        <v>1.2353499999999999</v>
      </c>
      <c r="L110">
        <f t="shared" si="12"/>
        <v>16.340123456790124</v>
      </c>
      <c r="M110">
        <f t="shared" si="13"/>
        <v>20.203255444444448</v>
      </c>
      <c r="N110" s="9"/>
      <c r="O110" s="21">
        <v>0.40359499999999998</v>
      </c>
      <c r="P110" s="21">
        <v>10.2948</v>
      </c>
      <c r="Q110" s="21">
        <v>-1.3720700000000001E-2</v>
      </c>
      <c r="R110" s="21">
        <v>100</v>
      </c>
      <c r="S110" s="21">
        <v>0.40298499999999998</v>
      </c>
      <c r="T110">
        <f t="shared" si="14"/>
        <v>16.939135802469135</v>
      </c>
      <c r="U110">
        <f t="shared" si="15"/>
        <v>6.8365505141975298</v>
      </c>
      <c r="X110" s="9"/>
      <c r="Y110" s="21">
        <v>1.2364200000000001</v>
      </c>
      <c r="Z110" s="21">
        <v>15.6556</v>
      </c>
      <c r="AA110" s="21">
        <v>-1.32324E-2</v>
      </c>
      <c r="AB110" s="21">
        <v>100</v>
      </c>
      <c r="AC110" s="21">
        <v>1.23566</v>
      </c>
      <c r="AD110">
        <f t="shared" si="16"/>
        <v>16.336296296296297</v>
      </c>
      <c r="AE110">
        <f t="shared" si="17"/>
        <v>20.198523466666668</v>
      </c>
      <c r="AF110" s="9"/>
      <c r="AG110" s="21">
        <v>0.40359499999999998</v>
      </c>
      <c r="AH110" s="21">
        <v>19.353999999999999</v>
      </c>
      <c r="AI110" s="21">
        <v>-1.3684099999999999E-2</v>
      </c>
      <c r="AJ110" s="21">
        <v>100</v>
      </c>
      <c r="AK110" s="21">
        <v>0.40304600000000002</v>
      </c>
      <c r="AL110">
        <f t="shared" si="18"/>
        <v>16.893950617283949</v>
      </c>
      <c r="AM110">
        <f t="shared" si="19"/>
        <v>6.8183139993827151</v>
      </c>
      <c r="AP110" s="9"/>
      <c r="AQ110" s="21">
        <v>1.2364200000000001</v>
      </c>
      <c r="AR110" s="21">
        <v>24.7879</v>
      </c>
      <c r="AS110" s="21">
        <v>-1.32782E-2</v>
      </c>
      <c r="AT110" s="21">
        <v>100</v>
      </c>
      <c r="AU110" s="21">
        <v>1.2353499999999999</v>
      </c>
      <c r="AV110">
        <f t="shared" si="20"/>
        <v>16.392839506172837</v>
      </c>
      <c r="AW110">
        <f t="shared" si="21"/>
        <v>20.26843462222222</v>
      </c>
      <c r="AX110" s="9"/>
      <c r="AY110" s="21">
        <v>0.40359499999999998</v>
      </c>
      <c r="AZ110" s="21">
        <v>28.4862</v>
      </c>
      <c r="BA110" s="21">
        <v>-1.3693200000000001E-2</v>
      </c>
      <c r="BB110" s="21">
        <v>100</v>
      </c>
      <c r="BC110" s="21">
        <v>0.40295399999999998</v>
      </c>
      <c r="BD110">
        <f t="shared" si="22"/>
        <v>16.905185185185186</v>
      </c>
      <c r="BE110">
        <f t="shared" si="23"/>
        <v>6.8228482148148144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1.2313799999999999</v>
      </c>
      <c r="H111" s="21">
        <v>6.6064999999999996</v>
      </c>
      <c r="I111" s="21">
        <v>-1.32385E-2</v>
      </c>
      <c r="J111" s="21">
        <v>101</v>
      </c>
      <c r="K111" s="21">
        <v>1.23047</v>
      </c>
      <c r="L111">
        <f t="shared" si="12"/>
        <v>16.343827160493824</v>
      </c>
      <c r="M111">
        <f t="shared" si="13"/>
        <v>20.125461888888882</v>
      </c>
      <c r="N111" s="9"/>
      <c r="O111" s="21">
        <v>0.40862999999999999</v>
      </c>
      <c r="P111" s="21">
        <v>10.3048</v>
      </c>
      <c r="Q111" s="21">
        <v>-1.3720700000000001E-2</v>
      </c>
      <c r="R111" s="21">
        <v>101</v>
      </c>
      <c r="S111" s="21">
        <v>0.40799000000000002</v>
      </c>
      <c r="T111">
        <f t="shared" si="14"/>
        <v>16.939135802469135</v>
      </c>
      <c r="U111">
        <f t="shared" si="15"/>
        <v>6.9218390629629623</v>
      </c>
      <c r="X111" s="9"/>
      <c r="Y111" s="21">
        <v>1.2313799999999999</v>
      </c>
      <c r="Z111" s="21">
        <v>15.665699999999999</v>
      </c>
      <c r="AA111" s="21">
        <v>-1.32385E-2</v>
      </c>
      <c r="AB111" s="21">
        <v>101</v>
      </c>
      <c r="AC111" s="21">
        <v>1.2307699999999999</v>
      </c>
      <c r="AD111">
        <f t="shared" si="16"/>
        <v>16.343827160493824</v>
      </c>
      <c r="AE111">
        <f t="shared" si="17"/>
        <v>20.125461888888882</v>
      </c>
      <c r="AF111" s="9"/>
      <c r="AG111" s="21">
        <v>0.40862999999999999</v>
      </c>
      <c r="AH111" s="21">
        <v>19.364100000000001</v>
      </c>
      <c r="AI111" s="21">
        <v>-1.3699299999999999E-2</v>
      </c>
      <c r="AJ111" s="21">
        <v>101</v>
      </c>
      <c r="AK111" s="21">
        <v>0.40795900000000002</v>
      </c>
      <c r="AL111">
        <f t="shared" si="18"/>
        <v>16.912716049382716</v>
      </c>
      <c r="AM111">
        <f t="shared" si="19"/>
        <v>6.9110431592592594</v>
      </c>
      <c r="AP111" s="9"/>
      <c r="AQ111" s="21">
        <v>1.2313799999999999</v>
      </c>
      <c r="AR111" s="21">
        <v>24.797899999999998</v>
      </c>
      <c r="AS111" s="21">
        <v>-1.32935E-2</v>
      </c>
      <c r="AT111" s="21">
        <v>101</v>
      </c>
      <c r="AU111" s="21">
        <v>1.23047</v>
      </c>
      <c r="AV111">
        <f t="shared" si="20"/>
        <v>16.411728395061726</v>
      </c>
      <c r="AW111">
        <f t="shared" si="21"/>
        <v>20.209074111111107</v>
      </c>
      <c r="AX111" s="9"/>
      <c r="AY111" s="21">
        <v>0.40862999999999999</v>
      </c>
      <c r="AZ111" s="21">
        <v>28.496300000000002</v>
      </c>
      <c r="BA111" s="21">
        <v>-1.36902E-2</v>
      </c>
      <c r="BB111" s="21">
        <v>101</v>
      </c>
      <c r="BC111" s="21">
        <v>0.408051</v>
      </c>
      <c r="BD111">
        <f t="shared" si="22"/>
        <v>16.901481481481479</v>
      </c>
      <c r="BE111">
        <f t="shared" si="23"/>
        <v>6.9064523777777769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1.2263500000000001</v>
      </c>
      <c r="H112" s="21">
        <v>6.6165700000000003</v>
      </c>
      <c r="I112" s="21">
        <v>-1.3241599999999999E-2</v>
      </c>
      <c r="J112" s="21">
        <v>102</v>
      </c>
      <c r="K112" s="21">
        <v>1.2258899999999999</v>
      </c>
      <c r="L112">
        <f t="shared" si="12"/>
        <v>16.347654320987651</v>
      </c>
      <c r="M112">
        <f t="shared" si="13"/>
        <v>20.047945876543206</v>
      </c>
      <c r="N112" s="9"/>
      <c r="O112" s="21">
        <v>0.41366599999999998</v>
      </c>
      <c r="P112" s="21">
        <v>10.3149</v>
      </c>
      <c r="Q112" s="21">
        <v>-1.3717699999999999E-2</v>
      </c>
      <c r="R112" s="21">
        <v>102</v>
      </c>
      <c r="S112" s="21">
        <v>0.41305500000000001</v>
      </c>
      <c r="T112">
        <f t="shared" si="14"/>
        <v>16.935432098765432</v>
      </c>
      <c r="U112">
        <f t="shared" si="15"/>
        <v>7.0056124545679008</v>
      </c>
      <c r="X112" s="9"/>
      <c r="Y112" s="21">
        <v>1.2263500000000001</v>
      </c>
      <c r="Z112" s="21">
        <v>15.675800000000001</v>
      </c>
      <c r="AA112" s="21">
        <v>-1.3250700000000001E-2</v>
      </c>
      <c r="AB112" s="21">
        <v>102</v>
      </c>
      <c r="AC112" s="21">
        <v>1.22559</v>
      </c>
      <c r="AD112">
        <f t="shared" si="16"/>
        <v>16.358888888888888</v>
      </c>
      <c r="AE112">
        <f t="shared" si="17"/>
        <v>20.06172338888889</v>
      </c>
      <c r="AF112" s="9"/>
      <c r="AG112" s="21">
        <v>0.41366599999999998</v>
      </c>
      <c r="AH112" s="21">
        <v>19.374199999999998</v>
      </c>
      <c r="AI112" s="21">
        <v>-1.37085E-2</v>
      </c>
      <c r="AJ112" s="21">
        <v>102</v>
      </c>
      <c r="AK112" s="21">
        <v>0.41308600000000001</v>
      </c>
      <c r="AL112">
        <f t="shared" si="18"/>
        <v>16.924074074074074</v>
      </c>
      <c r="AM112">
        <f t="shared" si="19"/>
        <v>7.0009140259259253</v>
      </c>
      <c r="AP112" s="9"/>
      <c r="AQ112" s="21">
        <v>1.2263500000000001</v>
      </c>
      <c r="AR112" s="21">
        <v>24.808</v>
      </c>
      <c r="AS112" s="21">
        <v>-1.3302599999999999E-2</v>
      </c>
      <c r="AT112" s="21">
        <v>102</v>
      </c>
      <c r="AU112" s="21">
        <v>1.2262</v>
      </c>
      <c r="AV112">
        <f t="shared" si="20"/>
        <v>16.422962962962963</v>
      </c>
      <c r="AW112">
        <f t="shared" si="21"/>
        <v>20.140300629629632</v>
      </c>
      <c r="AX112" s="9"/>
      <c r="AY112" s="21">
        <v>0.41366599999999998</v>
      </c>
      <c r="AZ112" s="21">
        <v>28.5063</v>
      </c>
      <c r="BA112" s="21">
        <v>-1.3684099999999999E-2</v>
      </c>
      <c r="BB112" s="21">
        <v>102</v>
      </c>
      <c r="BC112" s="21">
        <v>0.41308600000000001</v>
      </c>
      <c r="BD112">
        <f t="shared" si="22"/>
        <v>16.893950617283949</v>
      </c>
      <c r="BE112">
        <f t="shared" si="23"/>
        <v>6.9884529760493814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1.2213099999999999</v>
      </c>
      <c r="H113" s="21">
        <v>6.6266400000000001</v>
      </c>
      <c r="I113" s="21">
        <v>-1.32385E-2</v>
      </c>
      <c r="J113" s="21">
        <v>103</v>
      </c>
      <c r="K113" s="21">
        <v>1.2206999999999999</v>
      </c>
      <c r="L113">
        <f t="shared" si="12"/>
        <v>16.343827160493824</v>
      </c>
      <c r="M113">
        <f t="shared" si="13"/>
        <v>19.96087954938271</v>
      </c>
      <c r="N113" s="9"/>
      <c r="O113" s="21">
        <v>0.41870099999999999</v>
      </c>
      <c r="P113" s="21">
        <v>10.324999999999999</v>
      </c>
      <c r="Q113" s="21">
        <v>-1.3726800000000001E-2</v>
      </c>
      <c r="R113" s="21">
        <v>103</v>
      </c>
      <c r="S113" s="21">
        <v>0.41805999999999999</v>
      </c>
      <c r="T113">
        <f t="shared" si="14"/>
        <v>16.946666666666665</v>
      </c>
      <c r="U113">
        <f t="shared" si="15"/>
        <v>7.0955862799999991</v>
      </c>
      <c r="X113" s="9"/>
      <c r="Y113" s="21">
        <v>1.2213099999999999</v>
      </c>
      <c r="Z113" s="21">
        <v>15.6859</v>
      </c>
      <c r="AA113" s="21">
        <v>-1.32538E-2</v>
      </c>
      <c r="AB113" s="21">
        <v>103</v>
      </c>
      <c r="AC113" s="21">
        <v>1.2206999999999999</v>
      </c>
      <c r="AD113">
        <f t="shared" si="16"/>
        <v>16.362716049382716</v>
      </c>
      <c r="AE113">
        <f t="shared" si="17"/>
        <v>19.983948738271604</v>
      </c>
      <c r="AF113" s="9"/>
      <c r="AG113" s="21">
        <v>0.41870099999999999</v>
      </c>
      <c r="AH113" s="21">
        <v>19.3842</v>
      </c>
      <c r="AI113" s="21">
        <v>-1.37115E-2</v>
      </c>
      <c r="AJ113" s="21">
        <v>103</v>
      </c>
      <c r="AK113" s="21">
        <v>0.41809099999999999</v>
      </c>
      <c r="AL113">
        <f t="shared" si="18"/>
        <v>16.927777777777777</v>
      </c>
      <c r="AM113">
        <f t="shared" si="19"/>
        <v>7.0876774833333327</v>
      </c>
      <c r="AP113" s="9"/>
      <c r="AQ113" s="21">
        <v>1.2213099999999999</v>
      </c>
      <c r="AR113" s="21">
        <v>24.818100000000001</v>
      </c>
      <c r="AS113" s="21">
        <v>-1.33118E-2</v>
      </c>
      <c r="AT113" s="21">
        <v>103</v>
      </c>
      <c r="AU113" s="21">
        <v>1.2203999999999999</v>
      </c>
      <c r="AV113">
        <f t="shared" si="20"/>
        <v>16.434320987654321</v>
      </c>
      <c r="AW113">
        <f t="shared" si="21"/>
        <v>20.071400565432096</v>
      </c>
      <c r="AX113" s="9"/>
      <c r="AY113" s="21">
        <v>0.41870099999999999</v>
      </c>
      <c r="AZ113" s="21">
        <v>28.516400000000001</v>
      </c>
      <c r="BA113" s="21">
        <v>-1.36902E-2</v>
      </c>
      <c r="BB113" s="21">
        <v>103</v>
      </c>
      <c r="BC113" s="21">
        <v>0.41812100000000002</v>
      </c>
      <c r="BD113">
        <f t="shared" si="22"/>
        <v>16.901481481481479</v>
      </c>
      <c r="BE113">
        <f t="shared" si="23"/>
        <v>7.0766671977777769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1.21628</v>
      </c>
      <c r="H114" s="21">
        <v>6.6367099999999999</v>
      </c>
      <c r="I114" s="21">
        <v>-1.3250700000000001E-2</v>
      </c>
      <c r="J114" s="21">
        <v>104</v>
      </c>
      <c r="K114" s="21">
        <v>1.2152099999999999</v>
      </c>
      <c r="L114">
        <f t="shared" si="12"/>
        <v>16.358888888888888</v>
      </c>
      <c r="M114">
        <f t="shared" si="13"/>
        <v>19.896989377777778</v>
      </c>
      <c r="N114" s="9"/>
      <c r="O114" s="21">
        <v>0.42373699999999997</v>
      </c>
      <c r="P114" s="21">
        <v>10.335100000000001</v>
      </c>
      <c r="Q114" s="21">
        <v>-1.37482E-2</v>
      </c>
      <c r="R114" s="21">
        <v>104</v>
      </c>
      <c r="S114" s="21">
        <v>0.42324800000000001</v>
      </c>
      <c r="T114">
        <f t="shared" si="14"/>
        <v>16.973086419753084</v>
      </c>
      <c r="U114">
        <f t="shared" si="15"/>
        <v>7.1921247202469125</v>
      </c>
      <c r="X114" s="9"/>
      <c r="Y114" s="21">
        <v>1.21628</v>
      </c>
      <c r="Z114" s="21">
        <v>15.6959</v>
      </c>
      <c r="AA114" s="21">
        <v>-1.3266E-2</v>
      </c>
      <c r="AB114" s="21">
        <v>104</v>
      </c>
      <c r="AC114" s="21">
        <v>1.2158199999999999</v>
      </c>
      <c r="AD114">
        <f t="shared" si="16"/>
        <v>16.377777777777776</v>
      </c>
      <c r="AE114">
        <f t="shared" si="17"/>
        <v>19.919963555555555</v>
      </c>
      <c r="AF114" s="9"/>
      <c r="AG114" s="21">
        <v>0.42373699999999997</v>
      </c>
      <c r="AH114" s="21">
        <v>19.394300000000001</v>
      </c>
      <c r="AI114" s="21">
        <v>-1.37024E-2</v>
      </c>
      <c r="AJ114" s="21">
        <v>104</v>
      </c>
      <c r="AK114" s="21">
        <v>0.42318699999999998</v>
      </c>
      <c r="AL114">
        <f t="shared" si="18"/>
        <v>16.916543209876544</v>
      </c>
      <c r="AM114">
        <f t="shared" si="19"/>
        <v>7.1681652701234562</v>
      </c>
      <c r="AP114" s="9"/>
      <c r="AQ114" s="21">
        <v>1.21628</v>
      </c>
      <c r="AR114" s="21">
        <v>24.828099999999999</v>
      </c>
      <c r="AS114" s="21">
        <v>-1.3330099999999999E-2</v>
      </c>
      <c r="AT114" s="21">
        <v>104</v>
      </c>
      <c r="AU114" s="21">
        <v>1.2149000000000001</v>
      </c>
      <c r="AV114">
        <f t="shared" si="20"/>
        <v>16.456913580246912</v>
      </c>
      <c r="AW114">
        <f t="shared" si="21"/>
        <v>20.016214849382713</v>
      </c>
      <c r="AX114" s="9"/>
      <c r="AY114" s="21">
        <v>0.42373699999999997</v>
      </c>
      <c r="AZ114" s="21">
        <v>28.526499999999999</v>
      </c>
      <c r="BA114" s="21">
        <v>-1.36902E-2</v>
      </c>
      <c r="BB114" s="21">
        <v>104</v>
      </c>
      <c r="BC114" s="21">
        <v>0.42315700000000001</v>
      </c>
      <c r="BD114">
        <f t="shared" si="22"/>
        <v>16.901481481481479</v>
      </c>
      <c r="BE114">
        <f t="shared" si="23"/>
        <v>7.1617830585185169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1.2112400000000001</v>
      </c>
      <c r="H115" s="21">
        <v>6.6467799999999997</v>
      </c>
      <c r="I115" s="21">
        <v>-1.3262899999999999E-2</v>
      </c>
      <c r="J115" s="21">
        <v>105</v>
      </c>
      <c r="K115" s="21">
        <v>1.2103299999999999</v>
      </c>
      <c r="L115">
        <f t="shared" si="12"/>
        <v>16.373950617283949</v>
      </c>
      <c r="M115">
        <f t="shared" si="13"/>
        <v>19.832783945679012</v>
      </c>
      <c r="N115" s="9"/>
      <c r="O115" s="21">
        <v>0.42877199999999999</v>
      </c>
      <c r="P115" s="21">
        <v>10.3451</v>
      </c>
      <c r="Q115" s="21">
        <v>-1.37573E-2</v>
      </c>
      <c r="R115" s="21">
        <v>105</v>
      </c>
      <c r="S115" s="21">
        <v>0.42825299999999999</v>
      </c>
      <c r="T115">
        <f t="shared" si="14"/>
        <v>16.984320987654321</v>
      </c>
      <c r="U115">
        <f t="shared" si="15"/>
        <v>7.2824012785185186</v>
      </c>
      <c r="X115" s="9"/>
      <c r="Y115" s="21">
        <v>1.2112400000000001</v>
      </c>
      <c r="Z115" s="21">
        <v>15.706</v>
      </c>
      <c r="AA115" s="21">
        <v>-1.32721E-2</v>
      </c>
      <c r="AB115" s="21">
        <v>105</v>
      </c>
      <c r="AC115" s="21">
        <v>1.2103299999999999</v>
      </c>
      <c r="AD115">
        <f t="shared" si="16"/>
        <v>16.385308641975307</v>
      </c>
      <c r="AE115">
        <f t="shared" si="17"/>
        <v>19.846541239506173</v>
      </c>
      <c r="AF115" s="9"/>
      <c r="AG115" s="21">
        <v>0.42877199999999999</v>
      </c>
      <c r="AH115" s="21">
        <v>19.404399999999999</v>
      </c>
      <c r="AI115" s="21">
        <v>-1.37054E-2</v>
      </c>
      <c r="AJ115" s="21">
        <v>105</v>
      </c>
      <c r="AK115" s="21">
        <v>0.42825299999999999</v>
      </c>
      <c r="AL115">
        <f t="shared" si="18"/>
        <v>16.920246913580247</v>
      </c>
      <c r="AM115">
        <f t="shared" si="19"/>
        <v>7.2549281096296294</v>
      </c>
      <c r="AP115" s="9"/>
      <c r="AQ115" s="21">
        <v>1.2112400000000001</v>
      </c>
      <c r="AR115" s="21">
        <v>24.838200000000001</v>
      </c>
      <c r="AS115" s="21">
        <v>-1.3336199999999999E-2</v>
      </c>
      <c r="AT115" s="21">
        <v>105</v>
      </c>
      <c r="AU115" s="21">
        <v>1.2103299999999999</v>
      </c>
      <c r="AV115">
        <f t="shared" si="20"/>
        <v>16.464444444444442</v>
      </c>
      <c r="AW115">
        <f t="shared" si="21"/>
        <v>19.942393688888888</v>
      </c>
      <c r="AX115" s="9"/>
      <c r="AY115" s="21">
        <v>0.42877199999999999</v>
      </c>
      <c r="AZ115" s="21">
        <v>28.5366</v>
      </c>
      <c r="BA115" s="21">
        <v>-1.37024E-2</v>
      </c>
      <c r="BB115" s="21">
        <v>105</v>
      </c>
      <c r="BC115" s="21">
        <v>0.42819200000000002</v>
      </c>
      <c r="BD115">
        <f t="shared" si="22"/>
        <v>16.916543209876544</v>
      </c>
      <c r="BE115">
        <f t="shared" si="23"/>
        <v>7.2533400651851849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1.20621</v>
      </c>
      <c r="H116" s="21">
        <v>6.65686</v>
      </c>
      <c r="I116" s="21">
        <v>-1.3262899999999999E-2</v>
      </c>
      <c r="J116" s="21">
        <v>106</v>
      </c>
      <c r="K116" s="21">
        <v>1.2051400000000001</v>
      </c>
      <c r="L116">
        <f t="shared" si="12"/>
        <v>16.373950617283949</v>
      </c>
      <c r="M116">
        <f t="shared" si="13"/>
        <v>19.750422974074073</v>
      </c>
      <c r="N116" s="9"/>
      <c r="O116" s="21">
        <v>0.433807</v>
      </c>
      <c r="P116" s="21">
        <v>10.3552</v>
      </c>
      <c r="Q116" s="21">
        <v>-1.3766499999999999E-2</v>
      </c>
      <c r="R116" s="21">
        <v>106</v>
      </c>
      <c r="S116" s="21">
        <v>0.433228</v>
      </c>
      <c r="T116">
        <f t="shared" si="14"/>
        <v>16.995679012345676</v>
      </c>
      <c r="U116">
        <f t="shared" si="15"/>
        <v>7.3728445253086408</v>
      </c>
      <c r="X116" s="9"/>
      <c r="Y116" s="21">
        <v>1.20621</v>
      </c>
      <c r="Z116" s="21">
        <v>15.716100000000001</v>
      </c>
      <c r="AA116" s="21">
        <v>-1.32751E-2</v>
      </c>
      <c r="AB116" s="21">
        <v>106</v>
      </c>
      <c r="AC116" s="21">
        <v>1.2051400000000001</v>
      </c>
      <c r="AD116">
        <f t="shared" si="16"/>
        <v>16.38901234567901</v>
      </c>
      <c r="AE116">
        <f t="shared" si="17"/>
        <v>19.76859058148148</v>
      </c>
      <c r="AF116" s="9"/>
      <c r="AG116" s="21">
        <v>0.433807</v>
      </c>
      <c r="AH116" s="21">
        <v>19.414400000000001</v>
      </c>
      <c r="AI116" s="21">
        <v>-1.36963E-2</v>
      </c>
      <c r="AJ116" s="21">
        <v>106</v>
      </c>
      <c r="AK116" s="21">
        <v>0.433228</v>
      </c>
      <c r="AL116">
        <f t="shared" si="18"/>
        <v>16.90901234567901</v>
      </c>
      <c r="AM116">
        <f t="shared" si="19"/>
        <v>7.3352479186419739</v>
      </c>
      <c r="AP116" s="9"/>
      <c r="AQ116" s="21">
        <v>1.20621</v>
      </c>
      <c r="AR116" s="21">
        <v>24.848299999999998</v>
      </c>
      <c r="AS116" s="21">
        <v>-1.3351399999999999E-2</v>
      </c>
      <c r="AT116" s="21">
        <v>106</v>
      </c>
      <c r="AU116" s="21">
        <v>1.2054400000000001</v>
      </c>
      <c r="AV116">
        <f t="shared" si="20"/>
        <v>16.483209876543206</v>
      </c>
      <c r="AW116">
        <f t="shared" si="21"/>
        <v>19.882212585185179</v>
      </c>
      <c r="AX116" s="9"/>
      <c r="AY116" s="21">
        <v>0.433807</v>
      </c>
      <c r="AZ116" s="21">
        <v>28.546600000000002</v>
      </c>
      <c r="BA116" s="21">
        <v>-1.37085E-2</v>
      </c>
      <c r="BB116" s="21">
        <v>106</v>
      </c>
      <c r="BC116" s="21">
        <v>0.433228</v>
      </c>
      <c r="BD116">
        <f t="shared" si="22"/>
        <v>16.924074074074074</v>
      </c>
      <c r="BE116">
        <f t="shared" si="23"/>
        <v>7.3417818018518517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1.2011700000000001</v>
      </c>
      <c r="H117" s="21">
        <v>6.6669299999999998</v>
      </c>
      <c r="I117" s="21">
        <v>-1.32599E-2</v>
      </c>
      <c r="J117" s="21">
        <v>107</v>
      </c>
      <c r="K117" s="21">
        <v>1.2005600000000001</v>
      </c>
      <c r="L117">
        <f t="shared" si="12"/>
        <v>16.370246913580246</v>
      </c>
      <c r="M117">
        <f t="shared" si="13"/>
        <v>19.663449485185186</v>
      </c>
      <c r="N117" s="9"/>
      <c r="O117" s="21">
        <v>0.43884299999999998</v>
      </c>
      <c r="P117" s="21">
        <v>10.3653</v>
      </c>
      <c r="Q117" s="21">
        <v>-1.3766499999999999E-2</v>
      </c>
      <c r="R117" s="21">
        <v>107</v>
      </c>
      <c r="S117" s="21">
        <v>0.43817099999999998</v>
      </c>
      <c r="T117">
        <f t="shared" si="14"/>
        <v>16.995679012345676</v>
      </c>
      <c r="U117">
        <f t="shared" si="15"/>
        <v>7.4584347648148128</v>
      </c>
      <c r="X117" s="9"/>
      <c r="Y117" s="21">
        <v>1.2011700000000001</v>
      </c>
      <c r="Z117" s="21">
        <v>15.726100000000001</v>
      </c>
      <c r="AA117" s="21">
        <v>-1.32935E-2</v>
      </c>
      <c r="AB117" s="21">
        <v>107</v>
      </c>
      <c r="AC117" s="21">
        <v>1.1999500000000001</v>
      </c>
      <c r="AD117">
        <f t="shared" si="16"/>
        <v>16.411728395061726</v>
      </c>
      <c r="AE117">
        <f t="shared" si="17"/>
        <v>19.713275796296294</v>
      </c>
      <c r="AF117" s="9"/>
      <c r="AG117" s="21">
        <v>0.43884299999999998</v>
      </c>
      <c r="AH117" s="21">
        <v>19.424499999999998</v>
      </c>
      <c r="AI117" s="21">
        <v>-1.3684099999999999E-2</v>
      </c>
      <c r="AJ117" s="21">
        <v>107</v>
      </c>
      <c r="AK117" s="21">
        <v>0.43817099999999998</v>
      </c>
      <c r="AL117">
        <f t="shared" si="18"/>
        <v>16.893950617283949</v>
      </c>
      <c r="AM117">
        <f t="shared" si="19"/>
        <v>7.4137919707407391</v>
      </c>
      <c r="AP117" s="9"/>
      <c r="AQ117" s="21">
        <v>1.2011700000000001</v>
      </c>
      <c r="AR117" s="21">
        <v>24.8584</v>
      </c>
      <c r="AS117" s="21">
        <v>-1.33606E-2</v>
      </c>
      <c r="AT117" s="21">
        <v>107</v>
      </c>
      <c r="AU117" s="21">
        <v>1.1999500000000001</v>
      </c>
      <c r="AV117">
        <f t="shared" si="20"/>
        <v>16.494567901234568</v>
      </c>
      <c r="AW117">
        <f t="shared" si="21"/>
        <v>19.812780125925926</v>
      </c>
      <c r="AX117" s="9"/>
      <c r="AY117" s="21">
        <v>0.43884299999999998</v>
      </c>
      <c r="AZ117" s="21">
        <v>28.556699999999999</v>
      </c>
      <c r="BA117" s="21">
        <v>-1.37054E-2</v>
      </c>
      <c r="BB117" s="21">
        <v>107</v>
      </c>
      <c r="BC117" s="21">
        <v>0.43820199999999998</v>
      </c>
      <c r="BD117">
        <f t="shared" si="22"/>
        <v>16.920246913580247</v>
      </c>
      <c r="BE117">
        <f t="shared" si="23"/>
        <v>7.4253319162962956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1.19614</v>
      </c>
      <c r="H118" s="21">
        <v>6.6769999999999996</v>
      </c>
      <c r="I118" s="21">
        <v>-1.3262899999999999E-2</v>
      </c>
      <c r="J118" s="21">
        <v>108</v>
      </c>
      <c r="K118" s="21">
        <v>1.1950700000000001</v>
      </c>
      <c r="L118">
        <f t="shared" si="12"/>
        <v>16.373950617283949</v>
      </c>
      <c r="M118">
        <f t="shared" si="13"/>
        <v>19.585537291358023</v>
      </c>
      <c r="N118" s="9"/>
      <c r="O118" s="21">
        <v>0.44387799999999999</v>
      </c>
      <c r="P118" s="21">
        <v>10.375299999999999</v>
      </c>
      <c r="Q118" s="21">
        <v>-1.3760400000000001E-2</v>
      </c>
      <c r="R118" s="21">
        <v>108</v>
      </c>
      <c r="S118" s="21">
        <v>0.44332899999999997</v>
      </c>
      <c r="T118">
        <f t="shared" si="14"/>
        <v>16.988148148148149</v>
      </c>
      <c r="U118">
        <f t="shared" si="15"/>
        <v>7.5406652237037042</v>
      </c>
      <c r="X118" s="9"/>
      <c r="Y118" s="21">
        <v>1.19614</v>
      </c>
      <c r="Z118" s="21">
        <v>15.7362</v>
      </c>
      <c r="AA118" s="21">
        <v>-1.33057E-2</v>
      </c>
      <c r="AB118" s="21">
        <v>108</v>
      </c>
      <c r="AC118" s="21">
        <v>1.1950700000000001</v>
      </c>
      <c r="AD118">
        <f t="shared" si="16"/>
        <v>16.42679012345679</v>
      </c>
      <c r="AE118">
        <f t="shared" si="17"/>
        <v>19.648740738271606</v>
      </c>
      <c r="AF118" s="9"/>
      <c r="AG118" s="21">
        <v>0.44387799999999999</v>
      </c>
      <c r="AH118" s="21">
        <v>19.4346</v>
      </c>
      <c r="AI118" s="21">
        <v>-1.3671900000000001E-2</v>
      </c>
      <c r="AJ118" s="21">
        <v>108</v>
      </c>
      <c r="AK118" s="21">
        <v>0.44329800000000003</v>
      </c>
      <c r="AL118">
        <f t="shared" si="18"/>
        <v>16.878888888888888</v>
      </c>
      <c r="AM118">
        <f t="shared" si="19"/>
        <v>7.4921674422222218</v>
      </c>
      <c r="AP118" s="9"/>
      <c r="AQ118" s="21">
        <v>1.19614</v>
      </c>
      <c r="AR118" s="21">
        <v>24.868400000000001</v>
      </c>
      <c r="AS118" s="21">
        <v>-1.33606E-2</v>
      </c>
      <c r="AT118" s="21">
        <v>108</v>
      </c>
      <c r="AU118" s="21">
        <v>1.1950700000000001</v>
      </c>
      <c r="AV118">
        <f t="shared" si="20"/>
        <v>16.494567901234568</v>
      </c>
      <c r="AW118">
        <f t="shared" si="21"/>
        <v>19.729812449382717</v>
      </c>
      <c r="AX118" s="9"/>
      <c r="AY118" s="21">
        <v>0.44387799999999999</v>
      </c>
      <c r="AZ118" s="21">
        <v>28.566800000000001</v>
      </c>
      <c r="BA118" s="21">
        <v>-1.3693200000000001E-2</v>
      </c>
      <c r="BB118" s="21">
        <v>108</v>
      </c>
      <c r="BC118" s="21">
        <v>0.44329800000000003</v>
      </c>
      <c r="BD118">
        <f t="shared" si="22"/>
        <v>16.905185185185186</v>
      </c>
      <c r="BE118">
        <f t="shared" si="23"/>
        <v>7.5038397896296294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1.1911</v>
      </c>
      <c r="H119" s="21">
        <v>6.6870700000000003</v>
      </c>
      <c r="I119" s="21">
        <v>-1.3262899999999999E-2</v>
      </c>
      <c r="J119" s="21">
        <v>109</v>
      </c>
      <c r="K119" s="21">
        <v>1.1901900000000001</v>
      </c>
      <c r="L119">
        <f t="shared" si="12"/>
        <v>16.373950617283949</v>
      </c>
      <c r="M119">
        <f t="shared" si="13"/>
        <v>19.503012580246914</v>
      </c>
      <c r="N119" s="9"/>
      <c r="O119" s="21">
        <v>0.44891399999999998</v>
      </c>
      <c r="P119" s="21">
        <v>10.385400000000001</v>
      </c>
      <c r="Q119" s="21">
        <v>-1.37451E-2</v>
      </c>
      <c r="R119" s="21">
        <v>109</v>
      </c>
      <c r="S119" s="21">
        <v>0.448212</v>
      </c>
      <c r="T119">
        <f t="shared" si="14"/>
        <v>16.969259259259257</v>
      </c>
      <c r="U119">
        <f t="shared" si="15"/>
        <v>7.6177380511111092</v>
      </c>
      <c r="X119" s="9"/>
      <c r="Y119" s="21">
        <v>1.1911</v>
      </c>
      <c r="Z119" s="21">
        <v>15.7463</v>
      </c>
      <c r="AA119" s="21">
        <v>-1.3324000000000001E-2</v>
      </c>
      <c r="AB119" s="21">
        <v>109</v>
      </c>
      <c r="AC119" s="21">
        <v>1.1901900000000001</v>
      </c>
      <c r="AD119">
        <f t="shared" si="16"/>
        <v>16.449382716049382</v>
      </c>
      <c r="AE119">
        <f t="shared" si="17"/>
        <v>19.592859753086419</v>
      </c>
      <c r="AF119" s="9"/>
      <c r="AG119" s="21">
        <v>0.44891399999999998</v>
      </c>
      <c r="AH119" s="21">
        <v>19.444700000000001</v>
      </c>
      <c r="AI119" s="21">
        <v>-1.36566E-2</v>
      </c>
      <c r="AJ119" s="21">
        <v>109</v>
      </c>
      <c r="AK119" s="21">
        <v>0.44815100000000002</v>
      </c>
      <c r="AL119">
        <f t="shared" si="18"/>
        <v>16.86</v>
      </c>
      <c r="AM119">
        <f t="shared" si="19"/>
        <v>7.568690039999999</v>
      </c>
      <c r="AP119" s="9"/>
      <c r="AQ119" s="21">
        <v>1.1911</v>
      </c>
      <c r="AR119" s="21">
        <v>24.878499999999999</v>
      </c>
      <c r="AS119" s="21">
        <v>-1.33606E-2</v>
      </c>
      <c r="AT119" s="21">
        <v>109</v>
      </c>
      <c r="AU119" s="21">
        <v>1.1901900000000001</v>
      </c>
      <c r="AV119">
        <f t="shared" si="20"/>
        <v>16.494567901234568</v>
      </c>
      <c r="AW119">
        <f t="shared" si="21"/>
        <v>19.646679827160494</v>
      </c>
      <c r="AX119" s="9"/>
      <c r="AY119" s="21">
        <v>0.44891399999999998</v>
      </c>
      <c r="AZ119" s="21">
        <v>28.576799999999999</v>
      </c>
      <c r="BA119" s="21">
        <v>-1.3681E-2</v>
      </c>
      <c r="BB119" s="21">
        <v>109</v>
      </c>
      <c r="BC119" s="21">
        <v>0.44830300000000001</v>
      </c>
      <c r="BD119">
        <f t="shared" si="22"/>
        <v>16.890123456790121</v>
      </c>
      <c r="BE119">
        <f t="shared" si="23"/>
        <v>7.58221288148148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1.18607</v>
      </c>
      <c r="H120" s="21">
        <v>6.6971400000000001</v>
      </c>
      <c r="I120" s="21">
        <v>-1.32782E-2</v>
      </c>
      <c r="J120" s="21">
        <v>110</v>
      </c>
      <c r="K120" s="21">
        <v>1.1853</v>
      </c>
      <c r="L120">
        <f t="shared" si="12"/>
        <v>16.392839506172837</v>
      </c>
      <c r="M120">
        <f t="shared" si="13"/>
        <v>19.443055153086416</v>
      </c>
      <c r="N120" s="9"/>
      <c r="O120" s="21">
        <v>0.45394899999999999</v>
      </c>
      <c r="P120" s="21">
        <v>10.3955</v>
      </c>
      <c r="Q120" s="21">
        <v>-1.37299E-2</v>
      </c>
      <c r="R120" s="21">
        <v>110</v>
      </c>
      <c r="S120" s="21">
        <v>0.45324700000000001</v>
      </c>
      <c r="T120">
        <f t="shared" si="14"/>
        <v>16.950493827160493</v>
      </c>
      <c r="U120">
        <f t="shared" si="15"/>
        <v>7.6946597223456781</v>
      </c>
      <c r="X120" s="9"/>
      <c r="Y120" s="21">
        <v>1.18607</v>
      </c>
      <c r="Z120" s="21">
        <v>15.756399999999999</v>
      </c>
      <c r="AA120" s="21">
        <v>-1.3333100000000001E-2</v>
      </c>
      <c r="AB120" s="21">
        <v>110</v>
      </c>
      <c r="AC120" s="21">
        <v>1.1856100000000001</v>
      </c>
      <c r="AD120">
        <f t="shared" si="16"/>
        <v>16.460617283950615</v>
      </c>
      <c r="AE120">
        <f t="shared" si="17"/>
        <v>19.523444341975306</v>
      </c>
      <c r="AF120" s="9"/>
      <c r="AG120" s="21">
        <v>0.45394899999999999</v>
      </c>
      <c r="AH120" s="21">
        <v>19.454699999999999</v>
      </c>
      <c r="AI120" s="21">
        <v>-1.36475E-2</v>
      </c>
      <c r="AJ120" s="21">
        <v>110</v>
      </c>
      <c r="AK120" s="21">
        <v>0.453461</v>
      </c>
      <c r="AL120">
        <f t="shared" si="18"/>
        <v>16.848765432098766</v>
      </c>
      <c r="AM120">
        <f t="shared" si="19"/>
        <v>7.6484802191358021</v>
      </c>
      <c r="AP120" s="9"/>
      <c r="AQ120" s="21">
        <v>1.18607</v>
      </c>
      <c r="AR120" s="21">
        <v>24.8886</v>
      </c>
      <c r="AS120" s="21">
        <v>-1.33484E-2</v>
      </c>
      <c r="AT120" s="21">
        <v>110</v>
      </c>
      <c r="AU120" s="21">
        <v>1.1850000000000001</v>
      </c>
      <c r="AV120">
        <f t="shared" si="20"/>
        <v>16.479506172839503</v>
      </c>
      <c r="AW120">
        <f t="shared" si="21"/>
        <v>19.54584788641975</v>
      </c>
      <c r="AX120" s="9"/>
      <c r="AY120" s="21">
        <v>0.45394899999999999</v>
      </c>
      <c r="AZ120" s="21">
        <v>28.5869</v>
      </c>
      <c r="BA120" s="21">
        <v>-1.3671900000000001E-2</v>
      </c>
      <c r="BB120" s="21">
        <v>110</v>
      </c>
      <c r="BC120" s="21">
        <v>0.45336900000000002</v>
      </c>
      <c r="BD120">
        <f t="shared" si="22"/>
        <v>16.878888888888888</v>
      </c>
      <c r="BE120">
        <f t="shared" si="23"/>
        <v>7.6621547322222217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1.18103</v>
      </c>
      <c r="H121" s="21">
        <v>6.7072099999999999</v>
      </c>
      <c r="I121" s="21">
        <v>-1.32874E-2</v>
      </c>
      <c r="J121" s="21">
        <v>111</v>
      </c>
      <c r="K121" s="21">
        <v>1.18011</v>
      </c>
      <c r="L121">
        <f t="shared" si="12"/>
        <v>16.404197530864195</v>
      </c>
      <c r="M121">
        <f t="shared" si="13"/>
        <v>19.373849409876541</v>
      </c>
      <c r="N121" s="9"/>
      <c r="O121" s="21">
        <v>0.458984</v>
      </c>
      <c r="P121" s="21">
        <v>10.4055</v>
      </c>
      <c r="Q121" s="21">
        <v>-1.37024E-2</v>
      </c>
      <c r="R121" s="21">
        <v>111</v>
      </c>
      <c r="S121" s="21">
        <v>0.45831300000000003</v>
      </c>
      <c r="T121">
        <f t="shared" si="14"/>
        <v>16.916543209876544</v>
      </c>
      <c r="U121">
        <f t="shared" si="15"/>
        <v>7.7644226686419753</v>
      </c>
      <c r="X121" s="9"/>
      <c r="Y121" s="21">
        <v>1.18103</v>
      </c>
      <c r="Z121" s="21">
        <v>15.766400000000001</v>
      </c>
      <c r="AA121" s="21">
        <v>-1.3339200000000001E-2</v>
      </c>
      <c r="AB121" s="21">
        <v>111</v>
      </c>
      <c r="AC121" s="21">
        <v>1.18042</v>
      </c>
      <c r="AD121">
        <f t="shared" si="16"/>
        <v>16.468148148148149</v>
      </c>
      <c r="AE121">
        <f t="shared" si="17"/>
        <v>19.44937700740741</v>
      </c>
      <c r="AF121" s="9"/>
      <c r="AG121" s="21">
        <v>0.458984</v>
      </c>
      <c r="AH121" s="21">
        <v>19.4648</v>
      </c>
      <c r="AI121" s="21">
        <v>-1.3629199999999999E-2</v>
      </c>
      <c r="AJ121" s="21">
        <v>111</v>
      </c>
      <c r="AK121" s="21">
        <v>0.45834399999999997</v>
      </c>
      <c r="AL121">
        <f t="shared" si="18"/>
        <v>16.826172839506171</v>
      </c>
      <c r="AM121">
        <f t="shared" si="19"/>
        <v>7.7229441145679001</v>
      </c>
      <c r="AP121" s="9"/>
      <c r="AQ121" s="21">
        <v>1.18103</v>
      </c>
      <c r="AR121" s="21">
        <v>24.898599999999998</v>
      </c>
      <c r="AS121" s="21">
        <v>-1.33484E-2</v>
      </c>
      <c r="AT121" s="21">
        <v>111</v>
      </c>
      <c r="AU121" s="21">
        <v>1.18042</v>
      </c>
      <c r="AV121">
        <f t="shared" si="20"/>
        <v>16.479506172839503</v>
      </c>
      <c r="AW121">
        <f t="shared" si="21"/>
        <v>19.462791175308638</v>
      </c>
      <c r="AX121" s="9"/>
      <c r="AY121" s="21">
        <v>0.458984</v>
      </c>
      <c r="AZ121" s="21">
        <v>28.597000000000001</v>
      </c>
      <c r="BA121" s="21">
        <v>-1.3665800000000001E-2</v>
      </c>
      <c r="BB121" s="21">
        <v>111</v>
      </c>
      <c r="BC121" s="21">
        <v>0.458374</v>
      </c>
      <c r="BD121">
        <f t="shared" si="22"/>
        <v>16.871358024691357</v>
      </c>
      <c r="BE121">
        <f t="shared" si="23"/>
        <v>7.7436833916049377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1.1759900000000001</v>
      </c>
      <c r="H122" s="21">
        <v>6.7172799999999997</v>
      </c>
      <c r="I122" s="21">
        <v>-1.3296499999999999E-2</v>
      </c>
      <c r="J122" s="21">
        <v>112</v>
      </c>
      <c r="K122" s="21">
        <v>1.17554</v>
      </c>
      <c r="L122">
        <f t="shared" si="12"/>
        <v>16.415432098765429</v>
      </c>
      <c r="M122">
        <f t="shared" si="13"/>
        <v>19.304383993827159</v>
      </c>
      <c r="N122" s="9"/>
      <c r="O122" s="21">
        <v>0.46401999999999999</v>
      </c>
      <c r="P122" s="21">
        <v>10.4156</v>
      </c>
      <c r="Q122" s="21">
        <v>-1.3693200000000001E-2</v>
      </c>
      <c r="R122" s="21">
        <v>112</v>
      </c>
      <c r="S122" s="21">
        <v>0.46340900000000002</v>
      </c>
      <c r="T122">
        <f t="shared" si="14"/>
        <v>16.905185185185186</v>
      </c>
      <c r="U122">
        <f t="shared" si="15"/>
        <v>7.8443440296296298</v>
      </c>
      <c r="X122" s="9"/>
      <c r="Y122" s="21">
        <v>1.1759900000000001</v>
      </c>
      <c r="Z122" s="21">
        <v>15.7765</v>
      </c>
      <c r="AA122" s="21">
        <v>-1.3351399999999999E-2</v>
      </c>
      <c r="AB122" s="21">
        <v>112</v>
      </c>
      <c r="AC122" s="21">
        <v>1.17523</v>
      </c>
      <c r="AD122">
        <f t="shared" si="16"/>
        <v>16.483209876543206</v>
      </c>
      <c r="AE122">
        <f t="shared" si="17"/>
        <v>19.384089982716048</v>
      </c>
      <c r="AF122" s="9"/>
      <c r="AG122" s="21">
        <v>0.46401999999999999</v>
      </c>
      <c r="AH122" s="21">
        <v>19.474900000000002</v>
      </c>
      <c r="AI122" s="21">
        <v>-1.36353E-2</v>
      </c>
      <c r="AJ122" s="21">
        <v>112</v>
      </c>
      <c r="AK122" s="21">
        <v>0.46344000000000002</v>
      </c>
      <c r="AL122">
        <f t="shared" si="18"/>
        <v>16.833703703703701</v>
      </c>
      <c r="AM122">
        <f t="shared" si="19"/>
        <v>7.8111751925925912</v>
      </c>
      <c r="AP122" s="9"/>
      <c r="AQ122" s="21">
        <v>1.1759900000000001</v>
      </c>
      <c r="AR122" s="21">
        <v>24.9087</v>
      </c>
      <c r="AS122" s="21">
        <v>-1.33545E-2</v>
      </c>
      <c r="AT122" s="21">
        <v>112</v>
      </c>
      <c r="AU122" s="21">
        <v>1.17523</v>
      </c>
      <c r="AV122">
        <f t="shared" si="20"/>
        <v>16.487037037037037</v>
      </c>
      <c r="AW122">
        <f t="shared" si="21"/>
        <v>19.388590685185186</v>
      </c>
      <c r="AX122" s="9"/>
      <c r="AY122" s="21">
        <v>0.46401999999999999</v>
      </c>
      <c r="AZ122" s="21">
        <v>28.607099999999999</v>
      </c>
      <c r="BA122" s="21">
        <v>-1.36536E-2</v>
      </c>
      <c r="BB122" s="21">
        <v>112</v>
      </c>
      <c r="BC122" s="21">
        <v>0.46337899999999999</v>
      </c>
      <c r="BD122">
        <f t="shared" si="22"/>
        <v>16.856296296296296</v>
      </c>
      <c r="BE122">
        <f t="shared" si="23"/>
        <v>7.8216586074074073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1.17096</v>
      </c>
      <c r="H123" s="21">
        <v>6.7273500000000004</v>
      </c>
      <c r="I123" s="21">
        <v>-1.3302599999999999E-2</v>
      </c>
      <c r="J123" s="21">
        <v>113</v>
      </c>
      <c r="K123" s="21">
        <v>1.16974</v>
      </c>
      <c r="L123">
        <f t="shared" si="12"/>
        <v>16.422962962962963</v>
      </c>
      <c r="M123">
        <f t="shared" si="13"/>
        <v>19.23063271111111</v>
      </c>
      <c r="N123" s="9"/>
      <c r="O123" s="21">
        <v>0.469055</v>
      </c>
      <c r="P123" s="21">
        <v>10.425700000000001</v>
      </c>
      <c r="Q123" s="21">
        <v>-1.3671900000000001E-2</v>
      </c>
      <c r="R123" s="21">
        <v>113</v>
      </c>
      <c r="S123" s="21">
        <v>0.468414</v>
      </c>
      <c r="T123">
        <f t="shared" si="14"/>
        <v>16.878888888888888</v>
      </c>
      <c r="U123">
        <f t="shared" si="15"/>
        <v>7.9171272277777769</v>
      </c>
      <c r="X123" s="9"/>
      <c r="Y123" s="21">
        <v>1.17096</v>
      </c>
      <c r="Z123" s="21">
        <v>15.7866</v>
      </c>
      <c r="AA123" s="21">
        <v>-1.3372800000000001E-2</v>
      </c>
      <c r="AB123" s="21">
        <v>113</v>
      </c>
      <c r="AC123" s="21">
        <v>1.17065</v>
      </c>
      <c r="AD123">
        <f t="shared" si="16"/>
        <v>16.509629629629632</v>
      </c>
      <c r="AE123">
        <f t="shared" si="17"/>
        <v>19.332115911111114</v>
      </c>
      <c r="AF123" s="9"/>
      <c r="AG123" s="21">
        <v>0.469055</v>
      </c>
      <c r="AH123" s="21">
        <v>19.4849</v>
      </c>
      <c r="AI123" s="21">
        <v>-1.36414E-2</v>
      </c>
      <c r="AJ123" s="21">
        <v>113</v>
      </c>
      <c r="AK123" s="21">
        <v>0.46847499999999997</v>
      </c>
      <c r="AL123">
        <f t="shared" si="18"/>
        <v>16.841234567901232</v>
      </c>
      <c r="AM123">
        <f t="shared" si="19"/>
        <v>7.8994652802469121</v>
      </c>
      <c r="AP123" s="9"/>
      <c r="AQ123" s="21">
        <v>1.17096</v>
      </c>
      <c r="AR123" s="21">
        <v>24.918800000000001</v>
      </c>
      <c r="AS123" s="21">
        <v>-1.3369799999999999E-2</v>
      </c>
      <c r="AT123" s="21">
        <v>113</v>
      </c>
      <c r="AU123" s="21">
        <v>1.17004</v>
      </c>
      <c r="AV123">
        <f t="shared" si="20"/>
        <v>16.505925925925922</v>
      </c>
      <c r="AW123">
        <f t="shared" si="21"/>
        <v>19.327779022222217</v>
      </c>
      <c r="AX123" s="9"/>
      <c r="AY123" s="21">
        <v>0.469055</v>
      </c>
      <c r="AZ123" s="21">
        <v>28.617100000000001</v>
      </c>
      <c r="BA123" s="21">
        <v>-1.36597E-2</v>
      </c>
      <c r="BB123" s="21">
        <v>113</v>
      </c>
      <c r="BC123" s="21">
        <v>0.46847499999999997</v>
      </c>
      <c r="BD123">
        <f t="shared" si="22"/>
        <v>16.863827160493827</v>
      </c>
      <c r="BE123">
        <f t="shared" si="23"/>
        <v>7.9100624487654319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1.1659200000000001</v>
      </c>
      <c r="H124" s="21">
        <v>6.7374200000000002</v>
      </c>
      <c r="I124" s="21">
        <v>-1.33057E-2</v>
      </c>
      <c r="J124" s="21">
        <v>114</v>
      </c>
      <c r="K124" s="21">
        <v>1.16486</v>
      </c>
      <c r="L124">
        <f t="shared" si="12"/>
        <v>16.42679012345679</v>
      </c>
      <c r="M124">
        <f t="shared" si="13"/>
        <v>19.152323140740741</v>
      </c>
      <c r="N124" s="9"/>
      <c r="O124" s="21">
        <v>0.47409099999999998</v>
      </c>
      <c r="P124" s="21">
        <v>10.4358</v>
      </c>
      <c r="Q124" s="21">
        <v>-1.36688E-2</v>
      </c>
      <c r="R124" s="21">
        <v>114</v>
      </c>
      <c r="S124" s="21">
        <v>0.47348000000000001</v>
      </c>
      <c r="T124">
        <f t="shared" si="14"/>
        <v>16.87506172839506</v>
      </c>
      <c r="U124">
        <f t="shared" si="15"/>
        <v>8.0003148898765417</v>
      </c>
      <c r="X124" s="9"/>
      <c r="Y124" s="21">
        <v>1.1659200000000001</v>
      </c>
      <c r="Z124" s="21">
        <v>15.7966</v>
      </c>
      <c r="AA124" s="21">
        <v>-1.3378900000000001E-2</v>
      </c>
      <c r="AB124" s="21">
        <v>114</v>
      </c>
      <c r="AC124" s="21">
        <v>1.16577</v>
      </c>
      <c r="AD124">
        <f t="shared" si="16"/>
        <v>16.517160493827159</v>
      </c>
      <c r="AE124">
        <f t="shared" si="17"/>
        <v>19.257687762962963</v>
      </c>
      <c r="AF124" s="9"/>
      <c r="AG124" s="21">
        <v>0.47409099999999998</v>
      </c>
      <c r="AH124" s="21">
        <v>19.495000000000001</v>
      </c>
      <c r="AI124" s="21">
        <v>-1.36597E-2</v>
      </c>
      <c r="AJ124" s="21">
        <v>114</v>
      </c>
      <c r="AK124" s="21">
        <v>0.47344999999999998</v>
      </c>
      <c r="AL124">
        <f t="shared" si="18"/>
        <v>16.863827160493827</v>
      </c>
      <c r="AM124">
        <f t="shared" si="19"/>
        <v>7.9949886823456788</v>
      </c>
      <c r="AP124" s="9"/>
      <c r="AQ124" s="21">
        <v>1.1659200000000001</v>
      </c>
      <c r="AR124" s="21">
        <v>24.928899999999999</v>
      </c>
      <c r="AS124" s="21">
        <v>-1.3378900000000001E-2</v>
      </c>
      <c r="AT124" s="21">
        <v>114</v>
      </c>
      <c r="AU124" s="21">
        <v>1.16486</v>
      </c>
      <c r="AV124">
        <f t="shared" si="20"/>
        <v>16.517160493827159</v>
      </c>
      <c r="AW124">
        <f t="shared" si="21"/>
        <v>19.257687762962963</v>
      </c>
      <c r="AX124" s="9"/>
      <c r="AY124" s="21">
        <v>0.47409099999999998</v>
      </c>
      <c r="AZ124" s="21">
        <v>28.627199999999998</v>
      </c>
      <c r="BA124" s="21">
        <v>-1.36688E-2</v>
      </c>
      <c r="BB124" s="21">
        <v>114</v>
      </c>
      <c r="BC124" s="21">
        <v>0.47360200000000002</v>
      </c>
      <c r="BD124">
        <f t="shared" si="22"/>
        <v>16.87506172839506</v>
      </c>
      <c r="BE124">
        <f t="shared" si="23"/>
        <v>8.0003148898765417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1.16089</v>
      </c>
      <c r="H125" s="21">
        <v>6.74749</v>
      </c>
      <c r="I125" s="21">
        <v>-1.3330099999999999E-2</v>
      </c>
      <c r="J125" s="21">
        <v>115</v>
      </c>
      <c r="K125" s="21">
        <v>1.16028</v>
      </c>
      <c r="L125">
        <f t="shared" si="12"/>
        <v>16.456913580246912</v>
      </c>
      <c r="M125">
        <f t="shared" si="13"/>
        <v>19.104666406172836</v>
      </c>
      <c r="N125" s="9"/>
      <c r="O125" s="21">
        <v>0.479126</v>
      </c>
      <c r="P125" s="21">
        <v>10.4458</v>
      </c>
      <c r="Q125" s="21">
        <v>-1.3671900000000001E-2</v>
      </c>
      <c r="R125" s="21">
        <v>115</v>
      </c>
      <c r="S125" s="21">
        <v>0.47848499999999999</v>
      </c>
      <c r="T125">
        <f t="shared" si="14"/>
        <v>16.878888888888888</v>
      </c>
      <c r="U125">
        <f t="shared" si="15"/>
        <v>8.0871145177777777</v>
      </c>
      <c r="X125" s="9"/>
      <c r="Y125" s="21">
        <v>1.16089</v>
      </c>
      <c r="Z125" s="21">
        <v>15.806699999999999</v>
      </c>
      <c r="AA125" s="21">
        <v>-1.33759E-2</v>
      </c>
      <c r="AB125" s="21">
        <v>115</v>
      </c>
      <c r="AC125" s="21">
        <v>1.1599699999999999</v>
      </c>
      <c r="AD125">
        <f t="shared" si="16"/>
        <v>16.513456790123456</v>
      </c>
      <c r="AE125">
        <f t="shared" si="17"/>
        <v>19.170306853086419</v>
      </c>
      <c r="AF125" s="9"/>
      <c r="AG125" s="21">
        <v>0.479126</v>
      </c>
      <c r="AH125" s="21">
        <v>19.505099999999999</v>
      </c>
      <c r="AI125" s="21">
        <v>-1.3684099999999999E-2</v>
      </c>
      <c r="AJ125" s="21">
        <v>115</v>
      </c>
      <c r="AK125" s="21">
        <v>0.47845500000000002</v>
      </c>
      <c r="AL125">
        <f t="shared" si="18"/>
        <v>16.893950617283949</v>
      </c>
      <c r="AM125">
        <f t="shared" si="19"/>
        <v>8.0943309834567891</v>
      </c>
      <c r="AP125" s="9"/>
      <c r="AQ125" s="21">
        <v>1.16089</v>
      </c>
      <c r="AR125" s="21">
        <v>24.9389</v>
      </c>
      <c r="AS125" s="21">
        <v>-1.3384999999999999E-2</v>
      </c>
      <c r="AT125" s="21">
        <v>115</v>
      </c>
      <c r="AU125" s="21">
        <v>1.1599699999999999</v>
      </c>
      <c r="AV125">
        <f t="shared" si="20"/>
        <v>16.52469135802469</v>
      </c>
      <c r="AW125">
        <f t="shared" si="21"/>
        <v>19.183348950617283</v>
      </c>
      <c r="AX125" s="9"/>
      <c r="AY125" s="21">
        <v>0.479126</v>
      </c>
      <c r="AZ125" s="21">
        <v>28.6373</v>
      </c>
      <c r="BA125" s="21">
        <v>-1.36749E-2</v>
      </c>
      <c r="BB125" s="21">
        <v>115</v>
      </c>
      <c r="BC125" s="21">
        <v>0.478516</v>
      </c>
      <c r="BD125">
        <f t="shared" si="22"/>
        <v>16.882592592592591</v>
      </c>
      <c r="BE125">
        <f t="shared" si="23"/>
        <v>8.088889058518518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1.15585</v>
      </c>
      <c r="H126" s="21">
        <v>6.7575700000000003</v>
      </c>
      <c r="I126" s="21">
        <v>-1.33636E-2</v>
      </c>
      <c r="J126" s="21">
        <v>116</v>
      </c>
      <c r="K126" s="21">
        <v>1.1556999999999999</v>
      </c>
      <c r="L126">
        <f t="shared" si="12"/>
        <v>16.498271604938271</v>
      </c>
      <c r="M126">
        <f t="shared" si="13"/>
        <v>19.0695272345679</v>
      </c>
      <c r="N126" s="9"/>
      <c r="O126" s="21">
        <v>0.48416100000000001</v>
      </c>
      <c r="P126" s="21">
        <v>10.4559</v>
      </c>
      <c r="Q126" s="21">
        <v>-1.3681E-2</v>
      </c>
      <c r="R126" s="21">
        <v>116</v>
      </c>
      <c r="S126" s="21">
        <v>0.48364299999999999</v>
      </c>
      <c r="T126">
        <f t="shared" si="14"/>
        <v>16.890123456790121</v>
      </c>
      <c r="U126">
        <f t="shared" si="15"/>
        <v>8.1775390629629623</v>
      </c>
      <c r="X126" s="9"/>
      <c r="Y126" s="21">
        <v>1.15585</v>
      </c>
      <c r="Z126" s="21">
        <v>15.816800000000001</v>
      </c>
      <c r="AA126" s="21">
        <v>-1.33881E-2</v>
      </c>
      <c r="AB126" s="21">
        <v>116</v>
      </c>
      <c r="AC126" s="21">
        <v>1.1554</v>
      </c>
      <c r="AD126">
        <f t="shared" si="16"/>
        <v>16.528518518518517</v>
      </c>
      <c r="AE126">
        <f t="shared" si="17"/>
        <v>19.10448812962963</v>
      </c>
      <c r="AF126" s="9"/>
      <c r="AG126" s="21">
        <v>0.48416100000000001</v>
      </c>
      <c r="AH126" s="21">
        <v>19.5152</v>
      </c>
      <c r="AI126" s="21">
        <v>-1.36902E-2</v>
      </c>
      <c r="AJ126" s="21">
        <v>116</v>
      </c>
      <c r="AK126" s="21">
        <v>0.48355100000000001</v>
      </c>
      <c r="AL126">
        <f t="shared" si="18"/>
        <v>16.901481481481479</v>
      </c>
      <c r="AM126">
        <f t="shared" si="19"/>
        <v>8.1830381755555539</v>
      </c>
      <c r="AP126" s="9"/>
      <c r="AQ126" s="21">
        <v>1.15585</v>
      </c>
      <c r="AR126" s="21">
        <v>24.949000000000002</v>
      </c>
      <c r="AS126" s="21">
        <v>-1.33942E-2</v>
      </c>
      <c r="AT126" s="21">
        <v>116</v>
      </c>
      <c r="AU126" s="21">
        <v>1.1554</v>
      </c>
      <c r="AV126">
        <f t="shared" si="20"/>
        <v>16.536049382716048</v>
      </c>
      <c r="AW126">
        <f t="shared" si="21"/>
        <v>19.113192679012343</v>
      </c>
      <c r="AX126" s="9"/>
      <c r="AY126" s="21">
        <v>0.48416100000000001</v>
      </c>
      <c r="AZ126" s="21">
        <v>28.647300000000001</v>
      </c>
      <c r="BA126" s="21">
        <v>-1.36749E-2</v>
      </c>
      <c r="BB126" s="21">
        <v>116</v>
      </c>
      <c r="BC126" s="21">
        <v>0.48352099999999998</v>
      </c>
      <c r="BD126">
        <f t="shared" si="22"/>
        <v>16.882592592592591</v>
      </c>
      <c r="BE126">
        <f t="shared" si="23"/>
        <v>8.1738929122222217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1.15082</v>
      </c>
      <c r="H127" s="21">
        <v>6.7676400000000001</v>
      </c>
      <c r="I127" s="21">
        <v>-1.3382E-2</v>
      </c>
      <c r="J127" s="21">
        <v>117</v>
      </c>
      <c r="K127" s="21">
        <v>1.15021</v>
      </c>
      <c r="L127">
        <f t="shared" si="12"/>
        <v>16.520987654320987</v>
      </c>
      <c r="M127">
        <f t="shared" si="13"/>
        <v>19.012683012345676</v>
      </c>
      <c r="N127" s="9"/>
      <c r="O127" s="21">
        <v>0.48919699999999999</v>
      </c>
      <c r="P127" s="21">
        <v>10.465999999999999</v>
      </c>
      <c r="Q127" s="21">
        <v>-1.3687100000000001E-2</v>
      </c>
      <c r="R127" s="21">
        <v>117</v>
      </c>
      <c r="S127" s="21">
        <v>0.48849500000000001</v>
      </c>
      <c r="T127">
        <f t="shared" si="14"/>
        <v>16.897654320987655</v>
      </c>
      <c r="U127">
        <f t="shared" si="15"/>
        <v>8.2662818008641974</v>
      </c>
      <c r="X127" s="9"/>
      <c r="Y127" s="21">
        <v>1.15082</v>
      </c>
      <c r="Z127" s="21">
        <v>15.8268</v>
      </c>
      <c r="AA127" s="21">
        <v>-1.33942E-2</v>
      </c>
      <c r="AB127" s="21">
        <v>117</v>
      </c>
      <c r="AC127" s="21">
        <v>1.1496</v>
      </c>
      <c r="AD127">
        <f t="shared" si="16"/>
        <v>16.536049382716048</v>
      </c>
      <c r="AE127">
        <f t="shared" si="17"/>
        <v>19.030016350617281</v>
      </c>
      <c r="AF127" s="9"/>
      <c r="AG127" s="21">
        <v>0.48919699999999999</v>
      </c>
      <c r="AH127" s="21">
        <v>19.525200000000002</v>
      </c>
      <c r="AI127" s="21">
        <v>-1.3693200000000001E-2</v>
      </c>
      <c r="AJ127" s="21">
        <v>117</v>
      </c>
      <c r="AK127" s="21">
        <v>0.488678</v>
      </c>
      <c r="AL127">
        <f t="shared" si="18"/>
        <v>16.905185185185186</v>
      </c>
      <c r="AM127">
        <f t="shared" si="19"/>
        <v>8.2699658770370377</v>
      </c>
      <c r="AP127" s="9"/>
      <c r="AQ127" s="21">
        <v>1.15082</v>
      </c>
      <c r="AR127" s="21">
        <v>24.959099999999999</v>
      </c>
      <c r="AS127" s="21">
        <v>-1.3406400000000001E-2</v>
      </c>
      <c r="AT127" s="21">
        <v>117</v>
      </c>
      <c r="AU127" s="21">
        <v>1.15021</v>
      </c>
      <c r="AV127">
        <f t="shared" si="20"/>
        <v>16.551111111111108</v>
      </c>
      <c r="AW127">
        <f t="shared" si="21"/>
        <v>19.047349688888886</v>
      </c>
      <c r="AX127" s="9"/>
      <c r="AY127" s="21">
        <v>0.48919699999999999</v>
      </c>
      <c r="AZ127" s="21">
        <v>28.657399999999999</v>
      </c>
      <c r="BA127" s="21">
        <v>-1.3671900000000001E-2</v>
      </c>
      <c r="BB127" s="21">
        <v>117</v>
      </c>
      <c r="BC127" s="21">
        <v>0.48858600000000002</v>
      </c>
      <c r="BD127">
        <f t="shared" si="22"/>
        <v>16.878888888888888</v>
      </c>
      <c r="BE127">
        <f t="shared" si="23"/>
        <v>8.2571018077777776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1.14578</v>
      </c>
      <c r="H128" s="21">
        <v>6.7777099999999999</v>
      </c>
      <c r="I128" s="21">
        <v>-1.33911E-2</v>
      </c>
      <c r="J128" s="21">
        <v>118</v>
      </c>
      <c r="K128" s="21">
        <v>1.1450199999999999</v>
      </c>
      <c r="L128">
        <f t="shared" si="12"/>
        <v>16.53222222222222</v>
      </c>
      <c r="M128">
        <f t="shared" si="13"/>
        <v>18.942289577777775</v>
      </c>
      <c r="N128" s="9"/>
      <c r="O128" s="21">
        <v>0.494232</v>
      </c>
      <c r="P128" s="21">
        <v>10.476000000000001</v>
      </c>
      <c r="Q128" s="21">
        <v>-1.36902E-2</v>
      </c>
      <c r="R128" s="21">
        <v>118</v>
      </c>
      <c r="S128" s="21">
        <v>0.49356100000000003</v>
      </c>
      <c r="T128">
        <f t="shared" si="14"/>
        <v>16.901481481481479</v>
      </c>
      <c r="U128">
        <f t="shared" si="15"/>
        <v>8.3532529955555539</v>
      </c>
      <c r="X128" s="9"/>
      <c r="Y128" s="21">
        <v>1.14578</v>
      </c>
      <c r="Z128" s="21">
        <v>15.8369</v>
      </c>
      <c r="AA128" s="21">
        <v>-1.33942E-2</v>
      </c>
      <c r="AB128" s="21">
        <v>118</v>
      </c>
      <c r="AC128" s="21">
        <v>1.1447099999999999</v>
      </c>
      <c r="AD128">
        <f t="shared" si="16"/>
        <v>16.536049382716048</v>
      </c>
      <c r="AE128">
        <f t="shared" si="17"/>
        <v>18.946674661728395</v>
      </c>
      <c r="AF128" s="9"/>
      <c r="AG128" s="21">
        <v>0.494232</v>
      </c>
      <c r="AH128" s="21">
        <v>19.535299999999999</v>
      </c>
      <c r="AI128" s="21">
        <v>-1.37054E-2</v>
      </c>
      <c r="AJ128" s="21">
        <v>118</v>
      </c>
      <c r="AK128" s="21">
        <v>0.49356100000000003</v>
      </c>
      <c r="AL128">
        <f t="shared" si="18"/>
        <v>16.920246913580247</v>
      </c>
      <c r="AM128">
        <f t="shared" si="19"/>
        <v>8.3625274725925927</v>
      </c>
      <c r="AP128" s="9"/>
      <c r="AQ128" s="21">
        <v>1.14578</v>
      </c>
      <c r="AR128" s="21">
        <v>24.969100000000001</v>
      </c>
      <c r="AS128" s="21">
        <v>-1.34155E-2</v>
      </c>
      <c r="AT128" s="21">
        <v>118</v>
      </c>
      <c r="AU128" s="21">
        <v>1.1444099999999999</v>
      </c>
      <c r="AV128">
        <f t="shared" si="20"/>
        <v>16.562345679012346</v>
      </c>
      <c r="AW128">
        <f t="shared" si="21"/>
        <v>18.976804432098767</v>
      </c>
      <c r="AX128" s="9"/>
      <c r="AY128" s="21">
        <v>0.494232</v>
      </c>
      <c r="AZ128" s="21">
        <v>28.6675</v>
      </c>
      <c r="BA128" s="21">
        <v>-1.3671900000000001E-2</v>
      </c>
      <c r="BB128" s="21">
        <v>118</v>
      </c>
      <c r="BC128" s="21">
        <v>0.49362200000000001</v>
      </c>
      <c r="BD128">
        <f t="shared" si="22"/>
        <v>16.878888888888888</v>
      </c>
      <c r="BE128">
        <f t="shared" si="23"/>
        <v>8.342087013333332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1.1407499999999999</v>
      </c>
      <c r="H129" s="21">
        <v>6.7877799999999997</v>
      </c>
      <c r="I129" s="21">
        <v>-1.3406400000000001E-2</v>
      </c>
      <c r="J129" s="21">
        <v>119</v>
      </c>
      <c r="K129" s="21">
        <v>1.1398299999999999</v>
      </c>
      <c r="L129">
        <f t="shared" si="12"/>
        <v>16.551111111111108</v>
      </c>
      <c r="M129">
        <f t="shared" si="13"/>
        <v>18.880679999999995</v>
      </c>
      <c r="N129" s="9"/>
      <c r="O129" s="21">
        <v>0.49926799999999999</v>
      </c>
      <c r="P129" s="21">
        <v>10.4861</v>
      </c>
      <c r="Q129" s="21">
        <v>-1.3699299999999999E-2</v>
      </c>
      <c r="R129" s="21">
        <v>119</v>
      </c>
      <c r="S129" s="21">
        <v>0.49862699999999999</v>
      </c>
      <c r="T129">
        <f t="shared" si="14"/>
        <v>16.912716049382716</v>
      </c>
      <c r="U129">
        <f t="shared" si="15"/>
        <v>8.4439779165432096</v>
      </c>
      <c r="X129" s="9"/>
      <c r="Y129" s="21">
        <v>1.1407499999999999</v>
      </c>
      <c r="Z129" s="21">
        <v>15.847</v>
      </c>
      <c r="AA129" s="21">
        <v>-1.33972E-2</v>
      </c>
      <c r="AB129" s="21">
        <v>119</v>
      </c>
      <c r="AC129" s="21">
        <v>1.1401399999999999</v>
      </c>
      <c r="AD129">
        <f t="shared" si="16"/>
        <v>16.539753086419751</v>
      </c>
      <c r="AE129">
        <f t="shared" si="17"/>
        <v>18.867723333333331</v>
      </c>
      <c r="AF129" s="9"/>
      <c r="AG129" s="21">
        <v>0.49926799999999999</v>
      </c>
      <c r="AH129" s="21">
        <v>19.545400000000001</v>
      </c>
      <c r="AI129" s="21">
        <v>-1.3717699999999999E-2</v>
      </c>
      <c r="AJ129" s="21">
        <v>119</v>
      </c>
      <c r="AK129" s="21">
        <v>0.49853500000000001</v>
      </c>
      <c r="AL129">
        <f t="shared" si="18"/>
        <v>16.935432098765432</v>
      </c>
      <c r="AM129">
        <f t="shared" si="19"/>
        <v>8.4553193130864202</v>
      </c>
      <c r="AP129" s="9"/>
      <c r="AQ129" s="21">
        <v>1.1407499999999999</v>
      </c>
      <c r="AR129" s="21">
        <v>24.979199999999999</v>
      </c>
      <c r="AS129" s="21">
        <v>-1.3412500000000001E-2</v>
      </c>
      <c r="AT129" s="21">
        <v>119</v>
      </c>
      <c r="AU129" s="21">
        <v>1.1398299999999999</v>
      </c>
      <c r="AV129">
        <f t="shared" si="20"/>
        <v>16.558641975308642</v>
      </c>
      <c r="AW129">
        <f t="shared" si="21"/>
        <v>18.889270833333331</v>
      </c>
      <c r="AX129" s="9"/>
      <c r="AY129" s="21">
        <v>0.49926799999999999</v>
      </c>
      <c r="AZ129" s="21">
        <v>28.677600000000002</v>
      </c>
      <c r="BA129" s="21">
        <v>-1.3681E-2</v>
      </c>
      <c r="BB129" s="21">
        <v>119</v>
      </c>
      <c r="BC129" s="21">
        <v>0.49865700000000002</v>
      </c>
      <c r="BD129">
        <f t="shared" si="22"/>
        <v>16.890123456790121</v>
      </c>
      <c r="BE129">
        <f t="shared" si="23"/>
        <v>8.4326981580246905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1.13571</v>
      </c>
      <c r="H130" s="21">
        <v>6.7978500000000004</v>
      </c>
      <c r="I130" s="21">
        <v>-1.33972E-2</v>
      </c>
      <c r="J130" s="21">
        <v>120</v>
      </c>
      <c r="K130" s="21">
        <v>1.1346400000000001</v>
      </c>
      <c r="L130">
        <f t="shared" si="12"/>
        <v>16.539753086419751</v>
      </c>
      <c r="M130">
        <f t="shared" si="13"/>
        <v>18.784362977777775</v>
      </c>
      <c r="N130" s="9"/>
      <c r="O130" s="21">
        <v>0.50430299999999995</v>
      </c>
      <c r="P130" s="21">
        <v>10.4962</v>
      </c>
      <c r="Q130" s="21">
        <v>-1.37054E-2</v>
      </c>
      <c r="R130" s="21">
        <v>120</v>
      </c>
      <c r="S130" s="21">
        <v>0.50369299999999995</v>
      </c>
      <c r="T130">
        <f t="shared" si="14"/>
        <v>16.920246913580247</v>
      </c>
      <c r="U130">
        <f t="shared" si="15"/>
        <v>8.5329312792592589</v>
      </c>
      <c r="X130" s="9"/>
      <c r="Y130" s="21">
        <v>1.13571</v>
      </c>
      <c r="Z130" s="21">
        <v>15.857100000000001</v>
      </c>
      <c r="AA130" s="21">
        <v>-1.34003E-2</v>
      </c>
      <c r="AB130" s="21">
        <v>120</v>
      </c>
      <c r="AC130" s="21">
        <v>1.1349499999999999</v>
      </c>
      <c r="AD130">
        <f t="shared" si="16"/>
        <v>16.543580246913578</v>
      </c>
      <c r="AE130">
        <f t="shared" si="17"/>
        <v>18.78870952222222</v>
      </c>
      <c r="AF130" s="9"/>
      <c r="AG130" s="21">
        <v>0.50430299999999995</v>
      </c>
      <c r="AH130" s="21">
        <v>19.555399999999999</v>
      </c>
      <c r="AI130" s="21">
        <v>-1.37146E-2</v>
      </c>
      <c r="AJ130" s="21">
        <v>120</v>
      </c>
      <c r="AK130" s="21">
        <v>0.50369299999999995</v>
      </c>
      <c r="AL130">
        <f t="shared" si="18"/>
        <v>16.931604938271605</v>
      </c>
      <c r="AM130">
        <f t="shared" si="19"/>
        <v>8.5386591651851838</v>
      </c>
      <c r="AP130" s="9"/>
      <c r="AQ130" s="21">
        <v>1.13571</v>
      </c>
      <c r="AR130" s="21">
        <v>24.9893</v>
      </c>
      <c r="AS130" s="21">
        <v>-1.3421600000000001E-2</v>
      </c>
      <c r="AT130" s="21">
        <v>120</v>
      </c>
      <c r="AU130" s="21">
        <v>1.1349499999999999</v>
      </c>
      <c r="AV130">
        <f t="shared" si="20"/>
        <v>16.569876543209876</v>
      </c>
      <c r="AW130">
        <f t="shared" si="21"/>
        <v>18.818574488888888</v>
      </c>
      <c r="AX130" s="9"/>
      <c r="AY130" s="21">
        <v>0.50430299999999995</v>
      </c>
      <c r="AZ130" s="21">
        <v>28.6876</v>
      </c>
      <c r="BA130" s="21">
        <v>-1.3687100000000001E-2</v>
      </c>
      <c r="BB130" s="21">
        <v>120</v>
      </c>
      <c r="BC130" s="21">
        <v>0.50363199999999997</v>
      </c>
      <c r="BD130">
        <f t="shared" si="22"/>
        <v>16.897654320987655</v>
      </c>
      <c r="BE130">
        <f t="shared" si="23"/>
        <v>8.5215377670370369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1.1306799999999999</v>
      </c>
      <c r="H131" s="21">
        <v>6.8079200000000002</v>
      </c>
      <c r="I131" s="21">
        <v>-1.33972E-2</v>
      </c>
      <c r="J131" s="21">
        <v>121</v>
      </c>
      <c r="K131" s="21">
        <v>1.1297600000000001</v>
      </c>
      <c r="L131">
        <f t="shared" si="12"/>
        <v>16.539753086419751</v>
      </c>
      <c r="M131">
        <f t="shared" si="13"/>
        <v>18.701168019753084</v>
      </c>
      <c r="N131" s="9"/>
      <c r="O131" s="21">
        <v>0.50933799999999996</v>
      </c>
      <c r="P131" s="21">
        <v>10.5063</v>
      </c>
      <c r="Q131" s="21">
        <v>-1.37115E-2</v>
      </c>
      <c r="R131" s="21">
        <v>121</v>
      </c>
      <c r="S131" s="21">
        <v>0.50869799999999998</v>
      </c>
      <c r="T131">
        <f t="shared" si="14"/>
        <v>16.927777777777777</v>
      </c>
      <c r="U131">
        <f t="shared" si="15"/>
        <v>8.6219604777777761</v>
      </c>
      <c r="X131" s="9"/>
      <c r="Y131" s="21">
        <v>1.1306799999999999</v>
      </c>
      <c r="Z131" s="21">
        <v>15.867100000000001</v>
      </c>
      <c r="AA131" s="21">
        <v>-1.3406400000000001E-2</v>
      </c>
      <c r="AB131" s="21">
        <v>121</v>
      </c>
      <c r="AC131" s="21">
        <v>1.1297600000000001</v>
      </c>
      <c r="AD131">
        <f t="shared" si="16"/>
        <v>16.551111111111108</v>
      </c>
      <c r="AE131">
        <f t="shared" si="17"/>
        <v>18.714010311111107</v>
      </c>
      <c r="AF131" s="9"/>
      <c r="AG131" s="21">
        <v>0.50933799999999996</v>
      </c>
      <c r="AH131" s="21">
        <v>19.5655</v>
      </c>
      <c r="AI131" s="21">
        <v>-1.37024E-2</v>
      </c>
      <c r="AJ131" s="21">
        <v>121</v>
      </c>
      <c r="AK131" s="21">
        <v>0.508606</v>
      </c>
      <c r="AL131">
        <f t="shared" si="18"/>
        <v>16.916543209876544</v>
      </c>
      <c r="AM131">
        <f t="shared" si="19"/>
        <v>8.6162382854320985</v>
      </c>
      <c r="AP131" s="9"/>
      <c r="AQ131" s="21">
        <v>1.1306799999999999</v>
      </c>
      <c r="AR131" s="21">
        <v>24.999400000000001</v>
      </c>
      <c r="AS131" s="21">
        <v>-1.3433799999999999E-2</v>
      </c>
      <c r="AT131" s="21">
        <v>121</v>
      </c>
      <c r="AU131" s="21">
        <v>1.1294599999999999</v>
      </c>
      <c r="AV131">
        <f t="shared" si="20"/>
        <v>16.584938271604937</v>
      </c>
      <c r="AW131">
        <f t="shared" si="21"/>
        <v>18.75225800493827</v>
      </c>
      <c r="AX131" s="9"/>
      <c r="AY131" s="21">
        <v>0.50933799999999996</v>
      </c>
      <c r="AZ131" s="21">
        <v>28.697700000000001</v>
      </c>
      <c r="BA131" s="21">
        <v>-1.3684099999999999E-2</v>
      </c>
      <c r="BB131" s="21">
        <v>121</v>
      </c>
      <c r="BC131" s="21">
        <v>0.50869799999999998</v>
      </c>
      <c r="BD131">
        <f t="shared" si="22"/>
        <v>16.893950617283949</v>
      </c>
      <c r="BE131">
        <f t="shared" si="23"/>
        <v>8.6047310195061719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1.12564</v>
      </c>
      <c r="H132" s="21">
        <v>6.81799</v>
      </c>
      <c r="I132" s="21">
        <v>-1.34003E-2</v>
      </c>
      <c r="J132" s="21">
        <v>122</v>
      </c>
      <c r="K132" s="21">
        <v>1.1248800000000001</v>
      </c>
      <c r="L132">
        <f t="shared" si="12"/>
        <v>16.543580246913578</v>
      </c>
      <c r="M132">
        <f t="shared" si="13"/>
        <v>18.622115669135798</v>
      </c>
      <c r="N132" s="9"/>
      <c r="O132" s="21">
        <v>0.514374</v>
      </c>
      <c r="P132" s="21">
        <v>10.516299999999999</v>
      </c>
      <c r="Q132" s="21">
        <v>-1.37115E-2</v>
      </c>
      <c r="R132" s="21">
        <v>122</v>
      </c>
      <c r="S132" s="21">
        <v>0.51364100000000001</v>
      </c>
      <c r="T132">
        <f t="shared" si="14"/>
        <v>16.927777777777777</v>
      </c>
      <c r="U132">
        <f t="shared" si="15"/>
        <v>8.7072087666666658</v>
      </c>
      <c r="X132" s="9"/>
      <c r="Y132" s="21">
        <v>1.12564</v>
      </c>
      <c r="Z132" s="21">
        <v>15.8772</v>
      </c>
      <c r="AA132" s="21">
        <v>-1.3424699999999999E-2</v>
      </c>
      <c r="AB132" s="21">
        <v>122</v>
      </c>
      <c r="AC132" s="21">
        <v>1.1245700000000001</v>
      </c>
      <c r="AD132">
        <f t="shared" si="16"/>
        <v>16.5737037037037</v>
      </c>
      <c r="AE132">
        <f t="shared" si="17"/>
        <v>18.656023837037033</v>
      </c>
      <c r="AF132" s="9"/>
      <c r="AG132" s="21">
        <v>0.514374</v>
      </c>
      <c r="AH132" s="21">
        <v>19.575600000000001</v>
      </c>
      <c r="AI132" s="21">
        <v>-1.36963E-2</v>
      </c>
      <c r="AJ132" s="21">
        <v>122</v>
      </c>
      <c r="AK132" s="21">
        <v>0.51370199999999999</v>
      </c>
      <c r="AL132">
        <f t="shared" si="18"/>
        <v>16.90901234567901</v>
      </c>
      <c r="AM132">
        <f t="shared" si="19"/>
        <v>8.6975563162962946</v>
      </c>
      <c r="AP132" s="9"/>
      <c r="AQ132" s="21">
        <v>1.12564</v>
      </c>
      <c r="AR132" s="21">
        <v>25.009399999999999</v>
      </c>
      <c r="AS132" s="21">
        <v>-1.3446E-2</v>
      </c>
      <c r="AT132" s="21">
        <v>122</v>
      </c>
      <c r="AU132" s="21">
        <v>1.1245700000000001</v>
      </c>
      <c r="AV132">
        <f t="shared" si="20"/>
        <v>16.599999999999998</v>
      </c>
      <c r="AW132">
        <f t="shared" si="21"/>
        <v>18.685623999999997</v>
      </c>
      <c r="AX132" s="9"/>
      <c r="AY132" s="21">
        <v>0.514374</v>
      </c>
      <c r="AZ132" s="21">
        <v>28.707799999999999</v>
      </c>
      <c r="BA132" s="21">
        <v>-1.3684099999999999E-2</v>
      </c>
      <c r="BB132" s="21">
        <v>122</v>
      </c>
      <c r="BC132" s="21">
        <v>0.51370199999999999</v>
      </c>
      <c r="BD132">
        <f t="shared" si="22"/>
        <v>16.893950617283949</v>
      </c>
      <c r="BE132">
        <f t="shared" si="23"/>
        <v>8.6898089548148132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1.1206100000000001</v>
      </c>
      <c r="H133" s="21">
        <v>6.8280599999999998</v>
      </c>
      <c r="I133" s="21">
        <v>-1.3406400000000001E-2</v>
      </c>
      <c r="J133" s="21">
        <v>123</v>
      </c>
      <c r="K133" s="21">
        <v>1.1196900000000001</v>
      </c>
      <c r="L133">
        <f t="shared" si="12"/>
        <v>16.551111111111108</v>
      </c>
      <c r="M133">
        <f t="shared" si="13"/>
        <v>18.547340622222222</v>
      </c>
      <c r="N133" s="9"/>
      <c r="O133" s="21">
        <v>0.51940900000000001</v>
      </c>
      <c r="P133" s="21">
        <v>10.526400000000001</v>
      </c>
      <c r="Q133" s="21">
        <v>-1.37054E-2</v>
      </c>
      <c r="R133" s="21">
        <v>123</v>
      </c>
      <c r="S133" s="21">
        <v>0.51870700000000003</v>
      </c>
      <c r="T133">
        <f t="shared" si="14"/>
        <v>16.920246913580247</v>
      </c>
      <c r="U133">
        <f t="shared" si="15"/>
        <v>8.7885285291358031</v>
      </c>
      <c r="X133" s="9"/>
      <c r="Y133" s="21">
        <v>1.1206100000000001</v>
      </c>
      <c r="Z133" s="21">
        <v>15.8873</v>
      </c>
      <c r="AA133" s="21">
        <v>-1.3424699999999999E-2</v>
      </c>
      <c r="AB133" s="21">
        <v>123</v>
      </c>
      <c r="AC133" s="21">
        <v>1.1196900000000001</v>
      </c>
      <c r="AD133">
        <f t="shared" si="16"/>
        <v>16.5737037037037</v>
      </c>
      <c r="AE133">
        <f t="shared" si="17"/>
        <v>18.572658107407406</v>
      </c>
      <c r="AF133" s="9"/>
      <c r="AG133" s="21">
        <v>0.51940900000000001</v>
      </c>
      <c r="AH133" s="21">
        <v>19.585599999999999</v>
      </c>
      <c r="AI133" s="21">
        <v>-1.3699299999999999E-2</v>
      </c>
      <c r="AJ133" s="21">
        <v>123</v>
      </c>
      <c r="AK133" s="21">
        <v>0.51867700000000005</v>
      </c>
      <c r="AL133">
        <f t="shared" si="18"/>
        <v>16.912716049382716</v>
      </c>
      <c r="AM133">
        <f t="shared" si="19"/>
        <v>8.7846169304938275</v>
      </c>
      <c r="AP133" s="9"/>
      <c r="AQ133" s="21">
        <v>1.1206100000000001</v>
      </c>
      <c r="AR133" s="21">
        <v>25.019500000000001</v>
      </c>
      <c r="AS133" s="21">
        <v>-1.34552E-2</v>
      </c>
      <c r="AT133" s="21">
        <v>123</v>
      </c>
      <c r="AU133" s="21">
        <v>1.1196900000000001</v>
      </c>
      <c r="AV133">
        <f t="shared" si="20"/>
        <v>16.611358024691356</v>
      </c>
      <c r="AW133">
        <f t="shared" si="21"/>
        <v>18.61485391604938</v>
      </c>
      <c r="AX133" s="9"/>
      <c r="AY133" s="21">
        <v>0.51940900000000001</v>
      </c>
      <c r="AZ133" s="21">
        <v>28.7178</v>
      </c>
      <c r="BA133" s="21">
        <v>-1.36902E-2</v>
      </c>
      <c r="BB133" s="21">
        <v>123</v>
      </c>
      <c r="BC133" s="21">
        <v>0.51873800000000003</v>
      </c>
      <c r="BD133">
        <f t="shared" si="22"/>
        <v>16.901481481481479</v>
      </c>
      <c r="BE133">
        <f t="shared" si="23"/>
        <v>8.7787815948148129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1.11557</v>
      </c>
      <c r="H134" s="21">
        <v>6.8381299999999996</v>
      </c>
      <c r="I134" s="21">
        <v>-1.34033E-2</v>
      </c>
      <c r="J134" s="21">
        <v>124</v>
      </c>
      <c r="K134" s="21">
        <v>1.1142000000000001</v>
      </c>
      <c r="L134">
        <f t="shared" si="12"/>
        <v>16.547283950617281</v>
      </c>
      <c r="M134">
        <f t="shared" si="13"/>
        <v>18.459653556790119</v>
      </c>
      <c r="N134" s="9"/>
      <c r="O134" s="21">
        <v>0.52444500000000005</v>
      </c>
      <c r="P134" s="21">
        <v>10.5365</v>
      </c>
      <c r="Q134" s="21">
        <v>-1.37115E-2</v>
      </c>
      <c r="R134" s="21">
        <v>124</v>
      </c>
      <c r="S134" s="21">
        <v>0.52368199999999998</v>
      </c>
      <c r="T134">
        <f t="shared" si="14"/>
        <v>16.927777777777777</v>
      </c>
      <c r="U134">
        <f t="shared" si="15"/>
        <v>8.8776884166666665</v>
      </c>
      <c r="X134" s="9"/>
      <c r="Y134" s="21">
        <v>1.11557</v>
      </c>
      <c r="Z134" s="21">
        <v>15.8973</v>
      </c>
      <c r="AA134" s="21">
        <v>-1.3443E-2</v>
      </c>
      <c r="AB134" s="21">
        <v>124</v>
      </c>
      <c r="AC134" s="21">
        <v>1.1145</v>
      </c>
      <c r="AD134">
        <f t="shared" si="16"/>
        <v>16.596296296296295</v>
      </c>
      <c r="AE134">
        <f t="shared" si="17"/>
        <v>18.514330259259257</v>
      </c>
      <c r="AF134" s="9"/>
      <c r="AG134" s="21">
        <v>0.52444500000000005</v>
      </c>
      <c r="AH134" s="21">
        <v>19.595700000000001</v>
      </c>
      <c r="AI134" s="21">
        <v>-1.36902E-2</v>
      </c>
      <c r="AJ134" s="21">
        <v>124</v>
      </c>
      <c r="AK134" s="21">
        <v>0.52386500000000003</v>
      </c>
      <c r="AL134">
        <f t="shared" si="18"/>
        <v>16.901481481481479</v>
      </c>
      <c r="AM134">
        <f t="shared" si="19"/>
        <v>8.8638974555555556</v>
      </c>
      <c r="AP134" s="9"/>
      <c r="AQ134" s="21">
        <v>1.11557</v>
      </c>
      <c r="AR134" s="21">
        <v>25.029599999999999</v>
      </c>
      <c r="AS134" s="21">
        <v>-1.34552E-2</v>
      </c>
      <c r="AT134" s="21">
        <v>124</v>
      </c>
      <c r="AU134" s="21">
        <v>1.1148100000000001</v>
      </c>
      <c r="AV134">
        <f t="shared" si="20"/>
        <v>16.611358024691356</v>
      </c>
      <c r="AW134">
        <f t="shared" si="21"/>
        <v>18.531132671604936</v>
      </c>
      <c r="AX134" s="9"/>
      <c r="AY134" s="21">
        <v>0.52444500000000005</v>
      </c>
      <c r="AZ134" s="21">
        <v>28.727900000000002</v>
      </c>
      <c r="BA134" s="21">
        <v>-1.36902E-2</v>
      </c>
      <c r="BB134" s="21">
        <v>124</v>
      </c>
      <c r="BC134" s="21">
        <v>0.52386500000000003</v>
      </c>
      <c r="BD134">
        <f t="shared" si="22"/>
        <v>16.901481481481479</v>
      </c>
      <c r="BE134">
        <f t="shared" si="23"/>
        <v>8.8638974555555556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1.11053</v>
      </c>
      <c r="H135" s="21">
        <v>6.8482000000000003</v>
      </c>
      <c r="I135" s="21">
        <v>-1.33942E-2</v>
      </c>
      <c r="J135" s="21">
        <v>125</v>
      </c>
      <c r="K135" s="21">
        <v>1.1096200000000001</v>
      </c>
      <c r="L135">
        <f t="shared" si="12"/>
        <v>16.536049382716048</v>
      </c>
      <c r="M135">
        <f t="shared" si="13"/>
        <v>18.363778920987652</v>
      </c>
      <c r="N135" s="9"/>
      <c r="O135" s="21">
        <v>0.52947999999999995</v>
      </c>
      <c r="P135" s="21">
        <v>10.5465</v>
      </c>
      <c r="Q135" s="21">
        <v>-1.37054E-2</v>
      </c>
      <c r="R135" s="21">
        <v>125</v>
      </c>
      <c r="S135" s="21">
        <v>0.52883899999999995</v>
      </c>
      <c r="T135">
        <f t="shared" si="14"/>
        <v>16.920246913580247</v>
      </c>
      <c r="U135">
        <f t="shared" si="15"/>
        <v>8.9589323358024675</v>
      </c>
      <c r="X135" s="9"/>
      <c r="Y135" s="21">
        <v>1.11053</v>
      </c>
      <c r="Z135" s="21">
        <v>15.907400000000001</v>
      </c>
      <c r="AA135" s="21">
        <v>-1.34491E-2</v>
      </c>
      <c r="AB135" s="21">
        <v>125</v>
      </c>
      <c r="AC135" s="21">
        <v>1.10992</v>
      </c>
      <c r="AD135">
        <f t="shared" si="16"/>
        <v>16.603827160493829</v>
      </c>
      <c r="AE135">
        <f t="shared" si="17"/>
        <v>18.439048176543213</v>
      </c>
      <c r="AF135" s="9"/>
      <c r="AG135" s="21">
        <v>0.52947999999999995</v>
      </c>
      <c r="AH135" s="21">
        <v>19.605799999999999</v>
      </c>
      <c r="AI135" s="21">
        <v>-1.36688E-2</v>
      </c>
      <c r="AJ135" s="21">
        <v>125</v>
      </c>
      <c r="AK135" s="21">
        <v>0.52886999999999995</v>
      </c>
      <c r="AL135">
        <f t="shared" si="18"/>
        <v>16.87506172839506</v>
      </c>
      <c r="AM135">
        <f t="shared" si="19"/>
        <v>8.9350076839506158</v>
      </c>
      <c r="AP135" s="9"/>
      <c r="AQ135" s="21">
        <v>1.11053</v>
      </c>
      <c r="AR135" s="21">
        <v>25.0396</v>
      </c>
      <c r="AS135" s="21">
        <v>-1.3458299999999999E-2</v>
      </c>
      <c r="AT135" s="21">
        <v>125</v>
      </c>
      <c r="AU135" s="21">
        <v>1.10992</v>
      </c>
      <c r="AV135">
        <f t="shared" si="20"/>
        <v>16.615185185185183</v>
      </c>
      <c r="AW135">
        <f t="shared" si="21"/>
        <v>18.451661603703702</v>
      </c>
      <c r="AX135" s="9"/>
      <c r="AY135" s="21">
        <v>0.52947999999999995</v>
      </c>
      <c r="AZ135" s="21">
        <v>28.738</v>
      </c>
      <c r="BA135" s="21">
        <v>-1.37054E-2</v>
      </c>
      <c r="BB135" s="21">
        <v>125</v>
      </c>
      <c r="BC135" s="21">
        <v>0.52886999999999995</v>
      </c>
      <c r="BD135">
        <f t="shared" si="22"/>
        <v>16.920246913580247</v>
      </c>
      <c r="BE135">
        <f t="shared" si="23"/>
        <v>8.9589323358024675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1.1054999999999999</v>
      </c>
      <c r="H136" s="21">
        <v>6.8582799999999997</v>
      </c>
      <c r="I136" s="21">
        <v>-1.33911E-2</v>
      </c>
      <c r="J136" s="21">
        <v>126</v>
      </c>
      <c r="K136" s="21">
        <v>1.1047400000000001</v>
      </c>
      <c r="L136">
        <f t="shared" si="12"/>
        <v>16.53222222222222</v>
      </c>
      <c r="M136">
        <f t="shared" si="13"/>
        <v>18.276371666666662</v>
      </c>
      <c r="N136" s="9"/>
      <c r="O136" s="21">
        <v>0.53451499999999996</v>
      </c>
      <c r="P136" s="21">
        <v>10.5566</v>
      </c>
      <c r="Q136" s="21">
        <v>-1.36963E-2</v>
      </c>
      <c r="R136" s="21">
        <v>126</v>
      </c>
      <c r="S136" s="21">
        <v>0.53381299999999998</v>
      </c>
      <c r="T136">
        <f t="shared" si="14"/>
        <v>16.90901234567901</v>
      </c>
      <c r="U136">
        <f t="shared" si="15"/>
        <v>9.0381207339506151</v>
      </c>
      <c r="X136" s="9"/>
      <c r="Y136" s="21">
        <v>1.1054999999999999</v>
      </c>
      <c r="Z136" s="21">
        <v>15.9175</v>
      </c>
      <c r="AA136" s="21">
        <v>-1.34552E-2</v>
      </c>
      <c r="AB136" s="21">
        <v>126</v>
      </c>
      <c r="AC136" s="21">
        <v>1.1041300000000001</v>
      </c>
      <c r="AD136">
        <f t="shared" si="16"/>
        <v>16.611358024691356</v>
      </c>
      <c r="AE136">
        <f t="shared" si="17"/>
        <v>18.363856296296291</v>
      </c>
      <c r="AF136" s="9"/>
      <c r="AG136" s="21">
        <v>0.53451499999999996</v>
      </c>
      <c r="AH136" s="21">
        <v>19.6159</v>
      </c>
      <c r="AI136" s="21">
        <v>-1.36597E-2</v>
      </c>
      <c r="AJ136" s="21">
        <v>126</v>
      </c>
      <c r="AK136" s="21">
        <v>0.53369100000000003</v>
      </c>
      <c r="AL136">
        <f t="shared" si="18"/>
        <v>16.863827160493827</v>
      </c>
      <c r="AM136">
        <f t="shared" si="19"/>
        <v>9.0139685746913578</v>
      </c>
      <c r="AP136" s="9"/>
      <c r="AQ136" s="21">
        <v>1.1054999999999999</v>
      </c>
      <c r="AR136" s="21">
        <v>25.049700000000001</v>
      </c>
      <c r="AS136" s="21">
        <v>-1.34521E-2</v>
      </c>
      <c r="AT136" s="21">
        <v>126</v>
      </c>
      <c r="AU136" s="21">
        <v>1.1047400000000001</v>
      </c>
      <c r="AV136">
        <f t="shared" si="20"/>
        <v>16.607530864197528</v>
      </c>
      <c r="AW136">
        <f t="shared" si="21"/>
        <v>18.359625370370367</v>
      </c>
      <c r="AX136" s="9"/>
      <c r="AY136" s="21">
        <v>0.53451499999999996</v>
      </c>
      <c r="AZ136" s="21">
        <v>28.748000000000001</v>
      </c>
      <c r="BA136" s="21">
        <v>-1.3720700000000001E-2</v>
      </c>
      <c r="BB136" s="21">
        <v>126</v>
      </c>
      <c r="BC136" s="21">
        <v>0.53384399999999999</v>
      </c>
      <c r="BD136">
        <f t="shared" si="22"/>
        <v>16.939135802469135</v>
      </c>
      <c r="BE136">
        <f t="shared" si="23"/>
        <v>9.0542221734567896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1.10046</v>
      </c>
      <c r="H137" s="21">
        <v>6.8683500000000004</v>
      </c>
      <c r="I137" s="21">
        <v>-1.33881E-2</v>
      </c>
      <c r="J137" s="21">
        <v>127</v>
      </c>
      <c r="K137" s="21">
        <v>1.09985</v>
      </c>
      <c r="L137">
        <f t="shared" si="12"/>
        <v>16.528518518518517</v>
      </c>
      <c r="M137">
        <f t="shared" si="13"/>
        <v>18.188973488888887</v>
      </c>
      <c r="N137" s="9"/>
      <c r="O137" s="21">
        <v>0.539551</v>
      </c>
      <c r="P137" s="21">
        <v>10.566700000000001</v>
      </c>
      <c r="Q137" s="21">
        <v>-1.3693200000000001E-2</v>
      </c>
      <c r="R137" s="21">
        <v>127</v>
      </c>
      <c r="S137" s="21">
        <v>0.53891</v>
      </c>
      <c r="T137">
        <f t="shared" si="14"/>
        <v>16.905185185185186</v>
      </c>
      <c r="U137">
        <f t="shared" si="15"/>
        <v>9.1212095718518515</v>
      </c>
      <c r="X137" s="9"/>
      <c r="Y137" s="21">
        <v>1.10046</v>
      </c>
      <c r="Z137" s="21">
        <v>15.9276</v>
      </c>
      <c r="AA137" s="21">
        <v>-1.34521E-2</v>
      </c>
      <c r="AB137" s="21">
        <v>127</v>
      </c>
      <c r="AC137" s="21">
        <v>1.09924</v>
      </c>
      <c r="AD137">
        <f t="shared" si="16"/>
        <v>16.607530864197528</v>
      </c>
      <c r="AE137">
        <f t="shared" si="17"/>
        <v>18.275923414814812</v>
      </c>
      <c r="AF137" s="9"/>
      <c r="AG137" s="21">
        <v>0.539551</v>
      </c>
      <c r="AH137" s="21">
        <v>19.625900000000001</v>
      </c>
      <c r="AI137" s="21">
        <v>-1.36536E-2</v>
      </c>
      <c r="AJ137" s="21">
        <v>127</v>
      </c>
      <c r="AK137" s="21">
        <v>0.53878800000000004</v>
      </c>
      <c r="AL137">
        <f t="shared" si="18"/>
        <v>16.856296296296296</v>
      </c>
      <c r="AM137">
        <f t="shared" si="19"/>
        <v>9.0948315229629628</v>
      </c>
      <c r="AP137" s="9"/>
      <c r="AQ137" s="21">
        <v>1.10046</v>
      </c>
      <c r="AR137" s="21">
        <v>25.059799999999999</v>
      </c>
      <c r="AS137" s="21">
        <v>-1.3458299999999999E-2</v>
      </c>
      <c r="AT137" s="21">
        <v>127</v>
      </c>
      <c r="AU137" s="21">
        <v>1.09955</v>
      </c>
      <c r="AV137">
        <f t="shared" si="20"/>
        <v>16.615185185185183</v>
      </c>
      <c r="AW137">
        <f t="shared" si="21"/>
        <v>18.284346688888885</v>
      </c>
      <c r="AX137" s="9"/>
      <c r="AY137" s="21">
        <v>0.539551</v>
      </c>
      <c r="AZ137" s="21">
        <v>28.758099999999999</v>
      </c>
      <c r="BA137" s="21">
        <v>-1.3720700000000001E-2</v>
      </c>
      <c r="BB137" s="21">
        <v>127</v>
      </c>
      <c r="BC137" s="21">
        <v>0.53875700000000004</v>
      </c>
      <c r="BD137">
        <f t="shared" si="22"/>
        <v>16.939135802469135</v>
      </c>
      <c r="BE137">
        <f t="shared" si="23"/>
        <v>9.1395276613580236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1.0954299999999999</v>
      </c>
      <c r="H138" s="21">
        <v>6.8784200000000002</v>
      </c>
      <c r="I138" s="21">
        <v>-1.34033E-2</v>
      </c>
      <c r="J138" s="21">
        <v>128</v>
      </c>
      <c r="K138" s="21">
        <v>1.09497</v>
      </c>
      <c r="L138">
        <f t="shared" si="12"/>
        <v>16.547283950617281</v>
      </c>
      <c r="M138">
        <f t="shared" si="13"/>
        <v>18.126391258024686</v>
      </c>
      <c r="N138" s="9"/>
      <c r="O138" s="21">
        <v>0.54458600000000001</v>
      </c>
      <c r="P138" s="21">
        <v>10.5768</v>
      </c>
      <c r="Q138" s="21">
        <v>-1.36963E-2</v>
      </c>
      <c r="R138" s="21">
        <v>128</v>
      </c>
      <c r="S138" s="21">
        <v>0.54394500000000001</v>
      </c>
      <c r="T138">
        <f t="shared" si="14"/>
        <v>16.90901234567901</v>
      </c>
      <c r="U138">
        <f t="shared" si="15"/>
        <v>9.2084113972839496</v>
      </c>
      <c r="X138" s="9"/>
      <c r="Y138" s="21">
        <v>1.0954299999999999</v>
      </c>
      <c r="Z138" s="21">
        <v>15.9376</v>
      </c>
      <c r="AA138" s="21">
        <v>-1.34552E-2</v>
      </c>
      <c r="AB138" s="21">
        <v>128</v>
      </c>
      <c r="AC138" s="21">
        <v>1.09436</v>
      </c>
      <c r="AD138">
        <f t="shared" si="16"/>
        <v>16.611358024691356</v>
      </c>
      <c r="AE138">
        <f t="shared" si="17"/>
        <v>18.196579920987649</v>
      </c>
      <c r="AF138" s="9"/>
      <c r="AG138" s="21">
        <v>0.54458600000000001</v>
      </c>
      <c r="AH138" s="21">
        <v>19.635999999999999</v>
      </c>
      <c r="AI138" s="21">
        <v>-1.36414E-2</v>
      </c>
      <c r="AJ138" s="21">
        <v>128</v>
      </c>
      <c r="AK138" s="21">
        <v>0.54388400000000003</v>
      </c>
      <c r="AL138">
        <f t="shared" si="18"/>
        <v>16.841234567901232</v>
      </c>
      <c r="AM138">
        <f t="shared" si="19"/>
        <v>9.1715005683950608</v>
      </c>
      <c r="AP138" s="9"/>
      <c r="AQ138" s="21">
        <v>1.0954299999999999</v>
      </c>
      <c r="AR138" s="21">
        <v>25.069900000000001</v>
      </c>
      <c r="AS138" s="21">
        <v>-1.3461300000000001E-2</v>
      </c>
      <c r="AT138" s="21">
        <v>128</v>
      </c>
      <c r="AU138" s="21">
        <v>1.09436</v>
      </c>
      <c r="AV138">
        <f t="shared" si="20"/>
        <v>16.618888888888886</v>
      </c>
      <c r="AW138">
        <f t="shared" si="21"/>
        <v>18.204829455555551</v>
      </c>
      <c r="AX138" s="9"/>
      <c r="AY138" s="21">
        <v>0.54458600000000001</v>
      </c>
      <c r="AZ138" s="21">
        <v>28.7682</v>
      </c>
      <c r="BA138" s="21">
        <v>-1.37146E-2</v>
      </c>
      <c r="BB138" s="21">
        <v>128</v>
      </c>
      <c r="BC138" s="21">
        <v>0.54394500000000001</v>
      </c>
      <c r="BD138">
        <f t="shared" si="22"/>
        <v>16.931604938271605</v>
      </c>
      <c r="BE138">
        <f t="shared" si="23"/>
        <v>9.220715006913581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1.09039</v>
      </c>
      <c r="H139" s="21">
        <v>6.88849</v>
      </c>
      <c r="I139" s="21">
        <v>-1.34155E-2</v>
      </c>
      <c r="J139" s="21">
        <v>129</v>
      </c>
      <c r="K139" s="21">
        <v>1.08948</v>
      </c>
      <c r="L139">
        <f t="shared" si="12"/>
        <v>16.562345679012346</v>
      </c>
      <c r="M139">
        <f t="shared" si="13"/>
        <v>18.059416104938272</v>
      </c>
      <c r="N139" s="9"/>
      <c r="O139" s="21">
        <v>0.54962200000000005</v>
      </c>
      <c r="P139" s="21">
        <v>10.5868</v>
      </c>
      <c r="Q139" s="21">
        <v>-1.3693200000000001E-2</v>
      </c>
      <c r="R139" s="21">
        <v>129</v>
      </c>
      <c r="S139" s="21">
        <v>0.549072</v>
      </c>
      <c r="T139">
        <f t="shared" si="14"/>
        <v>16.905185185185186</v>
      </c>
      <c r="U139">
        <f t="shared" si="15"/>
        <v>9.2914616918518522</v>
      </c>
      <c r="X139" s="9"/>
      <c r="Y139" s="21">
        <v>1.09039</v>
      </c>
      <c r="Z139" s="21">
        <v>15.947699999999999</v>
      </c>
      <c r="AA139" s="21">
        <v>-1.34644E-2</v>
      </c>
      <c r="AB139" s="21">
        <v>129</v>
      </c>
      <c r="AC139" s="21">
        <v>1.08948</v>
      </c>
      <c r="AD139">
        <f t="shared" si="16"/>
        <v>16.622716049382717</v>
      </c>
      <c r="AE139">
        <f t="shared" si="17"/>
        <v>18.125243353086422</v>
      </c>
      <c r="AF139" s="9"/>
      <c r="AG139" s="21">
        <v>0.54962200000000005</v>
      </c>
      <c r="AH139" s="21">
        <v>19.646100000000001</v>
      </c>
      <c r="AI139" s="21">
        <v>-1.3632200000000001E-2</v>
      </c>
      <c r="AJ139" s="21">
        <v>129</v>
      </c>
      <c r="AK139" s="21">
        <v>0.54901100000000003</v>
      </c>
      <c r="AL139">
        <f t="shared" si="18"/>
        <v>16.829876543209878</v>
      </c>
      <c r="AM139">
        <f t="shared" si="19"/>
        <v>9.2500704054320995</v>
      </c>
      <c r="AP139" s="9"/>
      <c r="AQ139" s="21">
        <v>1.09039</v>
      </c>
      <c r="AR139" s="21">
        <v>25.079899999999999</v>
      </c>
      <c r="AS139" s="21">
        <v>-1.34705E-2</v>
      </c>
      <c r="AT139" s="21">
        <v>129</v>
      </c>
      <c r="AU139" s="21">
        <v>1.08917</v>
      </c>
      <c r="AV139">
        <f t="shared" si="20"/>
        <v>16.630246913580244</v>
      </c>
      <c r="AW139">
        <f t="shared" si="21"/>
        <v>18.133454932098761</v>
      </c>
      <c r="AX139" s="9"/>
      <c r="AY139" s="21">
        <v>0.54962200000000005</v>
      </c>
      <c r="AZ139" s="21">
        <v>28.778300000000002</v>
      </c>
      <c r="BA139" s="21">
        <v>-1.37054E-2</v>
      </c>
      <c r="BB139" s="21">
        <v>129</v>
      </c>
      <c r="BC139" s="21">
        <v>0.54904200000000003</v>
      </c>
      <c r="BD139">
        <f t="shared" si="22"/>
        <v>16.920246913580247</v>
      </c>
      <c r="BE139">
        <f t="shared" si="23"/>
        <v>9.2997399491358035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1.0853600000000001</v>
      </c>
      <c r="H140" s="21">
        <v>6.8985599999999998</v>
      </c>
      <c r="I140" s="21">
        <v>-1.34155E-2</v>
      </c>
      <c r="J140" s="21">
        <v>130</v>
      </c>
      <c r="K140" s="21">
        <v>1.08521</v>
      </c>
      <c r="L140">
        <f t="shared" ref="L140:L203" si="24">-I140/$F$2*1000</f>
        <v>16.562345679012346</v>
      </c>
      <c r="M140">
        <f t="shared" ref="M140:M203" si="25">L140*G140</f>
        <v>17.976107506172841</v>
      </c>
      <c r="N140" s="9"/>
      <c r="O140" s="21">
        <v>0.55465699999999996</v>
      </c>
      <c r="P140" s="21">
        <v>10.5969</v>
      </c>
      <c r="Q140" s="21">
        <v>-1.3693200000000001E-2</v>
      </c>
      <c r="R140" s="21">
        <v>130</v>
      </c>
      <c r="S140" s="21">
        <v>0.55407700000000004</v>
      </c>
      <c r="T140">
        <f t="shared" ref="T140:T203" si="26">-Q140/$F$2*1000</f>
        <v>16.905185185185186</v>
      </c>
      <c r="U140">
        <f t="shared" ref="U140:U203" si="27">T140*O140</f>
        <v>9.3765792992592587</v>
      </c>
      <c r="X140" s="9"/>
      <c r="Y140" s="21">
        <v>1.0853600000000001</v>
      </c>
      <c r="Z140" s="21">
        <v>15.957800000000001</v>
      </c>
      <c r="AA140" s="21">
        <v>-1.34705E-2</v>
      </c>
      <c r="AB140" s="21">
        <v>130</v>
      </c>
      <c r="AC140" s="21">
        <v>1.0839799999999999</v>
      </c>
      <c r="AD140">
        <f t="shared" ref="AD140:AD203" si="28">-AA140/$F$2*1000</f>
        <v>16.630246913580244</v>
      </c>
      <c r="AE140">
        <f t="shared" ref="AE140:AE203" si="29">AD140*Y140</f>
        <v>18.049804790123456</v>
      </c>
      <c r="AF140" s="9"/>
      <c r="AG140" s="21">
        <v>0.55465699999999996</v>
      </c>
      <c r="AH140" s="21">
        <v>19.656099999999999</v>
      </c>
      <c r="AI140" s="21">
        <v>-1.3632200000000001E-2</v>
      </c>
      <c r="AJ140" s="21">
        <v>130</v>
      </c>
      <c r="AK140" s="21">
        <v>0.553925</v>
      </c>
      <c r="AL140">
        <f t="shared" ref="AL140:AL203" si="30">-AI140/$F$2*1000</f>
        <v>16.829876543209878</v>
      </c>
      <c r="AM140">
        <f t="shared" ref="AM140:AM203" si="31">AL140*AG140</f>
        <v>9.3348088338271609</v>
      </c>
      <c r="AP140" s="9"/>
      <c r="AQ140" s="21">
        <v>1.0853600000000001</v>
      </c>
      <c r="AR140" s="21">
        <v>25.09</v>
      </c>
      <c r="AS140" s="21">
        <v>-1.34796E-2</v>
      </c>
      <c r="AT140" s="21">
        <v>130</v>
      </c>
      <c r="AU140" s="21">
        <v>1.0845899999999999</v>
      </c>
      <c r="AV140">
        <f t="shared" ref="AV140:AV203" si="32">-AS140/$F$2*1000</f>
        <v>16.641481481481478</v>
      </c>
      <c r="AW140">
        <f t="shared" ref="AW140:AW203" si="33">AV140*AQ140</f>
        <v>18.06199834074074</v>
      </c>
      <c r="AX140" s="9"/>
      <c r="AY140" s="21">
        <v>0.55465699999999996</v>
      </c>
      <c r="AZ140" s="21">
        <v>28.7883</v>
      </c>
      <c r="BA140" s="21">
        <v>-1.37054E-2</v>
      </c>
      <c r="BB140" s="21">
        <v>130</v>
      </c>
      <c r="BC140" s="21">
        <v>0.55410800000000004</v>
      </c>
      <c r="BD140">
        <f t="shared" ref="BD140:BD203" si="34">-BA140/$F$2*1000</f>
        <v>16.920246913580247</v>
      </c>
      <c r="BE140">
        <f t="shared" ref="BE140:BE203" si="35">BD140*AY140</f>
        <v>9.3849333923456779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1.0803199999999999</v>
      </c>
      <c r="H141" s="21">
        <v>6.9086299999999996</v>
      </c>
      <c r="I141" s="21">
        <v>-1.3421600000000001E-2</v>
      </c>
      <c r="J141" s="21">
        <v>131</v>
      </c>
      <c r="K141" s="21">
        <v>1.0788</v>
      </c>
      <c r="L141">
        <f t="shared" si="24"/>
        <v>16.569876543209876</v>
      </c>
      <c r="M141">
        <f t="shared" si="25"/>
        <v>17.900769027160493</v>
      </c>
      <c r="N141" s="9"/>
      <c r="O141" s="21">
        <v>0.55969199999999997</v>
      </c>
      <c r="P141" s="21">
        <v>10.606999999999999</v>
      </c>
      <c r="Q141" s="21">
        <v>-1.37024E-2</v>
      </c>
      <c r="R141" s="21">
        <v>131</v>
      </c>
      <c r="S141" s="21">
        <v>0.55908199999999997</v>
      </c>
      <c r="T141">
        <f t="shared" si="26"/>
        <v>16.916543209876544</v>
      </c>
      <c r="U141">
        <f t="shared" si="27"/>
        <v>9.4680539022222217</v>
      </c>
      <c r="X141" s="9"/>
      <c r="Y141" s="21">
        <v>1.0803199999999999</v>
      </c>
      <c r="Z141" s="21">
        <v>15.9678</v>
      </c>
      <c r="AA141" s="21">
        <v>-1.34644E-2</v>
      </c>
      <c r="AB141" s="21">
        <v>131</v>
      </c>
      <c r="AC141" s="21">
        <v>1.07941</v>
      </c>
      <c r="AD141">
        <f t="shared" si="28"/>
        <v>16.622716049382717</v>
      </c>
      <c r="AE141">
        <f t="shared" si="29"/>
        <v>17.957852602469135</v>
      </c>
      <c r="AF141" s="9"/>
      <c r="AG141" s="21">
        <v>0.55969199999999997</v>
      </c>
      <c r="AH141" s="21">
        <v>19.6662</v>
      </c>
      <c r="AI141" s="21">
        <v>-1.3629199999999999E-2</v>
      </c>
      <c r="AJ141" s="21">
        <v>131</v>
      </c>
      <c r="AK141" s="21">
        <v>0.55902099999999999</v>
      </c>
      <c r="AL141">
        <f t="shared" si="30"/>
        <v>16.826172839506171</v>
      </c>
      <c r="AM141">
        <f t="shared" si="31"/>
        <v>9.417474328888888</v>
      </c>
      <c r="AP141" s="9"/>
      <c r="AQ141" s="21">
        <v>1.0803199999999999</v>
      </c>
      <c r="AR141" s="21">
        <v>25.100100000000001</v>
      </c>
      <c r="AS141" s="21">
        <v>-1.3494900000000001E-2</v>
      </c>
      <c r="AT141" s="21">
        <v>131</v>
      </c>
      <c r="AU141" s="21">
        <v>1.0790999999999999</v>
      </c>
      <c r="AV141">
        <f t="shared" si="32"/>
        <v>16.660370370370369</v>
      </c>
      <c r="AW141">
        <f t="shared" si="33"/>
        <v>17.998531318518516</v>
      </c>
      <c r="AX141" s="9"/>
      <c r="AY141" s="21">
        <v>0.55969199999999997</v>
      </c>
      <c r="AZ141" s="21">
        <v>28.798400000000001</v>
      </c>
      <c r="BA141" s="21">
        <v>-1.36963E-2</v>
      </c>
      <c r="BB141" s="21">
        <v>131</v>
      </c>
      <c r="BC141" s="21">
        <v>0.55905199999999999</v>
      </c>
      <c r="BD141">
        <f t="shared" si="34"/>
        <v>16.90901234567901</v>
      </c>
      <c r="BE141">
        <f t="shared" si="35"/>
        <v>9.4638389377777763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1.0752900000000001</v>
      </c>
      <c r="H142" s="21">
        <v>6.9187000000000003</v>
      </c>
      <c r="I142" s="21">
        <v>-1.3433799999999999E-2</v>
      </c>
      <c r="J142" s="21">
        <v>132</v>
      </c>
      <c r="K142" s="21">
        <v>1.0745199999999999</v>
      </c>
      <c r="L142">
        <f t="shared" si="24"/>
        <v>16.584938271604937</v>
      </c>
      <c r="M142">
        <f t="shared" si="25"/>
        <v>17.833618274074073</v>
      </c>
      <c r="N142" s="9"/>
      <c r="O142" s="21">
        <v>0.56472800000000001</v>
      </c>
      <c r="P142" s="21">
        <v>10.617000000000001</v>
      </c>
      <c r="Q142" s="21">
        <v>-1.37024E-2</v>
      </c>
      <c r="R142" s="21">
        <v>132</v>
      </c>
      <c r="S142" s="21">
        <v>0.56399500000000002</v>
      </c>
      <c r="T142">
        <f t="shared" si="26"/>
        <v>16.916543209876544</v>
      </c>
      <c r="U142">
        <f t="shared" si="27"/>
        <v>9.5532456138271602</v>
      </c>
      <c r="X142" s="9"/>
      <c r="Y142" s="21">
        <v>1.0752900000000001</v>
      </c>
      <c r="Z142" s="21">
        <v>15.9779</v>
      </c>
      <c r="AA142" s="21">
        <v>-1.3458299999999999E-2</v>
      </c>
      <c r="AB142" s="21">
        <v>132</v>
      </c>
      <c r="AC142" s="21">
        <v>1.07483</v>
      </c>
      <c r="AD142">
        <f t="shared" si="28"/>
        <v>16.615185185185183</v>
      </c>
      <c r="AE142">
        <f t="shared" si="29"/>
        <v>17.866142477777778</v>
      </c>
      <c r="AF142" s="9"/>
      <c r="AG142" s="21">
        <v>0.56472800000000001</v>
      </c>
      <c r="AH142" s="21">
        <v>19.676300000000001</v>
      </c>
      <c r="AI142" s="21">
        <v>-1.36261E-2</v>
      </c>
      <c r="AJ142" s="21">
        <v>132</v>
      </c>
      <c r="AK142" s="21">
        <v>0.56414799999999998</v>
      </c>
      <c r="AL142">
        <f t="shared" si="30"/>
        <v>16.822345679012344</v>
      </c>
      <c r="AM142">
        <f t="shared" si="31"/>
        <v>9.5000496306172835</v>
      </c>
      <c r="AP142" s="9"/>
      <c r="AQ142" s="21">
        <v>1.0752900000000001</v>
      </c>
      <c r="AR142" s="21">
        <v>25.110099999999999</v>
      </c>
      <c r="AS142" s="21">
        <v>-1.3507099999999999E-2</v>
      </c>
      <c r="AT142" s="21">
        <v>132</v>
      </c>
      <c r="AU142" s="21">
        <v>1.0745199999999999</v>
      </c>
      <c r="AV142">
        <f t="shared" si="32"/>
        <v>16.67543209876543</v>
      </c>
      <c r="AW142">
        <f t="shared" si="33"/>
        <v>17.93092538148148</v>
      </c>
      <c r="AX142" s="9"/>
      <c r="AY142" s="21">
        <v>0.56472800000000001</v>
      </c>
      <c r="AZ142" s="21">
        <v>28.808499999999999</v>
      </c>
      <c r="BA142" s="21">
        <v>-1.3687100000000001E-2</v>
      </c>
      <c r="BB142" s="21">
        <v>132</v>
      </c>
      <c r="BC142" s="21">
        <v>0.56411699999999998</v>
      </c>
      <c r="BD142">
        <f t="shared" si="34"/>
        <v>16.897654320987655</v>
      </c>
      <c r="BE142">
        <f t="shared" si="35"/>
        <v>9.5425785293827161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1.0702499999999999</v>
      </c>
      <c r="H143" s="21">
        <v>6.9287700000000001</v>
      </c>
      <c r="I143" s="21">
        <v>-1.3446E-2</v>
      </c>
      <c r="J143" s="21">
        <v>133</v>
      </c>
      <c r="K143" s="21">
        <v>1.06934</v>
      </c>
      <c r="L143">
        <f t="shared" si="24"/>
        <v>16.599999999999998</v>
      </c>
      <c r="M143">
        <f t="shared" si="25"/>
        <v>17.766149999999996</v>
      </c>
      <c r="N143" s="9"/>
      <c r="O143" s="21">
        <v>0.56976300000000002</v>
      </c>
      <c r="P143" s="21">
        <v>10.6271</v>
      </c>
      <c r="Q143" s="21">
        <v>-1.37054E-2</v>
      </c>
      <c r="R143" s="21">
        <v>133</v>
      </c>
      <c r="S143" s="21">
        <v>0.56899999999999995</v>
      </c>
      <c r="T143">
        <f t="shared" si="26"/>
        <v>16.920246913580247</v>
      </c>
      <c r="U143">
        <f t="shared" si="27"/>
        <v>9.6405306422222221</v>
      </c>
      <c r="X143" s="9"/>
      <c r="Y143" s="21">
        <v>1.0702499999999999</v>
      </c>
      <c r="Z143" s="21">
        <v>15.988</v>
      </c>
      <c r="AA143" s="21">
        <v>-1.34552E-2</v>
      </c>
      <c r="AB143" s="21">
        <v>133</v>
      </c>
      <c r="AC143" s="21">
        <v>1.06934</v>
      </c>
      <c r="AD143">
        <f t="shared" si="28"/>
        <v>16.611358024691356</v>
      </c>
      <c r="AE143">
        <f t="shared" si="29"/>
        <v>17.77830592592592</v>
      </c>
      <c r="AF143" s="9"/>
      <c r="AG143" s="21">
        <v>0.56976300000000002</v>
      </c>
      <c r="AH143" s="21">
        <v>19.686399999999999</v>
      </c>
      <c r="AI143" s="21">
        <v>-1.3629199999999999E-2</v>
      </c>
      <c r="AJ143" s="21">
        <v>133</v>
      </c>
      <c r="AK143" s="21">
        <v>0.56915300000000002</v>
      </c>
      <c r="AL143">
        <f t="shared" si="30"/>
        <v>16.826172839506171</v>
      </c>
      <c r="AM143">
        <f t="shared" si="31"/>
        <v>9.586930715555555</v>
      </c>
      <c r="AP143" s="9"/>
      <c r="AQ143" s="21">
        <v>1.0702499999999999</v>
      </c>
      <c r="AR143" s="21">
        <v>25.120200000000001</v>
      </c>
      <c r="AS143" s="21">
        <v>-1.35193E-2</v>
      </c>
      <c r="AT143" s="21">
        <v>133</v>
      </c>
      <c r="AU143" s="21">
        <v>1.0696399999999999</v>
      </c>
      <c r="AV143">
        <f t="shared" si="32"/>
        <v>16.690493827160495</v>
      </c>
      <c r="AW143">
        <f t="shared" si="33"/>
        <v>17.863001018518517</v>
      </c>
      <c r="AX143" s="9"/>
      <c r="AY143" s="21">
        <v>0.56976300000000002</v>
      </c>
      <c r="AZ143" s="21">
        <v>28.8185</v>
      </c>
      <c r="BA143" s="21">
        <v>-1.36902E-2</v>
      </c>
      <c r="BB143" s="21">
        <v>133</v>
      </c>
      <c r="BC143" s="21">
        <v>0.56927499999999998</v>
      </c>
      <c r="BD143">
        <f t="shared" si="34"/>
        <v>16.901481481481479</v>
      </c>
      <c r="BE143">
        <f t="shared" si="35"/>
        <v>9.6298387933333327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1.0652200000000001</v>
      </c>
      <c r="H144" s="21">
        <v>6.9388399999999999</v>
      </c>
      <c r="I144" s="21">
        <v>-1.34491E-2</v>
      </c>
      <c r="J144" s="21">
        <v>134</v>
      </c>
      <c r="K144" s="21">
        <v>1.0638399999999999</v>
      </c>
      <c r="L144">
        <f t="shared" si="24"/>
        <v>16.603827160493829</v>
      </c>
      <c r="M144">
        <f t="shared" si="25"/>
        <v>17.686728767901236</v>
      </c>
      <c r="N144" s="9"/>
      <c r="O144" s="21">
        <v>0.57479899999999995</v>
      </c>
      <c r="P144" s="21">
        <v>10.6372</v>
      </c>
      <c r="Q144" s="21">
        <v>-1.3693200000000001E-2</v>
      </c>
      <c r="R144" s="21">
        <v>134</v>
      </c>
      <c r="S144" s="21">
        <v>0.57409699999999997</v>
      </c>
      <c r="T144">
        <f t="shared" si="26"/>
        <v>16.905185185185186</v>
      </c>
      <c r="U144">
        <f t="shared" si="27"/>
        <v>9.7170835392592583</v>
      </c>
      <c r="X144" s="9"/>
      <c r="Y144" s="21">
        <v>1.0652200000000001</v>
      </c>
      <c r="Z144" s="21">
        <v>15.998100000000001</v>
      </c>
      <c r="AA144" s="21">
        <v>-1.3461300000000001E-2</v>
      </c>
      <c r="AB144" s="21">
        <v>134</v>
      </c>
      <c r="AC144" s="21">
        <v>1.0641499999999999</v>
      </c>
      <c r="AD144">
        <f t="shared" si="28"/>
        <v>16.618888888888886</v>
      </c>
      <c r="AE144">
        <f t="shared" si="29"/>
        <v>17.702772822222219</v>
      </c>
      <c r="AF144" s="9"/>
      <c r="AG144" s="21">
        <v>0.57479899999999995</v>
      </c>
      <c r="AH144" s="21">
        <v>19.696400000000001</v>
      </c>
      <c r="AI144" s="21">
        <v>-1.3629199999999999E-2</v>
      </c>
      <c r="AJ144" s="21">
        <v>134</v>
      </c>
      <c r="AK144" s="21">
        <v>0.57406599999999997</v>
      </c>
      <c r="AL144">
        <f t="shared" si="30"/>
        <v>16.826172839506171</v>
      </c>
      <c r="AM144">
        <f t="shared" si="31"/>
        <v>9.6716673219753062</v>
      </c>
      <c r="AP144" s="9"/>
      <c r="AQ144" s="21">
        <v>1.0652200000000001</v>
      </c>
      <c r="AR144" s="21">
        <v>25.130299999999998</v>
      </c>
      <c r="AS144" s="21">
        <v>-1.3528399999999999E-2</v>
      </c>
      <c r="AT144" s="21">
        <v>134</v>
      </c>
      <c r="AU144" s="21">
        <v>1.0638399999999999</v>
      </c>
      <c r="AV144">
        <f t="shared" si="32"/>
        <v>16.701728395061725</v>
      </c>
      <c r="AW144">
        <f t="shared" si="33"/>
        <v>17.791015120987652</v>
      </c>
      <c r="AX144" s="9"/>
      <c r="AY144" s="21">
        <v>0.57479899999999995</v>
      </c>
      <c r="AZ144" s="21">
        <v>28.828600000000002</v>
      </c>
      <c r="BA144" s="21">
        <v>-1.3684099999999999E-2</v>
      </c>
      <c r="BB144" s="21">
        <v>134</v>
      </c>
      <c r="BC144" s="21">
        <v>0.57409699999999997</v>
      </c>
      <c r="BD144">
        <f t="shared" si="34"/>
        <v>16.893950617283949</v>
      </c>
      <c r="BE144">
        <f t="shared" si="35"/>
        <v>9.7106259208641958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1.0601799999999999</v>
      </c>
      <c r="H145" s="21">
        <v>6.9489099999999997</v>
      </c>
      <c r="I145" s="21">
        <v>-1.3446E-2</v>
      </c>
      <c r="J145" s="21">
        <v>135</v>
      </c>
      <c r="K145" s="21">
        <v>1.0589599999999999</v>
      </c>
      <c r="L145">
        <f t="shared" si="24"/>
        <v>16.599999999999998</v>
      </c>
      <c r="M145">
        <f t="shared" si="25"/>
        <v>17.598987999999995</v>
      </c>
      <c r="N145" s="9"/>
      <c r="O145" s="21">
        <v>0.57983399999999996</v>
      </c>
      <c r="P145" s="21">
        <v>10.6473</v>
      </c>
      <c r="Q145" s="21">
        <v>-1.36749E-2</v>
      </c>
      <c r="R145" s="21">
        <v>135</v>
      </c>
      <c r="S145" s="21">
        <v>0.57913199999999998</v>
      </c>
      <c r="T145">
        <f t="shared" si="26"/>
        <v>16.882592592592591</v>
      </c>
      <c r="U145">
        <f t="shared" si="27"/>
        <v>9.7891011933333321</v>
      </c>
      <c r="X145" s="9"/>
      <c r="Y145" s="21">
        <v>1.0601799999999999</v>
      </c>
      <c r="Z145" s="21">
        <v>16.008099999999999</v>
      </c>
      <c r="AA145" s="21">
        <v>-1.3458299999999999E-2</v>
      </c>
      <c r="AB145" s="21">
        <v>135</v>
      </c>
      <c r="AC145" s="21">
        <v>1.0589599999999999</v>
      </c>
      <c r="AD145">
        <f t="shared" si="28"/>
        <v>16.615185185185183</v>
      </c>
      <c r="AE145">
        <f t="shared" si="29"/>
        <v>17.615087029629624</v>
      </c>
      <c r="AF145" s="9"/>
      <c r="AG145" s="21">
        <v>0.57983399999999996</v>
      </c>
      <c r="AH145" s="21">
        <v>19.706499999999998</v>
      </c>
      <c r="AI145" s="21">
        <v>-1.36261E-2</v>
      </c>
      <c r="AJ145" s="21">
        <v>135</v>
      </c>
      <c r="AK145" s="21">
        <v>0.57916299999999998</v>
      </c>
      <c r="AL145">
        <f t="shared" si="30"/>
        <v>16.822345679012344</v>
      </c>
      <c r="AM145">
        <f t="shared" si="31"/>
        <v>9.7541679844444431</v>
      </c>
      <c r="AP145" s="9"/>
      <c r="AQ145" s="21">
        <v>1.0601799999999999</v>
      </c>
      <c r="AR145" s="21">
        <v>25.1403</v>
      </c>
      <c r="AS145" s="21">
        <v>-1.35406E-2</v>
      </c>
      <c r="AT145" s="21">
        <v>135</v>
      </c>
      <c r="AU145" s="21">
        <v>1.0595699999999999</v>
      </c>
      <c r="AV145">
        <f t="shared" si="32"/>
        <v>16.716790123456789</v>
      </c>
      <c r="AW145">
        <f t="shared" si="33"/>
        <v>17.722806553086418</v>
      </c>
      <c r="AX145" s="9"/>
      <c r="AY145" s="21">
        <v>0.57983399999999996</v>
      </c>
      <c r="AZ145" s="21">
        <v>28.838699999999999</v>
      </c>
      <c r="BA145" s="21">
        <v>-1.36902E-2</v>
      </c>
      <c r="BB145" s="21">
        <v>135</v>
      </c>
      <c r="BC145" s="21">
        <v>0.57919299999999996</v>
      </c>
      <c r="BD145">
        <f t="shared" si="34"/>
        <v>16.901481481481479</v>
      </c>
      <c r="BE145">
        <f t="shared" si="35"/>
        <v>9.8000536133333309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1.05515</v>
      </c>
      <c r="H146" s="21">
        <v>6.95899</v>
      </c>
      <c r="I146" s="21">
        <v>-1.34369E-2</v>
      </c>
      <c r="J146" s="21">
        <v>136</v>
      </c>
      <c r="K146" s="21">
        <v>1.0540799999999999</v>
      </c>
      <c r="L146">
        <f t="shared" si="24"/>
        <v>16.588765432098764</v>
      </c>
      <c r="M146">
        <f t="shared" si="25"/>
        <v>17.50363584567901</v>
      </c>
      <c r="N146" s="9"/>
      <c r="O146" s="21">
        <v>0.58486899999999997</v>
      </c>
      <c r="P146" s="21">
        <v>10.657299999999999</v>
      </c>
      <c r="Q146" s="21">
        <v>-1.3684099999999999E-2</v>
      </c>
      <c r="R146" s="21">
        <v>136</v>
      </c>
      <c r="S146" s="21">
        <v>0.58413700000000002</v>
      </c>
      <c r="T146">
        <f t="shared" si="26"/>
        <v>16.893950617283949</v>
      </c>
      <c r="U146">
        <f t="shared" si="27"/>
        <v>9.880748003580246</v>
      </c>
      <c r="X146" s="9"/>
      <c r="Y146" s="21">
        <v>1.05515</v>
      </c>
      <c r="Z146" s="21">
        <v>16.0182</v>
      </c>
      <c r="AA146" s="21">
        <v>-1.34644E-2</v>
      </c>
      <c r="AB146" s="21">
        <v>136</v>
      </c>
      <c r="AC146" s="21">
        <v>1.0537700000000001</v>
      </c>
      <c r="AD146">
        <f t="shared" si="28"/>
        <v>16.622716049382717</v>
      </c>
      <c r="AE146">
        <f t="shared" si="29"/>
        <v>17.539458839506175</v>
      </c>
      <c r="AF146" s="9"/>
      <c r="AG146" s="21">
        <v>0.58486899999999997</v>
      </c>
      <c r="AH146" s="21">
        <v>19.7166</v>
      </c>
      <c r="AI146" s="21">
        <v>-1.3616899999999999E-2</v>
      </c>
      <c r="AJ146" s="21">
        <v>136</v>
      </c>
      <c r="AK146" s="21">
        <v>0.58425899999999997</v>
      </c>
      <c r="AL146">
        <f t="shared" si="30"/>
        <v>16.810987654320986</v>
      </c>
      <c r="AM146">
        <f t="shared" si="31"/>
        <v>9.8322255383950594</v>
      </c>
      <c r="AP146" s="9"/>
      <c r="AQ146" s="21">
        <v>1.05515</v>
      </c>
      <c r="AR146" s="21">
        <v>25.150400000000001</v>
      </c>
      <c r="AS146" s="21">
        <v>-1.3546799999999999E-2</v>
      </c>
      <c r="AT146" s="21">
        <v>136</v>
      </c>
      <c r="AU146" s="21">
        <v>1.0540799999999999</v>
      </c>
      <c r="AV146">
        <f t="shared" si="32"/>
        <v>16.72444444444444</v>
      </c>
      <c r="AW146">
        <f t="shared" si="33"/>
        <v>17.646797555555551</v>
      </c>
      <c r="AX146" s="9"/>
      <c r="AY146" s="21">
        <v>0.58486899999999997</v>
      </c>
      <c r="AZ146" s="21">
        <v>28.848800000000001</v>
      </c>
      <c r="BA146" s="21">
        <v>-1.3681E-2</v>
      </c>
      <c r="BB146" s="21">
        <v>136</v>
      </c>
      <c r="BC146" s="21">
        <v>0.584198</v>
      </c>
      <c r="BD146">
        <f t="shared" si="34"/>
        <v>16.890123456790121</v>
      </c>
      <c r="BE146">
        <f t="shared" si="35"/>
        <v>9.8785096160493815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1.0501100000000001</v>
      </c>
      <c r="H147" s="21">
        <v>6.9690599999999998</v>
      </c>
      <c r="I147" s="21">
        <v>-1.3439899999999999E-2</v>
      </c>
      <c r="J147" s="21">
        <v>137</v>
      </c>
      <c r="K147" s="21">
        <v>1.0491900000000001</v>
      </c>
      <c r="L147">
        <f t="shared" si="24"/>
        <v>16.592469135802467</v>
      </c>
      <c r="M147">
        <f t="shared" si="25"/>
        <v>17.42391776419753</v>
      </c>
      <c r="N147" s="9"/>
      <c r="O147" s="21">
        <v>0.58990500000000001</v>
      </c>
      <c r="P147" s="21">
        <v>10.667400000000001</v>
      </c>
      <c r="Q147" s="21">
        <v>-1.3681E-2</v>
      </c>
      <c r="R147" s="21">
        <v>137</v>
      </c>
      <c r="S147" s="21">
        <v>0.58926400000000001</v>
      </c>
      <c r="T147">
        <f t="shared" si="26"/>
        <v>16.890123456790121</v>
      </c>
      <c r="U147">
        <f t="shared" si="27"/>
        <v>9.9635682777777763</v>
      </c>
      <c r="X147" s="9"/>
      <c r="Y147" s="21">
        <v>1.0501100000000001</v>
      </c>
      <c r="Z147" s="21">
        <v>16.028300000000002</v>
      </c>
      <c r="AA147" s="21">
        <v>-1.34857E-2</v>
      </c>
      <c r="AB147" s="21">
        <v>137</v>
      </c>
      <c r="AC147" s="21">
        <v>1.0488900000000001</v>
      </c>
      <c r="AD147">
        <f t="shared" si="28"/>
        <v>16.649012345679012</v>
      </c>
      <c r="AE147">
        <f t="shared" si="29"/>
        <v>17.483294354320989</v>
      </c>
      <c r="AF147" s="9"/>
      <c r="AG147" s="21">
        <v>0.58990500000000001</v>
      </c>
      <c r="AH147" s="21">
        <v>19.726600000000001</v>
      </c>
      <c r="AI147" s="21">
        <v>-1.362E-2</v>
      </c>
      <c r="AJ147" s="21">
        <v>137</v>
      </c>
      <c r="AK147" s="21">
        <v>0.58923300000000001</v>
      </c>
      <c r="AL147">
        <f t="shared" si="30"/>
        <v>16.814814814814813</v>
      </c>
      <c r="AM147">
        <f t="shared" si="31"/>
        <v>9.9191433333333325</v>
      </c>
      <c r="AP147" s="9"/>
      <c r="AQ147" s="21">
        <v>1.0501100000000001</v>
      </c>
      <c r="AR147" s="21">
        <v>25.160499999999999</v>
      </c>
      <c r="AS147" s="21">
        <v>-1.3559E-2</v>
      </c>
      <c r="AT147" s="21">
        <v>137</v>
      </c>
      <c r="AU147" s="21">
        <v>1.0491900000000001</v>
      </c>
      <c r="AV147">
        <f t="shared" si="32"/>
        <v>16.739506172839505</v>
      </c>
      <c r="AW147">
        <f t="shared" si="33"/>
        <v>17.578322827160495</v>
      </c>
      <c r="AX147" s="9"/>
      <c r="AY147" s="21">
        <v>0.58990500000000001</v>
      </c>
      <c r="AZ147" s="21">
        <v>28.858799999999999</v>
      </c>
      <c r="BA147" s="21">
        <v>-1.36749E-2</v>
      </c>
      <c r="BB147" s="21">
        <v>137</v>
      </c>
      <c r="BC147" s="21">
        <v>0.58923300000000001</v>
      </c>
      <c r="BD147">
        <f t="shared" si="34"/>
        <v>16.882592592592591</v>
      </c>
      <c r="BE147">
        <f t="shared" si="35"/>
        <v>9.9591257833333326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1.0450699999999999</v>
      </c>
      <c r="H148" s="21">
        <v>6.9791299999999996</v>
      </c>
      <c r="I148" s="21">
        <v>-1.3446E-2</v>
      </c>
      <c r="J148" s="21">
        <v>138</v>
      </c>
      <c r="K148" s="21">
        <v>1.0443100000000001</v>
      </c>
      <c r="L148">
        <f t="shared" si="24"/>
        <v>16.599999999999998</v>
      </c>
      <c r="M148">
        <f t="shared" si="25"/>
        <v>17.348161999999999</v>
      </c>
      <c r="N148" s="9"/>
      <c r="O148" s="21">
        <v>0.59494000000000002</v>
      </c>
      <c r="P148" s="21">
        <v>10.6775</v>
      </c>
      <c r="Q148" s="21">
        <v>-1.3687100000000001E-2</v>
      </c>
      <c r="R148" s="21">
        <v>138</v>
      </c>
      <c r="S148" s="21">
        <v>0.59426900000000005</v>
      </c>
      <c r="T148">
        <f t="shared" si="26"/>
        <v>16.897654320987655</v>
      </c>
      <c r="U148">
        <f t="shared" si="27"/>
        <v>10.053090461728397</v>
      </c>
      <c r="X148" s="9"/>
      <c r="Y148" s="21">
        <v>1.0450699999999999</v>
      </c>
      <c r="Z148" s="21">
        <v>16.0383</v>
      </c>
      <c r="AA148" s="21">
        <v>-1.34979E-2</v>
      </c>
      <c r="AB148" s="21">
        <v>138</v>
      </c>
      <c r="AC148" s="21">
        <v>1.0440100000000001</v>
      </c>
      <c r="AD148">
        <f t="shared" si="28"/>
        <v>16.664074074074072</v>
      </c>
      <c r="AE148">
        <f t="shared" si="29"/>
        <v>17.41512389259259</v>
      </c>
      <c r="AF148" s="9"/>
      <c r="AG148" s="21">
        <v>0.59494000000000002</v>
      </c>
      <c r="AH148" s="21">
        <v>19.736699999999999</v>
      </c>
      <c r="AI148" s="21">
        <v>-1.3629199999999999E-2</v>
      </c>
      <c r="AJ148" s="21">
        <v>138</v>
      </c>
      <c r="AK148" s="21">
        <v>0.59423800000000004</v>
      </c>
      <c r="AL148">
        <f t="shared" si="30"/>
        <v>16.826172839506171</v>
      </c>
      <c r="AM148">
        <f t="shared" si="31"/>
        <v>10.010563269135801</v>
      </c>
      <c r="AP148" s="9"/>
      <c r="AQ148" s="21">
        <v>1.0450699999999999</v>
      </c>
      <c r="AR148" s="21">
        <v>25.1706</v>
      </c>
      <c r="AS148" s="21">
        <v>-1.3555899999999999E-2</v>
      </c>
      <c r="AT148" s="21">
        <v>138</v>
      </c>
      <c r="AU148" s="21">
        <v>1.0437000000000001</v>
      </c>
      <c r="AV148">
        <f t="shared" si="32"/>
        <v>16.735679012345678</v>
      </c>
      <c r="AW148">
        <f t="shared" si="33"/>
        <v>17.489956065432096</v>
      </c>
      <c r="AX148" s="9"/>
      <c r="AY148" s="21">
        <v>0.59494000000000002</v>
      </c>
      <c r="AZ148" s="21">
        <v>28.8689</v>
      </c>
      <c r="BA148" s="21">
        <v>-1.36627E-2</v>
      </c>
      <c r="BB148" s="21">
        <v>138</v>
      </c>
      <c r="BC148" s="21">
        <v>0.59423800000000004</v>
      </c>
      <c r="BD148">
        <f t="shared" si="34"/>
        <v>16.86753086419753</v>
      </c>
      <c r="BE148">
        <f t="shared" si="35"/>
        <v>10.035168812345679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1.0400400000000001</v>
      </c>
      <c r="H149" s="21">
        <v>6.9892000000000003</v>
      </c>
      <c r="I149" s="21">
        <v>-1.34491E-2</v>
      </c>
      <c r="J149" s="21">
        <v>139</v>
      </c>
      <c r="K149" s="21">
        <v>1.03851</v>
      </c>
      <c r="L149">
        <f t="shared" si="24"/>
        <v>16.603827160493829</v>
      </c>
      <c r="M149">
        <f t="shared" si="25"/>
        <v>17.268644400000003</v>
      </c>
      <c r="N149" s="9"/>
      <c r="O149" s="21">
        <v>0.59997599999999995</v>
      </c>
      <c r="P149" s="21">
        <v>10.6875</v>
      </c>
      <c r="Q149" s="21">
        <v>-1.36749E-2</v>
      </c>
      <c r="R149" s="21">
        <v>139</v>
      </c>
      <c r="S149" s="21">
        <v>0.59930399999999995</v>
      </c>
      <c r="T149">
        <f t="shared" si="26"/>
        <v>16.882592592592591</v>
      </c>
      <c r="U149">
        <f t="shared" si="27"/>
        <v>10.129150373333331</v>
      </c>
      <c r="X149" s="9"/>
      <c r="Y149" s="21">
        <v>1.0400400000000001</v>
      </c>
      <c r="Z149" s="21">
        <v>16.048400000000001</v>
      </c>
      <c r="AA149" s="21">
        <v>-1.34979E-2</v>
      </c>
      <c r="AB149" s="21">
        <v>139</v>
      </c>
      <c r="AC149" s="21">
        <v>1.03973</v>
      </c>
      <c r="AD149">
        <f t="shared" si="28"/>
        <v>16.664074074074072</v>
      </c>
      <c r="AE149">
        <f t="shared" si="29"/>
        <v>17.331303599999998</v>
      </c>
      <c r="AF149" s="9"/>
      <c r="AG149" s="21">
        <v>0.59997599999999995</v>
      </c>
      <c r="AH149" s="21">
        <v>19.7468</v>
      </c>
      <c r="AI149" s="21">
        <v>-1.3629199999999999E-2</v>
      </c>
      <c r="AJ149" s="21">
        <v>139</v>
      </c>
      <c r="AK149" s="21">
        <v>0.59927399999999997</v>
      </c>
      <c r="AL149">
        <f t="shared" si="30"/>
        <v>16.826172839506171</v>
      </c>
      <c r="AM149">
        <f t="shared" si="31"/>
        <v>10.095299875555554</v>
      </c>
      <c r="AP149" s="9"/>
      <c r="AQ149" s="21">
        <v>1.0400400000000001</v>
      </c>
      <c r="AR149" s="21">
        <v>25.180599999999998</v>
      </c>
      <c r="AS149" s="21">
        <v>-1.35712E-2</v>
      </c>
      <c r="AT149" s="21">
        <v>139</v>
      </c>
      <c r="AU149" s="21">
        <v>1.0388200000000001</v>
      </c>
      <c r="AV149">
        <f t="shared" si="32"/>
        <v>16.754567901234566</v>
      </c>
      <c r="AW149">
        <f t="shared" si="33"/>
        <v>17.425420799999998</v>
      </c>
      <c r="AX149" s="9"/>
      <c r="AY149" s="21">
        <v>0.59997599999999995</v>
      </c>
      <c r="AZ149" s="21">
        <v>28.879000000000001</v>
      </c>
      <c r="BA149" s="21">
        <v>-1.36597E-2</v>
      </c>
      <c r="BB149" s="21">
        <v>139</v>
      </c>
      <c r="BC149" s="21">
        <v>0.59933499999999995</v>
      </c>
      <c r="BD149">
        <f t="shared" si="34"/>
        <v>16.863827160493827</v>
      </c>
      <c r="BE149">
        <f t="shared" si="35"/>
        <v>10.117891564444443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1.0349999999999999</v>
      </c>
      <c r="H150" s="21">
        <v>6.9992700000000001</v>
      </c>
      <c r="I150" s="21">
        <v>-1.3458299999999999E-2</v>
      </c>
      <c r="J150" s="21">
        <v>140</v>
      </c>
      <c r="K150" s="21">
        <v>1.03424</v>
      </c>
      <c r="L150">
        <f t="shared" si="24"/>
        <v>16.615185185185183</v>
      </c>
      <c r="M150">
        <f t="shared" si="25"/>
        <v>17.196716666666664</v>
      </c>
      <c r="N150" s="9"/>
      <c r="O150" s="21">
        <v>0.60501099999999997</v>
      </c>
      <c r="P150" s="21">
        <v>10.6976</v>
      </c>
      <c r="Q150" s="21">
        <v>-1.3665800000000001E-2</v>
      </c>
      <c r="R150" s="21">
        <v>140</v>
      </c>
      <c r="S150" s="21">
        <v>0.60421800000000003</v>
      </c>
      <c r="T150">
        <f t="shared" si="26"/>
        <v>16.871358024691357</v>
      </c>
      <c r="U150">
        <f t="shared" si="27"/>
        <v>10.207357189876543</v>
      </c>
      <c r="X150" s="9"/>
      <c r="Y150" s="21">
        <v>1.0349999999999999</v>
      </c>
      <c r="Z150" s="21">
        <v>16.058499999999999</v>
      </c>
      <c r="AA150" s="21">
        <v>-1.3501000000000001E-2</v>
      </c>
      <c r="AB150" s="21">
        <v>140</v>
      </c>
      <c r="AC150" s="21">
        <v>1.0339400000000001</v>
      </c>
      <c r="AD150">
        <f t="shared" si="28"/>
        <v>16.667901234567903</v>
      </c>
      <c r="AE150">
        <f t="shared" si="29"/>
        <v>17.25127777777778</v>
      </c>
      <c r="AF150" s="9"/>
      <c r="AG150" s="21">
        <v>0.60501099999999997</v>
      </c>
      <c r="AH150" s="21">
        <v>19.756900000000002</v>
      </c>
      <c r="AI150" s="21">
        <v>-1.36261E-2</v>
      </c>
      <c r="AJ150" s="21">
        <v>140</v>
      </c>
      <c r="AK150" s="21">
        <v>0.60427900000000001</v>
      </c>
      <c r="AL150">
        <f t="shared" si="30"/>
        <v>16.822345679012344</v>
      </c>
      <c r="AM150">
        <f t="shared" si="31"/>
        <v>10.177704181604936</v>
      </c>
      <c r="AP150" s="9"/>
      <c r="AQ150" s="21">
        <v>1.0349999999999999</v>
      </c>
      <c r="AR150" s="21">
        <v>25.1907</v>
      </c>
      <c r="AS150" s="21">
        <v>-1.35651E-2</v>
      </c>
      <c r="AT150" s="21">
        <v>140</v>
      </c>
      <c r="AU150" s="21">
        <v>1.03363</v>
      </c>
      <c r="AV150">
        <f t="shared" si="32"/>
        <v>16.747037037037035</v>
      </c>
      <c r="AW150">
        <f t="shared" si="33"/>
        <v>17.333183333333331</v>
      </c>
      <c r="AX150" s="9"/>
      <c r="AY150" s="21">
        <v>0.60501099999999997</v>
      </c>
      <c r="AZ150" s="21">
        <v>28.888999999999999</v>
      </c>
      <c r="BA150" s="21">
        <v>-1.36475E-2</v>
      </c>
      <c r="BB150" s="21">
        <v>140</v>
      </c>
      <c r="BC150" s="21">
        <v>0.60424800000000001</v>
      </c>
      <c r="BD150">
        <f t="shared" si="34"/>
        <v>16.848765432098766</v>
      </c>
      <c r="BE150">
        <f t="shared" si="35"/>
        <v>10.193688422839505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1.0299700000000001</v>
      </c>
      <c r="H151" s="21">
        <v>7.0093399999999999</v>
      </c>
      <c r="I151" s="21">
        <v>-1.3467399999999999E-2</v>
      </c>
      <c r="J151" s="21">
        <v>141</v>
      </c>
      <c r="K151" s="21">
        <v>1.02844</v>
      </c>
      <c r="L151">
        <f t="shared" si="24"/>
        <v>16.626419753086417</v>
      </c>
      <c r="M151">
        <f t="shared" si="25"/>
        <v>17.124713553086416</v>
      </c>
      <c r="N151" s="9"/>
      <c r="O151" s="21">
        <v>0.61004599999999998</v>
      </c>
      <c r="P151" s="21">
        <v>10.707700000000001</v>
      </c>
      <c r="Q151" s="21">
        <v>-1.36688E-2</v>
      </c>
      <c r="R151" s="21">
        <v>141</v>
      </c>
      <c r="S151" s="21">
        <v>0.60925300000000004</v>
      </c>
      <c r="T151">
        <f t="shared" si="26"/>
        <v>16.87506172839506</v>
      </c>
      <c r="U151">
        <f t="shared" si="27"/>
        <v>10.294563907160493</v>
      </c>
      <c r="X151" s="9"/>
      <c r="Y151" s="21">
        <v>1.0299700000000001</v>
      </c>
      <c r="Z151" s="21">
        <v>16.0686</v>
      </c>
      <c r="AA151" s="21">
        <v>-1.3504E-2</v>
      </c>
      <c r="AB151" s="21">
        <v>141</v>
      </c>
      <c r="AC151" s="21">
        <v>1.0293600000000001</v>
      </c>
      <c r="AD151">
        <f t="shared" si="28"/>
        <v>16.671604938271606</v>
      </c>
      <c r="AE151">
        <f t="shared" si="29"/>
        <v>17.171252938271607</v>
      </c>
      <c r="AF151" s="9"/>
      <c r="AG151" s="21">
        <v>0.61004599999999998</v>
      </c>
      <c r="AH151" s="21">
        <v>19.7669</v>
      </c>
      <c r="AI151" s="21">
        <v>-1.3629199999999999E-2</v>
      </c>
      <c r="AJ151" s="21">
        <v>141</v>
      </c>
      <c r="AK151" s="21">
        <v>0.60946699999999998</v>
      </c>
      <c r="AL151">
        <f t="shared" si="30"/>
        <v>16.826172839506171</v>
      </c>
      <c r="AM151">
        <f t="shared" si="31"/>
        <v>10.264739436049382</v>
      </c>
      <c r="AP151" s="9"/>
      <c r="AQ151" s="21">
        <v>1.0299700000000001</v>
      </c>
      <c r="AR151" s="21">
        <v>25.200800000000001</v>
      </c>
      <c r="AS151" s="21">
        <v>-1.35529E-2</v>
      </c>
      <c r="AT151" s="21">
        <v>141</v>
      </c>
      <c r="AU151" s="21">
        <v>1.02905</v>
      </c>
      <c r="AV151">
        <f t="shared" si="32"/>
        <v>16.731975308641974</v>
      </c>
      <c r="AW151">
        <f t="shared" si="33"/>
        <v>17.233432608641976</v>
      </c>
      <c r="AX151" s="9"/>
      <c r="AY151" s="21">
        <v>0.61004599999999998</v>
      </c>
      <c r="AZ151" s="21">
        <v>28.899100000000001</v>
      </c>
      <c r="BA151" s="21">
        <v>-1.3638300000000001E-2</v>
      </c>
      <c r="BB151" s="21">
        <v>141</v>
      </c>
      <c r="BC151" s="21">
        <v>0.609406</v>
      </c>
      <c r="BD151">
        <f t="shared" si="34"/>
        <v>16.837407407407408</v>
      </c>
      <c r="BE151">
        <f t="shared" si="35"/>
        <v>10.27159303925926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1.0249299999999999</v>
      </c>
      <c r="H152" s="21">
        <v>7.0194099999999997</v>
      </c>
      <c r="I152" s="21">
        <v>-1.3473499999999999E-2</v>
      </c>
      <c r="J152" s="21">
        <v>142</v>
      </c>
      <c r="K152" s="21">
        <v>1.02417</v>
      </c>
      <c r="L152">
        <f t="shared" si="24"/>
        <v>16.633950617283947</v>
      </c>
      <c r="M152">
        <f t="shared" si="25"/>
        <v>17.048635006172834</v>
      </c>
      <c r="N152" s="9"/>
      <c r="O152" s="21">
        <v>0.61508200000000002</v>
      </c>
      <c r="P152" s="21">
        <v>10.7178</v>
      </c>
      <c r="Q152" s="21">
        <v>-1.36688E-2</v>
      </c>
      <c r="R152" s="21">
        <v>142</v>
      </c>
      <c r="S152" s="21">
        <v>0.61447099999999999</v>
      </c>
      <c r="T152">
        <f t="shared" si="26"/>
        <v>16.87506172839506</v>
      </c>
      <c r="U152">
        <f t="shared" si="27"/>
        <v>10.379546718024692</v>
      </c>
      <c r="X152" s="9"/>
      <c r="Y152" s="21">
        <v>1.0249299999999999</v>
      </c>
      <c r="Z152" s="21">
        <v>16.078600000000002</v>
      </c>
      <c r="AA152" s="21">
        <v>-1.3501000000000001E-2</v>
      </c>
      <c r="AB152" s="21">
        <v>142</v>
      </c>
      <c r="AC152" s="21">
        <v>1.0244800000000001</v>
      </c>
      <c r="AD152">
        <f t="shared" si="28"/>
        <v>16.667901234567903</v>
      </c>
      <c r="AE152">
        <f t="shared" si="29"/>
        <v>17.083432012345678</v>
      </c>
      <c r="AF152" s="9"/>
      <c r="AG152" s="21">
        <v>0.61508200000000002</v>
      </c>
      <c r="AH152" s="21">
        <v>19.777000000000001</v>
      </c>
      <c r="AI152" s="21">
        <v>-1.3629199999999999E-2</v>
      </c>
      <c r="AJ152" s="21">
        <v>142</v>
      </c>
      <c r="AK152" s="21">
        <v>0.61456299999999997</v>
      </c>
      <c r="AL152">
        <f t="shared" si="30"/>
        <v>16.826172839506171</v>
      </c>
      <c r="AM152">
        <f t="shared" si="31"/>
        <v>10.349476042469135</v>
      </c>
      <c r="AP152" s="9"/>
      <c r="AQ152" s="21">
        <v>1.0249299999999999</v>
      </c>
      <c r="AR152" s="21">
        <v>25.210799999999999</v>
      </c>
      <c r="AS152" s="21">
        <v>-1.3549800000000001E-2</v>
      </c>
      <c r="AT152" s="21">
        <v>142</v>
      </c>
      <c r="AU152" s="21">
        <v>1.02386</v>
      </c>
      <c r="AV152">
        <f t="shared" si="32"/>
        <v>16.728148148148147</v>
      </c>
      <c r="AW152">
        <f t="shared" si="33"/>
        <v>17.14518088148148</v>
      </c>
      <c r="AX152" s="9"/>
      <c r="AY152" s="21">
        <v>0.61508200000000002</v>
      </c>
      <c r="AZ152" s="21">
        <v>28.909199999999998</v>
      </c>
      <c r="BA152" s="21">
        <v>-1.36353E-2</v>
      </c>
      <c r="BB152" s="21">
        <v>142</v>
      </c>
      <c r="BC152" s="21">
        <v>0.61444100000000001</v>
      </c>
      <c r="BD152">
        <f t="shared" si="34"/>
        <v>16.833703703703701</v>
      </c>
      <c r="BE152">
        <f t="shared" si="35"/>
        <v>10.354108141481481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1.0199</v>
      </c>
      <c r="H153" s="21">
        <v>7.0294800000000004</v>
      </c>
      <c r="I153" s="21">
        <v>-1.34888E-2</v>
      </c>
      <c r="J153" s="21">
        <v>143</v>
      </c>
      <c r="K153" s="21">
        <v>1.01868</v>
      </c>
      <c r="L153">
        <f t="shared" si="24"/>
        <v>16.652839506172839</v>
      </c>
      <c r="M153">
        <f t="shared" si="25"/>
        <v>16.984231012345678</v>
      </c>
      <c r="N153" s="9"/>
      <c r="O153" s="21">
        <v>0.62011700000000003</v>
      </c>
      <c r="P153" s="21">
        <v>10.7278</v>
      </c>
      <c r="Q153" s="21">
        <v>-1.3665800000000001E-2</v>
      </c>
      <c r="R153" s="21">
        <v>143</v>
      </c>
      <c r="S153" s="21">
        <v>0.61947600000000003</v>
      </c>
      <c r="T153">
        <f t="shared" si="26"/>
        <v>16.871358024691357</v>
      </c>
      <c r="U153">
        <f t="shared" si="27"/>
        <v>10.462215924197531</v>
      </c>
      <c r="X153" s="9"/>
      <c r="Y153" s="21">
        <v>1.0199</v>
      </c>
      <c r="Z153" s="21">
        <v>16.088699999999999</v>
      </c>
      <c r="AA153" s="21">
        <v>-1.34979E-2</v>
      </c>
      <c r="AB153" s="21">
        <v>143</v>
      </c>
      <c r="AC153" s="21">
        <v>1.01868</v>
      </c>
      <c r="AD153">
        <f t="shared" si="28"/>
        <v>16.664074074074072</v>
      </c>
      <c r="AE153">
        <f t="shared" si="29"/>
        <v>16.995689148148148</v>
      </c>
      <c r="AF153" s="9"/>
      <c r="AG153" s="21">
        <v>0.62011700000000003</v>
      </c>
      <c r="AH153" s="21">
        <v>19.787099999999999</v>
      </c>
      <c r="AI153" s="21">
        <v>-1.3629199999999999E-2</v>
      </c>
      <c r="AJ153" s="21">
        <v>143</v>
      </c>
      <c r="AK153" s="21">
        <v>0.61947600000000003</v>
      </c>
      <c r="AL153">
        <f t="shared" si="30"/>
        <v>16.826172839506171</v>
      </c>
      <c r="AM153">
        <f t="shared" si="31"/>
        <v>10.434195822716049</v>
      </c>
      <c r="AP153" s="9"/>
      <c r="AQ153" s="21">
        <v>1.0199</v>
      </c>
      <c r="AR153" s="21">
        <v>25.2209</v>
      </c>
      <c r="AS153" s="21">
        <v>-1.35406E-2</v>
      </c>
      <c r="AT153" s="21">
        <v>143</v>
      </c>
      <c r="AU153" s="21">
        <v>1.01898</v>
      </c>
      <c r="AV153">
        <f t="shared" si="32"/>
        <v>16.716790123456789</v>
      </c>
      <c r="AW153">
        <f t="shared" si="33"/>
        <v>17.04945424691358</v>
      </c>
      <c r="AX153" s="9"/>
      <c r="AY153" s="21">
        <v>0.62011700000000003</v>
      </c>
      <c r="AZ153" s="21">
        <v>28.9193</v>
      </c>
      <c r="BA153" s="21">
        <v>-1.3632200000000001E-2</v>
      </c>
      <c r="BB153" s="21">
        <v>143</v>
      </c>
      <c r="BC153" s="21">
        <v>0.61956800000000001</v>
      </c>
      <c r="BD153">
        <f t="shared" si="34"/>
        <v>16.829876543209878</v>
      </c>
      <c r="BE153">
        <f t="shared" si="35"/>
        <v>10.43649255234568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1.0148600000000001</v>
      </c>
      <c r="H154" s="21">
        <v>7.0395500000000002</v>
      </c>
      <c r="I154" s="21">
        <v>-1.34979E-2</v>
      </c>
      <c r="J154" s="21">
        <v>144</v>
      </c>
      <c r="K154" s="21">
        <v>1.0144</v>
      </c>
      <c r="L154">
        <f t="shared" si="24"/>
        <v>16.664074074074072</v>
      </c>
      <c r="M154">
        <f t="shared" si="25"/>
        <v>16.911702214814813</v>
      </c>
      <c r="N154" s="9"/>
      <c r="O154" s="21">
        <v>0.62515299999999996</v>
      </c>
      <c r="P154" s="21">
        <v>10.7379</v>
      </c>
      <c r="Q154" s="21">
        <v>-1.36597E-2</v>
      </c>
      <c r="R154" s="21">
        <v>144</v>
      </c>
      <c r="S154" s="21">
        <v>0.624664</v>
      </c>
      <c r="T154">
        <f t="shared" si="26"/>
        <v>16.863827160493827</v>
      </c>
      <c r="U154">
        <f t="shared" si="27"/>
        <v>10.542472140864197</v>
      </c>
      <c r="X154" s="9"/>
      <c r="Y154" s="21">
        <v>1.0148600000000001</v>
      </c>
      <c r="Z154" s="21">
        <v>16.098800000000001</v>
      </c>
      <c r="AA154" s="21">
        <v>-1.3501000000000001E-2</v>
      </c>
      <c r="AB154" s="21">
        <v>144</v>
      </c>
      <c r="AC154" s="21">
        <v>1.0141</v>
      </c>
      <c r="AD154">
        <f t="shared" si="28"/>
        <v>16.667901234567903</v>
      </c>
      <c r="AE154">
        <f t="shared" si="29"/>
        <v>16.915586246913584</v>
      </c>
      <c r="AF154" s="9"/>
      <c r="AG154" s="21">
        <v>0.62515299999999996</v>
      </c>
      <c r="AH154" s="21">
        <v>19.7971</v>
      </c>
      <c r="AI154" s="21">
        <v>-1.3616899999999999E-2</v>
      </c>
      <c r="AJ154" s="21">
        <v>144</v>
      </c>
      <c r="AK154" s="21">
        <v>0.62454200000000004</v>
      </c>
      <c r="AL154">
        <f t="shared" si="30"/>
        <v>16.810987654320986</v>
      </c>
      <c r="AM154">
        <f t="shared" si="31"/>
        <v>10.509439365061727</v>
      </c>
      <c r="AP154" s="9"/>
      <c r="AQ154" s="21">
        <v>1.0148600000000001</v>
      </c>
      <c r="AR154" s="21">
        <v>25.231000000000002</v>
      </c>
      <c r="AS154" s="21">
        <v>-1.35406E-2</v>
      </c>
      <c r="AT154" s="21">
        <v>144</v>
      </c>
      <c r="AU154" s="21">
        <v>1.0141</v>
      </c>
      <c r="AV154">
        <f t="shared" si="32"/>
        <v>16.716790123456789</v>
      </c>
      <c r="AW154">
        <f t="shared" si="33"/>
        <v>16.96520162469136</v>
      </c>
      <c r="AX154" s="9"/>
      <c r="AY154" s="21">
        <v>0.62515299999999996</v>
      </c>
      <c r="AZ154" s="21">
        <v>28.929300000000001</v>
      </c>
      <c r="BA154" s="21">
        <v>-1.3632200000000001E-2</v>
      </c>
      <c r="BB154" s="21">
        <v>144</v>
      </c>
      <c r="BC154" s="21">
        <v>0.62445099999999998</v>
      </c>
      <c r="BD154">
        <f t="shared" si="34"/>
        <v>16.829876543209878</v>
      </c>
      <c r="BE154">
        <f t="shared" si="35"/>
        <v>10.521247810617284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1.00983</v>
      </c>
      <c r="H155" s="21">
        <v>7.04962</v>
      </c>
      <c r="I155" s="21">
        <v>-1.35132E-2</v>
      </c>
      <c r="J155" s="21">
        <v>145</v>
      </c>
      <c r="K155" s="21">
        <v>1.00891</v>
      </c>
      <c r="L155">
        <f t="shared" si="24"/>
        <v>16.682962962962961</v>
      </c>
      <c r="M155">
        <f t="shared" si="25"/>
        <v>16.846956488888885</v>
      </c>
      <c r="N155" s="9"/>
      <c r="O155" s="21">
        <v>0.63018799999999997</v>
      </c>
      <c r="P155" s="21">
        <v>10.747999999999999</v>
      </c>
      <c r="Q155" s="21">
        <v>-1.3650499999999999E-2</v>
      </c>
      <c r="R155" s="21">
        <v>145</v>
      </c>
      <c r="S155" s="21">
        <v>0.62945600000000002</v>
      </c>
      <c r="T155">
        <f t="shared" si="26"/>
        <v>16.852469135802469</v>
      </c>
      <c r="U155">
        <f t="shared" si="27"/>
        <v>10.620223819753086</v>
      </c>
      <c r="X155" s="9"/>
      <c r="Y155" s="21">
        <v>1.00983</v>
      </c>
      <c r="Z155" s="21">
        <v>16.108799999999999</v>
      </c>
      <c r="AA155" s="21">
        <v>-1.3504E-2</v>
      </c>
      <c r="AB155" s="21">
        <v>145</v>
      </c>
      <c r="AC155" s="21">
        <v>1.00922</v>
      </c>
      <c r="AD155">
        <f t="shared" si="28"/>
        <v>16.671604938271606</v>
      </c>
      <c r="AE155">
        <f t="shared" si="29"/>
        <v>16.835486814814818</v>
      </c>
      <c r="AF155" s="9"/>
      <c r="AG155" s="21">
        <v>0.63018799999999997</v>
      </c>
      <c r="AH155" s="21">
        <v>19.807200000000002</v>
      </c>
      <c r="AI155" s="21">
        <v>-1.3598600000000001E-2</v>
      </c>
      <c r="AJ155" s="21">
        <v>145</v>
      </c>
      <c r="AK155" s="21">
        <v>0.62951699999999999</v>
      </c>
      <c r="AL155">
        <f t="shared" si="30"/>
        <v>16.788395061728394</v>
      </c>
      <c r="AM155">
        <f t="shared" si="31"/>
        <v>10.579845107160493</v>
      </c>
      <c r="AP155" s="9"/>
      <c r="AQ155" s="21">
        <v>1.00983</v>
      </c>
      <c r="AR155" s="21">
        <v>25.241099999999999</v>
      </c>
      <c r="AS155" s="21">
        <v>-1.3546799999999999E-2</v>
      </c>
      <c r="AT155" s="21">
        <v>145</v>
      </c>
      <c r="AU155" s="21">
        <v>1.00891</v>
      </c>
      <c r="AV155">
        <f t="shared" si="32"/>
        <v>16.72444444444444</v>
      </c>
      <c r="AW155">
        <f t="shared" si="33"/>
        <v>16.88884573333333</v>
      </c>
      <c r="AX155" s="9"/>
      <c r="AY155" s="21">
        <v>0.63018799999999997</v>
      </c>
      <c r="AZ155" s="21">
        <v>28.939399999999999</v>
      </c>
      <c r="BA155" s="21">
        <v>-1.362E-2</v>
      </c>
      <c r="BB155" s="21">
        <v>145</v>
      </c>
      <c r="BC155" s="21">
        <v>0.62963899999999995</v>
      </c>
      <c r="BD155">
        <f t="shared" si="34"/>
        <v>16.814814814814813</v>
      </c>
      <c r="BE155">
        <f t="shared" si="35"/>
        <v>10.596494518518517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1.0047900000000001</v>
      </c>
      <c r="H156" s="21">
        <v>7.0597000000000003</v>
      </c>
      <c r="I156" s="21">
        <v>-1.35193E-2</v>
      </c>
      <c r="J156" s="21">
        <v>146</v>
      </c>
      <c r="K156" s="21">
        <v>1.0037199999999999</v>
      </c>
      <c r="L156">
        <f t="shared" si="24"/>
        <v>16.690493827160495</v>
      </c>
      <c r="M156">
        <f t="shared" si="25"/>
        <v>16.770441292592594</v>
      </c>
      <c r="N156" s="9"/>
      <c r="O156" s="21">
        <v>0.63522299999999998</v>
      </c>
      <c r="P156" s="21">
        <v>10.757999999999999</v>
      </c>
      <c r="Q156" s="21">
        <v>-1.3638300000000001E-2</v>
      </c>
      <c r="R156" s="21">
        <v>146</v>
      </c>
      <c r="S156" s="21">
        <v>0.634521</v>
      </c>
      <c r="T156">
        <f t="shared" si="26"/>
        <v>16.837407407407408</v>
      </c>
      <c r="U156">
        <f t="shared" si="27"/>
        <v>10.695508445555555</v>
      </c>
      <c r="X156" s="9"/>
      <c r="Y156" s="21">
        <v>1.0047900000000001</v>
      </c>
      <c r="Z156" s="21">
        <v>16.1189</v>
      </c>
      <c r="AA156" s="21">
        <v>-1.35132E-2</v>
      </c>
      <c r="AB156" s="21">
        <v>146</v>
      </c>
      <c r="AC156" s="21">
        <v>1.0037199999999999</v>
      </c>
      <c r="AD156">
        <f t="shared" si="28"/>
        <v>16.682962962962961</v>
      </c>
      <c r="AE156">
        <f t="shared" si="29"/>
        <v>16.762874355555553</v>
      </c>
      <c r="AF156" s="9"/>
      <c r="AG156" s="21">
        <v>0.63522299999999998</v>
      </c>
      <c r="AH156" s="21">
        <v>19.817299999999999</v>
      </c>
      <c r="AI156" s="21">
        <v>-1.3595599999999999E-2</v>
      </c>
      <c r="AJ156" s="21">
        <v>146</v>
      </c>
      <c r="AK156" s="21">
        <v>0.63458300000000001</v>
      </c>
      <c r="AL156">
        <f t="shared" si="30"/>
        <v>16.784691358024691</v>
      </c>
      <c r="AM156">
        <f t="shared" si="31"/>
        <v>10.662021998518519</v>
      </c>
      <c r="AP156" s="9"/>
      <c r="AQ156" s="21">
        <v>1.0047900000000001</v>
      </c>
      <c r="AR156" s="21">
        <v>25.251100000000001</v>
      </c>
      <c r="AS156" s="21">
        <v>-1.3549800000000001E-2</v>
      </c>
      <c r="AT156" s="21">
        <v>146</v>
      </c>
      <c r="AU156" s="21">
        <v>1.0043299999999999</v>
      </c>
      <c r="AV156">
        <f t="shared" si="32"/>
        <v>16.728148148148147</v>
      </c>
      <c r="AW156">
        <f t="shared" si="33"/>
        <v>16.808275977777779</v>
      </c>
      <c r="AX156" s="9"/>
      <c r="AY156" s="21">
        <v>0.63522299999999998</v>
      </c>
      <c r="AZ156" s="21">
        <v>28.9495</v>
      </c>
      <c r="BA156" s="21">
        <v>-1.36139E-2</v>
      </c>
      <c r="BB156" s="21">
        <v>146</v>
      </c>
      <c r="BC156" s="21">
        <v>0.63449100000000003</v>
      </c>
      <c r="BD156">
        <f t="shared" si="34"/>
        <v>16.807283950617283</v>
      </c>
      <c r="BE156">
        <f t="shared" si="35"/>
        <v>10.676373332962962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0.99975599999999998</v>
      </c>
      <c r="H157" s="21">
        <v>7.0697700000000001</v>
      </c>
      <c r="I157" s="21">
        <v>-1.35406E-2</v>
      </c>
      <c r="J157" s="21">
        <v>147</v>
      </c>
      <c r="K157" s="21">
        <v>0.99883999999999995</v>
      </c>
      <c r="L157">
        <f t="shared" si="24"/>
        <v>16.716790123456789</v>
      </c>
      <c r="M157">
        <f t="shared" si="25"/>
        <v>16.712711226666666</v>
      </c>
      <c r="N157" s="9"/>
      <c r="O157" s="21">
        <v>0.64025900000000002</v>
      </c>
      <c r="P157" s="21">
        <v>10.7681</v>
      </c>
      <c r="Q157" s="21">
        <v>-1.36261E-2</v>
      </c>
      <c r="R157" s="21">
        <v>147</v>
      </c>
      <c r="S157" s="21">
        <v>0.63952600000000004</v>
      </c>
      <c r="T157">
        <f t="shared" si="26"/>
        <v>16.822345679012344</v>
      </c>
      <c r="U157">
        <f t="shared" si="27"/>
        <v>10.770658222098765</v>
      </c>
      <c r="X157" s="9"/>
      <c r="Y157" s="21">
        <v>0.99975599999999998</v>
      </c>
      <c r="Z157" s="21">
        <v>16.129000000000001</v>
      </c>
      <c r="AA157" s="21">
        <v>-1.35315E-2</v>
      </c>
      <c r="AB157" s="21">
        <v>147</v>
      </c>
      <c r="AC157" s="21">
        <v>0.99822999999999995</v>
      </c>
      <c r="AD157">
        <f t="shared" si="28"/>
        <v>16.705555555555552</v>
      </c>
      <c r="AE157">
        <f t="shared" si="29"/>
        <v>16.701479399999997</v>
      </c>
      <c r="AF157" s="9"/>
      <c r="AG157" s="21">
        <v>0.64025900000000002</v>
      </c>
      <c r="AH157" s="21">
        <v>19.827400000000001</v>
      </c>
      <c r="AI157" s="21">
        <v>-1.35803E-2</v>
      </c>
      <c r="AJ157" s="21">
        <v>147</v>
      </c>
      <c r="AK157" s="21">
        <v>0.63964799999999999</v>
      </c>
      <c r="AL157">
        <f t="shared" si="30"/>
        <v>16.765802469135803</v>
      </c>
      <c r="AM157">
        <f t="shared" si="31"/>
        <v>10.73445592308642</v>
      </c>
      <c r="AP157" s="9"/>
      <c r="AQ157" s="21">
        <v>0.99975599999999998</v>
      </c>
      <c r="AR157" s="21">
        <v>25.261199999999999</v>
      </c>
      <c r="AS157" s="21">
        <v>-1.35651E-2</v>
      </c>
      <c r="AT157" s="21">
        <v>147</v>
      </c>
      <c r="AU157" s="21">
        <v>0.99883999999999995</v>
      </c>
      <c r="AV157">
        <f t="shared" si="32"/>
        <v>16.747037037037035</v>
      </c>
      <c r="AW157">
        <f t="shared" si="33"/>
        <v>16.742950759999999</v>
      </c>
      <c r="AX157" s="9"/>
      <c r="AY157" s="21">
        <v>0.64025900000000002</v>
      </c>
      <c r="AZ157" s="21">
        <v>28.959499999999998</v>
      </c>
      <c r="BA157" s="21">
        <v>-1.36078E-2</v>
      </c>
      <c r="BB157" s="21">
        <v>147</v>
      </c>
      <c r="BC157" s="21">
        <v>0.639679</v>
      </c>
      <c r="BD157">
        <f t="shared" si="34"/>
        <v>16.799753086419752</v>
      </c>
      <c r="BE157">
        <f t="shared" si="35"/>
        <v>10.756193111358025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0.99472000000000005</v>
      </c>
      <c r="H158" s="21">
        <v>7.0798399999999999</v>
      </c>
      <c r="I158" s="21">
        <v>-1.3546799999999999E-2</v>
      </c>
      <c r="J158" s="21">
        <v>148</v>
      </c>
      <c r="K158" s="21">
        <v>0.99456800000000001</v>
      </c>
      <c r="L158">
        <f t="shared" si="24"/>
        <v>16.72444444444444</v>
      </c>
      <c r="M158">
        <f t="shared" si="25"/>
        <v>16.636139377777774</v>
      </c>
      <c r="N158" s="9"/>
      <c r="O158" s="21">
        <v>0.64529400000000003</v>
      </c>
      <c r="P158" s="21">
        <v>10.7782</v>
      </c>
      <c r="Q158" s="21">
        <v>-1.3629199999999999E-2</v>
      </c>
      <c r="R158" s="21">
        <v>148</v>
      </c>
      <c r="S158" s="21">
        <v>0.64471400000000001</v>
      </c>
      <c r="T158">
        <f t="shared" si="26"/>
        <v>16.826172839506171</v>
      </c>
      <c r="U158">
        <f t="shared" si="27"/>
        <v>10.857828376296295</v>
      </c>
      <c r="X158" s="9"/>
      <c r="Y158" s="21">
        <v>0.99472000000000005</v>
      </c>
      <c r="Z158" s="21">
        <v>16.139099999999999</v>
      </c>
      <c r="AA158" s="21">
        <v>-1.3546799999999999E-2</v>
      </c>
      <c r="AB158" s="21">
        <v>148</v>
      </c>
      <c r="AC158" s="21">
        <v>0.99365199999999998</v>
      </c>
      <c r="AD158">
        <f t="shared" si="28"/>
        <v>16.72444444444444</v>
      </c>
      <c r="AE158">
        <f t="shared" si="29"/>
        <v>16.636139377777774</v>
      </c>
      <c r="AF158" s="9"/>
      <c r="AG158" s="21">
        <v>0.64529400000000003</v>
      </c>
      <c r="AH158" s="21">
        <v>19.837399999999999</v>
      </c>
      <c r="AI158" s="21">
        <v>-1.35864E-2</v>
      </c>
      <c r="AJ158" s="21">
        <v>148</v>
      </c>
      <c r="AK158" s="21">
        <v>0.64468400000000003</v>
      </c>
      <c r="AL158">
        <f t="shared" si="30"/>
        <v>16.77333333333333</v>
      </c>
      <c r="AM158">
        <f t="shared" si="31"/>
        <v>10.823731359999998</v>
      </c>
      <c r="AP158" s="9"/>
      <c r="AQ158" s="21">
        <v>0.99472000000000005</v>
      </c>
      <c r="AR158" s="21">
        <v>25.2713</v>
      </c>
      <c r="AS158" s="21">
        <v>-1.35773E-2</v>
      </c>
      <c r="AT158" s="21">
        <v>148</v>
      </c>
      <c r="AU158" s="21">
        <v>0.99365199999999998</v>
      </c>
      <c r="AV158">
        <f t="shared" si="32"/>
        <v>16.7620987654321</v>
      </c>
      <c r="AW158">
        <f t="shared" si="33"/>
        <v>16.673594883950621</v>
      </c>
      <c r="AX158" s="9"/>
      <c r="AY158" s="21">
        <v>0.64529400000000003</v>
      </c>
      <c r="AZ158" s="21">
        <v>28.9696</v>
      </c>
      <c r="BA158" s="21">
        <v>-1.3610799999999999E-2</v>
      </c>
      <c r="BB158" s="21">
        <v>148</v>
      </c>
      <c r="BC158" s="21">
        <v>0.64465300000000003</v>
      </c>
      <c r="BD158">
        <f t="shared" si="34"/>
        <v>16.803456790123455</v>
      </c>
      <c r="BE158">
        <f t="shared" si="35"/>
        <v>10.843169845925926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0.98968500000000004</v>
      </c>
      <c r="H159" s="21">
        <v>7.0899099999999997</v>
      </c>
      <c r="I159" s="21">
        <v>-1.3561999999999999E-2</v>
      </c>
      <c r="J159" s="21">
        <v>149</v>
      </c>
      <c r="K159" s="21">
        <v>0.98907500000000004</v>
      </c>
      <c r="L159">
        <f t="shared" si="24"/>
        <v>16.743209876543208</v>
      </c>
      <c r="M159">
        <f t="shared" si="25"/>
        <v>16.570503666666667</v>
      </c>
      <c r="N159" s="9"/>
      <c r="O159" s="21">
        <v>0.65032999999999996</v>
      </c>
      <c r="P159" s="21">
        <v>10.7882</v>
      </c>
      <c r="Q159" s="21">
        <v>-1.36414E-2</v>
      </c>
      <c r="R159" s="21">
        <v>149</v>
      </c>
      <c r="S159" s="21">
        <v>0.64959699999999998</v>
      </c>
      <c r="T159">
        <f t="shared" si="26"/>
        <v>16.841234567901232</v>
      </c>
      <c r="U159">
        <f t="shared" si="27"/>
        <v>10.952360076543208</v>
      </c>
      <c r="X159" s="9"/>
      <c r="Y159" s="21">
        <v>0.98968500000000004</v>
      </c>
      <c r="Z159" s="21">
        <v>16.149100000000001</v>
      </c>
      <c r="AA159" s="21">
        <v>-1.3561999999999999E-2</v>
      </c>
      <c r="AB159" s="21">
        <v>149</v>
      </c>
      <c r="AC159" s="21">
        <v>0.98846400000000001</v>
      </c>
      <c r="AD159">
        <f t="shared" si="28"/>
        <v>16.743209876543208</v>
      </c>
      <c r="AE159">
        <f t="shared" si="29"/>
        <v>16.570503666666667</v>
      </c>
      <c r="AF159" s="9"/>
      <c r="AG159" s="21">
        <v>0.65032999999999996</v>
      </c>
      <c r="AH159" s="21">
        <v>19.8475</v>
      </c>
      <c r="AI159" s="21">
        <v>-1.3598600000000001E-2</v>
      </c>
      <c r="AJ159" s="21">
        <v>149</v>
      </c>
      <c r="AK159" s="21">
        <v>0.64965799999999996</v>
      </c>
      <c r="AL159">
        <f t="shared" si="30"/>
        <v>16.788395061728394</v>
      </c>
      <c r="AM159">
        <f t="shared" si="31"/>
        <v>10.917996960493825</v>
      </c>
      <c r="AP159" s="9"/>
      <c r="AQ159" s="21">
        <v>0.98968500000000004</v>
      </c>
      <c r="AR159" s="21">
        <v>25.281300000000002</v>
      </c>
      <c r="AS159" s="21">
        <v>-1.35925E-2</v>
      </c>
      <c r="AT159" s="21">
        <v>149</v>
      </c>
      <c r="AU159" s="21">
        <v>0.98877000000000004</v>
      </c>
      <c r="AV159">
        <f t="shared" si="32"/>
        <v>16.780864197530864</v>
      </c>
      <c r="AW159">
        <f t="shared" si="33"/>
        <v>16.607769583333333</v>
      </c>
      <c r="AX159" s="9"/>
      <c r="AY159" s="21">
        <v>0.65032999999999996</v>
      </c>
      <c r="AZ159" s="21">
        <v>28.979700000000001</v>
      </c>
      <c r="BA159" s="21">
        <v>-1.3629199999999999E-2</v>
      </c>
      <c r="BB159" s="21">
        <v>149</v>
      </c>
      <c r="BC159" s="21">
        <v>0.64975000000000005</v>
      </c>
      <c r="BD159">
        <f t="shared" si="34"/>
        <v>16.826172839506171</v>
      </c>
      <c r="BE159">
        <f t="shared" si="35"/>
        <v>10.942564982716048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0.98465000000000003</v>
      </c>
      <c r="H160" s="21">
        <v>7.0999800000000004</v>
      </c>
      <c r="I160" s="21">
        <v>-1.35651E-2</v>
      </c>
      <c r="J160" s="21">
        <v>150</v>
      </c>
      <c r="K160" s="21">
        <v>0.98388699999999996</v>
      </c>
      <c r="L160">
        <f t="shared" si="24"/>
        <v>16.747037037037035</v>
      </c>
      <c r="M160">
        <f t="shared" si="25"/>
        <v>16.489970018518516</v>
      </c>
      <c r="N160" s="9"/>
      <c r="O160" s="21">
        <v>0.65536499999999998</v>
      </c>
      <c r="P160" s="21">
        <v>10.798299999999999</v>
      </c>
      <c r="Q160" s="21">
        <v>-1.36414E-2</v>
      </c>
      <c r="R160" s="21">
        <v>150</v>
      </c>
      <c r="S160" s="21">
        <v>0.65475499999999998</v>
      </c>
      <c r="T160">
        <f t="shared" si="26"/>
        <v>16.841234567901232</v>
      </c>
      <c r="U160">
        <f t="shared" si="27"/>
        <v>11.03715569259259</v>
      </c>
      <c r="X160" s="9"/>
      <c r="Y160" s="21">
        <v>0.98465000000000003</v>
      </c>
      <c r="Z160" s="21">
        <v>16.159199999999998</v>
      </c>
      <c r="AA160" s="21">
        <v>-1.35681E-2</v>
      </c>
      <c r="AB160" s="21">
        <v>150</v>
      </c>
      <c r="AC160" s="21">
        <v>0.98358199999999996</v>
      </c>
      <c r="AD160">
        <f t="shared" si="28"/>
        <v>16.750740740740738</v>
      </c>
      <c r="AE160">
        <f t="shared" si="29"/>
        <v>16.493616870370367</v>
      </c>
      <c r="AF160" s="9"/>
      <c r="AG160" s="21">
        <v>0.65536499999999998</v>
      </c>
      <c r="AH160" s="21">
        <v>19.857600000000001</v>
      </c>
      <c r="AI160" s="21">
        <v>-1.35925E-2</v>
      </c>
      <c r="AJ160" s="21">
        <v>150</v>
      </c>
      <c r="AK160" s="21">
        <v>0.65475499999999998</v>
      </c>
      <c r="AL160">
        <f t="shared" si="30"/>
        <v>16.780864197530864</v>
      </c>
      <c r="AM160">
        <f t="shared" si="31"/>
        <v>10.997591064814815</v>
      </c>
      <c r="AP160" s="9"/>
      <c r="AQ160" s="21">
        <v>0.98465000000000003</v>
      </c>
      <c r="AR160" s="21">
        <v>25.291399999999999</v>
      </c>
      <c r="AS160" s="21">
        <v>-1.3598600000000001E-2</v>
      </c>
      <c r="AT160" s="21">
        <v>150</v>
      </c>
      <c r="AU160" s="21">
        <v>0.98388699999999996</v>
      </c>
      <c r="AV160">
        <f t="shared" si="32"/>
        <v>16.788395061728394</v>
      </c>
      <c r="AW160">
        <f t="shared" si="33"/>
        <v>16.530693197530862</v>
      </c>
      <c r="AX160" s="9"/>
      <c r="AY160" s="21">
        <v>0.65536499999999998</v>
      </c>
      <c r="AZ160" s="21">
        <v>28.989799999999999</v>
      </c>
      <c r="BA160" s="21">
        <v>-1.3644399999999999E-2</v>
      </c>
      <c r="BB160" s="21">
        <v>150</v>
      </c>
      <c r="BC160" s="21">
        <v>0.65475499999999998</v>
      </c>
      <c r="BD160">
        <f t="shared" si="34"/>
        <v>16.844938271604939</v>
      </c>
      <c r="BE160">
        <f t="shared" si="35"/>
        <v>11.03958297037037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0.97961399999999998</v>
      </c>
      <c r="H161" s="21">
        <v>7.1100500000000002</v>
      </c>
      <c r="I161" s="21">
        <v>-1.35681E-2</v>
      </c>
      <c r="J161" s="21">
        <v>151</v>
      </c>
      <c r="K161" s="21">
        <v>0.97961399999999998</v>
      </c>
      <c r="L161">
        <f t="shared" si="24"/>
        <v>16.750740740740738</v>
      </c>
      <c r="M161">
        <f t="shared" si="25"/>
        <v>16.409260139999997</v>
      </c>
      <c r="N161" s="9"/>
      <c r="O161" s="21">
        <v>0.66039999999999999</v>
      </c>
      <c r="P161" s="21">
        <v>10.808400000000001</v>
      </c>
      <c r="Q161" s="21">
        <v>-1.36536E-2</v>
      </c>
      <c r="R161" s="21">
        <v>151</v>
      </c>
      <c r="S161" s="21">
        <v>0.65985099999999997</v>
      </c>
      <c r="T161">
        <f t="shared" si="26"/>
        <v>16.856296296296296</v>
      </c>
      <c r="U161">
        <f t="shared" si="27"/>
        <v>11.131898074074075</v>
      </c>
      <c r="X161" s="9"/>
      <c r="Y161" s="21">
        <v>0.97961399999999998</v>
      </c>
      <c r="Z161" s="21">
        <v>16.1693</v>
      </c>
      <c r="AA161" s="21">
        <v>-1.35803E-2</v>
      </c>
      <c r="AB161" s="21">
        <v>151</v>
      </c>
      <c r="AC161" s="21">
        <v>0.97900399999999999</v>
      </c>
      <c r="AD161">
        <f t="shared" si="28"/>
        <v>16.765802469135803</v>
      </c>
      <c r="AE161">
        <f t="shared" si="29"/>
        <v>16.42401482</v>
      </c>
      <c r="AF161" s="9"/>
      <c r="AG161" s="21">
        <v>0.66039999999999999</v>
      </c>
      <c r="AH161" s="21">
        <v>19.867599999999999</v>
      </c>
      <c r="AI161" s="21">
        <v>-1.3595599999999999E-2</v>
      </c>
      <c r="AJ161" s="21">
        <v>151</v>
      </c>
      <c r="AK161" s="21">
        <v>0.65972900000000001</v>
      </c>
      <c r="AL161">
        <f t="shared" si="30"/>
        <v>16.784691358024691</v>
      </c>
      <c r="AM161">
        <f t="shared" si="31"/>
        <v>11.084610172839506</v>
      </c>
      <c r="AP161" s="9"/>
      <c r="AQ161" s="21">
        <v>0.97961399999999998</v>
      </c>
      <c r="AR161" s="21">
        <v>25.301500000000001</v>
      </c>
      <c r="AS161" s="21">
        <v>-1.36017E-2</v>
      </c>
      <c r="AT161" s="21">
        <v>151</v>
      </c>
      <c r="AU161" s="21">
        <v>0.97869899999999999</v>
      </c>
      <c r="AV161">
        <f t="shared" si="32"/>
        <v>16.792222222222222</v>
      </c>
      <c r="AW161">
        <f t="shared" si="33"/>
        <v>16.449895980000001</v>
      </c>
      <c r="AX161" s="9"/>
      <c r="AY161" s="21">
        <v>0.66039999999999999</v>
      </c>
      <c r="AZ161" s="21">
        <v>28.9998</v>
      </c>
      <c r="BA161" s="21">
        <v>-1.36566E-2</v>
      </c>
      <c r="BB161" s="21">
        <v>151</v>
      </c>
      <c r="BC161" s="21">
        <v>0.65972900000000001</v>
      </c>
      <c r="BD161">
        <f t="shared" si="34"/>
        <v>16.86</v>
      </c>
      <c r="BE161">
        <f t="shared" si="35"/>
        <v>11.134343999999999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0.97457899999999997</v>
      </c>
      <c r="H162" s="21">
        <v>7.12012</v>
      </c>
      <c r="I162" s="21">
        <v>-1.35681E-2</v>
      </c>
      <c r="J162" s="21">
        <v>152</v>
      </c>
      <c r="K162" s="21">
        <v>0.97351100000000002</v>
      </c>
      <c r="L162">
        <f t="shared" si="24"/>
        <v>16.750740740740738</v>
      </c>
      <c r="M162">
        <f t="shared" si="25"/>
        <v>16.324920160370368</v>
      </c>
      <c r="N162" s="9"/>
      <c r="O162" s="21">
        <v>0.66543600000000003</v>
      </c>
      <c r="P162" s="21">
        <v>10.8185</v>
      </c>
      <c r="Q162" s="21">
        <v>-1.36597E-2</v>
      </c>
      <c r="R162" s="21">
        <v>152</v>
      </c>
      <c r="S162" s="21">
        <v>0.66473400000000005</v>
      </c>
      <c r="T162">
        <f t="shared" si="26"/>
        <v>16.863827160493827</v>
      </c>
      <c r="U162">
        <f t="shared" si="27"/>
        <v>11.221797690370371</v>
      </c>
      <c r="X162" s="9"/>
      <c r="Y162" s="21">
        <v>0.97457899999999997</v>
      </c>
      <c r="Z162" s="21">
        <v>16.179300000000001</v>
      </c>
      <c r="AA162" s="21">
        <v>-1.3589499999999999E-2</v>
      </c>
      <c r="AB162" s="21">
        <v>152</v>
      </c>
      <c r="AC162" s="21">
        <v>0.97259499999999999</v>
      </c>
      <c r="AD162">
        <f t="shared" si="28"/>
        <v>16.777160493827161</v>
      </c>
      <c r="AE162">
        <f t="shared" si="29"/>
        <v>16.350668296913579</v>
      </c>
      <c r="AF162" s="9"/>
      <c r="AG162" s="21">
        <v>0.66543600000000003</v>
      </c>
      <c r="AH162" s="21">
        <v>19.877700000000001</v>
      </c>
      <c r="AI162" s="21">
        <v>-1.3583400000000001E-2</v>
      </c>
      <c r="AJ162" s="21">
        <v>152</v>
      </c>
      <c r="AK162" s="21">
        <v>0.66479500000000002</v>
      </c>
      <c r="AL162">
        <f t="shared" si="30"/>
        <v>16.76962962962963</v>
      </c>
      <c r="AM162">
        <f t="shared" si="31"/>
        <v>11.159115262222222</v>
      </c>
      <c r="AP162" s="9"/>
      <c r="AQ162" s="21">
        <v>0.97457899999999997</v>
      </c>
      <c r="AR162" s="21">
        <v>25.311599999999999</v>
      </c>
      <c r="AS162" s="21">
        <v>-1.36017E-2</v>
      </c>
      <c r="AT162" s="21">
        <v>152</v>
      </c>
      <c r="AU162" s="21">
        <v>0.97351100000000002</v>
      </c>
      <c r="AV162">
        <f t="shared" si="32"/>
        <v>16.792222222222222</v>
      </c>
      <c r="AW162">
        <f t="shared" si="33"/>
        <v>16.365347141111108</v>
      </c>
      <c r="AX162" s="9"/>
      <c r="AY162" s="21">
        <v>0.66543600000000003</v>
      </c>
      <c r="AZ162" s="21">
        <v>29.009899999999998</v>
      </c>
      <c r="BA162" s="21">
        <v>-1.36475E-2</v>
      </c>
      <c r="BB162" s="21">
        <v>152</v>
      </c>
      <c r="BC162" s="21">
        <v>0.66479500000000002</v>
      </c>
      <c r="BD162">
        <f t="shared" si="34"/>
        <v>16.848765432098766</v>
      </c>
      <c r="BE162">
        <f t="shared" si="35"/>
        <v>11.211775074074074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0.96954300000000004</v>
      </c>
      <c r="H163" s="21">
        <v>7.1301899999999998</v>
      </c>
      <c r="I163" s="21">
        <v>-1.35773E-2</v>
      </c>
      <c r="J163" s="21">
        <v>153</v>
      </c>
      <c r="K163" s="21">
        <v>0.96862800000000004</v>
      </c>
      <c r="L163">
        <f t="shared" si="24"/>
        <v>16.7620987654321</v>
      </c>
      <c r="M163">
        <f t="shared" si="25"/>
        <v>16.251575523333337</v>
      </c>
      <c r="N163" s="9"/>
      <c r="O163" s="21">
        <v>0.67047100000000004</v>
      </c>
      <c r="P163" s="21">
        <v>10.8285</v>
      </c>
      <c r="Q163" s="21">
        <v>-1.36566E-2</v>
      </c>
      <c r="R163" s="21">
        <v>153</v>
      </c>
      <c r="S163" s="21">
        <v>0.66983000000000004</v>
      </c>
      <c r="T163">
        <f t="shared" si="26"/>
        <v>16.86</v>
      </c>
      <c r="U163">
        <f t="shared" si="27"/>
        <v>11.304141060000001</v>
      </c>
      <c r="X163" s="9"/>
      <c r="Y163" s="21">
        <v>0.96954300000000004</v>
      </c>
      <c r="Z163" s="21">
        <v>16.189399999999999</v>
      </c>
      <c r="AA163" s="21">
        <v>-1.3598600000000001E-2</v>
      </c>
      <c r="AB163" s="21">
        <v>153</v>
      </c>
      <c r="AC163" s="21">
        <v>0.96893300000000004</v>
      </c>
      <c r="AD163">
        <f t="shared" si="28"/>
        <v>16.788395061728394</v>
      </c>
      <c r="AE163">
        <f t="shared" si="29"/>
        <v>16.277070913333333</v>
      </c>
      <c r="AF163" s="9"/>
      <c r="AG163" s="21">
        <v>0.67047100000000004</v>
      </c>
      <c r="AH163" s="21">
        <v>19.887799999999999</v>
      </c>
      <c r="AI163" s="21">
        <v>-1.35773E-2</v>
      </c>
      <c r="AJ163" s="21">
        <v>153</v>
      </c>
      <c r="AK163" s="21">
        <v>0.66970799999999997</v>
      </c>
      <c r="AL163">
        <f t="shared" si="30"/>
        <v>16.7620987654321</v>
      </c>
      <c r="AM163">
        <f t="shared" si="31"/>
        <v>11.238501121358025</v>
      </c>
      <c r="AP163" s="9"/>
      <c r="AQ163" s="21">
        <v>0.96954300000000004</v>
      </c>
      <c r="AR163" s="21">
        <v>25.3216</v>
      </c>
      <c r="AS163" s="21">
        <v>-1.36017E-2</v>
      </c>
      <c r="AT163" s="21">
        <v>153</v>
      </c>
      <c r="AU163" s="21">
        <v>0.96862800000000004</v>
      </c>
      <c r="AV163">
        <f t="shared" si="32"/>
        <v>16.792222222222222</v>
      </c>
      <c r="AW163">
        <f t="shared" si="33"/>
        <v>16.280781510000001</v>
      </c>
      <c r="AX163" s="9"/>
      <c r="AY163" s="21">
        <v>0.67047100000000004</v>
      </c>
      <c r="AZ163" s="21">
        <v>29.02</v>
      </c>
      <c r="BA163" s="21">
        <v>-1.36414E-2</v>
      </c>
      <c r="BB163" s="21">
        <v>153</v>
      </c>
      <c r="BC163" s="21">
        <v>0.66976899999999995</v>
      </c>
      <c r="BD163">
        <f t="shared" si="34"/>
        <v>16.841234567901232</v>
      </c>
      <c r="BE163">
        <f t="shared" si="35"/>
        <v>11.291559381975308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0.96450800000000003</v>
      </c>
      <c r="H164" s="21">
        <v>7.1402599999999996</v>
      </c>
      <c r="I164" s="21">
        <v>-1.3583400000000001E-2</v>
      </c>
      <c r="J164" s="21">
        <v>154</v>
      </c>
      <c r="K164" s="21">
        <v>0.96313499999999996</v>
      </c>
      <c r="L164">
        <f t="shared" si="24"/>
        <v>16.76962962962963</v>
      </c>
      <c r="M164">
        <f t="shared" si="25"/>
        <v>16.174441934814816</v>
      </c>
      <c r="N164" s="9"/>
      <c r="O164" s="21">
        <v>0.67550699999999997</v>
      </c>
      <c r="P164" s="21">
        <v>10.8386</v>
      </c>
      <c r="Q164" s="21">
        <v>-1.3650499999999999E-2</v>
      </c>
      <c r="R164" s="21">
        <v>154</v>
      </c>
      <c r="S164" s="21">
        <v>0.67486599999999997</v>
      </c>
      <c r="T164">
        <f t="shared" si="26"/>
        <v>16.852469135802469</v>
      </c>
      <c r="U164">
        <f t="shared" si="27"/>
        <v>11.383960868518518</v>
      </c>
      <c r="X164" s="9"/>
      <c r="Y164" s="21">
        <v>0.96450800000000003</v>
      </c>
      <c r="Z164" s="21">
        <v>16.1995</v>
      </c>
      <c r="AA164" s="21">
        <v>-1.3598600000000001E-2</v>
      </c>
      <c r="AB164" s="21">
        <v>154</v>
      </c>
      <c r="AC164" s="21">
        <v>0.96313499999999996</v>
      </c>
      <c r="AD164">
        <f t="shared" si="28"/>
        <v>16.788395061728394</v>
      </c>
      <c r="AE164">
        <f t="shared" si="29"/>
        <v>16.192541344197529</v>
      </c>
      <c r="AF164" s="9"/>
      <c r="AG164" s="21">
        <v>0.67550699999999997</v>
      </c>
      <c r="AH164" s="21">
        <v>19.8978</v>
      </c>
      <c r="AI164" s="21">
        <v>-1.35712E-2</v>
      </c>
      <c r="AJ164" s="21">
        <v>154</v>
      </c>
      <c r="AK164" s="21">
        <v>0.67483499999999996</v>
      </c>
      <c r="AL164">
        <f t="shared" si="30"/>
        <v>16.754567901234566</v>
      </c>
      <c r="AM164">
        <f t="shared" si="31"/>
        <v>11.317827899259257</v>
      </c>
      <c r="AP164" s="9"/>
      <c r="AQ164" s="21">
        <v>0.96450800000000003</v>
      </c>
      <c r="AR164" s="21">
        <v>25.331700000000001</v>
      </c>
      <c r="AS164" s="21">
        <v>-1.3583400000000001E-2</v>
      </c>
      <c r="AT164" s="21">
        <v>154</v>
      </c>
      <c r="AU164" s="21">
        <v>0.96343999999999996</v>
      </c>
      <c r="AV164">
        <f t="shared" si="32"/>
        <v>16.76962962962963</v>
      </c>
      <c r="AW164">
        <f t="shared" si="33"/>
        <v>16.174441934814816</v>
      </c>
      <c r="AX164" s="9"/>
      <c r="AY164" s="21">
        <v>0.67550699999999997</v>
      </c>
      <c r="AZ164" s="21">
        <v>29.03</v>
      </c>
      <c r="BA164" s="21">
        <v>-1.3629199999999999E-2</v>
      </c>
      <c r="BB164" s="21">
        <v>154</v>
      </c>
      <c r="BC164" s="21">
        <v>0.67486599999999997</v>
      </c>
      <c r="BD164">
        <f t="shared" si="34"/>
        <v>16.826172839506171</v>
      </c>
      <c r="BE164">
        <f t="shared" si="35"/>
        <v>11.366197536296294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0.95947300000000002</v>
      </c>
      <c r="H165" s="21">
        <v>7.1503300000000003</v>
      </c>
      <c r="I165" s="21">
        <v>-1.35925E-2</v>
      </c>
      <c r="J165" s="21">
        <v>155</v>
      </c>
      <c r="K165" s="21">
        <v>0.95855699999999999</v>
      </c>
      <c r="L165">
        <f t="shared" si="24"/>
        <v>16.780864197530864</v>
      </c>
      <c r="M165">
        <f t="shared" si="25"/>
        <v>16.100786114197533</v>
      </c>
      <c r="N165" s="9"/>
      <c r="O165" s="21">
        <v>0.68054199999999998</v>
      </c>
      <c r="P165" s="21">
        <v>10.848699999999999</v>
      </c>
      <c r="Q165" s="21">
        <v>-1.3644399999999999E-2</v>
      </c>
      <c r="R165" s="21">
        <v>155</v>
      </c>
      <c r="S165" s="21">
        <v>0.67981000000000003</v>
      </c>
      <c r="T165">
        <f t="shared" si="26"/>
        <v>16.844938271604939</v>
      </c>
      <c r="U165">
        <f t="shared" si="27"/>
        <v>11.463687981234568</v>
      </c>
      <c r="X165" s="9"/>
      <c r="Y165" s="21">
        <v>0.95947300000000002</v>
      </c>
      <c r="Z165" s="21">
        <v>16.209499999999998</v>
      </c>
      <c r="AA165" s="21">
        <v>-1.35864E-2</v>
      </c>
      <c r="AB165" s="21">
        <v>155</v>
      </c>
      <c r="AC165" s="21">
        <v>0.95855699999999999</v>
      </c>
      <c r="AD165">
        <f t="shared" si="28"/>
        <v>16.77333333333333</v>
      </c>
      <c r="AE165">
        <f t="shared" si="29"/>
        <v>16.093560453333332</v>
      </c>
      <c r="AF165" s="9"/>
      <c r="AG165" s="21">
        <v>0.68054199999999998</v>
      </c>
      <c r="AH165" s="21">
        <v>19.907900000000001</v>
      </c>
      <c r="AI165" s="21">
        <v>-1.3583400000000001E-2</v>
      </c>
      <c r="AJ165" s="21">
        <v>155</v>
      </c>
      <c r="AK165" s="21">
        <v>0.67984</v>
      </c>
      <c r="AL165">
        <f t="shared" si="30"/>
        <v>16.76962962962963</v>
      </c>
      <c r="AM165">
        <f t="shared" si="31"/>
        <v>11.412437287407407</v>
      </c>
      <c r="AP165" s="9"/>
      <c r="AQ165" s="21">
        <v>0.95947300000000002</v>
      </c>
      <c r="AR165" s="21">
        <v>25.341799999999999</v>
      </c>
      <c r="AS165" s="21">
        <v>-1.35773E-2</v>
      </c>
      <c r="AT165" s="21">
        <v>155</v>
      </c>
      <c r="AU165" s="21">
        <v>0.95825199999999999</v>
      </c>
      <c r="AV165">
        <f t="shared" si="32"/>
        <v>16.7620987654321</v>
      </c>
      <c r="AW165">
        <f t="shared" si="33"/>
        <v>16.082781188765434</v>
      </c>
      <c r="AX165" s="9"/>
      <c r="AY165" s="21">
        <v>0.68054199999999998</v>
      </c>
      <c r="AZ165" s="21">
        <v>29.040099999999999</v>
      </c>
      <c r="BA165" s="21">
        <v>-1.3610799999999999E-2</v>
      </c>
      <c r="BB165" s="21">
        <v>155</v>
      </c>
      <c r="BC165" s="21">
        <v>0.67984</v>
      </c>
      <c r="BD165">
        <f t="shared" si="34"/>
        <v>16.803456790123455</v>
      </c>
      <c r="BE165">
        <f t="shared" si="35"/>
        <v>11.435458090864197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0.95443699999999998</v>
      </c>
      <c r="H166" s="21">
        <v>7.1604099999999997</v>
      </c>
      <c r="I166" s="21">
        <v>-1.3589499999999999E-2</v>
      </c>
      <c r="J166" s="21">
        <v>156</v>
      </c>
      <c r="K166" s="21">
        <v>0.95397900000000002</v>
      </c>
      <c r="L166">
        <f t="shared" si="24"/>
        <v>16.777160493827161</v>
      </c>
      <c r="M166">
        <f t="shared" si="25"/>
        <v>16.012742730246913</v>
      </c>
      <c r="N166" s="9"/>
      <c r="O166" s="21">
        <v>0.68557699999999999</v>
      </c>
      <c r="P166" s="21">
        <v>10.858700000000001</v>
      </c>
      <c r="Q166" s="21">
        <v>-1.3638300000000001E-2</v>
      </c>
      <c r="R166" s="21">
        <v>156</v>
      </c>
      <c r="S166" s="21">
        <v>0.68490600000000001</v>
      </c>
      <c r="T166">
        <f t="shared" si="26"/>
        <v>16.837407407407408</v>
      </c>
      <c r="U166">
        <f t="shared" si="27"/>
        <v>11.543339258148148</v>
      </c>
      <c r="X166" s="9"/>
      <c r="Y166" s="21">
        <v>0.95443699999999998</v>
      </c>
      <c r="Z166" s="21">
        <v>16.2196</v>
      </c>
      <c r="AA166" s="21">
        <v>-1.3583400000000001E-2</v>
      </c>
      <c r="AB166" s="21">
        <v>156</v>
      </c>
      <c r="AC166" s="21">
        <v>0.95367400000000002</v>
      </c>
      <c r="AD166">
        <f t="shared" si="28"/>
        <v>16.76962962962963</v>
      </c>
      <c r="AE166">
        <f t="shared" si="29"/>
        <v>16.005554994814815</v>
      </c>
      <c r="AF166" s="9"/>
      <c r="AG166" s="21">
        <v>0.68557699999999999</v>
      </c>
      <c r="AH166" s="21">
        <v>19.917999999999999</v>
      </c>
      <c r="AI166" s="21">
        <v>-1.3604700000000001E-2</v>
      </c>
      <c r="AJ166" s="21">
        <v>156</v>
      </c>
      <c r="AK166" s="21">
        <v>0.68502799999999997</v>
      </c>
      <c r="AL166">
        <f t="shared" si="30"/>
        <v>16.795925925925925</v>
      </c>
      <c r="AM166">
        <f t="shared" si="31"/>
        <v>11.514900508518517</v>
      </c>
      <c r="AP166" s="9"/>
      <c r="AQ166" s="21">
        <v>0.95443699999999998</v>
      </c>
      <c r="AR166" s="21">
        <v>25.351800000000001</v>
      </c>
      <c r="AS166" s="21">
        <v>-1.35742E-2</v>
      </c>
      <c r="AT166" s="21">
        <v>156</v>
      </c>
      <c r="AU166" s="21">
        <v>0.95336900000000002</v>
      </c>
      <c r="AV166">
        <f t="shared" si="32"/>
        <v>16.758271604938273</v>
      </c>
      <c r="AW166">
        <f t="shared" si="33"/>
        <v>15.99471447580247</v>
      </c>
      <c r="AX166" s="9"/>
      <c r="AY166" s="21">
        <v>0.68557699999999999</v>
      </c>
      <c r="AZ166" s="21">
        <v>29.0502</v>
      </c>
      <c r="BA166" s="21">
        <v>-1.3604700000000001E-2</v>
      </c>
      <c r="BB166" s="21">
        <v>156</v>
      </c>
      <c r="BC166" s="21">
        <v>0.68493700000000002</v>
      </c>
      <c r="BD166">
        <f t="shared" si="34"/>
        <v>16.795925925925925</v>
      </c>
      <c r="BE166">
        <f t="shared" si="35"/>
        <v>11.514900508518517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0.94940199999999997</v>
      </c>
      <c r="H167" s="21">
        <v>7.1704800000000004</v>
      </c>
      <c r="I167" s="21">
        <v>-1.35864E-2</v>
      </c>
      <c r="J167" s="21">
        <v>157</v>
      </c>
      <c r="K167" s="21">
        <v>0.94818100000000005</v>
      </c>
      <c r="L167">
        <f t="shared" si="24"/>
        <v>16.77333333333333</v>
      </c>
      <c r="M167">
        <f t="shared" si="25"/>
        <v>15.924636213333329</v>
      </c>
      <c r="N167" s="9"/>
      <c r="O167" s="21">
        <v>0.69061300000000003</v>
      </c>
      <c r="P167" s="21">
        <v>10.8688</v>
      </c>
      <c r="Q167" s="21">
        <v>-1.36414E-2</v>
      </c>
      <c r="R167" s="21">
        <v>157</v>
      </c>
      <c r="S167" s="21">
        <v>0.68994100000000003</v>
      </c>
      <c r="T167">
        <f t="shared" si="26"/>
        <v>16.841234567901232</v>
      </c>
      <c r="U167">
        <f t="shared" si="27"/>
        <v>11.630775528641975</v>
      </c>
      <c r="X167" s="9"/>
      <c r="Y167" s="21">
        <v>0.94940199999999997</v>
      </c>
      <c r="Z167" s="21">
        <v>16.229700000000001</v>
      </c>
      <c r="AA167" s="21">
        <v>-1.3583400000000001E-2</v>
      </c>
      <c r="AB167" s="21">
        <v>157</v>
      </c>
      <c r="AC167" s="21">
        <v>0.94818100000000005</v>
      </c>
      <c r="AD167">
        <f t="shared" si="28"/>
        <v>16.76962962962963</v>
      </c>
      <c r="AE167">
        <f t="shared" si="29"/>
        <v>15.921119909629629</v>
      </c>
      <c r="AF167" s="9"/>
      <c r="AG167" s="21">
        <v>0.69061300000000003</v>
      </c>
      <c r="AH167" s="21">
        <v>19.928100000000001</v>
      </c>
      <c r="AI167" s="21">
        <v>-1.36017E-2</v>
      </c>
      <c r="AJ167" s="21">
        <v>157</v>
      </c>
      <c r="AK167" s="21">
        <v>0.68997200000000003</v>
      </c>
      <c r="AL167">
        <f t="shared" si="30"/>
        <v>16.792222222222222</v>
      </c>
      <c r="AM167">
        <f t="shared" si="31"/>
        <v>11.596926965555555</v>
      </c>
      <c r="AP167" s="9"/>
      <c r="AQ167" s="21">
        <v>0.94940199999999997</v>
      </c>
      <c r="AR167" s="21">
        <v>25.361899999999999</v>
      </c>
      <c r="AS167" s="21">
        <v>-1.35803E-2</v>
      </c>
      <c r="AT167" s="21">
        <v>157</v>
      </c>
      <c r="AU167" s="21">
        <v>0.94879199999999997</v>
      </c>
      <c r="AV167">
        <f t="shared" si="32"/>
        <v>16.765802469135803</v>
      </c>
      <c r="AW167">
        <f t="shared" si="33"/>
        <v>15.917486395802468</v>
      </c>
      <c r="AX167" s="9"/>
      <c r="AY167" s="21">
        <v>0.69061300000000003</v>
      </c>
      <c r="AZ167" s="21">
        <v>29.060199999999998</v>
      </c>
      <c r="BA167" s="21">
        <v>-1.36078E-2</v>
      </c>
      <c r="BB167" s="21">
        <v>157</v>
      </c>
      <c r="BC167" s="21">
        <v>0.68994100000000003</v>
      </c>
      <c r="BD167">
        <f t="shared" si="34"/>
        <v>16.799753086419752</v>
      </c>
      <c r="BE167">
        <f t="shared" si="35"/>
        <v>11.602127878271604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0.94436600000000004</v>
      </c>
      <c r="H168" s="21">
        <v>7.1805500000000002</v>
      </c>
      <c r="I168" s="21">
        <v>-1.3589499999999999E-2</v>
      </c>
      <c r="J168" s="21">
        <v>158</v>
      </c>
      <c r="K168" s="21">
        <v>0.94299299999999997</v>
      </c>
      <c r="L168">
        <f t="shared" si="24"/>
        <v>16.777160493827161</v>
      </c>
      <c r="M168">
        <f t="shared" si="25"/>
        <v>15.843779946913582</v>
      </c>
      <c r="N168" s="9"/>
      <c r="O168" s="21">
        <v>0.69564800000000004</v>
      </c>
      <c r="P168" s="21">
        <v>10.8789</v>
      </c>
      <c r="Q168" s="21">
        <v>-1.36414E-2</v>
      </c>
      <c r="R168" s="21">
        <v>158</v>
      </c>
      <c r="S168" s="21">
        <v>0.69491599999999998</v>
      </c>
      <c r="T168">
        <f t="shared" si="26"/>
        <v>16.841234567901232</v>
      </c>
      <c r="U168">
        <f t="shared" si="27"/>
        <v>11.715571144691356</v>
      </c>
      <c r="X168" s="9"/>
      <c r="Y168" s="21">
        <v>0.94436600000000004</v>
      </c>
      <c r="Z168" s="21">
        <v>16.239799999999999</v>
      </c>
      <c r="AA168" s="21">
        <v>-1.3583400000000001E-2</v>
      </c>
      <c r="AB168" s="21">
        <v>158</v>
      </c>
      <c r="AC168" s="21">
        <v>0.943909</v>
      </c>
      <c r="AD168">
        <f t="shared" si="28"/>
        <v>16.76962962962963</v>
      </c>
      <c r="AE168">
        <f t="shared" si="29"/>
        <v>15.836668054814815</v>
      </c>
      <c r="AF168" s="9"/>
      <c r="AG168" s="21">
        <v>0.69564800000000004</v>
      </c>
      <c r="AH168" s="21">
        <v>19.938099999999999</v>
      </c>
      <c r="AI168" s="21">
        <v>-1.35925E-2</v>
      </c>
      <c r="AJ168" s="21">
        <v>158</v>
      </c>
      <c r="AK168" s="21">
        <v>0.69494599999999995</v>
      </c>
      <c r="AL168">
        <f t="shared" si="30"/>
        <v>16.780864197530864</v>
      </c>
      <c r="AM168">
        <f t="shared" si="31"/>
        <v>11.673574617283951</v>
      </c>
      <c r="AP168" s="9"/>
      <c r="AQ168" s="21">
        <v>0.94436600000000004</v>
      </c>
      <c r="AR168" s="21">
        <v>25.372</v>
      </c>
      <c r="AS168" s="21">
        <v>-1.35773E-2</v>
      </c>
      <c r="AT168" s="21">
        <v>158</v>
      </c>
      <c r="AU168" s="21">
        <v>0.943604</v>
      </c>
      <c r="AV168">
        <f t="shared" si="32"/>
        <v>16.7620987654321</v>
      </c>
      <c r="AW168">
        <f t="shared" si="33"/>
        <v>15.829556162716051</v>
      </c>
      <c r="AX168" s="9"/>
      <c r="AY168" s="21">
        <v>0.69564800000000004</v>
      </c>
      <c r="AZ168" s="21">
        <v>29.0703</v>
      </c>
      <c r="BA168" s="21">
        <v>-1.3610799999999999E-2</v>
      </c>
      <c r="BB168" s="21">
        <v>158</v>
      </c>
      <c r="BC168" s="21">
        <v>0.69497699999999996</v>
      </c>
      <c r="BD168">
        <f t="shared" si="34"/>
        <v>16.803456790123455</v>
      </c>
      <c r="BE168">
        <f t="shared" si="35"/>
        <v>11.689291109135802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0.93933100000000003</v>
      </c>
      <c r="H169" s="21">
        <v>7.19062</v>
      </c>
      <c r="I169" s="21">
        <v>-1.36017E-2</v>
      </c>
      <c r="J169" s="21">
        <v>159</v>
      </c>
      <c r="K169" s="21">
        <v>0.93811</v>
      </c>
      <c r="L169">
        <f t="shared" si="24"/>
        <v>16.792222222222222</v>
      </c>
      <c r="M169">
        <f t="shared" si="25"/>
        <v>15.773454892222222</v>
      </c>
      <c r="N169" s="9"/>
      <c r="O169" s="21">
        <v>0.70068399999999997</v>
      </c>
      <c r="P169" s="21">
        <v>10.888999999999999</v>
      </c>
      <c r="Q169" s="21">
        <v>-1.36353E-2</v>
      </c>
      <c r="R169" s="21">
        <v>159</v>
      </c>
      <c r="S169" s="21">
        <v>0.69995099999999999</v>
      </c>
      <c r="T169">
        <f t="shared" si="26"/>
        <v>16.833703703703701</v>
      </c>
      <c r="U169">
        <f t="shared" si="27"/>
        <v>11.795106845925924</v>
      </c>
      <c r="X169" s="9"/>
      <c r="Y169" s="21">
        <v>0.93933100000000003</v>
      </c>
      <c r="Z169" s="21">
        <v>16.2498</v>
      </c>
      <c r="AA169" s="21">
        <v>-1.3583400000000001E-2</v>
      </c>
      <c r="AB169" s="21">
        <v>159</v>
      </c>
      <c r="AC169" s="21">
        <v>0.93841600000000003</v>
      </c>
      <c r="AD169">
        <f t="shared" si="28"/>
        <v>16.76962962962963</v>
      </c>
      <c r="AE169">
        <f t="shared" si="29"/>
        <v>15.752232969629631</v>
      </c>
      <c r="AF169" s="9"/>
      <c r="AG169" s="21">
        <v>0.70068399999999997</v>
      </c>
      <c r="AH169" s="21">
        <v>19.9482</v>
      </c>
      <c r="AI169" s="21">
        <v>-1.35712E-2</v>
      </c>
      <c r="AJ169" s="21">
        <v>159</v>
      </c>
      <c r="AK169" s="21">
        <v>0.69992100000000002</v>
      </c>
      <c r="AL169">
        <f t="shared" si="30"/>
        <v>16.754567901234566</v>
      </c>
      <c r="AM169">
        <f t="shared" si="31"/>
        <v>11.73965765530864</v>
      </c>
      <c r="AP169" s="9"/>
      <c r="AQ169" s="21">
        <v>0.93933100000000003</v>
      </c>
      <c r="AR169" s="21">
        <v>25.382100000000001</v>
      </c>
      <c r="AS169" s="21">
        <v>-1.3583400000000001E-2</v>
      </c>
      <c r="AT169" s="21">
        <v>159</v>
      </c>
      <c r="AU169" s="21">
        <v>0.93872100000000003</v>
      </c>
      <c r="AV169">
        <f t="shared" si="32"/>
        <v>16.76962962962963</v>
      </c>
      <c r="AW169">
        <f t="shared" si="33"/>
        <v>15.752232969629631</v>
      </c>
      <c r="AX169" s="9"/>
      <c r="AY169" s="21">
        <v>0.70068399999999997</v>
      </c>
      <c r="AZ169" s="21">
        <v>29.080400000000001</v>
      </c>
      <c r="BA169" s="21">
        <v>-1.3616899999999999E-2</v>
      </c>
      <c r="BB169" s="21">
        <v>159</v>
      </c>
      <c r="BC169" s="21">
        <v>0.70004299999999997</v>
      </c>
      <c r="BD169">
        <f t="shared" si="34"/>
        <v>16.810987654320986</v>
      </c>
      <c r="BE169">
        <f t="shared" si="35"/>
        <v>11.779190073580246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0.93429600000000002</v>
      </c>
      <c r="H170" s="21">
        <v>7.2006899999999998</v>
      </c>
      <c r="I170" s="21">
        <v>-1.36078E-2</v>
      </c>
      <c r="J170" s="21">
        <v>160</v>
      </c>
      <c r="K170" s="21">
        <v>0.93353299999999995</v>
      </c>
      <c r="L170">
        <f t="shared" si="24"/>
        <v>16.799753086419752</v>
      </c>
      <c r="M170">
        <f t="shared" si="25"/>
        <v>15.695942109629629</v>
      </c>
      <c r="N170" s="9"/>
      <c r="O170" s="21">
        <v>0.70571899999999999</v>
      </c>
      <c r="P170" s="21">
        <v>10.898999999999999</v>
      </c>
      <c r="Q170" s="21">
        <v>-1.3629199999999999E-2</v>
      </c>
      <c r="R170" s="21">
        <v>160</v>
      </c>
      <c r="S170" s="21">
        <v>0.70510899999999999</v>
      </c>
      <c r="T170">
        <f t="shared" si="26"/>
        <v>16.826172839506171</v>
      </c>
      <c r="U170">
        <f t="shared" si="27"/>
        <v>11.874549870123456</v>
      </c>
      <c r="X170" s="9"/>
      <c r="Y170" s="21">
        <v>0.93429600000000002</v>
      </c>
      <c r="Z170" s="21">
        <v>16.259899999999998</v>
      </c>
      <c r="AA170" s="21">
        <v>-1.35864E-2</v>
      </c>
      <c r="AB170" s="21">
        <v>160</v>
      </c>
      <c r="AC170" s="21">
        <v>0.93383799999999995</v>
      </c>
      <c r="AD170">
        <f t="shared" si="28"/>
        <v>16.77333333333333</v>
      </c>
      <c r="AE170">
        <f t="shared" si="29"/>
        <v>15.671258239999997</v>
      </c>
      <c r="AF170" s="9"/>
      <c r="AG170" s="21">
        <v>0.70571899999999999</v>
      </c>
      <c r="AH170" s="21">
        <v>19.958300000000001</v>
      </c>
      <c r="AI170" s="21">
        <v>-1.3555899999999999E-2</v>
      </c>
      <c r="AJ170" s="21">
        <v>160</v>
      </c>
      <c r="AK170" s="21">
        <v>0.70507799999999998</v>
      </c>
      <c r="AL170">
        <f t="shared" si="30"/>
        <v>16.735679012345678</v>
      </c>
      <c r="AM170">
        <f t="shared" si="31"/>
        <v>11.810686656913578</v>
      </c>
      <c r="AP170" s="9"/>
      <c r="AQ170" s="21">
        <v>0.93429600000000002</v>
      </c>
      <c r="AR170" s="21">
        <v>25.392099999999999</v>
      </c>
      <c r="AS170" s="21">
        <v>-1.35864E-2</v>
      </c>
      <c r="AT170" s="21">
        <v>160</v>
      </c>
      <c r="AU170" s="21">
        <v>0.93353299999999995</v>
      </c>
      <c r="AV170">
        <f t="shared" si="32"/>
        <v>16.77333333333333</v>
      </c>
      <c r="AW170">
        <f t="shared" si="33"/>
        <v>15.671258239999997</v>
      </c>
      <c r="AX170" s="9"/>
      <c r="AY170" s="21">
        <v>0.70571899999999999</v>
      </c>
      <c r="AZ170" s="21">
        <v>29.090499999999999</v>
      </c>
      <c r="BA170" s="21">
        <v>-1.362E-2</v>
      </c>
      <c r="BB170" s="21">
        <v>160</v>
      </c>
      <c r="BC170" s="21">
        <v>0.70520000000000005</v>
      </c>
      <c r="BD170">
        <f t="shared" si="34"/>
        <v>16.814814814814813</v>
      </c>
      <c r="BE170">
        <f t="shared" si="35"/>
        <v>11.866534296296296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0.92925999999999997</v>
      </c>
      <c r="H171" s="21">
        <v>7.2107599999999996</v>
      </c>
      <c r="I171" s="21">
        <v>-1.3610799999999999E-2</v>
      </c>
      <c r="J171" s="21">
        <v>161</v>
      </c>
      <c r="K171" s="21">
        <v>0.92803999999999998</v>
      </c>
      <c r="L171">
        <f t="shared" si="24"/>
        <v>16.803456790123455</v>
      </c>
      <c r="M171">
        <f t="shared" si="25"/>
        <v>15.614780256790121</v>
      </c>
      <c r="N171" s="9"/>
      <c r="O171" s="21">
        <v>0.710754</v>
      </c>
      <c r="P171" s="21">
        <v>10.9091</v>
      </c>
      <c r="Q171" s="21">
        <v>-1.3616899999999999E-2</v>
      </c>
      <c r="R171" s="21">
        <v>161</v>
      </c>
      <c r="S171" s="21">
        <v>0.71005200000000002</v>
      </c>
      <c r="T171">
        <f t="shared" si="26"/>
        <v>16.810987654320986</v>
      </c>
      <c r="U171">
        <f t="shared" si="27"/>
        <v>11.948476719259258</v>
      </c>
      <c r="X171" s="9"/>
      <c r="Y171" s="21">
        <v>0.92925999999999997</v>
      </c>
      <c r="Z171" s="21">
        <v>16.27</v>
      </c>
      <c r="AA171" s="21">
        <v>-1.3595599999999999E-2</v>
      </c>
      <c r="AB171" s="21">
        <v>161</v>
      </c>
      <c r="AC171" s="21">
        <v>0.92864999999999998</v>
      </c>
      <c r="AD171">
        <f t="shared" si="28"/>
        <v>16.784691358024691</v>
      </c>
      <c r="AE171">
        <f t="shared" si="29"/>
        <v>15.597342291358023</v>
      </c>
      <c r="AF171" s="9"/>
      <c r="AG171" s="21">
        <v>0.710754</v>
      </c>
      <c r="AH171" s="21">
        <v>19.968299999999999</v>
      </c>
      <c r="AI171" s="21">
        <v>-1.35406E-2</v>
      </c>
      <c r="AJ171" s="21">
        <v>161</v>
      </c>
      <c r="AK171" s="21">
        <v>0.71011400000000002</v>
      </c>
      <c r="AL171">
        <f t="shared" si="30"/>
        <v>16.716790123456789</v>
      </c>
      <c r="AM171">
        <f t="shared" si="31"/>
        <v>11.881525447407407</v>
      </c>
      <c r="AP171" s="9"/>
      <c r="AQ171" s="21">
        <v>0.92925999999999997</v>
      </c>
      <c r="AR171" s="21">
        <v>25.402200000000001</v>
      </c>
      <c r="AS171" s="21">
        <v>-1.3595599999999999E-2</v>
      </c>
      <c r="AT171" s="21">
        <v>161</v>
      </c>
      <c r="AU171" s="21">
        <v>0.92864999999999998</v>
      </c>
      <c r="AV171">
        <f t="shared" si="32"/>
        <v>16.784691358024691</v>
      </c>
      <c r="AW171">
        <f t="shared" si="33"/>
        <v>15.597342291358023</v>
      </c>
      <c r="AX171" s="9"/>
      <c r="AY171" s="21">
        <v>0.710754</v>
      </c>
      <c r="AZ171" s="21">
        <v>29.1005</v>
      </c>
      <c r="BA171" s="21">
        <v>-1.36078E-2</v>
      </c>
      <c r="BB171" s="21">
        <v>161</v>
      </c>
      <c r="BC171" s="21">
        <v>0.71011400000000002</v>
      </c>
      <c r="BD171">
        <f t="shared" si="34"/>
        <v>16.799753086419752</v>
      </c>
      <c r="BE171">
        <f t="shared" si="35"/>
        <v>11.940491705185185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0.92422499999999996</v>
      </c>
      <c r="H172" s="21">
        <v>7.2208300000000003</v>
      </c>
      <c r="I172" s="21">
        <v>-1.36139E-2</v>
      </c>
      <c r="J172" s="21">
        <v>162</v>
      </c>
      <c r="K172" s="21">
        <v>0.92315700000000001</v>
      </c>
      <c r="L172">
        <f t="shared" si="24"/>
        <v>16.807283950617283</v>
      </c>
      <c r="M172">
        <f t="shared" si="25"/>
        <v>15.533712009259258</v>
      </c>
      <c r="N172" s="9"/>
      <c r="O172" s="21">
        <v>0.71579000000000004</v>
      </c>
      <c r="P172" s="21">
        <v>10.9192</v>
      </c>
      <c r="Q172" s="21">
        <v>-1.3610799999999999E-2</v>
      </c>
      <c r="R172" s="21">
        <v>162</v>
      </c>
      <c r="S172" s="21">
        <v>0.71517900000000001</v>
      </c>
      <c r="T172">
        <f t="shared" si="26"/>
        <v>16.803456790123455</v>
      </c>
      <c r="U172">
        <f t="shared" si="27"/>
        <v>12.027746335802469</v>
      </c>
      <c r="X172" s="9"/>
      <c r="Y172" s="21">
        <v>0.92422499999999996</v>
      </c>
      <c r="Z172" s="21">
        <v>16.28</v>
      </c>
      <c r="AA172" s="21">
        <v>-1.3598600000000001E-2</v>
      </c>
      <c r="AB172" s="21">
        <v>162</v>
      </c>
      <c r="AC172" s="21">
        <v>0.92346200000000001</v>
      </c>
      <c r="AD172">
        <f t="shared" si="28"/>
        <v>16.788395061728394</v>
      </c>
      <c r="AE172">
        <f t="shared" si="29"/>
        <v>15.516254425925924</v>
      </c>
      <c r="AF172" s="9"/>
      <c r="AG172" s="21">
        <v>0.71579000000000004</v>
      </c>
      <c r="AH172" s="21">
        <v>19.978400000000001</v>
      </c>
      <c r="AI172" s="21">
        <v>-1.35345E-2</v>
      </c>
      <c r="AJ172" s="21">
        <v>162</v>
      </c>
      <c r="AK172" s="21">
        <v>0.71514900000000003</v>
      </c>
      <c r="AL172">
        <f t="shared" si="30"/>
        <v>16.709259259259255</v>
      </c>
      <c r="AM172">
        <f t="shared" si="31"/>
        <v>11.960320685185183</v>
      </c>
      <c r="AP172" s="9"/>
      <c r="AQ172" s="21">
        <v>0.92422499999999996</v>
      </c>
      <c r="AR172" s="21">
        <v>25.412299999999998</v>
      </c>
      <c r="AS172" s="21">
        <v>-1.36017E-2</v>
      </c>
      <c r="AT172" s="21">
        <v>162</v>
      </c>
      <c r="AU172" s="21">
        <v>0.92315700000000001</v>
      </c>
      <c r="AV172">
        <f t="shared" si="32"/>
        <v>16.792222222222222</v>
      </c>
      <c r="AW172">
        <f t="shared" si="33"/>
        <v>15.519791583333332</v>
      </c>
      <c r="AX172" s="9"/>
      <c r="AY172" s="21">
        <v>0.71579000000000004</v>
      </c>
      <c r="AZ172" s="21">
        <v>29.110600000000002</v>
      </c>
      <c r="BA172" s="21">
        <v>-1.3598600000000001E-2</v>
      </c>
      <c r="BB172" s="21">
        <v>162</v>
      </c>
      <c r="BC172" s="21">
        <v>0.71505700000000005</v>
      </c>
      <c r="BD172">
        <f t="shared" si="34"/>
        <v>16.788395061728394</v>
      </c>
      <c r="BE172">
        <f t="shared" si="35"/>
        <v>12.016965301234569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0.91918900000000003</v>
      </c>
      <c r="H173" s="21">
        <v>7.2309000000000001</v>
      </c>
      <c r="I173" s="21">
        <v>-1.362E-2</v>
      </c>
      <c r="J173" s="21">
        <v>163</v>
      </c>
      <c r="K173" s="21">
        <v>0.91857900000000003</v>
      </c>
      <c r="L173">
        <f t="shared" si="24"/>
        <v>16.814814814814813</v>
      </c>
      <c r="M173">
        <f t="shared" si="25"/>
        <v>15.455992814814813</v>
      </c>
      <c r="N173" s="9"/>
      <c r="O173" s="21">
        <v>0.72082500000000005</v>
      </c>
      <c r="P173" s="21">
        <v>10.9292</v>
      </c>
      <c r="Q173" s="21">
        <v>-1.36139E-2</v>
      </c>
      <c r="R173" s="21">
        <v>163</v>
      </c>
      <c r="S173" s="21">
        <v>0.72012299999999996</v>
      </c>
      <c r="T173">
        <f t="shared" si="26"/>
        <v>16.807283950617283</v>
      </c>
      <c r="U173">
        <f t="shared" si="27"/>
        <v>12.115110453703704</v>
      </c>
      <c r="X173" s="9"/>
      <c r="Y173" s="21">
        <v>0.91918900000000003</v>
      </c>
      <c r="Z173" s="21">
        <v>16.290099999999999</v>
      </c>
      <c r="AA173" s="21">
        <v>-1.3598600000000001E-2</v>
      </c>
      <c r="AB173" s="21">
        <v>163</v>
      </c>
      <c r="AC173" s="21">
        <v>0.91766400000000004</v>
      </c>
      <c r="AD173">
        <f t="shared" si="28"/>
        <v>16.788395061728394</v>
      </c>
      <c r="AE173">
        <f t="shared" si="29"/>
        <v>15.431708068395062</v>
      </c>
      <c r="AF173" s="9"/>
      <c r="AG173" s="21">
        <v>0.72082500000000005</v>
      </c>
      <c r="AH173" s="21">
        <v>19.988499999999998</v>
      </c>
      <c r="AI173" s="21">
        <v>-1.35315E-2</v>
      </c>
      <c r="AJ173" s="21">
        <v>163</v>
      </c>
      <c r="AK173" s="21">
        <v>0.72024500000000002</v>
      </c>
      <c r="AL173">
        <f t="shared" si="30"/>
        <v>16.705555555555552</v>
      </c>
      <c r="AM173">
        <f t="shared" si="31"/>
        <v>12.041782083333331</v>
      </c>
      <c r="AP173" s="9"/>
      <c r="AQ173" s="21">
        <v>0.91918900000000003</v>
      </c>
      <c r="AR173" s="21">
        <v>25.4223</v>
      </c>
      <c r="AS173" s="21">
        <v>-1.3616899999999999E-2</v>
      </c>
      <c r="AT173" s="21">
        <v>163</v>
      </c>
      <c r="AU173" s="21">
        <v>0.91888400000000003</v>
      </c>
      <c r="AV173">
        <f t="shared" si="32"/>
        <v>16.810987654320986</v>
      </c>
      <c r="AW173">
        <f t="shared" si="33"/>
        <v>15.452474930987654</v>
      </c>
      <c r="AX173" s="9"/>
      <c r="AY173" s="21">
        <v>0.72082500000000005</v>
      </c>
      <c r="AZ173" s="21">
        <v>29.120699999999999</v>
      </c>
      <c r="BA173" s="21">
        <v>-1.3595599999999999E-2</v>
      </c>
      <c r="BB173" s="21">
        <v>163</v>
      </c>
      <c r="BC173" s="21">
        <v>0.72015399999999996</v>
      </c>
      <c r="BD173">
        <f t="shared" si="34"/>
        <v>16.784691358024691</v>
      </c>
      <c r="BE173">
        <f t="shared" si="35"/>
        <v>12.098825148148149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0.91415400000000002</v>
      </c>
      <c r="H174" s="21">
        <v>7.2409699999999999</v>
      </c>
      <c r="I174" s="21">
        <v>-1.3629199999999999E-2</v>
      </c>
      <c r="J174" s="21">
        <v>164</v>
      </c>
      <c r="K174" s="21">
        <v>0.91339099999999995</v>
      </c>
      <c r="L174">
        <f t="shared" si="24"/>
        <v>16.826172839506171</v>
      </c>
      <c r="M174">
        <f t="shared" si="25"/>
        <v>15.381713205925925</v>
      </c>
      <c r="N174" s="9"/>
      <c r="O174" s="21">
        <v>0.72586099999999998</v>
      </c>
      <c r="P174" s="21">
        <v>10.939299999999999</v>
      </c>
      <c r="Q174" s="21">
        <v>-1.3616899999999999E-2</v>
      </c>
      <c r="R174" s="21">
        <v>164</v>
      </c>
      <c r="S174" s="21">
        <v>0.72512799999999999</v>
      </c>
      <c r="T174">
        <f t="shared" si="26"/>
        <v>16.810987654320986</v>
      </c>
      <c r="U174">
        <f t="shared" si="27"/>
        <v>12.202440309753085</v>
      </c>
      <c r="X174" s="9"/>
      <c r="Y174" s="21">
        <v>0.91415400000000002</v>
      </c>
      <c r="Z174" s="21">
        <v>16.3002</v>
      </c>
      <c r="AA174" s="21">
        <v>-1.35864E-2</v>
      </c>
      <c r="AB174" s="21">
        <v>164</v>
      </c>
      <c r="AC174" s="21">
        <v>0.91308599999999995</v>
      </c>
      <c r="AD174">
        <f t="shared" si="28"/>
        <v>16.77333333333333</v>
      </c>
      <c r="AE174">
        <f t="shared" si="29"/>
        <v>15.333409759999997</v>
      </c>
      <c r="AF174" s="9"/>
      <c r="AG174" s="21">
        <v>0.72586099999999998</v>
      </c>
      <c r="AH174" s="21">
        <v>19.9986</v>
      </c>
      <c r="AI174" s="21">
        <v>-1.3522299999999999E-2</v>
      </c>
      <c r="AJ174" s="21">
        <v>164</v>
      </c>
      <c r="AK174" s="21">
        <v>0.72521999999999998</v>
      </c>
      <c r="AL174">
        <f t="shared" si="30"/>
        <v>16.694197530864194</v>
      </c>
      <c r="AM174">
        <f t="shared" si="31"/>
        <v>12.117666913950615</v>
      </c>
      <c r="AP174" s="9"/>
      <c r="AQ174" s="21">
        <v>0.91415400000000002</v>
      </c>
      <c r="AR174" s="21">
        <v>25.432400000000001</v>
      </c>
      <c r="AS174" s="21">
        <v>-1.36139E-2</v>
      </c>
      <c r="AT174" s="21">
        <v>164</v>
      </c>
      <c r="AU174" s="21">
        <v>0.91278099999999995</v>
      </c>
      <c r="AV174">
        <f t="shared" si="32"/>
        <v>16.807283950617283</v>
      </c>
      <c r="AW174">
        <f t="shared" si="33"/>
        <v>15.364445852592592</v>
      </c>
      <c r="AX174" s="9"/>
      <c r="AY174" s="21">
        <v>0.72586099999999998</v>
      </c>
      <c r="AZ174" s="21">
        <v>29.130700000000001</v>
      </c>
      <c r="BA174" s="21">
        <v>-1.3598600000000001E-2</v>
      </c>
      <c r="BB174" s="21">
        <v>164</v>
      </c>
      <c r="BC174" s="21">
        <v>0.72521999999999998</v>
      </c>
      <c r="BD174">
        <f t="shared" si="34"/>
        <v>16.788395061728394</v>
      </c>
      <c r="BE174">
        <f t="shared" si="35"/>
        <v>12.186041227901233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0.90911900000000001</v>
      </c>
      <c r="H175" s="21">
        <v>7.2510399999999997</v>
      </c>
      <c r="I175" s="21">
        <v>-1.3632200000000001E-2</v>
      </c>
      <c r="J175" s="21">
        <v>165</v>
      </c>
      <c r="K175" s="21">
        <v>0.90789799999999998</v>
      </c>
      <c r="L175">
        <f t="shared" si="24"/>
        <v>16.829876543209878</v>
      </c>
      <c r="M175">
        <f t="shared" si="25"/>
        <v>15.300360533086421</v>
      </c>
      <c r="N175" s="9"/>
      <c r="O175" s="21">
        <v>0.73089599999999999</v>
      </c>
      <c r="P175" s="21">
        <v>10.949400000000001</v>
      </c>
      <c r="Q175" s="21">
        <v>-1.3610799999999999E-2</v>
      </c>
      <c r="R175" s="21">
        <v>165</v>
      </c>
      <c r="S175" s="21">
        <v>0.73028599999999999</v>
      </c>
      <c r="T175">
        <f t="shared" si="26"/>
        <v>16.803456790123455</v>
      </c>
      <c r="U175">
        <f t="shared" si="27"/>
        <v>12.281579354074072</v>
      </c>
      <c r="X175" s="9"/>
      <c r="Y175" s="21">
        <v>0.90911900000000001</v>
      </c>
      <c r="Z175" s="21">
        <v>16.310300000000002</v>
      </c>
      <c r="AA175" s="21">
        <v>-1.3583400000000001E-2</v>
      </c>
      <c r="AB175" s="21">
        <v>165</v>
      </c>
      <c r="AC175" s="21">
        <v>0.90820299999999998</v>
      </c>
      <c r="AD175">
        <f t="shared" si="28"/>
        <v>16.76962962962963</v>
      </c>
      <c r="AE175">
        <f t="shared" si="29"/>
        <v>15.24558891925926</v>
      </c>
      <c r="AF175" s="9"/>
      <c r="AG175" s="21">
        <v>0.73089599999999999</v>
      </c>
      <c r="AH175" s="21">
        <v>20.008600000000001</v>
      </c>
      <c r="AI175" s="21">
        <v>-1.3522299999999999E-2</v>
      </c>
      <c r="AJ175" s="21">
        <v>165</v>
      </c>
      <c r="AK175" s="21">
        <v>0.73019400000000001</v>
      </c>
      <c r="AL175">
        <f t="shared" si="30"/>
        <v>16.694197530864194</v>
      </c>
      <c r="AM175">
        <f t="shared" si="31"/>
        <v>12.201722198518516</v>
      </c>
      <c r="AP175" s="9"/>
      <c r="AQ175" s="21">
        <v>0.90911900000000001</v>
      </c>
      <c r="AR175" s="21">
        <v>25.442499999999999</v>
      </c>
      <c r="AS175" s="21">
        <v>-1.362E-2</v>
      </c>
      <c r="AT175" s="21">
        <v>165</v>
      </c>
      <c r="AU175" s="21">
        <v>0.90850799999999998</v>
      </c>
      <c r="AV175">
        <f t="shared" si="32"/>
        <v>16.814814814814813</v>
      </c>
      <c r="AW175">
        <f t="shared" si="33"/>
        <v>15.286667629629628</v>
      </c>
      <c r="AX175" s="9"/>
      <c r="AY175" s="21">
        <v>0.73089599999999999</v>
      </c>
      <c r="AZ175" s="21">
        <v>29.140799999999999</v>
      </c>
      <c r="BA175" s="21">
        <v>-1.36078E-2</v>
      </c>
      <c r="BB175" s="21">
        <v>165</v>
      </c>
      <c r="BC175" s="21">
        <v>0.73037700000000005</v>
      </c>
      <c r="BD175">
        <f t="shared" si="34"/>
        <v>16.799753086419752</v>
      </c>
      <c r="BE175">
        <f t="shared" si="35"/>
        <v>12.278872331851851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0.90408299999999997</v>
      </c>
      <c r="H176" s="21">
        <v>7.26112</v>
      </c>
      <c r="I176" s="21">
        <v>-1.3632200000000001E-2</v>
      </c>
      <c r="J176" s="21">
        <v>166</v>
      </c>
      <c r="K176" s="21">
        <v>0.90332000000000001</v>
      </c>
      <c r="L176">
        <f t="shared" si="24"/>
        <v>16.829876543209878</v>
      </c>
      <c r="M176">
        <f t="shared" si="25"/>
        <v>15.215605274814815</v>
      </c>
      <c r="N176" s="9"/>
      <c r="O176" s="21">
        <v>0.735931</v>
      </c>
      <c r="P176" s="21">
        <v>10.9595</v>
      </c>
      <c r="Q176" s="21">
        <v>-1.3604700000000001E-2</v>
      </c>
      <c r="R176" s="21">
        <v>166</v>
      </c>
      <c r="S176" s="21">
        <v>0.73529100000000003</v>
      </c>
      <c r="T176">
        <f t="shared" si="26"/>
        <v>16.795925925925925</v>
      </c>
      <c r="U176">
        <f t="shared" si="27"/>
        <v>12.360642562592592</v>
      </c>
      <c r="X176" s="9"/>
      <c r="Y176" s="21">
        <v>0.90408299999999997</v>
      </c>
      <c r="Z176" s="21">
        <v>16.3203</v>
      </c>
      <c r="AA176" s="21">
        <v>-1.35742E-2</v>
      </c>
      <c r="AB176" s="21">
        <v>166</v>
      </c>
      <c r="AC176" s="21">
        <v>0.90362500000000001</v>
      </c>
      <c r="AD176">
        <f t="shared" si="28"/>
        <v>16.758271604938273</v>
      </c>
      <c r="AE176">
        <f t="shared" si="29"/>
        <v>15.150868467407408</v>
      </c>
      <c r="AF176" s="9"/>
      <c r="AG176" s="21">
        <v>0.735931</v>
      </c>
      <c r="AH176" s="21">
        <v>20.018699999999999</v>
      </c>
      <c r="AI176" s="21">
        <v>-1.35193E-2</v>
      </c>
      <c r="AJ176" s="21">
        <v>166</v>
      </c>
      <c r="AK176" s="21">
        <v>0.73513799999999996</v>
      </c>
      <c r="AL176">
        <f t="shared" si="30"/>
        <v>16.690493827160495</v>
      </c>
      <c r="AM176">
        <f t="shared" si="31"/>
        <v>12.28305181271605</v>
      </c>
      <c r="AP176" s="9"/>
      <c r="AQ176" s="21">
        <v>0.90408299999999997</v>
      </c>
      <c r="AR176" s="21">
        <v>25.4526</v>
      </c>
      <c r="AS176" s="21">
        <v>-1.36353E-2</v>
      </c>
      <c r="AT176" s="21">
        <v>166</v>
      </c>
      <c r="AU176" s="21">
        <v>0.90301500000000001</v>
      </c>
      <c r="AV176">
        <f t="shared" si="32"/>
        <v>16.833703703703701</v>
      </c>
      <c r="AW176">
        <f t="shared" si="33"/>
        <v>15.219065345555553</v>
      </c>
      <c r="AX176" s="9"/>
      <c r="AY176" s="21">
        <v>0.735931</v>
      </c>
      <c r="AZ176" s="21">
        <v>29.1509</v>
      </c>
      <c r="BA176" s="21">
        <v>-1.3616899999999999E-2</v>
      </c>
      <c r="BB176" s="21">
        <v>166</v>
      </c>
      <c r="BC176" s="21">
        <v>0.73529100000000003</v>
      </c>
      <c r="BD176">
        <f t="shared" si="34"/>
        <v>16.810987654320986</v>
      </c>
      <c r="BE176">
        <f t="shared" si="35"/>
        <v>12.371726955432097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0.89904799999999996</v>
      </c>
      <c r="H177" s="21">
        <v>7.2711899999999998</v>
      </c>
      <c r="I177" s="21">
        <v>-1.3638300000000001E-2</v>
      </c>
      <c r="J177" s="21">
        <v>167</v>
      </c>
      <c r="K177" s="21">
        <v>0.89813200000000004</v>
      </c>
      <c r="L177">
        <f t="shared" si="24"/>
        <v>16.837407407407408</v>
      </c>
      <c r="M177">
        <f t="shared" si="25"/>
        <v>15.137637454814815</v>
      </c>
      <c r="N177" s="9"/>
      <c r="O177" s="21">
        <v>0.74096700000000004</v>
      </c>
      <c r="P177" s="21">
        <v>10.9695</v>
      </c>
      <c r="Q177" s="21">
        <v>-1.3604700000000001E-2</v>
      </c>
      <c r="R177" s="21">
        <v>167</v>
      </c>
      <c r="S177" s="21">
        <v>0.74020399999999997</v>
      </c>
      <c r="T177">
        <f t="shared" si="26"/>
        <v>16.795925925925925</v>
      </c>
      <c r="U177">
        <f t="shared" si="27"/>
        <v>12.445226845555556</v>
      </c>
      <c r="X177" s="9"/>
      <c r="Y177" s="21">
        <v>0.89904799999999996</v>
      </c>
      <c r="Z177" s="21">
        <v>16.330400000000001</v>
      </c>
      <c r="AA177" s="21">
        <v>-1.3583400000000001E-2</v>
      </c>
      <c r="AB177" s="21">
        <v>167</v>
      </c>
      <c r="AC177" s="21">
        <v>0.89843799999999996</v>
      </c>
      <c r="AD177">
        <f t="shared" si="28"/>
        <v>16.76962962962963</v>
      </c>
      <c r="AE177">
        <f t="shared" si="29"/>
        <v>15.076701979259258</v>
      </c>
      <c r="AF177" s="9"/>
      <c r="AG177" s="21">
        <v>0.74096700000000004</v>
      </c>
      <c r="AH177" s="21">
        <v>20.0288</v>
      </c>
      <c r="AI177" s="21">
        <v>-1.3522299999999999E-2</v>
      </c>
      <c r="AJ177" s="21">
        <v>167</v>
      </c>
      <c r="AK177" s="21">
        <v>0.74026499999999995</v>
      </c>
      <c r="AL177">
        <f t="shared" si="30"/>
        <v>16.694197530864194</v>
      </c>
      <c r="AM177">
        <f t="shared" si="31"/>
        <v>12.36984946185185</v>
      </c>
      <c r="AP177" s="9"/>
      <c r="AQ177" s="21">
        <v>0.89904799999999996</v>
      </c>
      <c r="AR177" s="21">
        <v>25.462599999999998</v>
      </c>
      <c r="AS177" s="21">
        <v>-1.3650499999999999E-2</v>
      </c>
      <c r="AT177" s="21">
        <v>167</v>
      </c>
      <c r="AU177" s="21">
        <v>0.89782700000000004</v>
      </c>
      <c r="AV177">
        <f t="shared" si="32"/>
        <v>16.852469135802469</v>
      </c>
      <c r="AW177">
        <f t="shared" si="33"/>
        <v>15.151178671604937</v>
      </c>
      <c r="AX177" s="9"/>
      <c r="AY177" s="21">
        <v>0.74096700000000004</v>
      </c>
      <c r="AZ177" s="21">
        <v>29.161000000000001</v>
      </c>
      <c r="BA177" s="21">
        <v>-1.3623E-2</v>
      </c>
      <c r="BB177" s="21">
        <v>167</v>
      </c>
      <c r="BC177" s="21">
        <v>0.74035600000000001</v>
      </c>
      <c r="BD177">
        <f t="shared" si="34"/>
        <v>16.818518518518516</v>
      </c>
      <c r="BE177">
        <f t="shared" si="35"/>
        <v>12.46196721111111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0.89401200000000003</v>
      </c>
      <c r="H178" s="21">
        <v>7.2812599999999996</v>
      </c>
      <c r="I178" s="21">
        <v>-1.36353E-2</v>
      </c>
      <c r="J178" s="21">
        <v>168</v>
      </c>
      <c r="K178" s="21">
        <v>0.89324999999999999</v>
      </c>
      <c r="L178">
        <f t="shared" si="24"/>
        <v>16.833703703703701</v>
      </c>
      <c r="M178">
        <f t="shared" si="25"/>
        <v>15.049533115555555</v>
      </c>
      <c r="N178" s="9"/>
      <c r="O178" s="21">
        <v>0.74600200000000005</v>
      </c>
      <c r="P178" s="21">
        <v>10.9796</v>
      </c>
      <c r="Q178" s="21">
        <v>-1.36078E-2</v>
      </c>
      <c r="R178" s="21">
        <v>168</v>
      </c>
      <c r="S178" s="21">
        <v>0.74539200000000005</v>
      </c>
      <c r="T178">
        <f t="shared" si="26"/>
        <v>16.799753086419752</v>
      </c>
      <c r="U178">
        <f t="shared" si="27"/>
        <v>12.532649401975309</v>
      </c>
      <c r="X178" s="9"/>
      <c r="Y178" s="21">
        <v>0.89401200000000003</v>
      </c>
      <c r="Z178" s="21">
        <v>16.340499999999999</v>
      </c>
      <c r="AA178" s="21">
        <v>-1.36017E-2</v>
      </c>
      <c r="AB178" s="21">
        <v>168</v>
      </c>
      <c r="AC178" s="21">
        <v>0.89324999999999999</v>
      </c>
      <c r="AD178">
        <f t="shared" si="28"/>
        <v>16.792222222222222</v>
      </c>
      <c r="AE178">
        <f t="shared" si="29"/>
        <v>15.012448173333333</v>
      </c>
      <c r="AF178" s="9"/>
      <c r="AG178" s="21">
        <v>0.74600200000000005</v>
      </c>
      <c r="AH178" s="21">
        <v>20.038799999999998</v>
      </c>
      <c r="AI178" s="21">
        <v>-1.35345E-2</v>
      </c>
      <c r="AJ178" s="21">
        <v>168</v>
      </c>
      <c r="AK178" s="21">
        <v>0.74533099999999997</v>
      </c>
      <c r="AL178">
        <f t="shared" si="30"/>
        <v>16.709259259259255</v>
      </c>
      <c r="AM178">
        <f t="shared" si="31"/>
        <v>12.465140825925923</v>
      </c>
      <c r="AP178" s="9"/>
      <c r="AQ178" s="21">
        <v>0.89401200000000003</v>
      </c>
      <c r="AR178" s="21">
        <v>25.4727</v>
      </c>
      <c r="AS178" s="21">
        <v>-1.36627E-2</v>
      </c>
      <c r="AT178" s="21">
        <v>168</v>
      </c>
      <c r="AU178" s="21">
        <v>0.89324999999999999</v>
      </c>
      <c r="AV178">
        <f t="shared" si="32"/>
        <v>16.86753086419753</v>
      </c>
      <c r="AW178">
        <f t="shared" si="33"/>
        <v>15.079775002962963</v>
      </c>
      <c r="AX178" s="9"/>
      <c r="AY178" s="21">
        <v>0.74600200000000005</v>
      </c>
      <c r="AZ178" s="21">
        <v>29.170999999999999</v>
      </c>
      <c r="BA178" s="21">
        <v>-1.36139E-2</v>
      </c>
      <c r="BB178" s="21">
        <v>168</v>
      </c>
      <c r="BC178" s="21">
        <v>0.74542200000000003</v>
      </c>
      <c r="BD178">
        <f t="shared" si="34"/>
        <v>16.807283950617283</v>
      </c>
      <c r="BE178">
        <f t="shared" si="35"/>
        <v>12.538267441728395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0.88897700000000002</v>
      </c>
      <c r="H179" s="21">
        <v>7.2913300000000003</v>
      </c>
      <c r="I179" s="21">
        <v>-1.3644399999999999E-2</v>
      </c>
      <c r="J179" s="21">
        <v>169</v>
      </c>
      <c r="K179" s="21">
        <v>0.88836700000000002</v>
      </c>
      <c r="L179">
        <f t="shared" si="24"/>
        <v>16.844938271604939</v>
      </c>
      <c r="M179">
        <f t="shared" si="25"/>
        <v>14.974762689876544</v>
      </c>
      <c r="N179" s="9"/>
      <c r="O179" s="21">
        <v>0.75103799999999998</v>
      </c>
      <c r="P179" s="21">
        <v>10.989699999999999</v>
      </c>
      <c r="Q179" s="21">
        <v>-1.3598600000000001E-2</v>
      </c>
      <c r="R179" s="21">
        <v>169</v>
      </c>
      <c r="S179" s="21">
        <v>0.750336</v>
      </c>
      <c r="T179">
        <f t="shared" si="26"/>
        <v>16.788395061728394</v>
      </c>
      <c r="U179">
        <f t="shared" si="27"/>
        <v>12.608722650370369</v>
      </c>
      <c r="X179" s="9"/>
      <c r="Y179" s="21">
        <v>0.88897700000000002</v>
      </c>
      <c r="Z179" s="21">
        <v>16.3505</v>
      </c>
      <c r="AA179" s="21">
        <v>-1.362E-2</v>
      </c>
      <c r="AB179" s="21">
        <v>169</v>
      </c>
      <c r="AC179" s="21">
        <v>0.88867200000000002</v>
      </c>
      <c r="AD179">
        <f t="shared" si="28"/>
        <v>16.814814814814813</v>
      </c>
      <c r="AE179">
        <f t="shared" si="29"/>
        <v>14.947983629629629</v>
      </c>
      <c r="AF179" s="9"/>
      <c r="AG179" s="21">
        <v>0.75103799999999998</v>
      </c>
      <c r="AH179" s="21">
        <v>20.0489</v>
      </c>
      <c r="AI179" s="21">
        <v>-1.35315E-2</v>
      </c>
      <c r="AJ179" s="21">
        <v>169</v>
      </c>
      <c r="AK179" s="21">
        <v>0.75042699999999996</v>
      </c>
      <c r="AL179">
        <f t="shared" si="30"/>
        <v>16.705555555555552</v>
      </c>
      <c r="AM179">
        <f t="shared" si="31"/>
        <v>12.546507033333331</v>
      </c>
      <c r="AP179" s="9"/>
      <c r="AQ179" s="21">
        <v>0.88897700000000002</v>
      </c>
      <c r="AR179" s="21">
        <v>25.482800000000001</v>
      </c>
      <c r="AS179" s="21">
        <v>-1.3687100000000001E-2</v>
      </c>
      <c r="AT179" s="21">
        <v>169</v>
      </c>
      <c r="AU179" s="21">
        <v>0.88806200000000002</v>
      </c>
      <c r="AV179">
        <f t="shared" si="32"/>
        <v>16.897654320987655</v>
      </c>
      <c r="AW179">
        <f t="shared" si="33"/>
        <v>15.021626045308643</v>
      </c>
      <c r="AX179" s="9"/>
      <c r="AY179" s="21">
        <v>0.75103799999999998</v>
      </c>
      <c r="AZ179" s="21">
        <v>29.181100000000001</v>
      </c>
      <c r="BA179" s="21">
        <v>-1.36139E-2</v>
      </c>
      <c r="BB179" s="21">
        <v>169</v>
      </c>
      <c r="BC179" s="21">
        <v>0.75036599999999998</v>
      </c>
      <c r="BD179">
        <f t="shared" si="34"/>
        <v>16.807283950617283</v>
      </c>
      <c r="BE179">
        <f t="shared" si="35"/>
        <v>12.622908923703703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0.88394200000000001</v>
      </c>
      <c r="H180" s="21">
        <v>7.3014000000000001</v>
      </c>
      <c r="I180" s="21">
        <v>-1.36627E-2</v>
      </c>
      <c r="J180" s="21">
        <v>170</v>
      </c>
      <c r="K180" s="21">
        <v>0.88287400000000005</v>
      </c>
      <c r="L180">
        <f t="shared" si="24"/>
        <v>16.86753086419753</v>
      </c>
      <c r="M180">
        <f t="shared" si="25"/>
        <v>14.909918967160493</v>
      </c>
      <c r="N180" s="9"/>
      <c r="O180" s="21">
        <v>0.756073</v>
      </c>
      <c r="P180" s="21">
        <v>10.999700000000001</v>
      </c>
      <c r="Q180" s="21">
        <v>-1.36078E-2</v>
      </c>
      <c r="R180" s="21">
        <v>170</v>
      </c>
      <c r="S180" s="21">
        <v>0.75561500000000004</v>
      </c>
      <c r="T180">
        <f t="shared" si="26"/>
        <v>16.799753086419752</v>
      </c>
      <c r="U180">
        <f t="shared" si="27"/>
        <v>12.70183971530864</v>
      </c>
      <c r="X180" s="9"/>
      <c r="Y180" s="21">
        <v>0.88394200000000001</v>
      </c>
      <c r="Z180" s="21">
        <v>16.360600000000002</v>
      </c>
      <c r="AA180" s="21">
        <v>-1.3638300000000001E-2</v>
      </c>
      <c r="AB180" s="21">
        <v>170</v>
      </c>
      <c r="AC180" s="21">
        <v>0.88287400000000005</v>
      </c>
      <c r="AD180">
        <f t="shared" si="28"/>
        <v>16.837407407407408</v>
      </c>
      <c r="AE180">
        <f t="shared" si="29"/>
        <v>14.88329157851852</v>
      </c>
      <c r="AF180" s="9"/>
      <c r="AG180" s="21">
        <v>0.756073</v>
      </c>
      <c r="AH180" s="21">
        <v>20.059000000000001</v>
      </c>
      <c r="AI180" s="21">
        <v>-1.3522299999999999E-2</v>
      </c>
      <c r="AJ180" s="21">
        <v>170</v>
      </c>
      <c r="AK180" s="21">
        <v>0.75561500000000004</v>
      </c>
      <c r="AL180">
        <f t="shared" si="30"/>
        <v>16.694197530864194</v>
      </c>
      <c r="AM180">
        <f t="shared" si="31"/>
        <v>12.622032009753084</v>
      </c>
      <c r="AP180" s="9"/>
      <c r="AQ180" s="21">
        <v>0.88394200000000001</v>
      </c>
      <c r="AR180" s="21">
        <v>25.492799999999999</v>
      </c>
      <c r="AS180" s="21">
        <v>-1.37085E-2</v>
      </c>
      <c r="AT180" s="21">
        <v>170</v>
      </c>
      <c r="AU180" s="21">
        <v>0.88348400000000005</v>
      </c>
      <c r="AV180">
        <f t="shared" si="32"/>
        <v>16.924074074074074</v>
      </c>
      <c r="AW180">
        <f t="shared" si="33"/>
        <v>14.959899885185186</v>
      </c>
      <c r="AX180" s="9"/>
      <c r="AY180" s="21">
        <v>0.756073</v>
      </c>
      <c r="AZ180" s="21">
        <v>29.191199999999998</v>
      </c>
      <c r="BA180" s="21">
        <v>-1.36078E-2</v>
      </c>
      <c r="BB180" s="21">
        <v>170</v>
      </c>
      <c r="BC180" s="21">
        <v>0.75500500000000004</v>
      </c>
      <c r="BD180">
        <f t="shared" si="34"/>
        <v>16.799753086419752</v>
      </c>
      <c r="BE180">
        <f t="shared" si="35"/>
        <v>12.70183971530864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0.87890599999999997</v>
      </c>
      <c r="H181" s="21">
        <v>7.3114699999999999</v>
      </c>
      <c r="I181" s="21">
        <v>-1.3671900000000001E-2</v>
      </c>
      <c r="J181" s="21">
        <v>171</v>
      </c>
      <c r="K181" s="21">
        <v>0.87829599999999997</v>
      </c>
      <c r="L181">
        <f t="shared" si="24"/>
        <v>16.878888888888888</v>
      </c>
      <c r="M181">
        <f t="shared" si="25"/>
        <v>14.834956717777777</v>
      </c>
      <c r="N181" s="9"/>
      <c r="O181" s="21">
        <v>0.76110800000000001</v>
      </c>
      <c r="P181" s="21">
        <v>11.0098</v>
      </c>
      <c r="Q181" s="21">
        <v>-1.3598600000000001E-2</v>
      </c>
      <c r="R181" s="21">
        <v>171</v>
      </c>
      <c r="S181" s="21">
        <v>0.76019300000000001</v>
      </c>
      <c r="T181">
        <f t="shared" si="26"/>
        <v>16.788395061728394</v>
      </c>
      <c r="U181">
        <f t="shared" si="27"/>
        <v>12.777781788641974</v>
      </c>
      <c r="X181" s="9"/>
      <c r="Y181" s="21">
        <v>0.87890599999999997</v>
      </c>
      <c r="Z181" s="21">
        <v>16.370699999999999</v>
      </c>
      <c r="AA181" s="21">
        <v>-1.3644399999999999E-2</v>
      </c>
      <c r="AB181" s="21">
        <v>171</v>
      </c>
      <c r="AC181" s="21">
        <v>0.87799099999999997</v>
      </c>
      <c r="AD181">
        <f t="shared" si="28"/>
        <v>16.844938271604939</v>
      </c>
      <c r="AE181">
        <f t="shared" si="29"/>
        <v>14.805117316543209</v>
      </c>
      <c r="AF181" s="9"/>
      <c r="AG181" s="21">
        <v>0.76110800000000001</v>
      </c>
      <c r="AH181" s="21">
        <v>20.069099999999999</v>
      </c>
      <c r="AI181" s="21">
        <v>-1.3507099999999999E-2</v>
      </c>
      <c r="AJ181" s="21">
        <v>171</v>
      </c>
      <c r="AK181" s="21">
        <v>0.76049800000000001</v>
      </c>
      <c r="AL181">
        <f t="shared" si="30"/>
        <v>16.67543209876543</v>
      </c>
      <c r="AM181">
        <f t="shared" si="31"/>
        <v>12.69180477382716</v>
      </c>
      <c r="AP181" s="9"/>
      <c r="AQ181" s="21">
        <v>0.87890599999999997</v>
      </c>
      <c r="AR181" s="21">
        <v>25.5029</v>
      </c>
      <c r="AS181" s="21">
        <v>-1.37085E-2</v>
      </c>
      <c r="AT181" s="21">
        <v>171</v>
      </c>
      <c r="AU181" s="21">
        <v>0.87799099999999997</v>
      </c>
      <c r="AV181">
        <f t="shared" si="32"/>
        <v>16.924074074074074</v>
      </c>
      <c r="AW181">
        <f t="shared" si="33"/>
        <v>14.874670248148147</v>
      </c>
      <c r="AX181" s="9"/>
      <c r="AY181" s="21">
        <v>0.76110800000000001</v>
      </c>
      <c r="AZ181" s="21">
        <v>29.2012</v>
      </c>
      <c r="BA181" s="21">
        <v>-1.36139E-2</v>
      </c>
      <c r="BB181" s="21">
        <v>171</v>
      </c>
      <c r="BC181" s="21">
        <v>0.76049800000000001</v>
      </c>
      <c r="BD181">
        <f t="shared" si="34"/>
        <v>16.807283950617283</v>
      </c>
      <c r="BE181">
        <f t="shared" si="35"/>
        <v>12.792158273086418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0.87387099999999995</v>
      </c>
      <c r="H182" s="21">
        <v>7.3215399999999997</v>
      </c>
      <c r="I182" s="21">
        <v>-1.3677999999999999E-2</v>
      </c>
      <c r="J182" s="21">
        <v>172</v>
      </c>
      <c r="K182" s="21">
        <v>0.873108</v>
      </c>
      <c r="L182">
        <f t="shared" si="24"/>
        <v>16.886419753086418</v>
      </c>
      <c r="M182">
        <f t="shared" si="25"/>
        <v>14.75655251604938</v>
      </c>
      <c r="N182" s="9"/>
      <c r="O182" s="21">
        <v>0.76614400000000005</v>
      </c>
      <c r="P182" s="21">
        <v>11.0199</v>
      </c>
      <c r="Q182" s="21">
        <v>-1.3610799999999999E-2</v>
      </c>
      <c r="R182" s="21">
        <v>172</v>
      </c>
      <c r="S182" s="21">
        <v>0.76507599999999998</v>
      </c>
      <c r="T182">
        <f t="shared" si="26"/>
        <v>16.803456790123455</v>
      </c>
      <c r="U182">
        <f t="shared" si="27"/>
        <v>12.873867599012346</v>
      </c>
      <c r="X182" s="9"/>
      <c r="Y182" s="21">
        <v>0.87387099999999995</v>
      </c>
      <c r="Z182" s="21">
        <v>16.380800000000001</v>
      </c>
      <c r="AA182" s="21">
        <v>-1.36536E-2</v>
      </c>
      <c r="AB182" s="21">
        <v>172</v>
      </c>
      <c r="AC182" s="21">
        <v>0.872498</v>
      </c>
      <c r="AD182">
        <f t="shared" si="28"/>
        <v>16.856296296296296</v>
      </c>
      <c r="AE182">
        <f t="shared" si="29"/>
        <v>14.73022850074074</v>
      </c>
      <c r="AF182" s="9"/>
      <c r="AG182" s="21">
        <v>0.76614400000000005</v>
      </c>
      <c r="AH182" s="21">
        <v>20.0791</v>
      </c>
      <c r="AI182" s="21">
        <v>-1.34918E-2</v>
      </c>
      <c r="AJ182" s="21">
        <v>172</v>
      </c>
      <c r="AK182" s="21">
        <v>0.76477099999999998</v>
      </c>
      <c r="AL182">
        <f t="shared" si="30"/>
        <v>16.656543209876542</v>
      </c>
      <c r="AM182">
        <f t="shared" si="31"/>
        <v>12.761310640987654</v>
      </c>
      <c r="AP182" s="9"/>
      <c r="AQ182" s="21">
        <v>0.87387099999999995</v>
      </c>
      <c r="AR182" s="21">
        <v>25.513000000000002</v>
      </c>
      <c r="AS182" s="21">
        <v>-1.37024E-2</v>
      </c>
      <c r="AT182" s="21">
        <v>172</v>
      </c>
      <c r="AU182" s="21">
        <v>0.872803</v>
      </c>
      <c r="AV182">
        <f t="shared" si="32"/>
        <v>16.916543209876544</v>
      </c>
      <c r="AW182">
        <f t="shared" si="33"/>
        <v>14.782876531358024</v>
      </c>
      <c r="AX182" s="9"/>
      <c r="AY182" s="21">
        <v>0.76614400000000005</v>
      </c>
      <c r="AZ182" s="21">
        <v>29.211300000000001</v>
      </c>
      <c r="BA182" s="21">
        <v>-1.362E-2</v>
      </c>
      <c r="BB182" s="21">
        <v>172</v>
      </c>
      <c r="BC182" s="21">
        <v>0.76538099999999998</v>
      </c>
      <c r="BD182">
        <f t="shared" si="34"/>
        <v>16.814814814814813</v>
      </c>
      <c r="BE182">
        <f t="shared" si="35"/>
        <v>12.882569481481481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0.86883500000000002</v>
      </c>
      <c r="H183" s="21">
        <v>7.3316100000000004</v>
      </c>
      <c r="I183" s="21">
        <v>-1.3684099999999999E-2</v>
      </c>
      <c r="J183" s="21">
        <v>173</v>
      </c>
      <c r="K183" s="21">
        <v>0.86731000000000003</v>
      </c>
      <c r="L183">
        <f t="shared" si="24"/>
        <v>16.893950617283949</v>
      </c>
      <c r="M183">
        <f t="shared" si="25"/>
        <v>14.6780555845679</v>
      </c>
      <c r="N183" s="9"/>
      <c r="O183" s="21">
        <v>0.77117899999999995</v>
      </c>
      <c r="P183" s="21">
        <v>11.03</v>
      </c>
      <c r="Q183" s="21">
        <v>-1.362E-2</v>
      </c>
      <c r="R183" s="21">
        <v>173</v>
      </c>
      <c r="S183" s="21">
        <v>0.77056899999999995</v>
      </c>
      <c r="T183">
        <f t="shared" si="26"/>
        <v>16.814814814814813</v>
      </c>
      <c r="U183">
        <f t="shared" si="27"/>
        <v>12.967232074074072</v>
      </c>
      <c r="X183" s="9"/>
      <c r="Y183" s="21">
        <v>0.86883500000000002</v>
      </c>
      <c r="Z183" s="21">
        <v>16.390799999999999</v>
      </c>
      <c r="AA183" s="21">
        <v>-1.36597E-2</v>
      </c>
      <c r="AB183" s="21">
        <v>173</v>
      </c>
      <c r="AC183" s="21">
        <v>0.86822500000000002</v>
      </c>
      <c r="AD183">
        <f t="shared" si="28"/>
        <v>16.863827160493827</v>
      </c>
      <c r="AE183">
        <f t="shared" si="29"/>
        <v>14.651883270987655</v>
      </c>
      <c r="AF183" s="9"/>
      <c r="AG183" s="21">
        <v>0.77117899999999995</v>
      </c>
      <c r="AH183" s="21">
        <v>20.089200000000002</v>
      </c>
      <c r="AI183" s="21">
        <v>-1.34766E-2</v>
      </c>
      <c r="AJ183" s="21">
        <v>173</v>
      </c>
      <c r="AK183" s="21">
        <v>0.76995800000000003</v>
      </c>
      <c r="AL183">
        <f t="shared" si="30"/>
        <v>16.637777777777774</v>
      </c>
      <c r="AM183">
        <f t="shared" si="31"/>
        <v>12.830704828888885</v>
      </c>
      <c r="AP183" s="9"/>
      <c r="AQ183" s="21">
        <v>0.86883500000000002</v>
      </c>
      <c r="AR183" s="21">
        <v>25.523</v>
      </c>
      <c r="AS183" s="21">
        <v>-1.3699299999999999E-2</v>
      </c>
      <c r="AT183" s="21">
        <v>173</v>
      </c>
      <c r="AU183" s="21">
        <v>0.86853000000000002</v>
      </c>
      <c r="AV183">
        <f t="shared" si="32"/>
        <v>16.912716049382716</v>
      </c>
      <c r="AW183">
        <f t="shared" si="33"/>
        <v>14.694359648765433</v>
      </c>
      <c r="AX183" s="9"/>
      <c r="AY183" s="21">
        <v>0.77117899999999995</v>
      </c>
      <c r="AZ183" s="21">
        <v>29.221399999999999</v>
      </c>
      <c r="BA183" s="21">
        <v>-1.3616899999999999E-2</v>
      </c>
      <c r="BB183" s="21">
        <v>173</v>
      </c>
      <c r="BC183" s="21">
        <v>0.76995800000000003</v>
      </c>
      <c r="BD183">
        <f t="shared" si="34"/>
        <v>16.810987654320986</v>
      </c>
      <c r="BE183">
        <f t="shared" si="35"/>
        <v>12.964280648271602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0.86380000000000001</v>
      </c>
      <c r="H184" s="21">
        <v>7.3416800000000002</v>
      </c>
      <c r="I184" s="21">
        <v>-1.36902E-2</v>
      </c>
      <c r="J184" s="21">
        <v>174</v>
      </c>
      <c r="K184" s="21">
        <v>0.86273200000000005</v>
      </c>
      <c r="L184">
        <f t="shared" si="24"/>
        <v>16.901481481481479</v>
      </c>
      <c r="M184">
        <f t="shared" si="25"/>
        <v>14.599499703703701</v>
      </c>
      <c r="N184" s="9"/>
      <c r="O184" s="21">
        <v>0.77621499999999999</v>
      </c>
      <c r="P184" s="21">
        <v>11.04</v>
      </c>
      <c r="Q184" s="21">
        <v>-1.3629199999999999E-2</v>
      </c>
      <c r="R184" s="21">
        <v>174</v>
      </c>
      <c r="S184" s="21">
        <v>0.77545200000000003</v>
      </c>
      <c r="T184">
        <f t="shared" si="26"/>
        <v>16.826172839506171</v>
      </c>
      <c r="U184">
        <f t="shared" si="27"/>
        <v>13.060727750617282</v>
      </c>
      <c r="X184" s="9"/>
      <c r="Y184" s="21">
        <v>0.86380000000000001</v>
      </c>
      <c r="Z184" s="21">
        <v>16.4009</v>
      </c>
      <c r="AA184" s="21">
        <v>-1.36627E-2</v>
      </c>
      <c r="AB184" s="21">
        <v>174</v>
      </c>
      <c r="AC184" s="21">
        <v>0.86273200000000005</v>
      </c>
      <c r="AD184">
        <f t="shared" si="28"/>
        <v>16.86753086419753</v>
      </c>
      <c r="AE184">
        <f t="shared" si="29"/>
        <v>14.570173160493827</v>
      </c>
      <c r="AF184" s="9"/>
      <c r="AG184" s="21">
        <v>0.77621499999999999</v>
      </c>
      <c r="AH184" s="21">
        <v>20.099299999999999</v>
      </c>
      <c r="AI184" s="21">
        <v>-1.34796E-2</v>
      </c>
      <c r="AJ184" s="21">
        <v>174</v>
      </c>
      <c r="AK184" s="21">
        <v>0.77545200000000003</v>
      </c>
      <c r="AL184">
        <f t="shared" si="30"/>
        <v>16.641481481481478</v>
      </c>
      <c r="AM184">
        <f t="shared" si="31"/>
        <v>12.917367548148144</v>
      </c>
      <c r="AP184" s="9"/>
      <c r="AQ184" s="21">
        <v>0.86380000000000001</v>
      </c>
      <c r="AR184" s="21">
        <v>25.533100000000001</v>
      </c>
      <c r="AS184" s="21">
        <v>-1.36963E-2</v>
      </c>
      <c r="AT184" s="21">
        <v>174</v>
      </c>
      <c r="AU184" s="21">
        <v>0.86303700000000005</v>
      </c>
      <c r="AV184">
        <f t="shared" si="32"/>
        <v>16.90901234567901</v>
      </c>
      <c r="AW184">
        <f t="shared" si="33"/>
        <v>14.606004864197528</v>
      </c>
      <c r="AX184" s="9"/>
      <c r="AY184" s="21">
        <v>0.77621499999999999</v>
      </c>
      <c r="AZ184" s="21">
        <v>29.2315</v>
      </c>
      <c r="BA184" s="21">
        <v>-1.36017E-2</v>
      </c>
      <c r="BB184" s="21">
        <v>174</v>
      </c>
      <c r="BC184" s="21">
        <v>0.77545200000000003</v>
      </c>
      <c r="BD184">
        <f t="shared" si="34"/>
        <v>16.792222222222222</v>
      </c>
      <c r="BE184">
        <f t="shared" si="35"/>
        <v>13.034374772222222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0.858765</v>
      </c>
      <c r="H185" s="21">
        <v>7.35175</v>
      </c>
      <c r="I185" s="21">
        <v>-1.3693200000000001E-2</v>
      </c>
      <c r="J185" s="21">
        <v>175</v>
      </c>
      <c r="K185" s="21">
        <v>0.85784899999999997</v>
      </c>
      <c r="L185">
        <f t="shared" si="24"/>
        <v>16.905185185185186</v>
      </c>
      <c r="M185">
        <f t="shared" si="25"/>
        <v>14.517581355555556</v>
      </c>
      <c r="N185" s="9"/>
      <c r="O185" s="21">
        <v>0.78125</v>
      </c>
      <c r="P185" s="21">
        <v>11.0501</v>
      </c>
      <c r="Q185" s="21">
        <v>-1.36261E-2</v>
      </c>
      <c r="R185" s="21">
        <v>175</v>
      </c>
      <c r="S185" s="21">
        <v>0.78064</v>
      </c>
      <c r="T185">
        <f t="shared" si="26"/>
        <v>16.822345679012344</v>
      </c>
      <c r="U185">
        <f t="shared" si="27"/>
        <v>13.142457561728394</v>
      </c>
      <c r="X185" s="9"/>
      <c r="Y185" s="21">
        <v>0.858765</v>
      </c>
      <c r="Z185" s="21">
        <v>16.411000000000001</v>
      </c>
      <c r="AA185" s="21">
        <v>-1.3665800000000001E-2</v>
      </c>
      <c r="AB185" s="21">
        <v>175</v>
      </c>
      <c r="AC185" s="21">
        <v>0.858765</v>
      </c>
      <c r="AD185">
        <f t="shared" si="28"/>
        <v>16.871358024691357</v>
      </c>
      <c r="AE185">
        <f t="shared" si="29"/>
        <v>14.488531774074074</v>
      </c>
      <c r="AF185" s="9"/>
      <c r="AG185" s="21">
        <v>0.78125</v>
      </c>
      <c r="AH185" s="21">
        <v>20.109300000000001</v>
      </c>
      <c r="AI185" s="21">
        <v>-1.3467399999999999E-2</v>
      </c>
      <c r="AJ185" s="21">
        <v>175</v>
      </c>
      <c r="AK185" s="21">
        <v>0.78033399999999997</v>
      </c>
      <c r="AL185">
        <f t="shared" si="30"/>
        <v>16.626419753086417</v>
      </c>
      <c r="AM185">
        <f t="shared" si="31"/>
        <v>12.989390432098762</v>
      </c>
      <c r="AP185" s="9"/>
      <c r="AQ185" s="21">
        <v>0.858765</v>
      </c>
      <c r="AR185" s="21">
        <v>25.543199999999999</v>
      </c>
      <c r="AS185" s="21">
        <v>-1.3687100000000001E-2</v>
      </c>
      <c r="AT185" s="21">
        <v>175</v>
      </c>
      <c r="AU185" s="21">
        <v>0.85784899999999997</v>
      </c>
      <c r="AV185">
        <f t="shared" si="32"/>
        <v>16.897654320987655</v>
      </c>
      <c r="AW185">
        <f t="shared" si="33"/>
        <v>14.511114112962964</v>
      </c>
      <c r="AX185" s="9"/>
      <c r="AY185" s="21">
        <v>0.78125</v>
      </c>
      <c r="AZ185" s="21">
        <v>29.241499999999998</v>
      </c>
      <c r="BA185" s="21">
        <v>-1.35803E-2</v>
      </c>
      <c r="BB185" s="21">
        <v>175</v>
      </c>
      <c r="BC185" s="21">
        <v>0.78033399999999997</v>
      </c>
      <c r="BD185">
        <f t="shared" si="34"/>
        <v>16.765802469135803</v>
      </c>
      <c r="BE185">
        <f t="shared" si="35"/>
        <v>13.098283179012347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0.85372899999999996</v>
      </c>
      <c r="H186" s="21">
        <v>7.3618300000000003</v>
      </c>
      <c r="I186" s="21">
        <v>-1.36902E-2</v>
      </c>
      <c r="J186" s="21">
        <v>176</v>
      </c>
      <c r="K186" s="21">
        <v>0.85357700000000003</v>
      </c>
      <c r="L186">
        <f t="shared" si="24"/>
        <v>16.901481481481479</v>
      </c>
      <c r="M186">
        <f t="shared" si="25"/>
        <v>14.429284883703701</v>
      </c>
      <c r="N186" s="9"/>
      <c r="O186" s="21">
        <v>0.78628500000000001</v>
      </c>
      <c r="P186" s="21">
        <v>11.0602</v>
      </c>
      <c r="Q186" s="21">
        <v>-1.3610799999999999E-2</v>
      </c>
      <c r="R186" s="21">
        <v>176</v>
      </c>
      <c r="S186" s="21">
        <v>0.78582799999999997</v>
      </c>
      <c r="T186">
        <f t="shared" si="26"/>
        <v>16.803456790123455</v>
      </c>
      <c r="U186">
        <f t="shared" si="27"/>
        <v>13.21230602222222</v>
      </c>
      <c r="X186" s="9"/>
      <c r="Y186" s="21">
        <v>0.85372899999999996</v>
      </c>
      <c r="Z186" s="21">
        <v>16.420999999999999</v>
      </c>
      <c r="AA186" s="21">
        <v>-1.3677999999999999E-2</v>
      </c>
      <c r="AB186" s="21">
        <v>176</v>
      </c>
      <c r="AC186" s="21">
        <v>0.852661</v>
      </c>
      <c r="AD186">
        <f t="shared" si="28"/>
        <v>16.886419753086418</v>
      </c>
      <c r="AE186">
        <f t="shared" si="29"/>
        <v>14.416426249382715</v>
      </c>
      <c r="AF186" s="9"/>
      <c r="AG186" s="21">
        <v>0.78628500000000001</v>
      </c>
      <c r="AH186" s="21">
        <v>20.119399999999999</v>
      </c>
      <c r="AI186" s="21">
        <v>-1.34521E-2</v>
      </c>
      <c r="AJ186" s="21">
        <v>176</v>
      </c>
      <c r="AK186" s="21">
        <v>0.78552200000000005</v>
      </c>
      <c r="AL186">
        <f t="shared" si="30"/>
        <v>16.607530864197528</v>
      </c>
      <c r="AM186">
        <f t="shared" si="31"/>
        <v>13.058252405555553</v>
      </c>
      <c r="AP186" s="9"/>
      <c r="AQ186" s="21">
        <v>0.85372899999999996</v>
      </c>
      <c r="AR186" s="21">
        <v>25.5533</v>
      </c>
      <c r="AS186" s="21">
        <v>-1.3681E-2</v>
      </c>
      <c r="AT186" s="21">
        <v>176</v>
      </c>
      <c r="AU186" s="21">
        <v>0.852356</v>
      </c>
      <c r="AV186">
        <f t="shared" si="32"/>
        <v>16.890123456790121</v>
      </c>
      <c r="AW186">
        <f t="shared" si="33"/>
        <v>14.419588208641972</v>
      </c>
      <c r="AX186" s="9"/>
      <c r="AY186" s="21">
        <v>0.78628500000000001</v>
      </c>
      <c r="AZ186" s="21">
        <v>29.2516</v>
      </c>
      <c r="BA186" s="21">
        <v>-1.3561999999999999E-2</v>
      </c>
      <c r="BB186" s="21">
        <v>176</v>
      </c>
      <c r="BC186" s="21">
        <v>0.78552200000000005</v>
      </c>
      <c r="BD186">
        <f t="shared" si="34"/>
        <v>16.743209876543208</v>
      </c>
      <c r="BE186">
        <f t="shared" si="35"/>
        <v>13.164934777777777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0.84869399999999995</v>
      </c>
      <c r="H187" s="21">
        <v>7.3719000000000001</v>
      </c>
      <c r="I187" s="21">
        <v>-1.36902E-2</v>
      </c>
      <c r="J187" s="21">
        <v>177</v>
      </c>
      <c r="K187" s="21">
        <v>0.84808300000000003</v>
      </c>
      <c r="L187">
        <f t="shared" si="24"/>
        <v>16.901481481481479</v>
      </c>
      <c r="M187">
        <f t="shared" si="25"/>
        <v>14.344185924444442</v>
      </c>
      <c r="N187" s="9"/>
      <c r="O187" s="21">
        <v>0.79132100000000005</v>
      </c>
      <c r="P187" s="21">
        <v>11.0702</v>
      </c>
      <c r="Q187" s="21">
        <v>-1.35925E-2</v>
      </c>
      <c r="R187" s="21">
        <v>177</v>
      </c>
      <c r="S187" s="21">
        <v>0.79010000000000002</v>
      </c>
      <c r="T187">
        <f t="shared" si="26"/>
        <v>16.780864197530864</v>
      </c>
      <c r="U187">
        <f t="shared" si="27"/>
        <v>13.279050237654321</v>
      </c>
      <c r="X187" s="9"/>
      <c r="Y187" s="21">
        <v>0.84869399999999995</v>
      </c>
      <c r="Z187" s="21">
        <v>16.431100000000001</v>
      </c>
      <c r="AA187" s="21">
        <v>-1.3687100000000001E-2</v>
      </c>
      <c r="AB187" s="21">
        <v>177</v>
      </c>
      <c r="AC187" s="21">
        <v>0.84747300000000003</v>
      </c>
      <c r="AD187">
        <f t="shared" si="28"/>
        <v>16.897654320987655</v>
      </c>
      <c r="AE187">
        <f t="shared" si="29"/>
        <v>14.340937836296296</v>
      </c>
      <c r="AF187" s="9"/>
      <c r="AG187" s="21">
        <v>0.79132100000000005</v>
      </c>
      <c r="AH187" s="21">
        <v>20.1295</v>
      </c>
      <c r="AI187" s="21">
        <v>-1.3458299999999999E-2</v>
      </c>
      <c r="AJ187" s="21">
        <v>177</v>
      </c>
      <c r="AK187" s="21">
        <v>0.79040500000000002</v>
      </c>
      <c r="AL187">
        <f t="shared" si="30"/>
        <v>16.615185185185183</v>
      </c>
      <c r="AM187">
        <f t="shared" si="31"/>
        <v>13.147944955925926</v>
      </c>
      <c r="AP187" s="9"/>
      <c r="AQ187" s="21">
        <v>0.84869399999999995</v>
      </c>
      <c r="AR187" s="21">
        <v>25.563300000000002</v>
      </c>
      <c r="AS187" s="21">
        <v>-1.3681E-2</v>
      </c>
      <c r="AT187" s="21">
        <v>177</v>
      </c>
      <c r="AU187" s="21">
        <v>0.84838899999999995</v>
      </c>
      <c r="AV187">
        <f t="shared" si="32"/>
        <v>16.890123456790121</v>
      </c>
      <c r="AW187">
        <f t="shared" si="33"/>
        <v>14.334546437037034</v>
      </c>
      <c r="AX187" s="9"/>
      <c r="AY187" s="21">
        <v>0.79132100000000005</v>
      </c>
      <c r="AZ187" s="21">
        <v>29.261700000000001</v>
      </c>
      <c r="BA187" s="21">
        <v>-1.3555899999999999E-2</v>
      </c>
      <c r="BB187" s="21">
        <v>177</v>
      </c>
      <c r="BC187" s="21">
        <v>0.79010000000000002</v>
      </c>
      <c r="BD187">
        <f t="shared" si="34"/>
        <v>16.735679012345678</v>
      </c>
      <c r="BE187">
        <f t="shared" si="35"/>
        <v>13.243294251728395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0.84365800000000002</v>
      </c>
      <c r="H188" s="21">
        <v>7.3819699999999999</v>
      </c>
      <c r="I188" s="21">
        <v>-1.3693200000000001E-2</v>
      </c>
      <c r="J188" s="21">
        <v>178</v>
      </c>
      <c r="K188" s="21">
        <v>0.84258999999999995</v>
      </c>
      <c r="L188">
        <f t="shared" si="24"/>
        <v>16.905185185185186</v>
      </c>
      <c r="M188">
        <f t="shared" si="25"/>
        <v>14.262194722962963</v>
      </c>
      <c r="N188" s="9"/>
      <c r="O188" s="21">
        <v>0.79635599999999995</v>
      </c>
      <c r="P188" s="21">
        <v>11.080299999999999</v>
      </c>
      <c r="Q188" s="21">
        <v>-1.3583400000000001E-2</v>
      </c>
      <c r="R188" s="21">
        <v>178</v>
      </c>
      <c r="S188" s="21">
        <v>0.79559299999999999</v>
      </c>
      <c r="T188">
        <f t="shared" si="26"/>
        <v>16.76962962962963</v>
      </c>
      <c r="U188">
        <f t="shared" si="27"/>
        <v>13.354595173333333</v>
      </c>
      <c r="X188" s="9"/>
      <c r="Y188" s="21">
        <v>0.84365800000000002</v>
      </c>
      <c r="Z188" s="21">
        <v>16.441199999999998</v>
      </c>
      <c r="AA188" s="21">
        <v>-1.36902E-2</v>
      </c>
      <c r="AB188" s="21">
        <v>178</v>
      </c>
      <c r="AC188" s="21">
        <v>0.84320099999999998</v>
      </c>
      <c r="AD188">
        <f t="shared" si="28"/>
        <v>16.901481481481479</v>
      </c>
      <c r="AE188">
        <f t="shared" si="29"/>
        <v>14.259070063703701</v>
      </c>
      <c r="AF188" s="9"/>
      <c r="AG188" s="21">
        <v>0.79635599999999995</v>
      </c>
      <c r="AH188" s="21">
        <v>20.139600000000002</v>
      </c>
      <c r="AI188" s="21">
        <v>-1.3473499999999999E-2</v>
      </c>
      <c r="AJ188" s="21">
        <v>178</v>
      </c>
      <c r="AK188" s="21">
        <v>0.794983</v>
      </c>
      <c r="AL188">
        <f t="shared" si="30"/>
        <v>16.633950617283947</v>
      </c>
      <c r="AM188">
        <f t="shared" si="31"/>
        <v>13.246546377777774</v>
      </c>
      <c r="AP188" s="9"/>
      <c r="AQ188" s="21">
        <v>0.84365800000000002</v>
      </c>
      <c r="AR188" s="21">
        <v>25.573399999999999</v>
      </c>
      <c r="AS188" s="21">
        <v>-1.36902E-2</v>
      </c>
      <c r="AT188" s="21">
        <v>178</v>
      </c>
      <c r="AU188" s="21">
        <v>0.84320099999999998</v>
      </c>
      <c r="AV188">
        <f t="shared" si="32"/>
        <v>16.901481481481479</v>
      </c>
      <c r="AW188">
        <f t="shared" si="33"/>
        <v>14.259070063703701</v>
      </c>
      <c r="AX188" s="9"/>
      <c r="AY188" s="21">
        <v>0.79635599999999995</v>
      </c>
      <c r="AZ188" s="21">
        <v>29.271699999999999</v>
      </c>
      <c r="BA188" s="21">
        <v>-1.3549800000000001E-2</v>
      </c>
      <c r="BB188" s="21">
        <v>178</v>
      </c>
      <c r="BC188" s="21">
        <v>0.79528799999999999</v>
      </c>
      <c r="BD188">
        <f t="shared" si="34"/>
        <v>16.728148148148147</v>
      </c>
      <c r="BE188">
        <f t="shared" si="35"/>
        <v>13.321561146666665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0.83862300000000001</v>
      </c>
      <c r="H189" s="21">
        <v>7.3920399999999997</v>
      </c>
      <c r="I189" s="21">
        <v>-1.37024E-2</v>
      </c>
      <c r="J189" s="21">
        <v>179</v>
      </c>
      <c r="K189" s="21">
        <v>0.83740199999999998</v>
      </c>
      <c r="L189">
        <f t="shared" si="24"/>
        <v>16.916543209876544</v>
      </c>
      <c r="M189">
        <f t="shared" si="25"/>
        <v>14.186602216296297</v>
      </c>
      <c r="N189" s="9"/>
      <c r="O189" s="21">
        <v>0.80139199999999999</v>
      </c>
      <c r="P189" s="21">
        <v>11.090400000000001</v>
      </c>
      <c r="Q189" s="21">
        <v>-1.35803E-2</v>
      </c>
      <c r="R189" s="21">
        <v>179</v>
      </c>
      <c r="S189" s="21">
        <v>0.80078099999999997</v>
      </c>
      <c r="T189">
        <f t="shared" si="26"/>
        <v>16.765802469135803</v>
      </c>
      <c r="U189">
        <f t="shared" si="27"/>
        <v>13.435979972345679</v>
      </c>
      <c r="X189" s="9"/>
      <c r="Y189" s="21">
        <v>0.83862300000000001</v>
      </c>
      <c r="Z189" s="21">
        <v>16.4513</v>
      </c>
      <c r="AA189" s="21">
        <v>-1.3687100000000001E-2</v>
      </c>
      <c r="AB189" s="21">
        <v>179</v>
      </c>
      <c r="AC189" s="21">
        <v>0.83740199999999998</v>
      </c>
      <c r="AD189">
        <f t="shared" si="28"/>
        <v>16.897654320987655</v>
      </c>
      <c r="AE189">
        <f t="shared" si="29"/>
        <v>14.17076155962963</v>
      </c>
      <c r="AF189" s="9"/>
      <c r="AG189" s="21">
        <v>0.80139199999999999</v>
      </c>
      <c r="AH189" s="21">
        <v>20.1496</v>
      </c>
      <c r="AI189" s="21">
        <v>-1.34827E-2</v>
      </c>
      <c r="AJ189" s="21">
        <v>179</v>
      </c>
      <c r="AK189" s="21">
        <v>0.80047599999999997</v>
      </c>
      <c r="AL189">
        <f t="shared" si="30"/>
        <v>16.645308641975308</v>
      </c>
      <c r="AM189">
        <f t="shared" si="31"/>
        <v>13.339417183209877</v>
      </c>
      <c r="AP189" s="9"/>
      <c r="AQ189" s="21">
        <v>0.83862300000000001</v>
      </c>
      <c r="AR189" s="21">
        <v>25.583500000000001</v>
      </c>
      <c r="AS189" s="21">
        <v>-1.3684099999999999E-2</v>
      </c>
      <c r="AT189" s="21">
        <v>179</v>
      </c>
      <c r="AU189" s="21">
        <v>0.83740199999999998</v>
      </c>
      <c r="AV189">
        <f t="shared" si="32"/>
        <v>16.893950617283949</v>
      </c>
      <c r="AW189">
        <f t="shared" si="33"/>
        <v>14.167655548518518</v>
      </c>
      <c r="AX189" s="9"/>
      <c r="AY189" s="21">
        <v>0.80139199999999999</v>
      </c>
      <c r="AZ189" s="21">
        <v>29.2818</v>
      </c>
      <c r="BA189" s="21">
        <v>-1.35376E-2</v>
      </c>
      <c r="BB189" s="21">
        <v>179</v>
      </c>
      <c r="BC189" s="21">
        <v>0.80047599999999997</v>
      </c>
      <c r="BD189">
        <f t="shared" si="34"/>
        <v>16.713086419753086</v>
      </c>
      <c r="BE189">
        <f t="shared" si="35"/>
        <v>13.393733752098765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0.833588</v>
      </c>
      <c r="H190" s="21">
        <v>7.4021100000000004</v>
      </c>
      <c r="I190" s="21">
        <v>-1.36963E-2</v>
      </c>
      <c r="J190" s="21">
        <v>180</v>
      </c>
      <c r="K190" s="21">
        <v>0.83252000000000004</v>
      </c>
      <c r="L190">
        <f t="shared" si="24"/>
        <v>16.90901234567901</v>
      </c>
      <c r="M190">
        <f t="shared" si="25"/>
        <v>14.095149783209875</v>
      </c>
      <c r="N190" s="9"/>
      <c r="O190" s="21">
        <v>0.806427</v>
      </c>
      <c r="P190" s="21">
        <v>11.1004</v>
      </c>
      <c r="Q190" s="21">
        <v>-1.3583400000000001E-2</v>
      </c>
      <c r="R190" s="21">
        <v>180</v>
      </c>
      <c r="S190" s="21">
        <v>0.80566400000000005</v>
      </c>
      <c r="T190">
        <f t="shared" si="26"/>
        <v>16.76962962962963</v>
      </c>
      <c r="U190">
        <f t="shared" si="27"/>
        <v>13.523482113333333</v>
      </c>
      <c r="X190" s="9"/>
      <c r="Y190" s="21">
        <v>0.833588</v>
      </c>
      <c r="Z190" s="21">
        <v>16.461300000000001</v>
      </c>
      <c r="AA190" s="21">
        <v>-1.36963E-2</v>
      </c>
      <c r="AB190" s="21">
        <v>180</v>
      </c>
      <c r="AC190" s="21">
        <v>0.83221400000000001</v>
      </c>
      <c r="AD190">
        <f t="shared" si="28"/>
        <v>16.90901234567901</v>
      </c>
      <c r="AE190">
        <f t="shared" si="29"/>
        <v>14.095149783209875</v>
      </c>
      <c r="AF190" s="9"/>
      <c r="AG190" s="21">
        <v>0.806427</v>
      </c>
      <c r="AH190" s="21">
        <v>20.159700000000001</v>
      </c>
      <c r="AI190" s="21">
        <v>-1.34918E-2</v>
      </c>
      <c r="AJ190" s="21">
        <v>180</v>
      </c>
      <c r="AK190" s="21">
        <v>0.80596900000000005</v>
      </c>
      <c r="AL190">
        <f t="shared" si="30"/>
        <v>16.656543209876542</v>
      </c>
      <c r="AM190">
        <f t="shared" si="31"/>
        <v>13.432286171111111</v>
      </c>
      <c r="AP190" s="9"/>
      <c r="AQ190" s="21">
        <v>0.833588</v>
      </c>
      <c r="AR190" s="21">
        <v>25.593499999999999</v>
      </c>
      <c r="AS190" s="21">
        <v>-1.3681E-2</v>
      </c>
      <c r="AT190" s="21">
        <v>180</v>
      </c>
      <c r="AU190" s="21">
        <v>0.83282500000000004</v>
      </c>
      <c r="AV190">
        <f t="shared" si="32"/>
        <v>16.890123456790121</v>
      </c>
      <c r="AW190">
        <f t="shared" si="33"/>
        <v>14.079404232098764</v>
      </c>
      <c r="AX190" s="9"/>
      <c r="AY190" s="21">
        <v>0.806427</v>
      </c>
      <c r="AZ190" s="21">
        <v>29.291899999999998</v>
      </c>
      <c r="BA190" s="21">
        <v>-1.35315E-2</v>
      </c>
      <c r="BB190" s="21">
        <v>180</v>
      </c>
      <c r="BC190" s="21">
        <v>0.80596900000000005</v>
      </c>
      <c r="BD190">
        <f t="shared" si="34"/>
        <v>16.705555555555552</v>
      </c>
      <c r="BE190">
        <f t="shared" si="35"/>
        <v>13.471811049999998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0.82855199999999996</v>
      </c>
      <c r="H191" s="21">
        <v>7.4121800000000002</v>
      </c>
      <c r="I191" s="21">
        <v>-1.3699299999999999E-2</v>
      </c>
      <c r="J191" s="21">
        <v>181</v>
      </c>
      <c r="K191" s="21">
        <v>0.82794199999999996</v>
      </c>
      <c r="L191">
        <f t="shared" si="24"/>
        <v>16.912716049382716</v>
      </c>
      <c r="M191">
        <f t="shared" si="25"/>
        <v>14.013064708148148</v>
      </c>
      <c r="N191" s="9"/>
      <c r="O191" s="21">
        <v>0.81146200000000002</v>
      </c>
      <c r="P191" s="21">
        <v>11.1105</v>
      </c>
      <c r="Q191" s="21">
        <v>-1.3583400000000001E-2</v>
      </c>
      <c r="R191" s="21">
        <v>181</v>
      </c>
      <c r="S191" s="21">
        <v>0.81054700000000002</v>
      </c>
      <c r="T191">
        <f t="shared" si="26"/>
        <v>16.76962962962963</v>
      </c>
      <c r="U191">
        <f t="shared" si="27"/>
        <v>13.607917198518519</v>
      </c>
      <c r="X191" s="9"/>
      <c r="Y191" s="21">
        <v>0.82855199999999996</v>
      </c>
      <c r="Z191" s="21">
        <v>16.471399999999999</v>
      </c>
      <c r="AA191" s="21">
        <v>-1.37024E-2</v>
      </c>
      <c r="AB191" s="21">
        <v>181</v>
      </c>
      <c r="AC191" s="21">
        <v>0.82855199999999996</v>
      </c>
      <c r="AD191">
        <f t="shared" si="28"/>
        <v>16.916543209876544</v>
      </c>
      <c r="AE191">
        <f t="shared" si="29"/>
        <v>14.01623570962963</v>
      </c>
      <c r="AF191" s="9"/>
      <c r="AG191" s="21">
        <v>0.81146200000000002</v>
      </c>
      <c r="AH191" s="21">
        <v>20.169799999999999</v>
      </c>
      <c r="AI191" s="21">
        <v>-1.34888E-2</v>
      </c>
      <c r="AJ191" s="21">
        <v>181</v>
      </c>
      <c r="AK191" s="21">
        <v>0.81054700000000002</v>
      </c>
      <c r="AL191">
        <f t="shared" si="30"/>
        <v>16.652839506172839</v>
      </c>
      <c r="AM191">
        <f t="shared" si="31"/>
        <v>13.513146451358024</v>
      </c>
      <c r="AP191" s="9"/>
      <c r="AQ191" s="21">
        <v>0.82855199999999996</v>
      </c>
      <c r="AR191" s="21">
        <v>25.6036</v>
      </c>
      <c r="AS191" s="21">
        <v>-1.36749E-2</v>
      </c>
      <c r="AT191" s="21">
        <v>181</v>
      </c>
      <c r="AU191" s="21">
        <v>0.82794199999999996</v>
      </c>
      <c r="AV191">
        <f t="shared" si="32"/>
        <v>16.882592592592591</v>
      </c>
      <c r="AW191">
        <f t="shared" si="33"/>
        <v>13.988105857777775</v>
      </c>
      <c r="AX191" s="9"/>
      <c r="AY191" s="21">
        <v>0.81146200000000002</v>
      </c>
      <c r="AZ191" s="21">
        <v>29.302</v>
      </c>
      <c r="BA191" s="21">
        <v>-1.35376E-2</v>
      </c>
      <c r="BB191" s="21">
        <v>181</v>
      </c>
      <c r="BC191" s="21">
        <v>0.81054700000000002</v>
      </c>
      <c r="BD191">
        <f t="shared" si="34"/>
        <v>16.713086419753086</v>
      </c>
      <c r="BE191">
        <f t="shared" si="35"/>
        <v>13.562034532345679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0.82351700000000005</v>
      </c>
      <c r="H192" s="21">
        <v>7.42225</v>
      </c>
      <c r="I192" s="21">
        <v>-1.3699299999999999E-2</v>
      </c>
      <c r="J192" s="21">
        <v>182</v>
      </c>
      <c r="K192" s="21">
        <v>0.82275399999999999</v>
      </c>
      <c r="L192">
        <f t="shared" si="24"/>
        <v>16.912716049382716</v>
      </c>
      <c r="M192">
        <f t="shared" si="25"/>
        <v>13.927909182839507</v>
      </c>
      <c r="N192" s="9"/>
      <c r="O192" s="21">
        <v>0.81649799999999995</v>
      </c>
      <c r="P192" s="21">
        <v>11.1206</v>
      </c>
      <c r="Q192" s="21">
        <v>-1.35773E-2</v>
      </c>
      <c r="R192" s="21">
        <v>182</v>
      </c>
      <c r="S192" s="21">
        <v>0.81542999999999999</v>
      </c>
      <c r="T192">
        <f t="shared" si="26"/>
        <v>16.7620987654321</v>
      </c>
      <c r="U192">
        <f t="shared" si="27"/>
        <v>13.686220117777777</v>
      </c>
      <c r="X192" s="9"/>
      <c r="Y192" s="21">
        <v>0.82351700000000005</v>
      </c>
      <c r="Z192" s="21">
        <v>16.4815</v>
      </c>
      <c r="AA192" s="21">
        <v>-1.37146E-2</v>
      </c>
      <c r="AB192" s="21">
        <v>182</v>
      </c>
      <c r="AC192" s="21">
        <v>0.82275399999999999</v>
      </c>
      <c r="AD192">
        <f t="shared" si="28"/>
        <v>16.931604938271605</v>
      </c>
      <c r="AE192">
        <f t="shared" si="29"/>
        <v>13.943464503950619</v>
      </c>
      <c r="AF192" s="9"/>
      <c r="AG192" s="21">
        <v>0.81649799999999995</v>
      </c>
      <c r="AH192" s="21">
        <v>20.1798</v>
      </c>
      <c r="AI192" s="21">
        <v>-1.34766E-2</v>
      </c>
      <c r="AJ192" s="21">
        <v>182</v>
      </c>
      <c r="AK192" s="21">
        <v>0.81603999999999999</v>
      </c>
      <c r="AL192">
        <f t="shared" si="30"/>
        <v>16.637777777777774</v>
      </c>
      <c r="AM192">
        <f t="shared" si="31"/>
        <v>13.584712279999996</v>
      </c>
      <c r="AP192" s="9"/>
      <c r="AQ192" s="21">
        <v>0.82351700000000005</v>
      </c>
      <c r="AR192" s="21">
        <v>25.613700000000001</v>
      </c>
      <c r="AS192" s="21">
        <v>-1.36749E-2</v>
      </c>
      <c r="AT192" s="21">
        <v>182</v>
      </c>
      <c r="AU192" s="21">
        <v>0.82336399999999998</v>
      </c>
      <c r="AV192">
        <f t="shared" si="32"/>
        <v>16.882592592592591</v>
      </c>
      <c r="AW192">
        <f t="shared" si="33"/>
        <v>13.903102004074073</v>
      </c>
      <c r="AX192" s="9"/>
      <c r="AY192" s="21">
        <v>0.81649799999999995</v>
      </c>
      <c r="AZ192" s="21">
        <v>29.312000000000001</v>
      </c>
      <c r="BA192" s="21">
        <v>-1.35406E-2</v>
      </c>
      <c r="BB192" s="21">
        <v>182</v>
      </c>
      <c r="BC192" s="21">
        <v>0.81603999999999999</v>
      </c>
      <c r="BD192">
        <f t="shared" si="34"/>
        <v>16.716790123456789</v>
      </c>
      <c r="BE192">
        <f t="shared" si="35"/>
        <v>13.649225702222221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0.81848100000000001</v>
      </c>
      <c r="H193" s="21">
        <v>7.4323199999999998</v>
      </c>
      <c r="I193" s="21">
        <v>-1.37024E-2</v>
      </c>
      <c r="J193" s="21">
        <v>183</v>
      </c>
      <c r="K193" s="21">
        <v>0.81726100000000002</v>
      </c>
      <c r="L193">
        <f t="shared" si="24"/>
        <v>16.916543209876544</v>
      </c>
      <c r="M193">
        <f t="shared" si="25"/>
        <v>13.845869202962964</v>
      </c>
      <c r="N193" s="9"/>
      <c r="O193" s="21">
        <v>0.82153299999999996</v>
      </c>
      <c r="P193" s="21">
        <v>11.130699999999999</v>
      </c>
      <c r="Q193" s="21">
        <v>-1.35864E-2</v>
      </c>
      <c r="R193" s="21">
        <v>183</v>
      </c>
      <c r="S193" s="21">
        <v>0.82122799999999996</v>
      </c>
      <c r="T193">
        <f t="shared" si="26"/>
        <v>16.77333333333333</v>
      </c>
      <c r="U193">
        <f t="shared" si="27"/>
        <v>13.77984685333333</v>
      </c>
      <c r="X193" s="9"/>
      <c r="Y193" s="21">
        <v>0.81848100000000001</v>
      </c>
      <c r="Z193" s="21">
        <v>16.491499999999998</v>
      </c>
      <c r="AA193" s="21">
        <v>-1.37146E-2</v>
      </c>
      <c r="AB193" s="21">
        <v>183</v>
      </c>
      <c r="AC193" s="21">
        <v>0.81756600000000001</v>
      </c>
      <c r="AD193">
        <f t="shared" si="28"/>
        <v>16.931604938271605</v>
      </c>
      <c r="AE193">
        <f t="shared" si="29"/>
        <v>13.858196941481481</v>
      </c>
      <c r="AF193" s="9"/>
      <c r="AG193" s="21">
        <v>0.82153299999999996</v>
      </c>
      <c r="AH193" s="21">
        <v>20.189900000000002</v>
      </c>
      <c r="AI193" s="21">
        <v>-1.3467399999999999E-2</v>
      </c>
      <c r="AJ193" s="21">
        <v>183</v>
      </c>
      <c r="AK193" s="21">
        <v>0.82061799999999996</v>
      </c>
      <c r="AL193">
        <f t="shared" si="30"/>
        <v>16.626419753086417</v>
      </c>
      <c r="AM193">
        <f t="shared" si="31"/>
        <v>13.659152499012343</v>
      </c>
      <c r="AP193" s="9"/>
      <c r="AQ193" s="21">
        <v>0.81848100000000001</v>
      </c>
      <c r="AR193" s="21">
        <v>25.623799999999999</v>
      </c>
      <c r="AS193" s="21">
        <v>-1.3681E-2</v>
      </c>
      <c r="AT193" s="21">
        <v>183</v>
      </c>
      <c r="AU193" s="21">
        <v>0.81756600000000001</v>
      </c>
      <c r="AV193">
        <f t="shared" si="32"/>
        <v>16.890123456790121</v>
      </c>
      <c r="AW193">
        <f t="shared" si="33"/>
        <v>13.824245137037035</v>
      </c>
      <c r="AX193" s="9"/>
      <c r="AY193" s="21">
        <v>0.82153299999999996</v>
      </c>
      <c r="AZ193" s="21">
        <v>29.322099999999999</v>
      </c>
      <c r="BA193" s="21">
        <v>-1.3543700000000001E-2</v>
      </c>
      <c r="BB193" s="21">
        <v>183</v>
      </c>
      <c r="BC193" s="21">
        <v>0.82092299999999996</v>
      </c>
      <c r="BD193">
        <f t="shared" si="34"/>
        <v>16.720617283950617</v>
      </c>
      <c r="BE193">
        <f t="shared" si="35"/>
        <v>13.736538879135802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0.813446</v>
      </c>
      <c r="H194" s="21">
        <v>7.4423899999999996</v>
      </c>
      <c r="I194" s="21">
        <v>-1.37024E-2</v>
      </c>
      <c r="J194" s="21">
        <v>184</v>
      </c>
      <c r="K194" s="21">
        <v>0.81268300000000004</v>
      </c>
      <c r="L194">
        <f t="shared" si="24"/>
        <v>16.916543209876544</v>
      </c>
      <c r="M194">
        <f t="shared" si="25"/>
        <v>13.760694407901235</v>
      </c>
      <c r="N194" s="9"/>
      <c r="O194" s="21">
        <v>0.826569</v>
      </c>
      <c r="P194" s="21">
        <v>11.140700000000001</v>
      </c>
      <c r="Q194" s="21">
        <v>-1.36017E-2</v>
      </c>
      <c r="R194" s="21">
        <v>184</v>
      </c>
      <c r="S194" s="21">
        <v>0.82611100000000004</v>
      </c>
      <c r="T194">
        <f t="shared" si="26"/>
        <v>16.792222222222222</v>
      </c>
      <c r="U194">
        <f t="shared" si="27"/>
        <v>13.879930329999999</v>
      </c>
      <c r="X194" s="9"/>
      <c r="Y194" s="21">
        <v>0.813446</v>
      </c>
      <c r="Z194" s="21">
        <v>16.5016</v>
      </c>
      <c r="AA194" s="21">
        <v>-1.37115E-2</v>
      </c>
      <c r="AB194" s="21">
        <v>184</v>
      </c>
      <c r="AC194" s="21">
        <v>0.81298800000000004</v>
      </c>
      <c r="AD194">
        <f t="shared" si="28"/>
        <v>16.927777777777777</v>
      </c>
      <c r="AE194">
        <f t="shared" si="29"/>
        <v>13.769833122222222</v>
      </c>
      <c r="AF194" s="9"/>
      <c r="AG194" s="21">
        <v>0.826569</v>
      </c>
      <c r="AH194" s="21">
        <v>20.2</v>
      </c>
      <c r="AI194" s="21">
        <v>-1.34705E-2</v>
      </c>
      <c r="AJ194" s="21">
        <v>184</v>
      </c>
      <c r="AK194" s="21">
        <v>0.82550000000000001</v>
      </c>
      <c r="AL194">
        <f t="shared" si="30"/>
        <v>16.630246913580244</v>
      </c>
      <c r="AM194">
        <f t="shared" si="31"/>
        <v>13.746046561111109</v>
      </c>
      <c r="AP194" s="9"/>
      <c r="AQ194" s="21">
        <v>0.813446</v>
      </c>
      <c r="AR194" s="21">
        <v>25.633800000000001</v>
      </c>
      <c r="AS194" s="21">
        <v>-1.36902E-2</v>
      </c>
      <c r="AT194" s="21">
        <v>184</v>
      </c>
      <c r="AU194" s="21">
        <v>0.81329300000000004</v>
      </c>
      <c r="AV194">
        <f t="shared" si="32"/>
        <v>16.901481481481479</v>
      </c>
      <c r="AW194">
        <f t="shared" si="33"/>
        <v>13.748442505185183</v>
      </c>
      <c r="AX194" s="9"/>
      <c r="AY194" s="21">
        <v>0.826569</v>
      </c>
      <c r="AZ194" s="21">
        <v>29.3322</v>
      </c>
      <c r="BA194" s="21">
        <v>-1.35406E-2</v>
      </c>
      <c r="BB194" s="21">
        <v>184</v>
      </c>
      <c r="BC194" s="21">
        <v>0.82641600000000004</v>
      </c>
      <c r="BD194">
        <f t="shared" si="34"/>
        <v>16.716790123456789</v>
      </c>
      <c r="BE194">
        <f t="shared" si="35"/>
        <v>13.817580495555555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0.80841099999999999</v>
      </c>
      <c r="H195" s="21">
        <v>7.4524600000000003</v>
      </c>
      <c r="I195" s="21">
        <v>-1.37115E-2</v>
      </c>
      <c r="J195" s="21">
        <v>185</v>
      </c>
      <c r="K195" s="21">
        <v>0.80749499999999996</v>
      </c>
      <c r="L195">
        <f t="shared" si="24"/>
        <v>16.927777777777777</v>
      </c>
      <c r="M195">
        <f t="shared" si="25"/>
        <v>13.684601761111111</v>
      </c>
      <c r="N195" s="9"/>
      <c r="O195" s="21">
        <v>0.83160400000000001</v>
      </c>
      <c r="P195" s="21">
        <v>11.1508</v>
      </c>
      <c r="Q195" s="21">
        <v>-1.36078E-2</v>
      </c>
      <c r="R195" s="21">
        <v>185</v>
      </c>
      <c r="S195" s="21">
        <v>0.83099400000000001</v>
      </c>
      <c r="T195">
        <f t="shared" si="26"/>
        <v>16.799753086419752</v>
      </c>
      <c r="U195">
        <f t="shared" si="27"/>
        <v>13.970741865679011</v>
      </c>
      <c r="X195" s="9"/>
      <c r="Y195" s="21">
        <v>0.80841099999999999</v>
      </c>
      <c r="Z195" s="21">
        <v>16.511700000000001</v>
      </c>
      <c r="AA195" s="21">
        <v>-1.3717699999999999E-2</v>
      </c>
      <c r="AB195" s="21">
        <v>185</v>
      </c>
      <c r="AC195" s="21">
        <v>0.80779999999999996</v>
      </c>
      <c r="AD195">
        <f t="shared" si="28"/>
        <v>16.935432098765432</v>
      </c>
      <c r="AE195">
        <f t="shared" si="29"/>
        <v>13.690789598395062</v>
      </c>
      <c r="AF195" s="9"/>
      <c r="AG195" s="21">
        <v>0.83160400000000001</v>
      </c>
      <c r="AH195" s="21">
        <v>20.21</v>
      </c>
      <c r="AI195" s="21">
        <v>-1.34796E-2</v>
      </c>
      <c r="AJ195" s="21">
        <v>185</v>
      </c>
      <c r="AK195" s="21">
        <v>0.83099400000000001</v>
      </c>
      <c r="AL195">
        <f t="shared" si="30"/>
        <v>16.641481481481478</v>
      </c>
      <c r="AM195">
        <f t="shared" si="31"/>
        <v>13.839122565925923</v>
      </c>
      <c r="AP195" s="9"/>
      <c r="AQ195" s="21">
        <v>0.80841099999999999</v>
      </c>
      <c r="AR195" s="21">
        <v>25.643899999999999</v>
      </c>
      <c r="AS195" s="21">
        <v>-1.37085E-2</v>
      </c>
      <c r="AT195" s="21">
        <v>185</v>
      </c>
      <c r="AU195" s="21">
        <v>0.80749499999999996</v>
      </c>
      <c r="AV195">
        <f t="shared" si="32"/>
        <v>16.924074074074074</v>
      </c>
      <c r="AW195">
        <f t="shared" si="33"/>
        <v>13.681607646296296</v>
      </c>
      <c r="AX195" s="9"/>
      <c r="AY195" s="21">
        <v>0.83160400000000001</v>
      </c>
      <c r="AZ195" s="21">
        <v>29.342199999999998</v>
      </c>
      <c r="BA195" s="21">
        <v>-1.3549800000000001E-2</v>
      </c>
      <c r="BB195" s="21">
        <v>185</v>
      </c>
      <c r="BC195" s="21">
        <v>0.83038299999999998</v>
      </c>
      <c r="BD195">
        <f t="shared" si="34"/>
        <v>16.728148148148147</v>
      </c>
      <c r="BE195">
        <f t="shared" si="35"/>
        <v>13.911194912592592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0.80337499999999995</v>
      </c>
      <c r="H196" s="21">
        <v>7.4625399999999997</v>
      </c>
      <c r="I196" s="21">
        <v>-1.37238E-2</v>
      </c>
      <c r="J196" s="21">
        <v>186</v>
      </c>
      <c r="K196" s="21">
        <v>0.80230699999999999</v>
      </c>
      <c r="L196">
        <f t="shared" si="24"/>
        <v>16.942962962962962</v>
      </c>
      <c r="M196">
        <f t="shared" si="25"/>
        <v>13.611552870370369</v>
      </c>
      <c r="N196" s="9"/>
      <c r="O196" s="21">
        <v>0.83663900000000002</v>
      </c>
      <c r="P196" s="21">
        <v>11.1609</v>
      </c>
      <c r="Q196" s="21">
        <v>-1.3610799999999999E-2</v>
      </c>
      <c r="R196" s="21">
        <v>186</v>
      </c>
      <c r="S196" s="21">
        <v>0.83587599999999995</v>
      </c>
      <c r="T196">
        <f t="shared" si="26"/>
        <v>16.803456790123455</v>
      </c>
      <c r="U196">
        <f t="shared" si="27"/>
        <v>14.058427285432098</v>
      </c>
      <c r="X196" s="9"/>
      <c r="Y196" s="21">
        <v>0.80337499999999995</v>
      </c>
      <c r="Z196" s="21">
        <v>16.521699999999999</v>
      </c>
      <c r="AA196" s="21">
        <v>-1.3720700000000001E-2</v>
      </c>
      <c r="AB196" s="21">
        <v>186</v>
      </c>
      <c r="AC196" s="21">
        <v>0.80230699999999999</v>
      </c>
      <c r="AD196">
        <f t="shared" si="28"/>
        <v>16.939135802469135</v>
      </c>
      <c r="AE196">
        <f t="shared" si="29"/>
        <v>13.608478225308641</v>
      </c>
      <c r="AF196" s="9"/>
      <c r="AG196" s="21">
        <v>0.83663900000000002</v>
      </c>
      <c r="AH196" s="21">
        <v>20.220099999999999</v>
      </c>
      <c r="AI196" s="21">
        <v>-1.3501000000000001E-2</v>
      </c>
      <c r="AJ196" s="21">
        <v>186</v>
      </c>
      <c r="AK196" s="21">
        <v>0.83557099999999995</v>
      </c>
      <c r="AL196">
        <f t="shared" si="30"/>
        <v>16.667901234567903</v>
      </c>
      <c r="AM196">
        <f t="shared" si="31"/>
        <v>13.945016220987657</v>
      </c>
      <c r="AP196" s="9"/>
      <c r="AQ196" s="21">
        <v>0.80337499999999995</v>
      </c>
      <c r="AR196" s="21">
        <v>25.654</v>
      </c>
      <c r="AS196" s="21">
        <v>-1.37146E-2</v>
      </c>
      <c r="AT196" s="21">
        <v>186</v>
      </c>
      <c r="AU196" s="21">
        <v>0.80230699999999999</v>
      </c>
      <c r="AV196">
        <f t="shared" si="32"/>
        <v>16.931604938271605</v>
      </c>
      <c r="AW196">
        <f t="shared" si="33"/>
        <v>13.602428117283949</v>
      </c>
      <c r="AX196" s="9"/>
      <c r="AY196" s="21">
        <v>0.83663900000000002</v>
      </c>
      <c r="AZ196" s="21">
        <v>29.3523</v>
      </c>
      <c r="BA196" s="21">
        <v>-1.3546799999999999E-2</v>
      </c>
      <c r="BB196" s="21">
        <v>186</v>
      </c>
      <c r="BC196" s="21">
        <v>0.83587599999999995</v>
      </c>
      <c r="BD196">
        <f t="shared" si="34"/>
        <v>16.72444444444444</v>
      </c>
      <c r="BE196">
        <f t="shared" si="35"/>
        <v>13.992322475555552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0.79834000000000005</v>
      </c>
      <c r="H197" s="21">
        <v>7.4726100000000004</v>
      </c>
      <c r="I197" s="21">
        <v>-1.3720700000000001E-2</v>
      </c>
      <c r="J197" s="21">
        <v>187</v>
      </c>
      <c r="K197" s="21">
        <v>0.79742400000000002</v>
      </c>
      <c r="L197">
        <f t="shared" si="24"/>
        <v>16.939135802469135</v>
      </c>
      <c r="M197">
        <f t="shared" si="25"/>
        <v>13.523189676543209</v>
      </c>
      <c r="N197" s="9"/>
      <c r="O197" s="21">
        <v>0.84167499999999995</v>
      </c>
      <c r="P197" s="21">
        <v>11.1709</v>
      </c>
      <c r="Q197" s="21">
        <v>-1.36078E-2</v>
      </c>
      <c r="R197" s="21">
        <v>187</v>
      </c>
      <c r="S197" s="21">
        <v>0.84136999999999995</v>
      </c>
      <c r="T197">
        <f t="shared" si="26"/>
        <v>16.799753086419752</v>
      </c>
      <c r="U197">
        <f t="shared" si="27"/>
        <v>14.139932179012344</v>
      </c>
      <c r="X197" s="9"/>
      <c r="Y197" s="21">
        <v>0.79834000000000005</v>
      </c>
      <c r="Z197" s="21">
        <v>16.5318</v>
      </c>
      <c r="AA197" s="21">
        <v>-1.37146E-2</v>
      </c>
      <c r="AB197" s="21">
        <v>187</v>
      </c>
      <c r="AC197" s="21">
        <v>0.79742400000000002</v>
      </c>
      <c r="AD197">
        <f t="shared" si="28"/>
        <v>16.931604938271605</v>
      </c>
      <c r="AE197">
        <f t="shared" si="29"/>
        <v>13.517177486419754</v>
      </c>
      <c r="AF197" s="9"/>
      <c r="AG197" s="21">
        <v>0.84167499999999995</v>
      </c>
      <c r="AH197" s="21">
        <v>20.2302</v>
      </c>
      <c r="AI197" s="21">
        <v>-1.3504E-2</v>
      </c>
      <c r="AJ197" s="21">
        <v>187</v>
      </c>
      <c r="AK197" s="21">
        <v>0.84106400000000003</v>
      </c>
      <c r="AL197">
        <f t="shared" si="30"/>
        <v>16.671604938271606</v>
      </c>
      <c r="AM197">
        <f t="shared" si="31"/>
        <v>14.032073086419754</v>
      </c>
      <c r="AP197" s="9"/>
      <c r="AQ197" s="21">
        <v>0.79834000000000005</v>
      </c>
      <c r="AR197" s="21">
        <v>25.664000000000001</v>
      </c>
      <c r="AS197" s="21">
        <v>-1.37299E-2</v>
      </c>
      <c r="AT197" s="21">
        <v>187</v>
      </c>
      <c r="AU197" s="21">
        <v>0.79742400000000002</v>
      </c>
      <c r="AV197">
        <f t="shared" si="32"/>
        <v>16.950493827160493</v>
      </c>
      <c r="AW197">
        <f t="shared" si="33"/>
        <v>13.532257241975309</v>
      </c>
      <c r="AX197" s="9"/>
      <c r="AY197" s="21">
        <v>0.84167499999999995</v>
      </c>
      <c r="AZ197" s="21">
        <v>29.362400000000001</v>
      </c>
      <c r="BA197" s="21">
        <v>-1.35376E-2</v>
      </c>
      <c r="BB197" s="21">
        <v>187</v>
      </c>
      <c r="BC197" s="21">
        <v>0.84075900000000003</v>
      </c>
      <c r="BD197">
        <f t="shared" si="34"/>
        <v>16.713086419753086</v>
      </c>
      <c r="BE197">
        <f t="shared" si="35"/>
        <v>14.066987012345677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0.79330400000000001</v>
      </c>
      <c r="H198" s="21">
        <v>7.4826800000000002</v>
      </c>
      <c r="I198" s="21">
        <v>-1.3717699999999999E-2</v>
      </c>
      <c r="J198" s="21">
        <v>188</v>
      </c>
      <c r="K198" s="21">
        <v>0.79254199999999997</v>
      </c>
      <c r="L198">
        <f t="shared" si="24"/>
        <v>16.935432098765432</v>
      </c>
      <c r="M198">
        <f t="shared" si="25"/>
        <v>13.434946025679013</v>
      </c>
      <c r="N198" s="9"/>
      <c r="O198" s="21">
        <v>0.84670999999999996</v>
      </c>
      <c r="P198" s="21">
        <v>11.180999999999999</v>
      </c>
      <c r="Q198" s="21">
        <v>-1.36017E-2</v>
      </c>
      <c r="R198" s="21">
        <v>188</v>
      </c>
      <c r="S198" s="21">
        <v>0.845642</v>
      </c>
      <c r="T198">
        <f t="shared" si="26"/>
        <v>16.792222222222222</v>
      </c>
      <c r="U198">
        <f t="shared" si="27"/>
        <v>14.218142477777777</v>
      </c>
      <c r="X198" s="9"/>
      <c r="Y198" s="21">
        <v>0.79330400000000001</v>
      </c>
      <c r="Z198" s="21">
        <v>16.541899999999998</v>
      </c>
      <c r="AA198" s="21">
        <v>-1.37146E-2</v>
      </c>
      <c r="AB198" s="21">
        <v>188</v>
      </c>
      <c r="AC198" s="21">
        <v>0.79254199999999997</v>
      </c>
      <c r="AD198">
        <f t="shared" si="28"/>
        <v>16.931604938271605</v>
      </c>
      <c r="AE198">
        <f t="shared" si="29"/>
        <v>13.431909923950617</v>
      </c>
      <c r="AF198" s="9"/>
      <c r="AG198" s="21">
        <v>0.84670999999999996</v>
      </c>
      <c r="AH198" s="21">
        <v>20.240300000000001</v>
      </c>
      <c r="AI198" s="21">
        <v>-1.34918E-2</v>
      </c>
      <c r="AJ198" s="21">
        <v>188</v>
      </c>
      <c r="AK198" s="21">
        <v>0.845642</v>
      </c>
      <c r="AL198">
        <f t="shared" si="30"/>
        <v>16.656543209876542</v>
      </c>
      <c r="AM198">
        <f t="shared" si="31"/>
        <v>14.103261701234567</v>
      </c>
      <c r="AP198" s="9"/>
      <c r="AQ198" s="21">
        <v>0.79330400000000001</v>
      </c>
      <c r="AR198" s="21">
        <v>25.674099999999999</v>
      </c>
      <c r="AS198" s="21">
        <v>-1.3726800000000001E-2</v>
      </c>
      <c r="AT198" s="21">
        <v>188</v>
      </c>
      <c r="AU198" s="21">
        <v>0.79254199999999997</v>
      </c>
      <c r="AV198">
        <f t="shared" si="32"/>
        <v>16.946666666666665</v>
      </c>
      <c r="AW198">
        <f t="shared" si="33"/>
        <v>13.443858453333332</v>
      </c>
      <c r="AX198" s="9"/>
      <c r="AY198" s="21">
        <v>0.84670999999999996</v>
      </c>
      <c r="AZ198" s="21">
        <v>29.372399999999999</v>
      </c>
      <c r="BA198" s="21">
        <v>-1.35254E-2</v>
      </c>
      <c r="BB198" s="21">
        <v>188</v>
      </c>
      <c r="BC198" s="21">
        <v>0.845642</v>
      </c>
      <c r="BD198">
        <f t="shared" si="34"/>
        <v>16.698024691358025</v>
      </c>
      <c r="BE198">
        <f t="shared" si="35"/>
        <v>14.138384486419753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0.788269</v>
      </c>
      <c r="H199" s="21">
        <v>7.49275</v>
      </c>
      <c r="I199" s="21">
        <v>-1.37024E-2</v>
      </c>
      <c r="J199" s="21">
        <v>189</v>
      </c>
      <c r="K199" s="21">
        <v>0.78674299999999997</v>
      </c>
      <c r="L199">
        <f t="shared" si="24"/>
        <v>16.916543209876544</v>
      </c>
      <c r="M199">
        <f t="shared" si="25"/>
        <v>13.334786599506174</v>
      </c>
      <c r="N199" s="9"/>
      <c r="O199" s="21">
        <v>0.851746</v>
      </c>
      <c r="P199" s="21">
        <v>11.1911</v>
      </c>
      <c r="Q199" s="21">
        <v>-1.3595599999999999E-2</v>
      </c>
      <c r="R199" s="21">
        <v>189</v>
      </c>
      <c r="S199" s="21">
        <v>0.85143999999999997</v>
      </c>
      <c r="T199">
        <f t="shared" si="26"/>
        <v>16.784691358024691</v>
      </c>
      <c r="U199">
        <f t="shared" si="27"/>
        <v>14.296293725432099</v>
      </c>
      <c r="X199" s="9"/>
      <c r="Y199" s="21">
        <v>0.788269</v>
      </c>
      <c r="Z199" s="21">
        <v>16.552</v>
      </c>
      <c r="AA199" s="21">
        <v>-1.37115E-2</v>
      </c>
      <c r="AB199" s="21">
        <v>189</v>
      </c>
      <c r="AC199" s="21">
        <v>0.787354</v>
      </c>
      <c r="AD199">
        <f t="shared" si="28"/>
        <v>16.927777777777777</v>
      </c>
      <c r="AE199">
        <f t="shared" si="29"/>
        <v>13.343642461111111</v>
      </c>
      <c r="AF199" s="9"/>
      <c r="AG199" s="21">
        <v>0.851746</v>
      </c>
      <c r="AH199" s="21">
        <v>20.250299999999999</v>
      </c>
      <c r="AI199" s="21">
        <v>-1.34888E-2</v>
      </c>
      <c r="AJ199" s="21">
        <v>189</v>
      </c>
      <c r="AK199" s="21">
        <v>0.85052499999999998</v>
      </c>
      <c r="AL199">
        <f t="shared" si="30"/>
        <v>16.652839506172839</v>
      </c>
      <c r="AM199">
        <f t="shared" si="31"/>
        <v>14.183989438024691</v>
      </c>
      <c r="AP199" s="9"/>
      <c r="AQ199" s="21">
        <v>0.788269</v>
      </c>
      <c r="AR199" s="21">
        <v>25.684200000000001</v>
      </c>
      <c r="AS199" s="21">
        <v>-1.3726800000000001E-2</v>
      </c>
      <c r="AT199" s="21">
        <v>189</v>
      </c>
      <c r="AU199" s="21">
        <v>0.787659</v>
      </c>
      <c r="AV199">
        <f t="shared" si="32"/>
        <v>16.946666666666665</v>
      </c>
      <c r="AW199">
        <f t="shared" si="33"/>
        <v>13.358531986666666</v>
      </c>
      <c r="AX199" s="9"/>
      <c r="AY199" s="21">
        <v>0.851746</v>
      </c>
      <c r="AZ199" s="21">
        <v>29.3825</v>
      </c>
      <c r="BA199" s="21">
        <v>-1.35193E-2</v>
      </c>
      <c r="BB199" s="21">
        <v>189</v>
      </c>
      <c r="BC199" s="21">
        <v>0.85113499999999997</v>
      </c>
      <c r="BD199">
        <f t="shared" si="34"/>
        <v>16.690493827160495</v>
      </c>
      <c r="BE199">
        <f t="shared" si="35"/>
        <v>14.216061355308643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0.78323399999999999</v>
      </c>
      <c r="H200" s="21">
        <v>7.5028199999999998</v>
      </c>
      <c r="I200" s="21">
        <v>-1.37054E-2</v>
      </c>
      <c r="J200" s="21">
        <v>190</v>
      </c>
      <c r="K200" s="21">
        <v>0.78247100000000003</v>
      </c>
      <c r="L200">
        <f t="shared" si="24"/>
        <v>16.920246913580247</v>
      </c>
      <c r="M200">
        <f t="shared" si="25"/>
        <v>13.252512671111111</v>
      </c>
      <c r="N200" s="9"/>
      <c r="O200" s="21">
        <v>0.85678100000000001</v>
      </c>
      <c r="P200" s="21">
        <v>11.2012</v>
      </c>
      <c r="Q200" s="21">
        <v>-1.35864E-2</v>
      </c>
      <c r="R200" s="21">
        <v>190</v>
      </c>
      <c r="S200" s="21">
        <v>0.85571299999999995</v>
      </c>
      <c r="T200">
        <f t="shared" si="26"/>
        <v>16.77333333333333</v>
      </c>
      <c r="U200">
        <f t="shared" si="27"/>
        <v>14.371073306666664</v>
      </c>
      <c r="X200" s="9"/>
      <c r="Y200" s="21">
        <v>0.78323399999999999</v>
      </c>
      <c r="Z200" s="21">
        <v>16.562000000000001</v>
      </c>
      <c r="AA200" s="21">
        <v>-1.37146E-2</v>
      </c>
      <c r="AB200" s="21">
        <v>190</v>
      </c>
      <c r="AC200" s="21">
        <v>0.78277600000000003</v>
      </c>
      <c r="AD200">
        <f t="shared" si="28"/>
        <v>16.931604938271605</v>
      </c>
      <c r="AE200">
        <f t="shared" si="29"/>
        <v>13.261408662222221</v>
      </c>
      <c r="AF200" s="9"/>
      <c r="AG200" s="21">
        <v>0.85678100000000001</v>
      </c>
      <c r="AH200" s="21">
        <v>20.260400000000001</v>
      </c>
      <c r="AI200" s="21">
        <v>-1.34827E-2</v>
      </c>
      <c r="AJ200" s="21">
        <v>190</v>
      </c>
      <c r="AK200" s="21">
        <v>0.85601799999999995</v>
      </c>
      <c r="AL200">
        <f t="shared" si="30"/>
        <v>16.645308641975308</v>
      </c>
      <c r="AM200">
        <f t="shared" si="31"/>
        <v>14.261384183580248</v>
      </c>
      <c r="AP200" s="9"/>
      <c r="AQ200" s="21">
        <v>0.78323399999999999</v>
      </c>
      <c r="AR200" s="21">
        <v>25.694299999999998</v>
      </c>
      <c r="AS200" s="21">
        <v>-1.3732899999999999E-2</v>
      </c>
      <c r="AT200" s="21">
        <v>190</v>
      </c>
      <c r="AU200" s="21">
        <v>0.78216600000000003</v>
      </c>
      <c r="AV200">
        <f t="shared" si="32"/>
        <v>16.954197530864196</v>
      </c>
      <c r="AW200">
        <f t="shared" si="33"/>
        <v>13.279103948888887</v>
      </c>
      <c r="AX200" s="9"/>
      <c r="AY200" s="21">
        <v>0.85678100000000001</v>
      </c>
      <c r="AZ200" s="21">
        <v>29.392600000000002</v>
      </c>
      <c r="BA200" s="21">
        <v>-1.35132E-2</v>
      </c>
      <c r="BB200" s="21">
        <v>190</v>
      </c>
      <c r="BC200" s="21">
        <v>0.85540799999999995</v>
      </c>
      <c r="BD200">
        <f t="shared" si="34"/>
        <v>16.682962962962961</v>
      </c>
      <c r="BE200">
        <f t="shared" si="35"/>
        <v>14.293645690370369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0.77819799999999995</v>
      </c>
      <c r="H201" s="21">
        <v>7.5128899999999996</v>
      </c>
      <c r="I201" s="21">
        <v>-1.37054E-2</v>
      </c>
      <c r="J201" s="21">
        <v>191</v>
      </c>
      <c r="K201" s="21">
        <v>0.77697799999999995</v>
      </c>
      <c r="L201">
        <f t="shared" si="24"/>
        <v>16.920246913580247</v>
      </c>
      <c r="M201">
        <f t="shared" si="25"/>
        <v>13.167302307654319</v>
      </c>
      <c r="N201" s="9"/>
      <c r="O201" s="21">
        <v>0.86181600000000003</v>
      </c>
      <c r="P201" s="21">
        <v>11.2112</v>
      </c>
      <c r="Q201" s="21">
        <v>-1.35712E-2</v>
      </c>
      <c r="R201" s="21">
        <v>191</v>
      </c>
      <c r="S201" s="21">
        <v>0.86120600000000003</v>
      </c>
      <c r="T201">
        <f t="shared" si="26"/>
        <v>16.754567901234566</v>
      </c>
      <c r="U201">
        <f t="shared" si="27"/>
        <v>14.439354690370369</v>
      </c>
      <c r="X201" s="9"/>
      <c r="Y201" s="21">
        <v>0.77819799999999995</v>
      </c>
      <c r="Z201" s="21">
        <v>16.572099999999999</v>
      </c>
      <c r="AA201" s="21">
        <v>-1.37146E-2</v>
      </c>
      <c r="AB201" s="21">
        <v>191</v>
      </c>
      <c r="AC201" s="21">
        <v>0.77728299999999995</v>
      </c>
      <c r="AD201">
        <f t="shared" si="28"/>
        <v>16.931604938271605</v>
      </c>
      <c r="AE201">
        <f t="shared" si="29"/>
        <v>13.176141099753085</v>
      </c>
      <c r="AF201" s="9"/>
      <c r="AG201" s="21">
        <v>0.86181600000000003</v>
      </c>
      <c r="AH201" s="21">
        <v>20.270499999999998</v>
      </c>
      <c r="AI201" s="21">
        <v>-1.3473499999999999E-2</v>
      </c>
      <c r="AJ201" s="21">
        <v>191</v>
      </c>
      <c r="AK201" s="21">
        <v>0.86059600000000003</v>
      </c>
      <c r="AL201">
        <f t="shared" si="30"/>
        <v>16.633950617283947</v>
      </c>
      <c r="AM201">
        <f t="shared" si="31"/>
        <v>14.335404785185183</v>
      </c>
      <c r="AP201" s="9"/>
      <c r="AQ201" s="21">
        <v>0.77819799999999995</v>
      </c>
      <c r="AR201" s="21">
        <v>25.7043</v>
      </c>
      <c r="AS201" s="21">
        <v>-1.3738999999999999E-2</v>
      </c>
      <c r="AT201" s="21">
        <v>191</v>
      </c>
      <c r="AU201" s="21">
        <v>0.77697799999999995</v>
      </c>
      <c r="AV201">
        <f t="shared" si="32"/>
        <v>16.961728395061726</v>
      </c>
      <c r="AW201">
        <f t="shared" si="33"/>
        <v>13.199583113580244</v>
      </c>
      <c r="AX201" s="9"/>
      <c r="AY201" s="21">
        <v>0.86181600000000003</v>
      </c>
      <c r="AZ201" s="21">
        <v>29.402699999999999</v>
      </c>
      <c r="BA201" s="21">
        <v>-1.3516200000000001E-2</v>
      </c>
      <c r="BB201" s="21">
        <v>191</v>
      </c>
      <c r="BC201" s="21">
        <v>0.86090100000000003</v>
      </c>
      <c r="BD201">
        <f t="shared" si="34"/>
        <v>16.686666666666664</v>
      </c>
      <c r="BE201">
        <f t="shared" si="35"/>
        <v>14.380836319999998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0.77316300000000004</v>
      </c>
      <c r="H202" s="21">
        <v>7.5229600000000003</v>
      </c>
      <c r="I202" s="21">
        <v>-1.3699299999999999E-2</v>
      </c>
      <c r="J202" s="21">
        <v>192</v>
      </c>
      <c r="K202" s="21">
        <v>0.77178999999999998</v>
      </c>
      <c r="L202">
        <f t="shared" si="24"/>
        <v>16.912716049382716</v>
      </c>
      <c r="M202">
        <f t="shared" si="25"/>
        <v>13.07628627888889</v>
      </c>
      <c r="N202" s="9"/>
      <c r="O202" s="21">
        <v>0.86685199999999996</v>
      </c>
      <c r="P202" s="21">
        <v>11.221299999999999</v>
      </c>
      <c r="Q202" s="21">
        <v>-1.3561999999999999E-2</v>
      </c>
      <c r="R202" s="21">
        <v>192</v>
      </c>
      <c r="S202" s="21">
        <v>0.865784</v>
      </c>
      <c r="T202">
        <f t="shared" si="26"/>
        <v>16.743209876543208</v>
      </c>
      <c r="U202">
        <f t="shared" si="27"/>
        <v>14.513884967901232</v>
      </c>
      <c r="X202" s="9"/>
      <c r="Y202" s="21">
        <v>0.77316300000000004</v>
      </c>
      <c r="Z202" s="21">
        <v>16.5822</v>
      </c>
      <c r="AA202" s="21">
        <v>-1.37115E-2</v>
      </c>
      <c r="AB202" s="21">
        <v>192</v>
      </c>
      <c r="AC202" s="21">
        <v>0.77239999999999998</v>
      </c>
      <c r="AD202">
        <f t="shared" si="28"/>
        <v>16.927777777777777</v>
      </c>
      <c r="AE202">
        <f t="shared" si="29"/>
        <v>13.087931450000001</v>
      </c>
      <c r="AF202" s="9"/>
      <c r="AG202" s="21">
        <v>0.86685199999999996</v>
      </c>
      <c r="AH202" s="21">
        <v>20.2805</v>
      </c>
      <c r="AI202" s="21">
        <v>-1.3461300000000001E-2</v>
      </c>
      <c r="AJ202" s="21">
        <v>192</v>
      </c>
      <c r="AK202" s="21">
        <v>0.865784</v>
      </c>
      <c r="AL202">
        <f t="shared" si="30"/>
        <v>16.618888888888886</v>
      </c>
      <c r="AM202">
        <f t="shared" si="31"/>
        <v>14.406117071111108</v>
      </c>
      <c r="AP202" s="9"/>
      <c r="AQ202" s="21">
        <v>0.77316300000000004</v>
      </c>
      <c r="AR202" s="21">
        <v>25.714400000000001</v>
      </c>
      <c r="AS202" s="21">
        <v>-1.37451E-2</v>
      </c>
      <c r="AT202" s="21">
        <v>192</v>
      </c>
      <c r="AU202" s="21">
        <v>0.77209499999999998</v>
      </c>
      <c r="AV202">
        <f t="shared" si="32"/>
        <v>16.969259259259257</v>
      </c>
      <c r="AW202">
        <f t="shared" si="33"/>
        <v>13.120003396666666</v>
      </c>
      <c r="AX202" s="9"/>
      <c r="AY202" s="21">
        <v>0.86685199999999996</v>
      </c>
      <c r="AZ202" s="21">
        <v>29.412700000000001</v>
      </c>
      <c r="BA202" s="21">
        <v>-1.35132E-2</v>
      </c>
      <c r="BB202" s="21">
        <v>192</v>
      </c>
      <c r="BC202" s="21">
        <v>0.865784</v>
      </c>
      <c r="BD202">
        <f t="shared" si="34"/>
        <v>16.682962962962961</v>
      </c>
      <c r="BE202">
        <f t="shared" si="35"/>
        <v>14.461659810370367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0.768127</v>
      </c>
      <c r="H203" s="21">
        <v>7.5330300000000001</v>
      </c>
      <c r="I203" s="21">
        <v>-1.3717699999999999E-2</v>
      </c>
      <c r="J203" s="21">
        <v>193</v>
      </c>
      <c r="K203" s="21">
        <v>0.768127</v>
      </c>
      <c r="L203">
        <f t="shared" si="24"/>
        <v>16.935432098765432</v>
      </c>
      <c r="M203">
        <f t="shared" si="25"/>
        <v>13.008562651728395</v>
      </c>
      <c r="N203" s="9"/>
      <c r="O203" s="21">
        <v>0.87188699999999997</v>
      </c>
      <c r="P203" s="21">
        <v>11.231400000000001</v>
      </c>
      <c r="Q203" s="21">
        <v>-1.3549800000000001E-2</v>
      </c>
      <c r="R203" s="21">
        <v>193</v>
      </c>
      <c r="S203" s="21">
        <v>0.87158199999999997</v>
      </c>
      <c r="T203">
        <f t="shared" si="26"/>
        <v>16.728148148148147</v>
      </c>
      <c r="U203">
        <f t="shared" si="27"/>
        <v>14.585054904444442</v>
      </c>
      <c r="X203" s="9"/>
      <c r="Y203" s="21">
        <v>0.768127</v>
      </c>
      <c r="Z203" s="21">
        <v>16.592199999999998</v>
      </c>
      <c r="AA203" s="21">
        <v>-1.37115E-2</v>
      </c>
      <c r="AB203" s="21">
        <v>193</v>
      </c>
      <c r="AC203" s="21">
        <v>0.767822</v>
      </c>
      <c r="AD203">
        <f t="shared" si="28"/>
        <v>16.927777777777777</v>
      </c>
      <c r="AE203">
        <f t="shared" si="29"/>
        <v>13.002683161111111</v>
      </c>
      <c r="AF203" s="9"/>
      <c r="AG203" s="21">
        <v>0.87188699999999997</v>
      </c>
      <c r="AH203" s="21">
        <v>20.290600000000001</v>
      </c>
      <c r="AI203" s="21">
        <v>-1.34491E-2</v>
      </c>
      <c r="AJ203" s="21">
        <v>193</v>
      </c>
      <c r="AK203" s="21">
        <v>0.87097199999999997</v>
      </c>
      <c r="AL203">
        <f t="shared" si="30"/>
        <v>16.603827160493829</v>
      </c>
      <c r="AM203">
        <f t="shared" si="31"/>
        <v>14.476661051481482</v>
      </c>
      <c r="AP203" s="9"/>
      <c r="AQ203" s="21">
        <v>0.768127</v>
      </c>
      <c r="AR203" s="21">
        <v>25.724499999999999</v>
      </c>
      <c r="AS203" s="21">
        <v>-1.37299E-2</v>
      </c>
      <c r="AT203" s="21">
        <v>193</v>
      </c>
      <c r="AU203" s="21">
        <v>0.767517</v>
      </c>
      <c r="AV203">
        <f t="shared" si="32"/>
        <v>16.950493827160493</v>
      </c>
      <c r="AW203">
        <f t="shared" si="33"/>
        <v>13.020131971975308</v>
      </c>
      <c r="AX203" s="9"/>
      <c r="AY203" s="21">
        <v>0.87188699999999997</v>
      </c>
      <c r="AZ203" s="21">
        <v>29.422799999999999</v>
      </c>
      <c r="BA203" s="21">
        <v>-1.35132E-2</v>
      </c>
      <c r="BB203" s="21">
        <v>193</v>
      </c>
      <c r="BC203" s="21">
        <v>0.87097199999999997</v>
      </c>
      <c r="BD203">
        <f t="shared" si="34"/>
        <v>16.682962962962961</v>
      </c>
      <c r="BE203">
        <f t="shared" si="35"/>
        <v>14.545658528888886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0.76309199999999999</v>
      </c>
      <c r="H204" s="21">
        <v>7.5430999999999999</v>
      </c>
      <c r="I204" s="21">
        <v>-1.3726800000000001E-2</v>
      </c>
      <c r="J204" s="21">
        <v>194</v>
      </c>
      <c r="K204" s="21">
        <v>0.76232900000000003</v>
      </c>
      <c r="L204">
        <f t="shared" ref="L204:L267" si="36">-I204/$F$2*1000</f>
        <v>16.946666666666665</v>
      </c>
      <c r="M204">
        <f t="shared" ref="M204:M267" si="37">L204*G204</f>
        <v>12.931865759999999</v>
      </c>
      <c r="N204" s="9"/>
      <c r="O204" s="21">
        <v>0.87692300000000001</v>
      </c>
      <c r="P204" s="21">
        <v>11.241400000000001</v>
      </c>
      <c r="Q204" s="21">
        <v>-1.35315E-2</v>
      </c>
      <c r="R204" s="21">
        <v>194</v>
      </c>
      <c r="S204" s="21">
        <v>0.87585400000000002</v>
      </c>
      <c r="T204">
        <f t="shared" ref="T204:T267" si="38">-Q204/$F$2*1000</f>
        <v>16.705555555555552</v>
      </c>
      <c r="U204">
        <f t="shared" ref="U204:U267" si="39">T204*O204</f>
        <v>14.649485894444442</v>
      </c>
      <c r="X204" s="9"/>
      <c r="Y204" s="21">
        <v>0.76309199999999999</v>
      </c>
      <c r="Z204" s="21">
        <v>16.6023</v>
      </c>
      <c r="AA204" s="21">
        <v>-1.37146E-2</v>
      </c>
      <c r="AB204" s="21">
        <v>194</v>
      </c>
      <c r="AC204" s="21">
        <v>0.76202400000000003</v>
      </c>
      <c r="AD204">
        <f t="shared" ref="AD204:AD267" si="40">-AA204/$F$2*1000</f>
        <v>16.931604938271605</v>
      </c>
      <c r="AE204">
        <f t="shared" ref="AE204:AE267" si="41">AD204*Y204</f>
        <v>12.920372275555556</v>
      </c>
      <c r="AF204" s="9"/>
      <c r="AG204" s="21">
        <v>0.87692300000000001</v>
      </c>
      <c r="AH204" s="21">
        <v>20.300699999999999</v>
      </c>
      <c r="AI204" s="21">
        <v>-1.3443E-2</v>
      </c>
      <c r="AJ204" s="21">
        <v>194</v>
      </c>
      <c r="AK204" s="21">
        <v>0.87554900000000002</v>
      </c>
      <c r="AL204">
        <f t="shared" ref="AL204:AL267" si="42">-AI204/$F$2*1000</f>
        <v>16.596296296296295</v>
      </c>
      <c r="AM204">
        <f t="shared" ref="AM204:AM267" si="43">AL204*AG204</f>
        <v>14.553673937037036</v>
      </c>
      <c r="AP204" s="9"/>
      <c r="AQ204" s="21">
        <v>0.76309199999999999</v>
      </c>
      <c r="AR204" s="21">
        <v>25.734500000000001</v>
      </c>
      <c r="AS204" s="21">
        <v>-1.37238E-2</v>
      </c>
      <c r="AT204" s="21">
        <v>194</v>
      </c>
      <c r="AU204" s="21">
        <v>0.76232900000000003</v>
      </c>
      <c r="AV204">
        <f t="shared" ref="AV204:AV267" si="44">-AS204/$F$2*1000</f>
        <v>16.942962962962962</v>
      </c>
      <c r="AW204">
        <f t="shared" ref="AW204:AW267" si="45">AV204*AQ204</f>
        <v>12.929039493333333</v>
      </c>
      <c r="AX204" s="9"/>
      <c r="AY204" s="21">
        <v>0.87692300000000001</v>
      </c>
      <c r="AZ204" s="21">
        <v>29.4329</v>
      </c>
      <c r="BA204" s="21">
        <v>-1.3504E-2</v>
      </c>
      <c r="BB204" s="21">
        <v>194</v>
      </c>
      <c r="BC204" s="21">
        <v>0.87616000000000005</v>
      </c>
      <c r="BD204">
        <f t="shared" ref="BD204:BD267" si="46">-BA204/$F$2*1000</f>
        <v>16.671604938271606</v>
      </c>
      <c r="BE204">
        <f t="shared" ref="BE204:BE267" si="47">BD204*AY204</f>
        <v>14.619713817283952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0.75805699999999998</v>
      </c>
      <c r="H205" s="21">
        <v>7.5531699999999997</v>
      </c>
      <c r="I205" s="21">
        <v>-1.3738999999999999E-2</v>
      </c>
      <c r="J205" s="21">
        <v>195</v>
      </c>
      <c r="K205" s="21">
        <v>0.75714099999999995</v>
      </c>
      <c r="L205">
        <f t="shared" si="36"/>
        <v>16.961728395061726</v>
      </c>
      <c r="M205">
        <f t="shared" si="37"/>
        <v>12.857956941975306</v>
      </c>
      <c r="N205" s="9"/>
      <c r="O205" s="21">
        <v>0.88195800000000002</v>
      </c>
      <c r="P205" s="21">
        <v>11.2515</v>
      </c>
      <c r="Q205" s="21">
        <v>-1.35193E-2</v>
      </c>
      <c r="R205" s="21">
        <v>195</v>
      </c>
      <c r="S205" s="21">
        <v>0.88073699999999999</v>
      </c>
      <c r="T205">
        <f t="shared" si="38"/>
        <v>16.690493827160495</v>
      </c>
      <c r="U205">
        <f t="shared" si="39"/>
        <v>14.720314554814816</v>
      </c>
      <c r="X205" s="9"/>
      <c r="Y205" s="21">
        <v>0.75805699999999998</v>
      </c>
      <c r="Z205" s="21">
        <v>16.612400000000001</v>
      </c>
      <c r="AA205" s="21">
        <v>-1.37115E-2</v>
      </c>
      <c r="AB205" s="21">
        <v>195</v>
      </c>
      <c r="AC205" s="21">
        <v>0.75714099999999995</v>
      </c>
      <c r="AD205">
        <f t="shared" si="40"/>
        <v>16.927777777777777</v>
      </c>
      <c r="AE205">
        <f t="shared" si="41"/>
        <v>12.832220438888887</v>
      </c>
      <c r="AF205" s="9"/>
      <c r="AG205" s="21">
        <v>0.88195800000000002</v>
      </c>
      <c r="AH205" s="21">
        <v>20.3108</v>
      </c>
      <c r="AI205" s="21">
        <v>-1.3433799999999999E-2</v>
      </c>
      <c r="AJ205" s="21">
        <v>195</v>
      </c>
      <c r="AK205" s="21">
        <v>0.88073699999999999</v>
      </c>
      <c r="AL205">
        <f t="shared" si="42"/>
        <v>16.584938271604937</v>
      </c>
      <c r="AM205">
        <f t="shared" si="43"/>
        <v>14.627218988148147</v>
      </c>
      <c r="AP205" s="9"/>
      <c r="AQ205" s="21">
        <v>0.75805699999999998</v>
      </c>
      <c r="AR205" s="21">
        <v>25.744599999999998</v>
      </c>
      <c r="AS205" s="21">
        <v>-1.37299E-2</v>
      </c>
      <c r="AT205" s="21">
        <v>195</v>
      </c>
      <c r="AU205" s="21">
        <v>0.75683599999999995</v>
      </c>
      <c r="AV205">
        <f t="shared" si="44"/>
        <v>16.950493827160493</v>
      </c>
      <c r="AW205">
        <f t="shared" si="45"/>
        <v>12.849440499135801</v>
      </c>
      <c r="AX205" s="9"/>
      <c r="AY205" s="21">
        <v>0.88195800000000002</v>
      </c>
      <c r="AZ205" s="21">
        <v>29.442900000000002</v>
      </c>
      <c r="BA205" s="21">
        <v>-1.34888E-2</v>
      </c>
      <c r="BB205" s="21">
        <v>195</v>
      </c>
      <c r="BC205" s="21">
        <v>0.88165300000000002</v>
      </c>
      <c r="BD205">
        <f t="shared" si="46"/>
        <v>16.652839506172839</v>
      </c>
      <c r="BE205">
        <f t="shared" si="47"/>
        <v>14.687105025185184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0.75302100000000005</v>
      </c>
      <c r="H206" s="21">
        <v>7.56325</v>
      </c>
      <c r="I206" s="21">
        <v>-1.37451E-2</v>
      </c>
      <c r="J206" s="21">
        <v>196</v>
      </c>
      <c r="K206" s="21">
        <v>0.75225799999999998</v>
      </c>
      <c r="L206">
        <f t="shared" si="36"/>
        <v>16.969259259259257</v>
      </c>
      <c r="M206">
        <f t="shared" si="37"/>
        <v>12.778208576666666</v>
      </c>
      <c r="N206" s="9"/>
      <c r="O206" s="21">
        <v>0.88699300000000003</v>
      </c>
      <c r="P206" s="21">
        <v>11.2616</v>
      </c>
      <c r="Q206" s="21">
        <v>-1.35132E-2</v>
      </c>
      <c r="R206" s="21">
        <v>196</v>
      </c>
      <c r="S206" s="21">
        <v>0.88622999999999996</v>
      </c>
      <c r="T206">
        <f t="shared" si="38"/>
        <v>16.682962962962961</v>
      </c>
      <c r="U206">
        <f t="shared" si="39"/>
        <v>14.797671367407405</v>
      </c>
      <c r="X206" s="9"/>
      <c r="Y206" s="21">
        <v>0.75302100000000005</v>
      </c>
      <c r="Z206" s="21">
        <v>16.622499999999999</v>
      </c>
      <c r="AA206" s="21">
        <v>-1.37146E-2</v>
      </c>
      <c r="AB206" s="21">
        <v>196</v>
      </c>
      <c r="AC206" s="21">
        <v>0.75225799999999998</v>
      </c>
      <c r="AD206">
        <f t="shared" si="40"/>
        <v>16.931604938271605</v>
      </c>
      <c r="AE206">
        <f t="shared" si="41"/>
        <v>12.749854082222223</v>
      </c>
      <c r="AF206" s="9"/>
      <c r="AG206" s="21">
        <v>0.88699300000000003</v>
      </c>
      <c r="AH206" s="21">
        <v>20.320799999999998</v>
      </c>
      <c r="AI206" s="21">
        <v>-1.3433799999999999E-2</v>
      </c>
      <c r="AJ206" s="21">
        <v>196</v>
      </c>
      <c r="AK206" s="21">
        <v>0.88561999999999996</v>
      </c>
      <c r="AL206">
        <f t="shared" si="42"/>
        <v>16.584938271604937</v>
      </c>
      <c r="AM206">
        <f t="shared" si="43"/>
        <v>14.710724152345678</v>
      </c>
      <c r="AP206" s="9"/>
      <c r="AQ206" s="21">
        <v>0.75302100000000005</v>
      </c>
      <c r="AR206" s="21">
        <v>25.7547</v>
      </c>
      <c r="AS206" s="21">
        <v>-1.3726800000000001E-2</v>
      </c>
      <c r="AT206" s="21">
        <v>196</v>
      </c>
      <c r="AU206" s="21">
        <v>0.75164799999999998</v>
      </c>
      <c r="AV206">
        <f t="shared" si="44"/>
        <v>16.946666666666665</v>
      </c>
      <c r="AW206">
        <f t="shared" si="45"/>
        <v>12.761195880000001</v>
      </c>
      <c r="AX206" s="9"/>
      <c r="AY206" s="21">
        <v>0.88699300000000003</v>
      </c>
      <c r="AZ206" s="21">
        <v>29.452999999999999</v>
      </c>
      <c r="BA206" s="21">
        <v>-1.34766E-2</v>
      </c>
      <c r="BB206" s="21">
        <v>196</v>
      </c>
      <c r="BC206" s="21">
        <v>0.88592499999999996</v>
      </c>
      <c r="BD206">
        <f t="shared" si="46"/>
        <v>16.637777777777774</v>
      </c>
      <c r="BE206">
        <f t="shared" si="47"/>
        <v>14.757592424444441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0.74798600000000004</v>
      </c>
      <c r="H207" s="21">
        <v>7.5733199999999998</v>
      </c>
      <c r="I207" s="21">
        <v>-1.37573E-2</v>
      </c>
      <c r="J207" s="21">
        <v>197</v>
      </c>
      <c r="K207" s="21">
        <v>0.74731400000000003</v>
      </c>
      <c r="L207">
        <f t="shared" si="36"/>
        <v>16.984320987654321</v>
      </c>
      <c r="M207">
        <f t="shared" si="37"/>
        <v>12.704034318271606</v>
      </c>
      <c r="N207" s="9"/>
      <c r="O207" s="21">
        <v>0.89202899999999996</v>
      </c>
      <c r="P207" s="21">
        <v>11.271699999999999</v>
      </c>
      <c r="Q207" s="21">
        <v>-1.3510100000000001E-2</v>
      </c>
      <c r="R207" s="21">
        <v>197</v>
      </c>
      <c r="S207" s="21">
        <v>0.89141800000000004</v>
      </c>
      <c r="T207">
        <f t="shared" si="38"/>
        <v>16.679135802469133</v>
      </c>
      <c r="U207">
        <f t="shared" si="39"/>
        <v>14.878272830740737</v>
      </c>
      <c r="X207" s="9"/>
      <c r="Y207" s="21">
        <v>0.74798600000000004</v>
      </c>
      <c r="Z207" s="21">
        <v>16.6325</v>
      </c>
      <c r="AA207" s="21">
        <v>-1.37238E-2</v>
      </c>
      <c r="AB207" s="21">
        <v>197</v>
      </c>
      <c r="AC207" s="21">
        <v>0.74731400000000003</v>
      </c>
      <c r="AD207">
        <f t="shared" si="40"/>
        <v>16.942962962962962</v>
      </c>
      <c r="AE207">
        <f t="shared" si="41"/>
        <v>12.673099094814814</v>
      </c>
      <c r="AF207" s="9"/>
      <c r="AG207" s="21">
        <v>0.89202899999999996</v>
      </c>
      <c r="AH207" s="21">
        <v>20.3309</v>
      </c>
      <c r="AI207" s="21">
        <v>-1.34308E-2</v>
      </c>
      <c r="AJ207" s="21">
        <v>197</v>
      </c>
      <c r="AK207" s="21">
        <v>0.89141800000000004</v>
      </c>
      <c r="AL207">
        <f t="shared" si="42"/>
        <v>16.581234567901234</v>
      </c>
      <c r="AM207">
        <f t="shared" si="43"/>
        <v>14.790942090370368</v>
      </c>
      <c r="AP207" s="9"/>
      <c r="AQ207" s="21">
        <v>0.74798600000000004</v>
      </c>
      <c r="AR207" s="21">
        <v>25.764800000000001</v>
      </c>
      <c r="AS207" s="21">
        <v>-1.37299E-2</v>
      </c>
      <c r="AT207" s="21">
        <v>197</v>
      </c>
      <c r="AU207" s="21">
        <v>0.74746699999999999</v>
      </c>
      <c r="AV207">
        <f t="shared" si="44"/>
        <v>16.950493827160493</v>
      </c>
      <c r="AW207">
        <f t="shared" si="45"/>
        <v>12.678732075802468</v>
      </c>
      <c r="AX207" s="9"/>
      <c r="AY207" s="21">
        <v>0.89202899999999996</v>
      </c>
      <c r="AZ207" s="21">
        <v>29.463100000000001</v>
      </c>
      <c r="BA207" s="21">
        <v>-1.3458299999999999E-2</v>
      </c>
      <c r="BB207" s="21">
        <v>197</v>
      </c>
      <c r="BC207" s="21">
        <v>0.89141800000000004</v>
      </c>
      <c r="BD207">
        <f t="shared" si="46"/>
        <v>16.615185185185183</v>
      </c>
      <c r="BE207">
        <f t="shared" si="47"/>
        <v>14.821227025555553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0.74295</v>
      </c>
      <c r="H208" s="21">
        <v>7.5833899999999996</v>
      </c>
      <c r="I208" s="21">
        <v>-1.37573E-2</v>
      </c>
      <c r="J208" s="21">
        <v>198</v>
      </c>
      <c r="K208" s="21">
        <v>0.74227900000000002</v>
      </c>
      <c r="L208">
        <f t="shared" si="36"/>
        <v>16.984320987654321</v>
      </c>
      <c r="M208">
        <f t="shared" si="37"/>
        <v>12.618501277777778</v>
      </c>
      <c r="N208" s="9"/>
      <c r="O208" s="21">
        <v>0.89706399999999997</v>
      </c>
      <c r="P208" s="21">
        <v>11.281700000000001</v>
      </c>
      <c r="Q208" s="21">
        <v>-1.35132E-2</v>
      </c>
      <c r="R208" s="21">
        <v>198</v>
      </c>
      <c r="S208" s="21">
        <v>0.89599600000000001</v>
      </c>
      <c r="T208">
        <f t="shared" si="38"/>
        <v>16.682962962962961</v>
      </c>
      <c r="U208">
        <f t="shared" si="39"/>
        <v>14.965685487407406</v>
      </c>
      <c r="X208" s="9"/>
      <c r="Y208" s="21">
        <v>0.74295</v>
      </c>
      <c r="Z208" s="21">
        <v>16.642600000000002</v>
      </c>
      <c r="AA208" s="21">
        <v>-1.3717699999999999E-2</v>
      </c>
      <c r="AB208" s="21">
        <v>198</v>
      </c>
      <c r="AC208" s="21">
        <v>0.74224900000000005</v>
      </c>
      <c r="AD208">
        <f t="shared" si="40"/>
        <v>16.935432098765432</v>
      </c>
      <c r="AE208">
        <f t="shared" si="41"/>
        <v>12.582179277777778</v>
      </c>
      <c r="AF208" s="9"/>
      <c r="AG208" s="21">
        <v>0.89706399999999997</v>
      </c>
      <c r="AH208" s="21">
        <v>20.341000000000001</v>
      </c>
      <c r="AI208" s="21">
        <v>-1.34308E-2</v>
      </c>
      <c r="AJ208" s="21">
        <v>198</v>
      </c>
      <c r="AK208" s="21">
        <v>0.89630100000000001</v>
      </c>
      <c r="AL208">
        <f t="shared" si="42"/>
        <v>16.581234567901234</v>
      </c>
      <c r="AM208">
        <f t="shared" si="43"/>
        <v>14.874428606419752</v>
      </c>
      <c r="AP208" s="9"/>
      <c r="AQ208" s="21">
        <v>0.74295</v>
      </c>
      <c r="AR208" s="21">
        <v>25.774799999999999</v>
      </c>
      <c r="AS208" s="21">
        <v>-1.3726800000000001E-2</v>
      </c>
      <c r="AT208" s="21">
        <v>198</v>
      </c>
      <c r="AU208" s="21">
        <v>0.74227900000000002</v>
      </c>
      <c r="AV208">
        <f t="shared" si="44"/>
        <v>16.946666666666665</v>
      </c>
      <c r="AW208">
        <f t="shared" si="45"/>
        <v>12.590525999999999</v>
      </c>
      <c r="AX208" s="9"/>
      <c r="AY208" s="21">
        <v>0.89706399999999997</v>
      </c>
      <c r="AZ208" s="21">
        <v>29.473199999999999</v>
      </c>
      <c r="BA208" s="21">
        <v>-1.3439899999999999E-2</v>
      </c>
      <c r="BB208" s="21">
        <v>198</v>
      </c>
      <c r="BC208" s="21">
        <v>0.89691200000000004</v>
      </c>
      <c r="BD208">
        <f t="shared" si="46"/>
        <v>16.592469135802467</v>
      </c>
      <c r="BE208">
        <f t="shared" si="47"/>
        <v>14.884506732839505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0.73791499999999999</v>
      </c>
      <c r="H209" s="21">
        <v>7.5934600000000003</v>
      </c>
      <c r="I209" s="21">
        <v>-1.3754300000000001E-2</v>
      </c>
      <c r="J209" s="21">
        <v>199</v>
      </c>
      <c r="K209" s="21">
        <v>0.73715200000000003</v>
      </c>
      <c r="L209">
        <f t="shared" si="36"/>
        <v>16.980617283950615</v>
      </c>
      <c r="M209">
        <f t="shared" si="37"/>
        <v>12.530252203086418</v>
      </c>
      <c r="N209" s="9"/>
      <c r="O209" s="21">
        <v>0.90210000000000001</v>
      </c>
      <c r="P209" s="21">
        <v>11.2918</v>
      </c>
      <c r="Q209" s="21">
        <v>-1.3510100000000001E-2</v>
      </c>
      <c r="R209" s="21">
        <v>199</v>
      </c>
      <c r="S209" s="21">
        <v>0.90148899999999998</v>
      </c>
      <c r="T209">
        <f t="shared" si="38"/>
        <v>16.679135802469133</v>
      </c>
      <c r="U209">
        <f t="shared" si="39"/>
        <v>15.046248407407406</v>
      </c>
      <c r="X209" s="9"/>
      <c r="Y209" s="21">
        <v>0.73791499999999999</v>
      </c>
      <c r="Z209" s="21">
        <v>16.652699999999999</v>
      </c>
      <c r="AA209" s="21">
        <v>-1.37146E-2</v>
      </c>
      <c r="AB209" s="21">
        <v>199</v>
      </c>
      <c r="AC209" s="21">
        <v>0.73718300000000003</v>
      </c>
      <c r="AD209">
        <f t="shared" si="40"/>
        <v>16.931604938271605</v>
      </c>
      <c r="AE209">
        <f t="shared" si="41"/>
        <v>12.494085258024691</v>
      </c>
      <c r="AF209" s="9"/>
      <c r="AG209" s="21">
        <v>0.90210000000000001</v>
      </c>
      <c r="AH209" s="21">
        <v>20.350999999999999</v>
      </c>
      <c r="AI209" s="21">
        <v>-1.3433799999999999E-2</v>
      </c>
      <c r="AJ209" s="21">
        <v>199</v>
      </c>
      <c r="AK209" s="21">
        <v>0.90118399999999999</v>
      </c>
      <c r="AL209">
        <f t="shared" si="42"/>
        <v>16.584938271604937</v>
      </c>
      <c r="AM209">
        <f t="shared" si="43"/>
        <v>14.961272814814814</v>
      </c>
      <c r="AP209" s="9"/>
      <c r="AQ209" s="21">
        <v>0.73791499999999999</v>
      </c>
      <c r="AR209" s="21">
        <v>25.7849</v>
      </c>
      <c r="AS209" s="21">
        <v>-1.3726800000000001E-2</v>
      </c>
      <c r="AT209" s="21">
        <v>199</v>
      </c>
      <c r="AU209" s="21">
        <v>0.73733499999999996</v>
      </c>
      <c r="AV209">
        <f t="shared" si="44"/>
        <v>16.946666666666665</v>
      </c>
      <c r="AW209">
        <f t="shared" si="45"/>
        <v>12.505199533333332</v>
      </c>
      <c r="AX209" s="9"/>
      <c r="AY209" s="21">
        <v>0.90210000000000001</v>
      </c>
      <c r="AZ209" s="21">
        <v>29.4832</v>
      </c>
      <c r="BA209" s="21">
        <v>-1.3427700000000001E-2</v>
      </c>
      <c r="BB209" s="21">
        <v>199</v>
      </c>
      <c r="BC209" s="21">
        <v>0.90118399999999999</v>
      </c>
      <c r="BD209">
        <f t="shared" si="46"/>
        <v>16.57740740740741</v>
      </c>
      <c r="BE209">
        <f t="shared" si="47"/>
        <v>14.954479222222226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0.73287999999999998</v>
      </c>
      <c r="H210" s="21">
        <v>7.6035300000000001</v>
      </c>
      <c r="I210" s="21">
        <v>-1.3760400000000001E-2</v>
      </c>
      <c r="J210" s="21">
        <v>200</v>
      </c>
      <c r="K210" s="21">
        <v>0.73223899999999997</v>
      </c>
      <c r="L210">
        <f t="shared" si="36"/>
        <v>16.988148148148149</v>
      </c>
      <c r="M210">
        <f t="shared" si="37"/>
        <v>12.450274014814815</v>
      </c>
      <c r="N210" s="9"/>
      <c r="O210" s="21">
        <v>0.90713500000000002</v>
      </c>
      <c r="P210" s="21">
        <v>11.3019</v>
      </c>
      <c r="Q210" s="21">
        <v>-1.3510100000000001E-2</v>
      </c>
      <c r="R210" s="21">
        <v>200</v>
      </c>
      <c r="S210" s="21">
        <v>0.90576199999999996</v>
      </c>
      <c r="T210">
        <f t="shared" si="38"/>
        <v>16.679135802469133</v>
      </c>
      <c r="U210">
        <f t="shared" si="39"/>
        <v>15.130227856172837</v>
      </c>
      <c r="X210" s="9"/>
      <c r="Y210" s="21">
        <v>0.73287999999999998</v>
      </c>
      <c r="Z210" s="21">
        <v>16.662700000000001</v>
      </c>
      <c r="AA210" s="21">
        <v>-1.37054E-2</v>
      </c>
      <c r="AB210" s="21">
        <v>200</v>
      </c>
      <c r="AC210" s="21">
        <v>0.73236100000000004</v>
      </c>
      <c r="AD210">
        <f t="shared" si="40"/>
        <v>16.920246913580247</v>
      </c>
      <c r="AE210">
        <f t="shared" si="41"/>
        <v>12.40051055802469</v>
      </c>
      <c r="AF210" s="9"/>
      <c r="AG210" s="21">
        <v>0.90713500000000002</v>
      </c>
      <c r="AH210" s="21">
        <v>20.3611</v>
      </c>
      <c r="AI210" s="21">
        <v>-1.3427700000000001E-2</v>
      </c>
      <c r="AJ210" s="21">
        <v>200</v>
      </c>
      <c r="AK210" s="21">
        <v>0.90606699999999996</v>
      </c>
      <c r="AL210">
        <f t="shared" si="42"/>
        <v>16.57740740740741</v>
      </c>
      <c r="AM210">
        <f t="shared" si="43"/>
        <v>15.037946468518522</v>
      </c>
      <c r="AP210" s="9"/>
      <c r="AQ210" s="21">
        <v>0.73287999999999998</v>
      </c>
      <c r="AR210" s="21">
        <v>25.795000000000002</v>
      </c>
      <c r="AS210" s="21">
        <v>-1.3720700000000001E-2</v>
      </c>
      <c r="AT210" s="21">
        <v>200</v>
      </c>
      <c r="AU210" s="21">
        <v>0.73214699999999999</v>
      </c>
      <c r="AV210">
        <f t="shared" si="44"/>
        <v>16.939135802469135</v>
      </c>
      <c r="AW210">
        <f t="shared" si="45"/>
        <v>12.414353846913579</v>
      </c>
      <c r="AX210" s="9"/>
      <c r="AY210" s="21">
        <v>0.90713500000000002</v>
      </c>
      <c r="AZ210" s="21">
        <v>29.493300000000001</v>
      </c>
      <c r="BA210" s="21">
        <v>-1.3424699999999999E-2</v>
      </c>
      <c r="BB210" s="21">
        <v>200</v>
      </c>
      <c r="BC210" s="21">
        <v>0.90637199999999996</v>
      </c>
      <c r="BD210">
        <f t="shared" si="46"/>
        <v>16.5737037037037</v>
      </c>
      <c r="BE210">
        <f t="shared" si="47"/>
        <v>15.034586709259257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0.72784400000000005</v>
      </c>
      <c r="H211" s="21">
        <v>7.6135999999999999</v>
      </c>
      <c r="I211" s="21">
        <v>-1.3772599999999999E-2</v>
      </c>
      <c r="J211" s="21">
        <v>201</v>
      </c>
      <c r="K211" s="21">
        <v>0.72717299999999996</v>
      </c>
      <c r="L211">
        <f t="shared" si="36"/>
        <v>17.00320987654321</v>
      </c>
      <c r="M211">
        <f t="shared" si="37"/>
        <v>12.375684289382717</v>
      </c>
      <c r="N211" s="9"/>
      <c r="O211" s="21">
        <v>0.91217000000000004</v>
      </c>
      <c r="P211" s="21">
        <v>11.3119</v>
      </c>
      <c r="Q211" s="21">
        <v>-1.3510100000000001E-2</v>
      </c>
      <c r="R211" s="21">
        <v>201</v>
      </c>
      <c r="S211" s="21">
        <v>0.91217000000000004</v>
      </c>
      <c r="T211">
        <f t="shared" si="38"/>
        <v>16.679135802469133</v>
      </c>
      <c r="U211">
        <f t="shared" si="39"/>
        <v>15.21420730493827</v>
      </c>
      <c r="X211" s="9"/>
      <c r="Y211" s="21">
        <v>0.72784400000000005</v>
      </c>
      <c r="Z211" s="21">
        <v>16.672799999999999</v>
      </c>
      <c r="AA211" s="21">
        <v>-1.37085E-2</v>
      </c>
      <c r="AB211" s="21">
        <v>201</v>
      </c>
      <c r="AC211" s="21">
        <v>0.72729500000000002</v>
      </c>
      <c r="AD211">
        <f t="shared" si="40"/>
        <v>16.924074074074074</v>
      </c>
      <c r="AE211">
        <f t="shared" si="41"/>
        <v>12.318085770370372</v>
      </c>
      <c r="AF211" s="9"/>
      <c r="AG211" s="21">
        <v>0.91217000000000004</v>
      </c>
      <c r="AH211" s="21">
        <v>20.371200000000002</v>
      </c>
      <c r="AI211" s="21">
        <v>-1.3412500000000001E-2</v>
      </c>
      <c r="AJ211" s="21">
        <v>201</v>
      </c>
      <c r="AK211" s="21">
        <v>0.91125500000000004</v>
      </c>
      <c r="AL211">
        <f t="shared" si="42"/>
        <v>16.558641975308642</v>
      </c>
      <c r="AM211">
        <f t="shared" si="43"/>
        <v>15.104296450617285</v>
      </c>
      <c r="AP211" s="9"/>
      <c r="AQ211" s="21">
        <v>0.72784400000000005</v>
      </c>
      <c r="AR211" s="21">
        <v>25.805</v>
      </c>
      <c r="AS211" s="21">
        <v>-1.3726800000000001E-2</v>
      </c>
      <c r="AT211" s="21">
        <v>201</v>
      </c>
      <c r="AU211" s="21">
        <v>0.72720300000000004</v>
      </c>
      <c r="AV211">
        <f t="shared" si="44"/>
        <v>16.946666666666665</v>
      </c>
      <c r="AW211">
        <f t="shared" si="45"/>
        <v>12.334529653333334</v>
      </c>
      <c r="AX211" s="9"/>
      <c r="AY211" s="21">
        <v>0.91217000000000004</v>
      </c>
      <c r="AZ211" s="21">
        <v>29.503399999999999</v>
      </c>
      <c r="BA211" s="21">
        <v>-1.3421600000000001E-2</v>
      </c>
      <c r="BB211" s="21">
        <v>201</v>
      </c>
      <c r="BC211" s="21">
        <v>0.91095000000000004</v>
      </c>
      <c r="BD211">
        <f t="shared" si="46"/>
        <v>16.569876543209876</v>
      </c>
      <c r="BE211">
        <f t="shared" si="47"/>
        <v>15.114544286419752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0.72280900000000003</v>
      </c>
      <c r="H212" s="21">
        <v>7.6236699999999997</v>
      </c>
      <c r="I212" s="21">
        <v>-1.37848E-2</v>
      </c>
      <c r="J212" s="21">
        <v>202</v>
      </c>
      <c r="K212" s="21">
        <v>0.72219800000000001</v>
      </c>
      <c r="L212">
        <f t="shared" si="36"/>
        <v>17.018271604938271</v>
      </c>
      <c r="M212">
        <f t="shared" si="37"/>
        <v>12.300959880493828</v>
      </c>
      <c r="N212" s="9"/>
      <c r="O212" s="21">
        <v>0.91720599999999997</v>
      </c>
      <c r="P212" s="21">
        <v>11.321999999999999</v>
      </c>
      <c r="Q212" s="21">
        <v>-1.3501000000000001E-2</v>
      </c>
      <c r="R212" s="21">
        <v>202</v>
      </c>
      <c r="S212" s="21">
        <v>0.91674800000000001</v>
      </c>
      <c r="T212">
        <f t="shared" si="38"/>
        <v>16.667901234567903</v>
      </c>
      <c r="U212">
        <f t="shared" si="39"/>
        <v>15.287899019753088</v>
      </c>
      <c r="X212" s="9"/>
      <c r="Y212" s="21">
        <v>0.72280900000000003</v>
      </c>
      <c r="Z212" s="21">
        <v>16.6829</v>
      </c>
      <c r="AA212" s="21">
        <v>-1.3720700000000001E-2</v>
      </c>
      <c r="AB212" s="21">
        <v>202</v>
      </c>
      <c r="AC212" s="21">
        <v>0.72219800000000001</v>
      </c>
      <c r="AD212">
        <f t="shared" si="40"/>
        <v>16.939135802469135</v>
      </c>
      <c r="AE212">
        <f t="shared" si="41"/>
        <v>12.243759810246914</v>
      </c>
      <c r="AF212" s="9"/>
      <c r="AG212" s="21">
        <v>0.91720599999999997</v>
      </c>
      <c r="AH212" s="21">
        <v>20.3813</v>
      </c>
      <c r="AI212" s="21">
        <v>-1.34033E-2</v>
      </c>
      <c r="AJ212" s="21">
        <v>202</v>
      </c>
      <c r="AK212" s="21">
        <v>0.91705300000000001</v>
      </c>
      <c r="AL212">
        <f t="shared" si="42"/>
        <v>16.547283950617281</v>
      </c>
      <c r="AM212">
        <f t="shared" si="43"/>
        <v>15.177268123209874</v>
      </c>
      <c r="AP212" s="9"/>
      <c r="AQ212" s="21">
        <v>0.72280900000000003</v>
      </c>
      <c r="AR212" s="21">
        <v>25.815100000000001</v>
      </c>
      <c r="AS212" s="21">
        <v>-1.37238E-2</v>
      </c>
      <c r="AT212" s="21">
        <v>202</v>
      </c>
      <c r="AU212" s="21">
        <v>0.72213700000000003</v>
      </c>
      <c r="AV212">
        <f t="shared" si="44"/>
        <v>16.942962962962962</v>
      </c>
      <c r="AW212">
        <f t="shared" si="45"/>
        <v>12.246526116296296</v>
      </c>
      <c r="AX212" s="9"/>
      <c r="AY212" s="21">
        <v>0.91720599999999997</v>
      </c>
      <c r="AZ212" s="21">
        <v>29.513400000000001</v>
      </c>
      <c r="BA212" s="21">
        <v>-1.3424699999999999E-2</v>
      </c>
      <c r="BB212" s="21">
        <v>202</v>
      </c>
      <c r="BC212" s="21">
        <v>0.91583300000000001</v>
      </c>
      <c r="BD212">
        <f t="shared" si="46"/>
        <v>16.5737037037037</v>
      </c>
      <c r="BE212">
        <f t="shared" si="47"/>
        <v>15.201500479259256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0.71777299999999999</v>
      </c>
      <c r="H213" s="21">
        <v>7.6337400000000004</v>
      </c>
      <c r="I213" s="21">
        <v>-1.37787E-2</v>
      </c>
      <c r="J213" s="21">
        <v>203</v>
      </c>
      <c r="K213" s="21">
        <v>0.71697999999999995</v>
      </c>
      <c r="L213">
        <f t="shared" si="36"/>
        <v>17.01074074074074</v>
      </c>
      <c r="M213">
        <f t="shared" si="37"/>
        <v>12.209850413703704</v>
      </c>
      <c r="N213" s="9"/>
      <c r="O213" s="21">
        <v>0.92224099999999998</v>
      </c>
      <c r="P213" s="21">
        <v>11.332100000000001</v>
      </c>
      <c r="Q213" s="21">
        <v>-1.34979E-2</v>
      </c>
      <c r="R213" s="21">
        <v>203</v>
      </c>
      <c r="S213" s="21">
        <v>0.92132599999999998</v>
      </c>
      <c r="T213">
        <f t="shared" si="38"/>
        <v>16.664074074074072</v>
      </c>
      <c r="U213">
        <f t="shared" si="39"/>
        <v>15.368292338148146</v>
      </c>
      <c r="X213" s="9"/>
      <c r="Y213" s="21">
        <v>0.71777299999999999</v>
      </c>
      <c r="Z213" s="21">
        <v>16.693000000000001</v>
      </c>
      <c r="AA213" s="21">
        <v>-1.3720700000000001E-2</v>
      </c>
      <c r="AB213" s="21">
        <v>203</v>
      </c>
      <c r="AC213" s="21">
        <v>0.71725499999999998</v>
      </c>
      <c r="AD213">
        <f t="shared" si="40"/>
        <v>16.939135802469135</v>
      </c>
      <c r="AE213">
        <f t="shared" si="41"/>
        <v>12.158454322345678</v>
      </c>
      <c r="AF213" s="9"/>
      <c r="AG213" s="21">
        <v>0.92224099999999998</v>
      </c>
      <c r="AH213" s="21">
        <v>20.391300000000001</v>
      </c>
      <c r="AI213" s="21">
        <v>-1.34033E-2</v>
      </c>
      <c r="AJ213" s="21">
        <v>203</v>
      </c>
      <c r="AK213" s="21">
        <v>0.92132599999999998</v>
      </c>
      <c r="AL213">
        <f t="shared" si="42"/>
        <v>16.547283950617281</v>
      </c>
      <c r="AM213">
        <f t="shared" si="43"/>
        <v>15.260583697901232</v>
      </c>
      <c r="AP213" s="9"/>
      <c r="AQ213" s="21">
        <v>0.71777299999999999</v>
      </c>
      <c r="AR213" s="21">
        <v>25.825199999999999</v>
      </c>
      <c r="AS213" s="21">
        <v>-1.37146E-2</v>
      </c>
      <c r="AT213" s="21">
        <v>203</v>
      </c>
      <c r="AU213" s="21">
        <v>0.71716299999999999</v>
      </c>
      <c r="AV213">
        <f t="shared" si="44"/>
        <v>16.931604938271605</v>
      </c>
      <c r="AW213">
        <f t="shared" si="45"/>
        <v>12.153048871358024</v>
      </c>
      <c r="AX213" s="9"/>
      <c r="AY213" s="21">
        <v>0.92224099999999998</v>
      </c>
      <c r="AZ213" s="21">
        <v>29.523499999999999</v>
      </c>
      <c r="BA213" s="21">
        <v>-1.34155E-2</v>
      </c>
      <c r="BB213" s="21">
        <v>203</v>
      </c>
      <c r="BC213" s="21">
        <v>0.92163099999999998</v>
      </c>
      <c r="BD213">
        <f t="shared" si="46"/>
        <v>16.562345679012346</v>
      </c>
      <c r="BE213">
        <f t="shared" si="47"/>
        <v>15.274474241358025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0.71273799999999998</v>
      </c>
      <c r="H214" s="21">
        <v>7.6438100000000002</v>
      </c>
      <c r="I214" s="21">
        <v>-1.3760400000000001E-2</v>
      </c>
      <c r="J214" s="21">
        <v>204</v>
      </c>
      <c r="K214" s="21">
        <v>0.71197500000000002</v>
      </c>
      <c r="L214">
        <f t="shared" si="36"/>
        <v>16.988148148148149</v>
      </c>
      <c r="M214">
        <f t="shared" si="37"/>
        <v>12.108098734814815</v>
      </c>
      <c r="N214" s="9"/>
      <c r="O214" s="21">
        <v>0.92727700000000002</v>
      </c>
      <c r="P214" s="21">
        <v>11.3422</v>
      </c>
      <c r="Q214" s="21">
        <v>-1.34888E-2</v>
      </c>
      <c r="R214" s="21">
        <v>204</v>
      </c>
      <c r="S214" s="21">
        <v>0.92590300000000003</v>
      </c>
      <c r="T214">
        <f t="shared" si="38"/>
        <v>16.652839506172839</v>
      </c>
      <c r="U214">
        <f t="shared" si="39"/>
        <v>15.441795058765432</v>
      </c>
      <c r="X214" s="9"/>
      <c r="Y214" s="21">
        <v>0.71273799999999998</v>
      </c>
      <c r="Z214" s="21">
        <v>16.702999999999999</v>
      </c>
      <c r="AA214" s="21">
        <v>-1.37238E-2</v>
      </c>
      <c r="AB214" s="21">
        <v>204</v>
      </c>
      <c r="AC214" s="21">
        <v>0.71194500000000005</v>
      </c>
      <c r="AD214">
        <f t="shared" si="40"/>
        <v>16.942962962962962</v>
      </c>
      <c r="AE214">
        <f t="shared" si="41"/>
        <v>12.075893536296295</v>
      </c>
      <c r="AF214" s="9"/>
      <c r="AG214" s="21">
        <v>0.92727700000000002</v>
      </c>
      <c r="AH214" s="21">
        <v>20.401399999999999</v>
      </c>
      <c r="AI214" s="21">
        <v>-1.34033E-2</v>
      </c>
      <c r="AJ214" s="21">
        <v>204</v>
      </c>
      <c r="AK214" s="21">
        <v>0.92651399999999995</v>
      </c>
      <c r="AL214">
        <f t="shared" si="42"/>
        <v>16.547283950617281</v>
      </c>
      <c r="AM214">
        <f t="shared" si="43"/>
        <v>15.343915819876541</v>
      </c>
      <c r="AP214" s="9"/>
      <c r="AQ214" s="21">
        <v>0.71273799999999998</v>
      </c>
      <c r="AR214" s="21">
        <v>25.8352</v>
      </c>
      <c r="AS214" s="21">
        <v>-1.37115E-2</v>
      </c>
      <c r="AT214" s="21">
        <v>204</v>
      </c>
      <c r="AU214" s="21">
        <v>0.71212799999999998</v>
      </c>
      <c r="AV214">
        <f t="shared" si="44"/>
        <v>16.927777777777777</v>
      </c>
      <c r="AW214">
        <f t="shared" si="45"/>
        <v>12.065070477777777</v>
      </c>
      <c r="AX214" s="9"/>
      <c r="AY214" s="21">
        <v>0.92727700000000002</v>
      </c>
      <c r="AZ214" s="21">
        <v>29.5336</v>
      </c>
      <c r="BA214" s="21">
        <v>-1.3406400000000001E-2</v>
      </c>
      <c r="BB214" s="21">
        <v>204</v>
      </c>
      <c r="BC214" s="21">
        <v>0.92620800000000003</v>
      </c>
      <c r="BD214">
        <f t="shared" si="46"/>
        <v>16.551111111111108</v>
      </c>
      <c r="BE214">
        <f t="shared" si="47"/>
        <v>15.347464657777776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0.70770299999999997</v>
      </c>
      <c r="H215" s="21">
        <v>7.65388</v>
      </c>
      <c r="I215" s="21">
        <v>-1.37482E-2</v>
      </c>
      <c r="J215" s="21">
        <v>205</v>
      </c>
      <c r="K215" s="21">
        <v>0.70709200000000005</v>
      </c>
      <c r="L215">
        <f t="shared" si="36"/>
        <v>16.973086419753084</v>
      </c>
      <c r="M215">
        <f t="shared" si="37"/>
        <v>12.011904178518517</v>
      </c>
      <c r="N215" s="9"/>
      <c r="O215" s="21">
        <v>0.93231200000000003</v>
      </c>
      <c r="P215" s="21">
        <v>11.3522</v>
      </c>
      <c r="Q215" s="21">
        <v>-1.34796E-2</v>
      </c>
      <c r="R215" s="21">
        <v>205</v>
      </c>
      <c r="S215" s="21">
        <v>0.931396</v>
      </c>
      <c r="T215">
        <f t="shared" si="38"/>
        <v>16.641481481481478</v>
      </c>
      <c r="U215">
        <f t="shared" si="39"/>
        <v>15.51505288296296</v>
      </c>
      <c r="X215" s="9"/>
      <c r="Y215" s="21">
        <v>0.70770299999999997</v>
      </c>
      <c r="Z215" s="21">
        <v>16.713100000000001</v>
      </c>
      <c r="AA215" s="21">
        <v>-1.3720700000000001E-2</v>
      </c>
      <c r="AB215" s="21">
        <v>205</v>
      </c>
      <c r="AC215" s="21">
        <v>0.70712299999999995</v>
      </c>
      <c r="AD215">
        <f t="shared" si="40"/>
        <v>16.939135802469135</v>
      </c>
      <c r="AE215">
        <f t="shared" si="41"/>
        <v>11.987877224814813</v>
      </c>
      <c r="AF215" s="9"/>
      <c r="AG215" s="21">
        <v>0.93231200000000003</v>
      </c>
      <c r="AH215" s="21">
        <v>20.4115</v>
      </c>
      <c r="AI215" s="21">
        <v>-1.33972E-2</v>
      </c>
      <c r="AJ215" s="21">
        <v>205</v>
      </c>
      <c r="AK215" s="21">
        <v>0.93170200000000003</v>
      </c>
      <c r="AL215">
        <f t="shared" si="42"/>
        <v>16.539753086419751</v>
      </c>
      <c r="AM215">
        <f t="shared" si="43"/>
        <v>15.42021027950617</v>
      </c>
      <c r="AP215" s="9"/>
      <c r="AQ215" s="21">
        <v>0.70770299999999997</v>
      </c>
      <c r="AR215" s="21">
        <v>25.845300000000002</v>
      </c>
      <c r="AS215" s="21">
        <v>-1.37146E-2</v>
      </c>
      <c r="AT215" s="21">
        <v>205</v>
      </c>
      <c r="AU215" s="21">
        <v>0.70706199999999997</v>
      </c>
      <c r="AV215">
        <f t="shared" si="44"/>
        <v>16.931604938271605</v>
      </c>
      <c r="AW215">
        <f t="shared" si="45"/>
        <v>11.982547609629629</v>
      </c>
      <c r="AX215" s="9"/>
      <c r="AY215" s="21">
        <v>0.93231200000000003</v>
      </c>
      <c r="AZ215" s="21">
        <v>29.543700000000001</v>
      </c>
      <c r="BA215" s="21">
        <v>-1.3406400000000001E-2</v>
      </c>
      <c r="BB215" s="21">
        <v>205</v>
      </c>
      <c r="BC215" s="21">
        <v>0.931396</v>
      </c>
      <c r="BD215">
        <f t="shared" si="46"/>
        <v>16.551111111111108</v>
      </c>
      <c r="BE215">
        <f t="shared" si="47"/>
        <v>15.43079950222222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0.70266700000000004</v>
      </c>
      <c r="H216" s="21">
        <v>7.6639600000000003</v>
      </c>
      <c r="I216" s="21">
        <v>-1.37512E-2</v>
      </c>
      <c r="J216" s="21">
        <v>206</v>
      </c>
      <c r="K216" s="21">
        <v>0.70193499999999998</v>
      </c>
      <c r="L216">
        <f t="shared" si="36"/>
        <v>16.976790123456787</v>
      </c>
      <c r="M216">
        <f t="shared" si="37"/>
        <v>11.929030185679011</v>
      </c>
      <c r="N216" s="9"/>
      <c r="O216" s="21">
        <v>0.93734700000000004</v>
      </c>
      <c r="P216" s="21">
        <v>11.362299999999999</v>
      </c>
      <c r="Q216" s="21">
        <v>-1.34796E-2</v>
      </c>
      <c r="R216" s="21">
        <v>206</v>
      </c>
      <c r="S216" s="21">
        <v>0.93627899999999997</v>
      </c>
      <c r="T216">
        <f t="shared" si="38"/>
        <v>16.641481481481478</v>
      </c>
      <c r="U216">
        <f t="shared" si="39"/>
        <v>15.598842742222219</v>
      </c>
      <c r="X216" s="9"/>
      <c r="Y216" s="21">
        <v>0.70266700000000004</v>
      </c>
      <c r="Z216" s="21">
        <v>16.723199999999999</v>
      </c>
      <c r="AA216" s="21">
        <v>-1.3720700000000001E-2</v>
      </c>
      <c r="AB216" s="21">
        <v>206</v>
      </c>
      <c r="AC216" s="21">
        <v>0.70202600000000004</v>
      </c>
      <c r="AD216">
        <f t="shared" si="40"/>
        <v>16.939135802469135</v>
      </c>
      <c r="AE216">
        <f t="shared" si="41"/>
        <v>11.902571736913581</v>
      </c>
      <c r="AF216" s="9"/>
      <c r="AG216" s="21">
        <v>0.93734700000000004</v>
      </c>
      <c r="AH216" s="21">
        <v>20.421500000000002</v>
      </c>
      <c r="AI216" s="21">
        <v>-1.33881E-2</v>
      </c>
      <c r="AJ216" s="21">
        <v>206</v>
      </c>
      <c r="AK216" s="21">
        <v>0.93627899999999997</v>
      </c>
      <c r="AL216">
        <f t="shared" si="42"/>
        <v>16.528518518518517</v>
      </c>
      <c r="AM216">
        <f t="shared" si="43"/>
        <v>15.492957247777777</v>
      </c>
      <c r="AP216" s="9"/>
      <c r="AQ216" s="21">
        <v>0.70266700000000004</v>
      </c>
      <c r="AR216" s="21">
        <v>25.855399999999999</v>
      </c>
      <c r="AS216" s="21">
        <v>-1.37054E-2</v>
      </c>
      <c r="AT216" s="21">
        <v>206</v>
      </c>
      <c r="AU216" s="21">
        <v>0.70202600000000004</v>
      </c>
      <c r="AV216">
        <f t="shared" si="44"/>
        <v>16.920246913580247</v>
      </c>
      <c r="AW216">
        <f t="shared" si="45"/>
        <v>11.889299138024692</v>
      </c>
      <c r="AX216" s="9"/>
      <c r="AY216" s="21">
        <v>0.93734700000000004</v>
      </c>
      <c r="AZ216" s="21">
        <v>29.553699999999999</v>
      </c>
      <c r="BA216" s="21">
        <v>-1.34033E-2</v>
      </c>
      <c r="BB216" s="21">
        <v>206</v>
      </c>
      <c r="BC216" s="21">
        <v>0.93627899999999997</v>
      </c>
      <c r="BD216">
        <f t="shared" si="46"/>
        <v>16.547283950617281</v>
      </c>
      <c r="BE216">
        <f t="shared" si="47"/>
        <v>15.510546969259257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0.69763200000000003</v>
      </c>
      <c r="H217" s="21">
        <v>7.6740300000000001</v>
      </c>
      <c r="I217" s="21">
        <v>-1.3760400000000001E-2</v>
      </c>
      <c r="J217" s="21">
        <v>207</v>
      </c>
      <c r="K217" s="21">
        <v>0.69699100000000003</v>
      </c>
      <c r="L217">
        <f t="shared" si="36"/>
        <v>16.988148148148149</v>
      </c>
      <c r="M217">
        <f t="shared" si="37"/>
        <v>11.851475768888889</v>
      </c>
      <c r="N217" s="9"/>
      <c r="O217" s="21">
        <v>0.94238299999999997</v>
      </c>
      <c r="P217" s="21">
        <v>11.372400000000001</v>
      </c>
      <c r="Q217" s="21">
        <v>-1.34796E-2</v>
      </c>
      <c r="R217" s="21">
        <v>207</v>
      </c>
      <c r="S217" s="21">
        <v>0.94207799999999997</v>
      </c>
      <c r="T217">
        <f t="shared" si="38"/>
        <v>16.641481481481478</v>
      </c>
      <c r="U217">
        <f t="shared" si="39"/>
        <v>15.68264924296296</v>
      </c>
      <c r="X217" s="9"/>
      <c r="Y217" s="21">
        <v>0.69763200000000003</v>
      </c>
      <c r="Z217" s="21">
        <v>16.7332</v>
      </c>
      <c r="AA217" s="21">
        <v>-1.37238E-2</v>
      </c>
      <c r="AB217" s="21">
        <v>207</v>
      </c>
      <c r="AC217" s="21">
        <v>0.697021</v>
      </c>
      <c r="AD217">
        <f t="shared" si="40"/>
        <v>16.942962962962962</v>
      </c>
      <c r="AE217">
        <f t="shared" si="41"/>
        <v>11.819953137777778</v>
      </c>
      <c r="AF217" s="9"/>
      <c r="AG217" s="21">
        <v>0.94238299999999997</v>
      </c>
      <c r="AH217" s="21">
        <v>20.4316</v>
      </c>
      <c r="AI217" s="21">
        <v>-1.3378900000000001E-2</v>
      </c>
      <c r="AJ217" s="21">
        <v>207</v>
      </c>
      <c r="AK217" s="21">
        <v>0.94146700000000005</v>
      </c>
      <c r="AL217">
        <f t="shared" si="42"/>
        <v>16.517160493827159</v>
      </c>
      <c r="AM217">
        <f t="shared" si="43"/>
        <v>15.565491257654319</v>
      </c>
      <c r="AP217" s="9"/>
      <c r="AQ217" s="21">
        <v>0.69763200000000003</v>
      </c>
      <c r="AR217" s="21">
        <v>25.865500000000001</v>
      </c>
      <c r="AS217" s="21">
        <v>-1.37115E-2</v>
      </c>
      <c r="AT217" s="21">
        <v>207</v>
      </c>
      <c r="AU217" s="21">
        <v>0.69696000000000002</v>
      </c>
      <c r="AV217">
        <f t="shared" si="44"/>
        <v>16.927777777777777</v>
      </c>
      <c r="AW217">
        <f t="shared" si="45"/>
        <v>11.809359466666667</v>
      </c>
      <c r="AX217" s="9"/>
      <c r="AY217" s="21">
        <v>0.94238299999999997</v>
      </c>
      <c r="AZ217" s="21">
        <v>29.563800000000001</v>
      </c>
      <c r="BA217" s="21">
        <v>-1.33972E-2</v>
      </c>
      <c r="BB217" s="21">
        <v>207</v>
      </c>
      <c r="BC217" s="21">
        <v>0.94207799999999997</v>
      </c>
      <c r="BD217">
        <f t="shared" si="46"/>
        <v>16.539753086419751</v>
      </c>
      <c r="BE217">
        <f t="shared" si="47"/>
        <v>15.586782132839504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0.69259599999999999</v>
      </c>
      <c r="H218" s="21">
        <v>7.6840999999999999</v>
      </c>
      <c r="I218" s="21">
        <v>-1.37573E-2</v>
      </c>
      <c r="J218" s="21">
        <v>208</v>
      </c>
      <c r="K218" s="21">
        <v>0.69195600000000002</v>
      </c>
      <c r="L218">
        <f t="shared" si="36"/>
        <v>16.984320987654321</v>
      </c>
      <c r="M218">
        <f t="shared" si="37"/>
        <v>11.763272778765431</v>
      </c>
      <c r="N218" s="9"/>
      <c r="O218" s="21">
        <v>0.94741799999999998</v>
      </c>
      <c r="P218" s="21">
        <v>11.382400000000001</v>
      </c>
      <c r="Q218" s="21">
        <v>-1.34796E-2</v>
      </c>
      <c r="R218" s="21">
        <v>208</v>
      </c>
      <c r="S218" s="21">
        <v>0.94604500000000002</v>
      </c>
      <c r="T218">
        <f t="shared" si="38"/>
        <v>16.641481481481478</v>
      </c>
      <c r="U218">
        <f t="shared" si="39"/>
        <v>15.766439102222218</v>
      </c>
      <c r="X218" s="9"/>
      <c r="Y218" s="21">
        <v>0.69259599999999999</v>
      </c>
      <c r="Z218" s="21">
        <v>16.743300000000001</v>
      </c>
      <c r="AA218" s="21">
        <v>-1.3726800000000001E-2</v>
      </c>
      <c r="AB218" s="21">
        <v>208</v>
      </c>
      <c r="AC218" s="21">
        <v>0.69189500000000004</v>
      </c>
      <c r="AD218">
        <f t="shared" si="40"/>
        <v>16.946666666666665</v>
      </c>
      <c r="AE218">
        <f t="shared" si="41"/>
        <v>11.737193546666665</v>
      </c>
      <c r="AF218" s="9"/>
      <c r="AG218" s="21">
        <v>0.94741799999999998</v>
      </c>
      <c r="AH218" s="21">
        <v>20.441700000000001</v>
      </c>
      <c r="AI218" s="21">
        <v>-1.33667E-2</v>
      </c>
      <c r="AJ218" s="21">
        <v>208</v>
      </c>
      <c r="AK218" s="21">
        <v>0.94635000000000002</v>
      </c>
      <c r="AL218">
        <f t="shared" si="42"/>
        <v>16.502098765432098</v>
      </c>
      <c r="AM218">
        <f t="shared" si="43"/>
        <v>15.634385408148148</v>
      </c>
      <c r="AP218" s="9"/>
      <c r="AQ218" s="21">
        <v>0.69259599999999999</v>
      </c>
      <c r="AR218" s="21">
        <v>25.875499999999999</v>
      </c>
      <c r="AS218" s="21">
        <v>-1.3717699999999999E-2</v>
      </c>
      <c r="AT218" s="21">
        <v>208</v>
      </c>
      <c r="AU218" s="21">
        <v>0.69183300000000003</v>
      </c>
      <c r="AV218">
        <f t="shared" si="44"/>
        <v>16.935432098765432</v>
      </c>
      <c r="AW218">
        <f t="shared" si="45"/>
        <v>11.729412529876543</v>
      </c>
      <c r="AX218" s="9"/>
      <c r="AY218" s="21">
        <v>0.94741799999999998</v>
      </c>
      <c r="AZ218" s="21">
        <v>29.573899999999998</v>
      </c>
      <c r="BA218" s="21">
        <v>-1.33942E-2</v>
      </c>
      <c r="BB218" s="21">
        <v>208</v>
      </c>
      <c r="BC218" s="21">
        <v>0.94665500000000002</v>
      </c>
      <c r="BD218">
        <f t="shared" si="46"/>
        <v>16.536049382716048</v>
      </c>
      <c r="BE218">
        <f t="shared" si="47"/>
        <v>15.666550834074073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0.68756099999999998</v>
      </c>
      <c r="H219" s="21">
        <v>7.6941699999999997</v>
      </c>
      <c r="I219" s="21">
        <v>-1.37573E-2</v>
      </c>
      <c r="J219" s="21">
        <v>209</v>
      </c>
      <c r="K219" s="21">
        <v>0.686859</v>
      </c>
      <c r="L219">
        <f t="shared" si="36"/>
        <v>16.984320987654321</v>
      </c>
      <c r="M219">
        <f t="shared" si="37"/>
        <v>11.677756722592592</v>
      </c>
      <c r="N219" s="9"/>
      <c r="O219" s="21">
        <v>0.95245400000000002</v>
      </c>
      <c r="P219" s="21">
        <v>11.3925</v>
      </c>
      <c r="Q219" s="21">
        <v>-1.34796E-2</v>
      </c>
      <c r="R219" s="21">
        <v>209</v>
      </c>
      <c r="S219" s="21">
        <v>0.95184299999999999</v>
      </c>
      <c r="T219">
        <f t="shared" si="38"/>
        <v>16.641481481481478</v>
      </c>
      <c r="U219">
        <f t="shared" si="39"/>
        <v>15.850245602962959</v>
      </c>
      <c r="X219" s="9"/>
      <c r="Y219" s="21">
        <v>0.68756099999999998</v>
      </c>
      <c r="Z219" s="21">
        <v>16.753399999999999</v>
      </c>
      <c r="AA219" s="21">
        <v>-1.3726800000000001E-2</v>
      </c>
      <c r="AB219" s="21">
        <v>209</v>
      </c>
      <c r="AC219" s="21">
        <v>0.686859</v>
      </c>
      <c r="AD219">
        <f t="shared" si="40"/>
        <v>16.946666666666665</v>
      </c>
      <c r="AE219">
        <f t="shared" si="41"/>
        <v>11.651867079999999</v>
      </c>
      <c r="AF219" s="9"/>
      <c r="AG219" s="21">
        <v>0.95245400000000002</v>
      </c>
      <c r="AH219" s="21">
        <v>20.451799999999999</v>
      </c>
      <c r="AI219" s="21">
        <v>-1.33667E-2</v>
      </c>
      <c r="AJ219" s="21">
        <v>209</v>
      </c>
      <c r="AK219" s="21">
        <v>0.95153799999999999</v>
      </c>
      <c r="AL219">
        <f t="shared" si="42"/>
        <v>16.502098765432098</v>
      </c>
      <c r="AM219">
        <f t="shared" si="43"/>
        <v>15.717489977530864</v>
      </c>
      <c r="AP219" s="9"/>
      <c r="AQ219" s="21">
        <v>0.68756099999999998</v>
      </c>
      <c r="AR219" s="21">
        <v>25.8856</v>
      </c>
      <c r="AS219" s="21">
        <v>-1.37115E-2</v>
      </c>
      <c r="AT219" s="21">
        <v>209</v>
      </c>
      <c r="AU219" s="21">
        <v>0.68691999999999998</v>
      </c>
      <c r="AV219">
        <f t="shared" si="44"/>
        <v>16.927777777777777</v>
      </c>
      <c r="AW219">
        <f t="shared" si="45"/>
        <v>11.638879816666666</v>
      </c>
      <c r="AX219" s="9"/>
      <c r="AY219" s="21">
        <v>0.95245400000000002</v>
      </c>
      <c r="AZ219" s="21">
        <v>29.5839</v>
      </c>
      <c r="BA219" s="21">
        <v>-1.3384999999999999E-2</v>
      </c>
      <c r="BB219" s="21">
        <v>209</v>
      </c>
      <c r="BC219" s="21">
        <v>0.950928</v>
      </c>
      <c r="BD219">
        <f t="shared" si="46"/>
        <v>16.52469135802469</v>
      </c>
      <c r="BE219">
        <f t="shared" si="47"/>
        <v>15.739008382716047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0.68252599999999997</v>
      </c>
      <c r="H220" s="21">
        <v>7.7042400000000004</v>
      </c>
      <c r="I220" s="21">
        <v>-1.37512E-2</v>
      </c>
      <c r="J220" s="21">
        <v>210</v>
      </c>
      <c r="K220" s="21">
        <v>0.68188499999999996</v>
      </c>
      <c r="L220">
        <f t="shared" si="36"/>
        <v>16.976790123456787</v>
      </c>
      <c r="M220">
        <f t="shared" si="37"/>
        <v>11.587100655802466</v>
      </c>
      <c r="N220" s="9"/>
      <c r="O220" s="21">
        <v>0.95748900000000003</v>
      </c>
      <c r="P220" s="21">
        <v>11.4026</v>
      </c>
      <c r="Q220" s="21">
        <v>-1.3473499999999999E-2</v>
      </c>
      <c r="R220" s="21">
        <v>210</v>
      </c>
      <c r="S220" s="21">
        <v>0.95672599999999997</v>
      </c>
      <c r="T220">
        <f t="shared" si="38"/>
        <v>16.633950617283947</v>
      </c>
      <c r="U220">
        <f t="shared" si="39"/>
        <v>15.92682474259259</v>
      </c>
      <c r="X220" s="9"/>
      <c r="Y220" s="21">
        <v>0.68252599999999997</v>
      </c>
      <c r="Z220" s="21">
        <v>16.763500000000001</v>
      </c>
      <c r="AA220" s="21">
        <v>-1.37085E-2</v>
      </c>
      <c r="AB220" s="21">
        <v>210</v>
      </c>
      <c r="AC220" s="21">
        <v>0.68182399999999999</v>
      </c>
      <c r="AD220">
        <f t="shared" si="40"/>
        <v>16.924074074074074</v>
      </c>
      <c r="AE220">
        <f t="shared" si="41"/>
        <v>11.551120581481481</v>
      </c>
      <c r="AF220" s="9"/>
      <c r="AG220" s="21">
        <v>0.95748900000000003</v>
      </c>
      <c r="AH220" s="21">
        <v>20.4618</v>
      </c>
      <c r="AI220" s="21">
        <v>-1.33545E-2</v>
      </c>
      <c r="AJ220" s="21">
        <v>210</v>
      </c>
      <c r="AK220" s="21">
        <v>0.95642099999999997</v>
      </c>
      <c r="AL220">
        <f t="shared" si="42"/>
        <v>16.487037037037037</v>
      </c>
      <c r="AM220">
        <f t="shared" si="43"/>
        <v>15.786156605555556</v>
      </c>
      <c r="AP220" s="9"/>
      <c r="AQ220" s="21">
        <v>0.68252599999999997</v>
      </c>
      <c r="AR220" s="21">
        <v>25.895700000000001</v>
      </c>
      <c r="AS220" s="21">
        <v>-1.36963E-2</v>
      </c>
      <c r="AT220" s="21">
        <v>210</v>
      </c>
      <c r="AU220" s="21">
        <v>0.68185399999999996</v>
      </c>
      <c r="AV220">
        <f t="shared" si="44"/>
        <v>16.90901234567901</v>
      </c>
      <c r="AW220">
        <f t="shared" si="45"/>
        <v>11.540840560246911</v>
      </c>
      <c r="AX220" s="9"/>
      <c r="AY220" s="21">
        <v>0.95748900000000003</v>
      </c>
      <c r="AZ220" s="21">
        <v>29.594000000000001</v>
      </c>
      <c r="BA220" s="21">
        <v>-1.3372800000000001E-2</v>
      </c>
      <c r="BB220" s="21">
        <v>210</v>
      </c>
      <c r="BC220" s="21">
        <v>0.95642099999999997</v>
      </c>
      <c r="BD220">
        <f t="shared" si="46"/>
        <v>16.509629629629632</v>
      </c>
      <c r="BE220">
        <f t="shared" si="47"/>
        <v>15.807788764444448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0.67749000000000004</v>
      </c>
      <c r="H221" s="21">
        <v>7.7143100000000002</v>
      </c>
      <c r="I221" s="21">
        <v>-1.37482E-2</v>
      </c>
      <c r="J221" s="21">
        <v>211</v>
      </c>
      <c r="K221" s="21">
        <v>0.67688000000000004</v>
      </c>
      <c r="L221">
        <f t="shared" si="36"/>
        <v>16.973086419753084</v>
      </c>
      <c r="M221">
        <f t="shared" si="37"/>
        <v>11.499096318518518</v>
      </c>
      <c r="N221" s="9"/>
      <c r="O221" s="21">
        <v>0.96252400000000005</v>
      </c>
      <c r="P221" s="21">
        <v>11.412599999999999</v>
      </c>
      <c r="Q221" s="21">
        <v>-1.34644E-2</v>
      </c>
      <c r="R221" s="21">
        <v>211</v>
      </c>
      <c r="S221" s="21">
        <v>0.96160900000000005</v>
      </c>
      <c r="T221">
        <f t="shared" si="38"/>
        <v>16.622716049382717</v>
      </c>
      <c r="U221">
        <f t="shared" si="39"/>
        <v>15.99976314271605</v>
      </c>
      <c r="X221" s="9"/>
      <c r="Y221" s="21">
        <v>0.67749000000000004</v>
      </c>
      <c r="Z221" s="21">
        <v>16.773499999999999</v>
      </c>
      <c r="AA221" s="21">
        <v>-1.37085E-2</v>
      </c>
      <c r="AB221" s="21">
        <v>211</v>
      </c>
      <c r="AC221" s="21">
        <v>0.67684900000000003</v>
      </c>
      <c r="AD221">
        <f t="shared" si="40"/>
        <v>16.924074074074074</v>
      </c>
      <c r="AE221">
        <f t="shared" si="41"/>
        <v>11.465890944444444</v>
      </c>
      <c r="AF221" s="9"/>
      <c r="AG221" s="21">
        <v>0.96252400000000005</v>
      </c>
      <c r="AH221" s="21">
        <v>20.471900000000002</v>
      </c>
      <c r="AI221" s="21">
        <v>-1.33545E-2</v>
      </c>
      <c r="AJ221" s="21">
        <v>211</v>
      </c>
      <c r="AK221" s="21">
        <v>0.96130400000000005</v>
      </c>
      <c r="AL221">
        <f t="shared" si="42"/>
        <v>16.487037037037037</v>
      </c>
      <c r="AM221">
        <f t="shared" si="43"/>
        <v>15.869168837037039</v>
      </c>
      <c r="AP221" s="9"/>
      <c r="AQ221" s="21">
        <v>0.67749000000000004</v>
      </c>
      <c r="AR221" s="21">
        <v>25.9057</v>
      </c>
      <c r="AS221" s="21">
        <v>-1.36902E-2</v>
      </c>
      <c r="AT221" s="21">
        <v>211</v>
      </c>
      <c r="AU221" s="21">
        <v>0.67697099999999999</v>
      </c>
      <c r="AV221">
        <f t="shared" si="44"/>
        <v>16.901481481481479</v>
      </c>
      <c r="AW221">
        <f t="shared" si="45"/>
        <v>11.450584688888888</v>
      </c>
      <c r="AX221" s="9"/>
      <c r="AY221" s="21">
        <v>0.96252400000000005</v>
      </c>
      <c r="AZ221" s="21">
        <v>29.604099999999999</v>
      </c>
      <c r="BA221" s="21">
        <v>-1.33636E-2</v>
      </c>
      <c r="BB221" s="21">
        <v>211</v>
      </c>
      <c r="BC221" s="21">
        <v>0.96160900000000005</v>
      </c>
      <c r="BD221">
        <f t="shared" si="46"/>
        <v>16.498271604938271</v>
      </c>
      <c r="BE221">
        <f t="shared" si="47"/>
        <v>15.879982378271604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0.67245500000000002</v>
      </c>
      <c r="H222" s="21">
        <v>7.72438</v>
      </c>
      <c r="I222" s="21">
        <v>-1.37451E-2</v>
      </c>
      <c r="J222" s="21">
        <v>212</v>
      </c>
      <c r="K222" s="21">
        <v>0.671844</v>
      </c>
      <c r="L222">
        <f t="shared" si="36"/>
        <v>16.969259259259257</v>
      </c>
      <c r="M222">
        <f t="shared" si="37"/>
        <v>11.411063235185184</v>
      </c>
      <c r="N222" s="9"/>
      <c r="O222" s="21">
        <v>0.96755999999999998</v>
      </c>
      <c r="P222" s="21">
        <v>11.422700000000001</v>
      </c>
      <c r="Q222" s="21">
        <v>-1.3458299999999999E-2</v>
      </c>
      <c r="R222" s="21">
        <v>212</v>
      </c>
      <c r="S222" s="21">
        <v>0.96679700000000002</v>
      </c>
      <c r="T222">
        <f t="shared" si="38"/>
        <v>16.615185185185183</v>
      </c>
      <c r="U222">
        <f t="shared" si="39"/>
        <v>16.076188577777774</v>
      </c>
      <c r="X222" s="9"/>
      <c r="Y222" s="21">
        <v>0.67245500000000002</v>
      </c>
      <c r="Z222" s="21">
        <v>16.7836</v>
      </c>
      <c r="AA222" s="21">
        <v>-1.37054E-2</v>
      </c>
      <c r="AB222" s="21">
        <v>212</v>
      </c>
      <c r="AC222" s="21">
        <v>0.671875</v>
      </c>
      <c r="AD222">
        <f t="shared" si="40"/>
        <v>16.920246913580247</v>
      </c>
      <c r="AE222">
        <f t="shared" si="41"/>
        <v>11.378104638271605</v>
      </c>
      <c r="AF222" s="9"/>
      <c r="AG222" s="21">
        <v>0.96755999999999998</v>
      </c>
      <c r="AH222" s="21">
        <v>20.481999999999999</v>
      </c>
      <c r="AI222" s="21">
        <v>-1.33545E-2</v>
      </c>
      <c r="AJ222" s="21">
        <v>212</v>
      </c>
      <c r="AK222" s="21">
        <v>0.96618700000000002</v>
      </c>
      <c r="AL222">
        <f t="shared" si="42"/>
        <v>16.487037037037037</v>
      </c>
      <c r="AM222">
        <f t="shared" si="43"/>
        <v>15.952197555555555</v>
      </c>
      <c r="AP222" s="9"/>
      <c r="AQ222" s="21">
        <v>0.67245500000000002</v>
      </c>
      <c r="AR222" s="21">
        <v>25.915800000000001</v>
      </c>
      <c r="AS222" s="21">
        <v>-1.3681E-2</v>
      </c>
      <c r="AT222" s="21">
        <v>212</v>
      </c>
      <c r="AU222" s="21">
        <v>0.67193599999999998</v>
      </c>
      <c r="AV222">
        <f t="shared" si="44"/>
        <v>16.890123456790121</v>
      </c>
      <c r="AW222">
        <f t="shared" si="45"/>
        <v>11.357847969135802</v>
      </c>
      <c r="AX222" s="9"/>
      <c r="AY222" s="21">
        <v>0.96755999999999998</v>
      </c>
      <c r="AZ222" s="21">
        <v>29.6142</v>
      </c>
      <c r="BA222" s="21">
        <v>-1.3351399999999999E-2</v>
      </c>
      <c r="BB222" s="21">
        <v>212</v>
      </c>
      <c r="BC222" s="21">
        <v>0.96618700000000002</v>
      </c>
      <c r="BD222">
        <f t="shared" si="46"/>
        <v>16.483209876543206</v>
      </c>
      <c r="BE222">
        <f t="shared" si="47"/>
        <v>15.948494548148144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0.66741899999999998</v>
      </c>
      <c r="H223" s="21">
        <v>7.7344499999999998</v>
      </c>
      <c r="I223" s="21">
        <v>-1.37482E-2</v>
      </c>
      <c r="J223" s="21">
        <v>213</v>
      </c>
      <c r="K223" s="21">
        <v>0.66674800000000001</v>
      </c>
      <c r="L223">
        <f t="shared" si="36"/>
        <v>16.973086419753084</v>
      </c>
      <c r="M223">
        <f t="shared" si="37"/>
        <v>11.328160365185184</v>
      </c>
      <c r="N223" s="9"/>
      <c r="O223" s="21">
        <v>0.97259499999999999</v>
      </c>
      <c r="P223" s="21">
        <v>11.4328</v>
      </c>
      <c r="Q223" s="21">
        <v>-1.3443E-2</v>
      </c>
      <c r="R223" s="21">
        <v>213</v>
      </c>
      <c r="S223" s="21">
        <v>0.97228999999999999</v>
      </c>
      <c r="T223">
        <f t="shared" si="38"/>
        <v>16.596296296296295</v>
      </c>
      <c r="U223">
        <f t="shared" si="39"/>
        <v>16.141474796296293</v>
      </c>
      <c r="X223" s="9"/>
      <c r="Y223" s="21">
        <v>0.66741899999999998</v>
      </c>
      <c r="Z223" s="21">
        <v>16.793700000000001</v>
      </c>
      <c r="AA223" s="21">
        <v>-1.3699299999999999E-2</v>
      </c>
      <c r="AB223" s="21">
        <v>213</v>
      </c>
      <c r="AC223" s="21">
        <v>0.66668700000000003</v>
      </c>
      <c r="AD223">
        <f t="shared" si="40"/>
        <v>16.912716049382716</v>
      </c>
      <c r="AE223">
        <f t="shared" si="41"/>
        <v>11.287868032962963</v>
      </c>
      <c r="AF223" s="9"/>
      <c r="AG223" s="21">
        <v>0.97259499999999999</v>
      </c>
      <c r="AH223" s="21">
        <v>20.492000000000001</v>
      </c>
      <c r="AI223" s="21">
        <v>-1.33545E-2</v>
      </c>
      <c r="AJ223" s="21">
        <v>213</v>
      </c>
      <c r="AK223" s="21">
        <v>0.97198499999999999</v>
      </c>
      <c r="AL223">
        <f t="shared" si="42"/>
        <v>16.487037037037037</v>
      </c>
      <c r="AM223">
        <f t="shared" si="43"/>
        <v>16.035209787037036</v>
      </c>
      <c r="AP223" s="9"/>
      <c r="AQ223" s="21">
        <v>0.66741899999999998</v>
      </c>
      <c r="AR223" s="21">
        <v>25.925899999999999</v>
      </c>
      <c r="AS223" s="21">
        <v>-1.3677999999999999E-2</v>
      </c>
      <c r="AT223" s="21">
        <v>213</v>
      </c>
      <c r="AU223" s="21">
        <v>0.66690099999999997</v>
      </c>
      <c r="AV223">
        <f t="shared" si="44"/>
        <v>16.886419753086418</v>
      </c>
      <c r="AW223">
        <f t="shared" si="45"/>
        <v>11.270317385185184</v>
      </c>
      <c r="AX223" s="9"/>
      <c r="AY223" s="21">
        <v>0.97259499999999999</v>
      </c>
      <c r="AZ223" s="21">
        <v>29.624199999999998</v>
      </c>
      <c r="BA223" s="21">
        <v>-1.3345299999999999E-2</v>
      </c>
      <c r="BB223" s="21">
        <v>213</v>
      </c>
      <c r="BC223" s="21">
        <v>0.97137499999999999</v>
      </c>
      <c r="BD223">
        <f t="shared" si="46"/>
        <v>16.475679012345676</v>
      </c>
      <c r="BE223">
        <f t="shared" si="47"/>
        <v>16.024163029012342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0.66238399999999997</v>
      </c>
      <c r="H224" s="21">
        <v>7.7445199999999996</v>
      </c>
      <c r="I224" s="21">
        <v>-1.37421E-2</v>
      </c>
      <c r="J224" s="21">
        <v>214</v>
      </c>
      <c r="K224" s="21">
        <v>0.661713</v>
      </c>
      <c r="L224">
        <f t="shared" si="36"/>
        <v>16.965555555555554</v>
      </c>
      <c r="M224">
        <f t="shared" si="37"/>
        <v>11.237712551111109</v>
      </c>
      <c r="N224" s="9"/>
      <c r="O224" s="21">
        <v>0.97763100000000003</v>
      </c>
      <c r="P224" s="21">
        <v>11.4429</v>
      </c>
      <c r="Q224" s="21">
        <v>-1.3427700000000001E-2</v>
      </c>
      <c r="R224" s="21">
        <v>214</v>
      </c>
      <c r="S224" s="21">
        <v>0.97656299999999996</v>
      </c>
      <c r="T224">
        <f t="shared" si="38"/>
        <v>16.57740740740741</v>
      </c>
      <c r="U224">
        <f t="shared" si="39"/>
        <v>16.206587381111113</v>
      </c>
      <c r="X224" s="9"/>
      <c r="Y224" s="21">
        <v>0.66238399999999997</v>
      </c>
      <c r="Z224" s="21">
        <v>16.803699999999999</v>
      </c>
      <c r="AA224" s="21">
        <v>-1.37024E-2</v>
      </c>
      <c r="AB224" s="21">
        <v>214</v>
      </c>
      <c r="AC224" s="21">
        <v>0.66159100000000004</v>
      </c>
      <c r="AD224">
        <f t="shared" si="40"/>
        <v>16.916543209876544</v>
      </c>
      <c r="AE224">
        <f t="shared" si="41"/>
        <v>11.205247557530864</v>
      </c>
      <c r="AF224" s="9"/>
      <c r="AG224" s="21">
        <v>0.97763100000000003</v>
      </c>
      <c r="AH224" s="21">
        <v>20.502099999999999</v>
      </c>
      <c r="AI224" s="21">
        <v>-1.3339200000000001E-2</v>
      </c>
      <c r="AJ224" s="21">
        <v>214</v>
      </c>
      <c r="AK224" s="21">
        <v>0.97717299999999996</v>
      </c>
      <c r="AL224">
        <f t="shared" si="42"/>
        <v>16.468148148148149</v>
      </c>
      <c r="AM224">
        <f t="shared" si="43"/>
        <v>16.099772142222225</v>
      </c>
      <c r="AP224" s="9"/>
      <c r="AQ224" s="21">
        <v>0.66238399999999997</v>
      </c>
      <c r="AR224" s="21">
        <v>25.936</v>
      </c>
      <c r="AS224" s="21">
        <v>-1.3677999999999999E-2</v>
      </c>
      <c r="AT224" s="21">
        <v>214</v>
      </c>
      <c r="AU224" s="21">
        <v>0.66177399999999997</v>
      </c>
      <c r="AV224">
        <f t="shared" si="44"/>
        <v>16.886419753086418</v>
      </c>
      <c r="AW224">
        <f t="shared" si="45"/>
        <v>11.185294261728394</v>
      </c>
      <c r="AX224" s="9"/>
      <c r="AY224" s="21">
        <v>0.97763100000000003</v>
      </c>
      <c r="AZ224" s="21">
        <v>29.6343</v>
      </c>
      <c r="BA224" s="21">
        <v>-1.3333100000000001E-2</v>
      </c>
      <c r="BB224" s="21">
        <v>214</v>
      </c>
      <c r="BC224" s="21">
        <v>0.97656299999999996</v>
      </c>
      <c r="BD224">
        <f t="shared" si="46"/>
        <v>16.460617283950615</v>
      </c>
      <c r="BE224">
        <f t="shared" si="47"/>
        <v>16.092409735925923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0.65734899999999996</v>
      </c>
      <c r="H225" s="21">
        <v>7.7545900000000003</v>
      </c>
      <c r="I225" s="21">
        <v>-1.37299E-2</v>
      </c>
      <c r="J225" s="21">
        <v>215</v>
      </c>
      <c r="K225" s="21">
        <v>0.65676900000000005</v>
      </c>
      <c r="L225">
        <f t="shared" si="36"/>
        <v>16.950493827160493</v>
      </c>
      <c r="M225">
        <f t="shared" si="37"/>
        <v>11.142390166790122</v>
      </c>
      <c r="N225" s="9"/>
      <c r="O225" s="21">
        <v>0.98266600000000004</v>
      </c>
      <c r="P225" s="21">
        <v>11.4529</v>
      </c>
      <c r="Q225" s="21">
        <v>-1.3418599999999999E-2</v>
      </c>
      <c r="R225" s="21">
        <v>215</v>
      </c>
      <c r="S225" s="21">
        <v>0.98236100000000004</v>
      </c>
      <c r="T225">
        <f t="shared" si="38"/>
        <v>16.566172839506169</v>
      </c>
      <c r="U225">
        <f t="shared" si="39"/>
        <v>16.279014799506172</v>
      </c>
      <c r="X225" s="9"/>
      <c r="Y225" s="21">
        <v>0.65734899999999996</v>
      </c>
      <c r="Z225" s="21">
        <v>16.813800000000001</v>
      </c>
      <c r="AA225" s="21">
        <v>-1.37146E-2</v>
      </c>
      <c r="AB225" s="21">
        <v>215</v>
      </c>
      <c r="AC225" s="21">
        <v>0.65673800000000004</v>
      </c>
      <c r="AD225">
        <f t="shared" si="40"/>
        <v>16.931604938271605</v>
      </c>
      <c r="AE225">
        <f t="shared" si="41"/>
        <v>11.1299735745679</v>
      </c>
      <c r="AF225" s="9"/>
      <c r="AG225" s="21">
        <v>0.98266600000000004</v>
      </c>
      <c r="AH225" s="21">
        <v>20.5122</v>
      </c>
      <c r="AI225" s="21">
        <v>-1.3333100000000001E-2</v>
      </c>
      <c r="AJ225" s="21">
        <v>215</v>
      </c>
      <c r="AK225" s="21">
        <v>0.98144500000000001</v>
      </c>
      <c r="AL225">
        <f t="shared" si="42"/>
        <v>16.460617283950615</v>
      </c>
      <c r="AM225">
        <f t="shared" si="43"/>
        <v>16.175288943950616</v>
      </c>
      <c r="AP225" s="9"/>
      <c r="AQ225" s="21">
        <v>0.65734899999999996</v>
      </c>
      <c r="AR225" s="21">
        <v>25.946000000000002</v>
      </c>
      <c r="AS225" s="21">
        <v>-1.36688E-2</v>
      </c>
      <c r="AT225" s="21">
        <v>215</v>
      </c>
      <c r="AU225" s="21">
        <v>0.65670799999999996</v>
      </c>
      <c r="AV225">
        <f t="shared" si="44"/>
        <v>16.87506172839506</v>
      </c>
      <c r="AW225">
        <f t="shared" si="45"/>
        <v>11.092804952098763</v>
      </c>
      <c r="AX225" s="9"/>
      <c r="AY225" s="21">
        <v>0.98266600000000004</v>
      </c>
      <c r="AZ225" s="21">
        <v>29.644400000000001</v>
      </c>
      <c r="BA225" s="21">
        <v>-1.3330099999999999E-2</v>
      </c>
      <c r="BB225" s="21">
        <v>215</v>
      </c>
      <c r="BC225" s="21">
        <v>0.98205600000000004</v>
      </c>
      <c r="BD225">
        <f t="shared" si="46"/>
        <v>16.456913580246912</v>
      </c>
      <c r="BE225">
        <f t="shared" si="47"/>
        <v>16.171649440246913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0.65231300000000003</v>
      </c>
      <c r="H226" s="21">
        <v>7.7646699999999997</v>
      </c>
      <c r="I226" s="21">
        <v>-1.3720700000000001E-2</v>
      </c>
      <c r="J226" s="21">
        <v>216</v>
      </c>
      <c r="K226" s="21">
        <v>0.65170300000000003</v>
      </c>
      <c r="L226">
        <f t="shared" si="36"/>
        <v>16.939135802469135</v>
      </c>
      <c r="M226">
        <f t="shared" si="37"/>
        <v>11.04961849271605</v>
      </c>
      <c r="N226" s="9"/>
      <c r="O226" s="21">
        <v>0.98770100000000005</v>
      </c>
      <c r="P226" s="21">
        <v>11.462999999999999</v>
      </c>
      <c r="Q226" s="21">
        <v>-1.34155E-2</v>
      </c>
      <c r="R226" s="21">
        <v>216</v>
      </c>
      <c r="S226" s="21">
        <v>0.98693799999999998</v>
      </c>
      <c r="T226">
        <f t="shared" si="38"/>
        <v>16.562345679012346</v>
      </c>
      <c r="U226">
        <f t="shared" si="39"/>
        <v>16.358645389506172</v>
      </c>
      <c r="X226" s="9"/>
      <c r="Y226" s="21">
        <v>0.65231300000000003</v>
      </c>
      <c r="Z226" s="21">
        <v>16.823899999999998</v>
      </c>
      <c r="AA226" s="21">
        <v>-1.3717699999999999E-2</v>
      </c>
      <c r="AB226" s="21">
        <v>216</v>
      </c>
      <c r="AC226" s="21">
        <v>0.65167200000000003</v>
      </c>
      <c r="AD226">
        <f t="shared" si="40"/>
        <v>16.935432098765432</v>
      </c>
      <c r="AE226">
        <f t="shared" si="41"/>
        <v>11.047202518641976</v>
      </c>
      <c r="AF226" s="9"/>
      <c r="AG226" s="21">
        <v>0.98770100000000005</v>
      </c>
      <c r="AH226" s="21">
        <v>20.522300000000001</v>
      </c>
      <c r="AI226" s="21">
        <v>-1.3327E-2</v>
      </c>
      <c r="AJ226" s="21">
        <v>216</v>
      </c>
      <c r="AK226" s="21">
        <v>0.98663299999999998</v>
      </c>
      <c r="AL226">
        <f t="shared" si="42"/>
        <v>16.453086419753085</v>
      </c>
      <c r="AM226">
        <f t="shared" si="43"/>
        <v>16.250729909876544</v>
      </c>
      <c r="AP226" s="9"/>
      <c r="AQ226" s="21">
        <v>0.65231300000000003</v>
      </c>
      <c r="AR226" s="21">
        <v>25.956099999999999</v>
      </c>
      <c r="AS226" s="21">
        <v>-1.36688E-2</v>
      </c>
      <c r="AT226" s="21">
        <v>216</v>
      </c>
      <c r="AU226" s="21">
        <v>0.65167200000000003</v>
      </c>
      <c r="AV226">
        <f t="shared" si="44"/>
        <v>16.87506172839506</v>
      </c>
      <c r="AW226">
        <f t="shared" si="45"/>
        <v>11.007822141234568</v>
      </c>
      <c r="AX226" s="9"/>
      <c r="AY226" s="21">
        <v>0.98770100000000005</v>
      </c>
      <c r="AZ226" s="21">
        <v>29.654399999999999</v>
      </c>
      <c r="BA226" s="21">
        <v>-1.3336199999999999E-2</v>
      </c>
      <c r="BB226" s="21">
        <v>216</v>
      </c>
      <c r="BC226" s="21">
        <v>0.98724400000000001</v>
      </c>
      <c r="BD226">
        <f t="shared" si="46"/>
        <v>16.464444444444442</v>
      </c>
      <c r="BE226">
        <f t="shared" si="47"/>
        <v>16.261948242222221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0.64727800000000002</v>
      </c>
      <c r="H227" s="21">
        <v>7.7747400000000004</v>
      </c>
      <c r="I227" s="21">
        <v>-1.37238E-2</v>
      </c>
      <c r="J227" s="21">
        <v>217</v>
      </c>
      <c r="K227" s="21">
        <v>0.64657600000000004</v>
      </c>
      <c r="L227">
        <f t="shared" si="36"/>
        <v>16.942962962962962</v>
      </c>
      <c r="M227">
        <f t="shared" si="37"/>
        <v>10.966807180740741</v>
      </c>
      <c r="N227" s="9"/>
      <c r="O227" s="21">
        <v>0.99273699999999998</v>
      </c>
      <c r="P227" s="21">
        <v>11.473100000000001</v>
      </c>
      <c r="Q227" s="21">
        <v>-1.34094E-2</v>
      </c>
      <c r="R227" s="21">
        <v>217</v>
      </c>
      <c r="S227" s="21">
        <v>0.99182099999999995</v>
      </c>
      <c r="T227">
        <f t="shared" si="38"/>
        <v>16.554814814814815</v>
      </c>
      <c r="U227">
        <f t="shared" si="39"/>
        <v>16.434577194814814</v>
      </c>
      <c r="X227" s="9"/>
      <c r="Y227" s="21">
        <v>0.64727800000000002</v>
      </c>
      <c r="Z227" s="21">
        <v>16.8339</v>
      </c>
      <c r="AA227" s="21">
        <v>-1.3717699999999999E-2</v>
      </c>
      <c r="AB227" s="21">
        <v>217</v>
      </c>
      <c r="AC227" s="21">
        <v>0.64657600000000004</v>
      </c>
      <c r="AD227">
        <f t="shared" si="40"/>
        <v>16.935432098765432</v>
      </c>
      <c r="AE227">
        <f t="shared" si="41"/>
        <v>10.961932618024692</v>
      </c>
      <c r="AF227" s="9"/>
      <c r="AG227" s="21">
        <v>0.99273699999999998</v>
      </c>
      <c r="AH227" s="21">
        <v>20.532299999999999</v>
      </c>
      <c r="AI227" s="21">
        <v>-1.3324000000000001E-2</v>
      </c>
      <c r="AJ227" s="21">
        <v>217</v>
      </c>
      <c r="AK227" s="21">
        <v>0.99212599999999995</v>
      </c>
      <c r="AL227">
        <f t="shared" si="42"/>
        <v>16.449382716049382</v>
      </c>
      <c r="AM227">
        <f t="shared" si="43"/>
        <v>16.329910849382713</v>
      </c>
      <c r="AP227" s="9"/>
      <c r="AQ227" s="21">
        <v>0.64727800000000002</v>
      </c>
      <c r="AR227" s="21">
        <v>25.966200000000001</v>
      </c>
      <c r="AS227" s="21">
        <v>-1.36749E-2</v>
      </c>
      <c r="AT227" s="21">
        <v>217</v>
      </c>
      <c r="AU227" s="21">
        <v>0.64666699999999999</v>
      </c>
      <c r="AV227">
        <f t="shared" si="44"/>
        <v>16.882592592592591</v>
      </c>
      <c r="AW227">
        <f t="shared" si="45"/>
        <v>10.927730768148148</v>
      </c>
      <c r="AX227" s="9"/>
      <c r="AY227" s="21">
        <v>0.99273699999999998</v>
      </c>
      <c r="AZ227" s="21">
        <v>29.6645</v>
      </c>
      <c r="BA227" s="21">
        <v>-1.3327E-2</v>
      </c>
      <c r="BB227" s="21">
        <v>217</v>
      </c>
      <c r="BC227" s="21">
        <v>0.99121099999999995</v>
      </c>
      <c r="BD227">
        <f t="shared" si="46"/>
        <v>16.453086419753085</v>
      </c>
      <c r="BE227">
        <f t="shared" si="47"/>
        <v>16.333587653086418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0.64224199999999998</v>
      </c>
      <c r="H228" s="21">
        <v>7.7848100000000002</v>
      </c>
      <c r="I228" s="21">
        <v>-1.37238E-2</v>
      </c>
      <c r="J228" s="21">
        <v>218</v>
      </c>
      <c r="K228" s="21">
        <v>0.641571</v>
      </c>
      <c r="L228">
        <f t="shared" si="36"/>
        <v>16.942962962962962</v>
      </c>
      <c r="M228">
        <f t="shared" si="37"/>
        <v>10.881482419259259</v>
      </c>
      <c r="N228" s="9"/>
      <c r="O228" s="21">
        <v>0.99777199999999999</v>
      </c>
      <c r="P228" s="21">
        <v>11.4831</v>
      </c>
      <c r="Q228" s="21">
        <v>-1.33942E-2</v>
      </c>
      <c r="R228" s="21">
        <v>218</v>
      </c>
      <c r="S228" s="21">
        <v>0.99639900000000003</v>
      </c>
      <c r="T228">
        <f t="shared" si="38"/>
        <v>16.536049382716048</v>
      </c>
      <c r="U228">
        <f t="shared" si="39"/>
        <v>16.499207064691355</v>
      </c>
      <c r="X228" s="9"/>
      <c r="Y228" s="21">
        <v>0.64224199999999998</v>
      </c>
      <c r="Z228" s="21">
        <v>16.844000000000001</v>
      </c>
      <c r="AA228" s="21">
        <v>-1.3720700000000001E-2</v>
      </c>
      <c r="AB228" s="21">
        <v>218</v>
      </c>
      <c r="AC228" s="21">
        <v>0.64141800000000004</v>
      </c>
      <c r="AD228">
        <f t="shared" si="40"/>
        <v>16.939135802469135</v>
      </c>
      <c r="AE228">
        <f t="shared" si="41"/>
        <v>10.879024456049383</v>
      </c>
      <c r="AF228" s="9"/>
      <c r="AG228" s="21">
        <v>0.99777199999999999</v>
      </c>
      <c r="AH228" s="21">
        <v>20.542400000000001</v>
      </c>
      <c r="AI228" s="21">
        <v>-1.3327E-2</v>
      </c>
      <c r="AJ228" s="21">
        <v>218</v>
      </c>
      <c r="AK228" s="21">
        <v>0.99700900000000003</v>
      </c>
      <c r="AL228">
        <f t="shared" si="42"/>
        <v>16.453086419753085</v>
      </c>
      <c r="AM228">
        <f t="shared" si="43"/>
        <v>16.416428943209876</v>
      </c>
      <c r="AP228" s="9"/>
      <c r="AQ228" s="21">
        <v>0.64224199999999998</v>
      </c>
      <c r="AR228" s="21">
        <v>25.976199999999999</v>
      </c>
      <c r="AS228" s="21">
        <v>-1.3681E-2</v>
      </c>
      <c r="AT228" s="21">
        <v>218</v>
      </c>
      <c r="AU228" s="21">
        <v>0.641571</v>
      </c>
      <c r="AV228">
        <f t="shared" si="44"/>
        <v>16.890123456790121</v>
      </c>
      <c r="AW228">
        <f t="shared" si="45"/>
        <v>10.8475466691358</v>
      </c>
      <c r="AX228" s="9"/>
      <c r="AY228" s="21">
        <v>0.99777199999999999</v>
      </c>
      <c r="AZ228" s="21">
        <v>29.674600000000002</v>
      </c>
      <c r="BA228" s="21">
        <v>-1.33209E-2</v>
      </c>
      <c r="BB228" s="21">
        <v>218</v>
      </c>
      <c r="BC228" s="21">
        <v>0.99670400000000003</v>
      </c>
      <c r="BD228">
        <f t="shared" si="46"/>
        <v>16.445555555555554</v>
      </c>
      <c r="BE228">
        <f t="shared" si="47"/>
        <v>16.408914857777777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0.63720699999999997</v>
      </c>
      <c r="H229" s="21">
        <v>7.79488</v>
      </c>
      <c r="I229" s="21">
        <v>-1.3732899999999999E-2</v>
      </c>
      <c r="J229" s="21">
        <v>219</v>
      </c>
      <c r="K229" s="21">
        <v>0.63668800000000003</v>
      </c>
      <c r="L229">
        <f t="shared" si="36"/>
        <v>16.954197530864196</v>
      </c>
      <c r="M229">
        <f t="shared" si="37"/>
        <v>10.803333346049381</v>
      </c>
      <c r="N229" s="9"/>
      <c r="O229" s="21">
        <v>1.00281</v>
      </c>
      <c r="P229" s="21">
        <v>11.4932</v>
      </c>
      <c r="Q229" s="21">
        <v>-1.3382E-2</v>
      </c>
      <c r="R229" s="21">
        <v>219</v>
      </c>
      <c r="S229" s="21">
        <v>1.00159</v>
      </c>
      <c r="T229">
        <f t="shared" si="38"/>
        <v>16.520987654320987</v>
      </c>
      <c r="U229">
        <f t="shared" si="39"/>
        <v>16.567411629629628</v>
      </c>
      <c r="X229" s="9"/>
      <c r="Y229" s="21">
        <v>0.63720699999999997</v>
      </c>
      <c r="Z229" s="21">
        <v>16.854099999999999</v>
      </c>
      <c r="AA229" s="21">
        <v>-1.37146E-2</v>
      </c>
      <c r="AB229" s="21">
        <v>219</v>
      </c>
      <c r="AC229" s="21">
        <v>0.63662700000000005</v>
      </c>
      <c r="AD229">
        <f t="shared" si="40"/>
        <v>16.931604938271605</v>
      </c>
      <c r="AE229">
        <f t="shared" si="41"/>
        <v>10.788937187901233</v>
      </c>
      <c r="AF229" s="9"/>
      <c r="AG229" s="21">
        <v>1.00281</v>
      </c>
      <c r="AH229" s="21">
        <v>20.552499999999998</v>
      </c>
      <c r="AI229" s="21">
        <v>-1.3324000000000001E-2</v>
      </c>
      <c r="AJ229" s="21">
        <v>219</v>
      </c>
      <c r="AK229" s="21">
        <v>1.0018899999999999</v>
      </c>
      <c r="AL229">
        <f t="shared" si="42"/>
        <v>16.449382716049382</v>
      </c>
      <c r="AM229">
        <f t="shared" si="43"/>
        <v>16.49560548148148</v>
      </c>
      <c r="AP229" s="9"/>
      <c r="AQ229" s="21">
        <v>0.63720699999999997</v>
      </c>
      <c r="AR229" s="21">
        <v>25.9863</v>
      </c>
      <c r="AS229" s="21">
        <v>-1.3687100000000001E-2</v>
      </c>
      <c r="AT229" s="21">
        <v>219</v>
      </c>
      <c r="AU229" s="21">
        <v>0.63662700000000005</v>
      </c>
      <c r="AV229">
        <f t="shared" si="44"/>
        <v>16.897654320987655</v>
      </c>
      <c r="AW229">
        <f t="shared" si="45"/>
        <v>10.76730361691358</v>
      </c>
      <c r="AX229" s="9"/>
      <c r="AY229" s="21">
        <v>1.00281</v>
      </c>
      <c r="AZ229" s="21">
        <v>29.684699999999999</v>
      </c>
      <c r="BA229" s="21">
        <v>-1.3317900000000001E-2</v>
      </c>
      <c r="BB229" s="21">
        <v>219</v>
      </c>
      <c r="BC229" s="21">
        <v>1.0022</v>
      </c>
      <c r="BD229">
        <f t="shared" si="46"/>
        <v>16.441851851851851</v>
      </c>
      <c r="BE229">
        <f t="shared" si="47"/>
        <v>16.488053455555555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0.63217199999999996</v>
      </c>
      <c r="H230" s="21">
        <v>7.8049499999999998</v>
      </c>
      <c r="I230" s="21">
        <v>-1.37451E-2</v>
      </c>
      <c r="J230" s="21">
        <v>220</v>
      </c>
      <c r="K230" s="21">
        <v>0.63153099999999995</v>
      </c>
      <c r="L230">
        <f t="shared" si="36"/>
        <v>16.969259259259257</v>
      </c>
      <c r="M230">
        <f t="shared" si="37"/>
        <v>10.727490564444443</v>
      </c>
      <c r="N230" s="9"/>
      <c r="O230" s="21">
        <v>1.0078400000000001</v>
      </c>
      <c r="P230" s="21">
        <v>11.503299999999999</v>
      </c>
      <c r="Q230" s="21">
        <v>-1.3369799999999999E-2</v>
      </c>
      <c r="R230" s="21">
        <v>220</v>
      </c>
      <c r="S230" s="21">
        <v>1.00708</v>
      </c>
      <c r="T230">
        <f t="shared" si="38"/>
        <v>16.505925925925922</v>
      </c>
      <c r="U230">
        <f t="shared" si="39"/>
        <v>16.635332385185183</v>
      </c>
      <c r="X230" s="9"/>
      <c r="Y230" s="21">
        <v>0.63217199999999996</v>
      </c>
      <c r="Z230" s="21">
        <v>16.8642</v>
      </c>
      <c r="AA230" s="21">
        <v>-1.37238E-2</v>
      </c>
      <c r="AB230" s="21">
        <v>220</v>
      </c>
      <c r="AC230" s="21">
        <v>0.63162200000000002</v>
      </c>
      <c r="AD230">
        <f t="shared" si="40"/>
        <v>16.942962962962962</v>
      </c>
      <c r="AE230">
        <f t="shared" si="41"/>
        <v>10.710866782222221</v>
      </c>
      <c r="AF230" s="9"/>
      <c r="AG230" s="21">
        <v>1.0078400000000001</v>
      </c>
      <c r="AH230" s="21">
        <v>20.5625</v>
      </c>
      <c r="AI230" s="21">
        <v>-1.33148E-2</v>
      </c>
      <c r="AJ230" s="21">
        <v>220</v>
      </c>
      <c r="AK230" s="21">
        <v>1.0067699999999999</v>
      </c>
      <c r="AL230">
        <f t="shared" si="42"/>
        <v>16.438024691358024</v>
      </c>
      <c r="AM230">
        <f t="shared" si="43"/>
        <v>16.566898804938273</v>
      </c>
      <c r="AP230" s="9"/>
      <c r="AQ230" s="21">
        <v>0.63217199999999996</v>
      </c>
      <c r="AR230" s="21">
        <v>25.996400000000001</v>
      </c>
      <c r="AS230" s="21">
        <v>-1.3677999999999999E-2</v>
      </c>
      <c r="AT230" s="21">
        <v>220</v>
      </c>
      <c r="AU230" s="21">
        <v>0.63165300000000002</v>
      </c>
      <c r="AV230">
        <f t="shared" si="44"/>
        <v>16.886419753086418</v>
      </c>
      <c r="AW230">
        <f t="shared" si="45"/>
        <v>10.675121748148147</v>
      </c>
      <c r="AX230" s="9"/>
      <c r="AY230" s="21">
        <v>1.0078400000000001</v>
      </c>
      <c r="AZ230" s="21">
        <v>29.694700000000001</v>
      </c>
      <c r="BA230" s="21">
        <v>-1.33118E-2</v>
      </c>
      <c r="BB230" s="21">
        <v>220</v>
      </c>
      <c r="BC230" s="21">
        <v>1.0067699999999999</v>
      </c>
      <c r="BD230">
        <f t="shared" si="46"/>
        <v>16.434320987654321</v>
      </c>
      <c r="BE230">
        <f t="shared" si="47"/>
        <v>16.563166064197532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0.62713600000000003</v>
      </c>
      <c r="H231" s="21">
        <v>7.8150199999999996</v>
      </c>
      <c r="I231" s="21">
        <v>-1.3754300000000001E-2</v>
      </c>
      <c r="J231" s="21">
        <v>221</v>
      </c>
      <c r="K231" s="21">
        <v>0.62652600000000003</v>
      </c>
      <c r="L231">
        <f t="shared" si="36"/>
        <v>16.980617283950615</v>
      </c>
      <c r="M231">
        <f t="shared" si="37"/>
        <v>10.649156400987653</v>
      </c>
      <c r="N231" s="9"/>
      <c r="O231" s="21">
        <v>1.01288</v>
      </c>
      <c r="P231" s="21">
        <v>11.513400000000001</v>
      </c>
      <c r="Q231" s="21">
        <v>-1.3372800000000001E-2</v>
      </c>
      <c r="R231" s="21">
        <v>221</v>
      </c>
      <c r="S231" s="21">
        <v>1.01196</v>
      </c>
      <c r="T231">
        <f t="shared" si="38"/>
        <v>16.509629629629632</v>
      </c>
      <c r="U231">
        <f t="shared" si="39"/>
        <v>16.722273659259262</v>
      </c>
      <c r="X231" s="9"/>
      <c r="Y231" s="21">
        <v>0.62713600000000003</v>
      </c>
      <c r="Z231" s="21">
        <v>16.874199999999998</v>
      </c>
      <c r="AA231" s="21">
        <v>-1.3738999999999999E-2</v>
      </c>
      <c r="AB231" s="21">
        <v>221</v>
      </c>
      <c r="AC231" s="21">
        <v>0.62649500000000002</v>
      </c>
      <c r="AD231">
        <f t="shared" si="40"/>
        <v>16.961728395061726</v>
      </c>
      <c r="AE231">
        <f t="shared" si="41"/>
        <v>10.637310498765432</v>
      </c>
      <c r="AF231" s="9"/>
      <c r="AG231" s="21">
        <v>1.01288</v>
      </c>
      <c r="AH231" s="21">
        <v>20.572600000000001</v>
      </c>
      <c r="AI231" s="21">
        <v>-1.3296499999999999E-2</v>
      </c>
      <c r="AJ231" s="21">
        <v>221</v>
      </c>
      <c r="AK231" s="21">
        <v>1.01257</v>
      </c>
      <c r="AL231">
        <f t="shared" si="42"/>
        <v>16.415432098765429</v>
      </c>
      <c r="AM231">
        <f t="shared" si="43"/>
        <v>16.626862864197527</v>
      </c>
      <c r="AP231" s="9"/>
      <c r="AQ231" s="21">
        <v>0.62713600000000003</v>
      </c>
      <c r="AR231" s="21">
        <v>26.006499999999999</v>
      </c>
      <c r="AS231" s="21">
        <v>-1.36749E-2</v>
      </c>
      <c r="AT231" s="21">
        <v>221</v>
      </c>
      <c r="AU231" s="21">
        <v>0.62643400000000005</v>
      </c>
      <c r="AV231">
        <f t="shared" si="44"/>
        <v>16.882592592592591</v>
      </c>
      <c r="AW231">
        <f t="shared" si="45"/>
        <v>10.587681588148147</v>
      </c>
      <c r="AX231" s="9"/>
      <c r="AY231" s="21">
        <v>1.01288</v>
      </c>
      <c r="AZ231" s="21">
        <v>29.704799999999999</v>
      </c>
      <c r="BA231" s="21">
        <v>-1.3302599999999999E-2</v>
      </c>
      <c r="BB231" s="21">
        <v>221</v>
      </c>
      <c r="BC231" s="21">
        <v>1.01227</v>
      </c>
      <c r="BD231">
        <f t="shared" si="46"/>
        <v>16.422962962962963</v>
      </c>
      <c r="BE231">
        <f t="shared" si="47"/>
        <v>16.634490725925925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0.62210100000000002</v>
      </c>
      <c r="H232" s="21">
        <v>7.8250900000000003</v>
      </c>
      <c r="I232" s="21">
        <v>-1.37573E-2</v>
      </c>
      <c r="J232" s="21">
        <v>222</v>
      </c>
      <c r="K232" s="21">
        <v>0.62139900000000003</v>
      </c>
      <c r="L232">
        <f t="shared" si="36"/>
        <v>16.984320987654321</v>
      </c>
      <c r="M232">
        <f t="shared" si="37"/>
        <v>10.565963070740741</v>
      </c>
      <c r="N232" s="9"/>
      <c r="O232" s="21">
        <v>1.0179100000000001</v>
      </c>
      <c r="P232" s="21">
        <v>11.523400000000001</v>
      </c>
      <c r="Q232" s="21">
        <v>-1.3369799999999999E-2</v>
      </c>
      <c r="R232" s="21">
        <v>222</v>
      </c>
      <c r="S232" s="21">
        <v>1.01654</v>
      </c>
      <c r="T232">
        <f t="shared" si="38"/>
        <v>16.505925925925922</v>
      </c>
      <c r="U232">
        <f t="shared" si="39"/>
        <v>16.801547059259256</v>
      </c>
      <c r="X232" s="9"/>
      <c r="Y232" s="21">
        <v>0.62210100000000002</v>
      </c>
      <c r="Z232" s="21">
        <v>16.8843</v>
      </c>
      <c r="AA232" s="21">
        <v>-1.37482E-2</v>
      </c>
      <c r="AB232" s="21">
        <v>222</v>
      </c>
      <c r="AC232" s="21">
        <v>0.62139900000000003</v>
      </c>
      <c r="AD232">
        <f t="shared" si="40"/>
        <v>16.973086419753084</v>
      </c>
      <c r="AE232">
        <f t="shared" si="41"/>
        <v>10.558974034814813</v>
      </c>
      <c r="AF232" s="9"/>
      <c r="AG232" s="21">
        <v>1.0179100000000001</v>
      </c>
      <c r="AH232" s="21">
        <v>20.582699999999999</v>
      </c>
      <c r="AI232" s="21">
        <v>-1.3281299999999999E-2</v>
      </c>
      <c r="AJ232" s="21">
        <v>222</v>
      </c>
      <c r="AK232" s="21">
        <v>1.01654</v>
      </c>
      <c r="AL232">
        <f t="shared" si="42"/>
        <v>16.396666666666665</v>
      </c>
      <c r="AM232">
        <f t="shared" si="43"/>
        <v>16.690330966666668</v>
      </c>
      <c r="AP232" s="9"/>
      <c r="AQ232" s="21">
        <v>0.62210100000000002</v>
      </c>
      <c r="AR232" s="21">
        <v>26.016500000000001</v>
      </c>
      <c r="AS232" s="21">
        <v>-1.3681E-2</v>
      </c>
      <c r="AT232" s="21">
        <v>222</v>
      </c>
      <c r="AU232" s="21">
        <v>0.62152099999999999</v>
      </c>
      <c r="AV232">
        <f t="shared" si="44"/>
        <v>16.890123456790121</v>
      </c>
      <c r="AW232">
        <f t="shared" si="45"/>
        <v>10.507362692592592</v>
      </c>
      <c r="AX232" s="9"/>
      <c r="AY232" s="21">
        <v>1.0179100000000001</v>
      </c>
      <c r="AZ232" s="21">
        <v>29.7149</v>
      </c>
      <c r="BA232" s="21">
        <v>-1.3296499999999999E-2</v>
      </c>
      <c r="BB232" s="21">
        <v>222</v>
      </c>
      <c r="BC232" s="21">
        <v>1.01715</v>
      </c>
      <c r="BD232">
        <f t="shared" si="46"/>
        <v>16.415432098765429</v>
      </c>
      <c r="BE232">
        <f t="shared" si="47"/>
        <v>16.709432487654318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0.61706499999999997</v>
      </c>
      <c r="H233" s="21">
        <v>7.8351600000000001</v>
      </c>
      <c r="I233" s="21">
        <v>-1.37573E-2</v>
      </c>
      <c r="J233" s="21">
        <v>223</v>
      </c>
      <c r="K233" s="21">
        <v>0.61636400000000002</v>
      </c>
      <c r="L233">
        <f t="shared" si="36"/>
        <v>16.984320987654321</v>
      </c>
      <c r="M233">
        <f t="shared" si="37"/>
        <v>10.480430030246913</v>
      </c>
      <c r="N233" s="9"/>
      <c r="O233" s="21">
        <v>1.02295</v>
      </c>
      <c r="P233" s="21">
        <v>11.5335</v>
      </c>
      <c r="Q233" s="21">
        <v>-1.33636E-2</v>
      </c>
      <c r="R233" s="21">
        <v>223</v>
      </c>
      <c r="S233" s="21">
        <v>1.02203</v>
      </c>
      <c r="T233">
        <f t="shared" si="38"/>
        <v>16.498271604938271</v>
      </c>
      <c r="U233">
        <f t="shared" si="39"/>
        <v>16.876906938271606</v>
      </c>
      <c r="X233" s="9"/>
      <c r="Y233" s="21">
        <v>0.61706499999999997</v>
      </c>
      <c r="Z233" s="21">
        <v>16.894400000000001</v>
      </c>
      <c r="AA233" s="21">
        <v>-1.37573E-2</v>
      </c>
      <c r="AB233" s="21">
        <v>223</v>
      </c>
      <c r="AC233" s="21">
        <v>0.61645499999999998</v>
      </c>
      <c r="AD233">
        <f t="shared" si="40"/>
        <v>16.984320987654321</v>
      </c>
      <c r="AE233">
        <f t="shared" si="41"/>
        <v>10.480430030246913</v>
      </c>
      <c r="AF233" s="9"/>
      <c r="AG233" s="21">
        <v>1.02295</v>
      </c>
      <c r="AH233" s="21">
        <v>20.592700000000001</v>
      </c>
      <c r="AI233" s="21">
        <v>-1.3266E-2</v>
      </c>
      <c r="AJ233" s="21">
        <v>223</v>
      </c>
      <c r="AK233" s="21">
        <v>1.02173</v>
      </c>
      <c r="AL233">
        <f t="shared" si="42"/>
        <v>16.377777777777776</v>
      </c>
      <c r="AM233">
        <f t="shared" si="43"/>
        <v>16.753647777777775</v>
      </c>
      <c r="AP233" s="9"/>
      <c r="AQ233" s="21">
        <v>0.61706499999999997</v>
      </c>
      <c r="AR233" s="21">
        <v>26.026599999999998</v>
      </c>
      <c r="AS233" s="21">
        <v>-1.3684099999999999E-2</v>
      </c>
      <c r="AT233" s="21">
        <v>223</v>
      </c>
      <c r="AU233" s="21">
        <v>0.616425</v>
      </c>
      <c r="AV233">
        <f t="shared" si="44"/>
        <v>16.893950617283949</v>
      </c>
      <c r="AW233">
        <f t="shared" si="45"/>
        <v>10.42466563765432</v>
      </c>
      <c r="AX233" s="9"/>
      <c r="AY233" s="21">
        <v>1.02295</v>
      </c>
      <c r="AZ233" s="21">
        <v>29.724900000000002</v>
      </c>
      <c r="BA233" s="21">
        <v>-1.3290400000000001E-2</v>
      </c>
      <c r="BB233" s="21">
        <v>223</v>
      </c>
      <c r="BC233" s="21">
        <v>1.02234</v>
      </c>
      <c r="BD233">
        <f t="shared" si="46"/>
        <v>16.407901234567902</v>
      </c>
      <c r="BE233">
        <f t="shared" si="47"/>
        <v>16.784462567901237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0.61202999999999996</v>
      </c>
      <c r="H234" s="21">
        <v>7.8452299999999999</v>
      </c>
      <c r="I234" s="21">
        <v>-1.3766499999999999E-2</v>
      </c>
      <c r="J234" s="21">
        <v>224</v>
      </c>
      <c r="K234" s="21">
        <v>0.61132799999999998</v>
      </c>
      <c r="L234">
        <f t="shared" si="36"/>
        <v>16.995679012345676</v>
      </c>
      <c r="M234">
        <f t="shared" si="37"/>
        <v>10.401865425925923</v>
      </c>
      <c r="N234" s="9"/>
      <c r="O234" s="21">
        <v>1.0279799999999999</v>
      </c>
      <c r="P234" s="21">
        <v>11.5436</v>
      </c>
      <c r="Q234" s="21">
        <v>-1.33545E-2</v>
      </c>
      <c r="R234" s="21">
        <v>224</v>
      </c>
      <c r="S234" s="21">
        <v>1.0269200000000001</v>
      </c>
      <c r="T234">
        <f t="shared" si="38"/>
        <v>16.487037037037037</v>
      </c>
      <c r="U234">
        <f t="shared" si="39"/>
        <v>16.948344333333331</v>
      </c>
      <c r="X234" s="9"/>
      <c r="Y234" s="21">
        <v>0.61202999999999996</v>
      </c>
      <c r="Z234" s="21">
        <v>16.904399999999999</v>
      </c>
      <c r="AA234" s="21">
        <v>-1.3760400000000001E-2</v>
      </c>
      <c r="AB234" s="21">
        <v>224</v>
      </c>
      <c r="AC234" s="21">
        <v>0.61129800000000001</v>
      </c>
      <c r="AD234">
        <f t="shared" si="40"/>
        <v>16.988148148148149</v>
      </c>
      <c r="AE234">
        <f t="shared" si="41"/>
        <v>10.397256311111111</v>
      </c>
      <c r="AF234" s="9"/>
      <c r="AG234" s="21">
        <v>1.0279799999999999</v>
      </c>
      <c r="AH234" s="21">
        <v>20.602799999999998</v>
      </c>
      <c r="AI234" s="21">
        <v>-1.3256799999999999E-2</v>
      </c>
      <c r="AJ234" s="21">
        <v>224</v>
      </c>
      <c r="AK234" s="21">
        <v>1.0269200000000001</v>
      </c>
      <c r="AL234">
        <f t="shared" si="42"/>
        <v>16.366419753086415</v>
      </c>
      <c r="AM234">
        <f t="shared" si="43"/>
        <v>16.824352177777772</v>
      </c>
      <c r="AP234" s="9"/>
      <c r="AQ234" s="21">
        <v>0.61202999999999996</v>
      </c>
      <c r="AR234" s="21">
        <v>26.0367</v>
      </c>
      <c r="AS234" s="21">
        <v>-1.36963E-2</v>
      </c>
      <c r="AT234" s="21">
        <v>224</v>
      </c>
      <c r="AU234" s="21">
        <v>0.61151100000000003</v>
      </c>
      <c r="AV234">
        <f t="shared" si="44"/>
        <v>16.90901234567901</v>
      </c>
      <c r="AW234">
        <f t="shared" si="45"/>
        <v>10.348822825925923</v>
      </c>
      <c r="AX234" s="9"/>
      <c r="AY234" s="21">
        <v>1.0279799999999999</v>
      </c>
      <c r="AZ234" s="21">
        <v>29.734999999999999</v>
      </c>
      <c r="BA234" s="21">
        <v>-1.32751E-2</v>
      </c>
      <c r="BB234" s="21">
        <v>224</v>
      </c>
      <c r="BC234" s="21">
        <v>1.02722</v>
      </c>
      <c r="BD234">
        <f t="shared" si="46"/>
        <v>16.38901234567901</v>
      </c>
      <c r="BE234">
        <f t="shared" si="47"/>
        <v>16.847576911111108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0.60699499999999995</v>
      </c>
      <c r="H235" s="21">
        <v>7.8552999999999997</v>
      </c>
      <c r="I235" s="21">
        <v>-1.3772599999999999E-2</v>
      </c>
      <c r="J235" s="21">
        <v>225</v>
      </c>
      <c r="K235" s="21">
        <v>0.60641500000000004</v>
      </c>
      <c r="L235">
        <f t="shared" si="36"/>
        <v>17.00320987654321</v>
      </c>
      <c r="M235">
        <f t="shared" si="37"/>
        <v>10.320863379012344</v>
      </c>
      <c r="N235" s="9"/>
      <c r="O235" s="21">
        <v>1.03302</v>
      </c>
      <c r="P235" s="21">
        <v>11.553599999999999</v>
      </c>
      <c r="Q235" s="21">
        <v>-1.3336199999999999E-2</v>
      </c>
      <c r="R235" s="21">
        <v>225</v>
      </c>
      <c r="S235" s="21">
        <v>1.03241</v>
      </c>
      <c r="T235">
        <f t="shared" si="38"/>
        <v>16.464444444444442</v>
      </c>
      <c r="U235">
        <f t="shared" si="39"/>
        <v>17.0081004</v>
      </c>
      <c r="X235" s="9"/>
      <c r="Y235" s="21">
        <v>0.60699499999999995</v>
      </c>
      <c r="Z235" s="21">
        <v>16.9145</v>
      </c>
      <c r="AA235" s="21">
        <v>-1.37634E-2</v>
      </c>
      <c r="AB235" s="21">
        <v>225</v>
      </c>
      <c r="AC235" s="21">
        <v>0.60629299999999997</v>
      </c>
      <c r="AD235">
        <f t="shared" si="40"/>
        <v>16.991851851851852</v>
      </c>
      <c r="AE235">
        <f t="shared" si="41"/>
        <v>10.313969114814814</v>
      </c>
      <c r="AF235" s="9"/>
      <c r="AG235" s="21">
        <v>1.03302</v>
      </c>
      <c r="AH235" s="21">
        <v>20.6129</v>
      </c>
      <c r="AI235" s="21">
        <v>-1.3250700000000001E-2</v>
      </c>
      <c r="AJ235" s="21">
        <v>225</v>
      </c>
      <c r="AK235" s="21">
        <v>1.03241</v>
      </c>
      <c r="AL235">
        <f t="shared" si="42"/>
        <v>16.358888888888888</v>
      </c>
      <c r="AM235">
        <f t="shared" si="43"/>
        <v>16.899059399999999</v>
      </c>
      <c r="AP235" s="9"/>
      <c r="AQ235" s="21">
        <v>0.60699499999999995</v>
      </c>
      <c r="AR235" s="21">
        <v>26.046700000000001</v>
      </c>
      <c r="AS235" s="21">
        <v>-1.36963E-2</v>
      </c>
      <c r="AT235" s="21">
        <v>225</v>
      </c>
      <c r="AU235" s="21">
        <v>0.60638400000000003</v>
      </c>
      <c r="AV235">
        <f t="shared" si="44"/>
        <v>16.90901234567901</v>
      </c>
      <c r="AW235">
        <f t="shared" si="45"/>
        <v>10.26368594876543</v>
      </c>
      <c r="AX235" s="9"/>
      <c r="AY235" s="21">
        <v>1.03302</v>
      </c>
      <c r="AZ235" s="21">
        <v>29.745100000000001</v>
      </c>
      <c r="BA235" s="21">
        <v>-1.32538E-2</v>
      </c>
      <c r="BB235" s="21">
        <v>225</v>
      </c>
      <c r="BC235" s="21">
        <v>1.0318000000000001</v>
      </c>
      <c r="BD235">
        <f t="shared" si="46"/>
        <v>16.362716049382716</v>
      </c>
      <c r="BE235">
        <f t="shared" si="47"/>
        <v>16.903012933333333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0.60195900000000002</v>
      </c>
      <c r="H236" s="21">
        <v>7.86538</v>
      </c>
      <c r="I236" s="21">
        <v>-1.3781699999999999E-2</v>
      </c>
      <c r="J236" s="21">
        <v>226</v>
      </c>
      <c r="K236" s="21">
        <v>0.60128800000000004</v>
      </c>
      <c r="L236">
        <f t="shared" si="36"/>
        <v>17.014444444444443</v>
      </c>
      <c r="M236">
        <f t="shared" si="37"/>
        <v>10.241997963333333</v>
      </c>
      <c r="N236" s="9"/>
      <c r="O236" s="21">
        <v>1.03806</v>
      </c>
      <c r="P236" s="21">
        <v>11.563700000000001</v>
      </c>
      <c r="Q236" s="21">
        <v>-1.3324000000000001E-2</v>
      </c>
      <c r="R236" s="21">
        <v>226</v>
      </c>
      <c r="S236" s="21">
        <v>1.0369900000000001</v>
      </c>
      <c r="T236">
        <f t="shared" si="38"/>
        <v>16.449382716049382</v>
      </c>
      <c r="U236">
        <f t="shared" si="39"/>
        <v>17.075446222222222</v>
      </c>
      <c r="X236" s="9"/>
      <c r="Y236" s="21">
        <v>0.60195900000000002</v>
      </c>
      <c r="Z236" s="21">
        <v>16.924600000000002</v>
      </c>
      <c r="AA236" s="21">
        <v>-1.37451E-2</v>
      </c>
      <c r="AB236" s="21">
        <v>226</v>
      </c>
      <c r="AC236" s="21">
        <v>0.60134900000000002</v>
      </c>
      <c r="AD236">
        <f t="shared" si="40"/>
        <v>16.969259259259257</v>
      </c>
      <c r="AE236">
        <f t="shared" si="41"/>
        <v>10.214798334444444</v>
      </c>
      <c r="AF236" s="9"/>
      <c r="AG236" s="21">
        <v>1.03806</v>
      </c>
      <c r="AH236" s="21">
        <v>20.623000000000001</v>
      </c>
      <c r="AI236" s="21">
        <v>-1.3250700000000001E-2</v>
      </c>
      <c r="AJ236" s="21">
        <v>226</v>
      </c>
      <c r="AK236" s="21">
        <v>1.03668</v>
      </c>
      <c r="AL236">
        <f t="shared" si="42"/>
        <v>16.358888888888888</v>
      </c>
      <c r="AM236">
        <f t="shared" si="43"/>
        <v>16.9815082</v>
      </c>
      <c r="AP236" s="9"/>
      <c r="AQ236" s="21">
        <v>0.60195900000000002</v>
      </c>
      <c r="AR236" s="21">
        <v>26.056799999999999</v>
      </c>
      <c r="AS236" s="21">
        <v>-1.37085E-2</v>
      </c>
      <c r="AT236" s="21">
        <v>226</v>
      </c>
      <c r="AU236" s="21">
        <v>0.60128800000000004</v>
      </c>
      <c r="AV236">
        <f t="shared" si="44"/>
        <v>16.924074074074074</v>
      </c>
      <c r="AW236">
        <f t="shared" si="45"/>
        <v>10.187598705555557</v>
      </c>
      <c r="AX236" s="9"/>
      <c r="AY236" s="21">
        <v>1.03806</v>
      </c>
      <c r="AZ236" s="21">
        <v>29.755099999999999</v>
      </c>
      <c r="BA236" s="21">
        <v>-1.3241599999999999E-2</v>
      </c>
      <c r="BB236" s="21">
        <v>226</v>
      </c>
      <c r="BC236" s="21">
        <v>1.03729</v>
      </c>
      <c r="BD236">
        <f t="shared" si="46"/>
        <v>16.347654320987651</v>
      </c>
      <c r="BE236">
        <f t="shared" si="47"/>
        <v>16.969846044444441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0.59692400000000001</v>
      </c>
      <c r="H237" s="21">
        <v>7.8754499999999998</v>
      </c>
      <c r="I237" s="21">
        <v>-1.37939E-2</v>
      </c>
      <c r="J237" s="21">
        <v>227</v>
      </c>
      <c r="K237" s="21">
        <v>0.59622200000000003</v>
      </c>
      <c r="L237">
        <f t="shared" si="36"/>
        <v>17.029506172839504</v>
      </c>
      <c r="M237">
        <f t="shared" si="37"/>
        <v>10.165320942716049</v>
      </c>
      <c r="N237" s="9"/>
      <c r="O237" s="21">
        <v>1.0430900000000001</v>
      </c>
      <c r="P237" s="21">
        <v>11.5738</v>
      </c>
      <c r="Q237" s="21">
        <v>-1.3317900000000001E-2</v>
      </c>
      <c r="R237" s="21">
        <v>227</v>
      </c>
      <c r="S237" s="21">
        <v>1.0424800000000001</v>
      </c>
      <c r="T237">
        <f t="shared" si="38"/>
        <v>16.441851851851851</v>
      </c>
      <c r="U237">
        <f t="shared" si="39"/>
        <v>17.150331248148149</v>
      </c>
      <c r="X237" s="9"/>
      <c r="Y237" s="21">
        <v>0.59692400000000001</v>
      </c>
      <c r="Z237" s="21">
        <v>16.934699999999999</v>
      </c>
      <c r="AA237" s="21">
        <v>-1.37299E-2</v>
      </c>
      <c r="AB237" s="21">
        <v>227</v>
      </c>
      <c r="AC237" s="21">
        <v>0.59622200000000003</v>
      </c>
      <c r="AD237">
        <f t="shared" si="40"/>
        <v>16.950493827160493</v>
      </c>
      <c r="AE237">
        <f t="shared" si="41"/>
        <v>10.118156577283949</v>
      </c>
      <c r="AF237" s="9"/>
      <c r="AG237" s="21">
        <v>1.0430900000000001</v>
      </c>
      <c r="AH237" s="21">
        <v>20.632999999999999</v>
      </c>
      <c r="AI237" s="21">
        <v>-1.32385E-2</v>
      </c>
      <c r="AJ237" s="21">
        <v>227</v>
      </c>
      <c r="AK237" s="21">
        <v>1.0418700000000001</v>
      </c>
      <c r="AL237">
        <f t="shared" si="42"/>
        <v>16.343827160493824</v>
      </c>
      <c r="AM237">
        <f t="shared" si="43"/>
        <v>17.048082672839502</v>
      </c>
      <c r="AP237" s="9"/>
      <c r="AQ237" s="21">
        <v>0.59692400000000001</v>
      </c>
      <c r="AR237" s="21">
        <v>26.0669</v>
      </c>
      <c r="AS237" s="21">
        <v>-1.37115E-2</v>
      </c>
      <c r="AT237" s="21">
        <v>227</v>
      </c>
      <c r="AU237" s="21">
        <v>0.59628300000000001</v>
      </c>
      <c r="AV237">
        <f t="shared" si="44"/>
        <v>16.927777777777777</v>
      </c>
      <c r="AW237">
        <f t="shared" si="45"/>
        <v>10.104596822222222</v>
      </c>
      <c r="AX237" s="9"/>
      <c r="AY237" s="21">
        <v>1.0430900000000001</v>
      </c>
      <c r="AZ237" s="21">
        <v>29.7652</v>
      </c>
      <c r="BA237" s="21">
        <v>-1.32324E-2</v>
      </c>
      <c r="BB237" s="21">
        <v>227</v>
      </c>
      <c r="BC237" s="21">
        <v>1.0418700000000001</v>
      </c>
      <c r="BD237">
        <f t="shared" si="46"/>
        <v>16.336296296296297</v>
      </c>
      <c r="BE237">
        <f t="shared" si="47"/>
        <v>17.040227303703706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0.59188799999999997</v>
      </c>
      <c r="H238" s="21">
        <v>7.8855199999999996</v>
      </c>
      <c r="I238" s="21">
        <v>-1.37909E-2</v>
      </c>
      <c r="J238" s="21">
        <v>228</v>
      </c>
      <c r="K238" s="21">
        <v>0.59118700000000002</v>
      </c>
      <c r="L238">
        <f t="shared" si="36"/>
        <v>17.025802469135801</v>
      </c>
      <c r="M238">
        <f t="shared" si="37"/>
        <v>10.07736817185185</v>
      </c>
      <c r="N238" s="9"/>
      <c r="O238" s="21">
        <v>1.04813</v>
      </c>
      <c r="P238" s="21">
        <v>11.5839</v>
      </c>
      <c r="Q238" s="21">
        <v>-1.33148E-2</v>
      </c>
      <c r="R238" s="21">
        <v>228</v>
      </c>
      <c r="S238" s="21">
        <v>1.0473600000000001</v>
      </c>
      <c r="T238">
        <f t="shared" si="38"/>
        <v>16.438024691358024</v>
      </c>
      <c r="U238">
        <f t="shared" si="39"/>
        <v>17.229186819753085</v>
      </c>
      <c r="X238" s="9"/>
      <c r="Y238" s="21">
        <v>0.59188799999999997</v>
      </c>
      <c r="Z238" s="21">
        <v>16.944700000000001</v>
      </c>
      <c r="AA238" s="21">
        <v>-1.37299E-2</v>
      </c>
      <c r="AB238" s="21">
        <v>228</v>
      </c>
      <c r="AC238" s="21">
        <v>0.591248</v>
      </c>
      <c r="AD238">
        <f t="shared" si="40"/>
        <v>16.950493827160493</v>
      </c>
      <c r="AE238">
        <f t="shared" si="41"/>
        <v>10.032793890370369</v>
      </c>
      <c r="AF238" s="9"/>
      <c r="AG238" s="21">
        <v>1.04813</v>
      </c>
      <c r="AH238" s="21">
        <v>20.6431</v>
      </c>
      <c r="AI238" s="21">
        <v>-1.3229400000000001E-2</v>
      </c>
      <c r="AJ238" s="21">
        <v>228</v>
      </c>
      <c r="AK238" s="21">
        <v>1.0470600000000001</v>
      </c>
      <c r="AL238">
        <f t="shared" si="42"/>
        <v>16.332592592592594</v>
      </c>
      <c r="AM238">
        <f t="shared" si="43"/>
        <v>17.118680274074077</v>
      </c>
      <c r="AP238" s="9"/>
      <c r="AQ238" s="21">
        <v>0.59188799999999997</v>
      </c>
      <c r="AR238" s="21">
        <v>26.077000000000002</v>
      </c>
      <c r="AS238" s="21">
        <v>-1.3717699999999999E-2</v>
      </c>
      <c r="AT238" s="21">
        <v>228</v>
      </c>
      <c r="AU238" s="21">
        <v>0.59118700000000002</v>
      </c>
      <c r="AV238">
        <f t="shared" si="44"/>
        <v>16.935432098765432</v>
      </c>
      <c r="AW238">
        <f t="shared" si="45"/>
        <v>10.023879034074074</v>
      </c>
      <c r="AX238" s="9"/>
      <c r="AY238" s="21">
        <v>1.04813</v>
      </c>
      <c r="AZ238" s="21">
        <v>29.775300000000001</v>
      </c>
      <c r="BA238" s="21">
        <v>-1.3214099999999999E-2</v>
      </c>
      <c r="BB238" s="21">
        <v>228</v>
      </c>
      <c r="BC238" s="21">
        <v>1.0473600000000001</v>
      </c>
      <c r="BD238">
        <f t="shared" si="46"/>
        <v>16.313703703703702</v>
      </c>
      <c r="BE238">
        <f t="shared" si="47"/>
        <v>17.09888226296296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0.58685299999999996</v>
      </c>
      <c r="H239" s="21">
        <v>7.8955900000000003</v>
      </c>
      <c r="I239" s="21">
        <v>-1.38031E-2</v>
      </c>
      <c r="J239" s="21">
        <v>229</v>
      </c>
      <c r="K239" s="21">
        <v>0.586121</v>
      </c>
      <c r="L239">
        <f t="shared" si="36"/>
        <v>17.040864197530862</v>
      </c>
      <c r="M239">
        <f t="shared" si="37"/>
        <v>10.000482276913578</v>
      </c>
      <c r="N239" s="9"/>
      <c r="O239" s="21">
        <v>1.0531600000000001</v>
      </c>
      <c r="P239" s="21">
        <v>11.5939</v>
      </c>
      <c r="Q239" s="21">
        <v>-1.3302599999999999E-2</v>
      </c>
      <c r="R239" s="21">
        <v>229</v>
      </c>
      <c r="S239" s="21">
        <v>1.0525500000000001</v>
      </c>
      <c r="T239">
        <f t="shared" si="38"/>
        <v>16.422962962962963</v>
      </c>
      <c r="U239">
        <f t="shared" si="39"/>
        <v>17.296007674074076</v>
      </c>
      <c r="X239" s="9"/>
      <c r="Y239" s="21">
        <v>0.58685299999999996</v>
      </c>
      <c r="Z239" s="21">
        <v>16.954799999999999</v>
      </c>
      <c r="AA239" s="21">
        <v>-1.3732899999999999E-2</v>
      </c>
      <c r="AB239" s="21">
        <v>229</v>
      </c>
      <c r="AC239" s="21">
        <v>0.586121</v>
      </c>
      <c r="AD239">
        <f t="shared" si="40"/>
        <v>16.954197530864196</v>
      </c>
      <c r="AE239">
        <f t="shared" si="41"/>
        <v>9.9496216835802453</v>
      </c>
      <c r="AF239" s="9"/>
      <c r="AG239" s="21">
        <v>1.0531600000000001</v>
      </c>
      <c r="AH239" s="21">
        <v>20.653199999999998</v>
      </c>
      <c r="AI239" s="21">
        <v>-1.32263E-2</v>
      </c>
      <c r="AJ239" s="21">
        <v>229</v>
      </c>
      <c r="AK239" s="21">
        <v>1.0516399999999999</v>
      </c>
      <c r="AL239">
        <f t="shared" si="42"/>
        <v>16.328765432098766</v>
      </c>
      <c r="AM239">
        <f t="shared" si="43"/>
        <v>17.196802602469138</v>
      </c>
      <c r="AP239" s="9"/>
      <c r="AQ239" s="21">
        <v>0.58685299999999996</v>
      </c>
      <c r="AR239" s="21">
        <v>26.087</v>
      </c>
      <c r="AS239" s="21">
        <v>-1.3738999999999999E-2</v>
      </c>
      <c r="AT239" s="21">
        <v>229</v>
      </c>
      <c r="AU239" s="21">
        <v>0.58621199999999996</v>
      </c>
      <c r="AV239">
        <f t="shared" si="44"/>
        <v>16.961728395061726</v>
      </c>
      <c r="AW239">
        <f t="shared" si="45"/>
        <v>9.9540411938271589</v>
      </c>
      <c r="AX239" s="9"/>
      <c r="AY239" s="21">
        <v>1.0531600000000001</v>
      </c>
      <c r="AZ239" s="21">
        <v>29.785399999999999</v>
      </c>
      <c r="BA239" s="21">
        <v>-1.31927E-2</v>
      </c>
      <c r="BB239" s="21">
        <v>229</v>
      </c>
      <c r="BC239" s="21">
        <v>1.0516399999999999</v>
      </c>
      <c r="BD239">
        <f t="shared" si="46"/>
        <v>16.287283950617283</v>
      </c>
      <c r="BE239">
        <f t="shared" si="47"/>
        <v>17.1531159654321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0.58181799999999995</v>
      </c>
      <c r="H240" s="21">
        <v>7.9056600000000001</v>
      </c>
      <c r="I240" s="21">
        <v>-1.3809200000000001E-2</v>
      </c>
      <c r="J240" s="21">
        <v>230</v>
      </c>
      <c r="K240" s="21">
        <v>0.58117700000000005</v>
      </c>
      <c r="L240">
        <f t="shared" si="36"/>
        <v>17.048395061728392</v>
      </c>
      <c r="M240">
        <f t="shared" si="37"/>
        <v>9.9190631180246882</v>
      </c>
      <c r="N240" s="9"/>
      <c r="O240" s="21">
        <v>1.0582</v>
      </c>
      <c r="P240" s="21">
        <v>11.603999999999999</v>
      </c>
      <c r="Q240" s="21">
        <v>-1.3296499999999999E-2</v>
      </c>
      <c r="R240" s="21">
        <v>230</v>
      </c>
      <c r="S240" s="21">
        <v>1.0574300000000001</v>
      </c>
      <c r="T240">
        <f t="shared" si="38"/>
        <v>16.415432098765429</v>
      </c>
      <c r="U240">
        <f t="shared" si="39"/>
        <v>17.370810246913578</v>
      </c>
      <c r="X240" s="9"/>
      <c r="Y240" s="21">
        <v>0.58181799999999995</v>
      </c>
      <c r="Z240" s="21">
        <v>16.9649</v>
      </c>
      <c r="AA240" s="21">
        <v>-1.3738999999999999E-2</v>
      </c>
      <c r="AB240" s="21">
        <v>230</v>
      </c>
      <c r="AC240" s="21">
        <v>0.58117700000000005</v>
      </c>
      <c r="AD240">
        <f t="shared" si="40"/>
        <v>16.961728395061726</v>
      </c>
      <c r="AE240">
        <f t="shared" si="41"/>
        <v>9.8686388913580227</v>
      </c>
      <c r="AF240" s="9"/>
      <c r="AG240" s="21">
        <v>1.0582</v>
      </c>
      <c r="AH240" s="21">
        <v>20.6632</v>
      </c>
      <c r="AI240" s="21">
        <v>-1.32172E-2</v>
      </c>
      <c r="AJ240" s="21">
        <v>230</v>
      </c>
      <c r="AK240" s="21">
        <v>1.0571299999999999</v>
      </c>
      <c r="AL240">
        <f t="shared" si="42"/>
        <v>16.317530864197529</v>
      </c>
      <c r="AM240">
        <f t="shared" si="43"/>
        <v>17.267211160493826</v>
      </c>
      <c r="AP240" s="9"/>
      <c r="AQ240" s="21">
        <v>0.58181799999999995</v>
      </c>
      <c r="AR240" s="21">
        <v>26.097100000000001</v>
      </c>
      <c r="AS240" s="21">
        <v>-1.37512E-2</v>
      </c>
      <c r="AT240" s="21">
        <v>230</v>
      </c>
      <c r="AU240" s="21">
        <v>0.58135999999999999</v>
      </c>
      <c r="AV240">
        <f t="shared" si="44"/>
        <v>16.976790123456787</v>
      </c>
      <c r="AW240">
        <f t="shared" si="45"/>
        <v>9.8774020760493801</v>
      </c>
      <c r="AX240" s="9"/>
      <c r="AY240" s="21">
        <v>1.0582</v>
      </c>
      <c r="AZ240" s="21">
        <v>29.795400000000001</v>
      </c>
      <c r="BA240" s="21">
        <v>-1.3174399999999999E-2</v>
      </c>
      <c r="BB240" s="21">
        <v>230</v>
      </c>
      <c r="BC240" s="21">
        <v>1.0574300000000001</v>
      </c>
      <c r="BD240">
        <f t="shared" si="46"/>
        <v>16.264691358024692</v>
      </c>
      <c r="BE240">
        <f t="shared" si="47"/>
        <v>17.21129639506173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0.57678200000000002</v>
      </c>
      <c r="H241" s="21">
        <v>7.9157299999999999</v>
      </c>
      <c r="I241" s="21">
        <v>-1.38031E-2</v>
      </c>
      <c r="J241" s="21">
        <v>231</v>
      </c>
      <c r="K241" s="21">
        <v>0.576233</v>
      </c>
      <c r="L241">
        <f t="shared" si="36"/>
        <v>17.040864197530862</v>
      </c>
      <c r="M241">
        <f t="shared" si="37"/>
        <v>9.8288637335802456</v>
      </c>
      <c r="N241" s="9"/>
      <c r="O241" s="21">
        <v>1.0632299999999999</v>
      </c>
      <c r="P241" s="21">
        <v>11.614100000000001</v>
      </c>
      <c r="Q241" s="21">
        <v>-1.32874E-2</v>
      </c>
      <c r="R241" s="21">
        <v>231</v>
      </c>
      <c r="S241" s="21">
        <v>1.0620099999999999</v>
      </c>
      <c r="T241">
        <f t="shared" si="38"/>
        <v>16.404197530864195</v>
      </c>
      <c r="U241">
        <f t="shared" si="39"/>
        <v>17.441434940740738</v>
      </c>
      <c r="X241" s="9"/>
      <c r="Y241" s="21">
        <v>0.57678200000000002</v>
      </c>
      <c r="Z241" s="21">
        <v>16.974900000000002</v>
      </c>
      <c r="AA241" s="21">
        <v>-1.37421E-2</v>
      </c>
      <c r="AB241" s="21">
        <v>231</v>
      </c>
      <c r="AC241" s="21">
        <v>0.57611100000000004</v>
      </c>
      <c r="AD241">
        <f t="shared" si="40"/>
        <v>16.965555555555554</v>
      </c>
      <c r="AE241">
        <f t="shared" si="41"/>
        <v>9.785427064444443</v>
      </c>
      <c r="AF241" s="9"/>
      <c r="AG241" s="21">
        <v>1.0632299999999999</v>
      </c>
      <c r="AH241" s="21">
        <v>20.673300000000001</v>
      </c>
      <c r="AI241" s="21">
        <v>-1.32111E-2</v>
      </c>
      <c r="AJ241" s="21">
        <v>231</v>
      </c>
      <c r="AK241" s="21">
        <v>1.0626199999999999</v>
      </c>
      <c r="AL241">
        <f t="shared" si="42"/>
        <v>16.309999999999999</v>
      </c>
      <c r="AM241">
        <f t="shared" si="43"/>
        <v>17.341281299999999</v>
      </c>
      <c r="AP241" s="9"/>
      <c r="AQ241" s="21">
        <v>0.57678200000000002</v>
      </c>
      <c r="AR241" s="21">
        <v>26.107199999999999</v>
      </c>
      <c r="AS241" s="21">
        <v>-1.3766499999999999E-2</v>
      </c>
      <c r="AT241" s="21">
        <v>231</v>
      </c>
      <c r="AU241" s="21">
        <v>0.57611100000000004</v>
      </c>
      <c r="AV241">
        <f t="shared" si="44"/>
        <v>16.995679012345676</v>
      </c>
      <c r="AW241">
        <f t="shared" si="45"/>
        <v>9.8028017320987644</v>
      </c>
      <c r="AX241" s="9"/>
      <c r="AY241" s="21">
        <v>1.0632299999999999</v>
      </c>
      <c r="AZ241" s="21">
        <v>29.805499999999999</v>
      </c>
      <c r="BA241" s="21">
        <v>-1.3174399999999999E-2</v>
      </c>
      <c r="BB241" s="21">
        <v>231</v>
      </c>
      <c r="BC241" s="21">
        <v>1.0626199999999999</v>
      </c>
      <c r="BD241">
        <f t="shared" si="46"/>
        <v>16.264691358024692</v>
      </c>
      <c r="BE241">
        <f t="shared" si="47"/>
        <v>17.29310779259259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0.57174700000000001</v>
      </c>
      <c r="H242" s="21">
        <v>7.9257999999999997</v>
      </c>
      <c r="I242" s="21">
        <v>-1.38E-2</v>
      </c>
      <c r="J242" s="21">
        <v>232</v>
      </c>
      <c r="K242" s="21">
        <v>0.57104500000000002</v>
      </c>
      <c r="L242">
        <f t="shared" si="36"/>
        <v>17.037037037037035</v>
      </c>
      <c r="M242">
        <f t="shared" si="37"/>
        <v>9.7408748148148128</v>
      </c>
      <c r="N242" s="9"/>
      <c r="O242" s="21">
        <v>1.0682700000000001</v>
      </c>
      <c r="P242" s="21">
        <v>11.6241</v>
      </c>
      <c r="Q242" s="21">
        <v>-1.3269E-2</v>
      </c>
      <c r="R242" s="21">
        <v>232</v>
      </c>
      <c r="S242" s="21">
        <v>1.0671999999999999</v>
      </c>
      <c r="T242">
        <f t="shared" si="38"/>
        <v>16.38148148148148</v>
      </c>
      <c r="U242">
        <f t="shared" si="39"/>
        <v>17.49984522222222</v>
      </c>
      <c r="X242" s="9"/>
      <c r="Y242" s="21">
        <v>0.57174700000000001</v>
      </c>
      <c r="Z242" s="21">
        <v>16.984999999999999</v>
      </c>
      <c r="AA242" s="21">
        <v>-1.37482E-2</v>
      </c>
      <c r="AB242" s="21">
        <v>232</v>
      </c>
      <c r="AC242" s="21">
        <v>0.57095300000000004</v>
      </c>
      <c r="AD242">
        <f t="shared" si="40"/>
        <v>16.973086419753084</v>
      </c>
      <c r="AE242">
        <f t="shared" si="41"/>
        <v>9.7043112412345671</v>
      </c>
      <c r="AF242" s="9"/>
      <c r="AG242" s="21">
        <v>1.0682700000000001</v>
      </c>
      <c r="AH242" s="21">
        <v>20.683399999999999</v>
      </c>
      <c r="AI242" s="21">
        <v>-1.3207999999999999E-2</v>
      </c>
      <c r="AJ242" s="21">
        <v>232</v>
      </c>
      <c r="AK242" s="21">
        <v>1.0668899999999999</v>
      </c>
      <c r="AL242">
        <f t="shared" si="42"/>
        <v>16.306172839506171</v>
      </c>
      <c r="AM242">
        <f t="shared" si="43"/>
        <v>17.419395259259257</v>
      </c>
      <c r="AP242" s="9"/>
      <c r="AQ242" s="21">
        <v>0.57174700000000001</v>
      </c>
      <c r="AR242" s="21">
        <v>26.1172</v>
      </c>
      <c r="AS242" s="21">
        <v>-1.3775600000000001E-2</v>
      </c>
      <c r="AT242" s="21">
        <v>232</v>
      </c>
      <c r="AU242" s="21">
        <v>0.571075</v>
      </c>
      <c r="AV242">
        <f t="shared" si="44"/>
        <v>17.006913580246916</v>
      </c>
      <c r="AW242">
        <f t="shared" si="45"/>
        <v>9.7236518187654344</v>
      </c>
      <c r="AX242" s="9"/>
      <c r="AY242" s="21">
        <v>1.0682700000000001</v>
      </c>
      <c r="AZ242" s="21">
        <v>29.8156</v>
      </c>
      <c r="BA242" s="21">
        <v>-1.31714E-2</v>
      </c>
      <c r="BB242" s="21">
        <v>232</v>
      </c>
      <c r="BC242" s="21">
        <v>1.0668899999999999</v>
      </c>
      <c r="BD242">
        <f t="shared" si="46"/>
        <v>16.260987654320989</v>
      </c>
      <c r="BE242">
        <f t="shared" si="47"/>
        <v>17.371125281481483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0.56671099999999996</v>
      </c>
      <c r="H243" s="21">
        <v>7.9358700000000004</v>
      </c>
      <c r="I243" s="21">
        <v>-1.37909E-2</v>
      </c>
      <c r="J243" s="21">
        <v>233</v>
      </c>
      <c r="K243" s="21">
        <v>0.56607099999999999</v>
      </c>
      <c r="L243">
        <f t="shared" si="36"/>
        <v>17.025802469135801</v>
      </c>
      <c r="M243">
        <f t="shared" si="37"/>
        <v>9.6487095430864187</v>
      </c>
      <c r="N243" s="9"/>
      <c r="O243" s="21">
        <v>1.0732999999999999</v>
      </c>
      <c r="P243" s="21">
        <v>11.6342</v>
      </c>
      <c r="Q243" s="21">
        <v>-1.32599E-2</v>
      </c>
      <c r="R243" s="21">
        <v>233</v>
      </c>
      <c r="S243" s="21">
        <v>1.0726899999999999</v>
      </c>
      <c r="T243">
        <f t="shared" si="38"/>
        <v>16.370246913580246</v>
      </c>
      <c r="U243">
        <f t="shared" si="39"/>
        <v>17.570186012345676</v>
      </c>
      <c r="X243" s="9"/>
      <c r="Y243" s="21">
        <v>0.56671099999999996</v>
      </c>
      <c r="Z243" s="21">
        <v>16.995100000000001</v>
      </c>
      <c r="AA243" s="21">
        <v>-1.3760400000000001E-2</v>
      </c>
      <c r="AB243" s="21">
        <v>233</v>
      </c>
      <c r="AC243" s="21">
        <v>0.56607099999999999</v>
      </c>
      <c r="AD243">
        <f t="shared" si="40"/>
        <v>16.988148148148149</v>
      </c>
      <c r="AE243">
        <f t="shared" si="41"/>
        <v>9.6273704251851857</v>
      </c>
      <c r="AF243" s="9"/>
      <c r="AG243" s="21">
        <v>1.0732999999999999</v>
      </c>
      <c r="AH243" s="21">
        <v>20.6935</v>
      </c>
      <c r="AI243" s="21">
        <v>-1.31989E-2</v>
      </c>
      <c r="AJ243" s="21">
        <v>233</v>
      </c>
      <c r="AK243" s="21">
        <v>1.073</v>
      </c>
      <c r="AL243">
        <f t="shared" si="42"/>
        <v>16.294938271604938</v>
      </c>
      <c r="AM243">
        <f t="shared" si="43"/>
        <v>17.489357246913578</v>
      </c>
      <c r="AP243" s="9"/>
      <c r="AQ243" s="21">
        <v>0.56671099999999996</v>
      </c>
      <c r="AR243" s="21">
        <v>26.127300000000002</v>
      </c>
      <c r="AS243" s="21">
        <v>-1.3775600000000001E-2</v>
      </c>
      <c r="AT243" s="21">
        <v>233</v>
      </c>
      <c r="AU243" s="21">
        <v>0.56603999999999999</v>
      </c>
      <c r="AV243">
        <f t="shared" si="44"/>
        <v>17.006913580246916</v>
      </c>
      <c r="AW243">
        <f t="shared" si="45"/>
        <v>9.6380050019753103</v>
      </c>
      <c r="AX243" s="9"/>
      <c r="AY243" s="21">
        <v>1.0732999999999999</v>
      </c>
      <c r="AZ243" s="21">
        <v>29.825600000000001</v>
      </c>
      <c r="BA243" s="21">
        <v>-1.31653E-2</v>
      </c>
      <c r="BB243" s="21">
        <v>233</v>
      </c>
      <c r="BC243" s="21">
        <v>1.073</v>
      </c>
      <c r="BD243">
        <f t="shared" si="46"/>
        <v>16.253456790123455</v>
      </c>
      <c r="BE243">
        <f t="shared" si="47"/>
        <v>17.444835172839504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0.56167599999999995</v>
      </c>
      <c r="H244" s="21">
        <v>7.9459400000000002</v>
      </c>
      <c r="I244" s="21">
        <v>-1.3797E-2</v>
      </c>
      <c r="J244" s="21">
        <v>234</v>
      </c>
      <c r="K244" s="21">
        <v>0.56106599999999995</v>
      </c>
      <c r="L244">
        <f t="shared" si="36"/>
        <v>17.033333333333331</v>
      </c>
      <c r="M244">
        <f t="shared" si="37"/>
        <v>9.5672145333333312</v>
      </c>
      <c r="N244" s="9"/>
      <c r="O244" s="21">
        <v>1.0783400000000001</v>
      </c>
      <c r="P244" s="21">
        <v>11.644299999999999</v>
      </c>
      <c r="Q244" s="21">
        <v>-1.3250700000000001E-2</v>
      </c>
      <c r="R244" s="21">
        <v>234</v>
      </c>
      <c r="S244" s="21">
        <v>1.07666</v>
      </c>
      <c r="T244">
        <f t="shared" si="38"/>
        <v>16.358888888888888</v>
      </c>
      <c r="U244">
        <f t="shared" si="39"/>
        <v>17.640444244444446</v>
      </c>
      <c r="X244" s="9"/>
      <c r="Y244" s="21">
        <v>0.56167599999999995</v>
      </c>
      <c r="Z244" s="21">
        <v>17.005199999999999</v>
      </c>
      <c r="AA244" s="21">
        <v>-1.37512E-2</v>
      </c>
      <c r="AB244" s="21">
        <v>234</v>
      </c>
      <c r="AC244" s="21">
        <v>0.56103499999999995</v>
      </c>
      <c r="AD244">
        <f t="shared" si="40"/>
        <v>16.976790123456787</v>
      </c>
      <c r="AE244">
        <f t="shared" si="41"/>
        <v>9.5354555693827141</v>
      </c>
      <c r="AF244" s="9"/>
      <c r="AG244" s="21">
        <v>1.0783400000000001</v>
      </c>
      <c r="AH244" s="21">
        <v>20.703499999999998</v>
      </c>
      <c r="AI244" s="21">
        <v>-1.31897E-2</v>
      </c>
      <c r="AJ244" s="21">
        <v>234</v>
      </c>
      <c r="AK244" s="21">
        <v>1.07697</v>
      </c>
      <c r="AL244">
        <f t="shared" si="42"/>
        <v>16.28358024691358</v>
      </c>
      <c r="AM244">
        <f t="shared" si="43"/>
        <v>17.559235923456789</v>
      </c>
      <c r="AP244" s="9"/>
      <c r="AQ244" s="21">
        <v>0.56167599999999995</v>
      </c>
      <c r="AR244" s="21">
        <v>26.1374</v>
      </c>
      <c r="AS244" s="21">
        <v>-1.3772599999999999E-2</v>
      </c>
      <c r="AT244" s="21">
        <v>234</v>
      </c>
      <c r="AU244" s="21">
        <v>0.56106599999999995</v>
      </c>
      <c r="AV244">
        <f t="shared" si="44"/>
        <v>17.00320987654321</v>
      </c>
      <c r="AW244">
        <f t="shared" si="45"/>
        <v>9.5502949106172839</v>
      </c>
      <c r="AX244" s="9"/>
      <c r="AY244" s="21">
        <v>1.0783400000000001</v>
      </c>
      <c r="AZ244" s="21">
        <v>29.835699999999999</v>
      </c>
      <c r="BA244" s="21">
        <v>-1.3147000000000001E-2</v>
      </c>
      <c r="BB244" s="21">
        <v>234</v>
      </c>
      <c r="BC244" s="21">
        <v>1.0778799999999999</v>
      </c>
      <c r="BD244">
        <f t="shared" si="46"/>
        <v>16.230864197530863</v>
      </c>
      <c r="BE244">
        <f t="shared" si="47"/>
        <v>17.502390098765432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0.55664100000000005</v>
      </c>
      <c r="H245" s="21">
        <v>7.95601</v>
      </c>
      <c r="I245" s="21">
        <v>-1.38184E-2</v>
      </c>
      <c r="J245" s="21">
        <v>235</v>
      </c>
      <c r="K245" s="21">
        <v>0.55596900000000005</v>
      </c>
      <c r="L245">
        <f t="shared" si="36"/>
        <v>17.05975308641975</v>
      </c>
      <c r="M245">
        <f t="shared" si="37"/>
        <v>9.4961580177777769</v>
      </c>
      <c r="N245" s="9"/>
      <c r="O245" s="21">
        <v>1.0833699999999999</v>
      </c>
      <c r="P245" s="21">
        <v>11.654400000000001</v>
      </c>
      <c r="Q245" s="21">
        <v>-1.32324E-2</v>
      </c>
      <c r="R245" s="21">
        <v>235</v>
      </c>
      <c r="S245" s="21">
        <v>1.08307</v>
      </c>
      <c r="T245">
        <f t="shared" si="38"/>
        <v>16.336296296296297</v>
      </c>
      <c r="U245">
        <f t="shared" si="39"/>
        <v>17.698253318518518</v>
      </c>
      <c r="X245" s="9"/>
      <c r="Y245" s="21">
        <v>0.55664100000000005</v>
      </c>
      <c r="Z245" s="21">
        <v>17.0152</v>
      </c>
      <c r="AA245" s="21">
        <v>-1.37482E-2</v>
      </c>
      <c r="AB245" s="21">
        <v>235</v>
      </c>
      <c r="AC245" s="21">
        <v>0.55596900000000005</v>
      </c>
      <c r="AD245">
        <f t="shared" si="40"/>
        <v>16.973086419753084</v>
      </c>
      <c r="AE245">
        <f t="shared" si="41"/>
        <v>9.4479157977777781</v>
      </c>
      <c r="AF245" s="9"/>
      <c r="AG245" s="21">
        <v>1.0833699999999999</v>
      </c>
      <c r="AH245" s="21">
        <v>20.7136</v>
      </c>
      <c r="AI245" s="21">
        <v>-1.3195800000000001E-2</v>
      </c>
      <c r="AJ245" s="21">
        <v>235</v>
      </c>
      <c r="AK245" s="21">
        <v>1.08246</v>
      </c>
      <c r="AL245">
        <f t="shared" si="42"/>
        <v>16.29111111111111</v>
      </c>
      <c r="AM245">
        <f t="shared" si="43"/>
        <v>17.649301044444442</v>
      </c>
      <c r="AP245" s="9"/>
      <c r="AQ245" s="21">
        <v>0.55664100000000005</v>
      </c>
      <c r="AR245" s="21">
        <v>26.147400000000001</v>
      </c>
      <c r="AS245" s="21">
        <v>-1.3775600000000001E-2</v>
      </c>
      <c r="AT245" s="21">
        <v>235</v>
      </c>
      <c r="AU245" s="21">
        <v>0.55596900000000005</v>
      </c>
      <c r="AV245">
        <f t="shared" si="44"/>
        <v>17.006913580246916</v>
      </c>
      <c r="AW245">
        <f t="shared" si="45"/>
        <v>9.4667453822222249</v>
      </c>
      <c r="AX245" s="9"/>
      <c r="AY245" s="21">
        <v>1.0833699999999999</v>
      </c>
      <c r="AZ245" s="21">
        <v>29.845800000000001</v>
      </c>
      <c r="BA245" s="21">
        <v>-1.31226E-2</v>
      </c>
      <c r="BB245" s="21">
        <v>235</v>
      </c>
      <c r="BC245" s="21">
        <v>1.0821499999999999</v>
      </c>
      <c r="BD245">
        <f t="shared" si="46"/>
        <v>16.200740740740741</v>
      </c>
      <c r="BE245">
        <f t="shared" si="47"/>
        <v>17.551396496296295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0.55160500000000001</v>
      </c>
      <c r="H246" s="21">
        <v>7.9660900000000003</v>
      </c>
      <c r="I246" s="21">
        <v>-1.38245E-2</v>
      </c>
      <c r="J246" s="21">
        <v>236</v>
      </c>
      <c r="K246" s="21">
        <v>0.55093400000000003</v>
      </c>
      <c r="L246">
        <f t="shared" si="36"/>
        <v>17.067283950617281</v>
      </c>
      <c r="M246">
        <f t="shared" si="37"/>
        <v>9.4143991635802458</v>
      </c>
      <c r="N246" s="9"/>
      <c r="O246" s="21">
        <v>1.0884100000000001</v>
      </c>
      <c r="P246" s="21">
        <v>11.664400000000001</v>
      </c>
      <c r="Q246" s="21">
        <v>-1.32172E-2</v>
      </c>
      <c r="R246" s="21">
        <v>236</v>
      </c>
      <c r="S246" s="21">
        <v>1.08734</v>
      </c>
      <c r="T246">
        <f t="shared" si="38"/>
        <v>16.317530864197529</v>
      </c>
      <c r="U246">
        <f t="shared" si="39"/>
        <v>17.760163767901233</v>
      </c>
      <c r="X246" s="9"/>
      <c r="Y246" s="21">
        <v>0.55160500000000001</v>
      </c>
      <c r="Z246" s="21">
        <v>17.025300000000001</v>
      </c>
      <c r="AA246" s="21">
        <v>-1.3754300000000001E-2</v>
      </c>
      <c r="AB246" s="21">
        <v>236</v>
      </c>
      <c r="AC246" s="21">
        <v>0.55105599999999999</v>
      </c>
      <c r="AD246">
        <f t="shared" si="40"/>
        <v>16.980617283950615</v>
      </c>
      <c r="AE246">
        <f t="shared" si="41"/>
        <v>9.3665933969135793</v>
      </c>
      <c r="AF246" s="9"/>
      <c r="AG246" s="21">
        <v>1.0884100000000001</v>
      </c>
      <c r="AH246" s="21">
        <v>20.723700000000001</v>
      </c>
      <c r="AI246" s="21">
        <v>-1.3195800000000001E-2</v>
      </c>
      <c r="AJ246" s="21">
        <v>236</v>
      </c>
      <c r="AK246" s="21">
        <v>1.08765</v>
      </c>
      <c r="AL246">
        <f t="shared" si="42"/>
        <v>16.29111111111111</v>
      </c>
      <c r="AM246">
        <f t="shared" si="43"/>
        <v>17.731408244444445</v>
      </c>
      <c r="AP246" s="9"/>
      <c r="AQ246" s="21">
        <v>0.55160500000000001</v>
      </c>
      <c r="AR246" s="21">
        <v>26.157499999999999</v>
      </c>
      <c r="AS246" s="21">
        <v>-1.3766499999999999E-2</v>
      </c>
      <c r="AT246" s="21">
        <v>236</v>
      </c>
      <c r="AU246" s="21">
        <v>0.55096400000000001</v>
      </c>
      <c r="AV246">
        <f t="shared" si="44"/>
        <v>16.995679012345676</v>
      </c>
      <c r="AW246">
        <f t="shared" si="45"/>
        <v>9.3749015216049365</v>
      </c>
      <c r="AX246" s="9"/>
      <c r="AY246" s="21">
        <v>1.0884100000000001</v>
      </c>
      <c r="AZ246" s="21">
        <v>29.855899999999998</v>
      </c>
      <c r="BA246" s="21">
        <v>-1.3113400000000001E-2</v>
      </c>
      <c r="BB246" s="21">
        <v>236</v>
      </c>
      <c r="BC246" s="21">
        <v>1.08795</v>
      </c>
      <c r="BD246">
        <f t="shared" si="46"/>
        <v>16.18938271604938</v>
      </c>
      <c r="BE246">
        <f t="shared" si="47"/>
        <v>17.620686041975308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0.54657</v>
      </c>
      <c r="H247" s="21">
        <v>7.9761600000000001</v>
      </c>
      <c r="I247" s="21">
        <v>-1.38245E-2</v>
      </c>
      <c r="J247" s="21">
        <v>237</v>
      </c>
      <c r="K247" s="21">
        <v>0.545929</v>
      </c>
      <c r="L247">
        <f t="shared" si="36"/>
        <v>17.067283950617281</v>
      </c>
      <c r="M247">
        <f t="shared" si="37"/>
        <v>9.3284653888888869</v>
      </c>
      <c r="N247" s="9"/>
      <c r="O247" s="21">
        <v>1.09344</v>
      </c>
      <c r="P247" s="21">
        <v>11.6745</v>
      </c>
      <c r="Q247" s="21">
        <v>-1.31897E-2</v>
      </c>
      <c r="R247" s="21">
        <v>237</v>
      </c>
      <c r="S247" s="21">
        <v>1.09253</v>
      </c>
      <c r="T247">
        <f t="shared" si="38"/>
        <v>16.28358024691358</v>
      </c>
      <c r="U247">
        <f t="shared" si="39"/>
        <v>17.805117985185184</v>
      </c>
      <c r="X247" s="9"/>
      <c r="Y247" s="21">
        <v>0.54657</v>
      </c>
      <c r="Z247" s="21">
        <v>17.035399999999999</v>
      </c>
      <c r="AA247" s="21">
        <v>-1.3760400000000001E-2</v>
      </c>
      <c r="AB247" s="21">
        <v>237</v>
      </c>
      <c r="AC247" s="21">
        <v>0.545929</v>
      </c>
      <c r="AD247">
        <f t="shared" si="40"/>
        <v>16.988148148148149</v>
      </c>
      <c r="AE247">
        <f t="shared" si="41"/>
        <v>9.2852121333333333</v>
      </c>
      <c r="AF247" s="9"/>
      <c r="AG247" s="21">
        <v>1.09344</v>
      </c>
      <c r="AH247" s="21">
        <v>20.733699999999999</v>
      </c>
      <c r="AI247" s="21">
        <v>-1.3195800000000001E-2</v>
      </c>
      <c r="AJ247" s="21">
        <v>237</v>
      </c>
      <c r="AK247" s="21">
        <v>1.09222</v>
      </c>
      <c r="AL247">
        <f t="shared" si="42"/>
        <v>16.29111111111111</v>
      </c>
      <c r="AM247">
        <f t="shared" si="43"/>
        <v>17.813352533333333</v>
      </c>
      <c r="AP247" s="9"/>
      <c r="AQ247" s="21">
        <v>0.54657</v>
      </c>
      <c r="AR247" s="21">
        <v>26.1676</v>
      </c>
      <c r="AS247" s="21">
        <v>-1.37634E-2</v>
      </c>
      <c r="AT247" s="21">
        <v>237</v>
      </c>
      <c r="AU247" s="21">
        <v>0.54589799999999999</v>
      </c>
      <c r="AV247">
        <f t="shared" si="44"/>
        <v>16.991851851851852</v>
      </c>
      <c r="AW247">
        <f t="shared" si="45"/>
        <v>9.2872364666666662</v>
      </c>
      <c r="AX247" s="9"/>
      <c r="AY247" s="21">
        <v>1.09344</v>
      </c>
      <c r="AZ247" s="21">
        <v>29.8659</v>
      </c>
      <c r="BA247" s="21">
        <v>-1.30951E-2</v>
      </c>
      <c r="BB247" s="21">
        <v>237</v>
      </c>
      <c r="BC247" s="21">
        <v>1.09283</v>
      </c>
      <c r="BD247">
        <f t="shared" si="46"/>
        <v>16.166790123456789</v>
      </c>
      <c r="BE247">
        <f t="shared" si="47"/>
        <v>17.677414992592592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0.54153399999999996</v>
      </c>
      <c r="H248" s="21">
        <v>7.9862299999999999</v>
      </c>
      <c r="I248" s="21">
        <v>-1.3821399999999999E-2</v>
      </c>
      <c r="J248" s="21">
        <v>238</v>
      </c>
      <c r="K248" s="21">
        <v>0.54092399999999996</v>
      </c>
      <c r="L248">
        <f t="shared" si="36"/>
        <v>17.063456790123453</v>
      </c>
      <c r="M248">
        <f t="shared" si="37"/>
        <v>9.2404420093827131</v>
      </c>
      <c r="N248" s="9"/>
      <c r="O248" s="21">
        <v>1.0984799999999999</v>
      </c>
      <c r="P248" s="21">
        <v>11.6846</v>
      </c>
      <c r="Q248" s="21">
        <v>-1.3168300000000001E-2</v>
      </c>
      <c r="R248" s="21">
        <v>238</v>
      </c>
      <c r="S248" s="21">
        <v>1.09772</v>
      </c>
      <c r="T248">
        <f t="shared" si="38"/>
        <v>16.257160493827158</v>
      </c>
      <c r="U248">
        <f t="shared" si="39"/>
        <v>17.858165659259253</v>
      </c>
      <c r="X248" s="9"/>
      <c r="Y248" s="21">
        <v>0.54153399999999996</v>
      </c>
      <c r="Z248" s="21">
        <v>17.045400000000001</v>
      </c>
      <c r="AA248" s="21">
        <v>-1.3760400000000001E-2</v>
      </c>
      <c r="AB248" s="21">
        <v>238</v>
      </c>
      <c r="AC248" s="21">
        <v>0.540771</v>
      </c>
      <c r="AD248">
        <f t="shared" si="40"/>
        <v>16.988148148148149</v>
      </c>
      <c r="AE248">
        <f t="shared" si="41"/>
        <v>9.1996598192592582</v>
      </c>
      <c r="AF248" s="9"/>
      <c r="AG248" s="21">
        <v>1.0984799999999999</v>
      </c>
      <c r="AH248" s="21">
        <v>20.7438</v>
      </c>
      <c r="AI248" s="21">
        <v>-1.31775E-2</v>
      </c>
      <c r="AJ248" s="21">
        <v>238</v>
      </c>
      <c r="AK248" s="21">
        <v>1.09741</v>
      </c>
      <c r="AL248">
        <f t="shared" si="42"/>
        <v>16.268518518518519</v>
      </c>
      <c r="AM248">
        <f t="shared" si="43"/>
        <v>17.870642222222219</v>
      </c>
      <c r="AP248" s="9"/>
      <c r="AQ248" s="21">
        <v>0.54153399999999996</v>
      </c>
      <c r="AR248" s="21">
        <v>26.177700000000002</v>
      </c>
      <c r="AS248" s="21">
        <v>-1.3766499999999999E-2</v>
      </c>
      <c r="AT248" s="21">
        <v>238</v>
      </c>
      <c r="AU248" s="21">
        <v>0.54083300000000001</v>
      </c>
      <c r="AV248">
        <f t="shared" si="44"/>
        <v>16.995679012345676</v>
      </c>
      <c r="AW248">
        <f t="shared" si="45"/>
        <v>9.2037380382716023</v>
      </c>
      <c r="AX248" s="9"/>
      <c r="AY248" s="21">
        <v>1.0984799999999999</v>
      </c>
      <c r="AZ248" s="21">
        <v>29.876000000000001</v>
      </c>
      <c r="BA248" s="21">
        <v>-1.30829E-2</v>
      </c>
      <c r="BB248" s="21">
        <v>238</v>
      </c>
      <c r="BC248" s="21">
        <v>1.09772</v>
      </c>
      <c r="BD248">
        <f t="shared" si="46"/>
        <v>16.151728395061728</v>
      </c>
      <c r="BE248">
        <f t="shared" si="47"/>
        <v>17.742350607407406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0.53649899999999995</v>
      </c>
      <c r="H249" s="21">
        <v>7.9962999999999997</v>
      </c>
      <c r="I249" s="21">
        <v>-1.38336E-2</v>
      </c>
      <c r="J249" s="21">
        <v>239</v>
      </c>
      <c r="K249" s="21">
        <v>0.53573599999999999</v>
      </c>
      <c r="L249">
        <f t="shared" si="36"/>
        <v>17.078518518518518</v>
      </c>
      <c r="M249">
        <f t="shared" si="37"/>
        <v>9.1626081066666654</v>
      </c>
      <c r="N249" s="9"/>
      <c r="O249" s="21">
        <v>1.1035200000000001</v>
      </c>
      <c r="P249" s="21">
        <v>11.694599999999999</v>
      </c>
      <c r="Q249" s="21">
        <v>-1.31653E-2</v>
      </c>
      <c r="R249" s="21">
        <v>239</v>
      </c>
      <c r="S249" s="21">
        <v>1.1026</v>
      </c>
      <c r="T249">
        <f t="shared" si="38"/>
        <v>16.253456790123455</v>
      </c>
      <c r="U249">
        <f t="shared" si="39"/>
        <v>17.936014637037037</v>
      </c>
      <c r="X249" s="9"/>
      <c r="Y249" s="21">
        <v>0.53649899999999995</v>
      </c>
      <c r="Z249" s="21">
        <v>17.055499999999999</v>
      </c>
      <c r="AA249" s="21">
        <v>-1.3772599999999999E-2</v>
      </c>
      <c r="AB249" s="21">
        <v>239</v>
      </c>
      <c r="AC249" s="21">
        <v>0.53582799999999997</v>
      </c>
      <c r="AD249">
        <f t="shared" si="40"/>
        <v>17.00320987654321</v>
      </c>
      <c r="AE249">
        <f t="shared" si="41"/>
        <v>9.1222050955555538</v>
      </c>
      <c r="AF249" s="9"/>
      <c r="AG249" s="21">
        <v>1.1035200000000001</v>
      </c>
      <c r="AH249" s="21">
        <v>20.753900000000002</v>
      </c>
      <c r="AI249" s="21">
        <v>-1.31653E-2</v>
      </c>
      <c r="AJ249" s="21">
        <v>239</v>
      </c>
      <c r="AK249" s="21">
        <v>1.10199</v>
      </c>
      <c r="AL249">
        <f t="shared" si="42"/>
        <v>16.253456790123455</v>
      </c>
      <c r="AM249">
        <f t="shared" si="43"/>
        <v>17.936014637037037</v>
      </c>
      <c r="AP249" s="9"/>
      <c r="AQ249" s="21">
        <v>0.53649899999999995</v>
      </c>
      <c r="AR249" s="21">
        <v>26.1877</v>
      </c>
      <c r="AS249" s="21">
        <v>-1.3760400000000001E-2</v>
      </c>
      <c r="AT249" s="21">
        <v>239</v>
      </c>
      <c r="AU249" s="21">
        <v>0.53582799999999997</v>
      </c>
      <c r="AV249">
        <f t="shared" si="44"/>
        <v>16.988148148148149</v>
      </c>
      <c r="AW249">
        <f t="shared" si="45"/>
        <v>9.1141244933333319</v>
      </c>
      <c r="AX249" s="9"/>
      <c r="AY249" s="21">
        <v>1.1035200000000001</v>
      </c>
      <c r="AZ249" s="21">
        <v>29.886099999999999</v>
      </c>
      <c r="BA249" s="21">
        <v>-1.3073700000000001E-2</v>
      </c>
      <c r="BB249" s="21">
        <v>239</v>
      </c>
      <c r="BC249" s="21">
        <v>1.10229</v>
      </c>
      <c r="BD249">
        <f t="shared" si="46"/>
        <v>16.14037037037037</v>
      </c>
      <c r="BE249">
        <f t="shared" si="47"/>
        <v>17.811221511111111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0.53146400000000005</v>
      </c>
      <c r="H250" s="21">
        <v>8.0063700000000004</v>
      </c>
      <c r="I250" s="21">
        <v>-1.38397E-2</v>
      </c>
      <c r="J250" s="21">
        <v>240</v>
      </c>
      <c r="K250" s="21">
        <v>0.53076199999999996</v>
      </c>
      <c r="L250">
        <f t="shared" si="36"/>
        <v>17.086049382716048</v>
      </c>
      <c r="M250">
        <f t="shared" si="37"/>
        <v>9.0806201491358021</v>
      </c>
      <c r="N250" s="9"/>
      <c r="O250" s="21">
        <v>1.1085499999999999</v>
      </c>
      <c r="P250" s="21">
        <v>11.704700000000001</v>
      </c>
      <c r="Q250" s="21">
        <v>-1.315E-2</v>
      </c>
      <c r="R250" s="21">
        <v>240</v>
      </c>
      <c r="S250" s="21">
        <v>1.1077900000000001</v>
      </c>
      <c r="T250">
        <f t="shared" si="38"/>
        <v>16.234567901234566</v>
      </c>
      <c r="U250">
        <f t="shared" si="39"/>
        <v>17.996830246913579</v>
      </c>
      <c r="X250" s="9"/>
      <c r="Y250" s="21">
        <v>0.53146400000000005</v>
      </c>
      <c r="Z250" s="21">
        <v>17.0656</v>
      </c>
      <c r="AA250" s="21">
        <v>-1.37787E-2</v>
      </c>
      <c r="AB250" s="21">
        <v>240</v>
      </c>
      <c r="AC250" s="21">
        <v>0.53076199999999996</v>
      </c>
      <c r="AD250">
        <f t="shared" si="40"/>
        <v>17.01074074074074</v>
      </c>
      <c r="AE250">
        <f t="shared" si="41"/>
        <v>9.0405963170370374</v>
      </c>
      <c r="AF250" s="9"/>
      <c r="AG250" s="21">
        <v>1.1085499999999999</v>
      </c>
      <c r="AH250" s="21">
        <v>20.763999999999999</v>
      </c>
      <c r="AI250" s="21">
        <v>-1.3147000000000001E-2</v>
      </c>
      <c r="AJ250" s="21">
        <v>240</v>
      </c>
      <c r="AK250" s="21">
        <v>1.10748</v>
      </c>
      <c r="AL250">
        <f t="shared" si="42"/>
        <v>16.230864197530863</v>
      </c>
      <c r="AM250">
        <f t="shared" si="43"/>
        <v>17.992724506172838</v>
      </c>
      <c r="AP250" s="9"/>
      <c r="AQ250" s="21">
        <v>0.53146400000000005</v>
      </c>
      <c r="AR250" s="21">
        <v>26.197800000000001</v>
      </c>
      <c r="AS250" s="21">
        <v>-1.3766499999999999E-2</v>
      </c>
      <c r="AT250" s="21">
        <v>240</v>
      </c>
      <c r="AU250" s="21">
        <v>0.53082300000000004</v>
      </c>
      <c r="AV250">
        <f t="shared" si="44"/>
        <v>16.995679012345676</v>
      </c>
      <c r="AW250">
        <f t="shared" si="45"/>
        <v>9.0325915506172834</v>
      </c>
      <c r="AX250" s="9"/>
      <c r="AY250" s="21">
        <v>1.1085499999999999</v>
      </c>
      <c r="AZ250" s="21">
        <v>29.896100000000001</v>
      </c>
      <c r="BA250" s="21">
        <v>-1.30676E-2</v>
      </c>
      <c r="BB250" s="21">
        <v>240</v>
      </c>
      <c r="BC250" s="21">
        <v>1.1077900000000001</v>
      </c>
      <c r="BD250">
        <f t="shared" si="46"/>
        <v>16.132839506172839</v>
      </c>
      <c r="BE250">
        <f t="shared" si="47"/>
        <v>17.8840592345679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0.52642800000000001</v>
      </c>
      <c r="H251" s="21">
        <v>8.0164399999999993</v>
      </c>
      <c r="I251" s="21">
        <v>-1.3842800000000001E-2</v>
      </c>
      <c r="J251" s="21">
        <v>241</v>
      </c>
      <c r="K251" s="21">
        <v>0.52575700000000003</v>
      </c>
      <c r="L251">
        <f t="shared" si="36"/>
        <v>17.089876543209876</v>
      </c>
      <c r="M251">
        <f t="shared" si="37"/>
        <v>8.9965895288888884</v>
      </c>
      <c r="N251" s="9"/>
      <c r="O251" s="21">
        <v>1.1135900000000001</v>
      </c>
      <c r="P251" s="21">
        <v>11.7148</v>
      </c>
      <c r="Q251" s="21">
        <v>-1.31348E-2</v>
      </c>
      <c r="R251" s="21">
        <v>241</v>
      </c>
      <c r="S251" s="21">
        <v>1.11267</v>
      </c>
      <c r="T251">
        <f t="shared" si="38"/>
        <v>16.215802469135802</v>
      </c>
      <c r="U251">
        <f t="shared" si="39"/>
        <v>18.057755471604938</v>
      </c>
      <c r="X251" s="9"/>
      <c r="Y251" s="21">
        <v>0.52642800000000001</v>
      </c>
      <c r="Z251" s="21">
        <v>17.075700000000001</v>
      </c>
      <c r="AA251" s="21">
        <v>-1.3775600000000001E-2</v>
      </c>
      <c r="AB251" s="21">
        <v>241</v>
      </c>
      <c r="AC251" s="21">
        <v>0.525787</v>
      </c>
      <c r="AD251">
        <f t="shared" si="40"/>
        <v>17.006913580246916</v>
      </c>
      <c r="AE251">
        <f t="shared" si="41"/>
        <v>8.9529155022222238</v>
      </c>
      <c r="AF251" s="9"/>
      <c r="AG251" s="21">
        <v>1.1135900000000001</v>
      </c>
      <c r="AH251" s="21">
        <v>20.774000000000001</v>
      </c>
      <c r="AI251" s="21">
        <v>-1.31287E-2</v>
      </c>
      <c r="AJ251" s="21">
        <v>241</v>
      </c>
      <c r="AK251" s="21">
        <v>1.1123700000000001</v>
      </c>
      <c r="AL251">
        <f t="shared" si="42"/>
        <v>16.208271604938268</v>
      </c>
      <c r="AM251">
        <f t="shared" si="43"/>
        <v>18.049369176543209</v>
      </c>
      <c r="AP251" s="9"/>
      <c r="AQ251" s="21">
        <v>0.52642800000000001</v>
      </c>
      <c r="AR251" s="21">
        <v>26.207899999999999</v>
      </c>
      <c r="AS251" s="21">
        <v>-1.37695E-2</v>
      </c>
      <c r="AT251" s="21">
        <v>241</v>
      </c>
      <c r="AU251" s="21">
        <v>0.52600100000000005</v>
      </c>
      <c r="AV251">
        <f t="shared" si="44"/>
        <v>16.999382716049382</v>
      </c>
      <c r="AW251">
        <f t="shared" si="45"/>
        <v>8.9489510444444438</v>
      </c>
      <c r="AX251" s="9"/>
      <c r="AY251" s="21">
        <v>1.1135900000000001</v>
      </c>
      <c r="AZ251" s="21">
        <v>29.906199999999998</v>
      </c>
      <c r="BA251" s="21">
        <v>-1.30554E-2</v>
      </c>
      <c r="BB251" s="21">
        <v>241</v>
      </c>
      <c r="BC251" s="21">
        <v>1.11328</v>
      </c>
      <c r="BD251">
        <f t="shared" si="46"/>
        <v>16.117777777777775</v>
      </c>
      <c r="BE251">
        <f t="shared" si="47"/>
        <v>17.948596155555553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0.521393</v>
      </c>
      <c r="H252" s="21">
        <v>8.02651</v>
      </c>
      <c r="I252" s="21">
        <v>-1.38275E-2</v>
      </c>
      <c r="J252" s="21">
        <v>242</v>
      </c>
      <c r="K252" s="21">
        <v>0.52072099999999999</v>
      </c>
      <c r="L252">
        <f t="shared" si="36"/>
        <v>17.070987654320987</v>
      </c>
      <c r="M252">
        <f t="shared" si="37"/>
        <v>8.9006934660493826</v>
      </c>
      <c r="N252" s="9"/>
      <c r="O252" s="21">
        <v>1.1186199999999999</v>
      </c>
      <c r="P252" s="21">
        <v>11.7249</v>
      </c>
      <c r="Q252" s="21">
        <v>-1.3113400000000001E-2</v>
      </c>
      <c r="R252" s="21">
        <v>242</v>
      </c>
      <c r="S252" s="21">
        <v>1.11755</v>
      </c>
      <c r="T252">
        <f t="shared" si="38"/>
        <v>16.18938271604938</v>
      </c>
      <c r="U252">
        <f t="shared" si="39"/>
        <v>18.109767293827158</v>
      </c>
      <c r="X252" s="9"/>
      <c r="Y252" s="21">
        <v>0.521393</v>
      </c>
      <c r="Z252" s="21">
        <v>17.085699999999999</v>
      </c>
      <c r="AA252" s="21">
        <v>-1.37909E-2</v>
      </c>
      <c r="AB252" s="21">
        <v>242</v>
      </c>
      <c r="AC252" s="21">
        <v>0.52072099999999999</v>
      </c>
      <c r="AD252">
        <f t="shared" si="40"/>
        <v>17.025802469135801</v>
      </c>
      <c r="AE252">
        <f t="shared" si="41"/>
        <v>8.8771342267901225</v>
      </c>
      <c r="AF252" s="9"/>
      <c r="AG252" s="21">
        <v>1.1186199999999999</v>
      </c>
      <c r="AH252" s="21">
        <v>20.784099999999999</v>
      </c>
      <c r="AI252" s="21">
        <v>-1.3119499999999999E-2</v>
      </c>
      <c r="AJ252" s="21">
        <v>242</v>
      </c>
      <c r="AK252" s="21">
        <v>1.1172500000000001</v>
      </c>
      <c r="AL252">
        <f t="shared" si="42"/>
        <v>16.19691358024691</v>
      </c>
      <c r="AM252">
        <f t="shared" si="43"/>
        <v>18.118191469135798</v>
      </c>
      <c r="AP252" s="9"/>
      <c r="AQ252" s="21">
        <v>0.521393</v>
      </c>
      <c r="AR252" s="21">
        <v>26.2179</v>
      </c>
      <c r="AS252" s="21">
        <v>-1.3766499999999999E-2</v>
      </c>
      <c r="AT252" s="21">
        <v>242</v>
      </c>
      <c r="AU252" s="21">
        <v>0.52072099999999999</v>
      </c>
      <c r="AV252">
        <f t="shared" si="44"/>
        <v>16.995679012345676</v>
      </c>
      <c r="AW252">
        <f t="shared" si="45"/>
        <v>8.8614280672839492</v>
      </c>
      <c r="AX252" s="9"/>
      <c r="AY252" s="21">
        <v>1.1186199999999999</v>
      </c>
      <c r="AZ252" s="21">
        <v>29.9163</v>
      </c>
      <c r="BA252" s="21">
        <v>-1.30463E-2</v>
      </c>
      <c r="BB252" s="21">
        <v>242</v>
      </c>
      <c r="BC252" s="21">
        <v>1.1178600000000001</v>
      </c>
      <c r="BD252">
        <f t="shared" si="46"/>
        <v>16.106543209876545</v>
      </c>
      <c r="BE252">
        <f t="shared" si="47"/>
        <v>18.017101365432101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0.51635699999999995</v>
      </c>
      <c r="H253" s="21">
        <v>8.0365800000000007</v>
      </c>
      <c r="I253" s="21">
        <v>-1.38245E-2</v>
      </c>
      <c r="J253" s="21">
        <v>243</v>
      </c>
      <c r="K253" s="21">
        <v>0.51577799999999996</v>
      </c>
      <c r="L253">
        <f t="shared" si="36"/>
        <v>17.067283950617281</v>
      </c>
      <c r="M253">
        <f t="shared" si="37"/>
        <v>8.8128115388888872</v>
      </c>
      <c r="N253" s="9"/>
      <c r="O253" s="21">
        <v>1.1236600000000001</v>
      </c>
      <c r="P253" s="21">
        <v>11.7349</v>
      </c>
      <c r="Q253" s="21">
        <v>-1.31012E-2</v>
      </c>
      <c r="R253" s="21">
        <v>243</v>
      </c>
      <c r="S253" s="21">
        <v>1.1227400000000001</v>
      </c>
      <c r="T253">
        <f t="shared" si="38"/>
        <v>16.174320987654323</v>
      </c>
      <c r="U253">
        <f t="shared" si="39"/>
        <v>18.174437520987659</v>
      </c>
      <c r="X253" s="9"/>
      <c r="Y253" s="21">
        <v>0.51635699999999995</v>
      </c>
      <c r="Z253" s="21">
        <v>17.095800000000001</v>
      </c>
      <c r="AA253" s="21">
        <v>-1.37848E-2</v>
      </c>
      <c r="AB253" s="21">
        <v>243</v>
      </c>
      <c r="AC253" s="21">
        <v>0.51577799999999996</v>
      </c>
      <c r="AD253">
        <f t="shared" si="40"/>
        <v>17.018271604938271</v>
      </c>
      <c r="AE253">
        <f t="shared" si="41"/>
        <v>8.787503671111109</v>
      </c>
      <c r="AF253" s="9"/>
      <c r="AG253" s="21">
        <v>1.1236600000000001</v>
      </c>
      <c r="AH253" s="21">
        <v>20.7942</v>
      </c>
      <c r="AI253" s="21">
        <v>-1.3107300000000001E-2</v>
      </c>
      <c r="AJ253" s="21">
        <v>243</v>
      </c>
      <c r="AK253" s="21">
        <v>1.1227400000000001</v>
      </c>
      <c r="AL253">
        <f t="shared" si="42"/>
        <v>16.181851851851849</v>
      </c>
      <c r="AM253">
        <f t="shared" si="43"/>
        <v>18.182899651851852</v>
      </c>
      <c r="AP253" s="9"/>
      <c r="AQ253" s="21">
        <v>0.51635699999999995</v>
      </c>
      <c r="AR253" s="21">
        <v>26.228000000000002</v>
      </c>
      <c r="AS253" s="21">
        <v>-1.37634E-2</v>
      </c>
      <c r="AT253" s="21">
        <v>243</v>
      </c>
      <c r="AU253" s="21">
        <v>0.515656</v>
      </c>
      <c r="AV253">
        <f t="shared" si="44"/>
        <v>16.991851851851852</v>
      </c>
      <c r="AW253">
        <f t="shared" si="45"/>
        <v>8.7738616466666652</v>
      </c>
      <c r="AX253" s="9"/>
      <c r="AY253" s="21">
        <v>1.1236600000000001</v>
      </c>
      <c r="AZ253" s="21">
        <v>29.926400000000001</v>
      </c>
      <c r="BA253" s="21">
        <v>-1.3030999999999999E-2</v>
      </c>
      <c r="BB253" s="21">
        <v>243</v>
      </c>
      <c r="BC253" s="21">
        <v>1.1233500000000001</v>
      </c>
      <c r="BD253">
        <f t="shared" si="46"/>
        <v>16.087654320987653</v>
      </c>
      <c r="BE253">
        <f t="shared" si="47"/>
        <v>18.077053654320988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0.51132200000000005</v>
      </c>
      <c r="H254" s="21">
        <v>8.0466499999999996</v>
      </c>
      <c r="I254" s="21">
        <v>-1.38184E-2</v>
      </c>
      <c r="J254" s="21">
        <v>244</v>
      </c>
      <c r="K254" s="21">
        <v>0.51071200000000005</v>
      </c>
      <c r="L254">
        <f t="shared" si="36"/>
        <v>17.05975308641975</v>
      </c>
      <c r="M254">
        <f t="shared" si="37"/>
        <v>8.7230270676543196</v>
      </c>
      <c r="N254" s="9"/>
      <c r="O254" s="21">
        <v>1.12869</v>
      </c>
      <c r="P254" s="21">
        <v>11.744999999999999</v>
      </c>
      <c r="Q254" s="21">
        <v>-1.30951E-2</v>
      </c>
      <c r="R254" s="21">
        <v>244</v>
      </c>
      <c r="S254" s="21">
        <v>1.1273200000000001</v>
      </c>
      <c r="T254">
        <f t="shared" si="38"/>
        <v>16.166790123456789</v>
      </c>
      <c r="U254">
        <f t="shared" si="39"/>
        <v>18.247294344444441</v>
      </c>
      <c r="X254" s="9"/>
      <c r="Y254" s="21">
        <v>0.51132200000000005</v>
      </c>
      <c r="Z254" s="21">
        <v>17.105899999999998</v>
      </c>
      <c r="AA254" s="21">
        <v>-1.3766499999999999E-2</v>
      </c>
      <c r="AB254" s="21">
        <v>244</v>
      </c>
      <c r="AC254" s="21">
        <v>0.51071200000000005</v>
      </c>
      <c r="AD254">
        <f t="shared" si="40"/>
        <v>16.995679012345676</v>
      </c>
      <c r="AE254">
        <f t="shared" si="41"/>
        <v>8.6902645839506167</v>
      </c>
      <c r="AF254" s="9"/>
      <c r="AG254" s="21">
        <v>1.12869</v>
      </c>
      <c r="AH254" s="21">
        <v>20.804200000000002</v>
      </c>
      <c r="AI254" s="21">
        <v>-1.3089E-2</v>
      </c>
      <c r="AJ254" s="21">
        <v>244</v>
      </c>
      <c r="AK254" s="21">
        <v>1.1273200000000001</v>
      </c>
      <c r="AL254">
        <f t="shared" si="42"/>
        <v>16.159259259259258</v>
      </c>
      <c r="AM254">
        <f t="shared" si="43"/>
        <v>18.238794333333331</v>
      </c>
      <c r="AP254" s="9"/>
      <c r="AQ254" s="21">
        <v>0.51132200000000005</v>
      </c>
      <c r="AR254" s="21">
        <v>26.238099999999999</v>
      </c>
      <c r="AS254" s="21">
        <v>-1.3766499999999999E-2</v>
      </c>
      <c r="AT254" s="21">
        <v>244</v>
      </c>
      <c r="AU254" s="21">
        <v>0.51065099999999997</v>
      </c>
      <c r="AV254">
        <f t="shared" si="44"/>
        <v>16.995679012345676</v>
      </c>
      <c r="AW254">
        <f t="shared" si="45"/>
        <v>8.6902645839506167</v>
      </c>
      <c r="AX254" s="9"/>
      <c r="AY254" s="21">
        <v>1.12869</v>
      </c>
      <c r="AZ254" s="21">
        <v>29.936399999999999</v>
      </c>
      <c r="BA254" s="21">
        <v>-1.30157E-2</v>
      </c>
      <c r="BB254" s="21">
        <v>244</v>
      </c>
      <c r="BC254" s="21">
        <v>1.1276200000000001</v>
      </c>
      <c r="BD254">
        <f t="shared" si="46"/>
        <v>16.068765432098765</v>
      </c>
      <c r="BE254">
        <f t="shared" si="47"/>
        <v>18.136654855555555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0.50628700000000004</v>
      </c>
      <c r="H255" s="21">
        <v>8.0567200000000003</v>
      </c>
      <c r="I255" s="21">
        <v>-1.3815300000000001E-2</v>
      </c>
      <c r="J255" s="21">
        <v>245</v>
      </c>
      <c r="K255" s="21">
        <v>0.50558499999999995</v>
      </c>
      <c r="L255">
        <f t="shared" si="36"/>
        <v>17.055925925925926</v>
      </c>
      <c r="M255">
        <f t="shared" si="37"/>
        <v>8.6351935692592594</v>
      </c>
      <c r="N255" s="9"/>
      <c r="O255" s="21">
        <v>1.1337299999999999</v>
      </c>
      <c r="P255" s="21">
        <v>11.755100000000001</v>
      </c>
      <c r="Q255" s="21">
        <v>-1.30768E-2</v>
      </c>
      <c r="R255" s="21">
        <v>245</v>
      </c>
      <c r="S255" s="21">
        <v>1.1337299999999999</v>
      </c>
      <c r="T255">
        <f t="shared" si="38"/>
        <v>16.144197530864194</v>
      </c>
      <c r="U255">
        <f t="shared" si="39"/>
        <v>18.303161066666661</v>
      </c>
      <c r="X255" s="9"/>
      <c r="Y255" s="21">
        <v>0.50628700000000004</v>
      </c>
      <c r="Z255" s="21">
        <v>17.1159</v>
      </c>
      <c r="AA255" s="21">
        <v>-1.37451E-2</v>
      </c>
      <c r="AB255" s="21">
        <v>245</v>
      </c>
      <c r="AC255" s="21">
        <v>0.50564600000000004</v>
      </c>
      <c r="AD255">
        <f t="shared" si="40"/>
        <v>16.969259259259257</v>
      </c>
      <c r="AE255">
        <f t="shared" si="41"/>
        <v>8.5913153625925922</v>
      </c>
      <c r="AF255" s="9"/>
      <c r="AG255" s="21">
        <v>1.1337299999999999</v>
      </c>
      <c r="AH255" s="21">
        <v>20.814299999999999</v>
      </c>
      <c r="AI255" s="21">
        <v>-1.3073700000000001E-2</v>
      </c>
      <c r="AJ255" s="21">
        <v>245</v>
      </c>
      <c r="AK255" s="21">
        <v>1.1328100000000001</v>
      </c>
      <c r="AL255">
        <f t="shared" si="42"/>
        <v>16.14037037037037</v>
      </c>
      <c r="AM255">
        <f t="shared" si="43"/>
        <v>18.298822099999999</v>
      </c>
      <c r="AP255" s="9"/>
      <c r="AQ255" s="21">
        <v>0.50628700000000004</v>
      </c>
      <c r="AR255" s="21">
        <v>26.248200000000001</v>
      </c>
      <c r="AS255" s="21">
        <v>-1.37512E-2</v>
      </c>
      <c r="AT255" s="21">
        <v>245</v>
      </c>
      <c r="AU255" s="21">
        <v>0.505768</v>
      </c>
      <c r="AV255">
        <f t="shared" si="44"/>
        <v>16.976790123456787</v>
      </c>
      <c r="AW255">
        <f t="shared" si="45"/>
        <v>8.5951281412345679</v>
      </c>
      <c r="AX255" s="9"/>
      <c r="AY255" s="21">
        <v>1.1337299999999999</v>
      </c>
      <c r="AZ255" s="21">
        <v>29.9465</v>
      </c>
      <c r="BA255" s="21">
        <v>-1.30005E-2</v>
      </c>
      <c r="BB255" s="21">
        <v>245</v>
      </c>
      <c r="BC255" s="21">
        <v>1.1334200000000001</v>
      </c>
      <c r="BD255">
        <f t="shared" si="46"/>
        <v>16.049999999999997</v>
      </c>
      <c r="BE255">
        <f t="shared" si="47"/>
        <v>18.196366499999996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0.501251</v>
      </c>
      <c r="H256" s="21">
        <v>8.0668000000000006</v>
      </c>
      <c r="I256" s="21">
        <v>-1.3815300000000001E-2</v>
      </c>
      <c r="J256" s="21">
        <v>246</v>
      </c>
      <c r="K256" s="21">
        <v>0.50054900000000002</v>
      </c>
      <c r="L256">
        <f t="shared" si="36"/>
        <v>17.055925925925926</v>
      </c>
      <c r="M256">
        <f t="shared" si="37"/>
        <v>8.5492999262962961</v>
      </c>
      <c r="N256" s="9"/>
      <c r="O256" s="21">
        <v>1.13876</v>
      </c>
      <c r="P256" s="21">
        <v>11.7651</v>
      </c>
      <c r="Q256" s="21">
        <v>-1.30615E-2</v>
      </c>
      <c r="R256" s="21">
        <v>246</v>
      </c>
      <c r="S256" s="21">
        <v>1.1376999999999999</v>
      </c>
      <c r="T256">
        <f t="shared" si="38"/>
        <v>16.125308641975309</v>
      </c>
      <c r="U256">
        <f t="shared" si="39"/>
        <v>18.362856469135803</v>
      </c>
      <c r="X256" s="9"/>
      <c r="Y256" s="21">
        <v>0.501251</v>
      </c>
      <c r="Z256" s="21">
        <v>17.126000000000001</v>
      </c>
      <c r="AA256" s="21">
        <v>-1.37421E-2</v>
      </c>
      <c r="AB256" s="21">
        <v>246</v>
      </c>
      <c r="AC256" s="21">
        <v>0.50058000000000002</v>
      </c>
      <c r="AD256">
        <f t="shared" si="40"/>
        <v>16.965555555555554</v>
      </c>
      <c r="AE256">
        <f t="shared" si="41"/>
        <v>8.5040016877777767</v>
      </c>
      <c r="AF256" s="9"/>
      <c r="AG256" s="21">
        <v>1.13876</v>
      </c>
      <c r="AH256" s="21">
        <v>20.824400000000001</v>
      </c>
      <c r="AI256" s="21">
        <v>-1.3073700000000001E-2</v>
      </c>
      <c r="AJ256" s="21">
        <v>246</v>
      </c>
      <c r="AK256" s="21">
        <v>1.1383099999999999</v>
      </c>
      <c r="AL256">
        <f t="shared" si="42"/>
        <v>16.14037037037037</v>
      </c>
      <c r="AM256">
        <f t="shared" si="43"/>
        <v>18.380008162962962</v>
      </c>
      <c r="AP256" s="9"/>
      <c r="AQ256" s="21">
        <v>0.501251</v>
      </c>
      <c r="AR256" s="21">
        <v>26.258199999999999</v>
      </c>
      <c r="AS256" s="21">
        <v>-1.37299E-2</v>
      </c>
      <c r="AT256" s="21">
        <v>246</v>
      </c>
      <c r="AU256" s="21">
        <v>0.50061</v>
      </c>
      <c r="AV256">
        <f t="shared" si="44"/>
        <v>16.950493827160493</v>
      </c>
      <c r="AW256">
        <f t="shared" si="45"/>
        <v>8.4964519813580246</v>
      </c>
      <c r="AX256" s="9"/>
      <c r="AY256" s="21">
        <v>1.13876</v>
      </c>
      <c r="AZ256" s="21">
        <v>29.956600000000002</v>
      </c>
      <c r="BA256" s="21">
        <v>-1.2997399999999999E-2</v>
      </c>
      <c r="BB256" s="21">
        <v>246</v>
      </c>
      <c r="BC256" s="21">
        <v>1.1376999999999999</v>
      </c>
      <c r="BD256">
        <f t="shared" si="46"/>
        <v>16.04617283950617</v>
      </c>
      <c r="BE256">
        <f t="shared" si="47"/>
        <v>18.272739782716044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0.49621599999999999</v>
      </c>
      <c r="H257" s="21">
        <v>8.0768699999999995</v>
      </c>
      <c r="I257" s="21">
        <v>-1.3821399999999999E-2</v>
      </c>
      <c r="J257" s="21">
        <v>247</v>
      </c>
      <c r="K257" s="21">
        <v>0.49557499999999999</v>
      </c>
      <c r="L257">
        <f t="shared" si="36"/>
        <v>17.063456790123453</v>
      </c>
      <c r="M257">
        <f t="shared" si="37"/>
        <v>8.4671602745678989</v>
      </c>
      <c r="N257" s="9"/>
      <c r="O257" s="21">
        <v>1.1437999999999999</v>
      </c>
      <c r="P257" s="21">
        <v>11.7752</v>
      </c>
      <c r="Q257" s="21">
        <v>-1.30341E-2</v>
      </c>
      <c r="R257" s="21">
        <v>247</v>
      </c>
      <c r="S257" s="21">
        <v>1.1428799999999999</v>
      </c>
      <c r="T257">
        <f t="shared" si="38"/>
        <v>16.09148148148148</v>
      </c>
      <c r="U257">
        <f t="shared" si="39"/>
        <v>18.405436518518517</v>
      </c>
      <c r="X257" s="9"/>
      <c r="Y257" s="21">
        <v>0.49621599999999999</v>
      </c>
      <c r="Z257" s="21">
        <v>17.136099999999999</v>
      </c>
      <c r="AA257" s="21">
        <v>-1.3732899999999999E-2</v>
      </c>
      <c r="AB257" s="21">
        <v>247</v>
      </c>
      <c r="AC257" s="21">
        <v>0.49551400000000001</v>
      </c>
      <c r="AD257">
        <f t="shared" si="40"/>
        <v>16.954197530864196</v>
      </c>
      <c r="AE257">
        <f t="shared" si="41"/>
        <v>8.4129440819753079</v>
      </c>
      <c r="AF257" s="9"/>
      <c r="AG257" s="21">
        <v>1.1437999999999999</v>
      </c>
      <c r="AH257" s="21">
        <v>20.834499999999998</v>
      </c>
      <c r="AI257" s="21">
        <v>-1.3073700000000001E-2</v>
      </c>
      <c r="AJ257" s="21">
        <v>247</v>
      </c>
      <c r="AK257" s="21">
        <v>1.1431899999999999</v>
      </c>
      <c r="AL257">
        <f t="shared" si="42"/>
        <v>16.14037037037037</v>
      </c>
      <c r="AM257">
        <f t="shared" si="43"/>
        <v>18.46135562962963</v>
      </c>
      <c r="AP257" s="9"/>
      <c r="AQ257" s="21">
        <v>0.49621599999999999</v>
      </c>
      <c r="AR257" s="21">
        <v>26.2683</v>
      </c>
      <c r="AS257" s="21">
        <v>-1.3720700000000001E-2</v>
      </c>
      <c r="AT257" s="21">
        <v>247</v>
      </c>
      <c r="AU257" s="21">
        <v>0.49545299999999998</v>
      </c>
      <c r="AV257">
        <f t="shared" si="44"/>
        <v>16.939135802469135</v>
      </c>
      <c r="AW257">
        <f t="shared" si="45"/>
        <v>8.4054702113580237</v>
      </c>
      <c r="AX257" s="9"/>
      <c r="AY257" s="21">
        <v>1.1437999999999999</v>
      </c>
      <c r="AZ257" s="21">
        <v>29.9666</v>
      </c>
      <c r="BA257" s="21">
        <v>-1.2988299999999999E-2</v>
      </c>
      <c r="BB257" s="21">
        <v>247</v>
      </c>
      <c r="BC257" s="21">
        <v>1.1431899999999999</v>
      </c>
      <c r="BD257">
        <f t="shared" si="46"/>
        <v>16.034938271604936</v>
      </c>
      <c r="BE257">
        <f t="shared" si="47"/>
        <v>18.340762395061724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0.49118000000000001</v>
      </c>
      <c r="H258" s="21">
        <v>8.0869400000000002</v>
      </c>
      <c r="I258" s="21">
        <v>-1.38367E-2</v>
      </c>
      <c r="J258" s="21">
        <v>248</v>
      </c>
      <c r="K258" s="21">
        <v>0.49053999999999998</v>
      </c>
      <c r="L258">
        <f t="shared" si="36"/>
        <v>17.082345679012345</v>
      </c>
      <c r="M258">
        <f t="shared" si="37"/>
        <v>8.3905065506172836</v>
      </c>
      <c r="N258" s="9"/>
      <c r="O258" s="21">
        <v>1.14883</v>
      </c>
      <c r="P258" s="21">
        <v>11.785299999999999</v>
      </c>
      <c r="Q258" s="21">
        <v>-1.30127E-2</v>
      </c>
      <c r="R258" s="21">
        <v>248</v>
      </c>
      <c r="S258" s="21">
        <v>1.1480699999999999</v>
      </c>
      <c r="T258">
        <f t="shared" si="38"/>
        <v>16.065061728395062</v>
      </c>
      <c r="U258">
        <f t="shared" si="39"/>
        <v>18.456024865432099</v>
      </c>
      <c r="X258" s="9"/>
      <c r="Y258" s="21">
        <v>0.49118000000000001</v>
      </c>
      <c r="Z258" s="21">
        <v>17.1462</v>
      </c>
      <c r="AA258" s="21">
        <v>-1.3717699999999999E-2</v>
      </c>
      <c r="AB258" s="21">
        <v>248</v>
      </c>
      <c r="AC258" s="21">
        <v>0.49057000000000001</v>
      </c>
      <c r="AD258">
        <f t="shared" si="40"/>
        <v>16.935432098765432</v>
      </c>
      <c r="AE258">
        <f t="shared" si="41"/>
        <v>8.3183455382716041</v>
      </c>
      <c r="AF258" s="9"/>
      <c r="AG258" s="21">
        <v>1.14883</v>
      </c>
      <c r="AH258" s="21">
        <v>20.8445</v>
      </c>
      <c r="AI258" s="21">
        <v>-1.30676E-2</v>
      </c>
      <c r="AJ258" s="21">
        <v>248</v>
      </c>
      <c r="AK258" s="21">
        <v>1.14838</v>
      </c>
      <c r="AL258">
        <f t="shared" si="42"/>
        <v>16.132839506172839</v>
      </c>
      <c r="AM258">
        <f t="shared" si="43"/>
        <v>18.533890009876544</v>
      </c>
      <c r="AP258" s="9"/>
      <c r="AQ258" s="21">
        <v>0.49118000000000001</v>
      </c>
      <c r="AR258" s="21">
        <v>26.278400000000001</v>
      </c>
      <c r="AS258" s="21">
        <v>-1.37115E-2</v>
      </c>
      <c r="AT258" s="21">
        <v>248</v>
      </c>
      <c r="AU258" s="21">
        <v>0.490479</v>
      </c>
      <c r="AV258">
        <f t="shared" si="44"/>
        <v>16.927777777777777</v>
      </c>
      <c r="AW258">
        <f t="shared" si="45"/>
        <v>8.3145858888888888</v>
      </c>
      <c r="AX258" s="9"/>
      <c r="AY258" s="21">
        <v>1.14883</v>
      </c>
      <c r="AZ258" s="21">
        <v>29.976700000000001</v>
      </c>
      <c r="BA258" s="21">
        <v>-1.2982199999999999E-2</v>
      </c>
      <c r="BB258" s="21">
        <v>248</v>
      </c>
      <c r="BC258" s="21">
        <v>1.1480699999999999</v>
      </c>
      <c r="BD258">
        <f t="shared" si="46"/>
        <v>16.027407407407406</v>
      </c>
      <c r="BE258">
        <f t="shared" si="47"/>
        <v>18.412766451851851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0.48614499999999999</v>
      </c>
      <c r="H259" s="21">
        <v>8.0970099999999992</v>
      </c>
      <c r="I259" s="21">
        <v>-1.38519E-2</v>
      </c>
      <c r="J259" s="21">
        <v>249</v>
      </c>
      <c r="K259" s="21">
        <v>0.48550399999999999</v>
      </c>
      <c r="L259">
        <f t="shared" si="36"/>
        <v>17.101111111111113</v>
      </c>
      <c r="M259">
        <f t="shared" si="37"/>
        <v>8.3136196611111117</v>
      </c>
      <c r="N259" s="9"/>
      <c r="O259" s="21">
        <v>1.15387</v>
      </c>
      <c r="P259" s="21">
        <v>11.795299999999999</v>
      </c>
      <c r="Q259" s="21">
        <v>-1.30096E-2</v>
      </c>
      <c r="R259" s="21">
        <v>249</v>
      </c>
      <c r="S259" s="21">
        <v>1.1529499999999999</v>
      </c>
      <c r="T259">
        <f t="shared" si="38"/>
        <v>16.061234567901234</v>
      </c>
      <c r="U259">
        <f t="shared" si="39"/>
        <v>18.532576730864196</v>
      </c>
      <c r="X259" s="9"/>
      <c r="Y259" s="21">
        <v>0.48614499999999999</v>
      </c>
      <c r="Z259" s="21">
        <v>17.156199999999998</v>
      </c>
      <c r="AA259" s="21">
        <v>-1.37146E-2</v>
      </c>
      <c r="AB259" s="21">
        <v>249</v>
      </c>
      <c r="AC259" s="21">
        <v>0.48544300000000001</v>
      </c>
      <c r="AD259">
        <f t="shared" si="40"/>
        <v>16.931604938271605</v>
      </c>
      <c r="AE259">
        <f t="shared" si="41"/>
        <v>8.2312150827160497</v>
      </c>
      <c r="AF259" s="9"/>
      <c r="AG259" s="21">
        <v>1.15387</v>
      </c>
      <c r="AH259" s="21">
        <v>20.854600000000001</v>
      </c>
      <c r="AI259" s="21">
        <v>-1.30615E-2</v>
      </c>
      <c r="AJ259" s="21">
        <v>249</v>
      </c>
      <c r="AK259" s="21">
        <v>1.15265</v>
      </c>
      <c r="AL259">
        <f t="shared" si="42"/>
        <v>16.125308641975309</v>
      </c>
      <c r="AM259">
        <f t="shared" si="43"/>
        <v>18.60650988271605</v>
      </c>
      <c r="AP259" s="9"/>
      <c r="AQ259" s="21">
        <v>0.48614499999999999</v>
      </c>
      <c r="AR259" s="21">
        <v>26.288399999999999</v>
      </c>
      <c r="AS259" s="21">
        <v>-1.3717699999999999E-2</v>
      </c>
      <c r="AT259" s="21">
        <v>249</v>
      </c>
      <c r="AU259" s="21">
        <v>0.48553499999999999</v>
      </c>
      <c r="AV259">
        <f t="shared" si="44"/>
        <v>16.935432098765432</v>
      </c>
      <c r="AW259">
        <f t="shared" si="45"/>
        <v>8.2330756376543199</v>
      </c>
      <c r="AX259" s="9"/>
      <c r="AY259" s="21">
        <v>1.15387</v>
      </c>
      <c r="AZ259" s="21">
        <v>29.986799999999999</v>
      </c>
      <c r="BA259" s="21">
        <v>-1.2973E-2</v>
      </c>
      <c r="BB259" s="21">
        <v>249</v>
      </c>
      <c r="BC259" s="21">
        <v>1.1535599999999999</v>
      </c>
      <c r="BD259">
        <f t="shared" si="46"/>
        <v>16.016049382716048</v>
      </c>
      <c r="BE259">
        <f t="shared" si="47"/>
        <v>18.480438901234564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0.48110999999999998</v>
      </c>
      <c r="H260" s="21">
        <v>8.1070799999999998</v>
      </c>
      <c r="I260" s="21">
        <v>-1.38458E-2</v>
      </c>
      <c r="J260" s="21">
        <v>250</v>
      </c>
      <c r="K260" s="21">
        <v>0.48049900000000001</v>
      </c>
      <c r="L260">
        <f t="shared" si="36"/>
        <v>17.093580246913579</v>
      </c>
      <c r="M260">
        <f t="shared" si="37"/>
        <v>8.2238923925925924</v>
      </c>
      <c r="N260" s="9"/>
      <c r="O260" s="21">
        <v>1.1589100000000001</v>
      </c>
      <c r="P260" s="21">
        <v>11.805400000000001</v>
      </c>
      <c r="Q260" s="21">
        <v>-1.3003499999999999E-2</v>
      </c>
      <c r="R260" s="21">
        <v>250</v>
      </c>
      <c r="S260" s="21">
        <v>1.15784</v>
      </c>
      <c r="T260">
        <f t="shared" si="38"/>
        <v>16.0537037037037</v>
      </c>
      <c r="U260">
        <f t="shared" si="39"/>
        <v>18.604797759259256</v>
      </c>
      <c r="X260" s="9"/>
      <c r="Y260" s="21">
        <v>0.48110999999999998</v>
      </c>
      <c r="Z260" s="21">
        <v>17.1663</v>
      </c>
      <c r="AA260" s="21">
        <v>-1.37299E-2</v>
      </c>
      <c r="AB260" s="21">
        <v>250</v>
      </c>
      <c r="AC260" s="21">
        <v>0.48049900000000001</v>
      </c>
      <c r="AD260">
        <f t="shared" si="40"/>
        <v>16.950493827160493</v>
      </c>
      <c r="AE260">
        <f t="shared" si="41"/>
        <v>8.1550520851851847</v>
      </c>
      <c r="AF260" s="9"/>
      <c r="AG260" s="21">
        <v>1.1589100000000001</v>
      </c>
      <c r="AH260" s="21">
        <v>20.864699999999999</v>
      </c>
      <c r="AI260" s="21">
        <v>-1.30615E-2</v>
      </c>
      <c r="AJ260" s="21">
        <v>250</v>
      </c>
      <c r="AK260" s="21">
        <v>1.1581399999999999</v>
      </c>
      <c r="AL260">
        <f t="shared" si="42"/>
        <v>16.125308641975309</v>
      </c>
      <c r="AM260">
        <f t="shared" si="43"/>
        <v>18.687781438271607</v>
      </c>
      <c r="AP260" s="9"/>
      <c r="AQ260" s="21">
        <v>0.48110999999999998</v>
      </c>
      <c r="AR260" s="21">
        <v>26.298500000000001</v>
      </c>
      <c r="AS260" s="21">
        <v>-1.3717699999999999E-2</v>
      </c>
      <c r="AT260" s="21">
        <v>250</v>
      </c>
      <c r="AU260" s="21">
        <v>0.48055999999999999</v>
      </c>
      <c r="AV260">
        <f t="shared" si="44"/>
        <v>16.935432098765432</v>
      </c>
      <c r="AW260">
        <f t="shared" si="45"/>
        <v>8.1478057370370358</v>
      </c>
      <c r="AX260" s="9"/>
      <c r="AY260" s="21">
        <v>1.1589100000000001</v>
      </c>
      <c r="AZ260" s="21">
        <v>29.9969</v>
      </c>
      <c r="BA260" s="21">
        <v>-1.29578E-2</v>
      </c>
      <c r="BB260" s="21">
        <v>250</v>
      </c>
      <c r="BC260" s="21">
        <v>1.15784</v>
      </c>
      <c r="BD260">
        <f t="shared" si="46"/>
        <v>15.997283950617284</v>
      </c>
      <c r="BE260">
        <f t="shared" si="47"/>
        <v>18.539412343209879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0.476074</v>
      </c>
      <c r="H261" s="21">
        <v>8.1171500000000005</v>
      </c>
      <c r="I261" s="21">
        <v>-1.38397E-2</v>
      </c>
      <c r="J261" s="21">
        <v>251</v>
      </c>
      <c r="K261" s="21">
        <v>0.475464</v>
      </c>
      <c r="L261">
        <f t="shared" si="36"/>
        <v>17.086049382716048</v>
      </c>
      <c r="M261">
        <f t="shared" si="37"/>
        <v>8.1342238738271604</v>
      </c>
      <c r="N261" s="9"/>
      <c r="O261" s="21">
        <v>1.16394</v>
      </c>
      <c r="P261" s="21">
        <v>11.8155</v>
      </c>
      <c r="Q261" s="21">
        <v>-1.30005E-2</v>
      </c>
      <c r="R261" s="21">
        <v>251</v>
      </c>
      <c r="S261" s="21">
        <v>1.16272</v>
      </c>
      <c r="T261">
        <f t="shared" si="38"/>
        <v>16.049999999999997</v>
      </c>
      <c r="U261">
        <f t="shared" si="39"/>
        <v>18.681236999999996</v>
      </c>
      <c r="X261" s="9"/>
      <c r="Y261" s="21">
        <v>0.476074</v>
      </c>
      <c r="Z261" s="21">
        <v>17.176400000000001</v>
      </c>
      <c r="AA261" s="21">
        <v>-1.3738999999999999E-2</v>
      </c>
      <c r="AB261" s="21">
        <v>251</v>
      </c>
      <c r="AC261" s="21">
        <v>0.47540300000000002</v>
      </c>
      <c r="AD261">
        <f t="shared" si="40"/>
        <v>16.961728395061726</v>
      </c>
      <c r="AE261">
        <f t="shared" si="41"/>
        <v>8.0750378839506158</v>
      </c>
      <c r="AF261" s="9"/>
      <c r="AG261" s="21">
        <v>1.16394</v>
      </c>
      <c r="AH261" s="21">
        <v>20.874700000000001</v>
      </c>
      <c r="AI261" s="21">
        <v>-1.30493E-2</v>
      </c>
      <c r="AJ261" s="21">
        <v>251</v>
      </c>
      <c r="AK261" s="21">
        <v>1.16333</v>
      </c>
      <c r="AL261">
        <f t="shared" si="42"/>
        <v>16.110246913580244</v>
      </c>
      <c r="AM261">
        <f t="shared" si="43"/>
        <v>18.751360792592589</v>
      </c>
      <c r="AP261" s="9"/>
      <c r="AQ261" s="21">
        <v>0.476074</v>
      </c>
      <c r="AR261" s="21">
        <v>26.308599999999998</v>
      </c>
      <c r="AS261" s="21">
        <v>-1.3732899999999999E-2</v>
      </c>
      <c r="AT261" s="21">
        <v>251</v>
      </c>
      <c r="AU261" s="21">
        <v>0.47543299999999999</v>
      </c>
      <c r="AV261">
        <f t="shared" si="44"/>
        <v>16.954197530864196</v>
      </c>
      <c r="AW261">
        <f t="shared" si="45"/>
        <v>8.071452635308642</v>
      </c>
      <c r="AX261" s="9"/>
      <c r="AY261" s="21">
        <v>1.16394</v>
      </c>
      <c r="AZ261" s="21">
        <v>30.006900000000002</v>
      </c>
      <c r="BA261" s="21">
        <v>-1.2936400000000001E-2</v>
      </c>
      <c r="BB261" s="21">
        <v>251</v>
      </c>
      <c r="BC261" s="21">
        <v>1.16333</v>
      </c>
      <c r="BD261">
        <f t="shared" si="46"/>
        <v>15.970864197530865</v>
      </c>
      <c r="BE261">
        <f t="shared" si="47"/>
        <v>18.589127674074074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0.47103899999999999</v>
      </c>
      <c r="H262" s="21">
        <v>8.1272199999999994</v>
      </c>
      <c r="I262" s="21">
        <v>-1.38275E-2</v>
      </c>
      <c r="J262" s="21">
        <v>252</v>
      </c>
      <c r="K262" s="21">
        <v>0.47045900000000002</v>
      </c>
      <c r="L262">
        <f t="shared" si="36"/>
        <v>17.070987654320987</v>
      </c>
      <c r="M262">
        <f t="shared" si="37"/>
        <v>8.0411009537037028</v>
      </c>
      <c r="N262" s="9"/>
      <c r="O262" s="21">
        <v>1.1689799999999999</v>
      </c>
      <c r="P262" s="21">
        <v>11.8256</v>
      </c>
      <c r="Q262" s="21">
        <v>-1.29944E-2</v>
      </c>
      <c r="R262" s="21">
        <v>252</v>
      </c>
      <c r="S262" s="21">
        <v>1.16791</v>
      </c>
      <c r="T262">
        <f t="shared" si="38"/>
        <v>16.042469135802467</v>
      </c>
      <c r="U262">
        <f t="shared" si="39"/>
        <v>18.753325570370365</v>
      </c>
      <c r="X262" s="9"/>
      <c r="Y262" s="21">
        <v>0.47103899999999999</v>
      </c>
      <c r="Z262" s="21">
        <v>17.186399999999999</v>
      </c>
      <c r="AA262" s="21">
        <v>-1.37451E-2</v>
      </c>
      <c r="AB262" s="21">
        <v>252</v>
      </c>
      <c r="AC262" s="21">
        <v>0.47042800000000001</v>
      </c>
      <c r="AD262">
        <f t="shared" si="40"/>
        <v>16.969259259259257</v>
      </c>
      <c r="AE262">
        <f t="shared" si="41"/>
        <v>7.9931829122222204</v>
      </c>
      <c r="AF262" s="9"/>
      <c r="AG262" s="21">
        <v>1.1689799999999999</v>
      </c>
      <c r="AH262" s="21">
        <v>20.884799999999998</v>
      </c>
      <c r="AI262" s="21">
        <v>-1.3028E-2</v>
      </c>
      <c r="AJ262" s="21">
        <v>252</v>
      </c>
      <c r="AK262" s="21">
        <v>1.16821</v>
      </c>
      <c r="AL262">
        <f t="shared" si="42"/>
        <v>16.08395061728395</v>
      </c>
      <c r="AM262">
        <f t="shared" si="43"/>
        <v>18.801816592592591</v>
      </c>
      <c r="AP262" s="9"/>
      <c r="AQ262" s="21">
        <v>0.47103899999999999</v>
      </c>
      <c r="AR262" s="21">
        <v>26.3187</v>
      </c>
      <c r="AS262" s="21">
        <v>-1.37451E-2</v>
      </c>
      <c r="AT262" s="21">
        <v>252</v>
      </c>
      <c r="AU262" s="21">
        <v>0.47061199999999997</v>
      </c>
      <c r="AV262">
        <f t="shared" si="44"/>
        <v>16.969259259259257</v>
      </c>
      <c r="AW262">
        <f t="shared" si="45"/>
        <v>7.9931829122222204</v>
      </c>
      <c r="AX262" s="9"/>
      <c r="AY262" s="21">
        <v>1.1689799999999999</v>
      </c>
      <c r="AZ262" s="21">
        <v>30.016999999999999</v>
      </c>
      <c r="BA262" s="21">
        <v>-1.29181E-2</v>
      </c>
      <c r="BB262" s="21">
        <v>252</v>
      </c>
      <c r="BC262" s="21">
        <v>1.16821</v>
      </c>
      <c r="BD262">
        <f t="shared" si="46"/>
        <v>15.94827160493827</v>
      </c>
      <c r="BE262">
        <f t="shared" si="47"/>
        <v>18.643210540740739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0.466003</v>
      </c>
      <c r="H263" s="21">
        <v>8.1372900000000001</v>
      </c>
      <c r="I263" s="21">
        <v>-1.3806199999999999E-2</v>
      </c>
      <c r="J263" s="21">
        <v>253</v>
      </c>
      <c r="K263" s="21">
        <v>0.46545399999999998</v>
      </c>
      <c r="L263">
        <f t="shared" si="36"/>
        <v>17.044691358024689</v>
      </c>
      <c r="M263">
        <f t="shared" si="37"/>
        <v>7.9428773069135792</v>
      </c>
      <c r="N263" s="9"/>
      <c r="O263" s="21">
        <v>1.17401</v>
      </c>
      <c r="P263" s="21">
        <v>11.835599999999999</v>
      </c>
      <c r="Q263" s="21">
        <v>-1.29791E-2</v>
      </c>
      <c r="R263" s="21">
        <v>253</v>
      </c>
      <c r="S263" s="21">
        <v>1.1734</v>
      </c>
      <c r="T263">
        <f t="shared" si="38"/>
        <v>16.023580246913578</v>
      </c>
      <c r="U263">
        <f t="shared" si="39"/>
        <v>18.81184344567901</v>
      </c>
      <c r="X263" s="9"/>
      <c r="Y263" s="21">
        <v>0.466003</v>
      </c>
      <c r="Z263" s="21">
        <v>17.1965</v>
      </c>
      <c r="AA263" s="21">
        <v>-1.3754300000000001E-2</v>
      </c>
      <c r="AB263" s="21">
        <v>253</v>
      </c>
      <c r="AC263" s="21">
        <v>0.465393</v>
      </c>
      <c r="AD263">
        <f t="shared" si="40"/>
        <v>16.980617283950615</v>
      </c>
      <c r="AE263">
        <f t="shared" si="41"/>
        <v>7.9130185961728383</v>
      </c>
      <c r="AF263" s="9"/>
      <c r="AG263" s="21">
        <v>1.17401</v>
      </c>
      <c r="AH263" s="21">
        <v>20.8949</v>
      </c>
      <c r="AI263" s="21">
        <v>-1.30066E-2</v>
      </c>
      <c r="AJ263" s="21">
        <v>253</v>
      </c>
      <c r="AK263" s="21">
        <v>1.1734</v>
      </c>
      <c r="AL263">
        <f t="shared" si="42"/>
        <v>16.057530864197531</v>
      </c>
      <c r="AM263">
        <f t="shared" si="43"/>
        <v>18.851701809876545</v>
      </c>
      <c r="AP263" s="9"/>
      <c r="AQ263" s="21">
        <v>0.466003</v>
      </c>
      <c r="AR263" s="21">
        <v>26.328700000000001</v>
      </c>
      <c r="AS263" s="21">
        <v>-1.37512E-2</v>
      </c>
      <c r="AT263" s="21">
        <v>253</v>
      </c>
      <c r="AU263" s="21">
        <v>0.46551500000000001</v>
      </c>
      <c r="AV263">
        <f t="shared" si="44"/>
        <v>16.976790123456787</v>
      </c>
      <c r="AW263">
        <f t="shared" si="45"/>
        <v>7.9112351279012332</v>
      </c>
      <c r="AX263" s="9"/>
      <c r="AY263" s="21">
        <v>1.17401</v>
      </c>
      <c r="AZ263" s="21">
        <v>30.027100000000001</v>
      </c>
      <c r="BA263" s="21">
        <v>-1.2902800000000001E-2</v>
      </c>
      <c r="BB263" s="21">
        <v>253</v>
      </c>
      <c r="BC263" s="21">
        <v>1.1734</v>
      </c>
      <c r="BD263">
        <f t="shared" si="46"/>
        <v>15.929382716049382</v>
      </c>
      <c r="BE263">
        <f t="shared" si="47"/>
        <v>18.701254602469135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0.46096799999999999</v>
      </c>
      <c r="H264" s="21">
        <v>8.1473600000000008</v>
      </c>
      <c r="I264" s="21">
        <v>-1.3787799999999999E-2</v>
      </c>
      <c r="J264" s="21">
        <v>254</v>
      </c>
      <c r="K264" s="21">
        <v>0.46029700000000001</v>
      </c>
      <c r="L264">
        <f t="shared" si="36"/>
        <v>17.021975308641974</v>
      </c>
      <c r="M264">
        <f t="shared" si="37"/>
        <v>7.8465859140740735</v>
      </c>
      <c r="N264" s="9"/>
      <c r="O264" s="21">
        <v>1.1790499999999999</v>
      </c>
      <c r="P264" s="21">
        <v>11.845700000000001</v>
      </c>
      <c r="Q264" s="21">
        <v>-1.29791E-2</v>
      </c>
      <c r="R264" s="21">
        <v>254</v>
      </c>
      <c r="S264" s="21">
        <v>1.17828</v>
      </c>
      <c r="T264">
        <f t="shared" si="38"/>
        <v>16.023580246913578</v>
      </c>
      <c r="U264">
        <f t="shared" si="39"/>
        <v>18.892602290123452</v>
      </c>
      <c r="X264" s="9"/>
      <c r="Y264" s="21">
        <v>0.46096799999999999</v>
      </c>
      <c r="Z264" s="21">
        <v>17.206600000000002</v>
      </c>
      <c r="AA264" s="21">
        <v>-1.3754300000000001E-2</v>
      </c>
      <c r="AB264" s="21">
        <v>254</v>
      </c>
      <c r="AC264" s="21">
        <v>0.46048</v>
      </c>
      <c r="AD264">
        <f t="shared" si="40"/>
        <v>16.980617283950615</v>
      </c>
      <c r="AE264">
        <f t="shared" si="41"/>
        <v>7.8275211881481468</v>
      </c>
      <c r="AF264" s="9"/>
      <c r="AG264" s="21">
        <v>1.1790499999999999</v>
      </c>
      <c r="AH264" s="21">
        <v>20.904900000000001</v>
      </c>
      <c r="AI264" s="21">
        <v>-1.2991300000000001E-2</v>
      </c>
      <c r="AJ264" s="21">
        <v>254</v>
      </c>
      <c r="AK264" s="21">
        <v>1.17828</v>
      </c>
      <c r="AL264">
        <f t="shared" si="42"/>
        <v>16.038641975308643</v>
      </c>
      <c r="AM264">
        <f t="shared" si="43"/>
        <v>18.910360820987655</v>
      </c>
      <c r="AP264" s="9"/>
      <c r="AQ264" s="21">
        <v>0.46096799999999999</v>
      </c>
      <c r="AR264" s="21">
        <v>26.338799999999999</v>
      </c>
      <c r="AS264" s="21">
        <v>-1.3754300000000001E-2</v>
      </c>
      <c r="AT264" s="21">
        <v>254</v>
      </c>
      <c r="AU264" s="21">
        <v>0.46050999999999997</v>
      </c>
      <c r="AV264">
        <f t="shared" si="44"/>
        <v>16.980617283950615</v>
      </c>
      <c r="AW264">
        <f t="shared" si="45"/>
        <v>7.8275211881481468</v>
      </c>
      <c r="AX264" s="9"/>
      <c r="AY264" s="21">
        <v>1.1790499999999999</v>
      </c>
      <c r="AZ264" s="21">
        <v>30.037099999999999</v>
      </c>
      <c r="BA264" s="21">
        <v>-1.2881500000000001E-2</v>
      </c>
      <c r="BB264" s="21">
        <v>254</v>
      </c>
      <c r="BC264" s="21">
        <v>1.17798</v>
      </c>
      <c r="BD264">
        <f t="shared" si="46"/>
        <v>15.903086419753087</v>
      </c>
      <c r="BE264">
        <f t="shared" si="47"/>
        <v>18.750534043209878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0.45593299999999998</v>
      </c>
      <c r="H265" s="21">
        <v>8.1574299999999997</v>
      </c>
      <c r="I265" s="21">
        <v>-1.37787E-2</v>
      </c>
      <c r="J265" s="21">
        <v>255</v>
      </c>
      <c r="K265" s="21">
        <v>0.45517000000000002</v>
      </c>
      <c r="L265">
        <f t="shared" si="36"/>
        <v>17.01074074074074</v>
      </c>
      <c r="M265">
        <f t="shared" si="37"/>
        <v>7.7557580581481478</v>
      </c>
      <c r="N265" s="9"/>
      <c r="O265" s="21">
        <v>1.18408</v>
      </c>
      <c r="P265" s="21">
        <v>11.8558</v>
      </c>
      <c r="Q265" s="21">
        <v>-1.2976100000000001E-2</v>
      </c>
      <c r="R265" s="21">
        <v>255</v>
      </c>
      <c r="S265" s="21">
        <v>1.1831700000000001</v>
      </c>
      <c r="T265">
        <f t="shared" si="38"/>
        <v>16.019876543209875</v>
      </c>
      <c r="U265">
        <f t="shared" si="39"/>
        <v>18.968815417283949</v>
      </c>
      <c r="X265" s="9"/>
      <c r="Y265" s="21">
        <v>0.45593299999999998</v>
      </c>
      <c r="Z265" s="21">
        <v>17.2166</v>
      </c>
      <c r="AA265" s="21">
        <v>-1.3760400000000001E-2</v>
      </c>
      <c r="AB265" s="21">
        <v>255</v>
      </c>
      <c r="AC265" s="21">
        <v>0.455322</v>
      </c>
      <c r="AD265">
        <f t="shared" si="40"/>
        <v>16.988148148148149</v>
      </c>
      <c r="AE265">
        <f t="shared" si="41"/>
        <v>7.7454573496296293</v>
      </c>
      <c r="AF265" s="9"/>
      <c r="AG265" s="21">
        <v>1.18408</v>
      </c>
      <c r="AH265" s="21">
        <v>20.914999999999999</v>
      </c>
      <c r="AI265" s="21">
        <v>-1.2973E-2</v>
      </c>
      <c r="AJ265" s="21">
        <v>255</v>
      </c>
      <c r="AK265" s="21">
        <v>1.1831700000000001</v>
      </c>
      <c r="AL265">
        <f t="shared" si="42"/>
        <v>16.016049382716048</v>
      </c>
      <c r="AM265">
        <f t="shared" si="43"/>
        <v>18.96428375308642</v>
      </c>
      <c r="AP265" s="9"/>
      <c r="AQ265" s="21">
        <v>0.45593299999999998</v>
      </c>
      <c r="AR265" s="21">
        <v>26.3489</v>
      </c>
      <c r="AS265" s="21">
        <v>-1.37451E-2</v>
      </c>
      <c r="AT265" s="21">
        <v>255</v>
      </c>
      <c r="AU265" s="21">
        <v>0.45529199999999997</v>
      </c>
      <c r="AV265">
        <f t="shared" si="44"/>
        <v>16.969259259259257</v>
      </c>
      <c r="AW265">
        <f t="shared" si="45"/>
        <v>7.7368452818518501</v>
      </c>
      <c r="AX265" s="9"/>
      <c r="AY265" s="21">
        <v>1.18408</v>
      </c>
      <c r="AZ265" s="21">
        <v>30.0472</v>
      </c>
      <c r="BA265" s="21">
        <v>-1.28693E-2</v>
      </c>
      <c r="BB265" s="21">
        <v>255</v>
      </c>
      <c r="BC265" s="21">
        <v>1.18347</v>
      </c>
      <c r="BD265">
        <f t="shared" si="46"/>
        <v>15.888024691358023</v>
      </c>
      <c r="BE265">
        <f t="shared" si="47"/>
        <v>18.81269227654321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0.45089699999999999</v>
      </c>
      <c r="H266" s="21">
        <v>8.16751</v>
      </c>
      <c r="I266" s="21">
        <v>-1.37848E-2</v>
      </c>
      <c r="J266" s="21">
        <v>256</v>
      </c>
      <c r="K266" s="21">
        <v>0.45019500000000001</v>
      </c>
      <c r="L266">
        <f t="shared" si="36"/>
        <v>17.018271604938271</v>
      </c>
      <c r="M266">
        <f t="shared" si="37"/>
        <v>7.6734876118518516</v>
      </c>
      <c r="N266" s="9"/>
      <c r="O266" s="21">
        <v>1.18912</v>
      </c>
      <c r="P266" s="21">
        <v>11.8658</v>
      </c>
      <c r="Q266" s="21">
        <v>-1.29669E-2</v>
      </c>
      <c r="R266" s="21">
        <v>256</v>
      </c>
      <c r="S266" s="21">
        <v>1.1880500000000001</v>
      </c>
      <c r="T266">
        <f t="shared" si="38"/>
        <v>16.008518518518514</v>
      </c>
      <c r="U266">
        <f t="shared" si="39"/>
        <v>19.036049540740734</v>
      </c>
      <c r="X266" s="9"/>
      <c r="Y266" s="21">
        <v>0.45089699999999999</v>
      </c>
      <c r="Z266" s="21">
        <v>17.226700000000001</v>
      </c>
      <c r="AA266" s="21">
        <v>-1.3775600000000001E-2</v>
      </c>
      <c r="AB266" s="21">
        <v>256</v>
      </c>
      <c r="AC266" s="21">
        <v>0.45031700000000002</v>
      </c>
      <c r="AD266">
        <f t="shared" si="40"/>
        <v>17.006913580246916</v>
      </c>
      <c r="AE266">
        <f t="shared" si="41"/>
        <v>7.6683663125925934</v>
      </c>
      <c r="AF266" s="9"/>
      <c r="AG266" s="21">
        <v>1.18912</v>
      </c>
      <c r="AH266" s="21">
        <v>20.9251</v>
      </c>
      <c r="AI266" s="21">
        <v>-1.29578E-2</v>
      </c>
      <c r="AJ266" s="21">
        <v>256</v>
      </c>
      <c r="AK266" s="21">
        <v>1.1880500000000001</v>
      </c>
      <c r="AL266">
        <f t="shared" si="42"/>
        <v>15.997283950617284</v>
      </c>
      <c r="AM266">
        <f t="shared" si="43"/>
        <v>19.022690291358025</v>
      </c>
      <c r="AP266" s="9"/>
      <c r="AQ266" s="21">
        <v>0.45089699999999999</v>
      </c>
      <c r="AR266" s="21">
        <v>26.358899999999998</v>
      </c>
      <c r="AS266" s="21">
        <v>-1.37573E-2</v>
      </c>
      <c r="AT266" s="21">
        <v>256</v>
      </c>
      <c r="AU266" s="21">
        <v>0.45016499999999998</v>
      </c>
      <c r="AV266">
        <f t="shared" si="44"/>
        <v>16.984320987654321</v>
      </c>
      <c r="AW266">
        <f t="shared" si="45"/>
        <v>7.6581793803703704</v>
      </c>
      <c r="AX266" s="9"/>
      <c r="AY266" s="21">
        <v>1.18912</v>
      </c>
      <c r="AZ266" s="21">
        <v>30.057300000000001</v>
      </c>
      <c r="BA266" s="21">
        <v>-1.28571E-2</v>
      </c>
      <c r="BB266" s="21">
        <v>256</v>
      </c>
      <c r="BC266" s="21">
        <v>1.1880500000000001</v>
      </c>
      <c r="BD266">
        <f t="shared" si="46"/>
        <v>15.87296296296296</v>
      </c>
      <c r="BE266">
        <f t="shared" si="47"/>
        <v>18.874857718518516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0.44586199999999998</v>
      </c>
      <c r="H267" s="21">
        <v>8.1775800000000007</v>
      </c>
      <c r="I267" s="21">
        <v>-1.3797E-2</v>
      </c>
      <c r="J267" s="21">
        <v>257</v>
      </c>
      <c r="K267" s="21">
        <v>0.44525100000000001</v>
      </c>
      <c r="L267">
        <f t="shared" si="36"/>
        <v>17.033333333333331</v>
      </c>
      <c r="M267">
        <f t="shared" si="37"/>
        <v>7.5945160666666656</v>
      </c>
      <c r="N267" s="9"/>
      <c r="O267" s="21">
        <v>1.19415</v>
      </c>
      <c r="P267" s="21">
        <v>11.8759</v>
      </c>
      <c r="Q267" s="21">
        <v>-1.29669E-2</v>
      </c>
      <c r="R267" s="21">
        <v>257</v>
      </c>
      <c r="S267" s="21">
        <v>1.1926300000000001</v>
      </c>
      <c r="T267">
        <f t="shared" si="38"/>
        <v>16.008518518518514</v>
      </c>
      <c r="U267">
        <f t="shared" si="39"/>
        <v>19.116572388888883</v>
      </c>
      <c r="X267" s="9"/>
      <c r="Y267" s="21">
        <v>0.44586199999999998</v>
      </c>
      <c r="Z267" s="21">
        <v>17.236799999999999</v>
      </c>
      <c r="AA267" s="21">
        <v>-1.3772599999999999E-2</v>
      </c>
      <c r="AB267" s="21">
        <v>257</v>
      </c>
      <c r="AC267" s="21">
        <v>0.44528200000000001</v>
      </c>
      <c r="AD267">
        <f t="shared" si="40"/>
        <v>17.00320987654321</v>
      </c>
      <c r="AE267">
        <f t="shared" si="41"/>
        <v>7.5810851619753086</v>
      </c>
      <c r="AF267" s="9"/>
      <c r="AG267" s="21">
        <v>1.19415</v>
      </c>
      <c r="AH267" s="21">
        <v>20.935199999999998</v>
      </c>
      <c r="AI267" s="21">
        <v>-1.2942499999999999E-2</v>
      </c>
      <c r="AJ267" s="21">
        <v>257</v>
      </c>
      <c r="AK267" s="21">
        <v>1.1932400000000001</v>
      </c>
      <c r="AL267">
        <f t="shared" si="42"/>
        <v>15.978395061728392</v>
      </c>
      <c r="AM267">
        <f t="shared" si="43"/>
        <v>19.080600462962959</v>
      </c>
      <c r="AP267" s="9"/>
      <c r="AQ267" s="21">
        <v>0.44586199999999998</v>
      </c>
      <c r="AR267" s="21">
        <v>26.369</v>
      </c>
      <c r="AS267" s="21">
        <v>-1.37512E-2</v>
      </c>
      <c r="AT267" s="21">
        <v>257</v>
      </c>
      <c r="AU267" s="21">
        <v>0.44528200000000001</v>
      </c>
      <c r="AV267">
        <f t="shared" si="44"/>
        <v>16.976790123456787</v>
      </c>
      <c r="AW267">
        <f t="shared" si="45"/>
        <v>7.5693055980246902</v>
      </c>
      <c r="AX267" s="9"/>
      <c r="AY267" s="21">
        <v>1.19415</v>
      </c>
      <c r="AZ267" s="21">
        <v>30.067299999999999</v>
      </c>
      <c r="BA267" s="21">
        <v>-1.2847900000000001E-2</v>
      </c>
      <c r="BB267" s="21">
        <v>257</v>
      </c>
      <c r="BC267" s="21">
        <v>1.19293</v>
      </c>
      <c r="BD267">
        <f t="shared" si="46"/>
        <v>15.861604938271604</v>
      </c>
      <c r="BE267">
        <f t="shared" si="47"/>
        <v>18.941135537037038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0.440826</v>
      </c>
      <c r="H268" s="21">
        <v>8.1876499999999997</v>
      </c>
      <c r="I268" s="21">
        <v>-1.38275E-2</v>
      </c>
      <c r="J268" s="21">
        <v>258</v>
      </c>
      <c r="K268" s="21">
        <v>0.44030799999999998</v>
      </c>
      <c r="L268">
        <f t="shared" ref="L268:L331" si="48">-I268/$F$2*1000</f>
        <v>17.070987654320987</v>
      </c>
      <c r="M268">
        <f t="shared" ref="M268:M331" si="49">L268*G268</f>
        <v>7.5253352037037038</v>
      </c>
      <c r="N268" s="9"/>
      <c r="O268" s="21">
        <v>1.19919</v>
      </c>
      <c r="P268" s="21">
        <v>11.885999999999999</v>
      </c>
      <c r="Q268" s="21">
        <v>-1.29608E-2</v>
      </c>
      <c r="R268" s="21">
        <v>258</v>
      </c>
      <c r="S268" s="21">
        <v>1.1984300000000001</v>
      </c>
      <c r="T268">
        <f t="shared" ref="T268:T331" si="50">-Q268/$F$2*1000</f>
        <v>16.000987654320987</v>
      </c>
      <c r="U268">
        <f t="shared" ref="U268:U331" si="51">T268*O268</f>
        <v>19.188224385185183</v>
      </c>
      <c r="X268" s="9"/>
      <c r="Y268" s="21">
        <v>0.440826</v>
      </c>
      <c r="Z268" s="21">
        <v>17.2469</v>
      </c>
      <c r="AA268" s="21">
        <v>-1.3775600000000001E-2</v>
      </c>
      <c r="AB268" s="21">
        <v>258</v>
      </c>
      <c r="AC268" s="21">
        <v>0.440216</v>
      </c>
      <c r="AD268">
        <f t="shared" ref="AD268:AD331" si="52">-AA268/$F$2*1000</f>
        <v>17.006913580246916</v>
      </c>
      <c r="AE268">
        <f t="shared" ref="AE268:AE331" si="53">AD268*Y268</f>
        <v>7.4970896859259266</v>
      </c>
      <c r="AF268" s="9"/>
      <c r="AG268" s="21">
        <v>1.19919</v>
      </c>
      <c r="AH268" s="21">
        <v>20.9452</v>
      </c>
      <c r="AI268" s="21">
        <v>-1.2936400000000001E-2</v>
      </c>
      <c r="AJ268" s="21">
        <v>258</v>
      </c>
      <c r="AK268" s="21">
        <v>1.1981200000000001</v>
      </c>
      <c r="AL268">
        <f t="shared" ref="AL268:AL331" si="54">-AI268/$F$2*1000</f>
        <v>15.970864197530865</v>
      </c>
      <c r="AM268">
        <f t="shared" ref="AM268:AM331" si="55">AL268*AG268</f>
        <v>19.152100637037037</v>
      </c>
      <c r="AP268" s="9"/>
      <c r="AQ268" s="21">
        <v>0.440826</v>
      </c>
      <c r="AR268" s="21">
        <v>26.379100000000001</v>
      </c>
      <c r="AS268" s="21">
        <v>-1.3732899999999999E-2</v>
      </c>
      <c r="AT268" s="21">
        <v>258</v>
      </c>
      <c r="AU268" s="21">
        <v>0.44018600000000002</v>
      </c>
      <c r="AV268">
        <f t="shared" ref="AV268:AV331" si="56">-AS268/$F$2*1000</f>
        <v>16.954197530864196</v>
      </c>
      <c r="AW268">
        <f t="shared" ref="AW268:AW331" si="57">AV268*AQ268</f>
        <v>7.4738510807407401</v>
      </c>
      <c r="AX268" s="9"/>
      <c r="AY268" s="21">
        <v>1.19919</v>
      </c>
      <c r="AZ268" s="21">
        <v>30.077400000000001</v>
      </c>
      <c r="BA268" s="21">
        <v>-1.28418E-2</v>
      </c>
      <c r="BB268" s="21">
        <v>258</v>
      </c>
      <c r="BC268" s="21">
        <v>1.1984300000000001</v>
      </c>
      <c r="BD268">
        <f t="shared" ref="BD268:BD331" si="58">-BA268/$F$2*1000</f>
        <v>15.854074074074072</v>
      </c>
      <c r="BE268">
        <f t="shared" ref="BE268:BE331" si="59">BD268*AY268</f>
        <v>19.012047088888885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0.43579099999999998</v>
      </c>
      <c r="H269" s="21">
        <v>8.1977200000000003</v>
      </c>
      <c r="I269" s="21">
        <v>-1.38397E-2</v>
      </c>
      <c r="J269" s="21">
        <v>259</v>
      </c>
      <c r="K269" s="21">
        <v>0.43514999999999998</v>
      </c>
      <c r="L269">
        <f t="shared" si="48"/>
        <v>17.086049382716048</v>
      </c>
      <c r="M269">
        <f t="shared" si="49"/>
        <v>7.4459465465432091</v>
      </c>
      <c r="N269" s="9"/>
      <c r="O269" s="21">
        <v>1.2042200000000001</v>
      </c>
      <c r="P269" s="21">
        <v>11.896100000000001</v>
      </c>
      <c r="Q269" s="21">
        <v>-1.29456E-2</v>
      </c>
      <c r="R269" s="21">
        <v>259</v>
      </c>
      <c r="S269" s="21">
        <v>1.2027000000000001</v>
      </c>
      <c r="T269">
        <f t="shared" si="50"/>
        <v>15.982222222222221</v>
      </c>
      <c r="U269">
        <f t="shared" si="51"/>
        <v>19.246111644444444</v>
      </c>
      <c r="X269" s="9"/>
      <c r="Y269" s="21">
        <v>0.43579099999999998</v>
      </c>
      <c r="Z269" s="21">
        <v>17.256900000000002</v>
      </c>
      <c r="AA269" s="21">
        <v>-1.37848E-2</v>
      </c>
      <c r="AB269" s="21">
        <v>259</v>
      </c>
      <c r="AC269" s="21">
        <v>0.43518099999999998</v>
      </c>
      <c r="AD269">
        <f t="shared" si="52"/>
        <v>17.018271604938271</v>
      </c>
      <c r="AE269">
        <f t="shared" si="53"/>
        <v>7.4164096009876532</v>
      </c>
      <c r="AF269" s="9"/>
      <c r="AG269" s="21">
        <v>1.2042200000000001</v>
      </c>
      <c r="AH269" s="21">
        <v>20.955300000000001</v>
      </c>
      <c r="AI269" s="21">
        <v>-1.2912E-2</v>
      </c>
      <c r="AJ269" s="21">
        <v>259</v>
      </c>
      <c r="AK269" s="21">
        <v>1.2033100000000001</v>
      </c>
      <c r="AL269">
        <f t="shared" si="54"/>
        <v>15.940740740740738</v>
      </c>
      <c r="AM269">
        <f t="shared" si="55"/>
        <v>19.196158814814812</v>
      </c>
      <c r="AP269" s="9"/>
      <c r="AQ269" s="21">
        <v>0.43579099999999998</v>
      </c>
      <c r="AR269" s="21">
        <v>26.389199999999999</v>
      </c>
      <c r="AS269" s="21">
        <v>-1.3738999999999999E-2</v>
      </c>
      <c r="AT269" s="21">
        <v>259</v>
      </c>
      <c r="AU269" s="21">
        <v>0.43512000000000001</v>
      </c>
      <c r="AV269">
        <f t="shared" si="56"/>
        <v>16.961728395061726</v>
      </c>
      <c r="AW269">
        <f t="shared" si="57"/>
        <v>7.3917685790123446</v>
      </c>
      <c r="AX269" s="9"/>
      <c r="AY269" s="21">
        <v>1.2042200000000001</v>
      </c>
      <c r="AZ269" s="21">
        <v>30.087499999999999</v>
      </c>
      <c r="BA269" s="21">
        <v>-1.28296E-2</v>
      </c>
      <c r="BB269" s="21">
        <v>259</v>
      </c>
      <c r="BC269" s="21">
        <v>1.2036100000000001</v>
      </c>
      <c r="BD269">
        <f t="shared" si="58"/>
        <v>15.839012345679013</v>
      </c>
      <c r="BE269">
        <f t="shared" si="59"/>
        <v>19.07365544691358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>
        <v>0.43075600000000003</v>
      </c>
      <c r="H270" s="21">
        <v>8.2077899999999993</v>
      </c>
      <c r="I270" s="21">
        <v>-1.38519E-2</v>
      </c>
      <c r="J270" s="21">
        <v>260</v>
      </c>
      <c r="K270" s="21">
        <v>0.430176</v>
      </c>
      <c r="L270">
        <f t="shared" si="48"/>
        <v>17.101111111111113</v>
      </c>
      <c r="M270">
        <f t="shared" si="49"/>
        <v>7.3664062177777794</v>
      </c>
      <c r="N270" s="9"/>
      <c r="O270" s="21">
        <v>1.20926</v>
      </c>
      <c r="P270" s="21">
        <v>11.9061</v>
      </c>
      <c r="Q270" s="21">
        <v>-1.29303E-2</v>
      </c>
      <c r="R270" s="21">
        <v>260</v>
      </c>
      <c r="S270" s="21">
        <v>1.2081900000000001</v>
      </c>
      <c r="T270">
        <f t="shared" si="50"/>
        <v>15.963333333333333</v>
      </c>
      <c r="U270">
        <f t="shared" si="51"/>
        <v>19.303820466666668</v>
      </c>
      <c r="X270" s="9"/>
      <c r="Y270" s="21">
        <v>0.43075600000000003</v>
      </c>
      <c r="Z270" s="21">
        <v>17.266999999999999</v>
      </c>
      <c r="AA270" s="21">
        <v>-1.3787799999999999E-2</v>
      </c>
      <c r="AB270" s="21">
        <v>260</v>
      </c>
      <c r="AC270" s="21">
        <v>0.43011500000000003</v>
      </c>
      <c r="AD270">
        <f t="shared" si="52"/>
        <v>17.021975308641974</v>
      </c>
      <c r="AE270">
        <f t="shared" si="53"/>
        <v>7.3323179960493823</v>
      </c>
      <c r="AF270" s="9"/>
      <c r="AG270" s="21">
        <v>1.20926</v>
      </c>
      <c r="AH270" s="21">
        <v>20.965399999999999</v>
      </c>
      <c r="AI270" s="21">
        <v>-1.2887600000000001E-2</v>
      </c>
      <c r="AJ270" s="21">
        <v>260</v>
      </c>
      <c r="AK270" s="21">
        <v>1.2084999999999999</v>
      </c>
      <c r="AL270">
        <f t="shared" si="54"/>
        <v>15.910617283950618</v>
      </c>
      <c r="AM270">
        <f t="shared" si="55"/>
        <v>19.240073056790123</v>
      </c>
      <c r="AP270" s="9"/>
      <c r="AQ270" s="21">
        <v>0.43075600000000003</v>
      </c>
      <c r="AR270" s="21">
        <v>26.3992</v>
      </c>
      <c r="AS270" s="21">
        <v>-1.3738999999999999E-2</v>
      </c>
      <c r="AT270" s="21">
        <v>260</v>
      </c>
      <c r="AU270" s="21">
        <v>0.43005399999999999</v>
      </c>
      <c r="AV270">
        <f t="shared" si="56"/>
        <v>16.961728395061726</v>
      </c>
      <c r="AW270">
        <f t="shared" si="57"/>
        <v>7.3063662765432094</v>
      </c>
      <c r="AX270" s="9"/>
      <c r="AY270" s="21">
        <v>1.20926</v>
      </c>
      <c r="AZ270" s="21">
        <v>30.0976</v>
      </c>
      <c r="BA270" s="21">
        <v>-1.28235E-2</v>
      </c>
      <c r="BB270" s="21">
        <v>260</v>
      </c>
      <c r="BC270" s="21">
        <v>1.2078899999999999</v>
      </c>
      <c r="BD270">
        <f t="shared" si="58"/>
        <v>15.831481481481481</v>
      </c>
      <c r="BE270">
        <f t="shared" si="59"/>
        <v>19.144377296296295</v>
      </c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>
        <v>0.42571999999999999</v>
      </c>
      <c r="H271" s="21">
        <v>8.2178599999999999</v>
      </c>
      <c r="I271" s="21">
        <v>-1.3858000000000001E-2</v>
      </c>
      <c r="J271" s="21">
        <v>261</v>
      </c>
      <c r="K271" s="21">
        <v>0.425232</v>
      </c>
      <c r="L271">
        <f t="shared" si="48"/>
        <v>17.10864197530864</v>
      </c>
      <c r="M271">
        <f t="shared" si="49"/>
        <v>7.2834910617283937</v>
      </c>
      <c r="N271" s="9"/>
      <c r="O271" s="21">
        <v>1.2142900000000001</v>
      </c>
      <c r="P271" s="21">
        <v>11.9162</v>
      </c>
      <c r="Q271" s="21">
        <v>-1.29272E-2</v>
      </c>
      <c r="R271" s="21">
        <v>261</v>
      </c>
      <c r="S271" s="21">
        <v>1.2136800000000001</v>
      </c>
      <c r="T271">
        <f t="shared" si="50"/>
        <v>15.959506172839506</v>
      </c>
      <c r="U271">
        <f t="shared" si="51"/>
        <v>19.379468750617285</v>
      </c>
      <c r="X271" s="9"/>
      <c r="Y271" s="21">
        <v>0.42571999999999999</v>
      </c>
      <c r="Z271" s="21">
        <v>17.277100000000001</v>
      </c>
      <c r="AA271" s="21">
        <v>-1.37909E-2</v>
      </c>
      <c r="AB271" s="21">
        <v>261</v>
      </c>
      <c r="AC271" s="21">
        <v>0.42504900000000001</v>
      </c>
      <c r="AD271">
        <f t="shared" si="52"/>
        <v>17.025802469135801</v>
      </c>
      <c r="AE271">
        <f t="shared" si="53"/>
        <v>7.2482246271604929</v>
      </c>
      <c r="AF271" s="9"/>
      <c r="AG271" s="21">
        <v>1.2142900000000001</v>
      </c>
      <c r="AH271" s="21">
        <v>20.9754</v>
      </c>
      <c r="AI271" s="21">
        <v>-1.28693E-2</v>
      </c>
      <c r="AJ271" s="21">
        <v>261</v>
      </c>
      <c r="AK271" s="21">
        <v>1.2133799999999999</v>
      </c>
      <c r="AL271">
        <f t="shared" si="54"/>
        <v>15.888024691358023</v>
      </c>
      <c r="AM271">
        <f t="shared" si="55"/>
        <v>19.292669502469135</v>
      </c>
      <c r="AP271" s="9"/>
      <c r="AQ271" s="21">
        <v>0.42571999999999999</v>
      </c>
      <c r="AR271" s="21">
        <v>26.409300000000002</v>
      </c>
      <c r="AS271" s="21">
        <v>-1.3736E-2</v>
      </c>
      <c r="AT271" s="21">
        <v>261</v>
      </c>
      <c r="AU271" s="21">
        <v>0.42504900000000001</v>
      </c>
      <c r="AV271">
        <f t="shared" si="56"/>
        <v>16.958024691358023</v>
      </c>
      <c r="AW271">
        <f t="shared" si="57"/>
        <v>7.2193702716049373</v>
      </c>
      <c r="AX271" s="9"/>
      <c r="AY271" s="21">
        <v>1.2142900000000001</v>
      </c>
      <c r="AZ271" s="21">
        <v>30.107600000000001</v>
      </c>
      <c r="BA271" s="21">
        <v>-1.2811299999999999E-2</v>
      </c>
      <c r="BB271" s="21">
        <v>261</v>
      </c>
      <c r="BC271" s="21">
        <v>1.2136800000000001</v>
      </c>
      <c r="BD271">
        <f t="shared" si="58"/>
        <v>15.816419753086418</v>
      </c>
      <c r="BE271">
        <f t="shared" si="59"/>
        <v>19.205720341975308</v>
      </c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>
        <v>0.42068499999999998</v>
      </c>
      <c r="H272" s="21">
        <v>8.2279300000000006</v>
      </c>
      <c r="I272" s="21">
        <v>-1.3861099999999999E-2</v>
      </c>
      <c r="J272" s="21">
        <v>262</v>
      </c>
      <c r="K272" s="21">
        <v>0.41995199999999999</v>
      </c>
      <c r="L272">
        <f t="shared" si="48"/>
        <v>17.112469135802467</v>
      </c>
      <c r="M272">
        <f t="shared" si="49"/>
        <v>7.1989590783950606</v>
      </c>
      <c r="N272" s="9"/>
      <c r="O272" s="21">
        <v>1.21933</v>
      </c>
      <c r="P272" s="21">
        <v>11.926299999999999</v>
      </c>
      <c r="Q272" s="21">
        <v>-1.2912E-2</v>
      </c>
      <c r="R272" s="21">
        <v>262</v>
      </c>
      <c r="S272" s="21">
        <v>1.2179599999999999</v>
      </c>
      <c r="T272">
        <f t="shared" si="50"/>
        <v>15.940740740740738</v>
      </c>
      <c r="U272">
        <f t="shared" si="51"/>
        <v>19.437023407407406</v>
      </c>
      <c r="X272" s="9"/>
      <c r="Y272" s="21">
        <v>0.42068499999999998</v>
      </c>
      <c r="Z272" s="21">
        <v>17.287099999999999</v>
      </c>
      <c r="AA272" s="21">
        <v>-1.37909E-2</v>
      </c>
      <c r="AB272" s="21">
        <v>262</v>
      </c>
      <c r="AC272" s="21">
        <v>0.420074</v>
      </c>
      <c r="AD272">
        <f t="shared" si="52"/>
        <v>17.025802469135801</v>
      </c>
      <c r="AE272">
        <f t="shared" si="53"/>
        <v>7.1624997117283939</v>
      </c>
      <c r="AF272" s="9"/>
      <c r="AG272" s="21">
        <v>1.21933</v>
      </c>
      <c r="AH272" s="21">
        <v>20.985499999999998</v>
      </c>
      <c r="AI272" s="21">
        <v>-1.28418E-2</v>
      </c>
      <c r="AJ272" s="21">
        <v>262</v>
      </c>
      <c r="AK272" s="21">
        <v>1.2185699999999999</v>
      </c>
      <c r="AL272">
        <f t="shared" si="54"/>
        <v>15.854074074074072</v>
      </c>
      <c r="AM272">
        <f t="shared" si="55"/>
        <v>19.33134814074074</v>
      </c>
      <c r="AP272" s="9"/>
      <c r="AQ272" s="21">
        <v>0.42068499999999998</v>
      </c>
      <c r="AR272" s="21">
        <v>26.4194</v>
      </c>
      <c r="AS272" s="21">
        <v>-1.37451E-2</v>
      </c>
      <c r="AT272" s="21">
        <v>262</v>
      </c>
      <c r="AU272" s="21">
        <v>0.42004399999999997</v>
      </c>
      <c r="AV272">
        <f t="shared" si="56"/>
        <v>16.969259259259257</v>
      </c>
      <c r="AW272">
        <f t="shared" si="57"/>
        <v>7.1387128314814801</v>
      </c>
      <c r="AX272" s="9"/>
      <c r="AY272" s="21">
        <v>1.21933</v>
      </c>
      <c r="AZ272" s="21">
        <v>30.117699999999999</v>
      </c>
      <c r="BA272" s="21">
        <v>-1.2799100000000001E-2</v>
      </c>
      <c r="BB272" s="21">
        <v>262</v>
      </c>
      <c r="BC272" s="21">
        <v>1.2188699999999999</v>
      </c>
      <c r="BD272">
        <f t="shared" si="58"/>
        <v>15.801358024691359</v>
      </c>
      <c r="BE272">
        <f t="shared" si="59"/>
        <v>19.267069880246915</v>
      </c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>
        <v>0.41564899999999999</v>
      </c>
      <c r="H273" s="21">
        <v>8.2379999999999995</v>
      </c>
      <c r="I273" s="21">
        <v>-1.3864100000000001E-2</v>
      </c>
      <c r="J273" s="21">
        <v>263</v>
      </c>
      <c r="K273" s="21">
        <v>0.41497800000000001</v>
      </c>
      <c r="L273">
        <f t="shared" si="48"/>
        <v>17.11617283950617</v>
      </c>
      <c r="M273">
        <f t="shared" si="49"/>
        <v>7.1143201245679002</v>
      </c>
      <c r="N273" s="9"/>
      <c r="O273" s="21">
        <v>1.22437</v>
      </c>
      <c r="P273" s="21">
        <v>11.936299999999999</v>
      </c>
      <c r="Q273" s="21">
        <v>-1.2881500000000001E-2</v>
      </c>
      <c r="R273" s="21">
        <v>263</v>
      </c>
      <c r="S273" s="21">
        <v>1.2237499999999999</v>
      </c>
      <c r="T273">
        <f t="shared" si="50"/>
        <v>15.903086419753087</v>
      </c>
      <c r="U273">
        <f t="shared" si="51"/>
        <v>19.471261919753086</v>
      </c>
      <c r="X273" s="9"/>
      <c r="Y273" s="21">
        <v>0.41564899999999999</v>
      </c>
      <c r="Z273" s="21">
        <v>17.2972</v>
      </c>
      <c r="AA273" s="21">
        <v>-1.3781699999999999E-2</v>
      </c>
      <c r="AB273" s="21">
        <v>263</v>
      </c>
      <c r="AC273" s="21">
        <v>0.41503899999999999</v>
      </c>
      <c r="AD273">
        <f t="shared" si="52"/>
        <v>17.014444444444443</v>
      </c>
      <c r="AE273">
        <f t="shared" si="53"/>
        <v>7.072036818888888</v>
      </c>
      <c r="AF273" s="9"/>
      <c r="AG273" s="21">
        <v>1.22437</v>
      </c>
      <c r="AH273" s="21">
        <v>20.9956</v>
      </c>
      <c r="AI273" s="21">
        <v>-1.2805199999999999E-2</v>
      </c>
      <c r="AJ273" s="21">
        <v>263</v>
      </c>
      <c r="AK273" s="21">
        <v>1.2234499999999999</v>
      </c>
      <c r="AL273">
        <f t="shared" si="54"/>
        <v>15.808888888888886</v>
      </c>
      <c r="AM273">
        <f t="shared" si="55"/>
        <v>19.355929288888884</v>
      </c>
      <c r="AP273" s="9"/>
      <c r="AQ273" s="21">
        <v>0.41564899999999999</v>
      </c>
      <c r="AR273" s="21">
        <v>26.429400000000001</v>
      </c>
      <c r="AS273" s="21">
        <v>-1.37421E-2</v>
      </c>
      <c r="AT273" s="21">
        <v>263</v>
      </c>
      <c r="AU273" s="21">
        <v>0.41506999999999999</v>
      </c>
      <c r="AV273">
        <f t="shared" si="56"/>
        <v>16.965555555555554</v>
      </c>
      <c r="AW273">
        <f t="shared" si="57"/>
        <v>7.0517162011111099</v>
      </c>
      <c r="AX273" s="9"/>
      <c r="AY273" s="21">
        <v>1.22437</v>
      </c>
      <c r="AZ273" s="21">
        <v>30.127800000000001</v>
      </c>
      <c r="BA273" s="21">
        <v>-1.27686E-2</v>
      </c>
      <c r="BB273" s="21">
        <v>263</v>
      </c>
      <c r="BC273" s="21">
        <v>1.2234499999999999</v>
      </c>
      <c r="BD273">
        <f t="shared" si="58"/>
        <v>15.763703703703703</v>
      </c>
      <c r="BE273">
        <f t="shared" si="59"/>
        <v>19.300605903703701</v>
      </c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  <row r="274" spans="6:101" x14ac:dyDescent="0.25">
      <c r="F274" s="9"/>
      <c r="G274" s="21">
        <v>0.41061399999999998</v>
      </c>
      <c r="H274" s="21">
        <v>8.2480700000000002</v>
      </c>
      <c r="I274" s="21">
        <v>-1.3854999999999999E-2</v>
      </c>
      <c r="J274" s="21">
        <v>264</v>
      </c>
      <c r="K274" s="21">
        <v>0.41000399999999998</v>
      </c>
      <c r="L274">
        <f t="shared" si="48"/>
        <v>17.104938271604937</v>
      </c>
      <c r="M274">
        <f t="shared" si="49"/>
        <v>7.0235271234567893</v>
      </c>
      <c r="N274" s="9"/>
      <c r="O274" s="21">
        <v>1.2294</v>
      </c>
      <c r="P274" s="21">
        <v>11.946400000000001</v>
      </c>
      <c r="Q274" s="21">
        <v>-1.28632E-2</v>
      </c>
      <c r="R274" s="21">
        <v>264</v>
      </c>
      <c r="S274" s="21">
        <v>1.22864</v>
      </c>
      <c r="T274">
        <f t="shared" si="50"/>
        <v>15.880493827160493</v>
      </c>
      <c r="U274">
        <f t="shared" si="51"/>
        <v>19.523479111111111</v>
      </c>
      <c r="X274" s="9"/>
      <c r="Y274" s="21">
        <v>0.41061399999999998</v>
      </c>
      <c r="Z274" s="21">
        <v>17.307300000000001</v>
      </c>
      <c r="AA274" s="21">
        <v>-1.37787E-2</v>
      </c>
      <c r="AB274" s="21">
        <v>264</v>
      </c>
      <c r="AC274" s="21">
        <v>0.41003400000000001</v>
      </c>
      <c r="AD274">
        <f t="shared" si="52"/>
        <v>17.01074074074074</v>
      </c>
      <c r="AE274">
        <f t="shared" si="53"/>
        <v>6.9848482985185179</v>
      </c>
      <c r="AF274" s="9"/>
      <c r="AG274" s="21">
        <v>1.2294</v>
      </c>
      <c r="AH274" s="21">
        <v>21.005700000000001</v>
      </c>
      <c r="AI274" s="21">
        <v>-1.27869E-2</v>
      </c>
      <c r="AJ274" s="21">
        <v>264</v>
      </c>
      <c r="AK274" s="21">
        <v>1.22864</v>
      </c>
      <c r="AL274">
        <f t="shared" si="54"/>
        <v>15.786296296296294</v>
      </c>
      <c r="AM274">
        <f t="shared" si="55"/>
        <v>19.407672666666667</v>
      </c>
      <c r="AP274" s="9"/>
      <c r="AQ274" s="21">
        <v>0.41061399999999998</v>
      </c>
      <c r="AR274" s="21">
        <v>26.439499999999999</v>
      </c>
      <c r="AS274" s="21">
        <v>-1.3736E-2</v>
      </c>
      <c r="AT274" s="21">
        <v>264</v>
      </c>
      <c r="AU274" s="21">
        <v>0.409943</v>
      </c>
      <c r="AV274">
        <f t="shared" si="56"/>
        <v>16.958024691358023</v>
      </c>
      <c r="AW274">
        <f t="shared" si="57"/>
        <v>6.9632023506172827</v>
      </c>
      <c r="AX274" s="9"/>
      <c r="AY274" s="21">
        <v>1.2294</v>
      </c>
      <c r="AZ274" s="21">
        <v>30.137799999999999</v>
      </c>
      <c r="BA274" s="21">
        <v>-1.2731900000000001E-2</v>
      </c>
      <c r="BB274" s="21">
        <v>264</v>
      </c>
      <c r="BC274" s="21">
        <v>1.22864</v>
      </c>
      <c r="BD274">
        <f t="shared" si="58"/>
        <v>15.718395061728396</v>
      </c>
      <c r="BE274">
        <f t="shared" si="59"/>
        <v>19.32419488888889</v>
      </c>
    </row>
    <row r="275" spans="6:101" x14ac:dyDescent="0.25">
      <c r="F275" s="9"/>
      <c r="G275" s="21">
        <v>0.40557900000000002</v>
      </c>
      <c r="H275" s="21">
        <v>8.2581399999999991</v>
      </c>
      <c r="I275" s="21">
        <v>-1.38458E-2</v>
      </c>
      <c r="J275" s="21">
        <v>265</v>
      </c>
      <c r="K275" s="21">
        <v>0.40496799999999999</v>
      </c>
      <c r="L275">
        <f t="shared" si="48"/>
        <v>17.093580246913579</v>
      </c>
      <c r="M275">
        <f t="shared" si="49"/>
        <v>6.9327971829629629</v>
      </c>
      <c r="N275" s="9"/>
      <c r="O275" s="21">
        <v>1.23444</v>
      </c>
      <c r="P275" s="21">
        <v>11.9565</v>
      </c>
      <c r="Q275" s="21">
        <v>-1.28387E-2</v>
      </c>
      <c r="R275" s="21">
        <v>265</v>
      </c>
      <c r="S275" s="21">
        <v>1.2335199999999999</v>
      </c>
      <c r="T275">
        <f t="shared" si="50"/>
        <v>15.850246913580245</v>
      </c>
      <c r="U275">
        <f t="shared" si="51"/>
        <v>19.566178799999996</v>
      </c>
      <c r="X275" s="9"/>
      <c r="Y275" s="21">
        <v>0.40557900000000002</v>
      </c>
      <c r="Z275" s="21">
        <v>17.317399999999999</v>
      </c>
      <c r="AA275" s="21">
        <v>-1.37909E-2</v>
      </c>
      <c r="AB275" s="21">
        <v>265</v>
      </c>
      <c r="AC275" s="21">
        <v>0.40496799999999999</v>
      </c>
      <c r="AD275">
        <f t="shared" si="52"/>
        <v>17.025802469135801</v>
      </c>
      <c r="AE275">
        <f t="shared" si="53"/>
        <v>6.9053079396296297</v>
      </c>
      <c r="AF275" s="9"/>
      <c r="AG275" s="21">
        <v>1.23444</v>
      </c>
      <c r="AH275" s="21">
        <v>21.015699999999999</v>
      </c>
      <c r="AI275" s="21">
        <v>-1.2777699999999999E-2</v>
      </c>
      <c r="AJ275" s="21">
        <v>265</v>
      </c>
      <c r="AK275" s="21">
        <v>1.2335199999999999</v>
      </c>
      <c r="AL275">
        <f t="shared" si="54"/>
        <v>15.774938271604935</v>
      </c>
      <c r="AM275">
        <f t="shared" si="55"/>
        <v>19.473214799999994</v>
      </c>
      <c r="AP275" s="9"/>
      <c r="AQ275" s="21">
        <v>0.40557900000000002</v>
      </c>
      <c r="AR275" s="21">
        <v>26.4496</v>
      </c>
      <c r="AS275" s="21">
        <v>-1.3732899999999999E-2</v>
      </c>
      <c r="AT275" s="21">
        <v>265</v>
      </c>
      <c r="AU275" s="21">
        <v>0.404999</v>
      </c>
      <c r="AV275">
        <f t="shared" si="56"/>
        <v>16.954197530864196</v>
      </c>
      <c r="AW275">
        <f t="shared" si="57"/>
        <v>6.8762664803703704</v>
      </c>
      <c r="AX275" s="9"/>
      <c r="AY275" s="21">
        <v>1.23444</v>
      </c>
      <c r="AZ275" s="21">
        <v>30.1479</v>
      </c>
      <c r="BA275" s="21">
        <v>-1.27014E-2</v>
      </c>
      <c r="BB275" s="21">
        <v>265</v>
      </c>
      <c r="BC275" s="21">
        <v>1.2335199999999999</v>
      </c>
      <c r="BD275">
        <f t="shared" si="58"/>
        <v>15.680740740740738</v>
      </c>
      <c r="BE275">
        <f t="shared" si="59"/>
        <v>19.356933599999998</v>
      </c>
    </row>
    <row r="276" spans="6:101" x14ac:dyDescent="0.25">
      <c r="F276" s="9"/>
      <c r="G276" s="21">
        <v>0.40054299999999998</v>
      </c>
      <c r="H276" s="21">
        <v>8.2682199999999995</v>
      </c>
      <c r="I276" s="21">
        <v>-1.3848900000000001E-2</v>
      </c>
      <c r="J276" s="21">
        <v>266</v>
      </c>
      <c r="K276" s="21">
        <v>0.39987200000000001</v>
      </c>
      <c r="L276">
        <f t="shared" si="48"/>
        <v>17.09740740740741</v>
      </c>
      <c r="M276">
        <f t="shared" si="49"/>
        <v>6.8482468551851854</v>
      </c>
      <c r="N276" s="9"/>
      <c r="O276" s="21">
        <v>1.2394700000000001</v>
      </c>
      <c r="P276" s="21">
        <v>11.9666</v>
      </c>
      <c r="Q276" s="21">
        <v>-1.28174E-2</v>
      </c>
      <c r="R276" s="21">
        <v>266</v>
      </c>
      <c r="S276" s="21">
        <v>1.23871</v>
      </c>
      <c r="T276">
        <f t="shared" si="50"/>
        <v>15.82395061728395</v>
      </c>
      <c r="U276">
        <f t="shared" si="51"/>
        <v>19.613312071604938</v>
      </c>
      <c r="X276" s="9"/>
      <c r="Y276" s="21">
        <v>0.40054299999999998</v>
      </c>
      <c r="Z276" s="21">
        <v>17.327400000000001</v>
      </c>
      <c r="AA276" s="21">
        <v>-1.38E-2</v>
      </c>
      <c r="AB276" s="21">
        <v>266</v>
      </c>
      <c r="AC276" s="21">
        <v>0.39971899999999999</v>
      </c>
      <c r="AD276">
        <f t="shared" si="52"/>
        <v>17.037037037037035</v>
      </c>
      <c r="AE276">
        <f t="shared" si="53"/>
        <v>6.8240659259259244</v>
      </c>
      <c r="AF276" s="9"/>
      <c r="AG276" s="21">
        <v>1.2394700000000001</v>
      </c>
      <c r="AH276" s="21">
        <v>21.0258</v>
      </c>
      <c r="AI276" s="21">
        <v>-1.2759400000000001E-2</v>
      </c>
      <c r="AJ276" s="21">
        <v>266</v>
      </c>
      <c r="AK276" s="21">
        <v>1.23871</v>
      </c>
      <c r="AL276">
        <f t="shared" si="54"/>
        <v>15.752345679012343</v>
      </c>
      <c r="AM276">
        <f t="shared" si="55"/>
        <v>19.524559898765432</v>
      </c>
      <c r="AP276" s="9"/>
      <c r="AQ276" s="21">
        <v>0.40054299999999998</v>
      </c>
      <c r="AR276" s="21">
        <v>26.459700000000002</v>
      </c>
      <c r="AS276" s="21">
        <v>-1.3736E-2</v>
      </c>
      <c r="AT276" s="21">
        <v>266</v>
      </c>
      <c r="AU276" s="21">
        <v>0.39999400000000002</v>
      </c>
      <c r="AV276">
        <f t="shared" si="56"/>
        <v>16.958024691358023</v>
      </c>
      <c r="AW276">
        <f t="shared" si="57"/>
        <v>6.7924180839506167</v>
      </c>
      <c r="AX276" s="9"/>
      <c r="AY276" s="21">
        <v>1.2394700000000001</v>
      </c>
      <c r="AZ276" s="21">
        <v>30.158000000000001</v>
      </c>
      <c r="BA276" s="21">
        <v>-1.2677000000000001E-2</v>
      </c>
      <c r="BB276" s="21">
        <v>266</v>
      </c>
      <c r="BC276" s="21">
        <v>1.2383999999999999</v>
      </c>
      <c r="BD276">
        <f t="shared" si="58"/>
        <v>15.650617283950618</v>
      </c>
      <c r="BE276">
        <f t="shared" si="59"/>
        <v>19.398470604938275</v>
      </c>
    </row>
    <row r="277" spans="6:101" x14ac:dyDescent="0.25">
      <c r="F277" s="9"/>
      <c r="G277" s="21">
        <v>0.39550800000000003</v>
      </c>
      <c r="H277" s="21">
        <v>8.2782900000000001</v>
      </c>
      <c r="I277" s="21">
        <v>-1.38397E-2</v>
      </c>
      <c r="J277" s="21">
        <v>267</v>
      </c>
      <c r="K277" s="21">
        <v>0.394897</v>
      </c>
      <c r="L277">
        <f t="shared" si="48"/>
        <v>17.086049382716048</v>
      </c>
      <c r="M277">
        <f t="shared" si="49"/>
        <v>6.7576692192592596</v>
      </c>
      <c r="N277" s="9"/>
      <c r="O277" s="21">
        <v>1.24451</v>
      </c>
      <c r="P277" s="21">
        <v>11.976599999999999</v>
      </c>
      <c r="Q277" s="21">
        <v>-1.28021E-2</v>
      </c>
      <c r="R277" s="21">
        <v>267</v>
      </c>
      <c r="S277" s="21">
        <v>1.24359</v>
      </c>
      <c r="T277">
        <f t="shared" si="50"/>
        <v>15.805061728395062</v>
      </c>
      <c r="U277">
        <f t="shared" si="51"/>
        <v>19.669557371604938</v>
      </c>
      <c r="X277" s="9"/>
      <c r="Y277" s="21">
        <v>0.39550800000000003</v>
      </c>
      <c r="Z277" s="21">
        <v>17.337499999999999</v>
      </c>
      <c r="AA277" s="21">
        <v>-1.3806199999999999E-2</v>
      </c>
      <c r="AB277" s="21">
        <v>267</v>
      </c>
      <c r="AC277" s="21">
        <v>0.39483600000000002</v>
      </c>
      <c r="AD277">
        <f t="shared" si="52"/>
        <v>17.044691358024689</v>
      </c>
      <c r="AE277">
        <f t="shared" si="53"/>
        <v>6.7413117896296288</v>
      </c>
      <c r="AF277" s="9"/>
      <c r="AG277" s="21">
        <v>1.24451</v>
      </c>
      <c r="AH277" s="21">
        <v>21.035900000000002</v>
      </c>
      <c r="AI277" s="21">
        <v>-1.27472E-2</v>
      </c>
      <c r="AJ277" s="21">
        <v>267</v>
      </c>
      <c r="AK277" s="21">
        <v>1.24329</v>
      </c>
      <c r="AL277">
        <f t="shared" si="54"/>
        <v>15.737283950617284</v>
      </c>
      <c r="AM277">
        <f t="shared" si="55"/>
        <v>19.585207249382716</v>
      </c>
      <c r="AP277" s="9"/>
      <c r="AQ277" s="21">
        <v>0.39550800000000003</v>
      </c>
      <c r="AR277" s="21">
        <v>26.4697</v>
      </c>
      <c r="AS277" s="21">
        <v>-1.3736E-2</v>
      </c>
      <c r="AT277" s="21">
        <v>267</v>
      </c>
      <c r="AU277" s="21">
        <v>0.394897</v>
      </c>
      <c r="AV277">
        <f t="shared" si="56"/>
        <v>16.958024691358023</v>
      </c>
      <c r="AW277">
        <f t="shared" si="57"/>
        <v>6.7070344296296298</v>
      </c>
      <c r="AX277" s="9"/>
      <c r="AY277" s="21">
        <v>1.24451</v>
      </c>
      <c r="AZ277" s="21">
        <v>30.168099999999999</v>
      </c>
      <c r="BA277" s="21">
        <v>-1.26648E-2</v>
      </c>
      <c r="BB277" s="21">
        <v>267</v>
      </c>
      <c r="BC277" s="21">
        <v>1.2442</v>
      </c>
      <c r="BD277">
        <f t="shared" si="58"/>
        <v>15.635555555555555</v>
      </c>
      <c r="BE277">
        <f t="shared" si="59"/>
        <v>19.458605244444446</v>
      </c>
    </row>
    <row r="278" spans="6:101" x14ac:dyDescent="0.25">
      <c r="F278" s="9"/>
      <c r="G278" s="21">
        <v>0.39047199999999999</v>
      </c>
      <c r="H278" s="21">
        <v>8.2883600000000008</v>
      </c>
      <c r="I278" s="21">
        <v>-1.38245E-2</v>
      </c>
      <c r="J278" s="21">
        <v>268</v>
      </c>
      <c r="K278" s="21">
        <v>0.38989299999999999</v>
      </c>
      <c r="L278">
        <f t="shared" si="48"/>
        <v>17.067283950617281</v>
      </c>
      <c r="M278">
        <f t="shared" si="49"/>
        <v>6.664296498765431</v>
      </c>
      <c r="N278" s="9"/>
      <c r="O278" s="21">
        <v>1.2495400000000001</v>
      </c>
      <c r="P278" s="21">
        <v>11.986700000000001</v>
      </c>
      <c r="Q278" s="21">
        <v>-1.27869E-2</v>
      </c>
      <c r="R278" s="21">
        <v>268</v>
      </c>
      <c r="S278" s="21">
        <v>1.24847</v>
      </c>
      <c r="T278">
        <f t="shared" si="50"/>
        <v>15.786296296296294</v>
      </c>
      <c r="U278">
        <f t="shared" si="51"/>
        <v>19.725608674074074</v>
      </c>
      <c r="X278" s="9"/>
      <c r="Y278" s="21">
        <v>0.39047199999999999</v>
      </c>
      <c r="Z278" s="21">
        <v>17.3476</v>
      </c>
      <c r="AA278" s="21">
        <v>-1.3806199999999999E-2</v>
      </c>
      <c r="AB278" s="21">
        <v>268</v>
      </c>
      <c r="AC278" s="21">
        <v>0.38992300000000002</v>
      </c>
      <c r="AD278">
        <f t="shared" si="52"/>
        <v>17.044691358024689</v>
      </c>
      <c r="AE278">
        <f t="shared" si="53"/>
        <v>6.6554747239506158</v>
      </c>
      <c r="AF278" s="9"/>
      <c r="AG278" s="21">
        <v>1.2495400000000001</v>
      </c>
      <c r="AH278" s="21">
        <v>21.0459</v>
      </c>
      <c r="AI278" s="21">
        <v>-1.2725800000000001E-2</v>
      </c>
      <c r="AJ278" s="21">
        <v>268</v>
      </c>
      <c r="AK278" s="21">
        <v>1.24878</v>
      </c>
      <c r="AL278">
        <f t="shared" si="54"/>
        <v>15.710864197530865</v>
      </c>
      <c r="AM278">
        <f t="shared" si="55"/>
        <v>19.63135324938272</v>
      </c>
      <c r="AP278" s="9"/>
      <c r="AQ278" s="21">
        <v>0.39047199999999999</v>
      </c>
      <c r="AR278" s="21">
        <v>26.479800000000001</v>
      </c>
      <c r="AS278" s="21">
        <v>-1.3732899999999999E-2</v>
      </c>
      <c r="AT278" s="21">
        <v>268</v>
      </c>
      <c r="AU278" s="21">
        <v>0.38992300000000002</v>
      </c>
      <c r="AV278">
        <f t="shared" si="56"/>
        <v>16.954197530864196</v>
      </c>
      <c r="AW278">
        <f t="shared" si="57"/>
        <v>6.620139418271604</v>
      </c>
      <c r="AX278" s="9"/>
      <c r="AY278" s="21">
        <v>1.2495400000000001</v>
      </c>
      <c r="AZ278" s="21">
        <v>30.178100000000001</v>
      </c>
      <c r="BA278" s="21">
        <v>-1.26526E-2</v>
      </c>
      <c r="BB278" s="21">
        <v>268</v>
      </c>
      <c r="BC278" s="21">
        <v>1.24878</v>
      </c>
      <c r="BD278">
        <f t="shared" si="58"/>
        <v>15.620493827160493</v>
      </c>
      <c r="BE278">
        <f t="shared" si="59"/>
        <v>19.518431856790123</v>
      </c>
    </row>
    <row r="279" spans="6:101" x14ac:dyDescent="0.25">
      <c r="F279" s="9"/>
      <c r="G279" s="21">
        <v>0.38543699999999997</v>
      </c>
      <c r="H279" s="21">
        <v>8.2984299999999998</v>
      </c>
      <c r="I279" s="21">
        <v>-1.38184E-2</v>
      </c>
      <c r="J279" s="21">
        <v>269</v>
      </c>
      <c r="K279" s="21">
        <v>0.384857</v>
      </c>
      <c r="L279">
        <f t="shared" si="48"/>
        <v>17.05975308641975</v>
      </c>
      <c r="M279">
        <f t="shared" si="49"/>
        <v>6.5754600503703688</v>
      </c>
      <c r="N279" s="9"/>
      <c r="O279" s="21">
        <v>1.25458</v>
      </c>
      <c r="P279" s="21">
        <v>11.9968</v>
      </c>
      <c r="Q279" s="21">
        <v>-1.2771599999999999E-2</v>
      </c>
      <c r="R279" s="21">
        <v>269</v>
      </c>
      <c r="S279" s="21">
        <v>1.25397</v>
      </c>
      <c r="T279">
        <f t="shared" si="50"/>
        <v>15.767407407407408</v>
      </c>
      <c r="U279">
        <f t="shared" si="51"/>
        <v>19.781473985185187</v>
      </c>
      <c r="X279" s="9"/>
      <c r="Y279" s="21">
        <v>0.38543699999999997</v>
      </c>
      <c r="Z279" s="21">
        <v>17.357600000000001</v>
      </c>
      <c r="AA279" s="21">
        <v>-1.38E-2</v>
      </c>
      <c r="AB279" s="21">
        <v>269</v>
      </c>
      <c r="AC279" s="21">
        <v>0.38467400000000002</v>
      </c>
      <c r="AD279">
        <f t="shared" si="52"/>
        <v>17.037037037037035</v>
      </c>
      <c r="AE279">
        <f t="shared" si="53"/>
        <v>6.5667044444444427</v>
      </c>
      <c r="AF279" s="9"/>
      <c r="AG279" s="21">
        <v>1.25458</v>
      </c>
      <c r="AH279" s="21">
        <v>21.056000000000001</v>
      </c>
      <c r="AI279" s="21">
        <v>-1.2716699999999999E-2</v>
      </c>
      <c r="AJ279" s="21">
        <v>269</v>
      </c>
      <c r="AK279" s="21">
        <v>1.25336</v>
      </c>
      <c r="AL279">
        <f t="shared" si="54"/>
        <v>15.699629629629626</v>
      </c>
      <c r="AM279">
        <f t="shared" si="55"/>
        <v>19.696441340740737</v>
      </c>
      <c r="AP279" s="9"/>
      <c r="AQ279" s="21">
        <v>0.38543699999999997</v>
      </c>
      <c r="AR279" s="21">
        <v>26.489899999999999</v>
      </c>
      <c r="AS279" s="21">
        <v>-1.37299E-2</v>
      </c>
      <c r="AT279" s="21">
        <v>269</v>
      </c>
      <c r="AU279" s="21">
        <v>0.38488800000000001</v>
      </c>
      <c r="AV279">
        <f t="shared" si="56"/>
        <v>16.950493827160493</v>
      </c>
      <c r="AW279">
        <f t="shared" si="57"/>
        <v>6.533347489259258</v>
      </c>
      <c r="AX279" s="9"/>
      <c r="AY279" s="21">
        <v>1.25458</v>
      </c>
      <c r="AZ279" s="21">
        <v>30.188199999999998</v>
      </c>
      <c r="BA279" s="21">
        <v>-1.26404E-2</v>
      </c>
      <c r="BB279" s="21">
        <v>269</v>
      </c>
      <c r="BC279" s="21">
        <v>1.25366</v>
      </c>
      <c r="BD279">
        <f t="shared" si="58"/>
        <v>15.60543209876543</v>
      </c>
      <c r="BE279">
        <f t="shared" si="59"/>
        <v>19.578263002469132</v>
      </c>
    </row>
    <row r="280" spans="6:101" x14ac:dyDescent="0.25">
      <c r="F280" s="9"/>
      <c r="G280" s="21">
        <v>0.38040200000000002</v>
      </c>
      <c r="H280" s="21">
        <v>8.3085000000000004</v>
      </c>
      <c r="I280" s="21">
        <v>-1.38367E-2</v>
      </c>
      <c r="J280" s="21">
        <v>270</v>
      </c>
      <c r="K280" s="21">
        <v>0.37988300000000003</v>
      </c>
      <c r="L280">
        <f t="shared" si="48"/>
        <v>17.082345679012345</v>
      </c>
      <c r="M280">
        <f t="shared" si="49"/>
        <v>6.4981584609876544</v>
      </c>
      <c r="N280" s="9"/>
      <c r="O280" s="21">
        <v>1.2596099999999999</v>
      </c>
      <c r="P280" s="21">
        <v>12.0068</v>
      </c>
      <c r="Q280" s="21">
        <v>-1.27472E-2</v>
      </c>
      <c r="R280" s="21">
        <v>270</v>
      </c>
      <c r="S280" s="21">
        <v>1.25885</v>
      </c>
      <c r="T280">
        <f t="shared" si="50"/>
        <v>15.737283950617284</v>
      </c>
      <c r="U280">
        <f t="shared" si="51"/>
        <v>19.822840237037035</v>
      </c>
      <c r="X280" s="9"/>
      <c r="Y280" s="21">
        <v>0.38040200000000002</v>
      </c>
      <c r="Z280" s="21">
        <v>17.367699999999999</v>
      </c>
      <c r="AA280" s="21">
        <v>-1.37909E-2</v>
      </c>
      <c r="AB280" s="21">
        <v>270</v>
      </c>
      <c r="AC280" s="21">
        <v>0.37979099999999999</v>
      </c>
      <c r="AD280">
        <f t="shared" si="52"/>
        <v>17.025802469135801</v>
      </c>
      <c r="AE280">
        <f t="shared" si="53"/>
        <v>6.4766493108641976</v>
      </c>
      <c r="AF280" s="9"/>
      <c r="AG280" s="21">
        <v>1.2596099999999999</v>
      </c>
      <c r="AH280" s="21">
        <v>21.066099999999999</v>
      </c>
      <c r="AI280" s="21">
        <v>-1.27014E-2</v>
      </c>
      <c r="AJ280" s="21">
        <v>270</v>
      </c>
      <c r="AK280" s="21">
        <v>1.25885</v>
      </c>
      <c r="AL280">
        <f t="shared" si="54"/>
        <v>15.680740740740738</v>
      </c>
      <c r="AM280">
        <f t="shared" si="55"/>
        <v>19.751617844444439</v>
      </c>
      <c r="AP280" s="9"/>
      <c r="AQ280" s="21">
        <v>0.38040200000000002</v>
      </c>
      <c r="AR280" s="21">
        <v>26.4999</v>
      </c>
      <c r="AS280" s="21">
        <v>-1.3720700000000001E-2</v>
      </c>
      <c r="AT280" s="21">
        <v>270</v>
      </c>
      <c r="AU280" s="21">
        <v>0.37982199999999999</v>
      </c>
      <c r="AV280">
        <f t="shared" si="56"/>
        <v>16.939135802469135</v>
      </c>
      <c r="AW280">
        <f t="shared" si="57"/>
        <v>6.4436811375308638</v>
      </c>
      <c r="AX280" s="9"/>
      <c r="AY280" s="21">
        <v>1.2596099999999999</v>
      </c>
      <c r="AZ280" s="21">
        <v>30.1983</v>
      </c>
      <c r="BA280" s="21">
        <v>-1.26099E-2</v>
      </c>
      <c r="BB280" s="21">
        <v>270</v>
      </c>
      <c r="BC280" s="21">
        <v>1.25854</v>
      </c>
      <c r="BD280">
        <f t="shared" si="58"/>
        <v>15.567777777777778</v>
      </c>
      <c r="BE280">
        <f t="shared" si="59"/>
        <v>19.609328566666665</v>
      </c>
    </row>
    <row r="281" spans="6:101" x14ac:dyDescent="0.25">
      <c r="F281" s="9"/>
      <c r="G281" s="21">
        <v>0.37536599999999998</v>
      </c>
      <c r="H281" s="21">
        <v>8.3185699999999994</v>
      </c>
      <c r="I281" s="21">
        <v>-1.3858000000000001E-2</v>
      </c>
      <c r="J281" s="21">
        <v>271</v>
      </c>
      <c r="K281" s="21">
        <v>0.37478600000000001</v>
      </c>
      <c r="L281">
        <f t="shared" si="48"/>
        <v>17.10864197530864</v>
      </c>
      <c r="M281">
        <f t="shared" si="49"/>
        <v>6.4220025037037027</v>
      </c>
      <c r="N281" s="9"/>
      <c r="O281" s="21">
        <v>1.2646500000000001</v>
      </c>
      <c r="P281" s="21">
        <v>12.0169</v>
      </c>
      <c r="Q281" s="21">
        <v>-1.2710600000000001E-2</v>
      </c>
      <c r="R281" s="21">
        <v>271</v>
      </c>
      <c r="S281" s="21">
        <v>1.26373</v>
      </c>
      <c r="T281">
        <f t="shared" si="50"/>
        <v>15.692098765432098</v>
      </c>
      <c r="U281">
        <f t="shared" si="51"/>
        <v>19.845012703703702</v>
      </c>
      <c r="X281" s="9"/>
      <c r="Y281" s="21">
        <v>0.37536599999999998</v>
      </c>
      <c r="Z281" s="21">
        <v>17.377800000000001</v>
      </c>
      <c r="AA281" s="21">
        <v>-1.37909E-2</v>
      </c>
      <c r="AB281" s="21">
        <v>271</v>
      </c>
      <c r="AC281" s="21">
        <v>0.374695</v>
      </c>
      <c r="AD281">
        <f t="shared" si="52"/>
        <v>17.025802469135801</v>
      </c>
      <c r="AE281">
        <f t="shared" si="53"/>
        <v>6.3909073696296286</v>
      </c>
      <c r="AF281" s="9"/>
      <c r="AG281" s="21">
        <v>1.2646500000000001</v>
      </c>
      <c r="AH281" s="21">
        <v>21.0762</v>
      </c>
      <c r="AI281" s="21">
        <v>-1.26923E-2</v>
      </c>
      <c r="AJ281" s="21">
        <v>271</v>
      </c>
      <c r="AK281" s="21">
        <v>1.26373</v>
      </c>
      <c r="AL281">
        <f t="shared" si="54"/>
        <v>15.669506172839506</v>
      </c>
      <c r="AM281">
        <f t="shared" si="55"/>
        <v>19.816440981481481</v>
      </c>
      <c r="AP281" s="9"/>
      <c r="AQ281" s="21">
        <v>0.37536599999999998</v>
      </c>
      <c r="AR281" s="21">
        <v>26.51</v>
      </c>
      <c r="AS281" s="21">
        <v>-1.37238E-2</v>
      </c>
      <c r="AT281" s="21">
        <v>271</v>
      </c>
      <c r="AU281" s="21">
        <v>0.37478600000000001</v>
      </c>
      <c r="AV281">
        <f t="shared" si="56"/>
        <v>16.942962962962962</v>
      </c>
      <c r="AW281">
        <f t="shared" si="57"/>
        <v>6.3598122355555553</v>
      </c>
      <c r="AX281" s="9"/>
      <c r="AY281" s="21">
        <v>1.2646500000000001</v>
      </c>
      <c r="AZ281" s="21">
        <v>30.208300000000001</v>
      </c>
      <c r="BA281" s="21">
        <v>-1.25916E-2</v>
      </c>
      <c r="BB281" s="21">
        <v>271</v>
      </c>
      <c r="BC281" s="21">
        <v>1.26434</v>
      </c>
      <c r="BD281">
        <f t="shared" si="58"/>
        <v>15.545185185185185</v>
      </c>
      <c r="BE281">
        <f t="shared" si="59"/>
        <v>19.659218444444445</v>
      </c>
    </row>
    <row r="282" spans="6:101" x14ac:dyDescent="0.25">
      <c r="F282" s="9"/>
      <c r="G282" s="21">
        <v>0.37033100000000002</v>
      </c>
      <c r="H282" s="21">
        <v>8.32864</v>
      </c>
      <c r="I282" s="21">
        <v>-1.38794E-2</v>
      </c>
      <c r="J282" s="21">
        <v>272</v>
      </c>
      <c r="K282" s="21">
        <v>0.36969000000000002</v>
      </c>
      <c r="L282">
        <f t="shared" si="48"/>
        <v>17.135061728395058</v>
      </c>
      <c r="M282">
        <f t="shared" si="49"/>
        <v>6.3456445449382706</v>
      </c>
      <c r="N282" s="9"/>
      <c r="O282" s="21">
        <v>1.2696799999999999</v>
      </c>
      <c r="P282" s="21">
        <v>12.026999999999999</v>
      </c>
      <c r="Q282" s="21">
        <v>-1.2670900000000001E-2</v>
      </c>
      <c r="R282" s="21">
        <v>272</v>
      </c>
      <c r="S282" s="21">
        <v>1.26892</v>
      </c>
      <c r="T282">
        <f t="shared" si="50"/>
        <v>15.643086419753088</v>
      </c>
      <c r="U282">
        <f t="shared" si="51"/>
        <v>19.861713965432099</v>
      </c>
      <c r="X282" s="9"/>
      <c r="Y282" s="21">
        <v>0.37033100000000002</v>
      </c>
      <c r="Z282" s="21">
        <v>17.387899999999998</v>
      </c>
      <c r="AA282" s="21">
        <v>-1.37909E-2</v>
      </c>
      <c r="AB282" s="21">
        <v>272</v>
      </c>
      <c r="AC282" s="21">
        <v>0.36987300000000001</v>
      </c>
      <c r="AD282">
        <f t="shared" si="52"/>
        <v>17.025802469135801</v>
      </c>
      <c r="AE282">
        <f t="shared" si="53"/>
        <v>6.3051824541975305</v>
      </c>
      <c r="AF282" s="9"/>
      <c r="AG282" s="21">
        <v>1.2696799999999999</v>
      </c>
      <c r="AH282" s="21">
        <v>21.086200000000002</v>
      </c>
      <c r="AI282" s="21">
        <v>-1.2674E-2</v>
      </c>
      <c r="AJ282" s="21">
        <v>272</v>
      </c>
      <c r="AK282" s="21">
        <v>1.2692300000000001</v>
      </c>
      <c r="AL282">
        <f t="shared" si="54"/>
        <v>15.646913580246911</v>
      </c>
      <c r="AM282">
        <f t="shared" si="55"/>
        <v>19.866573234567898</v>
      </c>
      <c r="AP282" s="9"/>
      <c r="AQ282" s="21">
        <v>0.37033100000000002</v>
      </c>
      <c r="AR282" s="21">
        <v>26.520099999999999</v>
      </c>
      <c r="AS282" s="21">
        <v>-1.3726800000000001E-2</v>
      </c>
      <c r="AT282" s="21">
        <v>272</v>
      </c>
      <c r="AU282" s="21">
        <v>0.36971999999999999</v>
      </c>
      <c r="AV282">
        <f t="shared" si="56"/>
        <v>16.946666666666665</v>
      </c>
      <c r="AW282">
        <f t="shared" si="57"/>
        <v>6.2758760133333329</v>
      </c>
      <c r="AX282" s="9"/>
      <c r="AY282" s="21">
        <v>1.2696799999999999</v>
      </c>
      <c r="AZ282" s="21">
        <v>30.218399999999999</v>
      </c>
      <c r="BA282" s="21">
        <v>-1.25732E-2</v>
      </c>
      <c r="BB282" s="21">
        <v>272</v>
      </c>
      <c r="BC282" s="21">
        <v>1.26892</v>
      </c>
      <c r="BD282">
        <f t="shared" si="58"/>
        <v>15.522469135802467</v>
      </c>
      <c r="BE282">
        <f t="shared" si="59"/>
        <v>19.708568612345676</v>
      </c>
    </row>
    <row r="283" spans="6:101" x14ac:dyDescent="0.25">
      <c r="F283" s="9"/>
      <c r="G283" s="21">
        <v>0.36529499999999998</v>
      </c>
      <c r="H283" s="21">
        <v>8.3387100000000007</v>
      </c>
      <c r="I283" s="21">
        <v>-1.38794E-2</v>
      </c>
      <c r="J283" s="21">
        <v>273</v>
      </c>
      <c r="K283" s="21">
        <v>0.36465500000000001</v>
      </c>
      <c r="L283">
        <f t="shared" si="48"/>
        <v>17.135061728395058</v>
      </c>
      <c r="M283">
        <f t="shared" si="49"/>
        <v>6.2593523740740729</v>
      </c>
      <c r="N283" s="9"/>
      <c r="O283" s="21">
        <v>1.2747200000000001</v>
      </c>
      <c r="P283" s="21">
        <v>12.037100000000001</v>
      </c>
      <c r="Q283" s="21">
        <v>-1.2649499999999999E-2</v>
      </c>
      <c r="R283" s="21">
        <v>273</v>
      </c>
      <c r="S283" s="21">
        <v>1.2738</v>
      </c>
      <c r="T283">
        <f t="shared" si="50"/>
        <v>15.616666666666664</v>
      </c>
      <c r="U283">
        <f t="shared" si="51"/>
        <v>19.90687733333333</v>
      </c>
      <c r="X283" s="9"/>
      <c r="Y283" s="21">
        <v>0.36529499999999998</v>
      </c>
      <c r="Z283" s="21">
        <v>17.3979</v>
      </c>
      <c r="AA283" s="21">
        <v>-1.37939E-2</v>
      </c>
      <c r="AB283" s="21">
        <v>273</v>
      </c>
      <c r="AC283" s="21">
        <v>0.36477700000000002</v>
      </c>
      <c r="AD283">
        <f t="shared" si="52"/>
        <v>17.029506172839504</v>
      </c>
      <c r="AE283">
        <f t="shared" si="53"/>
        <v>6.2207934574074066</v>
      </c>
      <c r="AF283" s="9"/>
      <c r="AG283" s="21">
        <v>1.2747200000000001</v>
      </c>
      <c r="AH283" s="21">
        <v>21.096299999999999</v>
      </c>
      <c r="AI283" s="21">
        <v>-1.2649499999999999E-2</v>
      </c>
      <c r="AJ283" s="21">
        <v>273</v>
      </c>
      <c r="AK283" s="21">
        <v>1.2741100000000001</v>
      </c>
      <c r="AL283">
        <f t="shared" si="54"/>
        <v>15.616666666666664</v>
      </c>
      <c r="AM283">
        <f t="shared" si="55"/>
        <v>19.90687733333333</v>
      </c>
      <c r="AP283" s="9"/>
      <c r="AQ283" s="21">
        <v>0.36529499999999998</v>
      </c>
      <c r="AR283" s="21">
        <v>26.530100000000001</v>
      </c>
      <c r="AS283" s="21">
        <v>-1.3738999999999999E-2</v>
      </c>
      <c r="AT283" s="21">
        <v>273</v>
      </c>
      <c r="AU283" s="21">
        <v>0.364624</v>
      </c>
      <c r="AV283">
        <f t="shared" si="56"/>
        <v>16.961728395061726</v>
      </c>
      <c r="AW283">
        <f t="shared" si="57"/>
        <v>6.1960345740740728</v>
      </c>
      <c r="AX283" s="9"/>
      <c r="AY283" s="21">
        <v>1.2747200000000001</v>
      </c>
      <c r="AZ283" s="21">
        <v>30.2285</v>
      </c>
      <c r="BA283" s="21">
        <v>-1.2539700000000001E-2</v>
      </c>
      <c r="BB283" s="21">
        <v>273</v>
      </c>
      <c r="BC283" s="21">
        <v>1.2738</v>
      </c>
      <c r="BD283">
        <f t="shared" si="58"/>
        <v>15.48111111111111</v>
      </c>
      <c r="BE283">
        <f t="shared" si="59"/>
        <v>19.734081955555556</v>
      </c>
    </row>
    <row r="284" spans="6:101" x14ac:dyDescent="0.25">
      <c r="F284" s="9"/>
      <c r="G284" s="21">
        <v>0.36026000000000002</v>
      </c>
      <c r="H284" s="21">
        <v>8.3487799999999996</v>
      </c>
      <c r="I284" s="21">
        <v>-1.38794E-2</v>
      </c>
      <c r="J284" s="21">
        <v>274</v>
      </c>
      <c r="K284" s="21">
        <v>0.35968</v>
      </c>
      <c r="L284">
        <f t="shared" si="48"/>
        <v>17.135061728395058</v>
      </c>
      <c r="M284">
        <f t="shared" si="49"/>
        <v>6.1730773382716038</v>
      </c>
      <c r="N284" s="9"/>
      <c r="O284" s="21">
        <v>1.2797499999999999</v>
      </c>
      <c r="P284" s="21">
        <v>12.0471</v>
      </c>
      <c r="Q284" s="21">
        <v>-1.2643400000000001E-2</v>
      </c>
      <c r="R284" s="21">
        <v>274</v>
      </c>
      <c r="S284" s="21">
        <v>1.2789900000000001</v>
      </c>
      <c r="T284">
        <f t="shared" si="50"/>
        <v>15.609135802469137</v>
      </c>
      <c r="U284">
        <f t="shared" si="51"/>
        <v>19.975791543209876</v>
      </c>
      <c r="X284" s="9"/>
      <c r="Y284" s="21">
        <v>0.36026000000000002</v>
      </c>
      <c r="Z284" s="21">
        <v>17.408000000000001</v>
      </c>
      <c r="AA284" s="21">
        <v>-1.37939E-2</v>
      </c>
      <c r="AB284" s="21">
        <v>274</v>
      </c>
      <c r="AC284" s="21">
        <v>0.35958899999999999</v>
      </c>
      <c r="AD284">
        <f t="shared" si="52"/>
        <v>17.029506172839504</v>
      </c>
      <c r="AE284">
        <f t="shared" si="53"/>
        <v>6.1350498938271603</v>
      </c>
      <c r="AF284" s="9"/>
      <c r="AG284" s="21">
        <v>1.2797499999999999</v>
      </c>
      <c r="AH284" s="21">
        <v>21.106400000000001</v>
      </c>
      <c r="AI284" s="21">
        <v>-1.2619E-2</v>
      </c>
      <c r="AJ284" s="21">
        <v>274</v>
      </c>
      <c r="AK284" s="21">
        <v>1.2789900000000001</v>
      </c>
      <c r="AL284">
        <f t="shared" si="54"/>
        <v>15.579012345679011</v>
      </c>
      <c r="AM284">
        <f t="shared" si="55"/>
        <v>19.937241049382713</v>
      </c>
      <c r="AP284" s="9"/>
      <c r="AQ284" s="21">
        <v>0.36026000000000002</v>
      </c>
      <c r="AR284" s="21">
        <v>26.540199999999999</v>
      </c>
      <c r="AS284" s="21">
        <v>-1.3738999999999999E-2</v>
      </c>
      <c r="AT284" s="21">
        <v>274</v>
      </c>
      <c r="AU284" s="21">
        <v>0.35968</v>
      </c>
      <c r="AV284">
        <f t="shared" si="56"/>
        <v>16.961728395061726</v>
      </c>
      <c r="AW284">
        <f t="shared" si="57"/>
        <v>6.1106322716049384</v>
      </c>
      <c r="AX284" s="9"/>
      <c r="AY284" s="21">
        <v>1.2797499999999999</v>
      </c>
      <c r="AZ284" s="21">
        <v>30.238600000000002</v>
      </c>
      <c r="BA284" s="21">
        <v>-1.25092E-2</v>
      </c>
      <c r="BB284" s="21">
        <v>274</v>
      </c>
      <c r="BC284" s="21">
        <v>1.2789900000000001</v>
      </c>
      <c r="BD284">
        <f t="shared" si="58"/>
        <v>15.443456790123456</v>
      </c>
      <c r="BE284">
        <f t="shared" si="59"/>
        <v>19.763763827160492</v>
      </c>
    </row>
    <row r="285" spans="6:101" x14ac:dyDescent="0.25">
      <c r="F285" s="9"/>
      <c r="G285" s="21">
        <v>0.35522500000000001</v>
      </c>
      <c r="H285" s="21">
        <v>8.3588500000000003</v>
      </c>
      <c r="I285" s="21">
        <v>-1.3876299999999999E-2</v>
      </c>
      <c r="J285" s="21">
        <v>275</v>
      </c>
      <c r="K285" s="21">
        <v>0.35452299999999998</v>
      </c>
      <c r="L285">
        <f t="shared" si="48"/>
        <v>17.131234567901231</v>
      </c>
      <c r="M285">
        <f t="shared" si="49"/>
        <v>6.0854427993827152</v>
      </c>
      <c r="N285" s="9"/>
      <c r="O285" s="21">
        <v>1.2847900000000001</v>
      </c>
      <c r="P285" s="21">
        <v>12.0572</v>
      </c>
      <c r="Q285" s="21">
        <v>-1.2637300000000001E-2</v>
      </c>
      <c r="R285" s="21">
        <v>275</v>
      </c>
      <c r="S285" s="21">
        <v>1.2841800000000001</v>
      </c>
      <c r="T285">
        <f t="shared" si="50"/>
        <v>15.601604938271604</v>
      </c>
      <c r="U285">
        <f t="shared" si="51"/>
        <v>20.044786008641974</v>
      </c>
      <c r="X285" s="9"/>
      <c r="Y285" s="21">
        <v>0.35522500000000001</v>
      </c>
      <c r="Z285" s="21">
        <v>17.418099999999999</v>
      </c>
      <c r="AA285" s="21">
        <v>-1.3797E-2</v>
      </c>
      <c r="AB285" s="21">
        <v>275</v>
      </c>
      <c r="AC285" s="21">
        <v>0.35467500000000002</v>
      </c>
      <c r="AD285">
        <f t="shared" si="52"/>
        <v>17.033333333333331</v>
      </c>
      <c r="AE285">
        <f t="shared" si="53"/>
        <v>6.0506658333333325</v>
      </c>
      <c r="AF285" s="9"/>
      <c r="AG285" s="21">
        <v>1.2847900000000001</v>
      </c>
      <c r="AH285" s="21">
        <v>21.116399999999999</v>
      </c>
      <c r="AI285" s="21">
        <v>-1.25854E-2</v>
      </c>
      <c r="AJ285" s="21">
        <v>275</v>
      </c>
      <c r="AK285" s="21">
        <v>1.2844800000000001</v>
      </c>
      <c r="AL285">
        <f t="shared" si="54"/>
        <v>15.53753086419753</v>
      </c>
      <c r="AM285">
        <f t="shared" si="55"/>
        <v>19.962464279012345</v>
      </c>
      <c r="AP285" s="9"/>
      <c r="AQ285" s="21">
        <v>0.35522500000000001</v>
      </c>
      <c r="AR285" s="21">
        <v>26.5503</v>
      </c>
      <c r="AS285" s="21">
        <v>-1.37421E-2</v>
      </c>
      <c r="AT285" s="21">
        <v>275</v>
      </c>
      <c r="AU285" s="21">
        <v>0.35461399999999998</v>
      </c>
      <c r="AV285">
        <f t="shared" si="56"/>
        <v>16.965555555555554</v>
      </c>
      <c r="AW285">
        <f t="shared" si="57"/>
        <v>6.0265894722222217</v>
      </c>
      <c r="AX285" s="9"/>
      <c r="AY285" s="21">
        <v>1.2847900000000001</v>
      </c>
      <c r="AZ285" s="21">
        <v>30.2486</v>
      </c>
      <c r="BA285" s="21">
        <v>-1.24756E-2</v>
      </c>
      <c r="BB285" s="21">
        <v>275</v>
      </c>
      <c r="BC285" s="21">
        <v>1.2844800000000001</v>
      </c>
      <c r="BD285">
        <f t="shared" si="58"/>
        <v>15.401975308641974</v>
      </c>
      <c r="BE285">
        <f t="shared" si="59"/>
        <v>19.788303856790122</v>
      </c>
    </row>
    <row r="286" spans="6:101" x14ac:dyDescent="0.25">
      <c r="F286" s="9"/>
      <c r="G286" s="21">
        <v>0.35018899999999997</v>
      </c>
      <c r="H286" s="21">
        <v>8.3689300000000006</v>
      </c>
      <c r="I286" s="21">
        <v>-1.3864100000000001E-2</v>
      </c>
      <c r="J286" s="21">
        <v>276</v>
      </c>
      <c r="K286" s="21">
        <v>0.349518</v>
      </c>
      <c r="L286">
        <f t="shared" si="48"/>
        <v>17.11617283950617</v>
      </c>
      <c r="M286">
        <f t="shared" si="49"/>
        <v>5.9938954504938255</v>
      </c>
      <c r="N286" s="9"/>
      <c r="O286" s="21">
        <v>1.28983</v>
      </c>
      <c r="P286" s="21">
        <v>12.067299999999999</v>
      </c>
      <c r="Q286" s="21">
        <v>-1.2619E-2</v>
      </c>
      <c r="R286" s="21">
        <v>276</v>
      </c>
      <c r="S286" s="21">
        <v>1.2890600000000001</v>
      </c>
      <c r="T286">
        <f t="shared" si="50"/>
        <v>15.579012345679011</v>
      </c>
      <c r="U286">
        <f t="shared" si="51"/>
        <v>20.09427749382716</v>
      </c>
      <c r="X286" s="9"/>
      <c r="Y286" s="21">
        <v>0.35018899999999997</v>
      </c>
      <c r="Z286" s="21">
        <v>17.428100000000001</v>
      </c>
      <c r="AA286" s="21">
        <v>-1.37939E-2</v>
      </c>
      <c r="AB286" s="21">
        <v>276</v>
      </c>
      <c r="AC286" s="21">
        <v>0.34964000000000001</v>
      </c>
      <c r="AD286">
        <f t="shared" si="52"/>
        <v>17.029506172839504</v>
      </c>
      <c r="AE286">
        <f t="shared" si="53"/>
        <v>5.9635457371604925</v>
      </c>
      <c r="AF286" s="9"/>
      <c r="AG286" s="21">
        <v>1.28983</v>
      </c>
      <c r="AH286" s="21">
        <v>21.1265</v>
      </c>
      <c r="AI286" s="21">
        <v>-1.25641E-2</v>
      </c>
      <c r="AJ286" s="21">
        <v>276</v>
      </c>
      <c r="AK286" s="21">
        <v>1.2890600000000001</v>
      </c>
      <c r="AL286">
        <f t="shared" si="54"/>
        <v>15.511234567901234</v>
      </c>
      <c r="AM286">
        <f t="shared" si="55"/>
        <v>20.006855682716047</v>
      </c>
      <c r="AP286" s="9"/>
      <c r="AQ286" s="21">
        <v>0.35018899999999997</v>
      </c>
      <c r="AR286" s="21">
        <v>26.560400000000001</v>
      </c>
      <c r="AS286" s="21">
        <v>-1.37512E-2</v>
      </c>
      <c r="AT286" s="21">
        <v>276</v>
      </c>
      <c r="AU286" s="21">
        <v>0.34939599999999998</v>
      </c>
      <c r="AV286">
        <f t="shared" si="56"/>
        <v>16.976790123456787</v>
      </c>
      <c r="AW286">
        <f t="shared" si="57"/>
        <v>5.9450851565432083</v>
      </c>
      <c r="AX286" s="9"/>
      <c r="AY286" s="21">
        <v>1.28983</v>
      </c>
      <c r="AZ286" s="21">
        <v>30.258700000000001</v>
      </c>
      <c r="BA286" s="21">
        <v>-1.2445100000000001E-2</v>
      </c>
      <c r="BB286" s="21">
        <v>276</v>
      </c>
      <c r="BC286" s="21">
        <v>1.2890600000000001</v>
      </c>
      <c r="BD286">
        <f t="shared" si="58"/>
        <v>15.36432098765432</v>
      </c>
      <c r="BE286">
        <f t="shared" si="59"/>
        <v>19.817362139506173</v>
      </c>
    </row>
    <row r="287" spans="6:101" x14ac:dyDescent="0.25">
      <c r="F287" s="9"/>
      <c r="G287" s="21">
        <v>0.34515400000000002</v>
      </c>
      <c r="H287" s="21">
        <v>8.3789999999999996</v>
      </c>
      <c r="I287" s="21">
        <v>-1.38519E-2</v>
      </c>
      <c r="J287" s="21">
        <v>277</v>
      </c>
      <c r="K287" s="21">
        <v>0.34454299999999999</v>
      </c>
      <c r="L287">
        <f t="shared" si="48"/>
        <v>17.101111111111113</v>
      </c>
      <c r="M287">
        <f t="shared" si="49"/>
        <v>5.902516904444445</v>
      </c>
      <c r="N287" s="9"/>
      <c r="O287" s="21">
        <v>1.2948599999999999</v>
      </c>
      <c r="P287" s="21">
        <v>12.077299999999999</v>
      </c>
      <c r="Q287" s="21">
        <v>-1.26068E-2</v>
      </c>
      <c r="R287" s="21">
        <v>277</v>
      </c>
      <c r="S287" s="21">
        <v>1.2942499999999999</v>
      </c>
      <c r="T287">
        <f t="shared" si="50"/>
        <v>15.56395061728395</v>
      </c>
      <c r="U287">
        <f t="shared" si="51"/>
        <v>20.153137096296295</v>
      </c>
      <c r="X287" s="9"/>
      <c r="Y287" s="21">
        <v>0.34515400000000002</v>
      </c>
      <c r="Z287" s="21">
        <v>17.438199999999998</v>
      </c>
      <c r="AA287" s="21">
        <v>-1.3797E-2</v>
      </c>
      <c r="AB287" s="21">
        <v>277</v>
      </c>
      <c r="AC287" s="21">
        <v>0.34448200000000001</v>
      </c>
      <c r="AD287">
        <f t="shared" si="52"/>
        <v>17.033333333333331</v>
      </c>
      <c r="AE287">
        <f t="shared" si="53"/>
        <v>5.8791231333333327</v>
      </c>
      <c r="AF287" s="9"/>
      <c r="AG287" s="21">
        <v>1.2948599999999999</v>
      </c>
      <c r="AH287" s="21">
        <v>21.136600000000001</v>
      </c>
      <c r="AI287" s="21">
        <v>-1.2548800000000001E-2</v>
      </c>
      <c r="AJ287" s="21">
        <v>277</v>
      </c>
      <c r="AK287" s="21">
        <v>1.2942499999999999</v>
      </c>
      <c r="AL287">
        <f t="shared" si="54"/>
        <v>15.492345679012345</v>
      </c>
      <c r="AM287">
        <f t="shared" si="55"/>
        <v>20.060418725925924</v>
      </c>
      <c r="AP287" s="9"/>
      <c r="AQ287" s="21">
        <v>0.34515400000000002</v>
      </c>
      <c r="AR287" s="21">
        <v>26.570399999999999</v>
      </c>
      <c r="AS287" s="21">
        <v>-1.3766499999999999E-2</v>
      </c>
      <c r="AT287" s="21">
        <v>277</v>
      </c>
      <c r="AU287" s="21">
        <v>0.34445199999999998</v>
      </c>
      <c r="AV287">
        <f t="shared" si="56"/>
        <v>16.995679012345676</v>
      </c>
      <c r="AW287">
        <f t="shared" si="57"/>
        <v>5.8661265938271594</v>
      </c>
      <c r="AX287" s="9"/>
      <c r="AY287" s="21">
        <v>1.2948599999999999</v>
      </c>
      <c r="AZ287" s="21">
        <v>30.268799999999999</v>
      </c>
      <c r="BA287" s="21">
        <v>-1.2417600000000001E-2</v>
      </c>
      <c r="BB287" s="21">
        <v>277</v>
      </c>
      <c r="BC287" s="21">
        <v>1.2939499999999999</v>
      </c>
      <c r="BD287">
        <f t="shared" si="58"/>
        <v>15.330370370370371</v>
      </c>
      <c r="BE287">
        <f t="shared" si="59"/>
        <v>19.850683377777777</v>
      </c>
    </row>
    <row r="288" spans="6:101" x14ac:dyDescent="0.25">
      <c r="F288" s="9"/>
      <c r="G288" s="21">
        <v>0.34011799999999998</v>
      </c>
      <c r="H288" s="21">
        <v>8.3890700000000002</v>
      </c>
      <c r="I288" s="21">
        <v>-1.38336E-2</v>
      </c>
      <c r="J288" s="21">
        <v>278</v>
      </c>
      <c r="K288" s="21">
        <v>0.339478</v>
      </c>
      <c r="L288">
        <f t="shared" si="48"/>
        <v>17.078518518518518</v>
      </c>
      <c r="M288">
        <f t="shared" si="49"/>
        <v>5.8087115614814806</v>
      </c>
      <c r="N288" s="9"/>
      <c r="O288" s="21">
        <v>1.2999000000000001</v>
      </c>
      <c r="P288" s="21">
        <v>12.087400000000001</v>
      </c>
      <c r="Q288" s="21">
        <v>-1.2594599999999999E-2</v>
      </c>
      <c r="R288" s="21">
        <v>278</v>
      </c>
      <c r="S288" s="21">
        <v>1.2991299999999999</v>
      </c>
      <c r="T288">
        <f t="shared" si="50"/>
        <v>15.548888888888886</v>
      </c>
      <c r="U288">
        <f t="shared" si="51"/>
        <v>20.212000666666665</v>
      </c>
      <c r="X288" s="9"/>
      <c r="Y288" s="21">
        <v>0.34011799999999998</v>
      </c>
      <c r="Z288" s="21">
        <v>17.4483</v>
      </c>
      <c r="AA288" s="21">
        <v>-1.38E-2</v>
      </c>
      <c r="AB288" s="21">
        <v>278</v>
      </c>
      <c r="AC288" s="21">
        <v>0.339478</v>
      </c>
      <c r="AD288">
        <f t="shared" si="52"/>
        <v>17.037037037037035</v>
      </c>
      <c r="AE288">
        <f t="shared" si="53"/>
        <v>5.7946029629629621</v>
      </c>
      <c r="AF288" s="9"/>
      <c r="AG288" s="21">
        <v>1.2999000000000001</v>
      </c>
      <c r="AH288" s="21">
        <v>21.146699999999999</v>
      </c>
      <c r="AI288" s="21">
        <v>-1.25305E-2</v>
      </c>
      <c r="AJ288" s="21">
        <v>278</v>
      </c>
      <c r="AK288" s="21">
        <v>1.2991299999999999</v>
      </c>
      <c r="AL288">
        <f t="shared" si="54"/>
        <v>15.469753086419752</v>
      </c>
      <c r="AM288">
        <f t="shared" si="55"/>
        <v>20.109132037037035</v>
      </c>
      <c r="AP288" s="9"/>
      <c r="AQ288" s="21">
        <v>0.34011799999999998</v>
      </c>
      <c r="AR288" s="21">
        <v>26.580500000000001</v>
      </c>
      <c r="AS288" s="21">
        <v>-1.37634E-2</v>
      </c>
      <c r="AT288" s="21">
        <v>278</v>
      </c>
      <c r="AU288" s="21">
        <v>0.339478</v>
      </c>
      <c r="AV288">
        <f t="shared" si="56"/>
        <v>16.991851851851852</v>
      </c>
      <c r="AW288">
        <f t="shared" si="57"/>
        <v>5.7792346681481481</v>
      </c>
      <c r="AX288" s="9"/>
      <c r="AY288" s="21">
        <v>1.2999000000000001</v>
      </c>
      <c r="AZ288" s="21">
        <v>30.2788</v>
      </c>
      <c r="BA288" s="21">
        <v>-1.23962E-2</v>
      </c>
      <c r="BB288" s="21">
        <v>278</v>
      </c>
      <c r="BC288" s="21">
        <v>1.2988299999999999</v>
      </c>
      <c r="BD288">
        <f t="shared" si="58"/>
        <v>15.303950617283951</v>
      </c>
      <c r="BE288">
        <f t="shared" si="59"/>
        <v>19.893605407407406</v>
      </c>
    </row>
    <row r="289" spans="6:57" x14ac:dyDescent="0.25">
      <c r="F289" s="9"/>
      <c r="G289" s="21">
        <v>0.33508300000000002</v>
      </c>
      <c r="H289" s="21">
        <v>8.3991399999999992</v>
      </c>
      <c r="I289" s="21">
        <v>-1.3815300000000001E-2</v>
      </c>
      <c r="J289" s="21">
        <v>279</v>
      </c>
      <c r="K289" s="21">
        <v>0.33450299999999999</v>
      </c>
      <c r="L289">
        <f t="shared" si="48"/>
        <v>17.055925925925926</v>
      </c>
      <c r="M289">
        <f t="shared" si="49"/>
        <v>5.7151508270370375</v>
      </c>
      <c r="N289" s="9"/>
      <c r="O289" s="21">
        <v>1.3049299999999999</v>
      </c>
      <c r="P289" s="21">
        <v>12.0975</v>
      </c>
      <c r="Q289" s="21">
        <v>-1.25732E-2</v>
      </c>
      <c r="R289" s="21">
        <v>279</v>
      </c>
      <c r="S289" s="21">
        <v>1.3043199999999999</v>
      </c>
      <c r="T289">
        <f t="shared" si="50"/>
        <v>15.522469135802467</v>
      </c>
      <c r="U289">
        <f t="shared" si="51"/>
        <v>20.255735649382711</v>
      </c>
      <c r="X289" s="9"/>
      <c r="Y289" s="21">
        <v>0.33508300000000002</v>
      </c>
      <c r="Z289" s="21">
        <v>17.458400000000001</v>
      </c>
      <c r="AA289" s="21">
        <v>-1.3806199999999999E-2</v>
      </c>
      <c r="AB289" s="21">
        <v>279</v>
      </c>
      <c r="AC289" s="21">
        <v>0.33441199999999999</v>
      </c>
      <c r="AD289">
        <f t="shared" si="52"/>
        <v>17.044691358024689</v>
      </c>
      <c r="AE289">
        <f t="shared" si="53"/>
        <v>5.7113863143209871</v>
      </c>
      <c r="AF289" s="9"/>
      <c r="AG289" s="21">
        <v>1.3049299999999999</v>
      </c>
      <c r="AH289" s="21">
        <v>21.156700000000001</v>
      </c>
      <c r="AI289" s="21">
        <v>-1.25092E-2</v>
      </c>
      <c r="AJ289" s="21">
        <v>279</v>
      </c>
      <c r="AK289" s="21">
        <v>1.30402</v>
      </c>
      <c r="AL289">
        <f t="shared" si="54"/>
        <v>15.443456790123456</v>
      </c>
      <c r="AM289">
        <f t="shared" si="55"/>
        <v>20.1526300691358</v>
      </c>
      <c r="AP289" s="9"/>
      <c r="AQ289" s="21">
        <v>0.33508300000000002</v>
      </c>
      <c r="AR289" s="21">
        <v>26.590599999999998</v>
      </c>
      <c r="AS289" s="21">
        <v>-1.3766499999999999E-2</v>
      </c>
      <c r="AT289" s="21">
        <v>279</v>
      </c>
      <c r="AU289" s="21">
        <v>0.33444200000000002</v>
      </c>
      <c r="AV289">
        <f t="shared" si="56"/>
        <v>16.995679012345676</v>
      </c>
      <c r="AW289">
        <f t="shared" si="57"/>
        <v>5.6949631104938261</v>
      </c>
      <c r="AX289" s="9"/>
      <c r="AY289" s="21">
        <v>1.3049299999999999</v>
      </c>
      <c r="AZ289" s="21">
        <v>30.288900000000002</v>
      </c>
      <c r="BA289" s="21">
        <v>-1.2377900000000001E-2</v>
      </c>
      <c r="BB289" s="21">
        <v>279</v>
      </c>
      <c r="BC289" s="21">
        <v>1.3037099999999999</v>
      </c>
      <c r="BD289">
        <f t="shared" si="58"/>
        <v>15.281358024691359</v>
      </c>
      <c r="BE289">
        <f t="shared" si="59"/>
        <v>19.941102527160496</v>
      </c>
    </row>
    <row r="290" spans="6:57" x14ac:dyDescent="0.25">
      <c r="F290" s="9"/>
      <c r="G290" s="21">
        <v>0.33004800000000001</v>
      </c>
      <c r="H290" s="21">
        <v>8.4092099999999999</v>
      </c>
      <c r="I290" s="21">
        <v>-1.38123E-2</v>
      </c>
      <c r="J290" s="21">
        <v>280</v>
      </c>
      <c r="K290" s="21">
        <v>0.32943699999999998</v>
      </c>
      <c r="L290">
        <f t="shared" si="48"/>
        <v>17.052222222222223</v>
      </c>
      <c r="M290">
        <f t="shared" si="49"/>
        <v>5.6280518400000004</v>
      </c>
      <c r="N290" s="9"/>
      <c r="O290" s="21">
        <v>1.3099700000000001</v>
      </c>
      <c r="P290" s="21">
        <v>12.1075</v>
      </c>
      <c r="Q290" s="21">
        <v>-1.2545799999999999E-2</v>
      </c>
      <c r="R290" s="21">
        <v>280</v>
      </c>
      <c r="S290" s="21">
        <v>1.3091999999999999</v>
      </c>
      <c r="T290">
        <f t="shared" si="50"/>
        <v>15.48864197530864</v>
      </c>
      <c r="U290">
        <f t="shared" si="51"/>
        <v>20.289656328395061</v>
      </c>
      <c r="X290" s="9"/>
      <c r="Y290" s="21">
        <v>0.33004800000000001</v>
      </c>
      <c r="Z290" s="21">
        <v>17.468399999999999</v>
      </c>
      <c r="AA290" s="21">
        <v>-1.38123E-2</v>
      </c>
      <c r="AB290" s="21">
        <v>280</v>
      </c>
      <c r="AC290" s="21">
        <v>0.32949800000000001</v>
      </c>
      <c r="AD290">
        <f t="shared" si="52"/>
        <v>17.052222222222223</v>
      </c>
      <c r="AE290">
        <f t="shared" si="53"/>
        <v>5.6280518400000004</v>
      </c>
      <c r="AF290" s="9"/>
      <c r="AG290" s="21">
        <v>1.3099700000000001</v>
      </c>
      <c r="AH290" s="21">
        <v>21.166799999999999</v>
      </c>
      <c r="AI290" s="21">
        <v>-1.24847E-2</v>
      </c>
      <c r="AJ290" s="21">
        <v>280</v>
      </c>
      <c r="AK290" s="21">
        <v>1.3091999999999999</v>
      </c>
      <c r="AL290">
        <f t="shared" si="54"/>
        <v>15.413209876543208</v>
      </c>
      <c r="AM290">
        <f t="shared" si="55"/>
        <v>20.190842541975307</v>
      </c>
      <c r="AP290" s="9"/>
      <c r="AQ290" s="21">
        <v>0.33004800000000001</v>
      </c>
      <c r="AR290" s="21">
        <v>26.6006</v>
      </c>
      <c r="AS290" s="21">
        <v>-1.37695E-2</v>
      </c>
      <c r="AT290" s="21">
        <v>280</v>
      </c>
      <c r="AU290" s="21">
        <v>0.32958999999999999</v>
      </c>
      <c r="AV290">
        <f t="shared" si="56"/>
        <v>16.999382716049382</v>
      </c>
      <c r="AW290">
        <f t="shared" si="57"/>
        <v>5.6106122666666662</v>
      </c>
      <c r="AX290" s="9"/>
      <c r="AY290" s="21">
        <v>1.3099700000000001</v>
      </c>
      <c r="AZ290" s="21">
        <v>30.298999999999999</v>
      </c>
      <c r="BA290" s="21">
        <v>-1.2362700000000001E-2</v>
      </c>
      <c r="BB290" s="21">
        <v>280</v>
      </c>
      <c r="BC290" s="21">
        <v>1.30951</v>
      </c>
      <c r="BD290">
        <f t="shared" si="58"/>
        <v>15.262592592592593</v>
      </c>
      <c r="BE290">
        <f t="shared" si="59"/>
        <v>19.993538418518522</v>
      </c>
    </row>
    <row r="291" spans="6:57" x14ac:dyDescent="0.25">
      <c r="F291" s="9"/>
      <c r="G291" s="21">
        <v>0.32501200000000002</v>
      </c>
      <c r="H291" s="21">
        <v>8.4192800000000005</v>
      </c>
      <c r="I291" s="21">
        <v>-1.38245E-2</v>
      </c>
      <c r="J291" s="21">
        <v>281</v>
      </c>
      <c r="K291" s="21">
        <v>0.32440200000000002</v>
      </c>
      <c r="L291">
        <f t="shared" si="48"/>
        <v>17.067283950617281</v>
      </c>
      <c r="M291">
        <f t="shared" si="49"/>
        <v>5.5470720913580243</v>
      </c>
      <c r="N291" s="9"/>
      <c r="O291" s="21">
        <v>1.3149999999999999</v>
      </c>
      <c r="P291" s="21">
        <v>12.117599999999999</v>
      </c>
      <c r="Q291" s="21">
        <v>-1.25305E-2</v>
      </c>
      <c r="R291" s="21">
        <v>281</v>
      </c>
      <c r="S291" s="21">
        <v>1.3147</v>
      </c>
      <c r="T291">
        <f t="shared" si="50"/>
        <v>15.469753086419752</v>
      </c>
      <c r="U291">
        <f t="shared" si="51"/>
        <v>20.342725308641974</v>
      </c>
      <c r="X291" s="9"/>
      <c r="Y291" s="21">
        <v>0.32501200000000002</v>
      </c>
      <c r="Z291" s="21">
        <v>17.4785</v>
      </c>
      <c r="AA291" s="21">
        <v>-1.38306E-2</v>
      </c>
      <c r="AB291" s="21">
        <v>281</v>
      </c>
      <c r="AC291" s="21">
        <v>0.32449299999999998</v>
      </c>
      <c r="AD291">
        <f t="shared" si="52"/>
        <v>17.074814814814815</v>
      </c>
      <c r="AE291">
        <f t="shared" si="53"/>
        <v>5.549519712592593</v>
      </c>
      <c r="AF291" s="9"/>
      <c r="AG291" s="21">
        <v>1.3149999999999999</v>
      </c>
      <c r="AH291" s="21">
        <v>21.1769</v>
      </c>
      <c r="AI291" s="21">
        <v>-1.2457299999999999E-2</v>
      </c>
      <c r="AJ291" s="21">
        <v>281</v>
      </c>
      <c r="AK291" s="21">
        <v>1.3143899999999999</v>
      </c>
      <c r="AL291">
        <f t="shared" si="54"/>
        <v>15.379382716049379</v>
      </c>
      <c r="AM291">
        <f t="shared" si="55"/>
        <v>20.223888271604935</v>
      </c>
      <c r="AP291" s="9"/>
      <c r="AQ291" s="21">
        <v>0.32501200000000002</v>
      </c>
      <c r="AR291" s="21">
        <v>26.610700000000001</v>
      </c>
      <c r="AS291" s="21">
        <v>-1.37634E-2</v>
      </c>
      <c r="AT291" s="21">
        <v>281</v>
      </c>
      <c r="AU291" s="21">
        <v>0.324432</v>
      </c>
      <c r="AV291">
        <f t="shared" si="56"/>
        <v>16.991851851851852</v>
      </c>
      <c r="AW291">
        <f t="shared" si="57"/>
        <v>5.5225557540740748</v>
      </c>
      <c r="AX291" s="9"/>
      <c r="AY291" s="21">
        <v>1.3149999999999999</v>
      </c>
      <c r="AZ291" s="21">
        <v>30.309100000000001</v>
      </c>
      <c r="BA291" s="21">
        <v>-1.2341299999999999E-2</v>
      </c>
      <c r="BB291" s="21">
        <v>281</v>
      </c>
      <c r="BC291" s="21">
        <v>1.31409</v>
      </c>
      <c r="BD291">
        <f t="shared" si="58"/>
        <v>15.236172839506171</v>
      </c>
      <c r="BE291">
        <f t="shared" si="59"/>
        <v>20.035567283950613</v>
      </c>
    </row>
    <row r="292" spans="6:57" x14ac:dyDescent="0.25">
      <c r="F292" s="9"/>
      <c r="G292" s="21">
        <v>0.31997700000000001</v>
      </c>
      <c r="H292" s="21">
        <v>8.4293499999999995</v>
      </c>
      <c r="I292" s="21">
        <v>-1.38306E-2</v>
      </c>
      <c r="J292" s="21">
        <v>282</v>
      </c>
      <c r="K292" s="21">
        <v>0.31948900000000002</v>
      </c>
      <c r="L292">
        <f t="shared" si="48"/>
        <v>17.074814814814815</v>
      </c>
      <c r="M292">
        <f t="shared" si="49"/>
        <v>5.4635480200000002</v>
      </c>
      <c r="N292" s="9"/>
      <c r="O292" s="21">
        <v>1.3200400000000001</v>
      </c>
      <c r="P292" s="21">
        <v>12.127700000000001</v>
      </c>
      <c r="Q292" s="21">
        <v>-1.2512199999999999E-2</v>
      </c>
      <c r="R292" s="21">
        <v>282</v>
      </c>
      <c r="S292" s="21">
        <v>1.3192699999999999</v>
      </c>
      <c r="T292">
        <f t="shared" si="50"/>
        <v>15.447160493827159</v>
      </c>
      <c r="U292">
        <f t="shared" si="51"/>
        <v>20.390869738271604</v>
      </c>
      <c r="X292" s="9"/>
      <c r="Y292" s="21">
        <v>0.31997700000000001</v>
      </c>
      <c r="Z292" s="21">
        <v>17.488600000000002</v>
      </c>
      <c r="AA292" s="21">
        <v>-1.38336E-2</v>
      </c>
      <c r="AB292" s="21">
        <v>282</v>
      </c>
      <c r="AC292" s="21">
        <v>0.31927499999999998</v>
      </c>
      <c r="AD292">
        <f t="shared" si="52"/>
        <v>17.078518518518518</v>
      </c>
      <c r="AE292">
        <f t="shared" si="53"/>
        <v>5.46473312</v>
      </c>
      <c r="AF292" s="9"/>
      <c r="AG292" s="21">
        <v>1.3200400000000001</v>
      </c>
      <c r="AH292" s="21">
        <v>21.186900000000001</v>
      </c>
      <c r="AI292" s="21">
        <v>-1.24298E-2</v>
      </c>
      <c r="AJ292" s="21">
        <v>282</v>
      </c>
      <c r="AK292" s="21">
        <v>1.31958</v>
      </c>
      <c r="AL292">
        <f t="shared" si="54"/>
        <v>15.34543209876543</v>
      </c>
      <c r="AM292">
        <f t="shared" si="55"/>
        <v>20.256584187654319</v>
      </c>
      <c r="AP292" s="9"/>
      <c r="AQ292" s="21">
        <v>0.31997700000000001</v>
      </c>
      <c r="AR292" s="21">
        <v>26.620799999999999</v>
      </c>
      <c r="AS292" s="21">
        <v>-1.37695E-2</v>
      </c>
      <c r="AT292" s="21">
        <v>282</v>
      </c>
      <c r="AU292" s="21">
        <v>0.31936599999999998</v>
      </c>
      <c r="AV292">
        <f t="shared" si="56"/>
        <v>16.999382716049382</v>
      </c>
      <c r="AW292">
        <f t="shared" si="57"/>
        <v>5.4394114833333331</v>
      </c>
      <c r="AX292" s="9"/>
      <c r="AY292" s="21">
        <v>1.3200400000000001</v>
      </c>
      <c r="AZ292" s="21">
        <v>30.319099999999999</v>
      </c>
      <c r="BA292" s="21">
        <v>-1.23169E-2</v>
      </c>
      <c r="BB292" s="21">
        <v>282</v>
      </c>
      <c r="BC292" s="21">
        <v>1.3192699999999999</v>
      </c>
      <c r="BD292">
        <f t="shared" si="58"/>
        <v>15.206049382716049</v>
      </c>
      <c r="BE292">
        <f t="shared" si="59"/>
        <v>20.072593427160495</v>
      </c>
    </row>
    <row r="293" spans="6:57" x14ac:dyDescent="0.25">
      <c r="F293" s="9"/>
      <c r="G293" s="21">
        <v>0.31494100000000003</v>
      </c>
      <c r="H293" s="21">
        <v>8.4394200000000001</v>
      </c>
      <c r="I293" s="21">
        <v>-1.38336E-2</v>
      </c>
      <c r="J293" s="21">
        <v>283</v>
      </c>
      <c r="K293" s="21">
        <v>0.314301</v>
      </c>
      <c r="L293">
        <f t="shared" si="48"/>
        <v>17.078518518518518</v>
      </c>
      <c r="M293">
        <f t="shared" si="49"/>
        <v>5.3787257007407412</v>
      </c>
      <c r="N293" s="9"/>
      <c r="O293" s="21">
        <v>1.32507</v>
      </c>
      <c r="P293" s="21">
        <v>12.1378</v>
      </c>
      <c r="Q293" s="21">
        <v>-1.24939E-2</v>
      </c>
      <c r="R293" s="21">
        <v>283</v>
      </c>
      <c r="S293" s="21">
        <v>1.32416</v>
      </c>
      <c r="T293">
        <f t="shared" si="50"/>
        <v>15.424567901234568</v>
      </c>
      <c r="U293">
        <f t="shared" si="51"/>
        <v>20.438632188888889</v>
      </c>
      <c r="X293" s="9"/>
      <c r="Y293" s="21">
        <v>0.31494100000000003</v>
      </c>
      <c r="Z293" s="21">
        <v>17.4986</v>
      </c>
      <c r="AA293" s="21">
        <v>-1.38306E-2</v>
      </c>
      <c r="AB293" s="21">
        <v>283</v>
      </c>
      <c r="AC293" s="21">
        <v>0.31436199999999997</v>
      </c>
      <c r="AD293">
        <f t="shared" si="52"/>
        <v>17.074814814814815</v>
      </c>
      <c r="AE293">
        <f t="shared" si="53"/>
        <v>5.3775592525925928</v>
      </c>
      <c r="AF293" s="9"/>
      <c r="AG293" s="21">
        <v>1.32507</v>
      </c>
      <c r="AH293" s="21">
        <v>21.196999999999999</v>
      </c>
      <c r="AI293" s="21">
        <v>-1.2417600000000001E-2</v>
      </c>
      <c r="AJ293" s="21">
        <v>283</v>
      </c>
      <c r="AK293" s="21">
        <v>1.32477</v>
      </c>
      <c r="AL293">
        <f t="shared" si="54"/>
        <v>15.330370370370371</v>
      </c>
      <c r="AM293">
        <f t="shared" si="55"/>
        <v>20.313813866666667</v>
      </c>
      <c r="AP293" s="9"/>
      <c r="AQ293" s="21">
        <v>0.31494100000000003</v>
      </c>
      <c r="AR293" s="21">
        <v>26.6309</v>
      </c>
      <c r="AS293" s="21">
        <v>-1.3766499999999999E-2</v>
      </c>
      <c r="AT293" s="21">
        <v>283</v>
      </c>
      <c r="AU293" s="21">
        <v>0.31433100000000003</v>
      </c>
      <c r="AV293">
        <f t="shared" si="56"/>
        <v>16.995679012345676</v>
      </c>
      <c r="AW293">
        <f t="shared" si="57"/>
        <v>5.3526361438271595</v>
      </c>
      <c r="AX293" s="9"/>
      <c r="AY293" s="21">
        <v>1.32507</v>
      </c>
      <c r="AZ293" s="21">
        <v>30.3292</v>
      </c>
      <c r="BA293" s="21">
        <v>-1.2289400000000001E-2</v>
      </c>
      <c r="BB293" s="21">
        <v>283</v>
      </c>
      <c r="BC293" s="21">
        <v>1.32446</v>
      </c>
      <c r="BD293">
        <f t="shared" si="58"/>
        <v>15.172098765432098</v>
      </c>
      <c r="BE293">
        <f t="shared" si="59"/>
        <v>20.10409291111111</v>
      </c>
    </row>
    <row r="294" spans="6:57" x14ac:dyDescent="0.25">
      <c r="F294" s="9"/>
      <c r="G294" s="21">
        <v>0.30990600000000001</v>
      </c>
      <c r="H294" s="21">
        <v>8.4494900000000008</v>
      </c>
      <c r="I294" s="21">
        <v>-1.38336E-2</v>
      </c>
      <c r="J294" s="21">
        <v>284</v>
      </c>
      <c r="K294" s="21">
        <v>0.30935699999999999</v>
      </c>
      <c r="L294">
        <f t="shared" si="48"/>
        <v>17.078518518518518</v>
      </c>
      <c r="M294">
        <f t="shared" si="49"/>
        <v>5.29273536</v>
      </c>
      <c r="N294" s="9"/>
      <c r="O294" s="21">
        <v>1.3301099999999999</v>
      </c>
      <c r="P294" s="21">
        <v>12.1478</v>
      </c>
      <c r="Q294" s="21">
        <v>-1.2472499999999999E-2</v>
      </c>
      <c r="R294" s="21">
        <v>284</v>
      </c>
      <c r="S294" s="21">
        <v>1.32935</v>
      </c>
      <c r="T294">
        <f t="shared" si="50"/>
        <v>15.398148148148147</v>
      </c>
      <c r="U294">
        <f t="shared" si="51"/>
        <v>20.481230833333331</v>
      </c>
      <c r="X294" s="9"/>
      <c r="Y294" s="21">
        <v>0.30990600000000001</v>
      </c>
      <c r="Z294" s="21">
        <v>17.508700000000001</v>
      </c>
      <c r="AA294" s="21">
        <v>-1.38245E-2</v>
      </c>
      <c r="AB294" s="21">
        <v>284</v>
      </c>
      <c r="AC294" s="21">
        <v>0.30938700000000002</v>
      </c>
      <c r="AD294">
        <f t="shared" si="52"/>
        <v>17.067283950617281</v>
      </c>
      <c r="AE294">
        <f t="shared" si="53"/>
        <v>5.2892536999999988</v>
      </c>
      <c r="AF294" s="9"/>
      <c r="AG294" s="21">
        <v>1.3301099999999999</v>
      </c>
      <c r="AH294" s="21">
        <v>21.207100000000001</v>
      </c>
      <c r="AI294" s="21">
        <v>-1.23962E-2</v>
      </c>
      <c r="AJ294" s="21">
        <v>284</v>
      </c>
      <c r="AK294" s="21">
        <v>1.32965</v>
      </c>
      <c r="AL294">
        <f t="shared" si="54"/>
        <v>15.303950617283951</v>
      </c>
      <c r="AM294">
        <f t="shared" si="55"/>
        <v>20.355937755555555</v>
      </c>
      <c r="AP294" s="9"/>
      <c r="AQ294" s="21">
        <v>0.30990600000000001</v>
      </c>
      <c r="AR294" s="21">
        <v>26.640899999999998</v>
      </c>
      <c r="AS294" s="21">
        <v>-1.37695E-2</v>
      </c>
      <c r="AT294" s="21">
        <v>284</v>
      </c>
      <c r="AU294" s="21">
        <v>0.30929600000000002</v>
      </c>
      <c r="AV294">
        <f t="shared" si="56"/>
        <v>16.999382716049382</v>
      </c>
      <c r="AW294">
        <f t="shared" si="57"/>
        <v>5.2682107</v>
      </c>
      <c r="AX294" s="9"/>
      <c r="AY294" s="21">
        <v>1.3301099999999999</v>
      </c>
      <c r="AZ294" s="21">
        <v>30.339300000000001</v>
      </c>
      <c r="BA294" s="21">
        <v>-1.2274200000000001E-2</v>
      </c>
      <c r="BB294" s="21">
        <v>284</v>
      </c>
      <c r="BC294" s="21">
        <v>1.32935</v>
      </c>
      <c r="BD294">
        <f t="shared" si="58"/>
        <v>15.153333333333332</v>
      </c>
      <c r="BE294">
        <f t="shared" si="59"/>
        <v>20.155600199999999</v>
      </c>
    </row>
    <row r="295" spans="6:57" x14ac:dyDescent="0.25">
      <c r="F295" s="9"/>
      <c r="G295" s="21">
        <v>0.304871</v>
      </c>
      <c r="H295" s="21">
        <v>8.4595599999999997</v>
      </c>
      <c r="I295" s="21">
        <v>-1.38397E-2</v>
      </c>
      <c r="J295" s="21">
        <v>285</v>
      </c>
      <c r="K295" s="21">
        <v>0.30425999999999997</v>
      </c>
      <c r="L295">
        <f t="shared" si="48"/>
        <v>17.086049382716048</v>
      </c>
      <c r="M295">
        <f t="shared" si="49"/>
        <v>5.2090409613580242</v>
      </c>
      <c r="N295" s="9"/>
      <c r="O295" s="21">
        <v>1.33514</v>
      </c>
      <c r="P295" s="21">
        <v>12.1579</v>
      </c>
      <c r="Q295" s="21">
        <v>-1.2451200000000001E-2</v>
      </c>
      <c r="R295" s="21">
        <v>285</v>
      </c>
      <c r="S295" s="21">
        <v>1.33453</v>
      </c>
      <c r="T295">
        <f t="shared" si="50"/>
        <v>15.371851851851853</v>
      </c>
      <c r="U295">
        <f t="shared" si="51"/>
        <v>20.523574281481483</v>
      </c>
      <c r="X295" s="9"/>
      <c r="Y295" s="21">
        <v>0.304871</v>
      </c>
      <c r="Z295" s="21">
        <v>17.518799999999999</v>
      </c>
      <c r="AA295" s="21">
        <v>-1.3821399999999999E-2</v>
      </c>
      <c r="AB295" s="21">
        <v>285</v>
      </c>
      <c r="AC295" s="21">
        <v>0.30429099999999998</v>
      </c>
      <c r="AD295">
        <f t="shared" si="52"/>
        <v>17.063456790123453</v>
      </c>
      <c r="AE295">
        <f t="shared" si="53"/>
        <v>5.2021531350617272</v>
      </c>
      <c r="AF295" s="9"/>
      <c r="AG295" s="21">
        <v>1.33514</v>
      </c>
      <c r="AH295" s="21">
        <v>21.217099999999999</v>
      </c>
      <c r="AI295" s="21">
        <v>-1.2377900000000001E-2</v>
      </c>
      <c r="AJ295" s="21">
        <v>285</v>
      </c>
      <c r="AK295" s="21">
        <v>1.33484</v>
      </c>
      <c r="AL295">
        <f t="shared" si="54"/>
        <v>15.281358024691359</v>
      </c>
      <c r="AM295">
        <f t="shared" si="55"/>
        <v>20.40275235308642</v>
      </c>
      <c r="AP295" s="9"/>
      <c r="AQ295" s="21">
        <v>0.304871</v>
      </c>
      <c r="AR295" s="21">
        <v>26.651</v>
      </c>
      <c r="AS295" s="21">
        <v>-1.3766499999999999E-2</v>
      </c>
      <c r="AT295" s="21">
        <v>285</v>
      </c>
      <c r="AU295" s="21">
        <v>0.30438199999999999</v>
      </c>
      <c r="AV295">
        <f t="shared" si="56"/>
        <v>16.995679012345676</v>
      </c>
      <c r="AW295">
        <f t="shared" si="57"/>
        <v>5.1814896561728387</v>
      </c>
      <c r="AX295" s="9"/>
      <c r="AY295" s="21">
        <v>1.33514</v>
      </c>
      <c r="AZ295" s="21">
        <v>30.349299999999999</v>
      </c>
      <c r="BA295" s="21">
        <v>-1.2240600000000001E-2</v>
      </c>
      <c r="BB295" s="21">
        <v>285</v>
      </c>
      <c r="BC295" s="21">
        <v>1.33423</v>
      </c>
      <c r="BD295">
        <f t="shared" si="58"/>
        <v>15.111851851851853</v>
      </c>
      <c r="BE295">
        <f t="shared" si="59"/>
        <v>20.176437881481483</v>
      </c>
    </row>
    <row r="296" spans="6:57" x14ac:dyDescent="0.25">
      <c r="F296" s="9"/>
      <c r="G296" s="21">
        <v>0.29983500000000002</v>
      </c>
      <c r="H296" s="21">
        <v>8.4696400000000001</v>
      </c>
      <c r="I296" s="21">
        <v>-1.38336E-2</v>
      </c>
      <c r="J296" s="21">
        <v>286</v>
      </c>
      <c r="K296" s="21">
        <v>0.29916399999999999</v>
      </c>
      <c r="L296">
        <f t="shared" si="48"/>
        <v>17.078518518518518</v>
      </c>
      <c r="M296">
        <f t="shared" si="49"/>
        <v>5.1207376</v>
      </c>
      <c r="N296" s="9"/>
      <c r="O296" s="21">
        <v>1.3401799999999999</v>
      </c>
      <c r="P296" s="21">
        <v>12.167999999999999</v>
      </c>
      <c r="Q296" s="21">
        <v>-1.2417600000000001E-2</v>
      </c>
      <c r="R296" s="21">
        <v>286</v>
      </c>
      <c r="S296" s="21">
        <v>1.33972</v>
      </c>
      <c r="T296">
        <f t="shared" si="50"/>
        <v>15.330370370370371</v>
      </c>
      <c r="U296">
        <f t="shared" si="51"/>
        <v>20.545455762962963</v>
      </c>
      <c r="X296" s="9"/>
      <c r="Y296" s="21">
        <v>0.29983500000000002</v>
      </c>
      <c r="Z296" s="21">
        <v>17.5288</v>
      </c>
      <c r="AA296" s="21">
        <v>-1.3815300000000001E-2</v>
      </c>
      <c r="AB296" s="21">
        <v>286</v>
      </c>
      <c r="AC296" s="21">
        <v>0.29922500000000002</v>
      </c>
      <c r="AD296">
        <f t="shared" si="52"/>
        <v>17.055925925925926</v>
      </c>
      <c r="AE296">
        <f t="shared" si="53"/>
        <v>5.1139635500000002</v>
      </c>
      <c r="AF296" s="9"/>
      <c r="AG296" s="21">
        <v>1.3401799999999999</v>
      </c>
      <c r="AH296" s="21">
        <v>21.2272</v>
      </c>
      <c r="AI296" s="21">
        <v>-1.23535E-2</v>
      </c>
      <c r="AJ296" s="21">
        <v>286</v>
      </c>
      <c r="AK296" s="21">
        <v>1.33972</v>
      </c>
      <c r="AL296">
        <f t="shared" si="54"/>
        <v>15.251234567901234</v>
      </c>
      <c r="AM296">
        <f t="shared" si="55"/>
        <v>20.439399543209873</v>
      </c>
      <c r="AP296" s="9"/>
      <c r="AQ296" s="21">
        <v>0.29983500000000002</v>
      </c>
      <c r="AR296" s="21">
        <v>26.661100000000001</v>
      </c>
      <c r="AS296" s="21">
        <v>-1.3772599999999999E-2</v>
      </c>
      <c r="AT296" s="21">
        <v>286</v>
      </c>
      <c r="AU296" s="21">
        <v>0.29916399999999999</v>
      </c>
      <c r="AV296">
        <f t="shared" si="56"/>
        <v>17.00320987654321</v>
      </c>
      <c r="AW296">
        <f t="shared" si="57"/>
        <v>5.0981574333333333</v>
      </c>
      <c r="AX296" s="9"/>
      <c r="AY296" s="21">
        <v>1.3401799999999999</v>
      </c>
      <c r="AZ296" s="21">
        <v>30.359400000000001</v>
      </c>
      <c r="BA296" s="21">
        <v>-1.21948E-2</v>
      </c>
      <c r="BB296" s="21">
        <v>286</v>
      </c>
      <c r="BC296" s="21">
        <v>1.33972</v>
      </c>
      <c r="BD296">
        <f t="shared" si="58"/>
        <v>15.055308641975309</v>
      </c>
      <c r="BE296">
        <f t="shared" si="59"/>
        <v>20.17682353580247</v>
      </c>
    </row>
    <row r="297" spans="6:57" x14ac:dyDescent="0.25">
      <c r="F297" s="9"/>
      <c r="G297" s="21">
        <v>0.29480000000000001</v>
      </c>
      <c r="H297" s="21">
        <v>8.4797100000000007</v>
      </c>
      <c r="I297" s="21">
        <v>-1.38306E-2</v>
      </c>
      <c r="J297" s="21">
        <v>287</v>
      </c>
      <c r="K297" s="21">
        <v>0.29425000000000001</v>
      </c>
      <c r="L297">
        <f t="shared" si="48"/>
        <v>17.074814814814815</v>
      </c>
      <c r="M297">
        <f t="shared" si="49"/>
        <v>5.0336554074074078</v>
      </c>
      <c r="N297" s="9"/>
      <c r="O297" s="21">
        <v>1.34521</v>
      </c>
      <c r="P297" s="21">
        <v>12.178000000000001</v>
      </c>
      <c r="Q297" s="21">
        <v>-1.23871E-2</v>
      </c>
      <c r="R297" s="21">
        <v>287</v>
      </c>
      <c r="S297" s="21">
        <v>1.3443000000000001</v>
      </c>
      <c r="T297">
        <f t="shared" si="50"/>
        <v>15.292716049382715</v>
      </c>
      <c r="U297">
        <f t="shared" si="51"/>
        <v>20.571914556790123</v>
      </c>
      <c r="X297" s="9"/>
      <c r="Y297" s="21">
        <v>0.29480000000000001</v>
      </c>
      <c r="Z297" s="21">
        <v>17.538900000000002</v>
      </c>
      <c r="AA297" s="21">
        <v>-1.3806199999999999E-2</v>
      </c>
      <c r="AB297" s="21">
        <v>287</v>
      </c>
      <c r="AC297" s="21">
        <v>0.29418899999999998</v>
      </c>
      <c r="AD297">
        <f t="shared" si="52"/>
        <v>17.044691358024689</v>
      </c>
      <c r="AE297">
        <f t="shared" si="53"/>
        <v>5.0247750123456782</v>
      </c>
      <c r="AF297" s="9"/>
      <c r="AG297" s="21">
        <v>1.34521</v>
      </c>
      <c r="AH297" s="21">
        <v>21.237300000000001</v>
      </c>
      <c r="AI297" s="21">
        <v>-1.2323000000000001E-2</v>
      </c>
      <c r="AJ297" s="21">
        <v>287</v>
      </c>
      <c r="AK297" s="21">
        <v>1.3443000000000001</v>
      </c>
      <c r="AL297">
        <f t="shared" si="54"/>
        <v>15.213580246913581</v>
      </c>
      <c r="AM297">
        <f t="shared" si="55"/>
        <v>20.46546028395062</v>
      </c>
      <c r="AP297" s="9"/>
      <c r="AQ297" s="21">
        <v>0.29480000000000001</v>
      </c>
      <c r="AR297" s="21">
        <v>26.671099999999999</v>
      </c>
      <c r="AS297" s="21">
        <v>-1.3775600000000001E-2</v>
      </c>
      <c r="AT297" s="21">
        <v>287</v>
      </c>
      <c r="AU297" s="21">
        <v>0.29418899999999998</v>
      </c>
      <c r="AV297">
        <f t="shared" si="56"/>
        <v>17.006913580246916</v>
      </c>
      <c r="AW297">
        <f t="shared" si="57"/>
        <v>5.0136381234567908</v>
      </c>
      <c r="AX297" s="9"/>
      <c r="AY297" s="21">
        <v>1.34521</v>
      </c>
      <c r="AZ297" s="21">
        <v>30.369499999999999</v>
      </c>
      <c r="BA297" s="21">
        <v>-1.21613E-2</v>
      </c>
      <c r="BB297" s="21">
        <v>287</v>
      </c>
      <c r="BC297" s="21">
        <v>1.3436900000000001</v>
      </c>
      <c r="BD297">
        <f t="shared" si="58"/>
        <v>15.01395061728395</v>
      </c>
      <c r="BE297">
        <f t="shared" si="59"/>
        <v>20.196916509876541</v>
      </c>
    </row>
    <row r="298" spans="6:57" x14ac:dyDescent="0.25">
      <c r="F298" s="9"/>
      <c r="G298" s="21">
        <v>0.28976400000000002</v>
      </c>
      <c r="H298" s="21">
        <v>8.4897799999999997</v>
      </c>
      <c r="I298" s="21">
        <v>-1.38275E-2</v>
      </c>
      <c r="J298" s="21">
        <v>288</v>
      </c>
      <c r="K298" s="21">
        <v>0.28912399999999999</v>
      </c>
      <c r="L298">
        <f t="shared" si="48"/>
        <v>17.070987654320987</v>
      </c>
      <c r="M298">
        <f t="shared" si="49"/>
        <v>4.9465576666666671</v>
      </c>
      <c r="N298" s="9"/>
      <c r="O298" s="21">
        <v>1.35025</v>
      </c>
      <c r="P298" s="21">
        <v>12.1881</v>
      </c>
      <c r="Q298" s="21">
        <v>-1.2356600000000001E-2</v>
      </c>
      <c r="R298" s="21">
        <v>288</v>
      </c>
      <c r="S298" s="21">
        <v>1.34918</v>
      </c>
      <c r="T298">
        <f t="shared" si="50"/>
        <v>15.255061728395061</v>
      </c>
      <c r="U298">
        <f t="shared" si="51"/>
        <v>20.59814709876543</v>
      </c>
      <c r="X298" s="9"/>
      <c r="Y298" s="21">
        <v>0.28976400000000002</v>
      </c>
      <c r="Z298" s="21">
        <v>17.548999999999999</v>
      </c>
      <c r="AA298" s="21">
        <v>-1.38123E-2</v>
      </c>
      <c r="AB298" s="21">
        <v>288</v>
      </c>
      <c r="AC298" s="21">
        <v>0.28915400000000002</v>
      </c>
      <c r="AD298">
        <f t="shared" si="52"/>
        <v>17.052222222222223</v>
      </c>
      <c r="AE298">
        <f t="shared" si="53"/>
        <v>4.9411201200000008</v>
      </c>
      <c r="AF298" s="9"/>
      <c r="AG298" s="21">
        <v>1.35025</v>
      </c>
      <c r="AH298" s="21">
        <v>21.247399999999999</v>
      </c>
      <c r="AI298" s="21">
        <v>-1.2301599999999999E-2</v>
      </c>
      <c r="AJ298" s="21">
        <v>288</v>
      </c>
      <c r="AK298" s="21">
        <v>1.3494900000000001</v>
      </c>
      <c r="AL298">
        <f t="shared" si="54"/>
        <v>15.187160493827157</v>
      </c>
      <c r="AM298">
        <f t="shared" si="55"/>
        <v>20.506463456790119</v>
      </c>
      <c r="AP298" s="9"/>
      <c r="AQ298" s="21">
        <v>0.28976400000000002</v>
      </c>
      <c r="AR298" s="21">
        <v>26.6812</v>
      </c>
      <c r="AS298" s="21">
        <v>-1.37787E-2</v>
      </c>
      <c r="AT298" s="21">
        <v>288</v>
      </c>
      <c r="AU298" s="21">
        <v>0.28909299999999999</v>
      </c>
      <c r="AV298">
        <f t="shared" si="56"/>
        <v>17.01074074074074</v>
      </c>
      <c r="AW298">
        <f t="shared" si="57"/>
        <v>4.9291002800000001</v>
      </c>
      <c r="AX298" s="9"/>
      <c r="AY298" s="21">
        <v>1.35025</v>
      </c>
      <c r="AZ298" s="21">
        <v>30.3795</v>
      </c>
      <c r="BA298" s="21">
        <v>-1.2130699999999999E-2</v>
      </c>
      <c r="BB298" s="21">
        <v>288</v>
      </c>
      <c r="BC298" s="21">
        <v>1.34979</v>
      </c>
      <c r="BD298">
        <f t="shared" si="58"/>
        <v>14.976172839506171</v>
      </c>
      <c r="BE298">
        <f t="shared" si="59"/>
        <v>20.221577376543205</v>
      </c>
    </row>
    <row r="299" spans="6:57" x14ac:dyDescent="0.25">
      <c r="F299" s="9"/>
      <c r="G299" s="21">
        <v>0.28472900000000001</v>
      </c>
      <c r="H299" s="21">
        <v>8.4998500000000003</v>
      </c>
      <c r="I299" s="21">
        <v>-1.38367E-2</v>
      </c>
      <c r="J299" s="21">
        <v>289</v>
      </c>
      <c r="K299" s="21">
        <v>0.28417999999999999</v>
      </c>
      <c r="L299">
        <f t="shared" si="48"/>
        <v>17.082345679012345</v>
      </c>
      <c r="M299">
        <f t="shared" si="49"/>
        <v>4.8638392028395065</v>
      </c>
      <c r="N299" s="9"/>
      <c r="O299" s="21">
        <v>1.3552900000000001</v>
      </c>
      <c r="P299" s="21">
        <v>12.1982</v>
      </c>
      <c r="Q299" s="21">
        <v>-1.23383E-2</v>
      </c>
      <c r="R299" s="21">
        <v>289</v>
      </c>
      <c r="S299" s="21">
        <v>1.3546800000000001</v>
      </c>
      <c r="T299">
        <f t="shared" si="50"/>
        <v>15.232469135802468</v>
      </c>
      <c r="U299">
        <f t="shared" si="51"/>
        <v>20.644413095061729</v>
      </c>
      <c r="X299" s="9"/>
      <c r="Y299" s="21">
        <v>0.28472900000000001</v>
      </c>
      <c r="Z299" s="21">
        <v>17.559100000000001</v>
      </c>
      <c r="AA299" s="21">
        <v>-1.38245E-2</v>
      </c>
      <c r="AB299" s="21">
        <v>289</v>
      </c>
      <c r="AC299" s="21">
        <v>0.28411900000000001</v>
      </c>
      <c r="AD299">
        <f t="shared" si="52"/>
        <v>17.067283950617281</v>
      </c>
      <c r="AE299">
        <f t="shared" si="53"/>
        <v>4.8595506919753078</v>
      </c>
      <c r="AF299" s="9"/>
      <c r="AG299" s="21">
        <v>1.3552900000000001</v>
      </c>
      <c r="AH299" s="21">
        <v>21.257400000000001</v>
      </c>
      <c r="AI299" s="21">
        <v>-1.2268100000000001E-2</v>
      </c>
      <c r="AJ299" s="21">
        <v>289</v>
      </c>
      <c r="AK299" s="21">
        <v>1.3549800000000001</v>
      </c>
      <c r="AL299">
        <f t="shared" si="54"/>
        <v>15.145802469135802</v>
      </c>
      <c r="AM299">
        <f t="shared" si="55"/>
        <v>20.526954628395064</v>
      </c>
      <c r="AP299" s="9"/>
      <c r="AQ299" s="21">
        <v>0.28472900000000001</v>
      </c>
      <c r="AR299" s="21">
        <v>26.691299999999998</v>
      </c>
      <c r="AS299" s="21">
        <v>-1.3787799999999999E-2</v>
      </c>
      <c r="AT299" s="21">
        <v>289</v>
      </c>
      <c r="AU299" s="21">
        <v>0.28408800000000001</v>
      </c>
      <c r="AV299">
        <f t="shared" si="56"/>
        <v>17.021975308641974</v>
      </c>
      <c r="AW299">
        <f t="shared" si="57"/>
        <v>4.8466500076543211</v>
      </c>
      <c r="AX299" s="9"/>
      <c r="AY299" s="21">
        <v>1.3552900000000001</v>
      </c>
      <c r="AZ299" s="21">
        <v>30.389600000000002</v>
      </c>
      <c r="BA299" s="21">
        <v>-1.2112400000000001E-2</v>
      </c>
      <c r="BB299" s="21">
        <v>289</v>
      </c>
      <c r="BC299" s="21">
        <v>1.3543700000000001</v>
      </c>
      <c r="BD299">
        <f t="shared" si="58"/>
        <v>14.95358024691358</v>
      </c>
      <c r="BE299">
        <f t="shared" si="59"/>
        <v>20.266437772839506</v>
      </c>
    </row>
    <row r="300" spans="6:57" x14ac:dyDescent="0.25">
      <c r="F300" s="9"/>
      <c r="G300" s="21">
        <v>0.279694</v>
      </c>
      <c r="H300" s="21">
        <v>8.5099199999999993</v>
      </c>
      <c r="I300" s="21">
        <v>-1.38519E-2</v>
      </c>
      <c r="J300" s="21">
        <v>290</v>
      </c>
      <c r="K300" s="21">
        <v>0.27908300000000003</v>
      </c>
      <c r="L300">
        <f t="shared" si="48"/>
        <v>17.101111111111113</v>
      </c>
      <c r="M300">
        <f t="shared" si="49"/>
        <v>4.7830781711111117</v>
      </c>
      <c r="N300" s="9"/>
      <c r="O300" s="21">
        <v>1.36032</v>
      </c>
      <c r="P300" s="21">
        <v>12.208299999999999</v>
      </c>
      <c r="Q300" s="21">
        <v>-1.23077E-2</v>
      </c>
      <c r="R300" s="21">
        <v>290</v>
      </c>
      <c r="S300" s="21">
        <v>1.3598600000000001</v>
      </c>
      <c r="T300">
        <f t="shared" si="50"/>
        <v>15.19469135802469</v>
      </c>
      <c r="U300">
        <f t="shared" si="51"/>
        <v>20.669642548148147</v>
      </c>
      <c r="X300" s="9"/>
      <c r="Y300" s="21">
        <v>0.279694</v>
      </c>
      <c r="Z300" s="21">
        <v>17.569099999999999</v>
      </c>
      <c r="AA300" s="21">
        <v>-1.3842800000000001E-2</v>
      </c>
      <c r="AB300" s="21">
        <v>290</v>
      </c>
      <c r="AC300" s="21">
        <v>0.279144</v>
      </c>
      <c r="AD300">
        <f t="shared" si="52"/>
        <v>17.089876543209876</v>
      </c>
      <c r="AE300">
        <f t="shared" si="53"/>
        <v>4.7799359298765429</v>
      </c>
      <c r="AF300" s="9"/>
      <c r="AG300" s="21">
        <v>1.36032</v>
      </c>
      <c r="AH300" s="21">
        <v>21.267499999999998</v>
      </c>
      <c r="AI300" s="21">
        <v>-1.2240600000000001E-2</v>
      </c>
      <c r="AJ300" s="21">
        <v>290</v>
      </c>
      <c r="AK300" s="21">
        <v>1.3598600000000001</v>
      </c>
      <c r="AL300">
        <f t="shared" si="54"/>
        <v>15.111851851851853</v>
      </c>
      <c r="AM300">
        <f t="shared" si="55"/>
        <v>20.556954311111113</v>
      </c>
      <c r="AP300" s="9"/>
      <c r="AQ300" s="21">
        <v>0.279694</v>
      </c>
      <c r="AR300" s="21">
        <v>26.7014</v>
      </c>
      <c r="AS300" s="21">
        <v>-1.37939E-2</v>
      </c>
      <c r="AT300" s="21">
        <v>290</v>
      </c>
      <c r="AU300" s="21">
        <v>0.279053</v>
      </c>
      <c r="AV300">
        <f t="shared" si="56"/>
        <v>17.029506172839504</v>
      </c>
      <c r="AW300">
        <f t="shared" si="57"/>
        <v>4.7630506995061719</v>
      </c>
      <c r="AX300" s="9"/>
      <c r="AY300" s="21">
        <v>1.36032</v>
      </c>
      <c r="AZ300" s="21">
        <v>30.399699999999999</v>
      </c>
      <c r="BA300" s="21">
        <v>-1.2088E-2</v>
      </c>
      <c r="BB300" s="21">
        <v>290</v>
      </c>
      <c r="BC300" s="21">
        <v>1.3598600000000001</v>
      </c>
      <c r="BD300">
        <f t="shared" si="58"/>
        <v>14.923456790123456</v>
      </c>
      <c r="BE300">
        <f t="shared" si="59"/>
        <v>20.300676740740741</v>
      </c>
    </row>
    <row r="301" spans="6:57" x14ac:dyDescent="0.25">
      <c r="F301" s="9"/>
      <c r="G301" s="21">
        <v>0.27465800000000001</v>
      </c>
      <c r="H301" s="21">
        <v>8.51999</v>
      </c>
      <c r="I301" s="21">
        <v>-1.3861099999999999E-2</v>
      </c>
      <c r="J301" s="21">
        <v>291</v>
      </c>
      <c r="K301" s="21">
        <v>0.27407799999999999</v>
      </c>
      <c r="L301">
        <f t="shared" si="48"/>
        <v>17.112469135802467</v>
      </c>
      <c r="M301">
        <f t="shared" si="49"/>
        <v>4.7000765479012339</v>
      </c>
      <c r="N301" s="9"/>
      <c r="O301" s="21">
        <v>1.3653599999999999</v>
      </c>
      <c r="P301" s="21">
        <v>12.218299999999999</v>
      </c>
      <c r="Q301" s="21">
        <v>-1.2286399999999999E-2</v>
      </c>
      <c r="R301" s="21">
        <v>291</v>
      </c>
      <c r="S301" s="21">
        <v>1.3650500000000001</v>
      </c>
      <c r="T301">
        <f t="shared" si="50"/>
        <v>15.168395061728393</v>
      </c>
      <c r="U301">
        <f t="shared" si="51"/>
        <v>20.710319881481478</v>
      </c>
      <c r="X301" s="9"/>
      <c r="Y301" s="21">
        <v>0.27465800000000001</v>
      </c>
      <c r="Z301" s="21">
        <v>17.5792</v>
      </c>
      <c r="AA301" s="21">
        <v>-1.38519E-2</v>
      </c>
      <c r="AB301" s="21">
        <v>291</v>
      </c>
      <c r="AC301" s="21">
        <v>0.27401700000000001</v>
      </c>
      <c r="AD301">
        <f t="shared" si="52"/>
        <v>17.101111111111113</v>
      </c>
      <c r="AE301">
        <f t="shared" si="53"/>
        <v>4.6969569755555565</v>
      </c>
      <c r="AF301" s="9"/>
      <c r="AG301" s="21">
        <v>1.3653599999999999</v>
      </c>
      <c r="AH301" s="21">
        <v>21.2776</v>
      </c>
      <c r="AI301" s="21">
        <v>-1.22101E-2</v>
      </c>
      <c r="AJ301" s="21">
        <v>291</v>
      </c>
      <c r="AK301" s="21">
        <v>1.3644400000000001</v>
      </c>
      <c r="AL301">
        <f t="shared" si="54"/>
        <v>15.074197530864195</v>
      </c>
      <c r="AM301">
        <f t="shared" si="55"/>
        <v>20.581706340740737</v>
      </c>
      <c r="AP301" s="9"/>
      <c r="AQ301" s="21">
        <v>0.27465800000000001</v>
      </c>
      <c r="AR301" s="21">
        <v>26.711400000000001</v>
      </c>
      <c r="AS301" s="21">
        <v>-1.3809200000000001E-2</v>
      </c>
      <c r="AT301" s="21">
        <v>291</v>
      </c>
      <c r="AU301" s="21">
        <v>0.27413900000000002</v>
      </c>
      <c r="AV301">
        <f t="shared" si="56"/>
        <v>17.048395061728392</v>
      </c>
      <c r="AW301">
        <f t="shared" si="57"/>
        <v>4.6824780908641968</v>
      </c>
      <c r="AX301" s="9"/>
      <c r="AY301" s="21">
        <v>1.3653599999999999</v>
      </c>
      <c r="AZ301" s="21">
        <v>30.409800000000001</v>
      </c>
      <c r="BA301" s="21">
        <v>-1.20605E-2</v>
      </c>
      <c r="BB301" s="21">
        <v>291</v>
      </c>
      <c r="BC301" s="21">
        <v>1.3647499999999999</v>
      </c>
      <c r="BD301">
        <f t="shared" si="58"/>
        <v>14.889506172839505</v>
      </c>
      <c r="BE301">
        <f t="shared" si="59"/>
        <v>20.329536148148147</v>
      </c>
    </row>
    <row r="302" spans="6:57" x14ac:dyDescent="0.25">
      <c r="F302" s="9"/>
      <c r="G302" s="21">
        <v>0.269623</v>
      </c>
      <c r="H302" s="21">
        <v>8.5300600000000006</v>
      </c>
      <c r="I302" s="21">
        <v>-1.38824E-2</v>
      </c>
      <c r="J302" s="21">
        <v>292</v>
      </c>
      <c r="K302" s="21">
        <v>0.26892100000000002</v>
      </c>
      <c r="L302">
        <f t="shared" si="48"/>
        <v>17.138765432098765</v>
      </c>
      <c r="M302">
        <f t="shared" si="49"/>
        <v>4.6210053520987655</v>
      </c>
      <c r="N302" s="9"/>
      <c r="O302" s="21">
        <v>1.37039</v>
      </c>
      <c r="P302" s="21">
        <v>12.228400000000001</v>
      </c>
      <c r="Q302" s="21">
        <v>-1.22559E-2</v>
      </c>
      <c r="R302" s="21">
        <v>292</v>
      </c>
      <c r="S302" s="21">
        <v>1.3693200000000001</v>
      </c>
      <c r="T302">
        <f t="shared" si="50"/>
        <v>15.130740740740739</v>
      </c>
      <c r="U302">
        <f t="shared" si="51"/>
        <v>20.735015803703703</v>
      </c>
      <c r="X302" s="9"/>
      <c r="Y302" s="21">
        <v>0.269623</v>
      </c>
      <c r="Z302" s="21">
        <v>17.589300000000001</v>
      </c>
      <c r="AA302" s="21">
        <v>-1.3842800000000001E-2</v>
      </c>
      <c r="AB302" s="21">
        <v>292</v>
      </c>
      <c r="AC302" s="21">
        <v>0.26901199999999997</v>
      </c>
      <c r="AD302">
        <f t="shared" si="52"/>
        <v>17.089876543209876</v>
      </c>
      <c r="AE302">
        <f t="shared" si="53"/>
        <v>4.6078237832098763</v>
      </c>
      <c r="AF302" s="9"/>
      <c r="AG302" s="21">
        <v>1.37039</v>
      </c>
      <c r="AH302" s="21">
        <v>21.287600000000001</v>
      </c>
      <c r="AI302" s="21">
        <v>-1.21735E-2</v>
      </c>
      <c r="AJ302" s="21">
        <v>292</v>
      </c>
      <c r="AK302" s="21">
        <v>1.3702399999999999</v>
      </c>
      <c r="AL302">
        <f t="shared" si="54"/>
        <v>15.029012345679011</v>
      </c>
      <c r="AM302">
        <f t="shared" si="55"/>
        <v>20.595608228395058</v>
      </c>
      <c r="AP302" s="9"/>
      <c r="AQ302" s="21">
        <v>0.269623</v>
      </c>
      <c r="AR302" s="21">
        <v>26.721499999999999</v>
      </c>
      <c r="AS302" s="21">
        <v>-1.3815300000000001E-2</v>
      </c>
      <c r="AT302" s="21">
        <v>292</v>
      </c>
      <c r="AU302" s="21">
        <v>0.26901199999999997</v>
      </c>
      <c r="AV302">
        <f t="shared" si="56"/>
        <v>17.055925925925926</v>
      </c>
      <c r="AW302">
        <f t="shared" si="57"/>
        <v>4.5986699159259263</v>
      </c>
      <c r="AX302" s="9"/>
      <c r="AY302" s="21">
        <v>1.37039</v>
      </c>
      <c r="AZ302" s="21">
        <v>30.419799999999999</v>
      </c>
      <c r="BA302" s="21">
        <v>-1.2036099999999999E-2</v>
      </c>
      <c r="BB302" s="21">
        <v>292</v>
      </c>
      <c r="BC302" s="21">
        <v>1.3693200000000001</v>
      </c>
      <c r="BD302">
        <f t="shared" si="58"/>
        <v>14.85938271604938</v>
      </c>
      <c r="BE302">
        <f t="shared" si="59"/>
        <v>20.363149480246911</v>
      </c>
    </row>
    <row r="303" spans="6:57" x14ac:dyDescent="0.25">
      <c r="F303" s="9"/>
      <c r="G303" s="21">
        <v>0.26458700000000002</v>
      </c>
      <c r="H303" s="21">
        <v>8.5401299999999996</v>
      </c>
      <c r="I303" s="21">
        <v>-1.38916E-2</v>
      </c>
      <c r="J303" s="21">
        <v>293</v>
      </c>
      <c r="K303" s="21">
        <v>0.26400800000000002</v>
      </c>
      <c r="L303">
        <f t="shared" si="48"/>
        <v>17.150123456790123</v>
      </c>
      <c r="M303">
        <f t="shared" si="49"/>
        <v>4.5376997150617289</v>
      </c>
      <c r="N303" s="9"/>
      <c r="O303" s="21">
        <v>1.3754299999999999</v>
      </c>
      <c r="P303" s="21">
        <v>12.2385</v>
      </c>
      <c r="Q303" s="21">
        <v>-1.22253E-2</v>
      </c>
      <c r="R303" s="21">
        <v>293</v>
      </c>
      <c r="S303" s="21">
        <v>1.3742099999999999</v>
      </c>
      <c r="T303">
        <f t="shared" si="50"/>
        <v>15.092962962962961</v>
      </c>
      <c r="U303">
        <f t="shared" si="51"/>
        <v>20.759314048148145</v>
      </c>
      <c r="X303" s="9"/>
      <c r="Y303" s="21">
        <v>0.26458700000000002</v>
      </c>
      <c r="Z303" s="21">
        <v>17.599299999999999</v>
      </c>
      <c r="AA303" s="21">
        <v>-1.3848900000000001E-2</v>
      </c>
      <c r="AB303" s="21">
        <v>293</v>
      </c>
      <c r="AC303" s="21">
        <v>0.26397700000000002</v>
      </c>
      <c r="AD303">
        <f t="shared" si="52"/>
        <v>17.09740740740741</v>
      </c>
      <c r="AE303">
        <f t="shared" si="53"/>
        <v>4.5237517337037048</v>
      </c>
      <c r="AF303" s="9"/>
      <c r="AG303" s="21">
        <v>1.3754299999999999</v>
      </c>
      <c r="AH303" s="21">
        <v>21.297699999999999</v>
      </c>
      <c r="AI303" s="21">
        <v>-1.2146000000000001E-2</v>
      </c>
      <c r="AJ303" s="21">
        <v>293</v>
      </c>
      <c r="AK303" s="21">
        <v>1.3742099999999999</v>
      </c>
      <c r="AL303">
        <f t="shared" si="54"/>
        <v>14.995061728395061</v>
      </c>
      <c r="AM303">
        <f t="shared" si="55"/>
        <v>20.624657753086417</v>
      </c>
      <c r="AP303" s="9"/>
      <c r="AQ303" s="21">
        <v>0.26458700000000002</v>
      </c>
      <c r="AR303" s="21">
        <v>26.7316</v>
      </c>
      <c r="AS303" s="21">
        <v>-1.38184E-2</v>
      </c>
      <c r="AT303" s="21">
        <v>293</v>
      </c>
      <c r="AU303" s="21">
        <v>0.264069</v>
      </c>
      <c r="AV303">
        <f t="shared" si="56"/>
        <v>17.05975308641975</v>
      </c>
      <c r="AW303">
        <f t="shared" si="57"/>
        <v>4.513788889876543</v>
      </c>
      <c r="AX303" s="9"/>
      <c r="AY303" s="21">
        <v>1.3754299999999999</v>
      </c>
      <c r="AZ303" s="21">
        <v>30.4299</v>
      </c>
      <c r="BA303" s="21">
        <v>-1.2014800000000001E-2</v>
      </c>
      <c r="BB303" s="21">
        <v>293</v>
      </c>
      <c r="BC303" s="21">
        <v>1.3748199999999999</v>
      </c>
      <c r="BD303">
        <f t="shared" si="58"/>
        <v>14.833086419753087</v>
      </c>
      <c r="BE303">
        <f t="shared" si="59"/>
        <v>20.401872054320986</v>
      </c>
    </row>
    <row r="304" spans="6:57" x14ac:dyDescent="0.25">
      <c r="F304" s="9"/>
      <c r="G304" s="21">
        <v>0.259552</v>
      </c>
      <c r="H304" s="21">
        <v>8.5502000000000002</v>
      </c>
      <c r="I304" s="21">
        <v>-1.3903799999999999E-2</v>
      </c>
      <c r="J304" s="21">
        <v>294</v>
      </c>
      <c r="K304" s="21">
        <v>0.25900299999999998</v>
      </c>
      <c r="L304">
        <f t="shared" si="48"/>
        <v>17.165185185185184</v>
      </c>
      <c r="M304">
        <f t="shared" si="49"/>
        <v>4.4552581451851845</v>
      </c>
      <c r="N304" s="9"/>
      <c r="O304" s="21">
        <v>1.38046</v>
      </c>
      <c r="P304" s="21">
        <v>12.2485</v>
      </c>
      <c r="Q304" s="21">
        <v>-1.21948E-2</v>
      </c>
      <c r="R304" s="21">
        <v>294</v>
      </c>
      <c r="S304" s="21">
        <v>1.38</v>
      </c>
      <c r="T304">
        <f t="shared" si="50"/>
        <v>15.055308641975309</v>
      </c>
      <c r="U304">
        <f t="shared" si="51"/>
        <v>20.783251367901237</v>
      </c>
      <c r="X304" s="9"/>
      <c r="Y304" s="21">
        <v>0.259552</v>
      </c>
      <c r="Z304" s="21">
        <v>17.609400000000001</v>
      </c>
      <c r="AA304" s="21">
        <v>-1.38458E-2</v>
      </c>
      <c r="AB304" s="21">
        <v>294</v>
      </c>
      <c r="AC304" s="21">
        <v>0.25894200000000001</v>
      </c>
      <c r="AD304">
        <f t="shared" si="52"/>
        <v>17.093580246913579</v>
      </c>
      <c r="AE304">
        <f t="shared" si="53"/>
        <v>4.4366729402469129</v>
      </c>
      <c r="AF304" s="9"/>
      <c r="AG304" s="21">
        <v>1.38046</v>
      </c>
      <c r="AH304" s="21">
        <v>21.3078</v>
      </c>
      <c r="AI304" s="21">
        <v>-1.2112400000000001E-2</v>
      </c>
      <c r="AJ304" s="21">
        <v>294</v>
      </c>
      <c r="AK304" s="21">
        <v>1.38</v>
      </c>
      <c r="AL304">
        <f t="shared" si="54"/>
        <v>14.95358024691358</v>
      </c>
      <c r="AM304">
        <f t="shared" si="55"/>
        <v>20.64281938765432</v>
      </c>
      <c r="AP304" s="9"/>
      <c r="AQ304" s="21">
        <v>0.259552</v>
      </c>
      <c r="AR304" s="21">
        <v>26.741599999999998</v>
      </c>
      <c r="AS304" s="21">
        <v>-1.38184E-2</v>
      </c>
      <c r="AT304" s="21">
        <v>294</v>
      </c>
      <c r="AU304" s="21">
        <v>0.25897199999999998</v>
      </c>
      <c r="AV304">
        <f t="shared" si="56"/>
        <v>17.05975308641975</v>
      </c>
      <c r="AW304">
        <f t="shared" si="57"/>
        <v>4.427893033086419</v>
      </c>
      <c r="AX304" s="9"/>
      <c r="AY304" s="21">
        <v>1.38046</v>
      </c>
      <c r="AZ304" s="21">
        <v>30.44</v>
      </c>
      <c r="BA304" s="21">
        <v>-1.1987299999999999E-2</v>
      </c>
      <c r="BB304" s="21">
        <v>294</v>
      </c>
      <c r="BC304" s="21">
        <v>1.3796999999999999</v>
      </c>
      <c r="BD304">
        <f t="shared" si="58"/>
        <v>14.799135802469134</v>
      </c>
      <c r="BE304">
        <f t="shared" si="59"/>
        <v>20.429615009876542</v>
      </c>
    </row>
    <row r="305" spans="6:57" x14ac:dyDescent="0.25">
      <c r="F305" s="9"/>
      <c r="G305" s="21">
        <v>0.25451699999999999</v>
      </c>
      <c r="H305" s="21">
        <v>8.5602699999999992</v>
      </c>
      <c r="I305" s="21">
        <v>-1.3894699999999999E-2</v>
      </c>
      <c r="J305" s="21">
        <v>295</v>
      </c>
      <c r="K305" s="21">
        <v>0.25372299999999998</v>
      </c>
      <c r="L305">
        <f t="shared" si="48"/>
        <v>17.153950617283947</v>
      </c>
      <c r="M305">
        <f t="shared" si="49"/>
        <v>4.3659720492592582</v>
      </c>
      <c r="N305" s="9"/>
      <c r="O305" s="21">
        <v>1.3855</v>
      </c>
      <c r="P305" s="21">
        <v>12.258599999999999</v>
      </c>
      <c r="Q305" s="21">
        <v>-1.21704E-2</v>
      </c>
      <c r="R305" s="21">
        <v>295</v>
      </c>
      <c r="S305" s="21">
        <v>1.3845799999999999</v>
      </c>
      <c r="T305">
        <f t="shared" si="50"/>
        <v>15.025185185185183</v>
      </c>
      <c r="U305">
        <f t="shared" si="51"/>
        <v>20.81739407407407</v>
      </c>
      <c r="X305" s="9"/>
      <c r="Y305" s="21">
        <v>0.25451699999999999</v>
      </c>
      <c r="Z305" s="21">
        <v>17.619499999999999</v>
      </c>
      <c r="AA305" s="21">
        <v>-1.3854999999999999E-2</v>
      </c>
      <c r="AB305" s="21">
        <v>295</v>
      </c>
      <c r="AC305" s="21">
        <v>0.25381500000000001</v>
      </c>
      <c r="AD305">
        <f t="shared" si="52"/>
        <v>17.104938271604937</v>
      </c>
      <c r="AE305">
        <f t="shared" si="53"/>
        <v>4.3534975740740736</v>
      </c>
      <c r="AF305" s="9"/>
      <c r="AG305" s="21">
        <v>1.3855</v>
      </c>
      <c r="AH305" s="21">
        <v>21.317900000000002</v>
      </c>
      <c r="AI305" s="21">
        <v>-1.20789E-2</v>
      </c>
      <c r="AJ305" s="21">
        <v>295</v>
      </c>
      <c r="AK305" s="21">
        <v>1.3851899999999999</v>
      </c>
      <c r="AL305">
        <f t="shared" si="54"/>
        <v>14.912222222222221</v>
      </c>
      <c r="AM305">
        <f t="shared" si="55"/>
        <v>20.660883888888886</v>
      </c>
      <c r="AP305" s="9"/>
      <c r="AQ305" s="21">
        <v>0.25451699999999999</v>
      </c>
      <c r="AR305" s="21">
        <v>26.7517</v>
      </c>
      <c r="AS305" s="21">
        <v>-1.3821399999999999E-2</v>
      </c>
      <c r="AT305" s="21">
        <v>295</v>
      </c>
      <c r="AU305" s="21">
        <v>0.25390600000000002</v>
      </c>
      <c r="AV305">
        <f t="shared" si="56"/>
        <v>17.063456790123453</v>
      </c>
      <c r="AW305">
        <f t="shared" si="57"/>
        <v>4.3429398318518508</v>
      </c>
      <c r="AX305" s="9"/>
      <c r="AY305" s="21">
        <v>1.3855</v>
      </c>
      <c r="AZ305" s="21">
        <v>30.45</v>
      </c>
      <c r="BA305" s="21">
        <v>-1.19598E-2</v>
      </c>
      <c r="BB305" s="21">
        <v>295</v>
      </c>
      <c r="BC305" s="21">
        <v>1.3845799999999999</v>
      </c>
      <c r="BD305">
        <f t="shared" si="58"/>
        <v>14.765185185185183</v>
      </c>
      <c r="BE305">
        <f t="shared" si="59"/>
        <v>20.457164074074072</v>
      </c>
    </row>
    <row r="306" spans="6:57" x14ac:dyDescent="0.25">
      <c r="F306" s="9"/>
      <c r="G306" s="21">
        <v>0.24948100000000001</v>
      </c>
      <c r="H306" s="21">
        <v>8.5703499999999995</v>
      </c>
      <c r="I306" s="21">
        <v>-1.3894699999999999E-2</v>
      </c>
      <c r="J306" s="21">
        <v>296</v>
      </c>
      <c r="K306" s="21">
        <v>0.24899299999999999</v>
      </c>
      <c r="L306">
        <f t="shared" si="48"/>
        <v>17.153950617283947</v>
      </c>
      <c r="M306">
        <f t="shared" si="49"/>
        <v>4.2795847539506164</v>
      </c>
      <c r="N306" s="9"/>
      <c r="O306" s="21">
        <v>1.39053</v>
      </c>
      <c r="P306" s="21">
        <v>12.268700000000001</v>
      </c>
      <c r="Q306" s="21">
        <v>-1.21368E-2</v>
      </c>
      <c r="R306" s="21">
        <v>296</v>
      </c>
      <c r="S306" s="21">
        <v>1.3897699999999999</v>
      </c>
      <c r="T306">
        <f t="shared" si="50"/>
        <v>14.983703703703702</v>
      </c>
      <c r="U306">
        <f t="shared" si="51"/>
        <v>20.83528951111111</v>
      </c>
      <c r="X306" s="9"/>
      <c r="Y306" s="21">
        <v>0.24948100000000001</v>
      </c>
      <c r="Z306" s="21">
        <v>17.6296</v>
      </c>
      <c r="AA306" s="21">
        <v>-1.3854999999999999E-2</v>
      </c>
      <c r="AB306" s="21">
        <v>296</v>
      </c>
      <c r="AC306" s="21">
        <v>0.24884000000000001</v>
      </c>
      <c r="AD306">
        <f t="shared" si="52"/>
        <v>17.104938271604937</v>
      </c>
      <c r="AE306">
        <f t="shared" si="53"/>
        <v>4.267357104938271</v>
      </c>
      <c r="AF306" s="9"/>
      <c r="AG306" s="21">
        <v>1.39053</v>
      </c>
      <c r="AH306" s="21">
        <v>21.3279</v>
      </c>
      <c r="AI306" s="21">
        <v>-1.2030000000000001E-2</v>
      </c>
      <c r="AJ306" s="21">
        <v>296</v>
      </c>
      <c r="AK306" s="21">
        <v>1.39008</v>
      </c>
      <c r="AL306">
        <f t="shared" si="54"/>
        <v>14.851851851851853</v>
      </c>
      <c r="AM306">
        <f t="shared" si="55"/>
        <v>20.651945555555557</v>
      </c>
      <c r="AP306" s="9"/>
      <c r="AQ306" s="21">
        <v>0.24948100000000001</v>
      </c>
      <c r="AR306" s="21">
        <v>26.761800000000001</v>
      </c>
      <c r="AS306" s="21">
        <v>-1.3821399999999999E-2</v>
      </c>
      <c r="AT306" s="21">
        <v>296</v>
      </c>
      <c r="AU306" s="21">
        <v>0.24893199999999999</v>
      </c>
      <c r="AV306">
        <f t="shared" si="56"/>
        <v>17.063456790123453</v>
      </c>
      <c r="AW306">
        <f t="shared" si="57"/>
        <v>4.2570082634567896</v>
      </c>
      <c r="AX306" s="9"/>
      <c r="AY306" s="21">
        <v>1.39053</v>
      </c>
      <c r="AZ306" s="21">
        <v>30.460100000000001</v>
      </c>
      <c r="BA306" s="21">
        <v>-1.1932399999999999E-2</v>
      </c>
      <c r="BB306" s="21">
        <v>296</v>
      </c>
      <c r="BC306" s="21">
        <v>1.3897699999999999</v>
      </c>
      <c r="BD306">
        <f t="shared" si="58"/>
        <v>14.731358024691357</v>
      </c>
      <c r="BE306">
        <f t="shared" si="59"/>
        <v>20.484395274074071</v>
      </c>
    </row>
    <row r="307" spans="6:57" x14ac:dyDescent="0.25">
      <c r="F307" s="9"/>
      <c r="G307" s="21">
        <v>0.244446</v>
      </c>
      <c r="H307" s="21">
        <v>8.5804200000000002</v>
      </c>
      <c r="I307" s="21">
        <v>-1.38885E-2</v>
      </c>
      <c r="J307" s="21">
        <v>297</v>
      </c>
      <c r="K307" s="21">
        <v>0.24380499999999999</v>
      </c>
      <c r="L307">
        <f t="shared" si="48"/>
        <v>17.146296296296295</v>
      </c>
      <c r="M307">
        <f t="shared" si="49"/>
        <v>4.191343544444444</v>
      </c>
      <c r="N307" s="9"/>
      <c r="O307" s="21">
        <v>1.39557</v>
      </c>
      <c r="P307" s="21">
        <v>12.2788</v>
      </c>
      <c r="Q307" s="21">
        <v>-1.2103300000000001E-2</v>
      </c>
      <c r="R307" s="21">
        <v>297</v>
      </c>
      <c r="S307" s="21">
        <v>1.39496</v>
      </c>
      <c r="T307">
        <f t="shared" si="50"/>
        <v>14.942345679012346</v>
      </c>
      <c r="U307">
        <f t="shared" si="51"/>
        <v>20.853089359259261</v>
      </c>
      <c r="X307" s="9"/>
      <c r="Y307" s="21">
        <v>0.244446</v>
      </c>
      <c r="Z307" s="21">
        <v>17.639600000000002</v>
      </c>
      <c r="AA307" s="21">
        <v>-1.3861099999999999E-2</v>
      </c>
      <c r="AB307" s="21">
        <v>297</v>
      </c>
      <c r="AC307" s="21">
        <v>0.24377399999999999</v>
      </c>
      <c r="AD307">
        <f t="shared" si="52"/>
        <v>17.112469135802467</v>
      </c>
      <c r="AE307">
        <f t="shared" si="53"/>
        <v>4.1830746303703696</v>
      </c>
      <c r="AF307" s="9"/>
      <c r="AG307" s="21">
        <v>1.39557</v>
      </c>
      <c r="AH307" s="21">
        <v>21.338000000000001</v>
      </c>
      <c r="AI307" s="21">
        <v>-1.19965E-2</v>
      </c>
      <c r="AJ307" s="21">
        <v>297</v>
      </c>
      <c r="AK307" s="21">
        <v>1.3946499999999999</v>
      </c>
      <c r="AL307">
        <f t="shared" si="54"/>
        <v>14.810493827160494</v>
      </c>
      <c r="AM307">
        <f t="shared" si="55"/>
        <v>20.669080870370369</v>
      </c>
      <c r="AP307" s="9"/>
      <c r="AQ307" s="21">
        <v>0.244446</v>
      </c>
      <c r="AR307" s="21">
        <v>26.771899999999999</v>
      </c>
      <c r="AS307" s="21">
        <v>-1.3809200000000001E-2</v>
      </c>
      <c r="AT307" s="21">
        <v>297</v>
      </c>
      <c r="AU307" s="21">
        <v>0.24371300000000001</v>
      </c>
      <c r="AV307">
        <f t="shared" si="56"/>
        <v>17.048395061728392</v>
      </c>
      <c r="AW307">
        <f t="shared" si="57"/>
        <v>4.1674119792592581</v>
      </c>
      <c r="AX307" s="9"/>
      <c r="AY307" s="21">
        <v>1.39557</v>
      </c>
      <c r="AZ307" s="21">
        <v>30.470199999999998</v>
      </c>
      <c r="BA307" s="21">
        <v>-1.19019E-2</v>
      </c>
      <c r="BB307" s="21">
        <v>297</v>
      </c>
      <c r="BC307" s="21">
        <v>1.3946499999999999</v>
      </c>
      <c r="BD307">
        <f t="shared" si="58"/>
        <v>14.693703703703703</v>
      </c>
      <c r="BE307">
        <f t="shared" si="59"/>
        <v>20.506092077777776</v>
      </c>
    </row>
    <row r="308" spans="6:57" x14ac:dyDescent="0.25">
      <c r="F308" s="9"/>
      <c r="G308" s="21">
        <v>0.23941000000000001</v>
      </c>
      <c r="H308" s="21">
        <v>8.5904900000000008</v>
      </c>
      <c r="I308" s="21">
        <v>-1.38855E-2</v>
      </c>
      <c r="J308" s="21">
        <v>298</v>
      </c>
      <c r="K308" s="21">
        <v>0.23877000000000001</v>
      </c>
      <c r="L308">
        <f t="shared" si="48"/>
        <v>17.142592592592592</v>
      </c>
      <c r="M308">
        <f t="shared" si="49"/>
        <v>4.1041080925925923</v>
      </c>
      <c r="N308" s="9"/>
      <c r="O308" s="21">
        <v>1.4006000000000001</v>
      </c>
      <c r="P308" s="21">
        <v>12.2888</v>
      </c>
      <c r="Q308" s="21">
        <v>-1.2069699999999999E-2</v>
      </c>
      <c r="R308" s="21">
        <v>298</v>
      </c>
      <c r="S308" s="21">
        <v>1.39984</v>
      </c>
      <c r="T308">
        <f t="shared" si="50"/>
        <v>14.900864197530863</v>
      </c>
      <c r="U308">
        <f t="shared" si="51"/>
        <v>20.870150395061728</v>
      </c>
      <c r="X308" s="9"/>
      <c r="Y308" s="21">
        <v>0.23941000000000001</v>
      </c>
      <c r="Z308" s="21">
        <v>17.649699999999999</v>
      </c>
      <c r="AA308" s="21">
        <v>-1.38672E-2</v>
      </c>
      <c r="AB308" s="21">
        <v>298</v>
      </c>
      <c r="AC308" s="21">
        <v>0.23883099999999999</v>
      </c>
      <c r="AD308">
        <f t="shared" si="52"/>
        <v>17.12</v>
      </c>
      <c r="AE308">
        <f t="shared" si="53"/>
        <v>4.0986992000000004</v>
      </c>
      <c r="AF308" s="9"/>
      <c r="AG308" s="21">
        <v>1.4006000000000001</v>
      </c>
      <c r="AH308" s="21">
        <v>21.348099999999999</v>
      </c>
      <c r="AI308" s="21">
        <v>-1.19629E-2</v>
      </c>
      <c r="AJ308" s="21">
        <v>298</v>
      </c>
      <c r="AK308" s="21">
        <v>1.40015</v>
      </c>
      <c r="AL308">
        <f t="shared" si="54"/>
        <v>14.769012345679011</v>
      </c>
      <c r="AM308">
        <f t="shared" si="55"/>
        <v>20.685478691358025</v>
      </c>
      <c r="AP308" s="9"/>
      <c r="AQ308" s="21">
        <v>0.23941000000000001</v>
      </c>
      <c r="AR308" s="21">
        <v>26.7819</v>
      </c>
      <c r="AS308" s="21">
        <v>-1.3806199999999999E-2</v>
      </c>
      <c r="AT308" s="21">
        <v>298</v>
      </c>
      <c r="AU308" s="21">
        <v>0.238678</v>
      </c>
      <c r="AV308">
        <f t="shared" si="56"/>
        <v>17.044691358024689</v>
      </c>
      <c r="AW308">
        <f t="shared" si="57"/>
        <v>4.0806695580246908</v>
      </c>
      <c r="AX308" s="9"/>
      <c r="AY308" s="21">
        <v>1.4006000000000001</v>
      </c>
      <c r="AZ308" s="21">
        <v>30.4803</v>
      </c>
      <c r="BA308" s="21">
        <v>-1.18774E-2</v>
      </c>
      <c r="BB308" s="21">
        <v>298</v>
      </c>
      <c r="BC308" s="21">
        <v>1.39984</v>
      </c>
      <c r="BD308">
        <f t="shared" si="58"/>
        <v>14.663456790123456</v>
      </c>
      <c r="BE308">
        <f t="shared" si="59"/>
        <v>20.537637580246916</v>
      </c>
    </row>
    <row r="309" spans="6:57" x14ac:dyDescent="0.25">
      <c r="F309" s="9"/>
      <c r="G309" s="21">
        <v>0.234375</v>
      </c>
      <c r="H309" s="21">
        <v>8.6005599999999998</v>
      </c>
      <c r="I309" s="21">
        <v>-1.38916E-2</v>
      </c>
      <c r="J309" s="21">
        <v>299</v>
      </c>
      <c r="K309" s="21">
        <v>0.233765</v>
      </c>
      <c r="L309">
        <f t="shared" si="48"/>
        <v>17.150123456790123</v>
      </c>
      <c r="M309">
        <f t="shared" si="49"/>
        <v>4.0195601851851848</v>
      </c>
      <c r="N309" s="9"/>
      <c r="O309" s="21">
        <v>1.40564</v>
      </c>
      <c r="P309" s="21">
        <v>12.2989</v>
      </c>
      <c r="Q309" s="21">
        <v>-1.20453E-2</v>
      </c>
      <c r="R309" s="21">
        <v>299</v>
      </c>
      <c r="S309" s="21">
        <v>1.40503</v>
      </c>
      <c r="T309">
        <f t="shared" si="50"/>
        <v>14.870740740740739</v>
      </c>
      <c r="U309">
        <f t="shared" si="51"/>
        <v>20.902908014814813</v>
      </c>
      <c r="X309" s="9"/>
      <c r="Y309" s="21">
        <v>0.234375</v>
      </c>
      <c r="Z309" s="21">
        <v>17.659800000000001</v>
      </c>
      <c r="AA309" s="21">
        <v>-1.3861099999999999E-2</v>
      </c>
      <c r="AB309" s="21">
        <v>299</v>
      </c>
      <c r="AC309" s="21">
        <v>0.233765</v>
      </c>
      <c r="AD309">
        <f t="shared" si="52"/>
        <v>17.112469135802467</v>
      </c>
      <c r="AE309">
        <f t="shared" si="53"/>
        <v>4.0107349537037029</v>
      </c>
      <c r="AF309" s="9"/>
      <c r="AG309" s="21">
        <v>1.40564</v>
      </c>
      <c r="AH309" s="21">
        <v>21.3581</v>
      </c>
      <c r="AI309" s="21">
        <v>-1.1926300000000001E-2</v>
      </c>
      <c r="AJ309" s="21">
        <v>299</v>
      </c>
      <c r="AK309" s="21">
        <v>1.40503</v>
      </c>
      <c r="AL309">
        <f t="shared" si="54"/>
        <v>14.723827160493826</v>
      </c>
      <c r="AM309">
        <f t="shared" si="55"/>
        <v>20.696400409876542</v>
      </c>
      <c r="AP309" s="9"/>
      <c r="AQ309" s="21">
        <v>0.234375</v>
      </c>
      <c r="AR309" s="21">
        <v>26.792000000000002</v>
      </c>
      <c r="AS309" s="21">
        <v>-1.38E-2</v>
      </c>
      <c r="AT309" s="21">
        <v>299</v>
      </c>
      <c r="AU309" s="21">
        <v>0.233704</v>
      </c>
      <c r="AV309">
        <f t="shared" si="56"/>
        <v>17.037037037037035</v>
      </c>
      <c r="AW309">
        <f t="shared" si="57"/>
        <v>3.9930555555555549</v>
      </c>
      <c r="AX309" s="9"/>
      <c r="AY309" s="21">
        <v>1.40564</v>
      </c>
      <c r="AZ309" s="21">
        <v>30.490300000000001</v>
      </c>
      <c r="BA309" s="21">
        <v>-1.1849999999999999E-2</v>
      </c>
      <c r="BB309" s="21">
        <v>299</v>
      </c>
      <c r="BC309" s="21">
        <v>1.40533</v>
      </c>
      <c r="BD309">
        <f t="shared" si="58"/>
        <v>14.629629629629628</v>
      </c>
      <c r="BE309">
        <f t="shared" si="59"/>
        <v>20.563992592592591</v>
      </c>
    </row>
    <row r="310" spans="6:57" x14ac:dyDescent="0.25">
      <c r="F310" s="9"/>
      <c r="G310" s="21">
        <v>0.22933999999999999</v>
      </c>
      <c r="H310" s="21">
        <v>8.6106300000000005</v>
      </c>
      <c r="I310" s="21">
        <v>-1.39008E-2</v>
      </c>
      <c r="J310" s="21">
        <v>300</v>
      </c>
      <c r="K310" s="21">
        <v>0.228577</v>
      </c>
      <c r="L310">
        <f t="shared" si="48"/>
        <v>17.161481481481481</v>
      </c>
      <c r="M310">
        <f t="shared" si="49"/>
        <v>3.9358141629629624</v>
      </c>
      <c r="N310" s="9"/>
      <c r="O310" s="21">
        <v>1.4106799999999999</v>
      </c>
      <c r="P310" s="21">
        <v>12.308999999999999</v>
      </c>
      <c r="Q310" s="21">
        <v>-1.2008700000000001E-2</v>
      </c>
      <c r="R310" s="21">
        <v>300</v>
      </c>
      <c r="S310" s="21">
        <v>1.40991</v>
      </c>
      <c r="T310">
        <f t="shared" si="50"/>
        <v>14.825555555555555</v>
      </c>
      <c r="U310">
        <f t="shared" si="51"/>
        <v>20.914114711111111</v>
      </c>
      <c r="X310" s="9"/>
      <c r="Y310" s="21">
        <v>0.22933999999999999</v>
      </c>
      <c r="Z310" s="21">
        <v>17.669799999999999</v>
      </c>
      <c r="AA310" s="21">
        <v>-1.3848900000000001E-2</v>
      </c>
      <c r="AB310" s="21">
        <v>300</v>
      </c>
      <c r="AC310" s="21">
        <v>0.228607</v>
      </c>
      <c r="AD310">
        <f t="shared" si="52"/>
        <v>17.09740740740741</v>
      </c>
      <c r="AE310">
        <f t="shared" si="53"/>
        <v>3.921119414814815</v>
      </c>
      <c r="AF310" s="9"/>
      <c r="AG310" s="21">
        <v>1.4106799999999999</v>
      </c>
      <c r="AH310" s="21">
        <v>21.368200000000002</v>
      </c>
      <c r="AI310" s="21">
        <v>-1.18835E-2</v>
      </c>
      <c r="AJ310" s="21">
        <v>300</v>
      </c>
      <c r="AK310" s="21">
        <v>1.41022</v>
      </c>
      <c r="AL310">
        <f t="shared" si="54"/>
        <v>14.670987654320987</v>
      </c>
      <c r="AM310">
        <f t="shared" si="55"/>
        <v>20.696068864197528</v>
      </c>
      <c r="AP310" s="9"/>
      <c r="AQ310" s="21">
        <v>0.22933999999999999</v>
      </c>
      <c r="AR310" s="21">
        <v>26.802099999999999</v>
      </c>
      <c r="AS310" s="21">
        <v>-1.38031E-2</v>
      </c>
      <c r="AT310" s="21">
        <v>300</v>
      </c>
      <c r="AU310" s="21">
        <v>0.22872899999999999</v>
      </c>
      <c r="AV310">
        <f t="shared" si="56"/>
        <v>17.040864197530862</v>
      </c>
      <c r="AW310">
        <f t="shared" si="57"/>
        <v>3.9081517950617277</v>
      </c>
      <c r="AX310" s="9"/>
      <c r="AY310" s="21">
        <v>1.4106799999999999</v>
      </c>
      <c r="AZ310" s="21">
        <v>30.500399999999999</v>
      </c>
      <c r="BA310" s="21">
        <v>-1.1816399999999999E-2</v>
      </c>
      <c r="BB310" s="21">
        <v>300</v>
      </c>
      <c r="BC310" s="21">
        <v>1.41022</v>
      </c>
      <c r="BD310">
        <f t="shared" si="58"/>
        <v>14.588148148148147</v>
      </c>
      <c r="BE310">
        <f t="shared" si="59"/>
        <v>20.579208829629625</v>
      </c>
    </row>
    <row r="311" spans="6:57" x14ac:dyDescent="0.25">
      <c r="F311" s="9"/>
      <c r="G311" s="21">
        <v>0.224304</v>
      </c>
      <c r="H311" s="21">
        <v>8.6206999999999994</v>
      </c>
      <c r="I311" s="21">
        <v>-1.3909899999999999E-2</v>
      </c>
      <c r="J311" s="21">
        <v>301</v>
      </c>
      <c r="K311" s="21">
        <v>0.22372400000000001</v>
      </c>
      <c r="L311">
        <f t="shared" si="48"/>
        <v>17.172716049382714</v>
      </c>
      <c r="M311">
        <f t="shared" si="49"/>
        <v>3.8519089007407405</v>
      </c>
      <c r="N311" s="9"/>
      <c r="O311" s="21">
        <v>1.41571</v>
      </c>
      <c r="P311" s="21">
        <v>12.319000000000001</v>
      </c>
      <c r="Q311" s="21">
        <v>-1.19781E-2</v>
      </c>
      <c r="R311" s="21">
        <v>301</v>
      </c>
      <c r="S311" s="21">
        <v>1.41449</v>
      </c>
      <c r="T311">
        <f t="shared" si="50"/>
        <v>14.787777777777777</v>
      </c>
      <c r="U311">
        <f t="shared" si="51"/>
        <v>20.935204877777778</v>
      </c>
      <c r="X311" s="9"/>
      <c r="Y311" s="21">
        <v>0.224304</v>
      </c>
      <c r="Z311" s="21">
        <v>17.6799</v>
      </c>
      <c r="AA311" s="21">
        <v>-1.38519E-2</v>
      </c>
      <c r="AB311" s="21">
        <v>301</v>
      </c>
      <c r="AC311" s="21">
        <v>0.22372400000000001</v>
      </c>
      <c r="AD311">
        <f t="shared" si="52"/>
        <v>17.101111111111113</v>
      </c>
      <c r="AE311">
        <f t="shared" si="53"/>
        <v>3.8358476266666672</v>
      </c>
      <c r="AF311" s="9"/>
      <c r="AG311" s="21">
        <v>1.41571</v>
      </c>
      <c r="AH311" s="21">
        <v>21.378299999999999</v>
      </c>
      <c r="AI311" s="21">
        <v>-1.1837800000000001E-2</v>
      </c>
      <c r="AJ311" s="21">
        <v>301</v>
      </c>
      <c r="AK311" s="21">
        <v>1.4151</v>
      </c>
      <c r="AL311">
        <f t="shared" si="54"/>
        <v>14.614567901234569</v>
      </c>
      <c r="AM311">
        <f t="shared" si="55"/>
        <v>20.689989923456793</v>
      </c>
      <c r="AP311" s="9"/>
      <c r="AQ311" s="21">
        <v>0.224304</v>
      </c>
      <c r="AR311" s="21">
        <v>26.812100000000001</v>
      </c>
      <c r="AS311" s="21">
        <v>-1.38031E-2</v>
      </c>
      <c r="AT311" s="21">
        <v>301</v>
      </c>
      <c r="AU311" s="21">
        <v>0.22378500000000001</v>
      </c>
      <c r="AV311">
        <f t="shared" si="56"/>
        <v>17.040864197530862</v>
      </c>
      <c r="AW311">
        <f t="shared" si="57"/>
        <v>3.8223340029629624</v>
      </c>
      <c r="AX311" s="9"/>
      <c r="AY311" s="21">
        <v>1.41571</v>
      </c>
      <c r="AZ311" s="21">
        <v>30.5105</v>
      </c>
      <c r="BA311" s="21">
        <v>-1.17737E-2</v>
      </c>
      <c r="BB311" s="21">
        <v>301</v>
      </c>
      <c r="BC311" s="21">
        <v>1.4151</v>
      </c>
      <c r="BD311">
        <f t="shared" si="58"/>
        <v>14.535432098765432</v>
      </c>
      <c r="BE311">
        <f t="shared" si="59"/>
        <v>20.577956576543208</v>
      </c>
    </row>
    <row r="312" spans="6:57" x14ac:dyDescent="0.25">
      <c r="F312" s="9"/>
      <c r="G312" s="21">
        <v>0.21926899999999999</v>
      </c>
      <c r="H312" s="21">
        <v>8.6307700000000001</v>
      </c>
      <c r="I312" s="21">
        <v>-1.3913E-2</v>
      </c>
      <c r="J312" s="21">
        <v>302</v>
      </c>
      <c r="K312" s="21">
        <v>0.21868899999999999</v>
      </c>
      <c r="L312">
        <f t="shared" si="48"/>
        <v>17.176543209876542</v>
      </c>
      <c r="M312">
        <f t="shared" si="49"/>
        <v>3.7662834530864191</v>
      </c>
      <c r="N312" s="9"/>
      <c r="O312" s="21">
        <v>1.42075</v>
      </c>
      <c r="P312" s="21">
        <v>12.3291</v>
      </c>
      <c r="Q312" s="21">
        <v>-1.1935400000000001E-2</v>
      </c>
      <c r="R312" s="21">
        <v>302</v>
      </c>
      <c r="S312" s="21">
        <v>1.41998</v>
      </c>
      <c r="T312">
        <f t="shared" si="50"/>
        <v>14.735061728395062</v>
      </c>
      <c r="U312">
        <f t="shared" si="51"/>
        <v>20.934838950617284</v>
      </c>
      <c r="X312" s="9"/>
      <c r="Y312" s="21">
        <v>0.21926899999999999</v>
      </c>
      <c r="Z312" s="21">
        <v>17.690000000000001</v>
      </c>
      <c r="AA312" s="21">
        <v>-1.3848900000000001E-2</v>
      </c>
      <c r="AB312" s="21">
        <v>302</v>
      </c>
      <c r="AC312" s="21">
        <v>0.21853600000000001</v>
      </c>
      <c r="AD312">
        <f t="shared" si="52"/>
        <v>17.09740740740741</v>
      </c>
      <c r="AE312">
        <f t="shared" si="53"/>
        <v>3.7489314248148151</v>
      </c>
      <c r="AF312" s="9"/>
      <c r="AG312" s="21">
        <v>1.42075</v>
      </c>
      <c r="AH312" s="21">
        <v>21.388400000000001</v>
      </c>
      <c r="AI312" s="21">
        <v>-1.1810299999999999E-2</v>
      </c>
      <c r="AJ312" s="21">
        <v>302</v>
      </c>
      <c r="AK312" s="21">
        <v>1.4196800000000001</v>
      </c>
      <c r="AL312">
        <f t="shared" si="54"/>
        <v>14.580617283950616</v>
      </c>
      <c r="AM312">
        <f t="shared" si="55"/>
        <v>20.715412006172837</v>
      </c>
      <c r="AP312" s="9"/>
      <c r="AQ312" s="21">
        <v>0.21926899999999999</v>
      </c>
      <c r="AR312" s="21">
        <v>26.822199999999999</v>
      </c>
      <c r="AS312" s="21">
        <v>-1.3797E-2</v>
      </c>
      <c r="AT312" s="21">
        <v>302</v>
      </c>
      <c r="AU312" s="21">
        <v>0.21862799999999999</v>
      </c>
      <c r="AV312">
        <f t="shared" si="56"/>
        <v>17.033333333333331</v>
      </c>
      <c r="AW312">
        <f t="shared" si="57"/>
        <v>3.7348819666666659</v>
      </c>
      <c r="AX312" s="9"/>
      <c r="AY312" s="21">
        <v>1.42075</v>
      </c>
      <c r="AZ312" s="21">
        <v>30.520499999999998</v>
      </c>
      <c r="BA312" s="21">
        <v>-1.1721799999999999E-2</v>
      </c>
      <c r="BB312" s="21">
        <v>302</v>
      </c>
      <c r="BC312" s="21">
        <v>1.4196800000000001</v>
      </c>
      <c r="BD312">
        <f t="shared" si="58"/>
        <v>14.471358024691357</v>
      </c>
      <c r="BE312">
        <f t="shared" si="59"/>
        <v>20.560181913580244</v>
      </c>
    </row>
    <row r="313" spans="6:57" x14ac:dyDescent="0.25">
      <c r="F313" s="9"/>
      <c r="G313" s="21">
        <v>0.21423300000000001</v>
      </c>
      <c r="H313" s="21">
        <v>8.6408400000000007</v>
      </c>
      <c r="I313" s="21">
        <v>-1.3913E-2</v>
      </c>
      <c r="J313" s="21">
        <v>303</v>
      </c>
      <c r="K313" s="21">
        <v>0.213531</v>
      </c>
      <c r="L313">
        <f t="shared" si="48"/>
        <v>17.176543209876542</v>
      </c>
      <c r="M313">
        <f t="shared" si="49"/>
        <v>3.6797823814814814</v>
      </c>
      <c r="N313" s="9"/>
      <c r="O313" s="21">
        <v>1.42578</v>
      </c>
      <c r="P313" s="21">
        <v>12.3392</v>
      </c>
      <c r="Q313" s="21">
        <v>-1.1892700000000001E-2</v>
      </c>
      <c r="R313" s="21">
        <v>303</v>
      </c>
      <c r="S313" s="21">
        <v>1.4248700000000001</v>
      </c>
      <c r="T313">
        <f t="shared" si="50"/>
        <v>14.682345679012347</v>
      </c>
      <c r="U313">
        <f t="shared" si="51"/>
        <v>20.933794822222225</v>
      </c>
      <c r="X313" s="9"/>
      <c r="Y313" s="21">
        <v>0.21423300000000001</v>
      </c>
      <c r="Z313" s="21">
        <v>17.700099999999999</v>
      </c>
      <c r="AA313" s="21">
        <v>-1.38397E-2</v>
      </c>
      <c r="AB313" s="21">
        <v>303</v>
      </c>
      <c r="AC313" s="21">
        <v>0.21371499999999999</v>
      </c>
      <c r="AD313">
        <f t="shared" si="52"/>
        <v>17.086049382716048</v>
      </c>
      <c r="AE313">
        <f t="shared" si="53"/>
        <v>3.6603956174074073</v>
      </c>
      <c r="AF313" s="9"/>
      <c r="AG313" s="21">
        <v>1.42578</v>
      </c>
      <c r="AH313" s="21">
        <v>21.398399999999999</v>
      </c>
      <c r="AI313" s="21">
        <v>-1.1764500000000001E-2</v>
      </c>
      <c r="AJ313" s="21">
        <v>303</v>
      </c>
      <c r="AK313" s="21">
        <v>1.4248700000000001</v>
      </c>
      <c r="AL313">
        <f t="shared" si="54"/>
        <v>14.524074074074075</v>
      </c>
      <c r="AM313">
        <f t="shared" si="55"/>
        <v>20.708134333333337</v>
      </c>
      <c r="AP313" s="9"/>
      <c r="AQ313" s="21">
        <v>0.21423300000000001</v>
      </c>
      <c r="AR313" s="21">
        <v>26.8323</v>
      </c>
      <c r="AS313" s="21">
        <v>-1.38E-2</v>
      </c>
      <c r="AT313" s="21">
        <v>303</v>
      </c>
      <c r="AU313" s="21">
        <v>0.21368400000000001</v>
      </c>
      <c r="AV313">
        <f t="shared" si="56"/>
        <v>17.037037037037035</v>
      </c>
      <c r="AW313">
        <f t="shared" si="57"/>
        <v>3.6498955555555552</v>
      </c>
      <c r="AX313" s="9"/>
      <c r="AY313" s="21">
        <v>1.42578</v>
      </c>
      <c r="AZ313" s="21">
        <v>30.5306</v>
      </c>
      <c r="BA313" s="21">
        <v>-1.1672999999999999E-2</v>
      </c>
      <c r="BB313" s="21">
        <v>303</v>
      </c>
      <c r="BC313" s="21">
        <v>1.42517</v>
      </c>
      <c r="BD313">
        <f t="shared" si="58"/>
        <v>14.41111111111111</v>
      </c>
      <c r="BE313">
        <f t="shared" si="59"/>
        <v>20.547073999999999</v>
      </c>
    </row>
    <row r="314" spans="6:57" x14ac:dyDescent="0.25">
      <c r="F314" s="9"/>
      <c r="G314" s="21">
        <v>0.209198</v>
      </c>
      <c r="H314" s="21">
        <v>8.6509099999999997</v>
      </c>
      <c r="I314" s="21">
        <v>-1.39191E-2</v>
      </c>
      <c r="J314" s="21">
        <v>304</v>
      </c>
      <c r="K314" s="21">
        <v>0.20855699999999999</v>
      </c>
      <c r="L314">
        <f t="shared" si="48"/>
        <v>17.184074074074076</v>
      </c>
      <c r="M314">
        <f t="shared" si="49"/>
        <v>3.5948739281481483</v>
      </c>
      <c r="N314" s="9"/>
      <c r="O314" s="21">
        <v>1.43082</v>
      </c>
      <c r="P314" s="21">
        <v>12.349299999999999</v>
      </c>
      <c r="Q314" s="21">
        <v>-1.1859099999999999E-2</v>
      </c>
      <c r="R314" s="21">
        <v>304</v>
      </c>
      <c r="S314" s="21">
        <v>1.4297500000000001</v>
      </c>
      <c r="T314">
        <f t="shared" si="50"/>
        <v>14.640864197530862</v>
      </c>
      <c r="U314">
        <f t="shared" si="51"/>
        <v>20.948441311111107</v>
      </c>
      <c r="X314" s="9"/>
      <c r="Y314" s="21">
        <v>0.209198</v>
      </c>
      <c r="Z314" s="21">
        <v>17.710100000000001</v>
      </c>
      <c r="AA314" s="21">
        <v>-1.38336E-2</v>
      </c>
      <c r="AB314" s="21">
        <v>304</v>
      </c>
      <c r="AC314" s="21">
        <v>0.208588</v>
      </c>
      <c r="AD314">
        <f t="shared" si="52"/>
        <v>17.078518518518518</v>
      </c>
      <c r="AE314">
        <f t="shared" si="53"/>
        <v>3.5727919170370366</v>
      </c>
      <c r="AF314" s="9"/>
      <c r="AG314" s="21">
        <v>1.43082</v>
      </c>
      <c r="AH314" s="21">
        <v>21.4085</v>
      </c>
      <c r="AI314" s="21">
        <v>-1.1715700000000001E-2</v>
      </c>
      <c r="AJ314" s="21">
        <v>304</v>
      </c>
      <c r="AK314" s="21">
        <v>1.43066</v>
      </c>
      <c r="AL314">
        <f t="shared" si="54"/>
        <v>14.463827160493826</v>
      </c>
      <c r="AM314">
        <f t="shared" si="55"/>
        <v>20.695133177777777</v>
      </c>
      <c r="AP314" s="9"/>
      <c r="AQ314" s="21">
        <v>0.209198</v>
      </c>
      <c r="AR314" s="21">
        <v>26.842300000000002</v>
      </c>
      <c r="AS314" s="21">
        <v>-1.3797E-2</v>
      </c>
      <c r="AT314" s="21">
        <v>304</v>
      </c>
      <c r="AU314" s="21">
        <v>0.20874000000000001</v>
      </c>
      <c r="AV314">
        <f t="shared" si="56"/>
        <v>17.033333333333331</v>
      </c>
      <c r="AW314">
        <f t="shared" si="57"/>
        <v>3.5633392666666661</v>
      </c>
      <c r="AX314" s="9"/>
      <c r="AY314" s="21">
        <v>1.43082</v>
      </c>
      <c r="AZ314" s="21">
        <v>30.540700000000001</v>
      </c>
      <c r="BA314" s="21">
        <v>-1.16302E-2</v>
      </c>
      <c r="BB314" s="21">
        <v>304</v>
      </c>
      <c r="BC314" s="21">
        <v>1.4309700000000001</v>
      </c>
      <c r="BD314">
        <f t="shared" si="58"/>
        <v>14.35827160493827</v>
      </c>
      <c r="BE314">
        <f t="shared" si="59"/>
        <v>20.544102177777777</v>
      </c>
    </row>
    <row r="315" spans="6:57" x14ac:dyDescent="0.25">
      <c r="F315" s="9"/>
      <c r="G315" s="21">
        <v>0.20416300000000001</v>
      </c>
      <c r="H315" s="21">
        <v>8.6609800000000003</v>
      </c>
      <c r="I315" s="21">
        <v>-1.39191E-2</v>
      </c>
      <c r="J315" s="21">
        <v>305</v>
      </c>
      <c r="K315" s="21">
        <v>0.20358299999999999</v>
      </c>
      <c r="L315">
        <f t="shared" si="48"/>
        <v>17.184074074074076</v>
      </c>
      <c r="M315">
        <f t="shared" si="49"/>
        <v>3.5083521151851857</v>
      </c>
      <c r="N315" s="9"/>
      <c r="O315" s="21">
        <v>1.4358500000000001</v>
      </c>
      <c r="P315" s="21">
        <v>12.359299999999999</v>
      </c>
      <c r="Q315" s="21">
        <v>-1.18225E-2</v>
      </c>
      <c r="R315" s="21">
        <v>305</v>
      </c>
      <c r="S315" s="21">
        <v>1.4352400000000001</v>
      </c>
      <c r="T315">
        <f t="shared" si="50"/>
        <v>14.595679012345677</v>
      </c>
      <c r="U315">
        <f t="shared" si="51"/>
        <v>20.95720570987654</v>
      </c>
      <c r="X315" s="9"/>
      <c r="Y315" s="21">
        <v>0.20416300000000001</v>
      </c>
      <c r="Z315" s="21">
        <v>17.720199999999998</v>
      </c>
      <c r="AA315" s="21">
        <v>-1.38245E-2</v>
      </c>
      <c r="AB315" s="21">
        <v>305</v>
      </c>
      <c r="AC315" s="21">
        <v>0.20358299999999999</v>
      </c>
      <c r="AD315">
        <f t="shared" si="52"/>
        <v>17.067283950617281</v>
      </c>
      <c r="AE315">
        <f t="shared" si="53"/>
        <v>3.4845078932098761</v>
      </c>
      <c r="AF315" s="9"/>
      <c r="AG315" s="21">
        <v>1.4358500000000001</v>
      </c>
      <c r="AH315" s="21">
        <v>21.418600000000001</v>
      </c>
      <c r="AI315" s="21">
        <v>-1.16699E-2</v>
      </c>
      <c r="AJ315" s="21">
        <v>305</v>
      </c>
      <c r="AK315" s="21">
        <v>1.4349400000000001</v>
      </c>
      <c r="AL315">
        <f t="shared" si="54"/>
        <v>14.407283950617282</v>
      </c>
      <c r="AM315">
        <f t="shared" si="55"/>
        <v>20.686698660493825</v>
      </c>
      <c r="AP315" s="9"/>
      <c r="AQ315" s="21">
        <v>0.20416300000000001</v>
      </c>
      <c r="AR315" s="21">
        <v>26.852399999999999</v>
      </c>
      <c r="AS315" s="21">
        <v>-1.38E-2</v>
      </c>
      <c r="AT315" s="21">
        <v>305</v>
      </c>
      <c r="AU315" s="21">
        <v>0.20358299999999999</v>
      </c>
      <c r="AV315">
        <f t="shared" si="56"/>
        <v>17.037037037037035</v>
      </c>
      <c r="AW315">
        <f t="shared" si="57"/>
        <v>3.4783325925925923</v>
      </c>
      <c r="AX315" s="9"/>
      <c r="AY315" s="21">
        <v>1.4358500000000001</v>
      </c>
      <c r="AZ315" s="21">
        <v>30.550799999999999</v>
      </c>
      <c r="BA315" s="21">
        <v>-1.1593600000000001E-2</v>
      </c>
      <c r="BB315" s="21">
        <v>305</v>
      </c>
      <c r="BC315" s="21">
        <v>1.4355500000000001</v>
      </c>
      <c r="BD315">
        <f t="shared" si="58"/>
        <v>14.313086419753086</v>
      </c>
      <c r="BE315">
        <f t="shared" si="59"/>
        <v>20.551445135802471</v>
      </c>
    </row>
    <row r="316" spans="6:57" x14ac:dyDescent="0.25">
      <c r="F316" s="9"/>
      <c r="G316" s="21">
        <v>0.199127</v>
      </c>
      <c r="H316" s="21">
        <v>8.6710600000000007</v>
      </c>
      <c r="I316" s="21">
        <v>-1.39191E-2</v>
      </c>
      <c r="J316" s="21">
        <v>306</v>
      </c>
      <c r="K316" s="21">
        <v>0.19860800000000001</v>
      </c>
      <c r="L316">
        <f t="shared" si="48"/>
        <v>17.184074074074076</v>
      </c>
      <c r="M316">
        <f t="shared" si="49"/>
        <v>3.4218131181481484</v>
      </c>
      <c r="N316" s="9"/>
      <c r="O316" s="21">
        <v>1.44089</v>
      </c>
      <c r="P316" s="21">
        <v>12.369400000000001</v>
      </c>
      <c r="Q316" s="21">
        <v>-1.17828E-2</v>
      </c>
      <c r="R316" s="21">
        <v>306</v>
      </c>
      <c r="S316" s="21">
        <v>1.4401200000000001</v>
      </c>
      <c r="T316">
        <f t="shared" si="50"/>
        <v>14.546666666666665</v>
      </c>
      <c r="U316">
        <f t="shared" si="51"/>
        <v>20.960146533333329</v>
      </c>
      <c r="X316" s="9"/>
      <c r="Y316" s="21">
        <v>0.199127</v>
      </c>
      <c r="Z316" s="21">
        <v>17.7303</v>
      </c>
      <c r="AA316" s="21">
        <v>-1.38184E-2</v>
      </c>
      <c r="AB316" s="21">
        <v>306</v>
      </c>
      <c r="AC316" s="21">
        <v>0.19860800000000001</v>
      </c>
      <c r="AD316">
        <f t="shared" si="52"/>
        <v>17.05975308641975</v>
      </c>
      <c r="AE316">
        <f t="shared" si="53"/>
        <v>3.3970574528395057</v>
      </c>
      <c r="AF316" s="9"/>
      <c r="AG316" s="21">
        <v>1.44089</v>
      </c>
      <c r="AH316" s="21">
        <v>21.428599999999999</v>
      </c>
      <c r="AI316" s="21">
        <v>-1.16364E-2</v>
      </c>
      <c r="AJ316" s="21">
        <v>306</v>
      </c>
      <c r="AK316" s="21">
        <v>1.4398200000000001</v>
      </c>
      <c r="AL316">
        <f t="shared" si="54"/>
        <v>14.365925925925925</v>
      </c>
      <c r="AM316">
        <f t="shared" si="55"/>
        <v>20.699719007407406</v>
      </c>
      <c r="AP316" s="9"/>
      <c r="AQ316" s="21">
        <v>0.199127</v>
      </c>
      <c r="AR316" s="21">
        <v>26.862500000000001</v>
      </c>
      <c r="AS316" s="21">
        <v>-1.37909E-2</v>
      </c>
      <c r="AT316" s="21">
        <v>306</v>
      </c>
      <c r="AU316" s="21">
        <v>0.19860800000000001</v>
      </c>
      <c r="AV316">
        <f t="shared" si="56"/>
        <v>17.025802469135801</v>
      </c>
      <c r="AW316">
        <f t="shared" si="57"/>
        <v>3.3902969682716044</v>
      </c>
      <c r="AX316" s="9"/>
      <c r="AY316" s="21">
        <v>1.44089</v>
      </c>
      <c r="AZ316" s="21">
        <v>30.5608</v>
      </c>
      <c r="BA316" s="21">
        <v>-1.1554E-2</v>
      </c>
      <c r="BB316" s="21">
        <v>306</v>
      </c>
      <c r="BC316" s="21">
        <v>1.4407300000000001</v>
      </c>
      <c r="BD316">
        <f t="shared" si="58"/>
        <v>14.264197530864198</v>
      </c>
      <c r="BE316">
        <f t="shared" si="59"/>
        <v>20.553139580246913</v>
      </c>
    </row>
    <row r="317" spans="6:57" x14ac:dyDescent="0.25">
      <c r="F317" s="9"/>
      <c r="G317" s="21">
        <v>0.19409199999999999</v>
      </c>
      <c r="H317" s="21">
        <v>8.6811299999999996</v>
      </c>
      <c r="I317" s="21">
        <v>-1.3903799999999999E-2</v>
      </c>
      <c r="J317" s="21">
        <v>307</v>
      </c>
      <c r="K317" s="21">
        <v>0.19351199999999999</v>
      </c>
      <c r="L317">
        <f t="shared" si="48"/>
        <v>17.165185185185184</v>
      </c>
      <c r="M317">
        <f t="shared" si="49"/>
        <v>3.3316251229629623</v>
      </c>
      <c r="N317" s="9"/>
      <c r="O317" s="21">
        <v>1.4459200000000001</v>
      </c>
      <c r="P317" s="21">
        <v>12.3795</v>
      </c>
      <c r="Q317" s="21">
        <v>-1.17462E-2</v>
      </c>
      <c r="R317" s="21">
        <v>307</v>
      </c>
      <c r="S317" s="21">
        <v>1.4453100000000001</v>
      </c>
      <c r="T317">
        <f t="shared" si="50"/>
        <v>14.501481481481481</v>
      </c>
      <c r="U317">
        <f t="shared" si="51"/>
        <v>20.967982103703704</v>
      </c>
      <c r="X317" s="9"/>
      <c r="Y317" s="21">
        <v>0.19409199999999999</v>
      </c>
      <c r="Z317" s="21">
        <v>17.740300000000001</v>
      </c>
      <c r="AA317" s="21">
        <v>-1.3821399999999999E-2</v>
      </c>
      <c r="AB317" s="21">
        <v>307</v>
      </c>
      <c r="AC317" s="21">
        <v>0.19354199999999999</v>
      </c>
      <c r="AD317">
        <f t="shared" si="52"/>
        <v>17.063456790123453</v>
      </c>
      <c r="AE317">
        <f t="shared" si="53"/>
        <v>3.3118804553086409</v>
      </c>
      <c r="AF317" s="9"/>
      <c r="AG317" s="21">
        <v>1.4459200000000001</v>
      </c>
      <c r="AH317" s="21">
        <v>21.438700000000001</v>
      </c>
      <c r="AI317" s="21">
        <v>-1.16028E-2</v>
      </c>
      <c r="AJ317" s="21">
        <v>307</v>
      </c>
      <c r="AK317" s="21">
        <v>1.4456199999999999</v>
      </c>
      <c r="AL317">
        <f t="shared" si="54"/>
        <v>14.324444444444444</v>
      </c>
      <c r="AM317">
        <f t="shared" si="55"/>
        <v>20.712000711111113</v>
      </c>
      <c r="AP317" s="9"/>
      <c r="AQ317" s="21">
        <v>0.19409199999999999</v>
      </c>
      <c r="AR317" s="21">
        <v>26.872599999999998</v>
      </c>
      <c r="AS317" s="21">
        <v>-1.3787799999999999E-2</v>
      </c>
      <c r="AT317" s="21">
        <v>307</v>
      </c>
      <c r="AU317" s="21">
        <v>0.193604</v>
      </c>
      <c r="AV317">
        <f t="shared" si="56"/>
        <v>17.021975308641974</v>
      </c>
      <c r="AW317">
        <f t="shared" si="57"/>
        <v>3.3038292316049378</v>
      </c>
      <c r="AX317" s="9"/>
      <c r="AY317" s="21">
        <v>1.4459200000000001</v>
      </c>
      <c r="AZ317" s="21">
        <v>30.570900000000002</v>
      </c>
      <c r="BA317" s="21">
        <v>-1.1505100000000001E-2</v>
      </c>
      <c r="BB317" s="21">
        <v>307</v>
      </c>
      <c r="BC317" s="21">
        <v>1.4456199999999999</v>
      </c>
      <c r="BD317">
        <f t="shared" si="58"/>
        <v>14.203827160493827</v>
      </c>
      <c r="BE317">
        <f t="shared" si="59"/>
        <v>20.537597767901236</v>
      </c>
    </row>
    <row r="318" spans="6:57" x14ac:dyDescent="0.25">
      <c r="F318" s="9"/>
      <c r="G318" s="21">
        <v>0.189056</v>
      </c>
      <c r="H318" s="21">
        <v>8.6912000000000003</v>
      </c>
      <c r="I318" s="21">
        <v>-1.38885E-2</v>
      </c>
      <c r="J318" s="21">
        <v>308</v>
      </c>
      <c r="K318" s="21">
        <v>0.18856800000000001</v>
      </c>
      <c r="L318">
        <f t="shared" si="48"/>
        <v>17.146296296296295</v>
      </c>
      <c r="M318">
        <f t="shared" si="49"/>
        <v>3.2416101925925926</v>
      </c>
      <c r="N318" s="9"/>
      <c r="O318" s="21">
        <v>1.45096</v>
      </c>
      <c r="P318" s="21">
        <v>12.3895</v>
      </c>
      <c r="Q318" s="21">
        <v>-1.17035E-2</v>
      </c>
      <c r="R318" s="21">
        <v>308</v>
      </c>
      <c r="S318" s="21">
        <v>1.4498899999999999</v>
      </c>
      <c r="T318">
        <f t="shared" si="50"/>
        <v>14.448765432098766</v>
      </c>
      <c r="U318">
        <f t="shared" si="51"/>
        <v>20.964580691358027</v>
      </c>
      <c r="X318" s="9"/>
      <c r="Y318" s="21">
        <v>0.189056</v>
      </c>
      <c r="Z318" s="21">
        <v>17.750399999999999</v>
      </c>
      <c r="AA318" s="21">
        <v>-1.38367E-2</v>
      </c>
      <c r="AB318" s="21">
        <v>308</v>
      </c>
      <c r="AC318" s="21">
        <v>0.188446</v>
      </c>
      <c r="AD318">
        <f t="shared" si="52"/>
        <v>17.082345679012345</v>
      </c>
      <c r="AE318">
        <f t="shared" si="53"/>
        <v>3.2295199446913578</v>
      </c>
      <c r="AF318" s="9"/>
      <c r="AG318" s="21">
        <v>1.45096</v>
      </c>
      <c r="AH318" s="21">
        <v>21.448799999999999</v>
      </c>
      <c r="AI318" s="21">
        <v>-1.1572300000000001E-2</v>
      </c>
      <c r="AJ318" s="21">
        <v>308</v>
      </c>
      <c r="AK318" s="21">
        <v>1.4498899999999999</v>
      </c>
      <c r="AL318">
        <f t="shared" si="54"/>
        <v>14.286790123456791</v>
      </c>
      <c r="AM318">
        <f t="shared" si="55"/>
        <v>20.729560997530868</v>
      </c>
      <c r="AP318" s="9"/>
      <c r="AQ318" s="21">
        <v>0.189056</v>
      </c>
      <c r="AR318" s="21">
        <v>26.8826</v>
      </c>
      <c r="AS318" s="21">
        <v>-1.37909E-2</v>
      </c>
      <c r="AT318" s="21">
        <v>308</v>
      </c>
      <c r="AU318" s="21">
        <v>0.18847700000000001</v>
      </c>
      <c r="AV318">
        <f t="shared" si="56"/>
        <v>17.025802469135801</v>
      </c>
      <c r="AW318">
        <f t="shared" si="57"/>
        <v>3.2188301116049378</v>
      </c>
      <c r="AX318" s="9"/>
      <c r="AY318" s="21">
        <v>1.45096</v>
      </c>
      <c r="AZ318" s="21">
        <v>30.581</v>
      </c>
      <c r="BA318" s="21">
        <v>-1.1462399999999999E-2</v>
      </c>
      <c r="BB318" s="21">
        <v>308</v>
      </c>
      <c r="BC318" s="21">
        <v>1.4508099999999999</v>
      </c>
      <c r="BD318">
        <f t="shared" si="58"/>
        <v>14.15111111111111</v>
      </c>
      <c r="BE318">
        <f t="shared" si="59"/>
        <v>20.532696177777776</v>
      </c>
    </row>
    <row r="319" spans="6:57" x14ac:dyDescent="0.25">
      <c r="F319" s="9"/>
      <c r="G319" s="21">
        <v>0.18402099999999999</v>
      </c>
      <c r="H319" s="21">
        <v>8.7012699999999992</v>
      </c>
      <c r="I319" s="21">
        <v>-1.38794E-2</v>
      </c>
      <c r="J319" s="21">
        <v>309</v>
      </c>
      <c r="K319" s="21">
        <v>0.183563</v>
      </c>
      <c r="L319">
        <f t="shared" si="48"/>
        <v>17.135061728395058</v>
      </c>
      <c r="M319">
        <f t="shared" si="49"/>
        <v>3.1532111943209871</v>
      </c>
      <c r="N319" s="9"/>
      <c r="O319" s="21">
        <v>1.4559899999999999</v>
      </c>
      <c r="P319" s="21">
        <v>12.3996</v>
      </c>
      <c r="Q319" s="21">
        <v>-1.16699E-2</v>
      </c>
      <c r="R319" s="21">
        <v>309</v>
      </c>
      <c r="S319" s="21">
        <v>1.4559899999999999</v>
      </c>
      <c r="T319">
        <f t="shared" si="50"/>
        <v>14.407283950617282</v>
      </c>
      <c r="U319">
        <f t="shared" si="51"/>
        <v>20.976861359259257</v>
      </c>
      <c r="X319" s="9"/>
      <c r="Y319" s="21">
        <v>0.18402099999999999</v>
      </c>
      <c r="Z319" s="21">
        <v>17.7605</v>
      </c>
      <c r="AA319" s="21">
        <v>-1.38519E-2</v>
      </c>
      <c r="AB319" s="21">
        <v>309</v>
      </c>
      <c r="AC319" s="21">
        <v>0.183502</v>
      </c>
      <c r="AD319">
        <f t="shared" si="52"/>
        <v>17.101111111111113</v>
      </c>
      <c r="AE319">
        <f t="shared" si="53"/>
        <v>3.1469635677777781</v>
      </c>
      <c r="AF319" s="9"/>
      <c r="AG319" s="21">
        <v>1.4559899999999999</v>
      </c>
      <c r="AH319" s="21">
        <v>21.4589</v>
      </c>
      <c r="AI319" s="21">
        <v>-1.15326E-2</v>
      </c>
      <c r="AJ319" s="21">
        <v>309</v>
      </c>
      <c r="AK319" s="21">
        <v>1.4553799999999999</v>
      </c>
      <c r="AL319">
        <f t="shared" si="54"/>
        <v>14.237777777777778</v>
      </c>
      <c r="AM319">
        <f t="shared" si="55"/>
        <v>20.730062066666665</v>
      </c>
      <c r="AP319" s="9"/>
      <c r="AQ319" s="21">
        <v>0.18402099999999999</v>
      </c>
      <c r="AR319" s="21">
        <v>26.892700000000001</v>
      </c>
      <c r="AS319" s="21">
        <v>-1.37848E-2</v>
      </c>
      <c r="AT319" s="21">
        <v>309</v>
      </c>
      <c r="AU319" s="21">
        <v>0.183472</v>
      </c>
      <c r="AV319">
        <f t="shared" si="56"/>
        <v>17.018271604938271</v>
      </c>
      <c r="AW319">
        <f t="shared" si="57"/>
        <v>3.1317193590123451</v>
      </c>
      <c r="AX319" s="9"/>
      <c r="AY319" s="21">
        <v>1.4559899999999999</v>
      </c>
      <c r="AZ319" s="21">
        <v>30.591000000000001</v>
      </c>
      <c r="BA319" s="21">
        <v>-1.1413599999999999E-2</v>
      </c>
      <c r="BB319" s="21">
        <v>309</v>
      </c>
      <c r="BC319" s="21">
        <v>1.4553799999999999</v>
      </c>
      <c r="BD319">
        <f t="shared" si="58"/>
        <v>14.090864197530863</v>
      </c>
      <c r="BE319">
        <f t="shared" si="59"/>
        <v>20.516157362962961</v>
      </c>
    </row>
    <row r="320" spans="6:57" x14ac:dyDescent="0.25">
      <c r="F320" s="9"/>
      <c r="G320" s="21">
        <v>0.17898600000000001</v>
      </c>
      <c r="H320" s="21">
        <v>8.7113399999999999</v>
      </c>
      <c r="I320" s="21">
        <v>-1.38794E-2</v>
      </c>
      <c r="J320" s="21">
        <v>310</v>
      </c>
      <c r="K320" s="21">
        <v>0.178345</v>
      </c>
      <c r="L320">
        <f t="shared" si="48"/>
        <v>17.135061728395058</v>
      </c>
      <c r="M320">
        <f t="shared" si="49"/>
        <v>3.066936158518518</v>
      </c>
      <c r="N320" s="9"/>
      <c r="O320" s="21">
        <v>1.4610300000000001</v>
      </c>
      <c r="P320" s="21">
        <v>12.409700000000001</v>
      </c>
      <c r="Q320" s="21">
        <v>-1.16302E-2</v>
      </c>
      <c r="R320" s="21">
        <v>310</v>
      </c>
      <c r="S320" s="21">
        <v>1.4605699999999999</v>
      </c>
      <c r="T320">
        <f t="shared" si="50"/>
        <v>14.35827160493827</v>
      </c>
      <c r="U320">
        <f t="shared" si="51"/>
        <v>20.977865562962961</v>
      </c>
      <c r="X320" s="9"/>
      <c r="Y320" s="21">
        <v>0.17898600000000001</v>
      </c>
      <c r="Z320" s="21">
        <v>17.770600000000002</v>
      </c>
      <c r="AA320" s="21">
        <v>-1.3842800000000001E-2</v>
      </c>
      <c r="AB320" s="21">
        <v>310</v>
      </c>
      <c r="AC320" s="21">
        <v>0.17846699999999999</v>
      </c>
      <c r="AD320">
        <f t="shared" si="52"/>
        <v>17.089876543209876</v>
      </c>
      <c r="AE320">
        <f t="shared" si="53"/>
        <v>3.0588486429629631</v>
      </c>
      <c r="AF320" s="9"/>
      <c r="AG320" s="21">
        <v>1.4610300000000001</v>
      </c>
      <c r="AH320" s="21">
        <v>21.468900000000001</v>
      </c>
      <c r="AI320" s="21">
        <v>-1.1505100000000001E-2</v>
      </c>
      <c r="AJ320" s="21">
        <v>310</v>
      </c>
      <c r="AK320" s="21">
        <v>1.46027</v>
      </c>
      <c r="AL320">
        <f t="shared" si="54"/>
        <v>14.203827160493827</v>
      </c>
      <c r="AM320">
        <f t="shared" si="55"/>
        <v>20.752217596296298</v>
      </c>
      <c r="AP320" s="9"/>
      <c r="AQ320" s="21">
        <v>0.17898600000000001</v>
      </c>
      <c r="AR320" s="21">
        <v>26.902799999999999</v>
      </c>
      <c r="AS320" s="21">
        <v>-1.3787799999999999E-2</v>
      </c>
      <c r="AT320" s="21">
        <v>310</v>
      </c>
      <c r="AU320" s="21">
        <v>0.17846699999999999</v>
      </c>
      <c r="AV320">
        <f t="shared" si="56"/>
        <v>17.021975308641974</v>
      </c>
      <c r="AW320">
        <f t="shared" si="57"/>
        <v>3.0466952725925922</v>
      </c>
      <c r="AX320" s="9"/>
      <c r="AY320" s="21">
        <v>1.4610300000000001</v>
      </c>
      <c r="AZ320" s="21">
        <v>30.601099999999999</v>
      </c>
      <c r="BA320" s="21">
        <v>-1.1377E-2</v>
      </c>
      <c r="BB320" s="21">
        <v>310</v>
      </c>
      <c r="BC320" s="21">
        <v>1.46027</v>
      </c>
      <c r="BD320">
        <f t="shared" si="58"/>
        <v>14.045679012345678</v>
      </c>
      <c r="BE320">
        <f t="shared" si="59"/>
        <v>20.521158407407405</v>
      </c>
    </row>
    <row r="321" spans="6:57" x14ac:dyDescent="0.25">
      <c r="F321" s="9"/>
      <c r="G321" s="21">
        <v>0.17394999999999999</v>
      </c>
      <c r="H321" s="21">
        <v>8.7214100000000006</v>
      </c>
      <c r="I321" s="21">
        <v>-1.3876299999999999E-2</v>
      </c>
      <c r="J321" s="21">
        <v>311</v>
      </c>
      <c r="K321" s="21">
        <v>0.17333999999999999</v>
      </c>
      <c r="L321">
        <f t="shared" si="48"/>
        <v>17.131234567901231</v>
      </c>
      <c r="M321">
        <f t="shared" si="49"/>
        <v>2.9799782530864189</v>
      </c>
      <c r="N321" s="9"/>
      <c r="O321" s="21">
        <v>1.4660599999999999</v>
      </c>
      <c r="P321" s="21">
        <v>12.419700000000001</v>
      </c>
      <c r="Q321" s="21">
        <v>-1.15906E-2</v>
      </c>
      <c r="R321" s="21">
        <v>311</v>
      </c>
      <c r="S321" s="21">
        <v>1.46637</v>
      </c>
      <c r="T321">
        <f t="shared" si="50"/>
        <v>14.309382716049383</v>
      </c>
      <c r="U321">
        <f t="shared" si="51"/>
        <v>20.978413624691356</v>
      </c>
      <c r="X321" s="9"/>
      <c r="Y321" s="21">
        <v>0.17394999999999999</v>
      </c>
      <c r="Z321" s="21">
        <v>17.7806</v>
      </c>
      <c r="AA321" s="21">
        <v>-1.38306E-2</v>
      </c>
      <c r="AB321" s="21">
        <v>311</v>
      </c>
      <c r="AC321" s="21">
        <v>0.173401</v>
      </c>
      <c r="AD321">
        <f t="shared" si="52"/>
        <v>17.074814814814815</v>
      </c>
      <c r="AE321">
        <f t="shared" si="53"/>
        <v>2.970164037037037</v>
      </c>
      <c r="AF321" s="9"/>
      <c r="AG321" s="21">
        <v>1.4660599999999999</v>
      </c>
      <c r="AH321" s="21">
        <v>21.478999999999999</v>
      </c>
      <c r="AI321" s="21">
        <v>-1.14594E-2</v>
      </c>
      <c r="AJ321" s="21">
        <v>311</v>
      </c>
      <c r="AK321" s="21">
        <v>1.46515</v>
      </c>
      <c r="AL321">
        <f t="shared" si="54"/>
        <v>14.147407407407405</v>
      </c>
      <c r="AM321">
        <f t="shared" si="55"/>
        <v>20.740948103703698</v>
      </c>
      <c r="AP321" s="9"/>
      <c r="AQ321" s="21">
        <v>0.17394999999999999</v>
      </c>
      <c r="AR321" s="21">
        <v>26.912800000000001</v>
      </c>
      <c r="AS321" s="21">
        <v>-1.37939E-2</v>
      </c>
      <c r="AT321" s="21">
        <v>311</v>
      </c>
      <c r="AU321" s="21">
        <v>0.17333999999999999</v>
      </c>
      <c r="AV321">
        <f t="shared" si="56"/>
        <v>17.029506172839504</v>
      </c>
      <c r="AW321">
        <f t="shared" si="57"/>
        <v>2.9622825987654315</v>
      </c>
      <c r="AX321" s="9"/>
      <c r="AY321" s="21">
        <v>1.4660599999999999</v>
      </c>
      <c r="AZ321" s="21">
        <v>30.6112</v>
      </c>
      <c r="BA321" s="21">
        <v>-1.1334199999999999E-2</v>
      </c>
      <c r="BB321" s="21">
        <v>311</v>
      </c>
      <c r="BC321" s="21">
        <v>1.46576</v>
      </c>
      <c r="BD321">
        <f t="shared" si="58"/>
        <v>13.992839506172839</v>
      </c>
      <c r="BE321">
        <f t="shared" si="59"/>
        <v>20.514342286419751</v>
      </c>
    </row>
    <row r="322" spans="6:57" x14ac:dyDescent="0.25">
      <c r="F322" s="9"/>
      <c r="G322" s="21">
        <v>0.16891500000000001</v>
      </c>
      <c r="H322" s="21">
        <v>8.7314799999999995</v>
      </c>
      <c r="I322" s="21">
        <v>-1.3864100000000001E-2</v>
      </c>
      <c r="J322" s="21">
        <v>312</v>
      </c>
      <c r="K322" s="21">
        <v>0.16836499999999999</v>
      </c>
      <c r="L322">
        <f t="shared" si="48"/>
        <v>17.11617283950617</v>
      </c>
      <c r="M322">
        <f t="shared" si="49"/>
        <v>2.891178335185185</v>
      </c>
      <c r="N322" s="9"/>
      <c r="O322" s="21">
        <v>1.4711000000000001</v>
      </c>
      <c r="P322" s="21">
        <v>12.4298</v>
      </c>
      <c r="Q322" s="21">
        <v>-1.1544799999999999E-2</v>
      </c>
      <c r="R322" s="21">
        <v>312</v>
      </c>
      <c r="S322" s="21">
        <v>1.47034</v>
      </c>
      <c r="T322">
        <f t="shared" si="50"/>
        <v>14.252839506172839</v>
      </c>
      <c r="U322">
        <f t="shared" si="51"/>
        <v>20.967352197530865</v>
      </c>
      <c r="X322" s="9"/>
      <c r="Y322" s="21">
        <v>0.16891500000000001</v>
      </c>
      <c r="Z322" s="21">
        <v>17.790700000000001</v>
      </c>
      <c r="AA322" s="21">
        <v>-1.38275E-2</v>
      </c>
      <c r="AB322" s="21">
        <v>312</v>
      </c>
      <c r="AC322" s="21">
        <v>0.16830400000000001</v>
      </c>
      <c r="AD322">
        <f t="shared" si="52"/>
        <v>17.070987654320987</v>
      </c>
      <c r="AE322">
        <f t="shared" si="53"/>
        <v>2.8835458796296298</v>
      </c>
      <c r="AF322" s="9"/>
      <c r="AG322" s="21">
        <v>1.4711000000000001</v>
      </c>
      <c r="AH322" s="21">
        <v>21.489100000000001</v>
      </c>
      <c r="AI322" s="21">
        <v>-1.14197E-2</v>
      </c>
      <c r="AJ322" s="21">
        <v>312</v>
      </c>
      <c r="AK322" s="21">
        <v>1.47034</v>
      </c>
      <c r="AL322">
        <f t="shared" si="54"/>
        <v>14.098395061728393</v>
      </c>
      <c r="AM322">
        <f t="shared" si="55"/>
        <v>20.740148975308639</v>
      </c>
      <c r="AP322" s="9"/>
      <c r="AQ322" s="21">
        <v>0.16891500000000001</v>
      </c>
      <c r="AR322" s="21">
        <v>26.922899999999998</v>
      </c>
      <c r="AS322" s="21">
        <v>-1.3806199999999999E-2</v>
      </c>
      <c r="AT322" s="21">
        <v>312</v>
      </c>
      <c r="AU322" s="21">
        <v>0.16836499999999999</v>
      </c>
      <c r="AV322">
        <f t="shared" si="56"/>
        <v>17.044691358024689</v>
      </c>
      <c r="AW322">
        <f t="shared" si="57"/>
        <v>2.8791040407407404</v>
      </c>
      <c r="AX322" s="9"/>
      <c r="AY322" s="21">
        <v>1.4711000000000001</v>
      </c>
      <c r="AZ322" s="21">
        <v>30.621300000000002</v>
      </c>
      <c r="BA322" s="21">
        <v>-1.13007E-2</v>
      </c>
      <c r="BB322" s="21">
        <v>312</v>
      </c>
      <c r="BC322" s="21">
        <v>1.47095</v>
      </c>
      <c r="BD322">
        <f t="shared" si="58"/>
        <v>13.951481481481482</v>
      </c>
      <c r="BE322">
        <f t="shared" si="59"/>
        <v>20.52402440740741</v>
      </c>
    </row>
    <row r="323" spans="6:57" x14ac:dyDescent="0.25">
      <c r="F323" s="9"/>
      <c r="G323" s="21">
        <v>0.163879</v>
      </c>
      <c r="H323" s="21">
        <v>8.7415500000000002</v>
      </c>
      <c r="I323" s="21">
        <v>-1.3876299999999999E-2</v>
      </c>
      <c r="J323" s="21">
        <v>313</v>
      </c>
      <c r="K323" s="21">
        <v>0.163269</v>
      </c>
      <c r="L323">
        <f t="shared" si="48"/>
        <v>17.131234567901231</v>
      </c>
      <c r="M323">
        <f t="shared" si="49"/>
        <v>2.8074495897530856</v>
      </c>
      <c r="N323" s="9"/>
      <c r="O323" s="21">
        <v>1.47614</v>
      </c>
      <c r="P323" s="21">
        <v>12.4399</v>
      </c>
      <c r="Q323" s="21">
        <v>-1.1499000000000001E-2</v>
      </c>
      <c r="R323" s="21">
        <v>313</v>
      </c>
      <c r="S323" s="21">
        <v>1.4755199999999999</v>
      </c>
      <c r="T323">
        <f t="shared" si="50"/>
        <v>14.196296296296296</v>
      </c>
      <c r="U323">
        <f t="shared" si="51"/>
        <v>20.955720814814814</v>
      </c>
      <c r="X323" s="9"/>
      <c r="Y323" s="21">
        <v>0.163879</v>
      </c>
      <c r="Z323" s="21">
        <v>17.800799999999999</v>
      </c>
      <c r="AA323" s="21">
        <v>-1.38245E-2</v>
      </c>
      <c r="AB323" s="21">
        <v>313</v>
      </c>
      <c r="AC323" s="21">
        <v>0.1633</v>
      </c>
      <c r="AD323">
        <f t="shared" si="52"/>
        <v>17.067283950617281</v>
      </c>
      <c r="AE323">
        <f t="shared" si="53"/>
        <v>2.7969694265432095</v>
      </c>
      <c r="AF323" s="9"/>
      <c r="AG323" s="21">
        <v>1.47614</v>
      </c>
      <c r="AH323" s="21">
        <v>21.499099999999999</v>
      </c>
      <c r="AI323" s="21">
        <v>-1.13831E-2</v>
      </c>
      <c r="AJ323" s="21">
        <v>313</v>
      </c>
      <c r="AK323" s="21">
        <v>1.4749099999999999</v>
      </c>
      <c r="AL323">
        <f t="shared" si="54"/>
        <v>14.053209876543209</v>
      </c>
      <c r="AM323">
        <f t="shared" si="55"/>
        <v>20.744505227160492</v>
      </c>
      <c r="AP323" s="9"/>
      <c r="AQ323" s="21">
        <v>0.163879</v>
      </c>
      <c r="AR323" s="21">
        <v>26.933</v>
      </c>
      <c r="AS323" s="21">
        <v>-1.38123E-2</v>
      </c>
      <c r="AT323" s="21">
        <v>313</v>
      </c>
      <c r="AU323" s="21">
        <v>0.16342200000000001</v>
      </c>
      <c r="AV323">
        <f t="shared" si="56"/>
        <v>17.052222222222223</v>
      </c>
      <c r="AW323">
        <f t="shared" si="57"/>
        <v>2.7945011255555556</v>
      </c>
      <c r="AX323" s="9"/>
      <c r="AY323" s="21">
        <v>1.47614</v>
      </c>
      <c r="AZ323" s="21">
        <v>30.6313</v>
      </c>
      <c r="BA323" s="21">
        <v>-1.12579E-2</v>
      </c>
      <c r="BB323" s="21">
        <v>313</v>
      </c>
      <c r="BC323" s="21">
        <v>1.4755199999999999</v>
      </c>
      <c r="BD323">
        <f t="shared" si="58"/>
        <v>13.898641975308641</v>
      </c>
      <c r="BE323">
        <f t="shared" si="59"/>
        <v>20.516341365432098</v>
      </c>
    </row>
    <row r="324" spans="6:57" x14ac:dyDescent="0.25">
      <c r="F324" s="9"/>
      <c r="G324" s="21">
        <v>0.15884400000000001</v>
      </c>
      <c r="H324" s="21">
        <v>8.7516200000000008</v>
      </c>
      <c r="I324" s="21">
        <v>-1.38733E-2</v>
      </c>
      <c r="J324" s="21">
        <v>314</v>
      </c>
      <c r="K324" s="21">
        <v>0.15829499999999999</v>
      </c>
      <c r="L324">
        <f t="shared" si="48"/>
        <v>17.127530864197528</v>
      </c>
      <c r="M324">
        <f t="shared" si="49"/>
        <v>2.7206055125925923</v>
      </c>
      <c r="N324" s="9"/>
      <c r="O324" s="21">
        <v>1.4811700000000001</v>
      </c>
      <c r="P324" s="21">
        <v>12.45</v>
      </c>
      <c r="Q324" s="21">
        <v>-1.1441E-2</v>
      </c>
      <c r="R324" s="21">
        <v>314</v>
      </c>
      <c r="S324" s="21">
        <v>1.4801</v>
      </c>
      <c r="T324">
        <f t="shared" si="50"/>
        <v>14.124691358024689</v>
      </c>
      <c r="U324">
        <f t="shared" si="51"/>
        <v>20.921069098765429</v>
      </c>
      <c r="X324" s="9"/>
      <c r="Y324" s="21">
        <v>0.15884400000000001</v>
      </c>
      <c r="Z324" s="21">
        <v>17.8108</v>
      </c>
      <c r="AA324" s="21">
        <v>-1.38367E-2</v>
      </c>
      <c r="AB324" s="21">
        <v>314</v>
      </c>
      <c r="AC324" s="21">
        <v>0.15829499999999999</v>
      </c>
      <c r="AD324">
        <f t="shared" si="52"/>
        <v>17.082345679012345</v>
      </c>
      <c r="AE324">
        <f t="shared" si="53"/>
        <v>2.7134281170370373</v>
      </c>
      <c r="AF324" s="9"/>
      <c r="AG324" s="21">
        <v>1.4811700000000001</v>
      </c>
      <c r="AH324" s="21">
        <v>21.5092</v>
      </c>
      <c r="AI324" s="21">
        <v>-1.13556E-2</v>
      </c>
      <c r="AJ324" s="21">
        <v>314</v>
      </c>
      <c r="AK324" s="21">
        <v>1.4801</v>
      </c>
      <c r="AL324">
        <f t="shared" si="54"/>
        <v>14.019259259259259</v>
      </c>
      <c r="AM324">
        <f t="shared" si="55"/>
        <v>20.764906237037039</v>
      </c>
      <c r="AP324" s="9"/>
      <c r="AQ324" s="21">
        <v>0.15884400000000001</v>
      </c>
      <c r="AR324" s="21">
        <v>26.943100000000001</v>
      </c>
      <c r="AS324" s="21">
        <v>-1.38306E-2</v>
      </c>
      <c r="AT324" s="21">
        <v>314</v>
      </c>
      <c r="AU324" s="21">
        <v>0.15832499999999999</v>
      </c>
      <c r="AV324">
        <f t="shared" si="56"/>
        <v>17.074814814814815</v>
      </c>
      <c r="AW324">
        <f t="shared" si="57"/>
        <v>2.7122318844444449</v>
      </c>
      <c r="AX324" s="9"/>
      <c r="AY324" s="21">
        <v>1.4811700000000001</v>
      </c>
      <c r="AZ324" s="21">
        <v>30.641400000000001</v>
      </c>
      <c r="BA324" s="21">
        <v>-1.12122E-2</v>
      </c>
      <c r="BB324" s="21">
        <v>314</v>
      </c>
      <c r="BC324" s="21">
        <v>1.48041</v>
      </c>
      <c r="BD324">
        <f t="shared" si="58"/>
        <v>13.842222222222221</v>
      </c>
      <c r="BE324">
        <f t="shared" si="59"/>
        <v>20.502684288888886</v>
      </c>
    </row>
    <row r="325" spans="6:57" x14ac:dyDescent="0.25">
      <c r="F325" s="9"/>
      <c r="G325" s="21">
        <v>0.153809</v>
      </c>
      <c r="H325" s="21">
        <v>8.7616899999999998</v>
      </c>
      <c r="I325" s="21">
        <v>-1.3870199999999999E-2</v>
      </c>
      <c r="J325" s="21">
        <v>315</v>
      </c>
      <c r="K325" s="21">
        <v>0.15329000000000001</v>
      </c>
      <c r="L325">
        <f t="shared" si="48"/>
        <v>17.123703703703701</v>
      </c>
      <c r="M325">
        <f t="shared" si="49"/>
        <v>2.6337797429629624</v>
      </c>
      <c r="N325" s="9"/>
      <c r="O325" s="21">
        <v>1.48621</v>
      </c>
      <c r="P325" s="21">
        <v>12.46</v>
      </c>
      <c r="Q325" s="21">
        <v>-1.13892E-2</v>
      </c>
      <c r="R325" s="21">
        <v>315</v>
      </c>
      <c r="S325" s="21">
        <v>1.4856</v>
      </c>
      <c r="T325">
        <f t="shared" si="50"/>
        <v>14.060740740740741</v>
      </c>
      <c r="U325">
        <f t="shared" si="51"/>
        <v>20.897213496296295</v>
      </c>
      <c r="X325" s="9"/>
      <c r="Y325" s="21">
        <v>0.153809</v>
      </c>
      <c r="Z325" s="21">
        <v>17.820900000000002</v>
      </c>
      <c r="AA325" s="21">
        <v>-1.38397E-2</v>
      </c>
      <c r="AB325" s="21">
        <v>315</v>
      </c>
      <c r="AC325" s="21">
        <v>0.15332000000000001</v>
      </c>
      <c r="AD325">
        <f t="shared" si="52"/>
        <v>17.086049382716048</v>
      </c>
      <c r="AE325">
        <f t="shared" si="53"/>
        <v>2.6279881695061729</v>
      </c>
      <c r="AF325" s="9"/>
      <c r="AG325" s="21">
        <v>1.48621</v>
      </c>
      <c r="AH325" s="21">
        <v>21.519300000000001</v>
      </c>
      <c r="AI325" s="21">
        <v>-1.13007E-2</v>
      </c>
      <c r="AJ325" s="21">
        <v>315</v>
      </c>
      <c r="AK325" s="21">
        <v>1.4859</v>
      </c>
      <c r="AL325">
        <f t="shared" si="54"/>
        <v>13.951481481481482</v>
      </c>
      <c r="AM325">
        <f t="shared" si="55"/>
        <v>20.734831292592592</v>
      </c>
      <c r="AP325" s="9"/>
      <c r="AQ325" s="21">
        <v>0.153809</v>
      </c>
      <c r="AR325" s="21">
        <v>26.953099999999999</v>
      </c>
      <c r="AS325" s="21">
        <v>-1.3854999999999999E-2</v>
      </c>
      <c r="AT325" s="21">
        <v>315</v>
      </c>
      <c r="AU325" s="21">
        <v>0.153168</v>
      </c>
      <c r="AV325">
        <f t="shared" si="56"/>
        <v>17.104938271604937</v>
      </c>
      <c r="AW325">
        <f t="shared" si="57"/>
        <v>2.6308934506172839</v>
      </c>
      <c r="AX325" s="9"/>
      <c r="AY325" s="21">
        <v>1.48621</v>
      </c>
      <c r="AZ325" s="21">
        <v>30.651499999999999</v>
      </c>
      <c r="BA325" s="21">
        <v>-1.1157200000000001E-2</v>
      </c>
      <c r="BB325" s="21">
        <v>315</v>
      </c>
      <c r="BC325" s="21">
        <v>1.48529</v>
      </c>
      <c r="BD325">
        <f t="shared" si="58"/>
        <v>13.77432098765432</v>
      </c>
      <c r="BE325">
        <f t="shared" si="59"/>
        <v>20.471533595061729</v>
      </c>
    </row>
    <row r="326" spans="6:57" x14ac:dyDescent="0.25">
      <c r="F326" s="9"/>
      <c r="G326" s="21">
        <v>0.14877299999999999</v>
      </c>
      <c r="H326" s="21">
        <v>8.7717700000000001</v>
      </c>
      <c r="I326" s="21">
        <v>-1.38794E-2</v>
      </c>
      <c r="J326" s="21">
        <v>316</v>
      </c>
      <c r="K326" s="21">
        <v>0.148254</v>
      </c>
      <c r="L326">
        <f t="shared" si="48"/>
        <v>17.135061728395058</v>
      </c>
      <c r="M326">
        <f t="shared" si="49"/>
        <v>2.549234538518518</v>
      </c>
      <c r="N326" s="9"/>
      <c r="O326" s="21">
        <v>1.4912399999999999</v>
      </c>
      <c r="P326" s="21">
        <v>12.4701</v>
      </c>
      <c r="Q326" s="21">
        <v>-1.13434E-2</v>
      </c>
      <c r="R326" s="21">
        <v>316</v>
      </c>
      <c r="S326" s="21">
        <v>1.49078</v>
      </c>
      <c r="T326">
        <f t="shared" si="50"/>
        <v>14.004197530864197</v>
      </c>
      <c r="U326">
        <f t="shared" si="51"/>
        <v>20.883619525925923</v>
      </c>
      <c r="X326" s="9"/>
      <c r="Y326" s="21">
        <v>0.14877299999999999</v>
      </c>
      <c r="Z326" s="21">
        <v>17.831</v>
      </c>
      <c r="AA326" s="21">
        <v>-1.3842800000000001E-2</v>
      </c>
      <c r="AB326" s="21">
        <v>316</v>
      </c>
      <c r="AC326" s="21">
        <v>0.14834600000000001</v>
      </c>
      <c r="AD326">
        <f t="shared" si="52"/>
        <v>17.089876543209876</v>
      </c>
      <c r="AE326">
        <f t="shared" si="53"/>
        <v>2.5425122029629628</v>
      </c>
      <c r="AF326" s="9"/>
      <c r="AG326" s="21">
        <v>1.4912399999999999</v>
      </c>
      <c r="AH326" s="21">
        <v>21.529399999999999</v>
      </c>
      <c r="AI326" s="21">
        <v>-1.1245700000000001E-2</v>
      </c>
      <c r="AJ326" s="21">
        <v>316</v>
      </c>
      <c r="AK326" s="21">
        <v>1.49017</v>
      </c>
      <c r="AL326">
        <f t="shared" si="54"/>
        <v>13.883580246913581</v>
      </c>
      <c r="AM326">
        <f t="shared" si="55"/>
        <v>20.703750207407406</v>
      </c>
      <c r="AP326" s="9"/>
      <c r="AQ326" s="21">
        <v>0.14877299999999999</v>
      </c>
      <c r="AR326" s="21">
        <v>26.963200000000001</v>
      </c>
      <c r="AS326" s="21">
        <v>-1.3858000000000001E-2</v>
      </c>
      <c r="AT326" s="21">
        <v>316</v>
      </c>
      <c r="AU326" s="21">
        <v>0.14822399999999999</v>
      </c>
      <c r="AV326">
        <f t="shared" si="56"/>
        <v>17.10864197530864</v>
      </c>
      <c r="AW326">
        <f t="shared" si="57"/>
        <v>2.5453039925925922</v>
      </c>
      <c r="AX326" s="9"/>
      <c r="AY326" s="21">
        <v>1.4912399999999999</v>
      </c>
      <c r="AZ326" s="21">
        <v>30.6615</v>
      </c>
      <c r="BA326" s="21">
        <v>-1.10931E-2</v>
      </c>
      <c r="BB326" s="21">
        <v>316</v>
      </c>
      <c r="BC326" s="21">
        <v>1.49048</v>
      </c>
      <c r="BD326">
        <f t="shared" si="58"/>
        <v>13.695185185185183</v>
      </c>
      <c r="BE326">
        <f t="shared" si="59"/>
        <v>20.422807955555552</v>
      </c>
    </row>
    <row r="327" spans="6:57" x14ac:dyDescent="0.25">
      <c r="F327" s="9"/>
      <c r="G327" s="21">
        <v>0.143738</v>
      </c>
      <c r="H327" s="21">
        <v>8.7818400000000008</v>
      </c>
      <c r="I327" s="21">
        <v>-1.38794E-2</v>
      </c>
      <c r="J327" s="21">
        <v>317</v>
      </c>
      <c r="K327" s="21">
        <v>0.14324999999999999</v>
      </c>
      <c r="L327">
        <f t="shared" si="48"/>
        <v>17.135061728395058</v>
      </c>
      <c r="M327">
        <f t="shared" si="49"/>
        <v>2.4629595027160489</v>
      </c>
      <c r="N327" s="9"/>
      <c r="O327" s="21">
        <v>1.4962800000000001</v>
      </c>
      <c r="P327" s="21">
        <v>12.4802</v>
      </c>
      <c r="Q327" s="21">
        <v>-1.12976E-2</v>
      </c>
      <c r="R327" s="21">
        <v>317</v>
      </c>
      <c r="S327" s="21">
        <v>1.49536</v>
      </c>
      <c r="T327">
        <f t="shared" si="50"/>
        <v>13.947654320987654</v>
      </c>
      <c r="U327">
        <f t="shared" si="51"/>
        <v>20.869596207407408</v>
      </c>
      <c r="X327" s="9"/>
      <c r="Y327" s="21">
        <v>0.143738</v>
      </c>
      <c r="Z327" s="21">
        <v>17.841000000000001</v>
      </c>
      <c r="AA327" s="21">
        <v>-1.38397E-2</v>
      </c>
      <c r="AB327" s="21">
        <v>317</v>
      </c>
      <c r="AC327" s="21">
        <v>0.143127</v>
      </c>
      <c r="AD327">
        <f t="shared" si="52"/>
        <v>17.086049382716048</v>
      </c>
      <c r="AE327">
        <f t="shared" si="53"/>
        <v>2.4559145661728392</v>
      </c>
      <c r="AF327" s="9"/>
      <c r="AG327" s="21">
        <v>1.4962800000000001</v>
      </c>
      <c r="AH327" s="21">
        <v>21.539400000000001</v>
      </c>
      <c r="AI327" s="21">
        <v>-1.1184700000000001E-2</v>
      </c>
      <c r="AJ327" s="21">
        <v>317</v>
      </c>
      <c r="AK327" s="21">
        <v>1.49536</v>
      </c>
      <c r="AL327">
        <f t="shared" si="54"/>
        <v>13.808271604938271</v>
      </c>
      <c r="AM327">
        <f t="shared" si="55"/>
        <v>20.661040637037036</v>
      </c>
      <c r="AP327" s="9"/>
      <c r="AQ327" s="21">
        <v>0.143738</v>
      </c>
      <c r="AR327" s="21">
        <v>26.973299999999998</v>
      </c>
      <c r="AS327" s="21">
        <v>-1.3854999999999999E-2</v>
      </c>
      <c r="AT327" s="21">
        <v>317</v>
      </c>
      <c r="AU327" s="21">
        <v>0.14321900000000001</v>
      </c>
      <c r="AV327">
        <f t="shared" si="56"/>
        <v>17.104938271604937</v>
      </c>
      <c r="AW327">
        <f t="shared" si="57"/>
        <v>2.4586296172839504</v>
      </c>
      <c r="AX327" s="9"/>
      <c r="AY327" s="21">
        <v>1.4962800000000001</v>
      </c>
      <c r="AZ327" s="21">
        <v>30.671600000000002</v>
      </c>
      <c r="BA327" s="21">
        <v>-1.10291E-2</v>
      </c>
      <c r="BB327" s="21">
        <v>317</v>
      </c>
      <c r="BC327" s="21">
        <v>1.4950600000000001</v>
      </c>
      <c r="BD327">
        <f t="shared" si="58"/>
        <v>13.616172839506172</v>
      </c>
      <c r="BE327">
        <f t="shared" si="59"/>
        <v>20.373607096296297</v>
      </c>
    </row>
    <row r="328" spans="6:57" x14ac:dyDescent="0.25">
      <c r="F328" s="9"/>
      <c r="G328" s="21">
        <v>0.13870199999999999</v>
      </c>
      <c r="H328" s="21">
        <v>8.7919099999999997</v>
      </c>
      <c r="I328" s="21">
        <v>-1.38855E-2</v>
      </c>
      <c r="J328" s="21">
        <v>318</v>
      </c>
      <c r="K328" s="21">
        <v>0.138184</v>
      </c>
      <c r="L328">
        <f t="shared" si="48"/>
        <v>17.142592592592592</v>
      </c>
      <c r="M328">
        <f t="shared" si="49"/>
        <v>2.3777118777777777</v>
      </c>
      <c r="N328" s="9"/>
      <c r="O328" s="21">
        <v>1.5013099999999999</v>
      </c>
      <c r="P328" s="21">
        <v>12.4902</v>
      </c>
      <c r="Q328" s="21">
        <v>-1.1230499999999999E-2</v>
      </c>
      <c r="R328" s="21">
        <v>318</v>
      </c>
      <c r="S328" s="21">
        <v>1.50085</v>
      </c>
      <c r="T328">
        <f t="shared" si="50"/>
        <v>13.864814814814812</v>
      </c>
      <c r="U328">
        <f t="shared" si="51"/>
        <v>20.815385129629625</v>
      </c>
      <c r="X328" s="9"/>
      <c r="Y328" s="21">
        <v>0.13870199999999999</v>
      </c>
      <c r="Z328" s="21">
        <v>17.851099999999999</v>
      </c>
      <c r="AA328" s="21">
        <v>-1.38397E-2</v>
      </c>
      <c r="AB328" s="21">
        <v>318</v>
      </c>
      <c r="AC328" s="21">
        <v>0.138123</v>
      </c>
      <c r="AD328">
        <f t="shared" si="52"/>
        <v>17.086049382716048</v>
      </c>
      <c r="AE328">
        <f t="shared" si="53"/>
        <v>2.3698692214814812</v>
      </c>
      <c r="AF328" s="9"/>
      <c r="AG328" s="21">
        <v>1.5013099999999999</v>
      </c>
      <c r="AH328" s="21">
        <v>21.549499999999998</v>
      </c>
      <c r="AI328" s="21">
        <v>-1.11267E-2</v>
      </c>
      <c r="AJ328" s="21">
        <v>318</v>
      </c>
      <c r="AK328" s="21">
        <v>1.5005500000000001</v>
      </c>
      <c r="AL328">
        <f t="shared" si="54"/>
        <v>13.736666666666666</v>
      </c>
      <c r="AM328">
        <f t="shared" si="55"/>
        <v>20.622995033333332</v>
      </c>
      <c r="AP328" s="9"/>
      <c r="AQ328" s="21">
        <v>0.13870199999999999</v>
      </c>
      <c r="AR328" s="21">
        <v>26.9833</v>
      </c>
      <c r="AS328" s="21">
        <v>-1.38519E-2</v>
      </c>
      <c r="AT328" s="21">
        <v>318</v>
      </c>
      <c r="AU328" s="21">
        <v>0.13809199999999999</v>
      </c>
      <c r="AV328">
        <f t="shared" si="56"/>
        <v>17.101111111111113</v>
      </c>
      <c r="AW328">
        <f t="shared" si="57"/>
        <v>2.3719583133333333</v>
      </c>
      <c r="AX328" s="9"/>
      <c r="AY328" s="21">
        <v>1.5013099999999999</v>
      </c>
      <c r="AZ328" s="21">
        <v>30.681699999999999</v>
      </c>
      <c r="BA328" s="21">
        <v>-1.0965000000000001E-2</v>
      </c>
      <c r="BB328" s="21">
        <v>318</v>
      </c>
      <c r="BC328" s="21">
        <v>1.50085</v>
      </c>
      <c r="BD328">
        <f t="shared" si="58"/>
        <v>13.537037037037036</v>
      </c>
      <c r="BE328">
        <f t="shared" si="59"/>
        <v>20.323289074074072</v>
      </c>
    </row>
    <row r="329" spans="6:57" x14ac:dyDescent="0.25">
      <c r="F329" s="9"/>
      <c r="G329" s="21">
        <v>0.13366700000000001</v>
      </c>
      <c r="H329" s="21">
        <v>8.8019800000000004</v>
      </c>
      <c r="I329" s="21">
        <v>-1.3903799999999999E-2</v>
      </c>
      <c r="J329" s="21">
        <v>319</v>
      </c>
      <c r="K329" s="21">
        <v>0.13311799999999999</v>
      </c>
      <c r="L329">
        <f t="shared" si="48"/>
        <v>17.165185185185184</v>
      </c>
      <c r="M329">
        <f t="shared" si="49"/>
        <v>2.2944188081481482</v>
      </c>
      <c r="N329" s="9"/>
      <c r="O329" s="21">
        <v>1.5063500000000001</v>
      </c>
      <c r="P329" s="21">
        <v>12.500299999999999</v>
      </c>
      <c r="Q329" s="21">
        <v>-1.11664E-2</v>
      </c>
      <c r="R329" s="21">
        <v>319</v>
      </c>
      <c r="S329" s="21">
        <v>1.50543</v>
      </c>
      <c r="T329">
        <f t="shared" si="50"/>
        <v>13.785679012345678</v>
      </c>
      <c r="U329">
        <f t="shared" si="51"/>
        <v>20.766057580246912</v>
      </c>
      <c r="X329" s="9"/>
      <c r="Y329" s="21">
        <v>0.13366700000000001</v>
      </c>
      <c r="Z329" s="21">
        <v>17.8612</v>
      </c>
      <c r="AA329" s="21">
        <v>-1.38519E-2</v>
      </c>
      <c r="AB329" s="21">
        <v>319</v>
      </c>
      <c r="AC329" s="21">
        <v>0.13308700000000001</v>
      </c>
      <c r="AD329">
        <f t="shared" si="52"/>
        <v>17.101111111111113</v>
      </c>
      <c r="AE329">
        <f t="shared" si="53"/>
        <v>2.2858542188888893</v>
      </c>
      <c r="AF329" s="9"/>
      <c r="AG329" s="21">
        <v>1.5063500000000001</v>
      </c>
      <c r="AH329" s="21">
        <v>21.5596</v>
      </c>
      <c r="AI329" s="21">
        <v>-1.10779E-2</v>
      </c>
      <c r="AJ329" s="21">
        <v>319</v>
      </c>
      <c r="AK329" s="21">
        <v>1.50604</v>
      </c>
      <c r="AL329">
        <f t="shared" si="54"/>
        <v>13.676419753086419</v>
      </c>
      <c r="AM329">
        <f t="shared" si="55"/>
        <v>20.601474895061727</v>
      </c>
      <c r="AP329" s="9"/>
      <c r="AQ329" s="21">
        <v>0.13366700000000001</v>
      </c>
      <c r="AR329" s="21">
        <v>26.993400000000001</v>
      </c>
      <c r="AS329" s="21">
        <v>-1.38458E-2</v>
      </c>
      <c r="AT329" s="21">
        <v>319</v>
      </c>
      <c r="AU329" s="21">
        <v>0.13308700000000001</v>
      </c>
      <c r="AV329">
        <f t="shared" si="56"/>
        <v>17.093580246913579</v>
      </c>
      <c r="AW329">
        <f t="shared" si="57"/>
        <v>2.2848475908641976</v>
      </c>
      <c r="AX329" s="9"/>
      <c r="AY329" s="21">
        <v>1.5063500000000001</v>
      </c>
      <c r="AZ329" s="21">
        <v>30.691800000000001</v>
      </c>
      <c r="BA329" s="21">
        <v>-1.0897799999999999E-2</v>
      </c>
      <c r="BB329" s="21">
        <v>319</v>
      </c>
      <c r="BC329" s="21">
        <v>1.5057400000000001</v>
      </c>
      <c r="BD329">
        <f t="shared" si="58"/>
        <v>13.454074074074072</v>
      </c>
      <c r="BE329">
        <f t="shared" si="59"/>
        <v>20.266544481481478</v>
      </c>
    </row>
    <row r="330" spans="6:57" x14ac:dyDescent="0.25">
      <c r="F330" s="9"/>
      <c r="G330" s="21">
        <v>0.128632</v>
      </c>
      <c r="H330" s="21">
        <v>8.8120499999999993</v>
      </c>
      <c r="I330" s="21">
        <v>-1.39221E-2</v>
      </c>
      <c r="J330" s="21">
        <v>320</v>
      </c>
      <c r="K330" s="21">
        <v>0.128082</v>
      </c>
      <c r="L330">
        <f t="shared" si="48"/>
        <v>17.187777777777779</v>
      </c>
      <c r="M330">
        <f t="shared" si="49"/>
        <v>2.2108982311111114</v>
      </c>
      <c r="N330" s="9"/>
      <c r="O330" s="21">
        <v>1.5113799999999999</v>
      </c>
      <c r="P330" s="21">
        <v>12.510400000000001</v>
      </c>
      <c r="Q330" s="21">
        <v>-1.10901E-2</v>
      </c>
      <c r="R330" s="21">
        <v>320</v>
      </c>
      <c r="S330" s="21">
        <v>1.51031</v>
      </c>
      <c r="T330">
        <f t="shared" si="50"/>
        <v>13.691481481481482</v>
      </c>
      <c r="U330">
        <f t="shared" si="51"/>
        <v>20.693031281481481</v>
      </c>
      <c r="X330" s="9"/>
      <c r="Y330" s="21">
        <v>0.128632</v>
      </c>
      <c r="Z330" s="21">
        <v>17.871300000000002</v>
      </c>
      <c r="AA330" s="21">
        <v>-1.38519E-2</v>
      </c>
      <c r="AB330" s="21">
        <v>320</v>
      </c>
      <c r="AC330" s="21">
        <v>0.12814300000000001</v>
      </c>
      <c r="AD330">
        <f t="shared" si="52"/>
        <v>17.101111111111113</v>
      </c>
      <c r="AE330">
        <f t="shared" si="53"/>
        <v>2.1997501244444444</v>
      </c>
      <c r="AF330" s="9"/>
      <c r="AG330" s="21">
        <v>1.5113799999999999</v>
      </c>
      <c r="AH330" s="21">
        <v>21.569600000000001</v>
      </c>
      <c r="AI330" s="21">
        <v>-1.10291E-2</v>
      </c>
      <c r="AJ330" s="21">
        <v>320</v>
      </c>
      <c r="AK330" s="21">
        <v>1.5106200000000001</v>
      </c>
      <c r="AL330">
        <f t="shared" si="54"/>
        <v>13.616172839506172</v>
      </c>
      <c r="AM330">
        <f t="shared" si="55"/>
        <v>20.579211306172837</v>
      </c>
      <c r="AP330" s="9"/>
      <c r="AQ330" s="21">
        <v>0.128632</v>
      </c>
      <c r="AR330" s="21">
        <v>27.003499999999999</v>
      </c>
      <c r="AS330" s="21">
        <v>-1.38458E-2</v>
      </c>
      <c r="AT330" s="21">
        <v>320</v>
      </c>
      <c r="AU330" s="21">
        <v>0.128113</v>
      </c>
      <c r="AV330">
        <f t="shared" si="56"/>
        <v>17.093580246913579</v>
      </c>
      <c r="AW330">
        <f t="shared" si="57"/>
        <v>2.1987814143209872</v>
      </c>
      <c r="AX330" s="9"/>
      <c r="AY330" s="21">
        <v>1.5113799999999999</v>
      </c>
      <c r="AZ330" s="21">
        <v>30.701799999999999</v>
      </c>
      <c r="BA330" s="21">
        <v>-1.08398E-2</v>
      </c>
      <c r="BB330" s="21">
        <v>320</v>
      </c>
      <c r="BC330" s="21">
        <v>1.5106200000000001</v>
      </c>
      <c r="BD330">
        <f t="shared" si="58"/>
        <v>13.38246913580247</v>
      </c>
      <c r="BE330">
        <f t="shared" si="59"/>
        <v>20.225996202469137</v>
      </c>
    </row>
    <row r="331" spans="6:57" x14ac:dyDescent="0.25">
      <c r="F331" s="9"/>
      <c r="G331" s="21">
        <v>0.123596</v>
      </c>
      <c r="H331" s="21">
        <v>8.82212</v>
      </c>
      <c r="I331" s="21">
        <v>-1.3931300000000001E-2</v>
      </c>
      <c r="J331" s="21">
        <v>321</v>
      </c>
      <c r="K331" s="21">
        <v>0.123169</v>
      </c>
      <c r="L331">
        <f t="shared" si="48"/>
        <v>17.199135802469137</v>
      </c>
      <c r="M331">
        <f t="shared" si="49"/>
        <v>2.1257443886419756</v>
      </c>
      <c r="N331" s="9"/>
      <c r="O331" s="21">
        <v>1.5164200000000001</v>
      </c>
      <c r="P331" s="21">
        <v>12.5205</v>
      </c>
      <c r="Q331" s="21">
        <v>-1.1019899999999999E-2</v>
      </c>
      <c r="R331" s="21">
        <v>321</v>
      </c>
      <c r="S331" s="21">
        <v>1.5155000000000001</v>
      </c>
      <c r="T331">
        <f t="shared" si="50"/>
        <v>13.604814814814812</v>
      </c>
      <c r="U331">
        <f t="shared" si="51"/>
        <v>20.63061328148148</v>
      </c>
      <c r="X331" s="9"/>
      <c r="Y331" s="21">
        <v>0.123596</v>
      </c>
      <c r="Z331" s="21">
        <v>17.8813</v>
      </c>
      <c r="AA331" s="21">
        <v>-1.3848900000000001E-2</v>
      </c>
      <c r="AB331" s="21">
        <v>321</v>
      </c>
      <c r="AC331" s="21">
        <v>0.12307700000000001</v>
      </c>
      <c r="AD331">
        <f t="shared" si="52"/>
        <v>17.09740740740741</v>
      </c>
      <c r="AE331">
        <f t="shared" si="53"/>
        <v>2.1131711659259262</v>
      </c>
      <c r="AF331" s="9"/>
      <c r="AG331" s="21">
        <v>1.5164200000000001</v>
      </c>
      <c r="AH331" s="21">
        <v>21.579699999999999</v>
      </c>
      <c r="AI331" s="21">
        <v>-1.09619E-2</v>
      </c>
      <c r="AJ331" s="21">
        <v>321</v>
      </c>
      <c r="AK331" s="21">
        <v>1.5158100000000001</v>
      </c>
      <c r="AL331">
        <f t="shared" si="54"/>
        <v>13.533209876543209</v>
      </c>
      <c r="AM331">
        <f t="shared" si="55"/>
        <v>20.522030120987655</v>
      </c>
      <c r="AP331" s="9"/>
      <c r="AQ331" s="21">
        <v>0.123596</v>
      </c>
      <c r="AR331" s="21">
        <v>27.0136</v>
      </c>
      <c r="AS331" s="21">
        <v>-1.38397E-2</v>
      </c>
      <c r="AT331" s="21">
        <v>321</v>
      </c>
      <c r="AU331" s="21">
        <v>0.123016</v>
      </c>
      <c r="AV331">
        <f t="shared" si="56"/>
        <v>17.086049382716048</v>
      </c>
      <c r="AW331">
        <f t="shared" si="57"/>
        <v>2.1117673595061728</v>
      </c>
      <c r="AX331" s="9"/>
      <c r="AY331" s="21">
        <v>1.5164200000000001</v>
      </c>
      <c r="AZ331" s="21">
        <v>30.7119</v>
      </c>
      <c r="BA331" s="21">
        <v>-1.07697E-2</v>
      </c>
      <c r="BB331" s="21">
        <v>321</v>
      </c>
      <c r="BC331" s="21">
        <v>1.5158100000000001</v>
      </c>
      <c r="BD331">
        <f t="shared" si="58"/>
        <v>13.295925925925925</v>
      </c>
      <c r="BE331">
        <f t="shared" si="59"/>
        <v>20.162207992592592</v>
      </c>
    </row>
    <row r="332" spans="6:57" x14ac:dyDescent="0.25">
      <c r="F332" s="9"/>
      <c r="G332" s="21">
        <v>0.118561</v>
      </c>
      <c r="H332" s="21">
        <v>8.8321900000000007</v>
      </c>
      <c r="I332" s="21">
        <v>-1.3937400000000001E-2</v>
      </c>
      <c r="J332" s="21">
        <v>322</v>
      </c>
      <c r="K332" s="21">
        <v>0.11788899999999999</v>
      </c>
      <c r="L332">
        <f t="shared" ref="L332:L376" si="60">-I332/$F$2*1000</f>
        <v>17.206666666666667</v>
      </c>
      <c r="M332">
        <f t="shared" ref="M332:M376" si="61">L332*G332</f>
        <v>2.0400396066666668</v>
      </c>
      <c r="N332" s="9"/>
      <c r="O332" s="21">
        <v>1.52145</v>
      </c>
      <c r="P332" s="21">
        <v>12.5305</v>
      </c>
      <c r="Q332" s="21">
        <v>-1.0931400000000001E-2</v>
      </c>
      <c r="R332" s="21">
        <v>322</v>
      </c>
      <c r="S332" s="21">
        <v>1.5209999999999999</v>
      </c>
      <c r="T332">
        <f t="shared" ref="T332:T376" si="62">-Q332/$F$2*1000</f>
        <v>13.495555555555557</v>
      </c>
      <c r="U332">
        <f t="shared" ref="U332:U376" si="63">T332*O332</f>
        <v>20.532813000000001</v>
      </c>
      <c r="X332" s="9"/>
      <c r="Y332" s="21">
        <v>0.118561</v>
      </c>
      <c r="Z332" s="21">
        <v>17.891400000000001</v>
      </c>
      <c r="AA332" s="21">
        <v>-1.38367E-2</v>
      </c>
      <c r="AB332" s="21">
        <v>322</v>
      </c>
      <c r="AC332" s="21">
        <v>0.11792</v>
      </c>
      <c r="AD332">
        <f t="shared" ref="AD332:AD376" si="64">-AA332/$F$2*1000</f>
        <v>17.082345679012345</v>
      </c>
      <c r="AE332">
        <f t="shared" ref="AE332:AE376" si="65">AD332*Y332</f>
        <v>2.0252999860493826</v>
      </c>
      <c r="AF332" s="9"/>
      <c r="AG332" s="21">
        <v>1.52145</v>
      </c>
      <c r="AH332" s="21">
        <v>21.5898</v>
      </c>
      <c r="AI332" s="21">
        <v>-1.0888699999999999E-2</v>
      </c>
      <c r="AJ332" s="21">
        <v>322</v>
      </c>
      <c r="AK332" s="21">
        <v>1.5206900000000001</v>
      </c>
      <c r="AL332">
        <f t="shared" ref="AL332:AL376" si="66">-AI332/$F$2*1000</f>
        <v>13.442839506172838</v>
      </c>
      <c r="AM332">
        <f t="shared" ref="AM332:AM376" si="67">AL332*AG332</f>
        <v>20.452608166666664</v>
      </c>
      <c r="AP332" s="9"/>
      <c r="AQ332" s="21">
        <v>0.118561</v>
      </c>
      <c r="AR332" s="21">
        <v>27.023599999999998</v>
      </c>
      <c r="AS332" s="21">
        <v>-1.3842800000000001E-2</v>
      </c>
      <c r="AT332" s="21">
        <v>322</v>
      </c>
      <c r="AU332" s="21">
        <v>0.11795</v>
      </c>
      <c r="AV332">
        <f t="shared" ref="AV332:AV376" si="68">-AS332/$F$2*1000</f>
        <v>17.089876543209876</v>
      </c>
      <c r="AW332">
        <f t="shared" ref="AW332:AW376" si="69">AV332*AQ332</f>
        <v>2.0261928528395061</v>
      </c>
      <c r="AX332" s="9"/>
      <c r="AY332" s="21">
        <v>1.52145</v>
      </c>
      <c r="AZ332" s="21">
        <v>30.722000000000001</v>
      </c>
      <c r="BA332" s="21">
        <v>-1.0699500000000001E-2</v>
      </c>
      <c r="BB332" s="21">
        <v>322</v>
      </c>
      <c r="BC332" s="21">
        <v>1.5209999999999999</v>
      </c>
      <c r="BD332">
        <f t="shared" ref="BD332:BD376" si="70">-BA332/$F$2*1000</f>
        <v>13.209259259259259</v>
      </c>
      <c r="BE332">
        <f t="shared" ref="BE332:BE376" si="71">BD332*AY332</f>
        <v>20.097227499999999</v>
      </c>
    </row>
    <row r="333" spans="6:57" x14ac:dyDescent="0.25">
      <c r="F333" s="9"/>
      <c r="G333" s="21">
        <v>0.113525</v>
      </c>
      <c r="H333" s="21">
        <v>8.8422599999999996</v>
      </c>
      <c r="I333" s="21">
        <v>-1.3937400000000001E-2</v>
      </c>
      <c r="J333" s="21">
        <v>323</v>
      </c>
      <c r="K333" s="21">
        <v>0.112946</v>
      </c>
      <c r="L333">
        <f t="shared" si="60"/>
        <v>17.206666666666667</v>
      </c>
      <c r="M333">
        <f t="shared" si="61"/>
        <v>1.9533868333333333</v>
      </c>
      <c r="N333" s="9"/>
      <c r="O333" s="21">
        <v>1.5264899999999999</v>
      </c>
      <c r="P333" s="21">
        <v>12.5406</v>
      </c>
      <c r="Q333" s="21">
        <v>-1.0855099999999999E-2</v>
      </c>
      <c r="R333" s="21">
        <v>323</v>
      </c>
      <c r="S333" s="21">
        <v>1.5255700000000001</v>
      </c>
      <c r="T333">
        <f t="shared" si="62"/>
        <v>13.401358024691357</v>
      </c>
      <c r="U333">
        <f t="shared" si="63"/>
        <v>20.457039011111107</v>
      </c>
      <c r="X333" s="9"/>
      <c r="Y333" s="21">
        <v>0.113525</v>
      </c>
      <c r="Z333" s="21">
        <v>17.901499999999999</v>
      </c>
      <c r="AA333" s="21">
        <v>-1.38397E-2</v>
      </c>
      <c r="AB333" s="21">
        <v>323</v>
      </c>
      <c r="AC333" s="21">
        <v>0.11297599999999999</v>
      </c>
      <c r="AD333">
        <f t="shared" si="64"/>
        <v>17.086049382716048</v>
      </c>
      <c r="AE333">
        <f t="shared" si="65"/>
        <v>1.9396937561728393</v>
      </c>
      <c r="AF333" s="9"/>
      <c r="AG333" s="21">
        <v>1.5264899999999999</v>
      </c>
      <c r="AH333" s="21">
        <v>21.599799999999998</v>
      </c>
      <c r="AI333" s="21">
        <v>-1.08185E-2</v>
      </c>
      <c r="AJ333" s="21">
        <v>323</v>
      </c>
      <c r="AK333" s="21">
        <v>1.5261800000000001</v>
      </c>
      <c r="AL333">
        <f t="shared" si="66"/>
        <v>13.356172839506172</v>
      </c>
      <c r="AM333">
        <f t="shared" si="67"/>
        <v>20.388064277777776</v>
      </c>
      <c r="AP333" s="9"/>
      <c r="AQ333" s="21">
        <v>0.113525</v>
      </c>
      <c r="AR333" s="21">
        <v>27.0337</v>
      </c>
      <c r="AS333" s="21">
        <v>-1.38336E-2</v>
      </c>
      <c r="AT333" s="21">
        <v>323</v>
      </c>
      <c r="AU333" s="21">
        <v>0.112885</v>
      </c>
      <c r="AV333">
        <f t="shared" si="68"/>
        <v>17.078518518518518</v>
      </c>
      <c r="AW333">
        <f t="shared" si="69"/>
        <v>1.9388388148148148</v>
      </c>
      <c r="AX333" s="9"/>
      <c r="AY333" s="21">
        <v>1.5264899999999999</v>
      </c>
      <c r="AZ333" s="21">
        <v>30.731999999999999</v>
      </c>
      <c r="BA333" s="21">
        <v>-1.06293E-2</v>
      </c>
      <c r="BB333" s="21">
        <v>323</v>
      </c>
      <c r="BC333" s="21">
        <v>1.5261800000000001</v>
      </c>
      <c r="BD333">
        <f t="shared" si="70"/>
        <v>13.122592592592593</v>
      </c>
      <c r="BE333">
        <f t="shared" si="71"/>
        <v>20.031506366666665</v>
      </c>
    </row>
    <row r="334" spans="6:57" x14ac:dyDescent="0.25">
      <c r="F334" s="9"/>
      <c r="G334" s="21">
        <v>0.10849</v>
      </c>
      <c r="H334" s="21">
        <v>8.8523300000000003</v>
      </c>
      <c r="I334" s="21">
        <v>-1.3946500000000001E-2</v>
      </c>
      <c r="J334" s="21">
        <v>324</v>
      </c>
      <c r="K334" s="21">
        <v>0.107941</v>
      </c>
      <c r="L334">
        <f t="shared" si="60"/>
        <v>17.217901234567901</v>
      </c>
      <c r="M334">
        <f t="shared" si="61"/>
        <v>1.8679701049382715</v>
      </c>
      <c r="N334" s="9"/>
      <c r="O334" s="21">
        <v>1.53152</v>
      </c>
      <c r="P334" s="21">
        <v>12.550700000000001</v>
      </c>
      <c r="Q334" s="21">
        <v>-1.0760499999999999E-2</v>
      </c>
      <c r="R334" s="21">
        <v>324</v>
      </c>
      <c r="S334" s="21">
        <v>1.5307599999999999</v>
      </c>
      <c r="T334">
        <f t="shared" si="62"/>
        <v>13.284567901234567</v>
      </c>
      <c r="U334">
        <f t="shared" si="63"/>
        <v>20.345581432098765</v>
      </c>
      <c r="X334" s="9"/>
      <c r="Y334" s="21">
        <v>0.10849</v>
      </c>
      <c r="Z334" s="21">
        <v>17.9115</v>
      </c>
      <c r="AA334" s="21">
        <v>-1.38367E-2</v>
      </c>
      <c r="AB334" s="21">
        <v>324</v>
      </c>
      <c r="AC334" s="21">
        <v>0.10788</v>
      </c>
      <c r="AD334">
        <f t="shared" si="64"/>
        <v>17.082345679012345</v>
      </c>
      <c r="AE334">
        <f t="shared" si="65"/>
        <v>1.8532636827160494</v>
      </c>
      <c r="AF334" s="9"/>
      <c r="AG334" s="21">
        <v>1.53152</v>
      </c>
      <c r="AH334" s="21">
        <v>21.6099</v>
      </c>
      <c r="AI334" s="21">
        <v>-1.0754400000000001E-2</v>
      </c>
      <c r="AJ334" s="21">
        <v>324</v>
      </c>
      <c r="AK334" s="21">
        <v>1.5313699999999999</v>
      </c>
      <c r="AL334">
        <f t="shared" si="66"/>
        <v>13.277037037037037</v>
      </c>
      <c r="AM334">
        <f t="shared" si="67"/>
        <v>20.33404776296296</v>
      </c>
      <c r="AP334" s="9"/>
      <c r="AQ334" s="21">
        <v>0.10849</v>
      </c>
      <c r="AR334" s="21">
        <v>27.043800000000001</v>
      </c>
      <c r="AS334" s="21">
        <v>-1.38306E-2</v>
      </c>
      <c r="AT334" s="21">
        <v>324</v>
      </c>
      <c r="AU334" s="21">
        <v>0.10778799999999999</v>
      </c>
      <c r="AV334">
        <f t="shared" si="68"/>
        <v>17.074814814814815</v>
      </c>
      <c r="AW334">
        <f t="shared" si="69"/>
        <v>1.8524466592592592</v>
      </c>
      <c r="AX334" s="9"/>
      <c r="AY334" s="21">
        <v>1.53152</v>
      </c>
      <c r="AZ334" s="21">
        <v>30.742100000000001</v>
      </c>
      <c r="BA334" s="21">
        <v>-1.05621E-2</v>
      </c>
      <c r="BB334" s="21">
        <v>324</v>
      </c>
      <c r="BC334" s="21">
        <v>1.5310699999999999</v>
      </c>
      <c r="BD334">
        <f t="shared" si="70"/>
        <v>13.039629629629628</v>
      </c>
      <c r="BE334">
        <f t="shared" si="71"/>
        <v>19.970453570370367</v>
      </c>
    </row>
    <row r="335" spans="6:57" x14ac:dyDescent="0.25">
      <c r="F335" s="9"/>
      <c r="G335" s="21">
        <v>0.10345500000000001</v>
      </c>
      <c r="H335" s="21">
        <v>8.8623999999999992</v>
      </c>
      <c r="I335" s="21">
        <v>-1.3958699999999999E-2</v>
      </c>
      <c r="J335" s="21">
        <v>325</v>
      </c>
      <c r="K335" s="21">
        <v>0.102814</v>
      </c>
      <c r="L335">
        <f t="shared" si="60"/>
        <v>17.232962962962961</v>
      </c>
      <c r="M335">
        <f t="shared" si="61"/>
        <v>1.7828361833333333</v>
      </c>
      <c r="N335" s="9"/>
      <c r="O335" s="21">
        <v>1.5365599999999999</v>
      </c>
      <c r="P335" s="21">
        <v>12.560700000000001</v>
      </c>
      <c r="Q335" s="21">
        <v>-1.0665900000000001E-2</v>
      </c>
      <c r="R335" s="21">
        <v>325</v>
      </c>
      <c r="S335" s="21">
        <v>1.5362499999999999</v>
      </c>
      <c r="T335">
        <f t="shared" si="62"/>
        <v>13.167777777777779</v>
      </c>
      <c r="U335">
        <f t="shared" si="63"/>
        <v>20.233080622222225</v>
      </c>
      <c r="X335" s="9"/>
      <c r="Y335" s="21">
        <v>0.10345500000000001</v>
      </c>
      <c r="Z335" s="21">
        <v>17.921600000000002</v>
      </c>
      <c r="AA335" s="21">
        <v>-1.38367E-2</v>
      </c>
      <c r="AB335" s="21">
        <v>325</v>
      </c>
      <c r="AC335" s="21">
        <v>0.102844</v>
      </c>
      <c r="AD335">
        <f t="shared" si="64"/>
        <v>17.082345679012345</v>
      </c>
      <c r="AE335">
        <f t="shared" si="65"/>
        <v>1.7672540722222223</v>
      </c>
      <c r="AF335" s="9"/>
      <c r="AG335" s="21">
        <v>1.5365599999999999</v>
      </c>
      <c r="AH335" s="21">
        <v>21.62</v>
      </c>
      <c r="AI335" s="21">
        <v>-1.06842E-2</v>
      </c>
      <c r="AJ335" s="21">
        <v>325</v>
      </c>
      <c r="AK335" s="21">
        <v>1.5359499999999999</v>
      </c>
      <c r="AL335">
        <f t="shared" si="66"/>
        <v>13.190370370370371</v>
      </c>
      <c r="AM335">
        <f t="shared" si="67"/>
        <v>20.267795496296294</v>
      </c>
      <c r="AP335" s="9"/>
      <c r="AQ335" s="21">
        <v>0.10345500000000001</v>
      </c>
      <c r="AR335" s="21">
        <v>27.053799999999999</v>
      </c>
      <c r="AS335" s="21">
        <v>-1.38397E-2</v>
      </c>
      <c r="AT335" s="21">
        <v>325</v>
      </c>
      <c r="AU335" s="21">
        <v>0.10299700000000001</v>
      </c>
      <c r="AV335">
        <f t="shared" si="68"/>
        <v>17.086049382716048</v>
      </c>
      <c r="AW335">
        <f t="shared" si="69"/>
        <v>1.7676372388888888</v>
      </c>
      <c r="AX335" s="9"/>
      <c r="AY335" s="21">
        <v>1.5365599999999999</v>
      </c>
      <c r="AZ335" s="21">
        <v>30.752199999999998</v>
      </c>
      <c r="BA335" s="21">
        <v>-1.0498E-2</v>
      </c>
      <c r="BB335" s="21">
        <v>325</v>
      </c>
      <c r="BC335" s="21">
        <v>1.5362499999999999</v>
      </c>
      <c r="BD335">
        <f t="shared" si="70"/>
        <v>12.960493827160493</v>
      </c>
      <c r="BE335">
        <f t="shared" si="71"/>
        <v>19.914576395061726</v>
      </c>
    </row>
    <row r="336" spans="6:57" x14ac:dyDescent="0.25">
      <c r="F336" s="9"/>
      <c r="G336" s="21">
        <v>9.8419199999999998E-2</v>
      </c>
      <c r="H336" s="21">
        <v>8.8724799999999995</v>
      </c>
      <c r="I336" s="21">
        <v>-1.3958699999999999E-2</v>
      </c>
      <c r="J336" s="21">
        <v>326</v>
      </c>
      <c r="K336" s="21">
        <v>9.7839400000000007E-2</v>
      </c>
      <c r="L336">
        <f t="shared" si="60"/>
        <v>17.232962962962961</v>
      </c>
      <c r="M336">
        <f t="shared" si="61"/>
        <v>1.6960544284444443</v>
      </c>
      <c r="N336" s="9"/>
      <c r="O336" s="21">
        <v>1.5416000000000001</v>
      </c>
      <c r="P336" s="21">
        <v>12.5708</v>
      </c>
      <c r="Q336" s="21">
        <v>-1.05865E-2</v>
      </c>
      <c r="R336" s="21">
        <v>326</v>
      </c>
      <c r="S336" s="21">
        <v>1.5408299999999999</v>
      </c>
      <c r="T336">
        <f t="shared" si="62"/>
        <v>13.069753086419754</v>
      </c>
      <c r="U336">
        <f t="shared" si="63"/>
        <v>20.148331358024691</v>
      </c>
      <c r="X336" s="9"/>
      <c r="Y336" s="21">
        <v>9.8419199999999998E-2</v>
      </c>
      <c r="Z336" s="21">
        <v>17.931699999999999</v>
      </c>
      <c r="AA336" s="21">
        <v>-1.38397E-2</v>
      </c>
      <c r="AB336" s="21">
        <v>326</v>
      </c>
      <c r="AC336" s="21">
        <v>9.7839400000000007E-2</v>
      </c>
      <c r="AD336">
        <f t="shared" si="64"/>
        <v>17.086049382716048</v>
      </c>
      <c r="AE336">
        <f t="shared" si="65"/>
        <v>1.6815953114074074</v>
      </c>
      <c r="AF336" s="9"/>
      <c r="AG336" s="21">
        <v>1.5416000000000001</v>
      </c>
      <c r="AH336" s="21">
        <v>21.630099999999999</v>
      </c>
      <c r="AI336" s="21">
        <v>-1.06079E-2</v>
      </c>
      <c r="AJ336" s="21">
        <v>326</v>
      </c>
      <c r="AK336" s="21">
        <v>1.5414399999999999</v>
      </c>
      <c r="AL336">
        <f t="shared" si="66"/>
        <v>13.096172839506172</v>
      </c>
      <c r="AM336">
        <f t="shared" si="67"/>
        <v>20.189060049382718</v>
      </c>
      <c r="AP336" s="9"/>
      <c r="AQ336" s="21">
        <v>9.8419199999999998E-2</v>
      </c>
      <c r="AR336" s="21">
        <v>27.0639</v>
      </c>
      <c r="AS336" s="21">
        <v>-1.38458E-2</v>
      </c>
      <c r="AT336" s="21">
        <v>326</v>
      </c>
      <c r="AU336" s="21">
        <v>9.7625699999999996E-2</v>
      </c>
      <c r="AV336">
        <f t="shared" si="68"/>
        <v>17.093580246913579</v>
      </c>
      <c r="AW336">
        <f t="shared" si="69"/>
        <v>1.6823364930370368</v>
      </c>
      <c r="AX336" s="9"/>
      <c r="AY336" s="21">
        <v>1.5416000000000001</v>
      </c>
      <c r="AZ336" s="21">
        <v>30.7622</v>
      </c>
      <c r="BA336" s="21">
        <v>-1.0440100000000001E-2</v>
      </c>
      <c r="BB336" s="21">
        <v>326</v>
      </c>
      <c r="BC336" s="21">
        <v>1.5414399999999999</v>
      </c>
      <c r="BD336">
        <f t="shared" si="70"/>
        <v>12.889012345679014</v>
      </c>
      <c r="BE336">
        <f t="shared" si="71"/>
        <v>19.869701432098768</v>
      </c>
    </row>
    <row r="337" spans="6:57" x14ac:dyDescent="0.25">
      <c r="F337" s="9"/>
      <c r="G337" s="21">
        <v>9.3383800000000003E-2</v>
      </c>
      <c r="H337" s="21">
        <v>8.8825500000000002</v>
      </c>
      <c r="I337" s="21">
        <v>-1.39557E-2</v>
      </c>
      <c r="J337" s="21">
        <v>327</v>
      </c>
      <c r="K337" s="21">
        <v>9.27124E-2</v>
      </c>
      <c r="L337">
        <f t="shared" si="60"/>
        <v>17.229259259259258</v>
      </c>
      <c r="M337">
        <f t="shared" si="61"/>
        <v>1.6089337008148148</v>
      </c>
      <c r="N337" s="9"/>
      <c r="O337" s="21">
        <v>1.5466299999999999</v>
      </c>
      <c r="P337" s="21">
        <v>12.5809</v>
      </c>
      <c r="Q337" s="21">
        <v>-1.05103E-2</v>
      </c>
      <c r="R337" s="21">
        <v>327</v>
      </c>
      <c r="S337" s="21">
        <v>1.54572</v>
      </c>
      <c r="T337">
        <f t="shared" si="62"/>
        <v>12.97567901234568</v>
      </c>
      <c r="U337">
        <f t="shared" si="63"/>
        <v>20.068574430864199</v>
      </c>
      <c r="X337" s="9"/>
      <c r="Y337" s="21">
        <v>9.3383800000000003E-2</v>
      </c>
      <c r="Z337" s="21">
        <v>17.941800000000001</v>
      </c>
      <c r="AA337" s="21">
        <v>-1.3854999999999999E-2</v>
      </c>
      <c r="AB337" s="21">
        <v>327</v>
      </c>
      <c r="AC337" s="21">
        <v>9.2773400000000006E-2</v>
      </c>
      <c r="AD337">
        <f t="shared" si="64"/>
        <v>17.104938271604937</v>
      </c>
      <c r="AE337">
        <f t="shared" si="65"/>
        <v>1.597324134567901</v>
      </c>
      <c r="AF337" s="9"/>
      <c r="AG337" s="21">
        <v>1.5466299999999999</v>
      </c>
      <c r="AH337" s="21">
        <v>21.6401</v>
      </c>
      <c r="AI337" s="21">
        <v>-1.0528600000000001E-2</v>
      </c>
      <c r="AJ337" s="21">
        <v>327</v>
      </c>
      <c r="AK337" s="21">
        <v>1.54572</v>
      </c>
      <c r="AL337">
        <f t="shared" si="66"/>
        <v>12.998271604938271</v>
      </c>
      <c r="AM337">
        <f t="shared" si="67"/>
        <v>20.103516812345678</v>
      </c>
      <c r="AP337" s="9"/>
      <c r="AQ337" s="21">
        <v>9.3383800000000003E-2</v>
      </c>
      <c r="AR337" s="21">
        <v>27.074000000000002</v>
      </c>
      <c r="AS337" s="21">
        <v>-1.38519E-2</v>
      </c>
      <c r="AT337" s="21">
        <v>327</v>
      </c>
      <c r="AU337" s="21">
        <v>9.2925999999999995E-2</v>
      </c>
      <c r="AV337">
        <f t="shared" si="68"/>
        <v>17.101111111111113</v>
      </c>
      <c r="AW337">
        <f t="shared" si="69"/>
        <v>1.596966739777778</v>
      </c>
      <c r="AX337" s="9"/>
      <c r="AY337" s="21">
        <v>1.5466299999999999</v>
      </c>
      <c r="AZ337" s="21">
        <v>30.772300000000001</v>
      </c>
      <c r="BA337" s="21">
        <v>-1.0357699999999999E-2</v>
      </c>
      <c r="BB337" s="21">
        <v>327</v>
      </c>
      <c r="BC337" s="21">
        <v>1.54633</v>
      </c>
      <c r="BD337">
        <f t="shared" si="70"/>
        <v>12.787283950617283</v>
      </c>
      <c r="BE337">
        <f t="shared" si="71"/>
        <v>19.777196976543209</v>
      </c>
    </row>
    <row r="338" spans="6:57" x14ac:dyDescent="0.25">
      <c r="F338" s="9"/>
      <c r="G338" s="21">
        <v>8.8348399999999994E-2</v>
      </c>
      <c r="H338" s="21">
        <v>8.8926200000000009</v>
      </c>
      <c r="I338" s="21">
        <v>-1.39496E-2</v>
      </c>
      <c r="J338" s="21">
        <v>328</v>
      </c>
      <c r="K338" s="21">
        <v>8.7677000000000005E-2</v>
      </c>
      <c r="L338">
        <f t="shared" si="60"/>
        <v>17.221728395061724</v>
      </c>
      <c r="M338">
        <f t="shared" si="61"/>
        <v>1.5215121489382712</v>
      </c>
      <c r="N338" s="9"/>
      <c r="O338" s="21">
        <v>1.5516700000000001</v>
      </c>
      <c r="P338" s="21">
        <v>12.590999999999999</v>
      </c>
      <c r="Q338" s="21">
        <v>-1.0437E-2</v>
      </c>
      <c r="R338" s="21">
        <v>328</v>
      </c>
      <c r="S338" s="21">
        <v>1.5508999999999999</v>
      </c>
      <c r="T338">
        <f t="shared" si="62"/>
        <v>12.885185185185184</v>
      </c>
      <c r="U338">
        <f t="shared" si="63"/>
        <v>19.993555296296297</v>
      </c>
      <c r="X338" s="9"/>
      <c r="Y338" s="21">
        <v>8.8348399999999994E-2</v>
      </c>
      <c r="Z338" s="21">
        <v>17.951799999999999</v>
      </c>
      <c r="AA338" s="21">
        <v>-1.3858000000000001E-2</v>
      </c>
      <c r="AB338" s="21">
        <v>328</v>
      </c>
      <c r="AC338" s="21">
        <v>8.7829599999999994E-2</v>
      </c>
      <c r="AD338">
        <f t="shared" si="64"/>
        <v>17.10864197530864</v>
      </c>
      <c r="AE338">
        <f t="shared" si="65"/>
        <v>1.5115211446913577</v>
      </c>
      <c r="AF338" s="9"/>
      <c r="AG338" s="21">
        <v>1.5516700000000001</v>
      </c>
      <c r="AH338" s="21">
        <v>21.650200000000002</v>
      </c>
      <c r="AI338" s="21">
        <v>-1.0449200000000001E-2</v>
      </c>
      <c r="AJ338" s="21">
        <v>328</v>
      </c>
      <c r="AK338" s="21">
        <v>1.5508999999999999</v>
      </c>
      <c r="AL338">
        <f t="shared" si="66"/>
        <v>12.900246913580247</v>
      </c>
      <c r="AM338">
        <f t="shared" si="67"/>
        <v>20.016926128395063</v>
      </c>
      <c r="AP338" s="9"/>
      <c r="AQ338" s="21">
        <v>8.8348399999999994E-2</v>
      </c>
      <c r="AR338" s="21">
        <v>27.084099999999999</v>
      </c>
      <c r="AS338" s="21">
        <v>-1.38519E-2</v>
      </c>
      <c r="AT338" s="21">
        <v>328</v>
      </c>
      <c r="AU338" s="21">
        <v>8.7768600000000002E-2</v>
      </c>
      <c r="AV338">
        <f t="shared" si="68"/>
        <v>17.101111111111113</v>
      </c>
      <c r="AW338">
        <f t="shared" si="69"/>
        <v>1.5108558048888889</v>
      </c>
      <c r="AX338" s="9"/>
      <c r="AY338" s="21">
        <v>1.5516700000000001</v>
      </c>
      <c r="AZ338" s="21">
        <v>30.782399999999999</v>
      </c>
      <c r="BA338" s="21">
        <v>-1.0269199999999999E-2</v>
      </c>
      <c r="BB338" s="21">
        <v>328</v>
      </c>
      <c r="BC338" s="21">
        <v>1.55121</v>
      </c>
      <c r="BD338">
        <f t="shared" si="70"/>
        <v>12.678024691358022</v>
      </c>
      <c r="BE338">
        <f t="shared" si="71"/>
        <v>19.672110572839504</v>
      </c>
    </row>
    <row r="339" spans="6:57" x14ac:dyDescent="0.25">
      <c r="F339" s="9"/>
      <c r="G339" s="21">
        <v>8.3312999999999998E-2</v>
      </c>
      <c r="H339" s="21">
        <v>8.9026899999999998</v>
      </c>
      <c r="I339" s="21">
        <v>-1.39343E-2</v>
      </c>
      <c r="J339" s="21">
        <v>329</v>
      </c>
      <c r="K339" s="21">
        <v>8.2733200000000007E-2</v>
      </c>
      <c r="L339">
        <f t="shared" si="60"/>
        <v>17.202839506172836</v>
      </c>
      <c r="M339">
        <f t="shared" si="61"/>
        <v>1.4332201677777774</v>
      </c>
      <c r="N339" s="9"/>
      <c r="O339" s="21">
        <v>1.5567</v>
      </c>
      <c r="P339" s="21">
        <v>12.601000000000001</v>
      </c>
      <c r="Q339" s="21">
        <v>-1.03485E-2</v>
      </c>
      <c r="R339" s="21">
        <v>329</v>
      </c>
      <c r="S339" s="21">
        <v>1.5567</v>
      </c>
      <c r="T339">
        <f t="shared" si="62"/>
        <v>12.775925925925925</v>
      </c>
      <c r="U339">
        <f t="shared" si="63"/>
        <v>19.888283888888889</v>
      </c>
      <c r="X339" s="9"/>
      <c r="Y339" s="21">
        <v>8.3312999999999998E-2</v>
      </c>
      <c r="Z339" s="21">
        <v>17.9619</v>
      </c>
      <c r="AA339" s="21">
        <v>-1.3861099999999999E-2</v>
      </c>
      <c r="AB339" s="21">
        <v>329</v>
      </c>
      <c r="AC339" s="21">
        <v>8.2885700000000007E-2</v>
      </c>
      <c r="AD339">
        <f t="shared" si="64"/>
        <v>17.112469135802467</v>
      </c>
      <c r="AE339">
        <f t="shared" si="65"/>
        <v>1.4256911411111108</v>
      </c>
      <c r="AF339" s="9"/>
      <c r="AG339" s="21">
        <v>1.5567</v>
      </c>
      <c r="AH339" s="21">
        <v>21.660299999999999</v>
      </c>
      <c r="AI339" s="21">
        <v>-1.0372899999999999E-2</v>
      </c>
      <c r="AJ339" s="21">
        <v>329</v>
      </c>
      <c r="AK339" s="21">
        <v>1.5564</v>
      </c>
      <c r="AL339">
        <f t="shared" si="66"/>
        <v>12.806049382716049</v>
      </c>
      <c r="AM339">
        <f t="shared" si="67"/>
        <v>19.935177074074073</v>
      </c>
      <c r="AP339" s="9"/>
      <c r="AQ339" s="21">
        <v>8.3312999999999998E-2</v>
      </c>
      <c r="AR339" s="21">
        <v>27.094100000000001</v>
      </c>
      <c r="AS339" s="21">
        <v>-1.38336E-2</v>
      </c>
      <c r="AT339" s="21">
        <v>329</v>
      </c>
      <c r="AU339" s="21">
        <v>8.2733200000000007E-2</v>
      </c>
      <c r="AV339">
        <f t="shared" si="68"/>
        <v>17.078518518518518</v>
      </c>
      <c r="AW339">
        <f t="shared" si="69"/>
        <v>1.4228626133333333</v>
      </c>
      <c r="AX339" s="9"/>
      <c r="AY339" s="21">
        <v>1.5567</v>
      </c>
      <c r="AZ339" s="21">
        <v>30.7925</v>
      </c>
      <c r="BA339" s="21">
        <v>-1.01715E-2</v>
      </c>
      <c r="BB339" s="21">
        <v>329</v>
      </c>
      <c r="BC339" s="21">
        <v>1.55609</v>
      </c>
      <c r="BD339">
        <f t="shared" si="70"/>
        <v>12.557407407407407</v>
      </c>
      <c r="BE339">
        <f t="shared" si="71"/>
        <v>19.54811611111111</v>
      </c>
    </row>
    <row r="340" spans="6:57" x14ac:dyDescent="0.25">
      <c r="F340" s="9"/>
      <c r="G340" s="21">
        <v>7.8277600000000003E-2</v>
      </c>
      <c r="H340" s="21">
        <v>8.9127600000000005</v>
      </c>
      <c r="I340" s="21">
        <v>-1.39282E-2</v>
      </c>
      <c r="J340" s="21">
        <v>330</v>
      </c>
      <c r="K340" s="21">
        <v>7.77283E-2</v>
      </c>
      <c r="L340">
        <f t="shared" si="60"/>
        <v>17.195308641975309</v>
      </c>
      <c r="M340">
        <f t="shared" si="61"/>
        <v>1.3460074917530864</v>
      </c>
      <c r="N340" s="9"/>
      <c r="O340" s="21">
        <v>1.5617399999999999</v>
      </c>
      <c r="P340" s="21">
        <v>12.6111</v>
      </c>
      <c r="Q340" s="21">
        <v>-1.02539E-2</v>
      </c>
      <c r="R340" s="21">
        <v>330</v>
      </c>
      <c r="S340" s="21">
        <v>1.56128</v>
      </c>
      <c r="T340">
        <f t="shared" si="62"/>
        <v>12.659135802469134</v>
      </c>
      <c r="U340">
        <f t="shared" si="63"/>
        <v>19.770278748148144</v>
      </c>
      <c r="X340" s="9"/>
      <c r="Y340" s="21">
        <v>7.8277600000000003E-2</v>
      </c>
      <c r="Z340" s="21">
        <v>17.972000000000001</v>
      </c>
      <c r="AA340" s="21">
        <v>-1.3858000000000001E-2</v>
      </c>
      <c r="AB340" s="21">
        <v>330</v>
      </c>
      <c r="AC340" s="21">
        <v>7.7789300000000006E-2</v>
      </c>
      <c r="AD340">
        <f t="shared" si="64"/>
        <v>17.10864197530864</v>
      </c>
      <c r="AE340">
        <f t="shared" si="65"/>
        <v>1.3392234330864197</v>
      </c>
      <c r="AF340" s="9"/>
      <c r="AG340" s="21">
        <v>1.5617399999999999</v>
      </c>
      <c r="AH340" s="21">
        <v>21.670300000000001</v>
      </c>
      <c r="AI340" s="21">
        <v>-1.02936E-2</v>
      </c>
      <c r="AJ340" s="21">
        <v>330</v>
      </c>
      <c r="AK340" s="21">
        <v>1.56067</v>
      </c>
      <c r="AL340">
        <f t="shared" si="66"/>
        <v>12.708148148148148</v>
      </c>
      <c r="AM340">
        <f t="shared" si="67"/>
        <v>19.846823288888888</v>
      </c>
      <c r="AP340" s="9"/>
      <c r="AQ340" s="21">
        <v>7.8277600000000003E-2</v>
      </c>
      <c r="AR340" s="21">
        <v>27.104199999999999</v>
      </c>
      <c r="AS340" s="21">
        <v>-1.38275E-2</v>
      </c>
      <c r="AT340" s="21">
        <v>330</v>
      </c>
      <c r="AU340" s="21">
        <v>7.7697799999999997E-2</v>
      </c>
      <c r="AV340">
        <f t="shared" si="68"/>
        <v>17.070987654320987</v>
      </c>
      <c r="AW340">
        <f t="shared" si="69"/>
        <v>1.3362759432098765</v>
      </c>
      <c r="AX340" s="9"/>
      <c r="AY340" s="21">
        <v>1.5617399999999999</v>
      </c>
      <c r="AZ340" s="21">
        <v>30.802499999999998</v>
      </c>
      <c r="BA340" s="21">
        <v>-1.0086100000000001E-2</v>
      </c>
      <c r="BB340" s="21">
        <v>330</v>
      </c>
      <c r="BC340" s="21">
        <v>1.56097</v>
      </c>
      <c r="BD340">
        <f t="shared" si="70"/>
        <v>12.451975308641975</v>
      </c>
      <c r="BE340">
        <f t="shared" si="71"/>
        <v>19.446747918518518</v>
      </c>
    </row>
    <row r="341" spans="6:57" x14ac:dyDescent="0.25">
      <c r="F341" s="9"/>
      <c r="G341" s="21">
        <v>7.3242199999999993E-2</v>
      </c>
      <c r="H341" s="21">
        <v>8.9228299999999994</v>
      </c>
      <c r="I341" s="21">
        <v>-1.39343E-2</v>
      </c>
      <c r="J341" s="21">
        <v>331</v>
      </c>
      <c r="K341" s="21">
        <v>7.2753899999999996E-2</v>
      </c>
      <c r="L341">
        <f t="shared" si="60"/>
        <v>17.202839506172836</v>
      </c>
      <c r="M341">
        <f t="shared" si="61"/>
        <v>1.259973811679012</v>
      </c>
      <c r="N341" s="9"/>
      <c r="O341" s="21">
        <v>1.56677</v>
      </c>
      <c r="P341" s="21">
        <v>12.6212</v>
      </c>
      <c r="Q341" s="21">
        <v>-1.01593E-2</v>
      </c>
      <c r="R341" s="21">
        <v>331</v>
      </c>
      <c r="S341" s="21">
        <v>1.56616</v>
      </c>
      <c r="T341">
        <f t="shared" si="62"/>
        <v>12.542345679012344</v>
      </c>
      <c r="U341">
        <f t="shared" si="63"/>
        <v>19.65097093950617</v>
      </c>
      <c r="X341" s="9"/>
      <c r="Y341" s="21">
        <v>7.3242199999999993E-2</v>
      </c>
      <c r="Z341" s="21">
        <v>17.981999999999999</v>
      </c>
      <c r="AA341" s="21">
        <v>-1.38672E-2</v>
      </c>
      <c r="AB341" s="21">
        <v>331</v>
      </c>
      <c r="AC341" s="21">
        <v>7.2723399999999994E-2</v>
      </c>
      <c r="AD341">
        <f t="shared" si="64"/>
        <v>17.12</v>
      </c>
      <c r="AE341">
        <f t="shared" si="65"/>
        <v>1.2539064639999999</v>
      </c>
      <c r="AF341" s="9"/>
      <c r="AG341" s="21">
        <v>1.56677</v>
      </c>
      <c r="AH341" s="21">
        <v>21.680399999999999</v>
      </c>
      <c r="AI341" s="21">
        <v>-1.01929E-2</v>
      </c>
      <c r="AJ341" s="21">
        <v>331</v>
      </c>
      <c r="AK341" s="21">
        <v>1.56586</v>
      </c>
      <c r="AL341">
        <f t="shared" si="66"/>
        <v>12.583827160493826</v>
      </c>
      <c r="AM341">
        <f t="shared" si="67"/>
        <v>19.715962880246913</v>
      </c>
      <c r="AP341" s="9"/>
      <c r="AQ341" s="21">
        <v>7.3242199999999993E-2</v>
      </c>
      <c r="AR341" s="21">
        <v>27.1143</v>
      </c>
      <c r="AS341" s="21">
        <v>-1.38245E-2</v>
      </c>
      <c r="AT341" s="21">
        <v>331</v>
      </c>
      <c r="AU341" s="21">
        <v>7.2845499999999994E-2</v>
      </c>
      <c r="AV341">
        <f t="shared" si="68"/>
        <v>17.067283950617281</v>
      </c>
      <c r="AW341">
        <f t="shared" si="69"/>
        <v>1.2500454245679009</v>
      </c>
      <c r="AX341" s="9"/>
      <c r="AY341" s="21">
        <v>1.56677</v>
      </c>
      <c r="AZ341" s="21">
        <v>30.8126</v>
      </c>
      <c r="BA341" s="21">
        <v>-9.9914600000000006E-3</v>
      </c>
      <c r="BB341" s="21">
        <v>331</v>
      </c>
      <c r="BC341" s="21">
        <v>1.56616</v>
      </c>
      <c r="BD341">
        <f t="shared" si="70"/>
        <v>12.335135802469136</v>
      </c>
      <c r="BE341">
        <f t="shared" si="71"/>
        <v>19.326320721234566</v>
      </c>
    </row>
    <row r="342" spans="6:57" x14ac:dyDescent="0.25">
      <c r="F342" s="9"/>
      <c r="G342" s="21">
        <v>6.8206799999999998E-2</v>
      </c>
      <c r="H342" s="21">
        <v>8.9329000000000001</v>
      </c>
      <c r="I342" s="21">
        <v>-1.3952600000000001E-2</v>
      </c>
      <c r="J342" s="21">
        <v>332</v>
      </c>
      <c r="K342" s="21">
        <v>6.7687999999999998E-2</v>
      </c>
      <c r="L342">
        <f t="shared" si="60"/>
        <v>17.225432098765431</v>
      </c>
      <c r="M342">
        <f t="shared" si="61"/>
        <v>1.1748916020740741</v>
      </c>
      <c r="N342" s="9"/>
      <c r="O342" s="21">
        <v>1.5718099999999999</v>
      </c>
      <c r="P342" s="21">
        <v>12.6312</v>
      </c>
      <c r="Q342" s="21">
        <v>-1.0064699999999999E-2</v>
      </c>
      <c r="R342" s="21">
        <v>332</v>
      </c>
      <c r="S342" s="21">
        <v>1.57135</v>
      </c>
      <c r="T342">
        <f t="shared" si="62"/>
        <v>12.425555555555555</v>
      </c>
      <c r="U342">
        <f t="shared" si="63"/>
        <v>19.530612477777776</v>
      </c>
      <c r="X342" s="9"/>
      <c r="Y342" s="21">
        <v>6.8206799999999998E-2</v>
      </c>
      <c r="Z342" s="21">
        <v>17.992100000000001</v>
      </c>
      <c r="AA342" s="21">
        <v>-1.3858000000000001E-2</v>
      </c>
      <c r="AB342" s="21">
        <v>332</v>
      </c>
      <c r="AC342" s="21">
        <v>6.7657499999999995E-2</v>
      </c>
      <c r="AD342">
        <f t="shared" si="64"/>
        <v>17.10864197530864</v>
      </c>
      <c r="AE342">
        <f t="shared" si="65"/>
        <v>1.1669257214814812</v>
      </c>
      <c r="AF342" s="9"/>
      <c r="AG342" s="21">
        <v>1.5718099999999999</v>
      </c>
      <c r="AH342" s="21">
        <v>21.6905</v>
      </c>
      <c r="AI342" s="21">
        <v>-1.0086100000000001E-2</v>
      </c>
      <c r="AJ342" s="21">
        <v>332</v>
      </c>
      <c r="AK342" s="21">
        <v>1.57104</v>
      </c>
      <c r="AL342">
        <f t="shared" si="66"/>
        <v>12.451975308641975</v>
      </c>
      <c r="AM342">
        <f t="shared" si="67"/>
        <v>19.57213930987654</v>
      </c>
      <c r="AP342" s="9"/>
      <c r="AQ342" s="21">
        <v>6.8206799999999998E-2</v>
      </c>
      <c r="AR342" s="21">
        <v>27.124300000000002</v>
      </c>
      <c r="AS342" s="21">
        <v>-1.38245E-2</v>
      </c>
      <c r="AT342" s="21">
        <v>332</v>
      </c>
      <c r="AU342" s="21">
        <v>6.7687999999999998E-2</v>
      </c>
      <c r="AV342">
        <f t="shared" si="68"/>
        <v>17.067283950617281</v>
      </c>
      <c r="AW342">
        <f t="shared" si="69"/>
        <v>1.1641048229629627</v>
      </c>
      <c r="AX342" s="9"/>
      <c r="AY342" s="21">
        <v>1.5718099999999999</v>
      </c>
      <c r="AZ342" s="21">
        <v>30.822700000000001</v>
      </c>
      <c r="BA342" s="21">
        <v>-9.8907500000000002E-3</v>
      </c>
      <c r="BB342" s="21">
        <v>332</v>
      </c>
      <c r="BC342" s="21">
        <v>1.57135</v>
      </c>
      <c r="BD342">
        <f t="shared" si="70"/>
        <v>12.210802469135801</v>
      </c>
      <c r="BE342">
        <f t="shared" si="71"/>
        <v>19.193061429012342</v>
      </c>
    </row>
    <row r="343" spans="6:57" x14ac:dyDescent="0.25">
      <c r="F343" s="9"/>
      <c r="G343" s="21">
        <v>6.3171400000000003E-2</v>
      </c>
      <c r="H343" s="21">
        <v>8.9429700000000008</v>
      </c>
      <c r="I343" s="21">
        <v>-1.3958699999999999E-2</v>
      </c>
      <c r="J343" s="21">
        <v>333</v>
      </c>
      <c r="K343" s="21">
        <v>6.2591599999999997E-2</v>
      </c>
      <c r="L343">
        <f t="shared" si="60"/>
        <v>17.232962962962961</v>
      </c>
      <c r="M343">
        <f t="shared" si="61"/>
        <v>1.0886303965185185</v>
      </c>
      <c r="N343" s="9"/>
      <c r="O343" s="21">
        <v>1.57684</v>
      </c>
      <c r="P343" s="21">
        <v>12.641299999999999</v>
      </c>
      <c r="Q343" s="21">
        <v>-9.9670399999999999E-3</v>
      </c>
      <c r="R343" s="21">
        <v>333</v>
      </c>
      <c r="S343" s="21">
        <v>1.5765400000000001</v>
      </c>
      <c r="T343">
        <f t="shared" si="62"/>
        <v>12.304987654320986</v>
      </c>
      <c r="U343">
        <f t="shared" si="63"/>
        <v>19.402996732839505</v>
      </c>
      <c r="X343" s="9"/>
      <c r="Y343" s="21">
        <v>6.3171400000000003E-2</v>
      </c>
      <c r="Z343" s="21">
        <v>18.002199999999998</v>
      </c>
      <c r="AA343" s="21">
        <v>-1.3858000000000001E-2</v>
      </c>
      <c r="AB343" s="21">
        <v>333</v>
      </c>
      <c r="AC343" s="21">
        <v>6.2591599999999997E-2</v>
      </c>
      <c r="AD343">
        <f t="shared" si="64"/>
        <v>17.10864197530864</v>
      </c>
      <c r="AE343">
        <f t="shared" si="65"/>
        <v>1.0807768656790122</v>
      </c>
      <c r="AF343" s="9"/>
      <c r="AG343" s="21">
        <v>1.57684</v>
      </c>
      <c r="AH343" s="21">
        <v>21.700600000000001</v>
      </c>
      <c r="AI343" s="21">
        <v>-9.9853500000000005E-3</v>
      </c>
      <c r="AJ343" s="21">
        <v>333</v>
      </c>
      <c r="AK343" s="21">
        <v>1.57623</v>
      </c>
      <c r="AL343">
        <f t="shared" si="66"/>
        <v>12.327592592592593</v>
      </c>
      <c r="AM343">
        <f t="shared" si="67"/>
        <v>19.438641103703706</v>
      </c>
      <c r="AP343" s="9"/>
      <c r="AQ343" s="21">
        <v>6.3171400000000003E-2</v>
      </c>
      <c r="AR343" s="21">
        <v>27.134399999999999</v>
      </c>
      <c r="AS343" s="21">
        <v>-1.3821399999999999E-2</v>
      </c>
      <c r="AT343" s="21">
        <v>333</v>
      </c>
      <c r="AU343" s="21">
        <v>6.2652600000000003E-2</v>
      </c>
      <c r="AV343">
        <f t="shared" si="68"/>
        <v>17.063456790123453</v>
      </c>
      <c r="AW343">
        <f t="shared" si="69"/>
        <v>1.0779224542716048</v>
      </c>
      <c r="AX343" s="9"/>
      <c r="AY343" s="21">
        <v>1.57684</v>
      </c>
      <c r="AZ343" s="21">
        <v>30.832699999999999</v>
      </c>
      <c r="BA343" s="21">
        <v>-9.7808800000000005E-3</v>
      </c>
      <c r="BB343" s="21">
        <v>333</v>
      </c>
      <c r="BC343" s="21">
        <v>1.5759300000000001</v>
      </c>
      <c r="BD343">
        <f t="shared" si="70"/>
        <v>12.075160493827159</v>
      </c>
      <c r="BE343">
        <f t="shared" si="71"/>
        <v>19.040596073086419</v>
      </c>
    </row>
    <row r="344" spans="6:57" x14ac:dyDescent="0.25">
      <c r="F344" s="9"/>
      <c r="G344" s="21">
        <v>5.8136E-2</v>
      </c>
      <c r="H344" s="21">
        <v>8.9530399999999997</v>
      </c>
      <c r="I344" s="21">
        <v>-1.3958699999999999E-2</v>
      </c>
      <c r="J344" s="21">
        <v>334</v>
      </c>
      <c r="K344" s="21">
        <v>5.7556200000000002E-2</v>
      </c>
      <c r="L344">
        <f t="shared" si="60"/>
        <v>17.232962962962961</v>
      </c>
      <c r="M344">
        <f t="shared" si="61"/>
        <v>1.0018555348148148</v>
      </c>
      <c r="N344" s="9"/>
      <c r="O344" s="21">
        <v>1.58188</v>
      </c>
      <c r="P344" s="21">
        <v>12.651400000000001</v>
      </c>
      <c r="Q344" s="21">
        <v>-9.8724399999999997E-3</v>
      </c>
      <c r="R344" s="21">
        <v>334</v>
      </c>
      <c r="S344" s="21">
        <v>1.5811200000000001</v>
      </c>
      <c r="T344">
        <f t="shared" si="62"/>
        <v>12.188197530864196</v>
      </c>
      <c r="U344">
        <f t="shared" si="63"/>
        <v>19.280265910123454</v>
      </c>
      <c r="X344" s="9"/>
      <c r="Y344" s="21">
        <v>5.8136E-2</v>
      </c>
      <c r="Z344" s="21">
        <v>18.0123</v>
      </c>
      <c r="AA344" s="21">
        <v>-1.3858000000000001E-2</v>
      </c>
      <c r="AB344" s="21">
        <v>334</v>
      </c>
      <c r="AC344" s="21">
        <v>5.76172E-2</v>
      </c>
      <c r="AD344">
        <f t="shared" si="64"/>
        <v>17.10864197530864</v>
      </c>
      <c r="AE344">
        <f t="shared" si="65"/>
        <v>0.9946280098765431</v>
      </c>
      <c r="AF344" s="9"/>
      <c r="AG344" s="21">
        <v>1.58188</v>
      </c>
      <c r="AH344" s="21">
        <v>21.710599999999999</v>
      </c>
      <c r="AI344" s="21">
        <v>-9.8846400000000001E-3</v>
      </c>
      <c r="AJ344" s="21">
        <v>334</v>
      </c>
      <c r="AK344" s="21">
        <v>1.5817300000000001</v>
      </c>
      <c r="AL344">
        <f t="shared" si="66"/>
        <v>12.203259259259259</v>
      </c>
      <c r="AM344">
        <f t="shared" si="67"/>
        <v>19.304091757037035</v>
      </c>
      <c r="AP344" s="9"/>
      <c r="AQ344" s="21">
        <v>5.8136E-2</v>
      </c>
      <c r="AR344" s="21">
        <v>27.144500000000001</v>
      </c>
      <c r="AS344" s="21">
        <v>-1.38031E-2</v>
      </c>
      <c r="AT344" s="21">
        <v>334</v>
      </c>
      <c r="AU344" s="21">
        <v>5.7525600000000003E-2</v>
      </c>
      <c r="AV344">
        <f t="shared" si="68"/>
        <v>17.040864197530862</v>
      </c>
      <c r="AW344">
        <f t="shared" si="69"/>
        <v>0.99068768098765414</v>
      </c>
      <c r="AX344" s="9"/>
      <c r="AY344" s="21">
        <v>1.58188</v>
      </c>
      <c r="AZ344" s="21">
        <v>30.8428</v>
      </c>
      <c r="BA344" s="21">
        <v>-9.6679699999999997E-3</v>
      </c>
      <c r="BB344" s="21">
        <v>334</v>
      </c>
      <c r="BC344" s="21">
        <v>1.58142</v>
      </c>
      <c r="BD344">
        <f t="shared" si="70"/>
        <v>11.935765432098764</v>
      </c>
      <c r="BE344">
        <f t="shared" si="71"/>
        <v>18.880948621728393</v>
      </c>
    </row>
    <row r="345" spans="6:57" x14ac:dyDescent="0.25">
      <c r="F345" s="9"/>
      <c r="G345" s="21">
        <v>5.3100599999999998E-2</v>
      </c>
      <c r="H345" s="21">
        <v>8.9631100000000004</v>
      </c>
      <c r="I345" s="21">
        <v>-1.3952600000000001E-2</v>
      </c>
      <c r="J345" s="21">
        <v>335</v>
      </c>
      <c r="K345" s="21">
        <v>5.2551300000000002E-2</v>
      </c>
      <c r="L345">
        <f t="shared" si="60"/>
        <v>17.225432098765431</v>
      </c>
      <c r="M345">
        <f t="shared" si="61"/>
        <v>0.91468077970370365</v>
      </c>
      <c r="N345" s="9"/>
      <c r="O345" s="21">
        <v>1.58691</v>
      </c>
      <c r="P345" s="21">
        <v>12.6615</v>
      </c>
      <c r="Q345" s="21">
        <v>-9.7564699999999997E-3</v>
      </c>
      <c r="R345" s="21">
        <v>335</v>
      </c>
      <c r="S345" s="21">
        <v>1.5863</v>
      </c>
      <c r="T345">
        <f t="shared" si="62"/>
        <v>12.045024691358025</v>
      </c>
      <c r="U345">
        <f t="shared" si="63"/>
        <v>19.114370132962964</v>
      </c>
      <c r="X345" s="9"/>
      <c r="Y345" s="21">
        <v>5.3100599999999998E-2</v>
      </c>
      <c r="Z345" s="21">
        <v>18.022300000000001</v>
      </c>
      <c r="AA345" s="21">
        <v>-1.3848900000000001E-2</v>
      </c>
      <c r="AB345" s="21">
        <v>335</v>
      </c>
      <c r="AC345" s="21">
        <v>5.2581799999999998E-2</v>
      </c>
      <c r="AD345">
        <f t="shared" si="64"/>
        <v>17.09740740740741</v>
      </c>
      <c r="AE345">
        <f t="shared" si="65"/>
        <v>0.90788259177777786</v>
      </c>
      <c r="AF345" s="9"/>
      <c r="AG345" s="21">
        <v>1.58691</v>
      </c>
      <c r="AH345" s="21">
        <v>21.720700000000001</v>
      </c>
      <c r="AI345" s="21">
        <v>-9.7747800000000003E-3</v>
      </c>
      <c r="AJ345" s="21">
        <v>335</v>
      </c>
      <c r="AK345" s="21">
        <v>1.5863</v>
      </c>
      <c r="AL345">
        <f t="shared" si="66"/>
        <v>12.06762962962963</v>
      </c>
      <c r="AM345">
        <f t="shared" si="67"/>
        <v>19.150242135555558</v>
      </c>
      <c r="AP345" s="9"/>
      <c r="AQ345" s="21">
        <v>5.3100599999999998E-2</v>
      </c>
      <c r="AR345" s="21">
        <v>27.154499999999999</v>
      </c>
      <c r="AS345" s="21">
        <v>-1.3797E-2</v>
      </c>
      <c r="AT345" s="21">
        <v>335</v>
      </c>
      <c r="AU345" s="21">
        <v>5.2581799999999998E-2</v>
      </c>
      <c r="AV345">
        <f t="shared" si="68"/>
        <v>17.033333333333331</v>
      </c>
      <c r="AW345">
        <f t="shared" si="69"/>
        <v>0.90448021999999983</v>
      </c>
      <c r="AX345" s="9"/>
      <c r="AY345" s="21">
        <v>1.58691</v>
      </c>
      <c r="AZ345" s="21">
        <v>30.852900000000002</v>
      </c>
      <c r="BA345" s="21">
        <v>-9.5428500000000003E-3</v>
      </c>
      <c r="BB345" s="21">
        <v>335</v>
      </c>
      <c r="BC345" s="21">
        <v>1.58691</v>
      </c>
      <c r="BD345">
        <f t="shared" si="70"/>
        <v>11.781296296296297</v>
      </c>
      <c r="BE345">
        <f t="shared" si="71"/>
        <v>18.695856905555559</v>
      </c>
    </row>
    <row r="346" spans="6:57" x14ac:dyDescent="0.25">
      <c r="F346" s="9"/>
      <c r="G346" s="21">
        <v>4.8065200000000002E-2</v>
      </c>
      <c r="H346" s="21">
        <v>8.9731900000000007</v>
      </c>
      <c r="I346" s="21">
        <v>-1.3958699999999999E-2</v>
      </c>
      <c r="J346" s="21">
        <v>336</v>
      </c>
      <c r="K346" s="21">
        <v>4.8004199999999997E-2</v>
      </c>
      <c r="L346">
        <f t="shared" si="60"/>
        <v>17.232962962962961</v>
      </c>
      <c r="M346">
        <f t="shared" si="61"/>
        <v>0.82830581140740733</v>
      </c>
      <c r="N346" s="9"/>
      <c r="O346" s="21">
        <v>1.59195</v>
      </c>
      <c r="P346" s="21">
        <v>12.6715</v>
      </c>
      <c r="Q346" s="21">
        <v>-9.6252400000000002E-3</v>
      </c>
      <c r="R346" s="21">
        <v>336</v>
      </c>
      <c r="S346" s="21">
        <v>1.5908800000000001</v>
      </c>
      <c r="T346">
        <f t="shared" si="62"/>
        <v>11.883012345679012</v>
      </c>
      <c r="U346">
        <f t="shared" si="63"/>
        <v>18.917161503703703</v>
      </c>
      <c r="X346" s="9"/>
      <c r="Y346" s="21">
        <v>4.8065200000000002E-2</v>
      </c>
      <c r="Z346" s="21">
        <v>18.032399999999999</v>
      </c>
      <c r="AA346" s="21">
        <v>-1.38519E-2</v>
      </c>
      <c r="AB346" s="21">
        <v>336</v>
      </c>
      <c r="AC346" s="21">
        <v>4.79797E-2</v>
      </c>
      <c r="AD346">
        <f t="shared" si="64"/>
        <v>17.101111111111113</v>
      </c>
      <c r="AE346">
        <f t="shared" si="65"/>
        <v>0.8219683257777779</v>
      </c>
      <c r="AF346" s="9"/>
      <c r="AG346" s="21">
        <v>1.59195</v>
      </c>
      <c r="AH346" s="21">
        <v>21.730799999999999</v>
      </c>
      <c r="AI346" s="21">
        <v>-9.6496599999999991E-3</v>
      </c>
      <c r="AJ346" s="21">
        <v>336</v>
      </c>
      <c r="AK346" s="21">
        <v>1.5911900000000001</v>
      </c>
      <c r="AL346">
        <f t="shared" si="66"/>
        <v>11.913160493827158</v>
      </c>
      <c r="AM346">
        <f t="shared" si="67"/>
        <v>18.965155848148143</v>
      </c>
      <c r="AP346" s="9"/>
      <c r="AQ346" s="21">
        <v>4.8065200000000002E-2</v>
      </c>
      <c r="AR346" s="21">
        <v>27.1646</v>
      </c>
      <c r="AS346" s="21">
        <v>-1.38031E-2</v>
      </c>
      <c r="AT346" s="21">
        <v>336</v>
      </c>
      <c r="AU346" s="21">
        <v>4.7970600000000002E-2</v>
      </c>
      <c r="AV346">
        <f t="shared" si="68"/>
        <v>17.040864197530862</v>
      </c>
      <c r="AW346">
        <f t="shared" si="69"/>
        <v>0.81907254582716038</v>
      </c>
      <c r="AX346" s="9"/>
      <c r="AY346" s="21">
        <v>1.59195</v>
      </c>
      <c r="AZ346" s="21">
        <v>30.863</v>
      </c>
      <c r="BA346" s="21">
        <v>-9.4299299999999996E-3</v>
      </c>
      <c r="BB346" s="21">
        <v>336</v>
      </c>
      <c r="BC346" s="21">
        <v>1.5911900000000001</v>
      </c>
      <c r="BD346">
        <f t="shared" si="70"/>
        <v>11.641888888888888</v>
      </c>
      <c r="BE346">
        <f t="shared" si="71"/>
        <v>18.533305016666663</v>
      </c>
    </row>
    <row r="347" spans="6:57" x14ac:dyDescent="0.25">
      <c r="F347" s="9"/>
      <c r="G347" s="21">
        <v>4.30298E-2</v>
      </c>
      <c r="H347" s="21">
        <v>8.9832599999999996</v>
      </c>
      <c r="I347" s="21">
        <v>-1.39679E-2</v>
      </c>
      <c r="J347" s="21">
        <v>337</v>
      </c>
      <c r="K347" s="21">
        <v>4.2904699999999997E-2</v>
      </c>
      <c r="L347">
        <f t="shared" si="60"/>
        <v>17.244320987654319</v>
      </c>
      <c r="M347">
        <f t="shared" si="61"/>
        <v>0.7420196832345678</v>
      </c>
      <c r="N347" s="9"/>
      <c r="O347" s="21">
        <v>1.5969800000000001</v>
      </c>
      <c r="P347" s="21">
        <v>12.6816</v>
      </c>
      <c r="Q347" s="21">
        <v>-9.5092800000000002E-3</v>
      </c>
      <c r="R347" s="21">
        <v>337</v>
      </c>
      <c r="S347" s="21">
        <v>1.5963700000000001</v>
      </c>
      <c r="T347">
        <f t="shared" si="62"/>
        <v>11.739851851851853</v>
      </c>
      <c r="U347">
        <f t="shared" si="63"/>
        <v>18.748308610370373</v>
      </c>
      <c r="X347" s="9"/>
      <c r="Y347" s="21">
        <v>4.30298E-2</v>
      </c>
      <c r="Z347" s="21">
        <v>18.0425</v>
      </c>
      <c r="AA347" s="21">
        <v>-1.3842800000000001E-2</v>
      </c>
      <c r="AB347" s="21">
        <v>337</v>
      </c>
      <c r="AC347" s="21">
        <v>4.28925E-2</v>
      </c>
      <c r="AD347">
        <f t="shared" si="64"/>
        <v>17.089876543209876</v>
      </c>
      <c r="AE347">
        <f t="shared" si="65"/>
        <v>0.73537396967901225</v>
      </c>
      <c r="AF347" s="9"/>
      <c r="AG347" s="21">
        <v>1.5969800000000001</v>
      </c>
      <c r="AH347" s="21">
        <v>21.7408</v>
      </c>
      <c r="AI347" s="21">
        <v>-9.5245399999999997E-3</v>
      </c>
      <c r="AJ347" s="21">
        <v>337</v>
      </c>
      <c r="AK347" s="21">
        <v>1.5954600000000001</v>
      </c>
      <c r="AL347">
        <f t="shared" si="66"/>
        <v>11.75869135802469</v>
      </c>
      <c r="AM347">
        <f t="shared" si="67"/>
        <v>18.778394924938269</v>
      </c>
      <c r="AP347" s="9"/>
      <c r="AQ347" s="21">
        <v>4.30298E-2</v>
      </c>
      <c r="AR347" s="21">
        <v>27.174700000000001</v>
      </c>
      <c r="AS347" s="21">
        <v>-1.38123E-2</v>
      </c>
      <c r="AT347" s="21">
        <v>337</v>
      </c>
      <c r="AU347" s="21">
        <v>4.2916900000000001E-2</v>
      </c>
      <c r="AV347">
        <f t="shared" si="68"/>
        <v>17.052222222222223</v>
      </c>
      <c r="AW347">
        <f t="shared" si="69"/>
        <v>0.73375371177777782</v>
      </c>
      <c r="AX347" s="9"/>
      <c r="AY347" s="21">
        <v>1.5969800000000001</v>
      </c>
      <c r="AZ347" s="21">
        <v>30.873000000000001</v>
      </c>
      <c r="BA347" s="21">
        <v>-9.3170200000000005E-3</v>
      </c>
      <c r="BB347" s="21">
        <v>337</v>
      </c>
      <c r="BC347" s="21">
        <v>1.5966800000000001</v>
      </c>
      <c r="BD347">
        <f t="shared" si="70"/>
        <v>11.502493827160494</v>
      </c>
      <c r="BE347">
        <f t="shared" si="71"/>
        <v>18.369252592098768</v>
      </c>
    </row>
    <row r="348" spans="6:57" x14ac:dyDescent="0.25">
      <c r="F348" s="9"/>
      <c r="G348" s="21">
        <v>3.7994399999999998E-2</v>
      </c>
      <c r="H348" s="21">
        <v>8.9933300000000003</v>
      </c>
      <c r="I348" s="21">
        <v>-1.39709E-2</v>
      </c>
      <c r="J348" s="21">
        <v>338</v>
      </c>
      <c r="K348" s="21">
        <v>3.7796000000000003E-2</v>
      </c>
      <c r="L348">
        <f t="shared" si="60"/>
        <v>17.248024691358022</v>
      </c>
      <c r="M348">
        <f t="shared" si="61"/>
        <v>0.65532834933333317</v>
      </c>
      <c r="N348" s="9"/>
      <c r="O348" s="21">
        <v>1.60202</v>
      </c>
      <c r="P348" s="21">
        <v>12.691700000000001</v>
      </c>
      <c r="Q348" s="21">
        <v>-9.3810999999999999E-3</v>
      </c>
      <c r="R348" s="21">
        <v>338</v>
      </c>
      <c r="S348" s="21">
        <v>1.6018699999999999</v>
      </c>
      <c r="T348">
        <f t="shared" si="62"/>
        <v>11.581604938271603</v>
      </c>
      <c r="U348">
        <f t="shared" si="63"/>
        <v>18.553962743209873</v>
      </c>
      <c r="X348" s="9"/>
      <c r="Y348" s="21">
        <v>3.7994399999999998E-2</v>
      </c>
      <c r="Z348" s="21">
        <v>18.052499999999998</v>
      </c>
      <c r="AA348" s="21">
        <v>-1.3842800000000001E-2</v>
      </c>
      <c r="AB348" s="21">
        <v>338</v>
      </c>
      <c r="AC348" s="21">
        <v>3.7847899999999997E-2</v>
      </c>
      <c r="AD348">
        <f t="shared" si="64"/>
        <v>17.089876543209876</v>
      </c>
      <c r="AE348">
        <f t="shared" si="65"/>
        <v>0.64931960533333322</v>
      </c>
      <c r="AF348" s="9"/>
      <c r="AG348" s="21">
        <v>1.60202</v>
      </c>
      <c r="AH348" s="21">
        <v>21.750900000000001</v>
      </c>
      <c r="AI348" s="21">
        <v>-9.4085699999999998E-3</v>
      </c>
      <c r="AJ348" s="21">
        <v>338</v>
      </c>
      <c r="AK348" s="21">
        <v>1.6015600000000001</v>
      </c>
      <c r="AL348">
        <f t="shared" si="66"/>
        <v>11.615518518518519</v>
      </c>
      <c r="AM348">
        <f t="shared" si="67"/>
        <v>18.608292977037038</v>
      </c>
      <c r="AP348" s="9"/>
      <c r="AQ348" s="21">
        <v>3.7994399999999998E-2</v>
      </c>
      <c r="AR348" s="21">
        <v>27.184799999999999</v>
      </c>
      <c r="AS348" s="21">
        <v>-1.3821399999999999E-2</v>
      </c>
      <c r="AT348" s="21">
        <v>338</v>
      </c>
      <c r="AU348" s="21">
        <v>3.80524E-2</v>
      </c>
      <c r="AV348">
        <f t="shared" si="68"/>
        <v>17.063456790123453</v>
      </c>
      <c r="AW348">
        <f t="shared" si="69"/>
        <v>0.64831580266666644</v>
      </c>
      <c r="AX348" s="9"/>
      <c r="AY348" s="21">
        <v>1.60202</v>
      </c>
      <c r="AZ348" s="21">
        <v>30.883099999999999</v>
      </c>
      <c r="BA348" s="21">
        <v>-9.2040999999999998E-3</v>
      </c>
      <c r="BB348" s="21">
        <v>338</v>
      </c>
      <c r="BC348" s="21">
        <v>1.6015600000000001</v>
      </c>
      <c r="BD348">
        <f t="shared" si="70"/>
        <v>11.363086419753087</v>
      </c>
      <c r="BE348">
        <f t="shared" si="71"/>
        <v>18.20389170617284</v>
      </c>
    </row>
    <row r="349" spans="6:57" x14ac:dyDescent="0.25">
      <c r="F349" s="9"/>
      <c r="G349" s="21">
        <v>3.2959000000000002E-2</v>
      </c>
      <c r="H349" s="21">
        <v>9.0033999999999992</v>
      </c>
      <c r="I349" s="21">
        <v>-1.3974E-2</v>
      </c>
      <c r="J349" s="21">
        <v>339</v>
      </c>
      <c r="K349" s="21">
        <v>3.2833899999999999E-2</v>
      </c>
      <c r="L349">
        <f t="shared" si="60"/>
        <v>17.251851851851853</v>
      </c>
      <c r="M349">
        <f t="shared" si="61"/>
        <v>0.56860378518518528</v>
      </c>
      <c r="N349" s="9"/>
      <c r="O349" s="21">
        <v>1.6070599999999999</v>
      </c>
      <c r="P349" s="21">
        <v>12.701700000000001</v>
      </c>
      <c r="Q349" s="21">
        <v>-9.2437700000000001E-3</v>
      </c>
      <c r="R349" s="21">
        <v>339</v>
      </c>
      <c r="S349" s="21">
        <v>1.6061399999999999</v>
      </c>
      <c r="T349">
        <f t="shared" si="62"/>
        <v>11.412061728395061</v>
      </c>
      <c r="U349">
        <f t="shared" si="63"/>
        <v>18.339867921234568</v>
      </c>
      <c r="X349" s="9"/>
      <c r="Y349" s="21">
        <v>3.2959000000000002E-2</v>
      </c>
      <c r="Z349" s="21">
        <v>18.0626</v>
      </c>
      <c r="AA349" s="21">
        <v>-1.38397E-2</v>
      </c>
      <c r="AB349" s="21">
        <v>339</v>
      </c>
      <c r="AC349" s="21">
        <v>3.2840000000000001E-2</v>
      </c>
      <c r="AD349">
        <f t="shared" si="64"/>
        <v>17.086049382716048</v>
      </c>
      <c r="AE349">
        <f t="shared" si="65"/>
        <v>0.5631391016049383</v>
      </c>
      <c r="AF349" s="9"/>
      <c r="AG349" s="21">
        <v>1.6070599999999999</v>
      </c>
      <c r="AH349" s="21">
        <v>21.760999999999999</v>
      </c>
      <c r="AI349" s="21">
        <v>-9.2834500000000004E-3</v>
      </c>
      <c r="AJ349" s="21">
        <v>339</v>
      </c>
      <c r="AK349" s="21">
        <v>1.6067499999999999</v>
      </c>
      <c r="AL349">
        <f t="shared" si="66"/>
        <v>11.461049382716048</v>
      </c>
      <c r="AM349">
        <f t="shared" si="67"/>
        <v>18.418594020987651</v>
      </c>
      <c r="AP349" s="9"/>
      <c r="AQ349" s="21">
        <v>3.2959000000000002E-2</v>
      </c>
      <c r="AR349" s="21">
        <v>27.194800000000001</v>
      </c>
      <c r="AS349" s="21">
        <v>-1.3821399999999999E-2</v>
      </c>
      <c r="AT349" s="21">
        <v>339</v>
      </c>
      <c r="AU349" s="21">
        <v>3.2720899999999997E-2</v>
      </c>
      <c r="AV349">
        <f t="shared" si="68"/>
        <v>17.063456790123453</v>
      </c>
      <c r="AW349">
        <f t="shared" si="69"/>
        <v>0.56239447234567896</v>
      </c>
      <c r="AX349" s="9"/>
      <c r="AY349" s="21">
        <v>1.6070599999999999</v>
      </c>
      <c r="AZ349" s="21">
        <v>30.8932</v>
      </c>
      <c r="BA349" s="21">
        <v>-9.0850800000000006E-3</v>
      </c>
      <c r="BB349" s="21">
        <v>339</v>
      </c>
      <c r="BC349" s="21">
        <v>1.6064499999999999</v>
      </c>
      <c r="BD349">
        <f t="shared" si="70"/>
        <v>11.216148148148148</v>
      </c>
      <c r="BE349">
        <f t="shared" si="71"/>
        <v>18.025023042962964</v>
      </c>
    </row>
    <row r="350" spans="6:57" x14ac:dyDescent="0.25">
      <c r="F350" s="9"/>
      <c r="G350" s="21">
        <v>2.79236E-2</v>
      </c>
      <c r="H350" s="21">
        <v>9.0134699999999999</v>
      </c>
      <c r="I350" s="21">
        <v>-1.3977099999999999E-2</v>
      </c>
      <c r="J350" s="21">
        <v>340</v>
      </c>
      <c r="K350" s="21">
        <v>2.7783200000000001E-2</v>
      </c>
      <c r="L350">
        <f t="shared" si="60"/>
        <v>17.255679012345677</v>
      </c>
      <c r="M350">
        <f t="shared" si="61"/>
        <v>0.48184067846913575</v>
      </c>
      <c r="N350" s="9"/>
      <c r="O350" s="21">
        <v>1.61209</v>
      </c>
      <c r="P350" s="21">
        <v>12.7118</v>
      </c>
      <c r="Q350" s="21">
        <v>-9.1064500000000003E-3</v>
      </c>
      <c r="R350" s="21">
        <v>340</v>
      </c>
      <c r="S350" s="21">
        <v>1.6110199999999999</v>
      </c>
      <c r="T350">
        <f t="shared" si="62"/>
        <v>11.24253086419753</v>
      </c>
      <c r="U350">
        <f t="shared" si="63"/>
        <v>18.123971580864197</v>
      </c>
      <c r="X350" s="9"/>
      <c r="Y350" s="21">
        <v>2.79236E-2</v>
      </c>
      <c r="Z350" s="21">
        <v>18.072700000000001</v>
      </c>
      <c r="AA350" s="21">
        <v>-1.38397E-2</v>
      </c>
      <c r="AB350" s="21">
        <v>340</v>
      </c>
      <c r="AC350" s="21">
        <v>2.7749599999999999E-2</v>
      </c>
      <c r="AD350">
        <f t="shared" si="64"/>
        <v>17.086049382716048</v>
      </c>
      <c r="AE350">
        <f t="shared" si="65"/>
        <v>0.47710400854320983</v>
      </c>
      <c r="AF350" s="9"/>
      <c r="AG350" s="21">
        <v>1.61209</v>
      </c>
      <c r="AH350" s="21">
        <v>21.771100000000001</v>
      </c>
      <c r="AI350" s="21">
        <v>-9.1522200000000008E-3</v>
      </c>
      <c r="AJ350" s="21">
        <v>340</v>
      </c>
      <c r="AK350" s="21">
        <v>1.6116299999999999</v>
      </c>
      <c r="AL350">
        <f t="shared" si="66"/>
        <v>11.299037037037039</v>
      </c>
      <c r="AM350">
        <f t="shared" si="67"/>
        <v>18.21506461703704</v>
      </c>
      <c r="AP350" s="9"/>
      <c r="AQ350" s="21">
        <v>2.79236E-2</v>
      </c>
      <c r="AR350" s="21">
        <v>27.204899999999999</v>
      </c>
      <c r="AS350" s="21">
        <v>-1.38184E-2</v>
      </c>
      <c r="AT350" s="21">
        <v>340</v>
      </c>
      <c r="AU350" s="21">
        <v>2.7771000000000001E-2</v>
      </c>
      <c r="AV350">
        <f t="shared" si="68"/>
        <v>17.05975308641975</v>
      </c>
      <c r="AW350">
        <f t="shared" si="69"/>
        <v>0.47636972128395055</v>
      </c>
      <c r="AX350" s="9"/>
      <c r="AY350" s="21">
        <v>1.61209</v>
      </c>
      <c r="AZ350" s="21">
        <v>30.903199999999998</v>
      </c>
      <c r="BA350" s="21">
        <v>-8.9599599999999995E-3</v>
      </c>
      <c r="BB350" s="21">
        <v>340</v>
      </c>
      <c r="BC350" s="21">
        <v>1.6107199999999999</v>
      </c>
      <c r="BD350">
        <f t="shared" si="70"/>
        <v>11.061679012345678</v>
      </c>
      <c r="BE350">
        <f t="shared" si="71"/>
        <v>17.832422119012346</v>
      </c>
    </row>
    <row r="351" spans="6:57" x14ac:dyDescent="0.25">
      <c r="F351" s="9"/>
      <c r="G351" s="21">
        <v>2.2888200000000001E-2</v>
      </c>
      <c r="H351" s="21">
        <v>9.0235400000000006</v>
      </c>
      <c r="I351" s="21">
        <v>-1.3992299999999999E-2</v>
      </c>
      <c r="J351" s="21">
        <v>341</v>
      </c>
      <c r="K351" s="21">
        <v>2.2711200000000001E-2</v>
      </c>
      <c r="L351">
        <f t="shared" si="60"/>
        <v>17.274444444444445</v>
      </c>
      <c r="M351">
        <f t="shared" si="61"/>
        <v>0.39538093933333335</v>
      </c>
      <c r="N351" s="9"/>
      <c r="O351" s="21">
        <v>1.61713</v>
      </c>
      <c r="P351" s="21">
        <v>12.7219</v>
      </c>
      <c r="Q351" s="21">
        <v>-8.9569100000000002E-3</v>
      </c>
      <c r="R351" s="21">
        <v>341</v>
      </c>
      <c r="S351" s="21">
        <v>1.61591</v>
      </c>
      <c r="T351">
        <f t="shared" si="62"/>
        <v>11.057913580246915</v>
      </c>
      <c r="U351">
        <f t="shared" si="63"/>
        <v>17.882083788024694</v>
      </c>
      <c r="X351" s="9"/>
      <c r="Y351" s="21">
        <v>2.2888200000000001E-2</v>
      </c>
      <c r="Z351" s="21">
        <v>18.082799999999999</v>
      </c>
      <c r="AA351" s="21">
        <v>-1.3848900000000001E-2</v>
      </c>
      <c r="AB351" s="21">
        <v>341</v>
      </c>
      <c r="AC351" s="21">
        <v>2.2735600000000002E-2</v>
      </c>
      <c r="AD351">
        <f t="shared" si="64"/>
        <v>17.09740740740741</v>
      </c>
      <c r="AE351">
        <f t="shared" si="65"/>
        <v>0.39132888022222229</v>
      </c>
      <c r="AF351" s="9"/>
      <c r="AG351" s="21">
        <v>1.61713</v>
      </c>
      <c r="AH351" s="21">
        <v>21.781099999999999</v>
      </c>
      <c r="AI351" s="21">
        <v>-9.0087899999999992E-3</v>
      </c>
      <c r="AJ351" s="21">
        <v>341</v>
      </c>
      <c r="AK351" s="21">
        <v>1.61652</v>
      </c>
      <c r="AL351">
        <f t="shared" si="66"/>
        <v>11.121962962962963</v>
      </c>
      <c r="AM351">
        <f t="shared" si="67"/>
        <v>17.985659966296296</v>
      </c>
      <c r="AP351" s="9"/>
      <c r="AQ351" s="21">
        <v>2.2888200000000001E-2</v>
      </c>
      <c r="AR351" s="21">
        <v>27.215</v>
      </c>
      <c r="AS351" s="21">
        <v>-1.38184E-2</v>
      </c>
      <c r="AT351" s="21">
        <v>341</v>
      </c>
      <c r="AU351" s="21">
        <v>2.27814E-2</v>
      </c>
      <c r="AV351">
        <f t="shared" si="68"/>
        <v>17.05975308641975</v>
      </c>
      <c r="AW351">
        <f t="shared" si="69"/>
        <v>0.39046704059259252</v>
      </c>
      <c r="AX351" s="9"/>
      <c r="AY351" s="21">
        <v>1.61713</v>
      </c>
      <c r="AZ351" s="21">
        <v>30.9133</v>
      </c>
      <c r="BA351" s="21">
        <v>-8.8165299999999995E-3</v>
      </c>
      <c r="BB351" s="21">
        <v>341</v>
      </c>
      <c r="BC351" s="21">
        <v>1.61652</v>
      </c>
      <c r="BD351">
        <f t="shared" si="70"/>
        <v>10.884604938271604</v>
      </c>
      <c r="BE351">
        <f t="shared" si="71"/>
        <v>17.601821183827159</v>
      </c>
    </row>
    <row r="352" spans="6:57" x14ac:dyDescent="0.25">
      <c r="F352" s="9"/>
      <c r="G352" s="21">
        <v>1.7852799999999999E-2</v>
      </c>
      <c r="H352" s="21">
        <v>9.0336099999999995</v>
      </c>
      <c r="I352" s="21">
        <v>-1.39954E-2</v>
      </c>
      <c r="J352" s="21">
        <v>342</v>
      </c>
      <c r="K352" s="21">
        <v>1.76849E-2</v>
      </c>
      <c r="L352">
        <f t="shared" si="60"/>
        <v>17.278271604938272</v>
      </c>
      <c r="M352">
        <f t="shared" si="61"/>
        <v>0.30846552730864196</v>
      </c>
      <c r="N352" s="9"/>
      <c r="O352" s="21">
        <v>1.62216</v>
      </c>
      <c r="P352" s="21">
        <v>12.731999999999999</v>
      </c>
      <c r="Q352" s="21">
        <v>-8.7982200000000007E-3</v>
      </c>
      <c r="R352" s="21">
        <v>342</v>
      </c>
      <c r="S352" s="21">
        <v>1.62201</v>
      </c>
      <c r="T352">
        <f t="shared" si="62"/>
        <v>10.862</v>
      </c>
      <c r="U352">
        <f t="shared" si="63"/>
        <v>17.61990192</v>
      </c>
      <c r="X352" s="9"/>
      <c r="Y352" s="21">
        <v>1.7852799999999999E-2</v>
      </c>
      <c r="Z352" s="21">
        <v>18.0928</v>
      </c>
      <c r="AA352" s="21">
        <v>-1.38519E-2</v>
      </c>
      <c r="AB352" s="21">
        <v>342</v>
      </c>
      <c r="AC352" s="21">
        <v>1.76849E-2</v>
      </c>
      <c r="AD352">
        <f t="shared" si="64"/>
        <v>17.101111111111113</v>
      </c>
      <c r="AE352">
        <f t="shared" si="65"/>
        <v>0.30530271644444446</v>
      </c>
      <c r="AF352" s="9"/>
      <c r="AG352" s="21">
        <v>1.62216</v>
      </c>
      <c r="AH352" s="21">
        <v>21.7912</v>
      </c>
      <c r="AI352" s="21">
        <v>-8.8623E-3</v>
      </c>
      <c r="AJ352" s="21">
        <v>342</v>
      </c>
      <c r="AK352" s="21">
        <v>1.6214</v>
      </c>
      <c r="AL352">
        <f t="shared" si="66"/>
        <v>10.941111111111109</v>
      </c>
      <c r="AM352">
        <f t="shared" si="67"/>
        <v>17.748232799999997</v>
      </c>
      <c r="AP352" s="9"/>
      <c r="AQ352" s="21">
        <v>1.7852799999999999E-2</v>
      </c>
      <c r="AR352" s="21">
        <v>27.225000000000001</v>
      </c>
      <c r="AS352" s="21">
        <v>-1.38123E-2</v>
      </c>
      <c r="AT352" s="21">
        <v>342</v>
      </c>
      <c r="AU352" s="21">
        <v>1.76727E-2</v>
      </c>
      <c r="AV352">
        <f t="shared" si="68"/>
        <v>17.052222222222223</v>
      </c>
      <c r="AW352">
        <f t="shared" si="69"/>
        <v>0.30442991288888888</v>
      </c>
      <c r="AX352" s="9"/>
      <c r="AY352" s="21">
        <v>1.62216</v>
      </c>
      <c r="AZ352" s="21">
        <v>30.923400000000001</v>
      </c>
      <c r="BA352" s="21">
        <v>-8.6669899999999994E-3</v>
      </c>
      <c r="BB352" s="21">
        <v>342</v>
      </c>
      <c r="BC352" s="21">
        <v>1.6214</v>
      </c>
      <c r="BD352">
        <f t="shared" si="70"/>
        <v>10.699987654320985</v>
      </c>
      <c r="BE352">
        <f t="shared" si="71"/>
        <v>17.357091973333329</v>
      </c>
    </row>
    <row r="353" spans="6:57" x14ac:dyDescent="0.25">
      <c r="F353" s="9"/>
      <c r="G353" s="21">
        <v>1.28174E-2</v>
      </c>
      <c r="H353" s="21">
        <v>9.0436800000000002</v>
      </c>
      <c r="I353" s="21">
        <v>-1.3992299999999999E-2</v>
      </c>
      <c r="J353" s="21">
        <v>343</v>
      </c>
      <c r="K353" s="21">
        <v>1.26465E-2</v>
      </c>
      <c r="L353">
        <f t="shared" si="60"/>
        <v>17.274444444444445</v>
      </c>
      <c r="M353">
        <f t="shared" si="61"/>
        <v>0.22141346422222222</v>
      </c>
      <c r="N353" s="9"/>
      <c r="O353" s="21">
        <v>1.6272</v>
      </c>
      <c r="P353" s="21">
        <v>12.742000000000001</v>
      </c>
      <c r="Q353" s="21">
        <v>-8.6334199999999993E-3</v>
      </c>
      <c r="R353" s="21">
        <v>343</v>
      </c>
      <c r="S353" s="21">
        <v>1.62659</v>
      </c>
      <c r="T353">
        <f t="shared" si="62"/>
        <v>10.658543209876541</v>
      </c>
      <c r="U353">
        <f t="shared" si="63"/>
        <v>17.343581511111108</v>
      </c>
      <c r="X353" s="9"/>
      <c r="Y353" s="21">
        <v>1.28174E-2</v>
      </c>
      <c r="Z353" s="21">
        <v>18.102900000000002</v>
      </c>
      <c r="AA353" s="21">
        <v>-1.3861099999999999E-2</v>
      </c>
      <c r="AB353" s="21">
        <v>343</v>
      </c>
      <c r="AC353" s="21">
        <v>1.2655599999999999E-2</v>
      </c>
      <c r="AD353">
        <f t="shared" si="64"/>
        <v>17.112469135802467</v>
      </c>
      <c r="AE353">
        <f t="shared" si="65"/>
        <v>0.21933736190123454</v>
      </c>
      <c r="AF353" s="9"/>
      <c r="AG353" s="21">
        <v>1.6272</v>
      </c>
      <c r="AH353" s="21">
        <v>21.801300000000001</v>
      </c>
      <c r="AI353" s="21">
        <v>-8.7036100000000005E-3</v>
      </c>
      <c r="AJ353" s="21">
        <v>343</v>
      </c>
      <c r="AK353" s="21">
        <v>1.62659</v>
      </c>
      <c r="AL353">
        <f t="shared" si="66"/>
        <v>10.745197530864198</v>
      </c>
      <c r="AM353">
        <f t="shared" si="67"/>
        <v>17.484585422222224</v>
      </c>
      <c r="AP353" s="9"/>
      <c r="AQ353" s="21">
        <v>1.28174E-2</v>
      </c>
      <c r="AR353" s="21">
        <v>27.235099999999999</v>
      </c>
      <c r="AS353" s="21">
        <v>-1.38275E-2</v>
      </c>
      <c r="AT353" s="21">
        <v>343</v>
      </c>
      <c r="AU353" s="21">
        <v>1.2560999999999999E-2</v>
      </c>
      <c r="AV353">
        <f t="shared" si="68"/>
        <v>17.070987654320987</v>
      </c>
      <c r="AW353">
        <f t="shared" si="69"/>
        <v>0.21880567716049382</v>
      </c>
      <c r="AX353" s="9"/>
      <c r="AY353" s="21">
        <v>1.6272</v>
      </c>
      <c r="AZ353" s="21">
        <v>30.933499999999999</v>
      </c>
      <c r="BA353" s="21">
        <v>-8.5082999999999999E-3</v>
      </c>
      <c r="BB353" s="21">
        <v>343</v>
      </c>
      <c r="BC353" s="21">
        <v>1.6262799999999999</v>
      </c>
      <c r="BD353">
        <f t="shared" si="70"/>
        <v>10.504074074074074</v>
      </c>
      <c r="BE353">
        <f t="shared" si="71"/>
        <v>17.092229333333332</v>
      </c>
    </row>
    <row r="354" spans="6:57" x14ac:dyDescent="0.25">
      <c r="F354" s="9"/>
      <c r="G354" s="21">
        <v>7.78198E-3</v>
      </c>
      <c r="H354" s="21">
        <v>9.0537500000000009</v>
      </c>
      <c r="I354" s="21">
        <v>-1.3980100000000001E-2</v>
      </c>
      <c r="J354" s="21">
        <v>344</v>
      </c>
      <c r="K354" s="21">
        <v>7.5836200000000001E-3</v>
      </c>
      <c r="L354">
        <f t="shared" si="60"/>
        <v>17.259382716049384</v>
      </c>
      <c r="M354">
        <f t="shared" si="61"/>
        <v>0.13431217110864199</v>
      </c>
      <c r="N354" s="9"/>
      <c r="O354" s="21">
        <v>1.6322300000000001</v>
      </c>
      <c r="P354" s="21">
        <v>12.7521</v>
      </c>
      <c r="Q354" s="21">
        <v>-8.4564199999999992E-3</v>
      </c>
      <c r="R354" s="21">
        <v>344</v>
      </c>
      <c r="S354" s="21">
        <v>1.63147</v>
      </c>
      <c r="T354">
        <f t="shared" si="62"/>
        <v>10.440024691358024</v>
      </c>
      <c r="U354">
        <f t="shared" si="63"/>
        <v>17.040521501975309</v>
      </c>
      <c r="X354" s="9"/>
      <c r="Y354" s="21">
        <v>7.78198E-3</v>
      </c>
      <c r="Z354" s="21">
        <v>18.113</v>
      </c>
      <c r="AA354" s="21">
        <v>-1.3870199999999999E-2</v>
      </c>
      <c r="AB354" s="21">
        <v>344</v>
      </c>
      <c r="AC354" s="21">
        <v>7.5622600000000003E-3</v>
      </c>
      <c r="AD354">
        <f t="shared" si="64"/>
        <v>17.123703703703701</v>
      </c>
      <c r="AE354">
        <f t="shared" si="65"/>
        <v>0.13325631974814811</v>
      </c>
      <c r="AF354" s="9"/>
      <c r="AG354" s="21">
        <v>1.6322300000000001</v>
      </c>
      <c r="AH354" s="21">
        <v>21.811299999999999</v>
      </c>
      <c r="AI354" s="21">
        <v>-8.5388200000000008E-3</v>
      </c>
      <c r="AJ354" s="21">
        <v>344</v>
      </c>
      <c r="AK354" s="21">
        <v>1.6317699999999999</v>
      </c>
      <c r="AL354">
        <f t="shared" si="66"/>
        <v>10.541753086419755</v>
      </c>
      <c r="AM354">
        <f t="shared" si="67"/>
        <v>17.206565640246918</v>
      </c>
      <c r="AP354" s="9"/>
      <c r="AQ354" s="21">
        <v>7.78198E-3</v>
      </c>
      <c r="AR354" s="21">
        <v>27.245200000000001</v>
      </c>
      <c r="AS354" s="21">
        <v>-1.38306E-2</v>
      </c>
      <c r="AT354" s="21">
        <v>344</v>
      </c>
      <c r="AU354" s="21">
        <v>7.5744599999999999E-3</v>
      </c>
      <c r="AV354">
        <f t="shared" si="68"/>
        <v>17.074814814814815</v>
      </c>
      <c r="AW354">
        <f t="shared" si="69"/>
        <v>0.13287586739259258</v>
      </c>
      <c r="AX354" s="9"/>
      <c r="AY354" s="21">
        <v>1.6322300000000001</v>
      </c>
      <c r="AZ354" s="21">
        <v>30.9435</v>
      </c>
      <c r="BA354" s="21">
        <v>-8.3343500000000008E-3</v>
      </c>
      <c r="BB354" s="21">
        <v>344</v>
      </c>
      <c r="BC354" s="21">
        <v>1.63208</v>
      </c>
      <c r="BD354">
        <f t="shared" si="70"/>
        <v>10.289320987654321</v>
      </c>
      <c r="BE354">
        <f t="shared" si="71"/>
        <v>16.794538395679012</v>
      </c>
    </row>
    <row r="355" spans="6:57" x14ac:dyDescent="0.25">
      <c r="F355" s="9"/>
      <c r="G355" s="21">
        <v>2.7465800000000002E-3</v>
      </c>
      <c r="H355" s="21">
        <v>9.0638199999999998</v>
      </c>
      <c r="I355" s="21">
        <v>-1.39709E-2</v>
      </c>
      <c r="J355" s="21">
        <v>345</v>
      </c>
      <c r="K355" s="21">
        <v>2.5390600000000001E-3</v>
      </c>
      <c r="L355">
        <f t="shared" si="60"/>
        <v>17.248024691358022</v>
      </c>
      <c r="M355">
        <f t="shared" si="61"/>
        <v>4.7373079656790121E-2</v>
      </c>
      <c r="N355" s="9"/>
      <c r="O355" s="21">
        <v>1.63727</v>
      </c>
      <c r="P355" s="21">
        <v>12.7622</v>
      </c>
      <c r="Q355" s="21">
        <v>-8.2580599999999994E-3</v>
      </c>
      <c r="R355" s="21">
        <v>345</v>
      </c>
      <c r="S355" s="21">
        <v>1.63635</v>
      </c>
      <c r="T355">
        <f t="shared" si="62"/>
        <v>10.195135802469133</v>
      </c>
      <c r="U355">
        <f t="shared" si="63"/>
        <v>16.692189995308638</v>
      </c>
      <c r="X355" s="9"/>
      <c r="Y355" s="21">
        <v>2.7465800000000002E-3</v>
      </c>
      <c r="Z355" s="21">
        <v>18.123000000000001</v>
      </c>
      <c r="AA355" s="21">
        <v>-1.3870199999999999E-2</v>
      </c>
      <c r="AB355" s="21">
        <v>345</v>
      </c>
      <c r="AC355" s="21">
        <v>2.5848400000000001E-3</v>
      </c>
      <c r="AD355">
        <f t="shared" si="64"/>
        <v>17.123703703703701</v>
      </c>
      <c r="AE355">
        <f t="shared" si="65"/>
        <v>4.7031622118518517E-2</v>
      </c>
      <c r="AF355" s="9"/>
      <c r="AG355" s="21">
        <v>1.63727</v>
      </c>
      <c r="AH355" s="21">
        <v>21.821400000000001</v>
      </c>
      <c r="AI355" s="21">
        <v>-8.3465599999999994E-3</v>
      </c>
      <c r="AJ355" s="21">
        <v>345</v>
      </c>
      <c r="AK355" s="21">
        <v>1.63666</v>
      </c>
      <c r="AL355">
        <f t="shared" si="66"/>
        <v>10.304395061728394</v>
      </c>
      <c r="AM355">
        <f t="shared" si="67"/>
        <v>16.871076902716048</v>
      </c>
      <c r="AP355" s="9"/>
      <c r="AQ355" s="21">
        <v>2.7465800000000002E-3</v>
      </c>
      <c r="AR355" s="21">
        <v>27.255299999999998</v>
      </c>
      <c r="AS355" s="21">
        <v>-1.38397E-2</v>
      </c>
      <c r="AT355" s="21">
        <v>345</v>
      </c>
      <c r="AU355" s="21">
        <v>2.66724E-3</v>
      </c>
      <c r="AV355">
        <f t="shared" si="68"/>
        <v>17.086049382716048</v>
      </c>
      <c r="AW355">
        <f t="shared" si="69"/>
        <v>4.692820151358025E-2</v>
      </c>
      <c r="AX355" s="9"/>
      <c r="AY355" s="21">
        <v>1.63727</v>
      </c>
      <c r="AZ355" s="21">
        <v>30.953600000000002</v>
      </c>
      <c r="BA355" s="21">
        <v>-8.1420899999999994E-3</v>
      </c>
      <c r="BB355" s="21">
        <v>345</v>
      </c>
      <c r="BC355" s="21">
        <v>1.63666</v>
      </c>
      <c r="BD355">
        <f t="shared" si="70"/>
        <v>10.051962962962962</v>
      </c>
      <c r="BE355">
        <f t="shared" si="71"/>
        <v>16.457777400370368</v>
      </c>
    </row>
    <row r="356" spans="6:57" x14ac:dyDescent="0.25">
      <c r="F356" s="9"/>
      <c r="G356" s="21">
        <v>-2.28882E-3</v>
      </c>
      <c r="H356" s="21">
        <v>9.0739000000000001</v>
      </c>
      <c r="I356" s="21">
        <v>-1.3964799999999999E-2</v>
      </c>
      <c r="J356" s="21">
        <v>346</v>
      </c>
      <c r="K356" s="21">
        <v>-2.5299099999999998E-3</v>
      </c>
      <c r="L356">
        <f t="shared" si="60"/>
        <v>17.240493827160492</v>
      </c>
      <c r="M356">
        <f t="shared" si="61"/>
        <v>-3.9460387081481474E-2</v>
      </c>
      <c r="N356" s="9"/>
      <c r="O356" s="21">
        <v>1.6423000000000001</v>
      </c>
      <c r="P356" s="21">
        <v>12.7722</v>
      </c>
      <c r="Q356" s="21">
        <v>-8.0566400000000003E-3</v>
      </c>
      <c r="R356" s="21">
        <v>346</v>
      </c>
      <c r="S356" s="21">
        <v>1.64215</v>
      </c>
      <c r="T356">
        <f t="shared" si="62"/>
        <v>9.9464691358024702</v>
      </c>
      <c r="U356">
        <f t="shared" si="63"/>
        <v>16.335086261728399</v>
      </c>
      <c r="X356" s="9"/>
      <c r="Y356" s="21">
        <v>-2.28882E-3</v>
      </c>
      <c r="Z356" s="21">
        <v>18.133099999999999</v>
      </c>
      <c r="AA356" s="21">
        <v>-1.3858000000000001E-2</v>
      </c>
      <c r="AB356" s="21">
        <v>346</v>
      </c>
      <c r="AC356" s="21">
        <v>-2.4871799999999999E-3</v>
      </c>
      <c r="AD356">
        <f t="shared" si="64"/>
        <v>17.10864197530864</v>
      </c>
      <c r="AE356">
        <f t="shared" si="65"/>
        <v>-3.915860192592592E-2</v>
      </c>
      <c r="AF356" s="9"/>
      <c r="AG356" s="21">
        <v>1.6423000000000001</v>
      </c>
      <c r="AH356" s="21">
        <v>21.831499999999998</v>
      </c>
      <c r="AI356" s="21">
        <v>-8.1634499999999992E-3</v>
      </c>
      <c r="AJ356" s="21">
        <v>346</v>
      </c>
      <c r="AK356" s="21">
        <v>1.64154</v>
      </c>
      <c r="AL356">
        <f t="shared" si="66"/>
        <v>10.078333333333331</v>
      </c>
      <c r="AM356">
        <f t="shared" si="67"/>
        <v>16.551646833333329</v>
      </c>
      <c r="AP356" s="9"/>
      <c r="AQ356" s="21">
        <v>-2.28882E-3</v>
      </c>
      <c r="AR356" s="21">
        <v>27.2653</v>
      </c>
      <c r="AS356" s="21">
        <v>-1.38397E-2</v>
      </c>
      <c r="AT356" s="21">
        <v>346</v>
      </c>
      <c r="AU356" s="21">
        <v>-2.58179E-3</v>
      </c>
      <c r="AV356">
        <f t="shared" si="68"/>
        <v>17.086049382716048</v>
      </c>
      <c r="AW356">
        <f t="shared" si="69"/>
        <v>-3.9106891548148143E-2</v>
      </c>
      <c r="AX356" s="9"/>
      <c r="AY356" s="21">
        <v>1.6423000000000001</v>
      </c>
      <c r="AZ356" s="21">
        <v>30.963699999999999</v>
      </c>
      <c r="BA356" s="21">
        <v>-7.9345700000000002E-3</v>
      </c>
      <c r="BB356" s="21">
        <v>346</v>
      </c>
      <c r="BC356" s="21">
        <v>1.64124</v>
      </c>
      <c r="BD356">
        <f t="shared" si="70"/>
        <v>9.795765432098765</v>
      </c>
      <c r="BE356">
        <f t="shared" si="71"/>
        <v>16.087585569135804</v>
      </c>
    </row>
    <row r="357" spans="6:57" x14ac:dyDescent="0.25">
      <c r="F357" s="9"/>
      <c r="G357" s="21">
        <v>-7.3242200000000002E-3</v>
      </c>
      <c r="H357" s="21">
        <v>9.0839700000000008</v>
      </c>
      <c r="I357" s="21">
        <v>-1.3958699999999999E-2</v>
      </c>
      <c r="J357" s="21">
        <v>347</v>
      </c>
      <c r="K357" s="21">
        <v>-7.6171900000000002E-3</v>
      </c>
      <c r="L357">
        <f t="shared" si="60"/>
        <v>17.232962962962961</v>
      </c>
      <c r="M357">
        <f t="shared" si="61"/>
        <v>-0.12621801199259258</v>
      </c>
      <c r="N357" s="9"/>
      <c r="O357" s="21">
        <v>1.64734</v>
      </c>
      <c r="P357" s="21">
        <v>12.782299999999999</v>
      </c>
      <c r="Q357" s="21">
        <v>-7.8430199999999992E-3</v>
      </c>
      <c r="R357" s="21">
        <v>347</v>
      </c>
      <c r="S357" s="21">
        <v>1.64642</v>
      </c>
      <c r="T357">
        <f t="shared" si="62"/>
        <v>9.6827407407407389</v>
      </c>
      <c r="U357">
        <f t="shared" si="63"/>
        <v>15.950766131851848</v>
      </c>
      <c r="X357" s="9"/>
      <c r="Y357" s="21">
        <v>-7.3242200000000002E-3</v>
      </c>
      <c r="Z357" s="21">
        <v>18.1432</v>
      </c>
      <c r="AA357" s="21">
        <v>-1.3854999999999999E-2</v>
      </c>
      <c r="AB357" s="21">
        <v>347</v>
      </c>
      <c r="AC357" s="21">
        <v>-7.5683599999999997E-3</v>
      </c>
      <c r="AD357">
        <f t="shared" si="64"/>
        <v>17.104938271604937</v>
      </c>
      <c r="AE357">
        <f t="shared" si="65"/>
        <v>-0.12528033098765431</v>
      </c>
      <c r="AF357" s="9"/>
      <c r="AG357" s="21">
        <v>1.64734</v>
      </c>
      <c r="AH357" s="21">
        <v>21.8416</v>
      </c>
      <c r="AI357" s="21">
        <v>-7.9528800000000007E-3</v>
      </c>
      <c r="AJ357" s="21">
        <v>347</v>
      </c>
      <c r="AK357" s="21">
        <v>1.64673</v>
      </c>
      <c r="AL357">
        <f t="shared" si="66"/>
        <v>9.8183703703703706</v>
      </c>
      <c r="AM357">
        <f t="shared" si="67"/>
        <v>16.174194245925925</v>
      </c>
      <c r="AP357" s="9"/>
      <c r="AQ357" s="21">
        <v>-7.3242200000000002E-3</v>
      </c>
      <c r="AR357" s="21">
        <v>27.275400000000001</v>
      </c>
      <c r="AS357" s="21">
        <v>-1.38336E-2</v>
      </c>
      <c r="AT357" s="21">
        <v>347</v>
      </c>
      <c r="AU357" s="21">
        <v>-7.5683599999999997E-3</v>
      </c>
      <c r="AV357">
        <f t="shared" si="68"/>
        <v>17.078518518518518</v>
      </c>
      <c r="AW357">
        <f t="shared" si="69"/>
        <v>-0.12508682690370371</v>
      </c>
      <c r="AX357" s="9"/>
      <c r="AY357" s="21">
        <v>1.64734</v>
      </c>
      <c r="AZ357" s="21">
        <v>30.973700000000001</v>
      </c>
      <c r="BA357" s="21">
        <v>-7.7148399999999997E-3</v>
      </c>
      <c r="BB357" s="21">
        <v>347</v>
      </c>
      <c r="BC357" s="21">
        <v>1.64673</v>
      </c>
      <c r="BD357">
        <f t="shared" si="70"/>
        <v>9.5244938271604926</v>
      </c>
      <c r="BE357">
        <f t="shared" si="71"/>
        <v>15.690079661234567</v>
      </c>
    </row>
    <row r="358" spans="6:57" x14ac:dyDescent="0.25">
      <c r="F358" s="9"/>
      <c r="G358" s="21">
        <v>-1.23596E-2</v>
      </c>
      <c r="H358" s="21">
        <v>9.0940399999999997</v>
      </c>
      <c r="I358" s="21">
        <v>-1.3964799999999999E-2</v>
      </c>
      <c r="J358" s="21">
        <v>348</v>
      </c>
      <c r="K358" s="21">
        <v>-1.2759400000000001E-2</v>
      </c>
      <c r="L358">
        <f t="shared" si="60"/>
        <v>17.240493827160492</v>
      </c>
      <c r="M358">
        <f t="shared" si="61"/>
        <v>-0.21308560750617281</v>
      </c>
      <c r="N358" s="9"/>
      <c r="O358" s="21">
        <v>1.6523699999999999</v>
      </c>
      <c r="P358" s="21">
        <v>12.792400000000001</v>
      </c>
      <c r="Q358" s="21">
        <v>-7.6019299999999998E-3</v>
      </c>
      <c r="R358" s="21">
        <v>348</v>
      </c>
      <c r="S358" s="21">
        <v>1.6513100000000001</v>
      </c>
      <c r="T358">
        <f t="shared" si="62"/>
        <v>9.3850987654320974</v>
      </c>
      <c r="U358">
        <f t="shared" si="63"/>
        <v>15.507655647037033</v>
      </c>
      <c r="X358" s="9"/>
      <c r="Y358" s="21">
        <v>-1.23596E-2</v>
      </c>
      <c r="Z358" s="21">
        <v>18.153300000000002</v>
      </c>
      <c r="AA358" s="21">
        <v>-1.38672E-2</v>
      </c>
      <c r="AB358" s="21">
        <v>348</v>
      </c>
      <c r="AC358" s="21">
        <v>-1.26099E-2</v>
      </c>
      <c r="AD358">
        <f t="shared" si="64"/>
        <v>17.12</v>
      </c>
      <c r="AE358">
        <f t="shared" si="65"/>
        <v>-0.21159635200000002</v>
      </c>
      <c r="AF358" s="9"/>
      <c r="AG358" s="21">
        <v>1.6523699999999999</v>
      </c>
      <c r="AH358" s="21">
        <v>21.851600000000001</v>
      </c>
      <c r="AI358" s="21">
        <v>-7.7301000000000002E-3</v>
      </c>
      <c r="AJ358" s="21">
        <v>348</v>
      </c>
      <c r="AK358" s="21">
        <v>1.65161</v>
      </c>
      <c r="AL358">
        <f t="shared" si="66"/>
        <v>9.543333333333333</v>
      </c>
      <c r="AM358">
        <f t="shared" si="67"/>
        <v>15.769117699999999</v>
      </c>
      <c r="AP358" s="9"/>
      <c r="AQ358" s="21">
        <v>-1.23596E-2</v>
      </c>
      <c r="AR358" s="21">
        <v>27.285499999999999</v>
      </c>
      <c r="AS358" s="21">
        <v>-1.38275E-2</v>
      </c>
      <c r="AT358" s="21">
        <v>348</v>
      </c>
      <c r="AU358" s="21">
        <v>-1.25977E-2</v>
      </c>
      <c r="AV358">
        <f t="shared" si="68"/>
        <v>17.070987654320987</v>
      </c>
      <c r="AW358">
        <f t="shared" si="69"/>
        <v>-0.21099057901234566</v>
      </c>
      <c r="AX358" s="9"/>
      <c r="AY358" s="21">
        <v>1.6523699999999999</v>
      </c>
      <c r="AZ358" s="21">
        <v>30.983799999999999</v>
      </c>
      <c r="BA358" s="21">
        <v>-7.4890099999999999E-3</v>
      </c>
      <c r="BB358" s="21">
        <v>348</v>
      </c>
      <c r="BC358" s="21">
        <v>1.6519200000000001</v>
      </c>
      <c r="BD358">
        <f t="shared" si="70"/>
        <v>9.2456913580246898</v>
      </c>
      <c r="BE358">
        <f t="shared" si="71"/>
        <v>15.277303029259256</v>
      </c>
    </row>
    <row r="359" spans="6:57" x14ac:dyDescent="0.25">
      <c r="F359" s="9"/>
      <c r="G359" s="21">
        <v>-1.7395000000000001E-2</v>
      </c>
      <c r="H359" s="21">
        <v>9.1041100000000004</v>
      </c>
      <c r="I359" s="21">
        <v>-1.3974E-2</v>
      </c>
      <c r="J359" s="21">
        <v>349</v>
      </c>
      <c r="K359" s="21">
        <v>-1.7687999999999999E-2</v>
      </c>
      <c r="L359">
        <f t="shared" si="60"/>
        <v>17.251851851851853</v>
      </c>
      <c r="M359">
        <f t="shared" si="61"/>
        <v>-0.30009596296296298</v>
      </c>
      <c r="N359" s="9"/>
      <c r="O359" s="21">
        <v>1.65741</v>
      </c>
      <c r="P359" s="21">
        <v>12.8024</v>
      </c>
      <c r="Q359" s="21">
        <v>-7.34558E-3</v>
      </c>
      <c r="R359" s="21">
        <v>349</v>
      </c>
      <c r="S359" s="21">
        <v>1.65649</v>
      </c>
      <c r="T359">
        <f t="shared" si="62"/>
        <v>9.0686172839506174</v>
      </c>
      <c r="U359">
        <f t="shared" si="63"/>
        <v>15.030416972592594</v>
      </c>
      <c r="X359" s="9"/>
      <c r="Y359" s="21">
        <v>-1.7395000000000001E-2</v>
      </c>
      <c r="Z359" s="21">
        <v>18.1633</v>
      </c>
      <c r="AA359" s="21">
        <v>-1.3861099999999999E-2</v>
      </c>
      <c r="AB359" s="21">
        <v>349</v>
      </c>
      <c r="AC359" s="21">
        <v>-1.7678800000000001E-2</v>
      </c>
      <c r="AD359">
        <f t="shared" si="64"/>
        <v>17.112469135802467</v>
      </c>
      <c r="AE359">
        <f t="shared" si="65"/>
        <v>-0.29767140061728392</v>
      </c>
      <c r="AF359" s="9"/>
      <c r="AG359" s="21">
        <v>1.65741</v>
      </c>
      <c r="AH359" s="21">
        <v>21.861699999999999</v>
      </c>
      <c r="AI359" s="21">
        <v>-7.49207E-3</v>
      </c>
      <c r="AJ359" s="21">
        <v>349</v>
      </c>
      <c r="AK359" s="21">
        <v>1.65649</v>
      </c>
      <c r="AL359">
        <f t="shared" si="66"/>
        <v>9.2494691358024674</v>
      </c>
      <c r="AM359">
        <f t="shared" si="67"/>
        <v>15.330162640370368</v>
      </c>
      <c r="AP359" s="9"/>
      <c r="AQ359" s="21">
        <v>-1.7395000000000001E-2</v>
      </c>
      <c r="AR359" s="21">
        <v>27.295500000000001</v>
      </c>
      <c r="AS359" s="21">
        <v>-1.38184E-2</v>
      </c>
      <c r="AT359" s="21">
        <v>349</v>
      </c>
      <c r="AU359" s="21">
        <v>-1.7694100000000001E-2</v>
      </c>
      <c r="AV359">
        <f t="shared" si="68"/>
        <v>17.05975308641975</v>
      </c>
      <c r="AW359">
        <f t="shared" si="69"/>
        <v>-0.29675440493827154</v>
      </c>
      <c r="AX359" s="9"/>
      <c r="AY359" s="21">
        <v>1.65741</v>
      </c>
      <c r="AZ359" s="21">
        <v>30.9939</v>
      </c>
      <c r="BA359" s="21">
        <v>-7.2326700000000001E-3</v>
      </c>
      <c r="BB359" s="21">
        <v>349</v>
      </c>
      <c r="BC359" s="21">
        <v>1.6568000000000001</v>
      </c>
      <c r="BD359">
        <f t="shared" si="70"/>
        <v>8.9292222222222222</v>
      </c>
      <c r="BE359">
        <f t="shared" si="71"/>
        <v>14.799382203333334</v>
      </c>
    </row>
    <row r="360" spans="6:57" x14ac:dyDescent="0.25">
      <c r="F360" s="9"/>
      <c r="G360" s="21">
        <v>-2.24304E-2</v>
      </c>
      <c r="H360" s="21">
        <v>9.1141799999999993</v>
      </c>
      <c r="I360" s="21">
        <v>-1.3980100000000001E-2</v>
      </c>
      <c r="J360" s="21">
        <v>350</v>
      </c>
      <c r="K360" s="21">
        <v>-2.2738600000000001E-2</v>
      </c>
      <c r="L360">
        <f t="shared" si="60"/>
        <v>17.259382716049384</v>
      </c>
      <c r="M360">
        <f t="shared" si="61"/>
        <v>-0.38713485807407411</v>
      </c>
      <c r="N360" s="9"/>
      <c r="O360" s="21">
        <v>1.66245</v>
      </c>
      <c r="P360" s="21">
        <v>12.8125</v>
      </c>
      <c r="Q360" s="21">
        <v>-7.0678700000000004E-3</v>
      </c>
      <c r="R360" s="21">
        <v>350</v>
      </c>
      <c r="S360" s="21">
        <v>1.6619900000000001</v>
      </c>
      <c r="T360">
        <f t="shared" si="62"/>
        <v>8.7257654320987648</v>
      </c>
      <c r="U360">
        <f t="shared" si="63"/>
        <v>14.506148742592591</v>
      </c>
      <c r="X360" s="9"/>
      <c r="Y360" s="21">
        <v>-2.24304E-2</v>
      </c>
      <c r="Z360" s="21">
        <v>18.173400000000001</v>
      </c>
      <c r="AA360" s="21">
        <v>-1.3858000000000001E-2</v>
      </c>
      <c r="AB360" s="21">
        <v>350</v>
      </c>
      <c r="AC360" s="21">
        <v>-2.2665399999999999E-2</v>
      </c>
      <c r="AD360">
        <f t="shared" si="64"/>
        <v>17.10864197530864</v>
      </c>
      <c r="AE360">
        <f t="shared" si="65"/>
        <v>-0.38375368296296292</v>
      </c>
      <c r="AF360" s="9"/>
      <c r="AG360" s="21">
        <v>1.66245</v>
      </c>
      <c r="AH360" s="21">
        <v>21.8718</v>
      </c>
      <c r="AI360" s="21">
        <v>-7.2326700000000001E-3</v>
      </c>
      <c r="AJ360" s="21">
        <v>350</v>
      </c>
      <c r="AK360" s="21">
        <v>1.6619900000000001</v>
      </c>
      <c r="AL360">
        <f t="shared" si="66"/>
        <v>8.9292222222222222</v>
      </c>
      <c r="AM360">
        <f t="shared" si="67"/>
        <v>14.844385483333333</v>
      </c>
      <c r="AP360" s="9"/>
      <c r="AQ360" s="21">
        <v>-2.24304E-2</v>
      </c>
      <c r="AR360" s="21">
        <v>27.305599999999998</v>
      </c>
      <c r="AS360" s="21">
        <v>-1.38275E-2</v>
      </c>
      <c r="AT360" s="21">
        <v>350</v>
      </c>
      <c r="AU360" s="21">
        <v>-2.2876000000000001E-2</v>
      </c>
      <c r="AV360">
        <f t="shared" si="68"/>
        <v>17.070987654320987</v>
      </c>
      <c r="AW360">
        <f t="shared" si="69"/>
        <v>-0.38290908148148145</v>
      </c>
      <c r="AX360" s="9"/>
      <c r="AY360" s="21">
        <v>1.66245</v>
      </c>
      <c r="AZ360" s="21">
        <v>31.004000000000001</v>
      </c>
      <c r="BA360" s="21">
        <v>-6.9610599999999998E-3</v>
      </c>
      <c r="BB360" s="21">
        <v>350</v>
      </c>
      <c r="BC360" s="21">
        <v>1.66168</v>
      </c>
      <c r="BD360">
        <f t="shared" si="70"/>
        <v>8.5939012345679</v>
      </c>
      <c r="BE360">
        <f t="shared" si="71"/>
        <v>14.286931107407405</v>
      </c>
    </row>
    <row r="361" spans="6:57" x14ac:dyDescent="0.25">
      <c r="F361" s="9"/>
      <c r="G361" s="21">
        <v>-2.7465799999999999E-2</v>
      </c>
      <c r="H361" s="21">
        <v>9.12425</v>
      </c>
      <c r="I361" s="21">
        <v>-1.39709E-2</v>
      </c>
      <c r="J361" s="21">
        <v>351</v>
      </c>
      <c r="K361" s="21">
        <v>-2.75848E-2</v>
      </c>
      <c r="L361">
        <f t="shared" si="60"/>
        <v>17.248024691358022</v>
      </c>
      <c r="M361">
        <f t="shared" si="61"/>
        <v>-0.47373079656790112</v>
      </c>
      <c r="N361" s="9"/>
      <c r="O361" s="21">
        <v>1.6674800000000001</v>
      </c>
      <c r="P361" s="21">
        <v>12.8226</v>
      </c>
      <c r="Q361" s="21">
        <v>-6.7779499999999996E-3</v>
      </c>
      <c r="R361" s="21">
        <v>351</v>
      </c>
      <c r="S361" s="21">
        <v>1.6671800000000001</v>
      </c>
      <c r="T361">
        <f t="shared" si="62"/>
        <v>8.3678395061728388</v>
      </c>
      <c r="U361">
        <f t="shared" si="63"/>
        <v>13.953205019753085</v>
      </c>
      <c r="X361" s="9"/>
      <c r="Y361" s="21">
        <v>-2.7465799999999999E-2</v>
      </c>
      <c r="Z361" s="21">
        <v>18.183499999999999</v>
      </c>
      <c r="AA361" s="21">
        <v>-1.3864100000000001E-2</v>
      </c>
      <c r="AB361" s="21">
        <v>351</v>
      </c>
      <c r="AC361" s="21">
        <v>-2.7749599999999999E-2</v>
      </c>
      <c r="AD361">
        <f t="shared" si="64"/>
        <v>17.11617283950617</v>
      </c>
      <c r="AE361">
        <f t="shared" si="65"/>
        <v>-0.47010937997530855</v>
      </c>
      <c r="AF361" s="9"/>
      <c r="AG361" s="21">
        <v>1.6674800000000001</v>
      </c>
      <c r="AH361" s="21">
        <v>21.881799999999998</v>
      </c>
      <c r="AI361" s="21">
        <v>-6.9458000000000002E-3</v>
      </c>
      <c r="AJ361" s="21">
        <v>351</v>
      </c>
      <c r="AK361" s="21">
        <v>1.6671800000000001</v>
      </c>
      <c r="AL361">
        <f t="shared" si="66"/>
        <v>8.5750617283950614</v>
      </c>
      <c r="AM361">
        <f t="shared" si="67"/>
        <v>14.298743930864198</v>
      </c>
      <c r="AP361" s="9"/>
      <c r="AQ361" s="21">
        <v>-2.7465799999999999E-2</v>
      </c>
      <c r="AR361" s="21">
        <v>27.3157</v>
      </c>
      <c r="AS361" s="21">
        <v>-1.38336E-2</v>
      </c>
      <c r="AT361" s="21">
        <v>351</v>
      </c>
      <c r="AU361" s="21">
        <v>-2.7795400000000001E-2</v>
      </c>
      <c r="AV361">
        <f t="shared" si="68"/>
        <v>17.078518518518518</v>
      </c>
      <c r="AW361">
        <f t="shared" si="69"/>
        <v>-0.4690751739259259</v>
      </c>
      <c r="AX361" s="9"/>
      <c r="AY361" s="21">
        <v>1.6674800000000001</v>
      </c>
      <c r="AZ361" s="21">
        <v>31.013999999999999</v>
      </c>
      <c r="BA361" s="21">
        <v>-6.6650399999999997E-3</v>
      </c>
      <c r="BB361" s="21">
        <v>351</v>
      </c>
      <c r="BC361" s="21">
        <v>1.6668700000000001</v>
      </c>
      <c r="BD361">
        <f t="shared" si="70"/>
        <v>8.2284444444444436</v>
      </c>
      <c r="BE361">
        <f t="shared" si="71"/>
        <v>13.720766542222222</v>
      </c>
    </row>
    <row r="362" spans="6:57" x14ac:dyDescent="0.25">
      <c r="F362" s="9"/>
      <c r="G362" s="21">
        <v>-3.2501200000000001E-2</v>
      </c>
      <c r="H362" s="21">
        <v>9.1343200000000007</v>
      </c>
      <c r="I362" s="21">
        <v>-1.3964799999999999E-2</v>
      </c>
      <c r="J362" s="21">
        <v>352</v>
      </c>
      <c r="K362" s="21">
        <v>-3.2986500000000002E-2</v>
      </c>
      <c r="L362">
        <f t="shared" si="60"/>
        <v>17.240493827160492</v>
      </c>
      <c r="M362">
        <f t="shared" si="61"/>
        <v>-0.56033673797530859</v>
      </c>
      <c r="N362" s="9"/>
      <c r="O362" s="21">
        <v>1.67252</v>
      </c>
      <c r="P362" s="21">
        <v>12.832700000000001</v>
      </c>
      <c r="Q362" s="21">
        <v>-6.4483600000000002E-3</v>
      </c>
      <c r="R362" s="21">
        <v>352</v>
      </c>
      <c r="S362" s="21">
        <v>1.6717500000000001</v>
      </c>
      <c r="T362">
        <f t="shared" si="62"/>
        <v>7.9609382716049373</v>
      </c>
      <c r="U362">
        <f t="shared" si="63"/>
        <v>13.31482847802469</v>
      </c>
      <c r="X362" s="9"/>
      <c r="Y362" s="21">
        <v>-3.2501200000000001E-2</v>
      </c>
      <c r="Z362" s="21">
        <v>18.1935</v>
      </c>
      <c r="AA362" s="21">
        <v>-1.38672E-2</v>
      </c>
      <c r="AB362" s="21">
        <v>352</v>
      </c>
      <c r="AC362" s="21">
        <v>-3.2809400000000002E-2</v>
      </c>
      <c r="AD362">
        <f t="shared" si="64"/>
        <v>17.12</v>
      </c>
      <c r="AE362">
        <f t="shared" si="65"/>
        <v>-0.55642054400000007</v>
      </c>
      <c r="AF362" s="9"/>
      <c r="AG362" s="21">
        <v>1.67252</v>
      </c>
      <c r="AH362" s="21">
        <v>21.8919</v>
      </c>
      <c r="AI362" s="21">
        <v>-6.6223100000000002E-3</v>
      </c>
      <c r="AJ362" s="21">
        <v>352</v>
      </c>
      <c r="AK362" s="21">
        <v>1.6711400000000001</v>
      </c>
      <c r="AL362">
        <f t="shared" si="66"/>
        <v>8.1756913580246895</v>
      </c>
      <c r="AM362">
        <f t="shared" si="67"/>
        <v>13.674007310123454</v>
      </c>
      <c r="AP362" s="9"/>
      <c r="AQ362" s="21">
        <v>-3.2501200000000001E-2</v>
      </c>
      <c r="AR362" s="21">
        <v>27.325800000000001</v>
      </c>
      <c r="AS362" s="21">
        <v>-1.38367E-2</v>
      </c>
      <c r="AT362" s="21">
        <v>352</v>
      </c>
      <c r="AU362" s="21">
        <v>-3.2803300000000001E-2</v>
      </c>
      <c r="AV362">
        <f t="shared" si="68"/>
        <v>17.082345679012345</v>
      </c>
      <c r="AW362">
        <f t="shared" si="69"/>
        <v>-0.55519673338271602</v>
      </c>
      <c r="AX362" s="9"/>
      <c r="AY362" s="21">
        <v>1.67252</v>
      </c>
      <c r="AZ362" s="21">
        <v>31.024100000000001</v>
      </c>
      <c r="BA362" s="21">
        <v>-6.3445999999999997E-3</v>
      </c>
      <c r="BB362" s="21">
        <v>352</v>
      </c>
      <c r="BC362" s="21">
        <v>1.6714500000000001</v>
      </c>
      <c r="BD362">
        <f t="shared" si="70"/>
        <v>7.8328395061728395</v>
      </c>
      <c r="BE362">
        <f t="shared" si="71"/>
        <v>13.100580730864198</v>
      </c>
    </row>
    <row r="363" spans="6:57" x14ac:dyDescent="0.25">
      <c r="F363" s="9"/>
      <c r="G363" s="21">
        <v>-3.7536600000000003E-2</v>
      </c>
      <c r="H363" s="21">
        <v>9.1443899999999996</v>
      </c>
      <c r="I363" s="21">
        <v>-1.3952600000000001E-2</v>
      </c>
      <c r="J363" s="21">
        <v>353</v>
      </c>
      <c r="K363" s="21">
        <v>-3.7853999999999999E-2</v>
      </c>
      <c r="L363">
        <f t="shared" si="60"/>
        <v>17.225432098765431</v>
      </c>
      <c r="M363">
        <f t="shared" si="61"/>
        <v>-0.64658415451851858</v>
      </c>
      <c r="N363" s="9"/>
      <c r="O363" s="21">
        <v>1.6775500000000001</v>
      </c>
      <c r="P363" s="21">
        <v>12.842700000000001</v>
      </c>
      <c r="Q363" s="21">
        <v>-6.0882599999999999E-3</v>
      </c>
      <c r="R363" s="21">
        <v>353</v>
      </c>
      <c r="S363" s="21">
        <v>1.6769400000000001</v>
      </c>
      <c r="T363">
        <f t="shared" si="62"/>
        <v>7.5163703703703693</v>
      </c>
      <c r="U363">
        <f t="shared" si="63"/>
        <v>12.609087114814814</v>
      </c>
      <c r="X363" s="9"/>
      <c r="Y363" s="21">
        <v>-3.7536600000000003E-2</v>
      </c>
      <c r="Z363" s="21">
        <v>18.203600000000002</v>
      </c>
      <c r="AA363" s="21">
        <v>-1.3876299999999999E-2</v>
      </c>
      <c r="AB363" s="21">
        <v>353</v>
      </c>
      <c r="AC363" s="21">
        <v>-3.7802099999999998E-2</v>
      </c>
      <c r="AD363">
        <f t="shared" si="64"/>
        <v>17.131234567901231</v>
      </c>
      <c r="AE363">
        <f t="shared" si="65"/>
        <v>-0.64304829948148146</v>
      </c>
      <c r="AF363" s="9"/>
      <c r="AG363" s="21">
        <v>1.6775500000000001</v>
      </c>
      <c r="AH363" s="21">
        <v>21.902000000000001</v>
      </c>
      <c r="AI363" s="21">
        <v>-6.2774700000000003E-3</v>
      </c>
      <c r="AJ363" s="21">
        <v>353</v>
      </c>
      <c r="AK363" s="21">
        <v>1.6766399999999999</v>
      </c>
      <c r="AL363">
        <f t="shared" si="66"/>
        <v>7.7499629629629627</v>
      </c>
      <c r="AM363">
        <f t="shared" si="67"/>
        <v>13.000950368518518</v>
      </c>
      <c r="AP363" s="9"/>
      <c r="AQ363" s="21">
        <v>-3.7536600000000003E-2</v>
      </c>
      <c r="AR363" s="21">
        <v>27.335799999999999</v>
      </c>
      <c r="AS363" s="21">
        <v>-1.38397E-2</v>
      </c>
      <c r="AT363" s="21">
        <v>353</v>
      </c>
      <c r="AU363" s="21">
        <v>-3.7890600000000003E-2</v>
      </c>
      <c r="AV363">
        <f t="shared" si="68"/>
        <v>17.086049382716048</v>
      </c>
      <c r="AW363">
        <f t="shared" si="69"/>
        <v>-0.64135220125925929</v>
      </c>
      <c r="AX363" s="9"/>
      <c r="AY363" s="21">
        <v>1.6775500000000001</v>
      </c>
      <c r="AZ363" s="21">
        <v>31.034199999999998</v>
      </c>
      <c r="BA363" s="21">
        <v>-5.9814500000000001E-3</v>
      </c>
      <c r="BB363" s="21">
        <v>353</v>
      </c>
      <c r="BC363" s="21">
        <v>1.6763300000000001</v>
      </c>
      <c r="BD363">
        <f t="shared" si="70"/>
        <v>7.3845061728395054</v>
      </c>
      <c r="BE363">
        <f t="shared" si="71"/>
        <v>12.387878330246913</v>
      </c>
    </row>
    <row r="364" spans="6:57" x14ac:dyDescent="0.25">
      <c r="F364" s="9"/>
      <c r="G364" s="21">
        <v>-4.2571999999999999E-2</v>
      </c>
      <c r="H364" s="21">
        <v>9.1544600000000003</v>
      </c>
      <c r="I364" s="21">
        <v>-1.3946500000000001E-2</v>
      </c>
      <c r="J364" s="21">
        <v>354</v>
      </c>
      <c r="K364" s="21">
        <v>-4.28925E-2</v>
      </c>
      <c r="L364">
        <f t="shared" si="60"/>
        <v>17.217901234567901</v>
      </c>
      <c r="M364">
        <f t="shared" si="61"/>
        <v>-0.73300049135802459</v>
      </c>
      <c r="N364" s="9"/>
      <c r="O364" s="21">
        <v>1.68259</v>
      </c>
      <c r="P364" s="21">
        <v>12.8528</v>
      </c>
      <c r="Q364" s="21">
        <v>-5.6640600000000003E-3</v>
      </c>
      <c r="R364" s="21">
        <v>354</v>
      </c>
      <c r="S364" s="21">
        <v>1.6824300000000001</v>
      </c>
      <c r="T364">
        <f t="shared" si="62"/>
        <v>6.9926666666666657</v>
      </c>
      <c r="U364">
        <f t="shared" si="63"/>
        <v>11.765791006666666</v>
      </c>
      <c r="X364" s="9"/>
      <c r="Y364" s="21">
        <v>-4.2571999999999999E-2</v>
      </c>
      <c r="Z364" s="21">
        <v>18.213699999999999</v>
      </c>
      <c r="AA364" s="21">
        <v>-1.3876299999999999E-2</v>
      </c>
      <c r="AB364" s="21">
        <v>354</v>
      </c>
      <c r="AC364" s="21">
        <v>-4.2745999999999999E-2</v>
      </c>
      <c r="AD364">
        <f t="shared" si="64"/>
        <v>17.131234567901231</v>
      </c>
      <c r="AE364">
        <f t="shared" si="65"/>
        <v>-0.72931091802469117</v>
      </c>
      <c r="AF364" s="9"/>
      <c r="AG364" s="21">
        <v>1.68259</v>
      </c>
      <c r="AH364" s="21">
        <v>21.911999999999999</v>
      </c>
      <c r="AI364" s="21">
        <v>-5.8898900000000001E-3</v>
      </c>
      <c r="AJ364" s="21">
        <v>354</v>
      </c>
      <c r="AK364" s="21">
        <v>1.6821299999999999</v>
      </c>
      <c r="AL364">
        <f t="shared" si="66"/>
        <v>7.2714691358024695</v>
      </c>
      <c r="AM364">
        <f t="shared" si="67"/>
        <v>12.234901253209877</v>
      </c>
      <c r="AP364" s="9"/>
      <c r="AQ364" s="21">
        <v>-4.2571999999999999E-2</v>
      </c>
      <c r="AR364" s="21">
        <v>27.3459</v>
      </c>
      <c r="AS364" s="21">
        <v>-1.38397E-2</v>
      </c>
      <c r="AT364" s="21">
        <v>354</v>
      </c>
      <c r="AU364" s="21">
        <v>-4.2913800000000002E-2</v>
      </c>
      <c r="AV364">
        <f t="shared" si="68"/>
        <v>17.086049382716048</v>
      </c>
      <c r="AW364">
        <f t="shared" si="69"/>
        <v>-0.72738729432098759</v>
      </c>
      <c r="AX364" s="9"/>
      <c r="AY364" s="21">
        <v>1.68259</v>
      </c>
      <c r="AZ364" s="21">
        <v>31.0442</v>
      </c>
      <c r="BA364" s="21">
        <v>-5.5725100000000001E-3</v>
      </c>
      <c r="BB364" s="21">
        <v>354</v>
      </c>
      <c r="BC364" s="21">
        <v>1.6824300000000001</v>
      </c>
      <c r="BD364">
        <f t="shared" si="70"/>
        <v>6.8796419753086413</v>
      </c>
      <c r="BE364">
        <f t="shared" si="71"/>
        <v>11.575616791234568</v>
      </c>
    </row>
    <row r="365" spans="6:57" x14ac:dyDescent="0.25">
      <c r="F365" s="9"/>
      <c r="G365" s="21">
        <v>-4.7607400000000001E-2</v>
      </c>
      <c r="H365" s="21">
        <v>9.1645299999999992</v>
      </c>
      <c r="I365" s="21">
        <v>-1.3952600000000001E-2</v>
      </c>
      <c r="J365" s="21">
        <v>355</v>
      </c>
      <c r="K365" s="21">
        <v>-4.7955299999999999E-2</v>
      </c>
      <c r="L365">
        <f t="shared" si="60"/>
        <v>17.225432098765431</v>
      </c>
      <c r="M365">
        <f t="shared" si="61"/>
        <v>-0.82005803609876537</v>
      </c>
      <c r="N365" s="9"/>
      <c r="O365" s="21">
        <v>1.6876199999999999</v>
      </c>
      <c r="P365" s="21">
        <v>12.8629</v>
      </c>
      <c r="Q365" s="21">
        <v>-5.2093499999999997E-3</v>
      </c>
      <c r="R365" s="21">
        <v>355</v>
      </c>
      <c r="S365" s="21">
        <v>1.6873199999999999</v>
      </c>
      <c r="T365">
        <f t="shared" si="62"/>
        <v>6.4312962962962956</v>
      </c>
      <c r="U365">
        <f t="shared" si="63"/>
        <v>10.853584255555553</v>
      </c>
      <c r="X365" s="9"/>
      <c r="Y365" s="21">
        <v>-4.7607400000000001E-2</v>
      </c>
      <c r="Z365" s="21">
        <v>18.223700000000001</v>
      </c>
      <c r="AA365" s="21">
        <v>-1.3876299999999999E-2</v>
      </c>
      <c r="AB365" s="21">
        <v>355</v>
      </c>
      <c r="AC365" s="21">
        <v>-4.7985800000000002E-2</v>
      </c>
      <c r="AD365">
        <f t="shared" si="64"/>
        <v>17.131234567901231</v>
      </c>
      <c r="AE365">
        <f t="shared" si="65"/>
        <v>-0.8155735365679011</v>
      </c>
      <c r="AF365" s="9"/>
      <c r="AG365" s="21">
        <v>1.6876199999999999</v>
      </c>
      <c r="AH365" s="21">
        <v>21.9221</v>
      </c>
      <c r="AI365" s="21">
        <v>-5.4534900000000001E-3</v>
      </c>
      <c r="AJ365" s="21">
        <v>355</v>
      </c>
      <c r="AK365" s="21">
        <v>1.6870099999999999</v>
      </c>
      <c r="AL365">
        <f t="shared" si="66"/>
        <v>6.7327037037037032</v>
      </c>
      <c r="AM365">
        <f t="shared" si="67"/>
        <v>11.362245424444444</v>
      </c>
      <c r="AP365" s="9"/>
      <c r="AQ365" s="21">
        <v>-4.7607400000000001E-2</v>
      </c>
      <c r="AR365" s="21">
        <v>27.356000000000002</v>
      </c>
      <c r="AS365" s="21">
        <v>-1.38336E-2</v>
      </c>
      <c r="AT365" s="21">
        <v>355</v>
      </c>
      <c r="AU365" s="21">
        <v>-4.7937E-2</v>
      </c>
      <c r="AV365">
        <f t="shared" si="68"/>
        <v>17.078518518518518</v>
      </c>
      <c r="AW365">
        <f t="shared" si="69"/>
        <v>-0.81306386251851848</v>
      </c>
      <c r="AX365" s="9"/>
      <c r="AY365" s="21">
        <v>1.6876199999999999</v>
      </c>
      <c r="AZ365" s="21">
        <v>31.054300000000001</v>
      </c>
      <c r="BA365" s="21">
        <v>-5.1147500000000004E-3</v>
      </c>
      <c r="BB365" s="21">
        <v>355</v>
      </c>
      <c r="BC365" s="21">
        <v>1.6870099999999999</v>
      </c>
      <c r="BD365">
        <f t="shared" si="70"/>
        <v>6.314506172839506</v>
      </c>
      <c r="BE365">
        <f t="shared" si="71"/>
        <v>10.656486907407407</v>
      </c>
    </row>
    <row r="366" spans="6:57" x14ac:dyDescent="0.25">
      <c r="F366" s="9"/>
      <c r="G366" s="21">
        <v>-5.2642799999999997E-2</v>
      </c>
      <c r="H366" s="21">
        <v>9.1746099999999995</v>
      </c>
      <c r="I366" s="21">
        <v>-1.39557E-2</v>
      </c>
      <c r="J366" s="21">
        <v>356</v>
      </c>
      <c r="K366" s="21">
        <v>-5.3161600000000003E-2</v>
      </c>
      <c r="L366">
        <f t="shared" si="60"/>
        <v>17.229259259259258</v>
      </c>
      <c r="M366">
        <f t="shared" si="61"/>
        <v>-0.90699644933333323</v>
      </c>
      <c r="N366" s="9"/>
      <c r="O366" s="21">
        <v>1.6926600000000001</v>
      </c>
      <c r="P366" s="21">
        <v>12.8729</v>
      </c>
      <c r="Q366" s="21">
        <v>-4.68323E-3</v>
      </c>
      <c r="R366" s="21">
        <v>356</v>
      </c>
      <c r="S366" s="21">
        <v>1.6918899999999999</v>
      </c>
      <c r="T366">
        <f t="shared" si="62"/>
        <v>5.7817654320987648</v>
      </c>
      <c r="U366">
        <f t="shared" si="63"/>
        <v>9.7865630762962947</v>
      </c>
      <c r="X366" s="9"/>
      <c r="Y366" s="21">
        <v>-5.2642799999999997E-2</v>
      </c>
      <c r="Z366" s="21">
        <v>18.233799999999999</v>
      </c>
      <c r="AA366" s="21">
        <v>-1.38733E-2</v>
      </c>
      <c r="AB366" s="21">
        <v>356</v>
      </c>
      <c r="AC366" s="21">
        <v>-5.3100599999999998E-2</v>
      </c>
      <c r="AD366">
        <f t="shared" si="64"/>
        <v>17.127530864197528</v>
      </c>
      <c r="AE366">
        <f t="shared" si="65"/>
        <v>-0.90164118177777752</v>
      </c>
      <c r="AF366" s="9"/>
      <c r="AG366" s="21">
        <v>1.6926600000000001</v>
      </c>
      <c r="AH366" s="21">
        <v>21.932200000000002</v>
      </c>
      <c r="AI366" s="21">
        <v>-4.9487300000000001E-3</v>
      </c>
      <c r="AJ366" s="21">
        <v>356</v>
      </c>
      <c r="AK366" s="21">
        <v>1.6921999999999999</v>
      </c>
      <c r="AL366">
        <f t="shared" si="66"/>
        <v>6.1095432098765423</v>
      </c>
      <c r="AM366">
        <f t="shared" si="67"/>
        <v>10.341379409629628</v>
      </c>
      <c r="AP366" s="9"/>
      <c r="AQ366" s="21">
        <v>-5.2642799999999997E-2</v>
      </c>
      <c r="AR366" s="21">
        <v>27.366</v>
      </c>
      <c r="AS366" s="21">
        <v>-1.38397E-2</v>
      </c>
      <c r="AT366" s="21">
        <v>356</v>
      </c>
      <c r="AU366" s="21">
        <v>-5.3131100000000001E-2</v>
      </c>
      <c r="AV366">
        <f t="shared" si="68"/>
        <v>17.086049382716048</v>
      </c>
      <c r="AW366">
        <f t="shared" si="69"/>
        <v>-0.89945748044444429</v>
      </c>
      <c r="AX366" s="9"/>
      <c r="AY366" s="21">
        <v>1.6926600000000001</v>
      </c>
      <c r="AZ366" s="21">
        <v>31.064399999999999</v>
      </c>
      <c r="BA366" s="21">
        <v>-4.6087599999999999E-3</v>
      </c>
      <c r="BB366" s="21">
        <v>356</v>
      </c>
      <c r="BC366" s="21">
        <v>1.6921999999999999</v>
      </c>
      <c r="BD366">
        <f t="shared" si="70"/>
        <v>5.6898271604938264</v>
      </c>
      <c r="BE366">
        <f t="shared" si="71"/>
        <v>9.6309428414814811</v>
      </c>
    </row>
    <row r="367" spans="6:57" x14ac:dyDescent="0.25">
      <c r="F367" s="9"/>
      <c r="G367" s="21">
        <v>-5.7678199999999999E-2</v>
      </c>
      <c r="H367" s="21">
        <v>9.1846800000000002</v>
      </c>
      <c r="I367" s="21">
        <v>-1.39557E-2</v>
      </c>
      <c r="J367" s="21">
        <v>357</v>
      </c>
      <c r="K367" s="21">
        <v>-5.8136E-2</v>
      </c>
      <c r="L367">
        <f t="shared" si="60"/>
        <v>17.229259259259258</v>
      </c>
      <c r="M367">
        <f t="shared" si="61"/>
        <v>-0.99375266140740737</v>
      </c>
      <c r="N367" s="9"/>
      <c r="O367" s="21">
        <v>1.6976899999999999</v>
      </c>
      <c r="P367" s="21">
        <v>12.882999999999999</v>
      </c>
      <c r="Q367" s="21">
        <v>-4.1088899999999996E-3</v>
      </c>
      <c r="R367" s="21">
        <v>357</v>
      </c>
      <c r="S367" s="21">
        <v>1.69739</v>
      </c>
      <c r="T367">
        <f t="shared" si="62"/>
        <v>5.0727037037037022</v>
      </c>
      <c r="U367">
        <f t="shared" si="63"/>
        <v>8.6118783507407386</v>
      </c>
      <c r="X367" s="9"/>
      <c r="Y367" s="21">
        <v>-5.7678199999999999E-2</v>
      </c>
      <c r="Z367" s="21">
        <v>18.2439</v>
      </c>
      <c r="AA367" s="21">
        <v>-1.3876299999999999E-2</v>
      </c>
      <c r="AB367" s="21">
        <v>357</v>
      </c>
      <c r="AC367" s="21">
        <v>-5.8136E-2</v>
      </c>
      <c r="AD367">
        <f t="shared" si="64"/>
        <v>17.131234567901231</v>
      </c>
      <c r="AE367">
        <f t="shared" si="65"/>
        <v>-0.98809877365432075</v>
      </c>
      <c r="AF367" s="9"/>
      <c r="AG367" s="21">
        <v>1.6976899999999999</v>
      </c>
      <c r="AH367" s="21">
        <v>21.942299999999999</v>
      </c>
      <c r="AI367" s="21">
        <v>-4.3829300000000002E-3</v>
      </c>
      <c r="AJ367" s="21">
        <v>357</v>
      </c>
      <c r="AK367" s="21">
        <v>1.6970799999999999</v>
      </c>
      <c r="AL367">
        <f t="shared" si="66"/>
        <v>5.4110246913580244</v>
      </c>
      <c r="AM367">
        <f t="shared" si="67"/>
        <v>9.1862425082716044</v>
      </c>
      <c r="AP367" s="9"/>
      <c r="AQ367" s="21">
        <v>-5.7678199999999999E-2</v>
      </c>
      <c r="AR367" s="21">
        <v>27.376100000000001</v>
      </c>
      <c r="AS367" s="21">
        <v>-1.3848900000000001E-2</v>
      </c>
      <c r="AT367" s="21">
        <v>357</v>
      </c>
      <c r="AU367" s="21">
        <v>-5.8227500000000001E-2</v>
      </c>
      <c r="AV367">
        <f t="shared" si="68"/>
        <v>17.09740740740741</v>
      </c>
      <c r="AW367">
        <f t="shared" si="69"/>
        <v>-0.986147683925926</v>
      </c>
      <c r="AX367" s="9"/>
      <c r="AY367" s="21">
        <v>1.6976899999999999</v>
      </c>
      <c r="AZ367" s="21">
        <v>31.074400000000001</v>
      </c>
      <c r="BA367" s="21">
        <v>-3.99841E-3</v>
      </c>
      <c r="BB367" s="21">
        <v>357</v>
      </c>
      <c r="BC367" s="21">
        <v>1.6970799999999999</v>
      </c>
      <c r="BD367">
        <f t="shared" si="70"/>
        <v>4.9363086419753079</v>
      </c>
      <c r="BE367">
        <f t="shared" si="71"/>
        <v>8.3803218183950605</v>
      </c>
    </row>
    <row r="368" spans="6:57" x14ac:dyDescent="0.25">
      <c r="F368" s="9"/>
      <c r="G368" s="21">
        <v>-6.2713599999999994E-2</v>
      </c>
      <c r="H368" s="21">
        <v>9.1947500000000009</v>
      </c>
      <c r="I368" s="21">
        <v>-1.39557E-2</v>
      </c>
      <c r="J368" s="21">
        <v>358</v>
      </c>
      <c r="K368" s="21">
        <v>-6.3232399999999994E-2</v>
      </c>
      <c r="L368">
        <f t="shared" si="60"/>
        <v>17.229259259259258</v>
      </c>
      <c r="M368">
        <f t="shared" si="61"/>
        <v>-1.0805088734814814</v>
      </c>
      <c r="N368" s="9"/>
      <c r="O368" s="21">
        <v>1.7027300000000001</v>
      </c>
      <c r="P368" s="21">
        <v>12.8931</v>
      </c>
      <c r="Q368" s="21">
        <v>-3.4454300000000002E-3</v>
      </c>
      <c r="R368" s="21">
        <v>358</v>
      </c>
      <c r="S368" s="21">
        <v>1.70197</v>
      </c>
      <c r="T368">
        <f t="shared" si="62"/>
        <v>4.253617283950617</v>
      </c>
      <c r="U368">
        <f t="shared" si="63"/>
        <v>7.242761757901234</v>
      </c>
      <c r="X368" s="9"/>
      <c r="Y368" s="21">
        <v>-6.2713599999999994E-2</v>
      </c>
      <c r="Z368" s="21">
        <v>18.254000000000001</v>
      </c>
      <c r="AA368" s="21">
        <v>-1.38916E-2</v>
      </c>
      <c r="AB368" s="21">
        <v>358</v>
      </c>
      <c r="AC368" s="21">
        <v>-6.3324000000000005E-2</v>
      </c>
      <c r="AD368">
        <f t="shared" si="64"/>
        <v>17.150123456790123</v>
      </c>
      <c r="AE368">
        <f t="shared" si="65"/>
        <v>-1.0755459824197529</v>
      </c>
      <c r="AF368" s="9"/>
      <c r="AG368" s="21">
        <v>1.7027300000000001</v>
      </c>
      <c r="AH368" s="21">
        <v>21.952300000000001</v>
      </c>
      <c r="AI368" s="21">
        <v>-3.71887E-3</v>
      </c>
      <c r="AJ368" s="21">
        <v>358</v>
      </c>
      <c r="AK368" s="21">
        <v>1.70197</v>
      </c>
      <c r="AL368">
        <f t="shared" si="66"/>
        <v>4.5911975308641972</v>
      </c>
      <c r="AM368">
        <f t="shared" si="67"/>
        <v>7.8175697717283947</v>
      </c>
      <c r="AP368" s="9"/>
      <c r="AQ368" s="21">
        <v>-6.2713599999999994E-2</v>
      </c>
      <c r="AR368" s="21">
        <v>27.386199999999999</v>
      </c>
      <c r="AS368" s="21">
        <v>-1.38367E-2</v>
      </c>
      <c r="AT368" s="21">
        <v>358</v>
      </c>
      <c r="AU368" s="21">
        <v>-6.3293500000000003E-2</v>
      </c>
      <c r="AV368">
        <f t="shared" si="68"/>
        <v>17.082345679012345</v>
      </c>
      <c r="AW368">
        <f t="shared" si="69"/>
        <v>-1.0712953939753085</v>
      </c>
      <c r="AX368" s="9"/>
      <c r="AY368" s="21">
        <v>1.7027300000000001</v>
      </c>
      <c r="AZ368" s="21">
        <v>31.084499999999998</v>
      </c>
      <c r="BA368" s="21">
        <v>-3.3059700000000001E-3</v>
      </c>
      <c r="BB368" s="21">
        <v>358</v>
      </c>
      <c r="BC368" s="21">
        <v>1.7022699999999999</v>
      </c>
      <c r="BD368">
        <f t="shared" si="70"/>
        <v>4.0814444444444442</v>
      </c>
      <c r="BE368">
        <f t="shared" si="71"/>
        <v>6.9495978988888885</v>
      </c>
    </row>
    <row r="369" spans="6:57" x14ac:dyDescent="0.25">
      <c r="F369" s="9"/>
      <c r="G369" s="21">
        <v>-6.7749000000000004E-2</v>
      </c>
      <c r="H369" s="21">
        <v>9.2048199999999998</v>
      </c>
      <c r="I369" s="21">
        <v>-1.39557E-2</v>
      </c>
      <c r="J369" s="21">
        <v>359</v>
      </c>
      <c r="K369" s="21">
        <v>-6.8298300000000006E-2</v>
      </c>
      <c r="L369">
        <f t="shared" si="60"/>
        <v>17.229259259259258</v>
      </c>
      <c r="M369">
        <f t="shared" si="61"/>
        <v>-1.1672650855555555</v>
      </c>
      <c r="N369" s="9"/>
      <c r="O369" s="21">
        <v>1.7077599999999999</v>
      </c>
      <c r="P369" s="21">
        <v>12.9032</v>
      </c>
      <c r="Q369" s="21">
        <v>-2.71484E-3</v>
      </c>
      <c r="R369" s="21">
        <v>359</v>
      </c>
      <c r="S369" s="21">
        <v>1.70685</v>
      </c>
      <c r="T369">
        <f t="shared" si="62"/>
        <v>3.3516543209876541</v>
      </c>
      <c r="U369">
        <f t="shared" si="63"/>
        <v>5.7238211832098758</v>
      </c>
      <c r="X369" s="9"/>
      <c r="Y369" s="21">
        <v>-6.7749000000000004E-2</v>
      </c>
      <c r="Z369" s="21">
        <v>18.263999999999999</v>
      </c>
      <c r="AA369" s="21">
        <v>-1.3894699999999999E-2</v>
      </c>
      <c r="AB369" s="21">
        <v>359</v>
      </c>
      <c r="AC369" s="21">
        <v>-6.8206799999999998E-2</v>
      </c>
      <c r="AD369">
        <f t="shared" si="64"/>
        <v>17.153950617283947</v>
      </c>
      <c r="AE369">
        <f t="shared" si="65"/>
        <v>-1.1621630003703702</v>
      </c>
      <c r="AF369" s="9"/>
      <c r="AG369" s="21">
        <v>1.7077599999999999</v>
      </c>
      <c r="AH369" s="21">
        <v>21.962399999999999</v>
      </c>
      <c r="AI369" s="21">
        <v>-2.9800400000000002E-3</v>
      </c>
      <c r="AJ369" s="21">
        <v>359</v>
      </c>
      <c r="AK369" s="21">
        <v>1.70685</v>
      </c>
      <c r="AL369">
        <f t="shared" si="66"/>
        <v>3.6790617283950615</v>
      </c>
      <c r="AM369">
        <f t="shared" si="67"/>
        <v>6.2829544572839504</v>
      </c>
      <c r="AP369" s="9"/>
      <c r="AQ369" s="21">
        <v>-6.7749000000000004E-2</v>
      </c>
      <c r="AR369" s="21">
        <v>27.3963</v>
      </c>
      <c r="AS369" s="21">
        <v>-1.38306E-2</v>
      </c>
      <c r="AT369" s="21">
        <v>359</v>
      </c>
      <c r="AU369" s="21">
        <v>-6.8267800000000003E-2</v>
      </c>
      <c r="AV369">
        <f t="shared" si="68"/>
        <v>17.074814814814815</v>
      </c>
      <c r="AW369">
        <f t="shared" si="69"/>
        <v>-1.1568016288888889</v>
      </c>
      <c r="AX369" s="9"/>
      <c r="AY369" s="21">
        <v>1.7077599999999999</v>
      </c>
      <c r="AZ369" s="21">
        <v>31.0946</v>
      </c>
      <c r="BA369" s="21">
        <v>-2.5067100000000001E-3</v>
      </c>
      <c r="BB369" s="21">
        <v>359</v>
      </c>
      <c r="BC369" s="21">
        <v>1.7071499999999999</v>
      </c>
      <c r="BD369">
        <f t="shared" si="70"/>
        <v>3.0947037037037037</v>
      </c>
      <c r="BE369">
        <f t="shared" si="71"/>
        <v>5.2850111970370373</v>
      </c>
    </row>
    <row r="370" spans="6:57" x14ac:dyDescent="0.25">
      <c r="F370" s="9"/>
      <c r="G370" s="21">
        <v>-7.2784399999999999E-2</v>
      </c>
      <c r="H370" s="21">
        <v>9.2148900000000005</v>
      </c>
      <c r="I370" s="21">
        <v>-1.3943499999999999E-2</v>
      </c>
      <c r="J370" s="21">
        <v>360</v>
      </c>
      <c r="K370" s="21">
        <v>-7.3333700000000002E-2</v>
      </c>
      <c r="L370">
        <f t="shared" si="60"/>
        <v>17.214197530864197</v>
      </c>
      <c r="M370">
        <f t="shared" si="61"/>
        <v>-1.252925038765432</v>
      </c>
      <c r="N370" s="9"/>
      <c r="O370" s="21">
        <v>1.7128000000000001</v>
      </c>
      <c r="P370" s="21">
        <v>12.9132</v>
      </c>
      <c r="Q370" s="21">
        <v>-1.8682900000000001E-3</v>
      </c>
      <c r="R370" s="21">
        <v>360</v>
      </c>
      <c r="S370" s="21">
        <v>1.71204</v>
      </c>
      <c r="T370">
        <f t="shared" si="62"/>
        <v>2.3065308641975308</v>
      </c>
      <c r="U370">
        <f t="shared" si="63"/>
        <v>3.950626064197531</v>
      </c>
      <c r="X370" s="9"/>
      <c r="Y370" s="21">
        <v>-7.2784399999999999E-2</v>
      </c>
      <c r="Z370" s="21">
        <v>18.274100000000001</v>
      </c>
      <c r="AA370" s="21">
        <v>-1.38855E-2</v>
      </c>
      <c r="AB370" s="21">
        <v>360</v>
      </c>
      <c r="AC370" s="21">
        <v>-7.3303199999999999E-2</v>
      </c>
      <c r="AD370">
        <f t="shared" si="64"/>
        <v>17.142592592592592</v>
      </c>
      <c r="AE370">
        <f t="shared" si="65"/>
        <v>-1.2477133162962963</v>
      </c>
      <c r="AF370" s="9"/>
      <c r="AG370" s="21">
        <v>1.7128000000000001</v>
      </c>
      <c r="AH370" s="21">
        <v>21.9725</v>
      </c>
      <c r="AI370" s="21">
        <v>-2.1521000000000001E-3</v>
      </c>
      <c r="AJ370" s="21">
        <v>360</v>
      </c>
      <c r="AK370" s="21">
        <v>1.71295</v>
      </c>
      <c r="AL370">
        <f t="shared" si="66"/>
        <v>2.6569135802469135</v>
      </c>
      <c r="AM370">
        <f t="shared" si="67"/>
        <v>4.5507615802469141</v>
      </c>
      <c r="AP370" s="9"/>
      <c r="AQ370" s="21">
        <v>-7.2784399999999999E-2</v>
      </c>
      <c r="AR370" s="21">
        <v>27.406300000000002</v>
      </c>
      <c r="AS370" s="21">
        <v>-1.38336E-2</v>
      </c>
      <c r="AT370" s="21">
        <v>360</v>
      </c>
      <c r="AU370" s="21">
        <v>-7.3303199999999999E-2</v>
      </c>
      <c r="AV370">
        <f t="shared" si="68"/>
        <v>17.078518518518518</v>
      </c>
      <c r="AW370">
        <f t="shared" si="69"/>
        <v>-1.2430497232592592</v>
      </c>
      <c r="AX370" s="9"/>
      <c r="AY370" s="21">
        <v>1.7128000000000001</v>
      </c>
      <c r="AZ370" s="21">
        <v>31.104700000000001</v>
      </c>
      <c r="BA370" s="21">
        <v>-1.63879E-3</v>
      </c>
      <c r="BB370" s="21">
        <v>360</v>
      </c>
      <c r="BC370" s="21">
        <v>1.71173</v>
      </c>
      <c r="BD370">
        <f t="shared" si="70"/>
        <v>2.0231975308641972</v>
      </c>
      <c r="BE370">
        <f t="shared" si="71"/>
        <v>3.4653327308641972</v>
      </c>
    </row>
    <row r="371" spans="6:57" x14ac:dyDescent="0.25">
      <c r="F371" s="9"/>
      <c r="G371" s="21">
        <v>-7.7819799999999995E-2</v>
      </c>
      <c r="H371" s="21">
        <v>9.2249599999999994</v>
      </c>
      <c r="I371" s="21">
        <v>-1.3946500000000001E-2</v>
      </c>
      <c r="J371" s="21">
        <v>361</v>
      </c>
      <c r="K371" s="21">
        <v>-7.8338599999999994E-2</v>
      </c>
      <c r="L371">
        <f t="shared" si="60"/>
        <v>17.217901234567901</v>
      </c>
      <c r="M371">
        <f t="shared" si="61"/>
        <v>-1.3398936304938269</v>
      </c>
      <c r="N371" s="9"/>
      <c r="O371" s="21">
        <v>1.71783</v>
      </c>
      <c r="P371" s="21">
        <v>12.923299999999999</v>
      </c>
      <c r="Q371" s="21">
        <v>-9.2132599999999998E-4</v>
      </c>
      <c r="R371" s="21">
        <v>361</v>
      </c>
      <c r="S371" s="21">
        <v>1.71692</v>
      </c>
      <c r="T371">
        <f t="shared" si="62"/>
        <v>1.1374395061728393</v>
      </c>
      <c r="U371">
        <f t="shared" si="63"/>
        <v>1.9539277068888885</v>
      </c>
      <c r="X371" s="9"/>
      <c r="Y371" s="21">
        <v>-7.7819799999999995E-2</v>
      </c>
      <c r="Z371" s="21">
        <v>18.284199999999998</v>
      </c>
      <c r="AA371" s="21">
        <v>-1.38794E-2</v>
      </c>
      <c r="AB371" s="21">
        <v>361</v>
      </c>
      <c r="AC371" s="21">
        <v>-7.8308100000000005E-2</v>
      </c>
      <c r="AD371">
        <f t="shared" si="64"/>
        <v>17.135061728395058</v>
      </c>
      <c r="AE371">
        <f t="shared" si="65"/>
        <v>-1.3334470766913578</v>
      </c>
      <c r="AF371" s="9"/>
      <c r="AG371" s="21">
        <v>1.71783</v>
      </c>
      <c r="AH371" s="21">
        <v>21.982500000000002</v>
      </c>
      <c r="AI371" s="21">
        <v>-1.19965E-3</v>
      </c>
      <c r="AJ371" s="21">
        <v>361</v>
      </c>
      <c r="AK371" s="21">
        <v>1.71722</v>
      </c>
      <c r="AL371">
        <f t="shared" si="66"/>
        <v>1.4810493827160494</v>
      </c>
      <c r="AM371">
        <f t="shared" si="67"/>
        <v>2.5441910611111109</v>
      </c>
      <c r="AP371" s="9"/>
      <c r="AQ371" s="21">
        <v>-7.7819799999999995E-2</v>
      </c>
      <c r="AR371" s="21">
        <v>27.416399999999999</v>
      </c>
      <c r="AS371" s="21">
        <v>-1.38367E-2</v>
      </c>
      <c r="AT371" s="21">
        <v>361</v>
      </c>
      <c r="AU371" s="21">
        <v>-7.8308100000000005E-2</v>
      </c>
      <c r="AV371">
        <f t="shared" si="68"/>
        <v>17.082345679012345</v>
      </c>
      <c r="AW371">
        <f t="shared" si="69"/>
        <v>-1.3293447242716048</v>
      </c>
      <c r="AX371" s="9"/>
      <c r="AY371" s="21">
        <v>1.71783</v>
      </c>
      <c r="AZ371" s="21">
        <v>31.114699999999999</v>
      </c>
      <c r="BA371" s="21">
        <v>-6.5429699999999997E-4</v>
      </c>
      <c r="BB371" s="21">
        <v>361</v>
      </c>
      <c r="BC371" s="21">
        <v>1.71753</v>
      </c>
      <c r="BD371">
        <f t="shared" si="70"/>
        <v>0.80777407407407398</v>
      </c>
      <c r="BE371">
        <f t="shared" si="71"/>
        <v>1.3876185376666665</v>
      </c>
    </row>
    <row r="372" spans="6:57" x14ac:dyDescent="0.25">
      <c r="F372" s="9"/>
      <c r="G372" s="21">
        <v>-8.2855200000000004E-2</v>
      </c>
      <c r="H372" s="21">
        <v>9.2350300000000001</v>
      </c>
      <c r="I372" s="21">
        <v>-1.39496E-2</v>
      </c>
      <c r="J372" s="21">
        <v>362</v>
      </c>
      <c r="K372" s="21">
        <v>-8.3343500000000001E-2</v>
      </c>
      <c r="L372">
        <f t="shared" si="60"/>
        <v>17.221728395061724</v>
      </c>
      <c r="M372">
        <f t="shared" si="61"/>
        <v>-1.4269097505185182</v>
      </c>
      <c r="N372" s="9"/>
      <c r="O372" s="21">
        <v>1.7228699999999999</v>
      </c>
      <c r="P372" s="21">
        <v>12.933400000000001</v>
      </c>
      <c r="Q372" s="21">
        <v>1.81915E-4</v>
      </c>
      <c r="R372" s="21">
        <v>362</v>
      </c>
      <c r="S372" s="21">
        <v>1.72211</v>
      </c>
      <c r="T372">
        <f t="shared" si="62"/>
        <v>-0.22458641975308641</v>
      </c>
      <c r="U372">
        <f t="shared" si="63"/>
        <v>-0.38693320499999995</v>
      </c>
      <c r="X372" s="9"/>
      <c r="Y372" s="21">
        <v>-8.2855200000000004E-2</v>
      </c>
      <c r="Z372" s="21">
        <v>18.2942</v>
      </c>
      <c r="AA372" s="21">
        <v>-1.38855E-2</v>
      </c>
      <c r="AB372" s="21">
        <v>362</v>
      </c>
      <c r="AC372" s="21">
        <v>-8.3312999999999998E-2</v>
      </c>
      <c r="AD372">
        <f t="shared" si="64"/>
        <v>17.142592592592592</v>
      </c>
      <c r="AE372">
        <f t="shared" si="65"/>
        <v>-1.4203529377777779</v>
      </c>
      <c r="AF372" s="9"/>
      <c r="AG372" s="21">
        <v>1.7228699999999999</v>
      </c>
      <c r="AH372" s="21">
        <v>21.992599999999999</v>
      </c>
      <c r="AI372" s="21">
        <v>-1.4218100000000001E-4</v>
      </c>
      <c r="AJ372" s="21">
        <v>362</v>
      </c>
      <c r="AK372" s="21">
        <v>1.72211</v>
      </c>
      <c r="AL372">
        <f t="shared" si="66"/>
        <v>0.1755320987654321</v>
      </c>
      <c r="AM372">
        <f t="shared" si="67"/>
        <v>0.30241898699999997</v>
      </c>
      <c r="AP372" s="9"/>
      <c r="AQ372" s="21">
        <v>-8.2855200000000004E-2</v>
      </c>
      <c r="AR372" s="21">
        <v>27.426500000000001</v>
      </c>
      <c r="AS372" s="21">
        <v>-1.38367E-2</v>
      </c>
      <c r="AT372" s="21">
        <v>362</v>
      </c>
      <c r="AU372" s="21">
        <v>-8.3343500000000001E-2</v>
      </c>
      <c r="AV372">
        <f t="shared" si="68"/>
        <v>17.082345679012345</v>
      </c>
      <c r="AW372">
        <f t="shared" si="69"/>
        <v>-1.4153611677037037</v>
      </c>
      <c r="AX372" s="9"/>
      <c r="AY372" s="21">
        <v>1.7228699999999999</v>
      </c>
      <c r="AZ372" s="21">
        <v>31.1248</v>
      </c>
      <c r="BA372" s="21">
        <v>4.6441700000000001E-4</v>
      </c>
      <c r="BB372" s="21">
        <v>362</v>
      </c>
      <c r="BC372" s="21">
        <v>1.72211</v>
      </c>
      <c r="BD372">
        <f t="shared" si="70"/>
        <v>-0.57335432098765426</v>
      </c>
      <c r="BE372">
        <f t="shared" si="71"/>
        <v>-0.98781495899999983</v>
      </c>
    </row>
    <row r="373" spans="6:57" x14ac:dyDescent="0.25">
      <c r="F373" s="9"/>
      <c r="G373" s="21">
        <v>-8.7890599999999999E-2</v>
      </c>
      <c r="H373" s="21">
        <v>9.2451000000000008</v>
      </c>
      <c r="I373" s="21">
        <v>-1.39618E-2</v>
      </c>
      <c r="J373" s="21">
        <v>363</v>
      </c>
      <c r="K373" s="21">
        <v>-8.8348399999999994E-2</v>
      </c>
      <c r="L373">
        <f t="shared" si="60"/>
        <v>17.236790123456789</v>
      </c>
      <c r="M373">
        <f t="shared" si="61"/>
        <v>-1.5149518260246913</v>
      </c>
      <c r="N373" s="9"/>
      <c r="O373" s="21">
        <v>1.7279100000000001</v>
      </c>
      <c r="P373" s="21">
        <v>12.9434</v>
      </c>
      <c r="Q373" s="21">
        <v>1.4208999999999999E-3</v>
      </c>
      <c r="R373" s="21">
        <v>363</v>
      </c>
      <c r="S373" s="21">
        <v>1.72729</v>
      </c>
      <c r="T373">
        <f t="shared" si="62"/>
        <v>-1.7541975308641973</v>
      </c>
      <c r="U373">
        <f t="shared" si="63"/>
        <v>-3.0310954555555552</v>
      </c>
      <c r="X373" s="9"/>
      <c r="Y373" s="21">
        <v>-8.7890599999999999E-2</v>
      </c>
      <c r="Z373" s="21">
        <v>18.304300000000001</v>
      </c>
      <c r="AA373" s="21">
        <v>-1.38824E-2</v>
      </c>
      <c r="AB373" s="21">
        <v>363</v>
      </c>
      <c r="AC373" s="21">
        <v>-8.8439900000000002E-2</v>
      </c>
      <c r="AD373">
        <f t="shared" si="64"/>
        <v>17.138765432098765</v>
      </c>
      <c r="AE373">
        <f t="shared" si="65"/>
        <v>-1.5063363770864198</v>
      </c>
      <c r="AF373" s="9"/>
      <c r="AG373" s="21">
        <v>1.7279100000000001</v>
      </c>
      <c r="AH373" s="21">
        <v>22.002700000000001</v>
      </c>
      <c r="AI373" s="21">
        <v>1.0885599999999999E-3</v>
      </c>
      <c r="AJ373" s="21">
        <v>363</v>
      </c>
      <c r="AK373" s="21">
        <v>1.72699</v>
      </c>
      <c r="AL373">
        <f t="shared" si="66"/>
        <v>-1.3439012345679011</v>
      </c>
      <c r="AM373">
        <f t="shared" si="67"/>
        <v>-2.322140382222222</v>
      </c>
      <c r="AP373" s="9"/>
      <c r="AQ373" s="21">
        <v>-8.7890599999999999E-2</v>
      </c>
      <c r="AR373" s="21">
        <v>27.436499999999999</v>
      </c>
      <c r="AS373" s="21">
        <v>-1.38336E-2</v>
      </c>
      <c r="AT373" s="21">
        <v>363</v>
      </c>
      <c r="AU373" s="21">
        <v>-8.8317900000000005E-2</v>
      </c>
      <c r="AV373">
        <f t="shared" si="68"/>
        <v>17.078518518518518</v>
      </c>
      <c r="AW373">
        <f t="shared" si="69"/>
        <v>-1.5010412397037036</v>
      </c>
      <c r="AX373" s="9"/>
      <c r="AY373" s="21">
        <v>1.7279100000000001</v>
      </c>
      <c r="AZ373" s="21">
        <v>31.134899999999998</v>
      </c>
      <c r="BA373" s="21">
        <v>1.72974E-3</v>
      </c>
      <c r="BB373" s="21">
        <v>363</v>
      </c>
      <c r="BC373" s="21">
        <v>1.72699</v>
      </c>
      <c r="BD373">
        <f t="shared" si="70"/>
        <v>-2.1354814814814813</v>
      </c>
      <c r="BE373">
        <f t="shared" si="71"/>
        <v>-3.6899198066666665</v>
      </c>
    </row>
    <row r="374" spans="6:57" x14ac:dyDescent="0.25">
      <c r="F374" s="9"/>
      <c r="G374" s="21">
        <v>-9.2925999999999995E-2</v>
      </c>
      <c r="H374" s="21">
        <v>9.2551699999999997</v>
      </c>
      <c r="I374" s="21">
        <v>-1.39679E-2</v>
      </c>
      <c r="J374" s="21">
        <v>364</v>
      </c>
      <c r="K374" s="21">
        <v>-9.3414300000000006E-2</v>
      </c>
      <c r="L374">
        <f t="shared" si="60"/>
        <v>17.244320987654319</v>
      </c>
      <c r="M374">
        <f t="shared" si="61"/>
        <v>-1.6024457720987653</v>
      </c>
      <c r="N374" s="9"/>
      <c r="O374" s="21">
        <v>1.7329399999999999</v>
      </c>
      <c r="P374" s="21">
        <v>12.9535</v>
      </c>
      <c r="Q374" s="21">
        <v>2.8738399999999999E-3</v>
      </c>
      <c r="R374" s="21">
        <v>364</v>
      </c>
      <c r="S374" s="21">
        <v>1.73187</v>
      </c>
      <c r="T374">
        <f t="shared" si="62"/>
        <v>-3.5479506172839503</v>
      </c>
      <c r="U374">
        <f t="shared" si="63"/>
        <v>-6.1483855427160483</v>
      </c>
      <c r="X374" s="9"/>
      <c r="Y374" s="21">
        <v>-9.2925999999999995E-2</v>
      </c>
      <c r="Z374" s="21">
        <v>18.314399999999999</v>
      </c>
      <c r="AA374" s="21">
        <v>-1.38885E-2</v>
      </c>
      <c r="AB374" s="21">
        <v>364</v>
      </c>
      <c r="AC374" s="21">
        <v>-9.3444799999999995E-2</v>
      </c>
      <c r="AD374">
        <f t="shared" si="64"/>
        <v>17.146296296296295</v>
      </c>
      <c r="AE374">
        <f t="shared" si="65"/>
        <v>-1.5933367296296295</v>
      </c>
      <c r="AF374" s="9"/>
      <c r="AG374" s="21">
        <v>1.7329399999999999</v>
      </c>
      <c r="AH374" s="21">
        <v>22.012799999999999</v>
      </c>
      <c r="AI374" s="21">
        <v>2.5143399999999999E-3</v>
      </c>
      <c r="AJ374" s="21">
        <v>364</v>
      </c>
      <c r="AK374" s="21">
        <v>1.73248</v>
      </c>
      <c r="AL374">
        <f t="shared" si="66"/>
        <v>-3.104123456790123</v>
      </c>
      <c r="AM374">
        <f t="shared" si="67"/>
        <v>-5.3792597032098755</v>
      </c>
      <c r="AP374" s="9"/>
      <c r="AQ374" s="21">
        <v>-9.2925999999999995E-2</v>
      </c>
      <c r="AR374" s="21">
        <v>27.4466</v>
      </c>
      <c r="AS374" s="21">
        <v>-1.38184E-2</v>
      </c>
      <c r="AT374" s="21">
        <v>364</v>
      </c>
      <c r="AU374" s="21">
        <v>-9.3383800000000003E-2</v>
      </c>
      <c r="AV374">
        <f t="shared" si="68"/>
        <v>17.05975308641975</v>
      </c>
      <c r="AW374">
        <f t="shared" si="69"/>
        <v>-1.5852946153086416</v>
      </c>
      <c r="AX374" s="9"/>
      <c r="AY374" s="21">
        <v>1.7329399999999999</v>
      </c>
      <c r="AZ374" s="21">
        <v>31.1449</v>
      </c>
      <c r="BA374" s="21">
        <v>3.19885E-3</v>
      </c>
      <c r="BB374" s="21">
        <v>364</v>
      </c>
      <c r="BC374" s="21">
        <v>1.7321800000000001</v>
      </c>
      <c r="BD374">
        <f t="shared" si="70"/>
        <v>-3.9491975308641969</v>
      </c>
      <c r="BE374">
        <f t="shared" si="71"/>
        <v>-6.8437223691358007</v>
      </c>
    </row>
    <row r="375" spans="6:57" x14ac:dyDescent="0.25">
      <c r="F375" s="9"/>
      <c r="G375" s="21">
        <v>-9.7961400000000004E-2</v>
      </c>
      <c r="H375" s="21">
        <v>9.2652400000000004</v>
      </c>
      <c r="I375" s="21">
        <v>-1.3986200000000001E-2</v>
      </c>
      <c r="J375" s="21">
        <v>365</v>
      </c>
      <c r="K375" s="21">
        <v>-9.8419199999999998E-2</v>
      </c>
      <c r="L375">
        <f t="shared" si="60"/>
        <v>17.266913580246914</v>
      </c>
      <c r="M375">
        <f t="shared" si="61"/>
        <v>-1.6914910280000002</v>
      </c>
      <c r="N375" s="9"/>
      <c r="O375" s="21">
        <v>1.7379800000000001</v>
      </c>
      <c r="P375" s="21">
        <v>12.9636</v>
      </c>
      <c r="Q375" s="21">
        <v>4.43115E-3</v>
      </c>
      <c r="R375" s="21">
        <v>365</v>
      </c>
      <c r="S375" s="21">
        <v>1.7373700000000001</v>
      </c>
      <c r="T375">
        <f t="shared" si="62"/>
        <v>-5.4705555555555545</v>
      </c>
      <c r="U375">
        <f t="shared" si="63"/>
        <v>-9.5077161444444425</v>
      </c>
      <c r="X375" s="9"/>
      <c r="Y375" s="21">
        <v>-9.7961400000000004E-2</v>
      </c>
      <c r="Z375" s="21">
        <v>18.3245</v>
      </c>
      <c r="AA375" s="21">
        <v>-1.38885E-2</v>
      </c>
      <c r="AB375" s="21">
        <v>365</v>
      </c>
      <c r="AC375" s="21">
        <v>-9.8571800000000001E-2</v>
      </c>
      <c r="AD375">
        <f t="shared" si="64"/>
        <v>17.146296296296295</v>
      </c>
      <c r="AE375">
        <f t="shared" si="65"/>
        <v>-1.67967519</v>
      </c>
      <c r="AF375" s="9"/>
      <c r="AG375" s="21">
        <v>1.7379800000000001</v>
      </c>
      <c r="AH375" s="21">
        <v>22.0228</v>
      </c>
      <c r="AI375" s="21">
        <v>4.1204800000000001E-3</v>
      </c>
      <c r="AJ375" s="21">
        <v>365</v>
      </c>
      <c r="AK375" s="21">
        <v>1.73767</v>
      </c>
      <c r="AL375">
        <f t="shared" si="66"/>
        <v>-5.0870123456790122</v>
      </c>
      <c r="AM375">
        <f t="shared" si="67"/>
        <v>-8.8411257165432104</v>
      </c>
      <c r="AP375" s="9"/>
      <c r="AQ375" s="21">
        <v>-9.7961400000000004E-2</v>
      </c>
      <c r="AR375" s="21">
        <v>27.456700000000001</v>
      </c>
      <c r="AS375" s="21">
        <v>-1.38123E-2</v>
      </c>
      <c r="AT375" s="21">
        <v>365</v>
      </c>
      <c r="AU375" s="21">
        <v>-9.8419199999999998E-2</v>
      </c>
      <c r="AV375">
        <f t="shared" si="68"/>
        <v>17.052222222222223</v>
      </c>
      <c r="AW375">
        <f t="shared" si="69"/>
        <v>-1.6704595620000002</v>
      </c>
      <c r="AX375" s="9"/>
      <c r="AY375" s="21">
        <v>1.7379800000000001</v>
      </c>
      <c r="AZ375" s="21">
        <v>31.155000000000001</v>
      </c>
      <c r="BA375" s="21">
        <v>4.8336799999999999E-3</v>
      </c>
      <c r="BB375" s="21">
        <v>365</v>
      </c>
      <c r="BC375" s="21">
        <v>1.7373700000000001</v>
      </c>
      <c r="BD375">
        <f t="shared" si="70"/>
        <v>-5.9675061728395056</v>
      </c>
      <c r="BE375">
        <f t="shared" si="71"/>
        <v>-10.371406378271605</v>
      </c>
    </row>
    <row r="376" spans="6:57" x14ac:dyDescent="0.25">
      <c r="F376" s="9"/>
      <c r="G376" s="21">
        <v>-0.10299700000000001</v>
      </c>
      <c r="H376" s="21">
        <v>9.2753200000000007</v>
      </c>
      <c r="I376" s="21">
        <v>-1.40015E-2</v>
      </c>
      <c r="J376" s="21">
        <v>366</v>
      </c>
      <c r="K376" s="21">
        <v>-0.103363</v>
      </c>
      <c r="L376">
        <f t="shared" si="60"/>
        <v>17.285802469135803</v>
      </c>
      <c r="M376">
        <f t="shared" si="61"/>
        <v>-1.7803857969135803</v>
      </c>
      <c r="N376" s="9"/>
      <c r="O376" s="21">
        <v>1.7430099999999999</v>
      </c>
      <c r="P376" s="21">
        <v>12.973699999999999</v>
      </c>
      <c r="Q376" s="21">
        <v>6.2469500000000002E-3</v>
      </c>
      <c r="R376" s="21">
        <v>366</v>
      </c>
      <c r="S376" s="21">
        <v>1.7422500000000001</v>
      </c>
      <c r="T376">
        <f t="shared" si="62"/>
        <v>-7.7122839506172838</v>
      </c>
      <c r="U376">
        <f t="shared" si="63"/>
        <v>-13.442588048765431</v>
      </c>
      <c r="X376" s="9"/>
      <c r="Y376" s="21">
        <v>-0.10299700000000001</v>
      </c>
      <c r="Z376" s="21">
        <v>18.334499999999998</v>
      </c>
      <c r="AA376" s="21">
        <v>-1.38855E-2</v>
      </c>
      <c r="AB376" s="21">
        <v>366</v>
      </c>
      <c r="AC376" s="21">
        <v>-0.103394</v>
      </c>
      <c r="AD376">
        <f t="shared" si="64"/>
        <v>17.142592592592592</v>
      </c>
      <c r="AE376">
        <f t="shared" si="65"/>
        <v>-1.7656356092592593</v>
      </c>
      <c r="AF376" s="9"/>
      <c r="AG376" s="21">
        <v>1.7430099999999999</v>
      </c>
      <c r="AH376" s="21">
        <v>22.032900000000001</v>
      </c>
      <c r="AI376" s="21">
        <v>5.9295700000000003E-3</v>
      </c>
      <c r="AJ376" s="21">
        <v>366</v>
      </c>
      <c r="AK376" s="21">
        <v>1.74255</v>
      </c>
      <c r="AL376">
        <f t="shared" si="66"/>
        <v>-7.3204567901234565</v>
      </c>
      <c r="AM376">
        <f t="shared" si="67"/>
        <v>-12.759629389753085</v>
      </c>
      <c r="AP376" s="9"/>
      <c r="AQ376" s="21">
        <v>-0.10299700000000001</v>
      </c>
      <c r="AR376" s="21">
        <v>27.466799999999999</v>
      </c>
      <c r="AS376" s="21">
        <v>-1.3815300000000001E-2</v>
      </c>
      <c r="AT376" s="21">
        <v>366</v>
      </c>
      <c r="AU376" s="21">
        <v>-0.103424</v>
      </c>
      <c r="AV376">
        <f t="shared" si="68"/>
        <v>17.055925925925926</v>
      </c>
      <c r="AW376">
        <f t="shared" si="69"/>
        <v>-1.7567092025925928</v>
      </c>
      <c r="AX376" s="9"/>
      <c r="AY376" s="21">
        <v>1.7430099999999999</v>
      </c>
      <c r="AZ376" s="21">
        <v>31.165099999999999</v>
      </c>
      <c r="BA376" s="21">
        <v>6.6558800000000003E-3</v>
      </c>
      <c r="BB376" s="21">
        <v>366</v>
      </c>
      <c r="BC376" s="21">
        <v>1.7422500000000001</v>
      </c>
      <c r="BD376">
        <f t="shared" si="70"/>
        <v>-8.2171358024691354</v>
      </c>
      <c r="BE376">
        <f t="shared" si="71"/>
        <v>-14.322549875061727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H273"/>
  <sheetViews>
    <sheetView tabSelected="1" topLeftCell="AP1" workbookViewId="0">
      <selection activeCell="BD11" sqref="BD11:BE269"/>
    </sheetView>
  </sheetViews>
  <sheetFormatPr defaultRowHeight="14.4" x14ac:dyDescent="0.25"/>
  <sheetData>
    <row r="1" spans="1:164" x14ac:dyDescent="0.25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 ht="15" x14ac:dyDescent="0.3">
      <c r="E2" s="5" t="s">
        <v>11</v>
      </c>
      <c r="F2" s="4">
        <v>0.81</v>
      </c>
      <c r="G2" s="2">
        <f>ABS(K7-K6)/ABS(L7-L6)*1000</f>
        <v>66417.742622956328</v>
      </c>
      <c r="H2" s="2"/>
      <c r="I2" s="6" t="s">
        <v>12</v>
      </c>
      <c r="J2" s="2"/>
      <c r="K2" s="7" t="s">
        <v>13</v>
      </c>
      <c r="L2" s="3">
        <f>L4*I6*L9/100*100</f>
        <v>4.7168596088888883E-2</v>
      </c>
      <c r="M2" s="8" t="s">
        <v>14</v>
      </c>
      <c r="N2" s="9"/>
      <c r="O2" s="2">
        <f>ABS(S7-S6)/ABS(T7-T6)*1000</f>
        <v>15072.708227156842</v>
      </c>
      <c r="P2" s="2"/>
      <c r="Q2" s="6" t="s">
        <v>15</v>
      </c>
      <c r="R2" s="2"/>
      <c r="S2" s="7" t="s">
        <v>13</v>
      </c>
      <c r="T2" s="3">
        <f>T4*Q6*T9/100*100</f>
        <v>3.728351275530864E-2</v>
      </c>
      <c r="U2" s="8" t="s">
        <v>14</v>
      </c>
      <c r="X2" s="9"/>
      <c r="Y2" s="2">
        <f>ABS(AC7-AC6)/ABS(AD7-AD6)*1000</f>
        <v>34059.902459016077</v>
      </c>
      <c r="Z2" s="2"/>
      <c r="AA2" s="6" t="s">
        <v>12</v>
      </c>
      <c r="AB2" s="2"/>
      <c r="AC2" s="7" t="s">
        <v>13</v>
      </c>
      <c r="AD2" s="3">
        <f>AD4*AA6*AD9/100*100</f>
        <v>4.5084896616296291E-2</v>
      </c>
      <c r="AE2" s="8" t="s">
        <v>14</v>
      </c>
      <c r="AF2" s="9"/>
      <c r="AG2" s="2">
        <f>ABS(AK7-AK6)/ABS(AL7-AL6)*1000</f>
        <v>22518.659148006958</v>
      </c>
      <c r="AH2" s="2"/>
      <c r="AI2" s="6" t="s">
        <v>15</v>
      </c>
      <c r="AJ2" s="2"/>
      <c r="AK2" s="7" t="s">
        <v>13</v>
      </c>
      <c r="AL2" s="3">
        <f>AL4*AI6*AL9/100*100</f>
        <v>3.4474050033333321E-2</v>
      </c>
      <c r="AM2" s="8" t="s">
        <v>14</v>
      </c>
      <c r="AP2" s="9"/>
      <c r="AQ2" s="2">
        <f>ABS(AU7-AU6)/ABS(AV7-AV6)*1000</f>
        <v>33816.703278688212</v>
      </c>
      <c r="AR2" s="2"/>
      <c r="AS2" s="6" t="s">
        <v>12</v>
      </c>
      <c r="AT2" s="2"/>
      <c r="AU2" s="7" t="s">
        <v>13</v>
      </c>
      <c r="AV2" s="3">
        <f>AV4*AS6*AV9/100*100</f>
        <v>4.2849281142962964E-2</v>
      </c>
      <c r="AW2" s="8" t="s">
        <v>14</v>
      </c>
      <c r="AX2" s="9"/>
      <c r="AY2" s="2">
        <f>ABS(BC7-BC6)/ABS(BD7-BD6)*1000</f>
        <v>19291.636516852424</v>
      </c>
      <c r="AZ2" s="2"/>
      <c r="BA2" s="6" t="s">
        <v>15</v>
      </c>
      <c r="BB2" s="2"/>
      <c r="BC2" s="7" t="s">
        <v>13</v>
      </c>
      <c r="BD2" s="3">
        <f>BD4*BA6*BD9/100*100</f>
        <v>3.3161814264444436E-2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 x14ac:dyDescent="0.25">
      <c r="F3" s="9"/>
      <c r="G3" s="2" t="s">
        <v>44</v>
      </c>
      <c r="H3" s="2"/>
      <c r="I3" s="2">
        <f>INDEX(K11:K856,MATCH(0,L11:L856,1))</f>
        <v>1.1334200000000001</v>
      </c>
      <c r="J3" s="2"/>
      <c r="K3" s="10">
        <f>INDEX(L11:L1056,MATCH(I3,K11:K1056,0))</f>
        <v>-1.6577407407407407E-3</v>
      </c>
      <c r="L3" s="26" t="s">
        <v>16</v>
      </c>
      <c r="M3" s="11">
        <f>M9</f>
        <v>4.7168596088888883E-2</v>
      </c>
      <c r="N3" s="9"/>
      <c r="O3" s="2" t="s">
        <v>44</v>
      </c>
      <c r="P3" s="2"/>
      <c r="Q3" s="2">
        <f>INDEX(S11:S1056,MATCH(0,T11:T1056,-1))</f>
        <v>1.18286</v>
      </c>
      <c r="R3" s="2"/>
      <c r="S3" s="10">
        <f>INDEX(T11:T1056,MATCH(Q3,S11:S1056,0))</f>
        <v>3.014086419753086E-4</v>
      </c>
      <c r="T3" s="26" t="s">
        <v>16</v>
      </c>
      <c r="U3" s="11">
        <f>U9</f>
        <v>3.728351275530864E-2</v>
      </c>
      <c r="X3" s="9"/>
      <c r="Y3" s="2" t="s">
        <v>44</v>
      </c>
      <c r="Z3" s="2"/>
      <c r="AA3" s="2">
        <f>INDEX(AC11:AC856,MATCH(0,AD11:AD856,1))</f>
        <v>1.1541699999999999</v>
      </c>
      <c r="AB3" s="2"/>
      <c r="AC3" s="10">
        <f>INDEX(AD11:AD1056,MATCH(AA3,AC11:AC1056,0))</f>
        <v>-1.507037037037037E-4</v>
      </c>
      <c r="AD3" s="26" t="s">
        <v>16</v>
      </c>
      <c r="AE3" s="11">
        <f>AE9</f>
        <v>4.5084896616296291E-2</v>
      </c>
      <c r="AF3" s="9"/>
      <c r="AG3" s="2" t="s">
        <v>44</v>
      </c>
      <c r="AH3" s="2"/>
      <c r="AI3" s="2">
        <f>INDEX(AK11:AK1056,MATCH(0,AL11:AL1056,-1))</f>
        <v>1.18347</v>
      </c>
      <c r="AJ3" s="2"/>
      <c r="AK3" s="10">
        <f>INDEX(AL11:AL1056,MATCH(AI3,AK11:AK1056,0))</f>
        <v>1.3563333333333333E-3</v>
      </c>
      <c r="AL3" s="26" t="s">
        <v>16</v>
      </c>
      <c r="AM3" s="11">
        <f>AM9</f>
        <v>3.4474050033333328E-2</v>
      </c>
      <c r="AP3" s="9"/>
      <c r="AQ3" s="2" t="s">
        <v>44</v>
      </c>
      <c r="AR3" s="2"/>
      <c r="AS3" s="2">
        <f>INDEX(AU11:AU856,MATCH(0,AV11:AV856,1))</f>
        <v>1.16913</v>
      </c>
      <c r="AT3" s="2"/>
      <c r="AU3" s="10">
        <f>INDEX(AV11:AV1056,MATCH(AS3,AU11:AU1056,0))</f>
        <v>-8.6654814814814813E-4</v>
      </c>
      <c r="AV3" s="26" t="s">
        <v>16</v>
      </c>
      <c r="AW3" s="11">
        <f>AW9</f>
        <v>4.2849281142962964E-2</v>
      </c>
      <c r="AX3" s="9"/>
      <c r="AY3" s="2" t="s">
        <v>44</v>
      </c>
      <c r="AZ3" s="2"/>
      <c r="BA3" s="2">
        <f>INDEX(BC11:BC1056,MATCH(0,BD11:BD1056,-1))</f>
        <v>1.1932400000000001</v>
      </c>
      <c r="BB3" s="2"/>
      <c r="BC3" s="10">
        <f>INDEX(BD11:BD1056,MATCH(BA3,BC11:BC1056,0))</f>
        <v>9.0422469135802467E-4</v>
      </c>
      <c r="BD3" s="26" t="s">
        <v>16</v>
      </c>
      <c r="BE3" s="11">
        <f>BE9</f>
        <v>3.3161814264444436E-2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6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6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6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6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6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6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6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6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6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6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6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6" t="s">
        <v>16</v>
      </c>
      <c r="FH3" s="11">
        <f>FH9</f>
        <v>0</v>
      </c>
    </row>
    <row r="4" spans="1:164" x14ac:dyDescent="0.25">
      <c r="F4" s="9"/>
      <c r="G4" s="2">
        <f>ABS(I3-I4)/ABS(K3-K4)*1000</f>
        <v>2636.9043226226472</v>
      </c>
      <c r="H4" s="2"/>
      <c r="I4" s="2">
        <f>INDEX(K11:K1000,1+MATCH(0,L11:L856,1))</f>
        <v>1.1288499999999999</v>
      </c>
      <c r="J4" s="2"/>
      <c r="K4" s="10">
        <f>INDEX(L11:L1056,MATCH(I4,K11:K1056,0))</f>
        <v>7.5352098765432091E-5</v>
      </c>
      <c r="L4" s="25">
        <f>M3/(I6*L9)</f>
        <v>0.4695452166863967</v>
      </c>
      <c r="M4" s="8" t="s">
        <v>17</v>
      </c>
      <c r="N4" s="9"/>
      <c r="O4" s="2">
        <f>ABS(Q3-Q4)/ABS(S3-S4)*1000</f>
        <v>4160.6481329778062</v>
      </c>
      <c r="P4" s="2"/>
      <c r="Q4" s="2">
        <f>INDEX(S11:S856,1+MATCH(0,T11:T856,-1))</f>
        <v>1.18866</v>
      </c>
      <c r="R4" s="2"/>
      <c r="S4" s="10">
        <f>INDEX(T11:T856,MATCH(Q4,S11:S856,0))</f>
        <v>-1.0926049382716048E-3</v>
      </c>
      <c r="T4" s="25">
        <f>U3/(Q6*T9)</f>
        <v>0.39160333304295086</v>
      </c>
      <c r="U4" s="8" t="s">
        <v>17</v>
      </c>
      <c r="X4" s="9"/>
      <c r="Y4" s="2">
        <f>ABS(AA3-AA4)/ABS(AC3-AC4)*1000</f>
        <v>2845.8994508328346</v>
      </c>
      <c r="Z4" s="2"/>
      <c r="AA4" s="2">
        <f>INDEX(AC11:AC1000,1+MATCH(0,AD11:AD856,1))</f>
        <v>1.14838</v>
      </c>
      <c r="AB4" s="2"/>
      <c r="AC4" s="10">
        <f>INDEX(AD11:AD1056,MATCH(AA4,AC11:AC1056,0))</f>
        <v>1.8838024691358022E-3</v>
      </c>
      <c r="AD4" s="25">
        <f>AE3/(AA6*AD9)</f>
        <v>0.46529621820299755</v>
      </c>
      <c r="AE4" s="8" t="s">
        <v>17</v>
      </c>
      <c r="AF4" s="9"/>
      <c r="AG4" s="2">
        <f>ABS(AI3-AI4)/ABS(AK3-AK4)*1000</f>
        <v>2982.4987418782566</v>
      </c>
      <c r="AH4" s="2"/>
      <c r="AI4" s="2">
        <f>INDEX(AK11:AK856,1+MATCH(0,AL11:AL856,-1))</f>
        <v>1.18774</v>
      </c>
      <c r="AJ4" s="2"/>
      <c r="AK4" s="10">
        <f>INDEX(AL11:AL856,MATCH(AI4,AK11:AK856,0))</f>
        <v>-7.5352098765432091E-5</v>
      </c>
      <c r="AL4" s="25">
        <f>AM3/(AI6*AL9)</f>
        <v>0.38377951174793584</v>
      </c>
      <c r="AM4" s="8" t="s">
        <v>17</v>
      </c>
      <c r="AP4" s="9"/>
      <c r="AQ4" s="2">
        <f>ABS(AS3-AS4)/ABS(AU3-AU4)*1000</f>
        <v>4163.3157478361372</v>
      </c>
      <c r="AR4" s="2"/>
      <c r="AS4" s="2">
        <f>INDEX(AU11:AU1000,1+MATCH(0,AV11:AV856,1))</f>
        <v>1.16364</v>
      </c>
      <c r="AT4" s="2"/>
      <c r="AU4" s="10">
        <f>INDEX(AV11:AV1056,MATCH(AS4,AU11:AU1056,0))</f>
        <v>4.5211234567901234E-4</v>
      </c>
      <c r="AV4" s="25">
        <f>AW3/(AS6*AV9)</f>
        <v>0.45405137691793951</v>
      </c>
      <c r="AW4" s="8" t="s">
        <v>17</v>
      </c>
      <c r="AX4" s="9"/>
      <c r="AY4" s="2">
        <f>ABS(BA3-BA4)/ABS(BC3-BC4)*1000</f>
        <v>3625.0892496818251</v>
      </c>
      <c r="AZ4" s="2"/>
      <c r="BA4" s="2">
        <f>INDEX(BC11:BC856,1+MATCH(0,BD11:BD856,-1))</f>
        <v>1.1984300000000001</v>
      </c>
      <c r="BB4" s="2"/>
      <c r="BC4" s="10">
        <f>INDEX(BD11:BD856,MATCH(BA4,BC11:BC856,0))</f>
        <v>-5.2746419753086423E-4</v>
      </c>
      <c r="BD4" s="25">
        <f>BE3/(BA6*BD9)</f>
        <v>0.37882934259725781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5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5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5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5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5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5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5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5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5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5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5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5" t="e">
        <f>FH3/(FD6*FG9)</f>
        <v>#N/A</v>
      </c>
      <c r="FH4" s="8" t="s">
        <v>17</v>
      </c>
    </row>
    <row r="5" spans="1:164" ht="15" x14ac:dyDescent="0.3">
      <c r="F5" s="9"/>
      <c r="G5" s="2"/>
      <c r="H5" s="2"/>
      <c r="I5" s="26" t="s">
        <v>18</v>
      </c>
      <c r="J5" s="26"/>
      <c r="K5" s="7" t="s">
        <v>19</v>
      </c>
      <c r="L5" s="6" t="s">
        <v>20</v>
      </c>
      <c r="M5" s="12">
        <f>INDEX(L11:L1056,MATCH(M9,M11:M1056,0))</f>
        <v>5.8435555555555553E-2</v>
      </c>
      <c r="N5" s="9"/>
      <c r="O5" s="2"/>
      <c r="P5" s="2"/>
      <c r="Q5" s="28" t="s">
        <v>18</v>
      </c>
      <c r="R5" s="28"/>
      <c r="S5" s="7" t="s">
        <v>19</v>
      </c>
      <c r="T5" s="6" t="s">
        <v>21</v>
      </c>
      <c r="U5" s="12">
        <f>INDEX(T11:T1056,MATCH(U9,U11:U1056,0))</f>
        <v>4.3515802469135799E-2</v>
      </c>
      <c r="X5" s="9"/>
      <c r="Y5" s="2"/>
      <c r="Z5" s="2"/>
      <c r="AA5" s="26" t="s">
        <v>18</v>
      </c>
      <c r="AB5" s="26"/>
      <c r="AC5" s="7" t="s">
        <v>19</v>
      </c>
      <c r="AD5" s="6" t="s">
        <v>20</v>
      </c>
      <c r="AE5" s="12">
        <f>INDEX(AD11:AD1056,MATCH(AE9,AE11:AE1056,0))</f>
        <v>5.3839012345679005E-2</v>
      </c>
      <c r="AF5" s="9"/>
      <c r="AG5" s="2"/>
      <c r="AH5" s="2"/>
      <c r="AI5" s="28" t="s">
        <v>18</v>
      </c>
      <c r="AJ5" s="28"/>
      <c r="AK5" s="7" t="s">
        <v>19</v>
      </c>
      <c r="AL5" s="6" t="s">
        <v>21</v>
      </c>
      <c r="AM5" s="12">
        <f>INDEX(AL11:AL1056,MATCH(AM9,AM11:AM1056,0))</f>
        <v>4.1707407407407401E-2</v>
      </c>
      <c r="AP5" s="9"/>
      <c r="AQ5" s="2"/>
      <c r="AR5" s="2"/>
      <c r="AS5" s="26" t="s">
        <v>18</v>
      </c>
      <c r="AT5" s="26"/>
      <c r="AU5" s="7" t="s">
        <v>19</v>
      </c>
      <c r="AV5" s="6" t="s">
        <v>20</v>
      </c>
      <c r="AW5" s="12">
        <f>INDEX(AV11:AV1056,MATCH(AW9,AW11:AW1056,0))</f>
        <v>5.0561234567901236E-2</v>
      </c>
      <c r="AX5" s="9"/>
      <c r="AY5" s="2"/>
      <c r="AZ5" s="2"/>
      <c r="BA5" s="28" t="s">
        <v>18</v>
      </c>
      <c r="BB5" s="28"/>
      <c r="BC5" s="7" t="s">
        <v>19</v>
      </c>
      <c r="BD5" s="6" t="s">
        <v>21</v>
      </c>
      <c r="BE5" s="12">
        <f>INDEX(BD11:BD1056,MATCH(BE9,BE11:BE1056,0))</f>
        <v>4.0614691358024688E-2</v>
      </c>
      <c r="BH5" s="9"/>
      <c r="BI5" s="2"/>
      <c r="BJ5" s="2"/>
      <c r="BK5" s="26" t="s">
        <v>18</v>
      </c>
      <c r="BL5" s="26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28" t="s">
        <v>18</v>
      </c>
      <c r="BT5" s="28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6" t="s">
        <v>18</v>
      </c>
      <c r="CD5" s="26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28" t="s">
        <v>18</v>
      </c>
      <c r="CL5" s="28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6" t="s">
        <v>18</v>
      </c>
      <c r="CV5" s="26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28" t="s">
        <v>18</v>
      </c>
      <c r="DD5" s="28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6" t="s">
        <v>18</v>
      </c>
      <c r="DN5" s="26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28" t="s">
        <v>18</v>
      </c>
      <c r="DV5" s="28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6" t="s">
        <v>18</v>
      </c>
      <c r="EF5" s="26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28" t="s">
        <v>18</v>
      </c>
      <c r="EN5" s="28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6" t="s">
        <v>18</v>
      </c>
      <c r="EW5" s="26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28" t="s">
        <v>18</v>
      </c>
      <c r="FE5" s="28"/>
      <c r="FF5" s="7" t="s">
        <v>19</v>
      </c>
      <c r="FG5" s="6" t="s">
        <v>21</v>
      </c>
      <c r="FH5" s="12">
        <f>INDEX(FG11:FG1056,MATCH(FH9,FH11:FH1056,0))</f>
        <v>0</v>
      </c>
    </row>
    <row r="6" spans="1:164" x14ac:dyDescent="0.25">
      <c r="F6" s="9"/>
      <c r="G6" s="2"/>
      <c r="H6" s="2"/>
      <c r="I6" s="25">
        <f>(I3-I4)/(K3-K4)*(-K4)+I4</f>
        <v>1.1290486962749531</v>
      </c>
      <c r="J6" s="25"/>
      <c r="K6" s="2">
        <f>INDEX(K11:K1056,MATCH(L6,L11:L1056,0))</f>
        <v>1.3855E-3</v>
      </c>
      <c r="L6" s="10">
        <f>INDEX(L11:L1056,MATCH(0,K11:K1056,-1))</f>
        <v>8.8953086419753066E-2</v>
      </c>
      <c r="M6" s="8" t="s">
        <v>22</v>
      </c>
      <c r="N6" s="9"/>
      <c r="O6" s="2"/>
      <c r="P6" s="2"/>
      <c r="Q6" s="27">
        <f>(Q3-Q4)/(S3-S4)*(-S4)+Q4</f>
        <v>1.1841140553034979</v>
      </c>
      <c r="R6" s="27"/>
      <c r="S6" s="2">
        <f>INDEX(S11:S1056,MATCH(T6,T11:T1056,0))</f>
        <v>-4.4952400000000002E-3</v>
      </c>
      <c r="T6" s="10">
        <f>INDEX(T11:T1056,MATCH(0,S11:S1056,1))</f>
        <v>8.0702098765432093E-2</v>
      </c>
      <c r="U6" s="8" t="s">
        <v>22</v>
      </c>
      <c r="X6" s="9"/>
      <c r="Y6" s="2"/>
      <c r="Z6" s="2"/>
      <c r="AA6" s="25">
        <f>(AA3-AA4)/(AC3-AC4)*(-AC4)+AA4</f>
        <v>1.1537411124123911</v>
      </c>
      <c r="AB6" s="25"/>
      <c r="AC6" s="2">
        <f>INDEX(AC11:AC1056,MATCH(AD6,AD11:AD1056,0))</f>
        <v>1.40076E-3</v>
      </c>
      <c r="AD6" s="10">
        <f>INDEX(AD11:AD1056,MATCH(0,AC11:AC1056,-1))</f>
        <v>8.394222222222221E-2</v>
      </c>
      <c r="AE6" s="8" t="s">
        <v>22</v>
      </c>
      <c r="AF6" s="9"/>
      <c r="AG6" s="2"/>
      <c r="AH6" s="2"/>
      <c r="AI6" s="27">
        <f>(AI3-AI4)/(AK3-AK4)*(-AK4)+AI4</f>
        <v>1.1875152624602343</v>
      </c>
      <c r="AJ6" s="27"/>
      <c r="AK6" s="2">
        <f>INDEX(AK11:AK1056,MATCH(AL6,AL11:AL1056,0))</f>
        <v>-4.4677700000000002E-3</v>
      </c>
      <c r="AL6" s="10">
        <f>INDEX(AL11:AL1056,MATCH(0,AK11:AK1056,1))</f>
        <v>7.5841851851851841E-2</v>
      </c>
      <c r="AM6" s="8" t="s">
        <v>22</v>
      </c>
      <c r="AP6" s="9"/>
      <c r="AQ6" s="2"/>
      <c r="AR6" s="2"/>
      <c r="AS6" s="25">
        <f>(AS3-AS4)/(AU3-AU4)*(-AU4)+AS4</f>
        <v>1.1655222864485566</v>
      </c>
      <c r="AT6" s="25"/>
      <c r="AU6" s="2">
        <f>INDEX(AU11:AU1056,MATCH(AV6,AV11:AV1056,0))</f>
        <v>1.37634E-3</v>
      </c>
      <c r="AV6" s="10">
        <f>INDEX(AV11:AV1056,MATCH(0,AU11:AU1056,-1))</f>
        <v>8.0928148148148138E-2</v>
      </c>
      <c r="AW6" s="8" t="s">
        <v>22</v>
      </c>
      <c r="AX6" s="9"/>
      <c r="AY6" s="2"/>
      <c r="AZ6" s="2"/>
      <c r="BA6" s="27">
        <f>(BA3-BA4)/(BC3-BC4)*(-BC4)+BA4</f>
        <v>1.1965178952079389</v>
      </c>
      <c r="BB6" s="27"/>
      <c r="BC6" s="2">
        <f>INDEX(BC11:BC1056,MATCH(BD6,BD11:BD1056,0))</f>
        <v>-4.4860799999999999E-3</v>
      </c>
      <c r="BD6" s="10">
        <f>INDEX(BD11:BD1056,MATCH(0,BC11:BC1056,1))</f>
        <v>7.3392839506172841E-2</v>
      </c>
      <c r="BE6" s="8" t="s">
        <v>22</v>
      </c>
      <c r="BH6" s="9"/>
      <c r="BI6" s="2"/>
      <c r="BJ6" s="2"/>
      <c r="BK6" s="25" t="e">
        <f>(BK3-BK4)/(BM3-BM4)*(-BM4)+BK4</f>
        <v>#N/A</v>
      </c>
      <c r="BL6" s="25"/>
      <c r="BM6" s="2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27" t="e">
        <f>(BS3-BS4)/(BU3-BU4)*(-BU4)+BS4</f>
        <v>#N/A</v>
      </c>
      <c r="BT6" s="27"/>
      <c r="BU6" s="2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5" t="e">
        <f>(CC3-CC4)/(CE3-CE4)*(-CE4)+CC4</f>
        <v>#N/A</v>
      </c>
      <c r="CD6" s="25"/>
      <c r="CE6" s="2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27" t="e">
        <f>(CK3-CK4)/(CM3-CM4)*(-CM4)+CK4</f>
        <v>#N/A</v>
      </c>
      <c r="CL6" s="27"/>
      <c r="CM6" s="2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5" t="e">
        <f>(CU3-CU4)/(CW3-CW4)*(-CW4)+CU4</f>
        <v>#N/A</v>
      </c>
      <c r="CV6" s="25"/>
      <c r="CW6" s="2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27" t="e">
        <f>(DC3-DC4)/(DE3-DE4)*(-DE4)+DC4</f>
        <v>#N/A</v>
      </c>
      <c r="DD6" s="27"/>
      <c r="DE6" s="2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5" t="e">
        <f>(DM3-DM4)/(DO3-DO4)*(-DO4)+DM4</f>
        <v>#N/A</v>
      </c>
      <c r="DN6" s="25"/>
      <c r="DO6" s="2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27" t="e">
        <f>(DU3-DU4)/(DW3-DW4)*(-DW4)+DU4</f>
        <v>#N/A</v>
      </c>
      <c r="DV6" s="27"/>
      <c r="DW6" s="2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5" t="e">
        <f>(EE3-EE4)/(EG3-EG4)*(-EG4)+EE4</f>
        <v>#N/A</v>
      </c>
      <c r="EF6" s="25"/>
      <c r="EG6" s="2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27" t="e">
        <f>(EM3-EM4)/(EO3-EO4)*(-EO4)+EM4</f>
        <v>#N/A</v>
      </c>
      <c r="EN6" s="27"/>
      <c r="EO6" s="2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5" t="e">
        <f>(EV3-EV4)/(EX3-EX4)*(-EX4)+EV4</f>
        <v>#N/A</v>
      </c>
      <c r="EW6" s="25"/>
      <c r="EX6" s="2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27" t="e">
        <f>(FD3-FD4)/(FF3-FF4)*(-FF4)+FD4</f>
        <v>#N/A</v>
      </c>
      <c r="FE6" s="27"/>
      <c r="FF6" s="2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 x14ac:dyDescent="0.25">
      <c r="F7" s="9"/>
      <c r="G7" s="2"/>
      <c r="H7" s="2"/>
      <c r="I7" s="2"/>
      <c r="J7" s="2"/>
      <c r="K7" s="2">
        <f>INDEX(K11:K856,MATCH(L7,L11:L856,1))</f>
        <v>6.3873300000000001E-3</v>
      </c>
      <c r="L7" s="10">
        <f>INDEX(L11:L856,1+MATCH(0,K11:K856,-1))</f>
        <v>8.8877777777777764E-2</v>
      </c>
      <c r="M7" s="12">
        <f>INDEX(K11:K1056,MATCH(M9,M11:M1056,0))</f>
        <v>0.80657999999999996</v>
      </c>
      <c r="N7" s="9"/>
      <c r="O7" s="2"/>
      <c r="P7" s="2"/>
      <c r="Q7" s="2"/>
      <c r="R7" s="2"/>
      <c r="S7" s="2">
        <f>INDEX(S11:S1056,MATCH(T7,T11:T1056,0))</f>
        <v>6.1645500000000002E-4</v>
      </c>
      <c r="T7" s="10">
        <f>INDEX(T11:T1056,1+MATCH(0,S11:S1056,1))</f>
        <v>8.0362962962962955E-2</v>
      </c>
      <c r="U7" s="12">
        <f>INDEX(S11:S1056,MATCH(U9,U11:U1056,0))</f>
        <v>0.85510299999999995</v>
      </c>
      <c r="X7" s="9"/>
      <c r="Y7" s="2"/>
      <c r="Z7" s="2"/>
      <c r="AA7" s="2"/>
      <c r="AB7" s="2"/>
      <c r="AC7" s="2">
        <f>INDEX(AC11:AC856,MATCH(AD7,AD11:AD856,1))</f>
        <v>-3.7292499999999999E-3</v>
      </c>
      <c r="AD7" s="10">
        <f>INDEX(AD11:AD856,1+MATCH(0,AC11:AC856,-1))</f>
        <v>8.4092839506172828E-2</v>
      </c>
      <c r="AE7" s="12">
        <f>INDEX(AC11:AC1056,MATCH(AE9,AE11:AE1056,0))</f>
        <v>0.83679199999999998</v>
      </c>
      <c r="AF7" s="9"/>
      <c r="AG7" s="2"/>
      <c r="AH7" s="2"/>
      <c r="AI7" s="2"/>
      <c r="AJ7" s="2"/>
      <c r="AK7" s="2">
        <f>INDEX(AK11:AK1056,MATCH(AL7,AL11:AL1056,0))</f>
        <v>6.2255899999999996E-4</v>
      </c>
      <c r="AL7" s="10">
        <f>INDEX(AL11:AL1056,1+MATCH(0,AK11:AK1056,1))</f>
        <v>7.5615802469135796E-2</v>
      </c>
      <c r="AM7" s="12">
        <f>INDEX(AK11:AK1056,MATCH(AM9,AM11:AM1056,0))</f>
        <v>0.82580600000000004</v>
      </c>
      <c r="AP7" s="9"/>
      <c r="AQ7" s="2"/>
      <c r="AR7" s="2"/>
      <c r="AS7" s="2"/>
      <c r="AT7" s="2"/>
      <c r="AU7" s="2">
        <f>INDEX(AU11:AU856,MATCH(AV7,AV11:AV856,1))</f>
        <v>-3.71704E-3</v>
      </c>
      <c r="AV7" s="10">
        <f>INDEX(AV11:AV856,1+MATCH(0,AU11:AU856,-1))</f>
        <v>8.1078765432098757E-2</v>
      </c>
      <c r="AW7" s="12">
        <f>INDEX(AU11:AU1056,MATCH(AW9,AW11:AW1056,0))</f>
        <v>0.846252</v>
      </c>
      <c r="AX7" s="9"/>
      <c r="AY7" s="2"/>
      <c r="AZ7" s="2"/>
      <c r="BA7" s="2"/>
      <c r="BB7" s="2"/>
      <c r="BC7" s="2">
        <f>INDEX(BC11:BC1056,MATCH(BD7,BD11:BD1056,0))</f>
        <v>6.0119600000000002E-4</v>
      </c>
      <c r="BD7" s="10">
        <f>INDEX(BD11:BD1056,1+MATCH(0,BC11:BC1056,1))</f>
        <v>7.3129135802469117E-2</v>
      </c>
      <c r="BE7" s="12">
        <f>INDEX(BC11:BC1056,MATCH(BE9,BE11:BE1056,0))</f>
        <v>0.81573499999999999</v>
      </c>
      <c r="BH7" s="9"/>
      <c r="BI7" s="2"/>
      <c r="BJ7" s="2"/>
      <c r="BK7" s="2"/>
      <c r="BL7" s="2"/>
      <c r="BM7" s="2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2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2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2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2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2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2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2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2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2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2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2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 x14ac:dyDescent="0.25">
      <c r="F8" s="9"/>
      <c r="G8" s="2"/>
      <c r="H8" s="2"/>
      <c r="I8" s="2" t="s">
        <v>23</v>
      </c>
      <c r="J8" s="2"/>
      <c r="K8" s="2"/>
      <c r="L8" s="8" t="s">
        <v>24</v>
      </c>
      <c r="M8" s="13" t="s">
        <v>14</v>
      </c>
      <c r="N8" s="9"/>
      <c r="O8" s="2"/>
      <c r="P8" s="2"/>
      <c r="Q8" s="2"/>
      <c r="R8" s="2"/>
      <c r="S8" s="2"/>
      <c r="T8" s="8" t="s">
        <v>24</v>
      </c>
      <c r="U8" s="13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3" t="s">
        <v>14</v>
      </c>
      <c r="AF8" s="9"/>
      <c r="AG8" s="2"/>
      <c r="AH8" s="2"/>
      <c r="AI8" s="2"/>
      <c r="AJ8" s="2"/>
      <c r="AK8" s="2"/>
      <c r="AL8" s="8" t="s">
        <v>24</v>
      </c>
      <c r="AM8" s="13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3" t="s">
        <v>14</v>
      </c>
      <c r="AX8" s="9"/>
      <c r="AY8" s="2"/>
      <c r="AZ8" s="2"/>
      <c r="BA8" s="2"/>
      <c r="BB8" s="2"/>
      <c r="BC8" s="2"/>
      <c r="BD8" s="8" t="s">
        <v>24</v>
      </c>
      <c r="BE8" s="13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3" t="s">
        <v>14</v>
      </c>
      <c r="BP8" s="9"/>
      <c r="BQ8" s="2"/>
      <c r="BR8" s="2"/>
      <c r="BS8" s="2"/>
      <c r="BT8" s="2"/>
      <c r="BU8" s="2"/>
      <c r="BV8" s="8" t="s">
        <v>24</v>
      </c>
      <c r="BW8" s="13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3" t="s">
        <v>14</v>
      </c>
      <c r="CH8" s="9"/>
      <c r="CI8" s="2"/>
      <c r="CJ8" s="2"/>
      <c r="CK8" s="2"/>
      <c r="CL8" s="2"/>
      <c r="CM8" s="2"/>
      <c r="CN8" s="8" t="s">
        <v>24</v>
      </c>
      <c r="CO8" s="13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3" t="s">
        <v>14</v>
      </c>
      <c r="CZ8" s="9"/>
      <c r="DA8" s="2"/>
      <c r="DB8" s="2"/>
      <c r="DC8" s="2"/>
      <c r="DD8" s="2"/>
      <c r="DE8" s="2"/>
      <c r="DF8" s="8" t="s">
        <v>24</v>
      </c>
      <c r="DG8" s="13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3" t="s">
        <v>14</v>
      </c>
      <c r="DR8" s="9"/>
      <c r="DS8" s="2"/>
      <c r="DT8" s="2"/>
      <c r="DU8" s="2"/>
      <c r="DV8" s="2"/>
      <c r="DW8" s="2"/>
      <c r="DX8" s="8" t="s">
        <v>24</v>
      </c>
      <c r="DY8" s="13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3" t="s">
        <v>14</v>
      </c>
      <c r="EJ8" s="9"/>
      <c r="EK8" s="2"/>
      <c r="EL8" s="2"/>
      <c r="EM8" s="2"/>
      <c r="EN8" s="2"/>
      <c r="EO8" s="2"/>
      <c r="EP8" s="8" t="s">
        <v>24</v>
      </c>
      <c r="EQ8" s="13" t="s">
        <v>14</v>
      </c>
      <c r="ET8" s="2"/>
      <c r="EU8" s="2"/>
      <c r="EV8" s="2" t="s">
        <v>23</v>
      </c>
      <c r="EW8" s="2"/>
      <c r="EX8" s="2"/>
      <c r="EY8" s="8" t="s">
        <v>24</v>
      </c>
      <c r="EZ8" s="13" t="s">
        <v>14</v>
      </c>
      <c r="FA8" s="9"/>
      <c r="FB8" s="2"/>
      <c r="FC8" s="2"/>
      <c r="FD8" s="2"/>
      <c r="FE8" s="2"/>
      <c r="FF8" s="2"/>
      <c r="FG8" s="8" t="s">
        <v>24</v>
      </c>
      <c r="FH8" s="13" t="s">
        <v>14</v>
      </c>
    </row>
    <row r="9" spans="1:164" x14ac:dyDescent="0.25">
      <c r="F9" s="9"/>
      <c r="G9" s="2"/>
      <c r="H9" s="2"/>
      <c r="I9" s="14">
        <f>(MAX(L2,T2)-MIN(L2,T2))/MAX(L2,T2)%</f>
        <v>20.956916578462234</v>
      </c>
      <c r="J9" s="2"/>
      <c r="K9" s="2"/>
      <c r="L9" s="3">
        <f>(L6-L7)/(K6-K7)*(-K7)+L7</f>
        <v>8.8973946809541765E-2</v>
      </c>
      <c r="M9" s="15">
        <f>MAX(M11:M1056)</f>
        <v>4.7168596088888883E-2</v>
      </c>
      <c r="N9" s="9"/>
      <c r="O9" s="2"/>
      <c r="P9" s="2"/>
      <c r="Q9" s="2"/>
      <c r="R9" s="2"/>
      <c r="S9" s="2"/>
      <c r="T9" s="3">
        <f>(T6-T7)/(S6-S7)*(-S7)+T7</f>
        <v>8.0403861717898664E-2</v>
      </c>
      <c r="U9" s="15">
        <f>MAX(U11:U1056)</f>
        <v>3.728351275530864E-2</v>
      </c>
      <c r="X9" s="9"/>
      <c r="Y9" s="2"/>
      <c r="Z9" s="2"/>
      <c r="AA9" s="14">
        <f>(MAX(AD2,AL2)-MIN(AD2,AL2))/MAX(AD2,AL2)%</f>
        <v>23.535257656834897</v>
      </c>
      <c r="AB9" s="2"/>
      <c r="AC9" s="2"/>
      <c r="AD9" s="3">
        <f>(AD6-AD7)/(AC6-AC7)*(-AC7)+AD7</f>
        <v>8.3983348587797851E-2</v>
      </c>
      <c r="AE9" s="15">
        <f>MAX(AE11:AE1056)</f>
        <v>4.5084896616296291E-2</v>
      </c>
      <c r="AF9" s="9"/>
      <c r="AG9" s="2"/>
      <c r="AH9" s="2"/>
      <c r="AI9" s="2"/>
      <c r="AJ9" s="2"/>
      <c r="AK9" s="2"/>
      <c r="AL9" s="3">
        <f>(AL6-AL7)/(AK6-AK7)*(-AK7)+AL7</f>
        <v>7.56434488310221E-2</v>
      </c>
      <c r="AM9" s="15">
        <f>MAX(AM11:AM1056)</f>
        <v>3.4474050033333328E-2</v>
      </c>
      <c r="AP9" s="9"/>
      <c r="AQ9" s="2"/>
      <c r="AR9" s="2"/>
      <c r="AS9" s="14">
        <f>(MAX(AV2,BD2)-MIN(AV2,BD2))/MAX(AV2,BD2)%</f>
        <v>22.608236638082964</v>
      </c>
      <c r="AT9" s="2"/>
      <c r="AU9" s="2"/>
      <c r="AV9" s="3">
        <f>(AV6-AV7)/(AU6-AU7)*(-AU7)+AV7</f>
        <v>8.0968848153369147E-2</v>
      </c>
      <c r="AW9" s="15">
        <f>MAX(AW11:AW1056)</f>
        <v>4.2849281142962964E-2</v>
      </c>
      <c r="AX9" s="9"/>
      <c r="AY9" s="2"/>
      <c r="AZ9" s="2"/>
      <c r="BA9" s="2"/>
      <c r="BB9" s="2"/>
      <c r="BC9" s="2"/>
      <c r="BD9" s="3">
        <f>(BD6-BD7)/(BC6-BC7)*(-BC7)+BD7</f>
        <v>7.3160299358732209E-2</v>
      </c>
      <c r="BE9" s="15">
        <f>MAX(BE11:BE1056)</f>
        <v>3.3161814264444436E-2</v>
      </c>
      <c r="BH9" s="9"/>
      <c r="BI9" s="2"/>
      <c r="BJ9" s="2"/>
      <c r="BK9" s="14" t="e">
        <f>(MAX(BN2,BV2)-MIN(BN2,BV2))/MAX(BN2,BV2)%</f>
        <v>#N/A</v>
      </c>
      <c r="BL9" s="2"/>
      <c r="BM9" s="2"/>
      <c r="BN9" s="3" t="e">
        <f>(BN6-BN7)/(BM6-BM7)*(-BM7)+BN7</f>
        <v>#DIV/0!</v>
      </c>
      <c r="BO9" s="15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5">
        <f>MAX(BW11:BW1056)</f>
        <v>-0.38357813841234567</v>
      </c>
      <c r="BZ9" s="9"/>
      <c r="CA9" s="2"/>
      <c r="CB9" s="2"/>
      <c r="CC9" s="14" t="e">
        <f>(MAX(CF2,CN2)-MIN(CF2,CN2))/MAX(CF2,CN2)%</f>
        <v>#N/A</v>
      </c>
      <c r="CD9" s="2"/>
      <c r="CE9" s="2"/>
      <c r="CF9" s="3" t="e">
        <f>(CF6-CF7)/(CE6-CE7)*(-CE7)+CF7</f>
        <v>#DIV/0!</v>
      </c>
      <c r="CG9" s="15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5">
        <f>MAX(CO11:CO1056)</f>
        <v>-0.38157566091481487</v>
      </c>
      <c r="CR9" s="9"/>
      <c r="CS9" s="2"/>
      <c r="CT9" s="2"/>
      <c r="CU9" s="14" t="e">
        <f>(MAX(CX2,DF2)-MIN(CX2,DF2))/MAX(CX2,DF2)%</f>
        <v>#N/A</v>
      </c>
      <c r="CV9" s="2"/>
      <c r="CW9" s="2"/>
      <c r="CX9" s="3" t="e">
        <f>(CX6-CX7)/(CW6-CW7)*(-CW7)+CX7</f>
        <v>#DIV/0!</v>
      </c>
      <c r="CY9" s="15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5">
        <f>MAX(DG11:DG1056)</f>
        <v>-0.38010983332592591</v>
      </c>
      <c r="DJ9" s="9"/>
      <c r="DK9" s="2"/>
      <c r="DL9" s="2"/>
      <c r="DM9" s="14" t="e">
        <f>(MAX(DP2,DX2)-MIN(DP2,DX2))/MAX(DP2,DX2)%</f>
        <v>#N/A</v>
      </c>
      <c r="DN9" s="2"/>
      <c r="DO9" s="2"/>
      <c r="DP9" s="3" t="e">
        <f>(DP6-DP7)/(DO6-DO7)*(-DO7)+DP7</f>
        <v>#N/A</v>
      </c>
      <c r="DQ9" s="15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5">
        <f>MAX(DY11:DY1056)</f>
        <v>0</v>
      </c>
      <c r="EB9" s="9"/>
      <c r="EC9" s="2"/>
      <c r="ED9" s="2"/>
      <c r="EE9" s="14" t="e">
        <f>(MAX(EH2,EP2)-MIN(EH2,EP2))/MAX(EH2,EP2)%</f>
        <v>#N/A</v>
      </c>
      <c r="EF9" s="2"/>
      <c r="EG9" s="2"/>
      <c r="EH9" s="3" t="e">
        <f>(EH6-EH7)/(EG6-EG7)*(-EG7)+EH7</f>
        <v>#N/A</v>
      </c>
      <c r="EI9" s="15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5">
        <f>MAX(EQ11:EQ1056)</f>
        <v>0</v>
      </c>
      <c r="ET9" s="2"/>
      <c r="EU9" s="2"/>
      <c r="EV9" s="14" t="e">
        <f>(MAX(EY2,FG2)-MIN(EY2,FG2))/MAX(EY2,FG2)%</f>
        <v>#N/A</v>
      </c>
      <c r="EW9" s="2"/>
      <c r="EX9" s="2"/>
      <c r="EY9" s="3" t="e">
        <f>(EY6-EY7)/(EX6-EX7)*(-EX7)+EY7</f>
        <v>#N/A</v>
      </c>
      <c r="EZ9" s="15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5">
        <f>MAX(FH11:FH1056)</f>
        <v>0</v>
      </c>
    </row>
    <row r="10" spans="1:164" ht="57.6" x14ac:dyDescent="0.25">
      <c r="A10" s="16" t="s">
        <v>18</v>
      </c>
      <c r="B10" s="16" t="s">
        <v>24</v>
      </c>
      <c r="C10" s="16" t="s">
        <v>16</v>
      </c>
      <c r="D10" s="16" t="s">
        <v>25</v>
      </c>
      <c r="E10" s="16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6"/>
      <c r="W10" s="16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 x14ac:dyDescent="0.25">
      <c r="A11" s="17">
        <f>IFERROR(I6,0)</f>
        <v>1.1290486962749531</v>
      </c>
      <c r="B11" s="18">
        <f>IFERROR(L9,0)</f>
        <v>8.8973946809541765E-2</v>
      </c>
      <c r="C11" s="19">
        <f>IFERROR(L4,0)</f>
        <v>0.4695452166863967</v>
      </c>
      <c r="D11" s="20">
        <f>IFERROR(L2,0)</f>
        <v>4.7168596088888883E-2</v>
      </c>
      <c r="E11" s="20">
        <f>IFERROR(I9,0)</f>
        <v>20.956916578462234</v>
      </c>
      <c r="F11" s="9"/>
      <c r="G11" s="21">
        <v>1.19492</v>
      </c>
      <c r="H11" s="21">
        <v>5.0253899999999998</v>
      </c>
      <c r="I11" s="24">
        <v>1.9622800000000001E-5</v>
      </c>
      <c r="J11" s="21">
        <v>1</v>
      </c>
      <c r="K11" s="21">
        <v>1.1938500000000001</v>
      </c>
      <c r="L11">
        <f>-I11/$F$2*1000</f>
        <v>-2.4225679012345677E-2</v>
      </c>
      <c r="M11">
        <f>L11*G11</f>
        <v>-2.8947748365432097E-2</v>
      </c>
      <c r="N11" s="9"/>
      <c r="O11" s="21">
        <v>-9.49097E-2</v>
      </c>
      <c r="P11" s="21">
        <v>7.6461300000000003</v>
      </c>
      <c r="Q11" s="24">
        <v>-7.2906500000000004E-5</v>
      </c>
      <c r="R11" s="21">
        <v>1</v>
      </c>
      <c r="S11" s="21">
        <v>-9.5184299999999999E-2</v>
      </c>
      <c r="T11">
        <f>-Q11/$F$2*1000</f>
        <v>9.0008024691358018E-2</v>
      </c>
      <c r="U11">
        <f>T11*O11</f>
        <v>-8.5426346210493824E-3</v>
      </c>
      <c r="V11" s="22"/>
      <c r="W11" s="23"/>
      <c r="X11" s="9"/>
      <c r="Y11" s="21">
        <v>1.19492</v>
      </c>
      <c r="Z11" s="21">
        <v>12.006600000000001</v>
      </c>
      <c r="AA11" s="24">
        <v>1.0833699999999999E-5</v>
      </c>
      <c r="AB11" s="21">
        <v>1</v>
      </c>
      <c r="AC11" s="21">
        <v>1.1944600000000001</v>
      </c>
      <c r="AD11">
        <f>-AA11/$F$2*1000</f>
        <v>-1.3374938271604936E-2</v>
      </c>
      <c r="AE11">
        <f>AD11*Y11</f>
        <v>-1.5981981239506171E-2</v>
      </c>
      <c r="AF11" s="9"/>
      <c r="AG11" s="21">
        <v>-9.49097E-2</v>
      </c>
      <c r="AH11" s="21">
        <v>14.6273</v>
      </c>
      <c r="AI11" s="24">
        <v>-6.8511999999999997E-5</v>
      </c>
      <c r="AJ11" s="21">
        <v>1</v>
      </c>
      <c r="AK11" s="21">
        <v>-9.5184299999999999E-2</v>
      </c>
      <c r="AL11">
        <f>-AI11/$F$2*1000</f>
        <v>8.4582716049382708E-2</v>
      </c>
      <c r="AM11">
        <f>AL11*AG11</f>
        <v>-8.0277202054320988E-3</v>
      </c>
      <c r="AP11" s="9"/>
      <c r="AQ11" s="21">
        <v>1.19492</v>
      </c>
      <c r="AR11" s="21">
        <v>18.9297</v>
      </c>
      <c r="AS11" s="24">
        <v>7.1716299999999996E-6</v>
      </c>
      <c r="AT11" s="21">
        <v>1</v>
      </c>
      <c r="AU11" s="21">
        <v>1.1938500000000001</v>
      </c>
      <c r="AV11">
        <f>-AS11/$F$2*1000</f>
        <v>-8.8538641975308627E-3</v>
      </c>
      <c r="AW11">
        <f>AV11*AQ11</f>
        <v>-1.0579659406913577E-2</v>
      </c>
      <c r="AX11" s="9"/>
      <c r="AY11" s="21">
        <v>-9.49097E-2</v>
      </c>
      <c r="AZ11" s="21">
        <v>21.5505</v>
      </c>
      <c r="BA11" s="24">
        <v>-6.6345200000000003E-5</v>
      </c>
      <c r="BB11" s="21">
        <v>1</v>
      </c>
      <c r="BC11" s="21">
        <v>-9.5184299999999999E-2</v>
      </c>
      <c r="BD11">
        <f>-BA11/$F$2*1000</f>
        <v>8.190765432098765E-2</v>
      </c>
      <c r="BE11">
        <f>BD11*AY11</f>
        <v>-7.7738308993086412E-3</v>
      </c>
      <c r="BH11" s="9"/>
      <c r="BI11" s="21">
        <v>1.2149000000000001</v>
      </c>
      <c r="BJ11" s="21">
        <v>340.125</v>
      </c>
      <c r="BK11" s="21">
        <v>3.54828E-3</v>
      </c>
      <c r="BL11" s="21">
        <v>1</v>
      </c>
      <c r="BM11" s="21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1">
        <v>-9.49097E-2</v>
      </c>
      <c r="BR11" s="21">
        <v>366.71300000000002</v>
      </c>
      <c r="BS11" s="21">
        <v>-3.2736200000000001E-3</v>
      </c>
      <c r="BT11" s="21">
        <v>1</v>
      </c>
      <c r="BU11" s="21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1">
        <v>1.2149000000000001</v>
      </c>
      <c r="CB11" s="21">
        <v>402.04</v>
      </c>
      <c r="CC11" s="21">
        <v>3.4503200000000002E-3</v>
      </c>
      <c r="CD11" s="21">
        <v>1</v>
      </c>
      <c r="CE11" s="21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1">
        <v>-9.49097E-2</v>
      </c>
      <c r="CJ11" s="21">
        <v>428.62799999999999</v>
      </c>
      <c r="CK11" s="21">
        <v>-3.2565300000000001E-3</v>
      </c>
      <c r="CL11" s="21">
        <v>1</v>
      </c>
      <c r="CM11" s="21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1">
        <v>1.2149000000000001</v>
      </c>
      <c r="CT11" s="21">
        <v>467.286</v>
      </c>
      <c r="CU11" s="21">
        <v>3.3904999999999999E-3</v>
      </c>
      <c r="CV11" s="21">
        <v>1</v>
      </c>
      <c r="CW11" s="21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1">
        <v>-9.49097E-2</v>
      </c>
      <c r="DB11" s="21">
        <v>493.875</v>
      </c>
      <c r="DC11" s="21">
        <v>-3.2440199999999998E-3</v>
      </c>
      <c r="DD11" s="21">
        <v>1</v>
      </c>
      <c r="DE11" s="21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1"/>
      <c r="DL11" s="21"/>
      <c r="DM11" s="21"/>
      <c r="DN11" s="21"/>
      <c r="DO11" s="21"/>
      <c r="DP11">
        <f>-DM11/$F$2*1000</f>
        <v>0</v>
      </c>
      <c r="DQ11">
        <f>DP11*DK11</f>
        <v>0</v>
      </c>
      <c r="DR11" s="9"/>
      <c r="DS11" s="21"/>
      <c r="DT11" s="21"/>
      <c r="DU11" s="21"/>
      <c r="DV11" s="21"/>
      <c r="DW11" s="21"/>
      <c r="DX11">
        <f>-DU11/$F$2*1000</f>
        <v>0</v>
      </c>
      <c r="DY11">
        <f>DX11*DS11</f>
        <v>0</v>
      </c>
      <c r="EB11" s="9"/>
      <c r="EC11" s="21"/>
      <c r="ED11" s="21"/>
      <c r="EE11" s="21"/>
      <c r="EF11" s="21"/>
      <c r="EG11" s="21"/>
      <c r="EH11">
        <f>-EE11/$F$2*1000</f>
        <v>0</v>
      </c>
      <c r="EI11">
        <f>EH11*EC11</f>
        <v>0</v>
      </c>
      <c r="EJ11" s="9"/>
      <c r="EK11" s="21"/>
      <c r="EL11" s="21"/>
      <c r="EM11" s="21"/>
      <c r="EN11" s="21"/>
      <c r="EO11" s="21"/>
      <c r="EP11">
        <f>-EM11/$F$2*1000</f>
        <v>0</v>
      </c>
      <c r="EQ11">
        <f>EP11*EK11</f>
        <v>0</v>
      </c>
      <c r="ES11" s="9"/>
      <c r="ET11" s="21"/>
      <c r="EU11" s="21"/>
      <c r="EV11" s="21"/>
      <c r="EW11" s="21"/>
      <c r="EX11" s="21"/>
      <c r="EY11">
        <f>-EV11/$F$2*1000</f>
        <v>0</v>
      </c>
      <c r="EZ11">
        <f>EY11*ET11</f>
        <v>0</v>
      </c>
      <c r="FA11" s="9"/>
      <c r="FB11" s="21"/>
      <c r="FC11" s="21"/>
      <c r="FD11" s="21"/>
      <c r="FE11" s="21"/>
      <c r="FF11" s="21"/>
      <c r="FG11">
        <f>-FD11/$F$2*1000</f>
        <v>0</v>
      </c>
      <c r="FH11">
        <f>FG11*FB11</f>
        <v>0</v>
      </c>
    </row>
    <row r="12" spans="1:164" x14ac:dyDescent="0.25">
      <c r="A12" s="17">
        <f>IFERROR(Q6,0)</f>
        <v>1.1841140553034979</v>
      </c>
      <c r="B12" s="18">
        <f>IFERROR(T9,0)</f>
        <v>8.0403861717898664E-2</v>
      </c>
      <c r="C12" s="19">
        <f>IFERROR(T4,0)</f>
        <v>0.39160333304295086</v>
      </c>
      <c r="D12" s="20">
        <f>IFERROR(T2,0)</f>
        <v>3.728351275530864E-2</v>
      </c>
      <c r="E12" s="20"/>
      <c r="F12" s="9"/>
      <c r="G12" s="21">
        <v>1.18988</v>
      </c>
      <c r="H12" s="21">
        <v>5.0354599999999996</v>
      </c>
      <c r="I12" s="24">
        <v>1.8096899999999999E-5</v>
      </c>
      <c r="J12" s="21">
        <v>2</v>
      </c>
      <c r="K12" s="21">
        <v>1.18896</v>
      </c>
      <c r="L12">
        <f t="shared" ref="L12:L75" si="0">-I12/$F$2*1000</f>
        <v>-2.2341851851851849E-2</v>
      </c>
      <c r="M12">
        <f t="shared" ref="M12:M75" si="1">L12*G12</f>
        <v>-2.6584122681481481E-2</v>
      </c>
      <c r="N12" s="9"/>
      <c r="O12" s="21">
        <v>-8.9874300000000004E-2</v>
      </c>
      <c r="P12" s="21">
        <v>7.6562000000000001</v>
      </c>
      <c r="Q12" s="24">
        <v>-7.20825E-5</v>
      </c>
      <c r="R12" s="21">
        <v>2</v>
      </c>
      <c r="S12" s="21">
        <v>-9.0087899999999999E-2</v>
      </c>
      <c r="T12">
        <f t="shared" ref="T12:T75" si="2">-Q12/$F$2*1000</f>
        <v>8.8990740740740731E-2</v>
      </c>
      <c r="U12">
        <f t="shared" ref="U12:U75" si="3">T12*O12</f>
        <v>-7.9979805305555544E-3</v>
      </c>
      <c r="V12" s="22"/>
      <c r="W12" s="23"/>
      <c r="X12" s="9"/>
      <c r="Y12" s="21">
        <v>1.18988</v>
      </c>
      <c r="Z12" s="21">
        <v>12.0166</v>
      </c>
      <c r="AA12" s="24">
        <v>9.4604500000000002E-6</v>
      </c>
      <c r="AB12" s="21">
        <v>2</v>
      </c>
      <c r="AC12" s="21">
        <v>1.1895800000000001</v>
      </c>
      <c r="AD12">
        <f t="shared" ref="AD12:AD75" si="4">-AA12/$F$2*1000</f>
        <v>-1.1679567901234568E-2</v>
      </c>
      <c r="AE12">
        <f t="shared" ref="AE12:AE75" si="5">AD12*Y12</f>
        <v>-1.3897284254320989E-2</v>
      </c>
      <c r="AF12" s="9"/>
      <c r="AG12" s="21">
        <v>-8.9874300000000004E-2</v>
      </c>
      <c r="AH12" s="21">
        <v>14.6374</v>
      </c>
      <c r="AI12" s="24">
        <v>-6.7840600000000002E-5</v>
      </c>
      <c r="AJ12" s="21">
        <v>2</v>
      </c>
      <c r="AK12" s="21">
        <v>-9.0087899999999999E-2</v>
      </c>
      <c r="AL12">
        <f t="shared" ref="AL12:AL75" si="6">-AI12/$F$2*1000</f>
        <v>8.3753827160493816E-2</v>
      </c>
      <c r="AM12">
        <f t="shared" ref="AM12:AM75" si="7">AL12*AG12</f>
        <v>-7.5273165883703698E-3</v>
      </c>
      <c r="AP12" s="9"/>
      <c r="AQ12" s="21">
        <v>1.18988</v>
      </c>
      <c r="AR12" s="21">
        <v>18.939800000000002</v>
      </c>
      <c r="AS12" s="24">
        <v>5.6762699999999998E-6</v>
      </c>
      <c r="AT12" s="21">
        <v>2</v>
      </c>
      <c r="AU12" s="21">
        <v>1.18866</v>
      </c>
      <c r="AV12">
        <f t="shared" ref="AV12:AV75" si="8">-AS12/$F$2*1000</f>
        <v>-7.0077407407407406E-3</v>
      </c>
      <c r="AW12">
        <f t="shared" ref="AW12:AW75" si="9">AV12*AQ12</f>
        <v>-8.3383705525925927E-3</v>
      </c>
      <c r="AX12" s="9"/>
      <c r="AY12" s="21">
        <v>-8.9874300000000004E-2</v>
      </c>
      <c r="AZ12" s="21">
        <v>21.560600000000001</v>
      </c>
      <c r="BA12" s="24">
        <v>-6.57349E-5</v>
      </c>
      <c r="BB12" s="21">
        <v>2</v>
      </c>
      <c r="BC12" s="21">
        <v>-9.0118400000000001E-2</v>
      </c>
      <c r="BD12">
        <f t="shared" ref="BD12:BD75" si="10">-BA12/$F$2*1000</f>
        <v>8.1154197530864183E-2</v>
      </c>
      <c r="BE12">
        <f t="shared" ref="BE12:BE75" si="11">BD12*AY12</f>
        <v>-7.2936766951481472E-3</v>
      </c>
      <c r="BH12" s="9"/>
      <c r="BI12" s="21"/>
      <c r="BJ12" s="21"/>
      <c r="BK12" s="21"/>
      <c r="BL12" s="21"/>
      <c r="BM12" s="21"/>
      <c r="BP12" s="9"/>
      <c r="BQ12" s="21"/>
      <c r="BR12" s="21"/>
      <c r="BS12" s="21"/>
      <c r="BT12" s="21"/>
      <c r="BU12" s="21"/>
      <c r="BZ12" s="9"/>
      <c r="CA12" s="21"/>
      <c r="CB12" s="21"/>
      <c r="CC12" s="21"/>
      <c r="CD12" s="21"/>
      <c r="CE12" s="21"/>
      <c r="CH12" s="9"/>
      <c r="CI12" s="21"/>
      <c r="CJ12" s="21"/>
      <c r="CK12" s="21"/>
      <c r="CL12" s="21"/>
      <c r="CM12" s="21"/>
      <c r="CR12" s="9"/>
      <c r="CS12" s="21"/>
      <c r="CT12" s="21"/>
      <c r="CU12" s="21"/>
      <c r="CV12" s="21"/>
      <c r="CW12" s="21"/>
      <c r="CZ12" s="9"/>
      <c r="DA12" s="21"/>
      <c r="DB12" s="21"/>
      <c r="DC12" s="21"/>
      <c r="DD12" s="21"/>
      <c r="DE12" s="21"/>
      <c r="DJ12" s="9"/>
      <c r="DK12" s="21"/>
      <c r="DL12" s="21"/>
      <c r="DM12" s="21"/>
      <c r="DN12" s="21"/>
      <c r="DO12" s="21"/>
      <c r="DR12" s="9"/>
      <c r="DS12" s="21"/>
      <c r="DT12" s="21"/>
      <c r="DU12" s="21"/>
      <c r="DV12" s="21"/>
      <c r="DW12" s="21"/>
      <c r="EB12" s="9"/>
      <c r="EC12" s="21"/>
      <c r="ED12" s="21"/>
      <c r="EE12" s="21"/>
      <c r="EF12" s="21"/>
      <c r="EG12" s="21"/>
      <c r="EJ12" s="9"/>
      <c r="EK12" s="21"/>
      <c r="EL12" s="21"/>
      <c r="EM12" s="21"/>
      <c r="EN12" s="21"/>
      <c r="EO12" s="21"/>
      <c r="ES12" s="9"/>
      <c r="ET12" s="21"/>
      <c r="EU12" s="21"/>
      <c r="EV12" s="21"/>
      <c r="EW12" s="21"/>
      <c r="EX12" s="21"/>
      <c r="FA12" s="9"/>
      <c r="FB12" s="21"/>
      <c r="FC12" s="21"/>
      <c r="FD12" s="21"/>
      <c r="FE12" s="21"/>
      <c r="FF12" s="21"/>
    </row>
    <row r="13" spans="1:164" x14ac:dyDescent="0.25">
      <c r="A13" s="17">
        <f>IFERROR(AA6,)</f>
        <v>1.1537411124123911</v>
      </c>
      <c r="B13" s="18">
        <f>IFERROR(AD9,0)</f>
        <v>8.3983348587797851E-2</v>
      </c>
      <c r="C13" s="19">
        <f>IFERROR(AD4,0)</f>
        <v>0.46529621820299755</v>
      </c>
      <c r="D13" s="20">
        <f>IFERROR(AD2,0)</f>
        <v>4.5084896616296291E-2</v>
      </c>
      <c r="E13" s="20">
        <f>IFERROR(AA9,0)</f>
        <v>23.535257656834897</v>
      </c>
      <c r="F13" s="9"/>
      <c r="G13" s="21">
        <v>1.1848399999999999</v>
      </c>
      <c r="H13" s="21">
        <v>5.0455300000000003</v>
      </c>
      <c r="I13" s="24">
        <v>1.67236E-5</v>
      </c>
      <c r="J13" s="21">
        <v>3</v>
      </c>
      <c r="K13" s="21">
        <v>1.18347</v>
      </c>
      <c r="L13">
        <f t="shared" si="0"/>
        <v>-2.0646419753086419E-2</v>
      </c>
      <c r="M13">
        <f t="shared" si="1"/>
        <v>-2.446270398024691E-2</v>
      </c>
      <c r="N13" s="9"/>
      <c r="O13" s="21">
        <v>-8.4838899999999995E-2</v>
      </c>
      <c r="P13" s="21">
        <v>7.6662699999999999</v>
      </c>
      <c r="Q13" s="24">
        <v>-7.1472199999999996E-5</v>
      </c>
      <c r="R13" s="21">
        <v>3</v>
      </c>
      <c r="S13" s="21">
        <v>-8.5143999999999997E-2</v>
      </c>
      <c r="T13">
        <f t="shared" si="2"/>
        <v>8.8237283950617279E-2</v>
      </c>
      <c r="U13">
        <f t="shared" si="3"/>
        <v>-7.4859541093580239E-3</v>
      </c>
      <c r="V13" s="22"/>
      <c r="W13" s="23"/>
      <c r="X13" s="9"/>
      <c r="Y13" s="21">
        <v>1.1848399999999999</v>
      </c>
      <c r="Z13" s="21">
        <v>12.0267</v>
      </c>
      <c r="AA13" s="24">
        <v>7.9040499999999993E-6</v>
      </c>
      <c r="AB13" s="21">
        <v>3</v>
      </c>
      <c r="AC13" s="21">
        <v>1.1837800000000001</v>
      </c>
      <c r="AD13">
        <f t="shared" si="4"/>
        <v>-9.7580864197530856E-3</v>
      </c>
      <c r="AE13">
        <f t="shared" si="5"/>
        <v>-1.1561771113580244E-2</v>
      </c>
      <c r="AF13" s="9"/>
      <c r="AG13" s="21">
        <v>-8.4838899999999995E-2</v>
      </c>
      <c r="AH13" s="21">
        <v>14.647399999999999</v>
      </c>
      <c r="AI13" s="24">
        <v>-6.7169199999999994E-5</v>
      </c>
      <c r="AJ13" s="21">
        <v>3</v>
      </c>
      <c r="AK13" s="21">
        <v>-8.5174600000000003E-2</v>
      </c>
      <c r="AL13">
        <f t="shared" si="6"/>
        <v>8.2924938271604923E-2</v>
      </c>
      <c r="AM13">
        <f t="shared" si="7"/>
        <v>-7.0352605455308624E-3</v>
      </c>
      <c r="AP13" s="9"/>
      <c r="AQ13" s="21">
        <v>1.1848399999999999</v>
      </c>
      <c r="AR13" s="21">
        <v>18.9499</v>
      </c>
      <c r="AS13" s="24">
        <v>4.6386699999999998E-6</v>
      </c>
      <c r="AT13" s="21">
        <v>3</v>
      </c>
      <c r="AU13" s="21">
        <v>1.18408</v>
      </c>
      <c r="AV13">
        <f t="shared" si="8"/>
        <v>-5.7267530864197527E-3</v>
      </c>
      <c r="AW13">
        <f t="shared" si="9"/>
        <v>-6.7852861269135792E-3</v>
      </c>
      <c r="AX13" s="9"/>
      <c r="AY13" s="21">
        <v>-8.4838899999999995E-2</v>
      </c>
      <c r="AZ13" s="21">
        <v>21.570599999999999</v>
      </c>
      <c r="BA13" s="24">
        <v>-6.5093999999999997E-5</v>
      </c>
      <c r="BB13" s="21">
        <v>3</v>
      </c>
      <c r="BC13" s="21">
        <v>-8.5113499999999995E-2</v>
      </c>
      <c r="BD13">
        <f t="shared" si="10"/>
        <v>8.0362962962962955E-2</v>
      </c>
      <c r="BE13">
        <f t="shared" si="11"/>
        <v>-6.8179053785185177E-3</v>
      </c>
      <c r="BH13" s="9"/>
      <c r="BI13" s="21"/>
      <c r="BJ13" s="21"/>
      <c r="BK13" s="21"/>
      <c r="BL13" s="21"/>
      <c r="BM13" s="21"/>
      <c r="BP13" s="9"/>
      <c r="BQ13" s="21"/>
      <c r="BR13" s="21"/>
      <c r="BS13" s="21"/>
      <c r="BT13" s="21"/>
      <c r="BU13" s="21"/>
      <c r="BZ13" s="9"/>
      <c r="CA13" s="21"/>
      <c r="CB13" s="21"/>
      <c r="CC13" s="21"/>
      <c r="CD13" s="21"/>
      <c r="CE13" s="21"/>
      <c r="CH13" s="9"/>
      <c r="CI13" s="21"/>
      <c r="CJ13" s="21"/>
      <c r="CK13" s="21"/>
      <c r="CL13" s="21"/>
      <c r="CM13" s="21"/>
      <c r="CR13" s="9"/>
      <c r="CS13" s="21"/>
      <c r="CT13" s="21"/>
      <c r="CU13" s="21"/>
      <c r="CV13" s="21"/>
      <c r="CW13" s="21"/>
      <c r="CZ13" s="9"/>
      <c r="DA13" s="21"/>
      <c r="DB13" s="21"/>
      <c r="DC13" s="21"/>
      <c r="DD13" s="21"/>
      <c r="DE13" s="21"/>
      <c r="DJ13" s="9"/>
      <c r="DK13" s="21"/>
      <c r="DL13" s="21"/>
      <c r="DM13" s="21"/>
      <c r="DN13" s="21"/>
      <c r="DO13" s="21"/>
      <c r="DR13" s="9"/>
      <c r="DS13" s="21"/>
      <c r="DT13" s="21"/>
      <c r="DU13" s="21"/>
      <c r="DV13" s="21"/>
      <c r="DW13" s="21"/>
      <c r="EB13" s="9"/>
      <c r="EC13" s="21"/>
      <c r="ED13" s="21"/>
      <c r="EE13" s="21"/>
      <c r="EF13" s="21"/>
      <c r="EG13" s="21"/>
      <c r="EJ13" s="9"/>
      <c r="EK13" s="21"/>
      <c r="EL13" s="21"/>
      <c r="EM13" s="21"/>
      <c r="EN13" s="21"/>
      <c r="EO13" s="21"/>
      <c r="ES13" s="9"/>
      <c r="ET13" s="21"/>
      <c r="EU13" s="21"/>
      <c r="EV13" s="21"/>
      <c r="EW13" s="21"/>
      <c r="EX13" s="21"/>
      <c r="FA13" s="9"/>
      <c r="FB13" s="21"/>
      <c r="FC13" s="21"/>
      <c r="FD13" s="21"/>
      <c r="FE13" s="21"/>
      <c r="FF13" s="21"/>
    </row>
    <row r="14" spans="1:164" x14ac:dyDescent="0.25">
      <c r="A14" s="17">
        <f>IFERROR(AI6,0)</f>
        <v>1.1875152624602343</v>
      </c>
      <c r="B14" s="18">
        <f>IFERROR(AL9,0)</f>
        <v>7.56434488310221E-2</v>
      </c>
      <c r="C14" s="19">
        <f>IFERROR(AL4,0)</f>
        <v>0.38377951174793584</v>
      </c>
      <c r="D14" s="20">
        <f>IFERROR(AL2,0)</f>
        <v>3.4474050033333321E-2</v>
      </c>
      <c r="E14" s="20"/>
      <c r="F14" s="9"/>
      <c r="G14" s="21">
        <v>1.17981</v>
      </c>
      <c r="H14" s="21">
        <v>5.0556000000000001</v>
      </c>
      <c r="I14" s="24">
        <v>1.50757E-5</v>
      </c>
      <c r="J14" s="21">
        <v>4</v>
      </c>
      <c r="K14" s="21">
        <v>1.1792</v>
      </c>
      <c r="L14">
        <f t="shared" si="0"/>
        <v>-1.8611975308641976E-2</v>
      </c>
      <c r="M14">
        <f t="shared" si="1"/>
        <v>-2.195859458888889E-2</v>
      </c>
      <c r="N14" s="9"/>
      <c r="O14" s="21">
        <v>-7.9803499999999999E-2</v>
      </c>
      <c r="P14" s="21">
        <v>7.6763399999999997</v>
      </c>
      <c r="Q14" s="24">
        <v>-7.0922900000000005E-5</v>
      </c>
      <c r="R14" s="21">
        <v>4</v>
      </c>
      <c r="S14" s="21">
        <v>-8.0108600000000002E-2</v>
      </c>
      <c r="T14">
        <f t="shared" si="2"/>
        <v>8.7559135802469129E-2</v>
      </c>
      <c r="U14">
        <f t="shared" si="3"/>
        <v>-6.9875254940123454E-3</v>
      </c>
      <c r="V14" s="22"/>
      <c r="W14" s="23"/>
      <c r="X14" s="9"/>
      <c r="Y14" s="21">
        <v>1.17981</v>
      </c>
      <c r="Z14" s="21">
        <v>12.036799999999999</v>
      </c>
      <c r="AA14" s="24">
        <v>6.5918000000000001E-6</v>
      </c>
      <c r="AB14" s="21">
        <v>4</v>
      </c>
      <c r="AC14" s="21">
        <v>1.1795</v>
      </c>
      <c r="AD14">
        <f t="shared" si="4"/>
        <v>-8.1380246913580236E-3</v>
      </c>
      <c r="AE14">
        <f t="shared" si="5"/>
        <v>-9.6013229111111108E-3</v>
      </c>
      <c r="AF14" s="9"/>
      <c r="AG14" s="21">
        <v>-7.9803499999999999E-2</v>
      </c>
      <c r="AH14" s="21">
        <v>14.657500000000001</v>
      </c>
      <c r="AI14" s="24">
        <v>-6.6741899999999999E-5</v>
      </c>
      <c r="AJ14" s="21">
        <v>4</v>
      </c>
      <c r="AK14" s="21">
        <v>-8.0047599999999997E-2</v>
      </c>
      <c r="AL14">
        <f t="shared" si="6"/>
        <v>8.2397407407407405E-2</v>
      </c>
      <c r="AM14">
        <f t="shared" si="7"/>
        <v>-6.5756015020370364E-3</v>
      </c>
      <c r="AP14" s="9"/>
      <c r="AQ14" s="21">
        <v>1.17981</v>
      </c>
      <c r="AR14" s="21">
        <v>18.96</v>
      </c>
      <c r="AS14" s="24">
        <v>3.26538E-6</v>
      </c>
      <c r="AT14" s="21">
        <v>4</v>
      </c>
      <c r="AU14" s="21">
        <v>1.17889</v>
      </c>
      <c r="AV14">
        <f t="shared" si="8"/>
        <v>-4.0313333333333329E-3</v>
      </c>
      <c r="AW14">
        <f t="shared" si="9"/>
        <v>-4.7562073799999995E-3</v>
      </c>
      <c r="AX14" s="9"/>
      <c r="AY14" s="21">
        <v>-7.9803499999999999E-2</v>
      </c>
      <c r="AZ14" s="21">
        <v>21.5807</v>
      </c>
      <c r="BA14" s="24">
        <v>-6.4544700000000006E-5</v>
      </c>
      <c r="BB14" s="21">
        <v>4</v>
      </c>
      <c r="BC14" s="21">
        <v>-8.0139199999999994E-2</v>
      </c>
      <c r="BD14">
        <f t="shared" si="10"/>
        <v>7.9684814814814819E-2</v>
      </c>
      <c r="BE14">
        <f t="shared" si="11"/>
        <v>-6.3591271190740744E-3</v>
      </c>
      <c r="BH14" s="9"/>
      <c r="BI14" s="21"/>
      <c r="BJ14" s="21"/>
      <c r="BK14" s="21"/>
      <c r="BL14" s="21"/>
      <c r="BM14" s="21"/>
      <c r="BP14" s="9"/>
      <c r="BQ14" s="21"/>
      <c r="BR14" s="21"/>
      <c r="BS14" s="21"/>
      <c r="BT14" s="21"/>
      <c r="BU14" s="21"/>
      <c r="BZ14" s="9"/>
      <c r="CA14" s="21"/>
      <c r="CB14" s="21"/>
      <c r="CC14" s="21"/>
      <c r="CD14" s="21"/>
      <c r="CE14" s="21"/>
      <c r="CH14" s="9"/>
      <c r="CI14" s="21"/>
      <c r="CJ14" s="21"/>
      <c r="CK14" s="21"/>
      <c r="CL14" s="21"/>
      <c r="CM14" s="21"/>
      <c r="CR14" s="9"/>
      <c r="CS14" s="21"/>
      <c r="CT14" s="21"/>
      <c r="CU14" s="21"/>
      <c r="CV14" s="21"/>
      <c r="CW14" s="21"/>
      <c r="CZ14" s="9"/>
      <c r="DA14" s="21"/>
      <c r="DB14" s="21"/>
      <c r="DC14" s="21"/>
      <c r="DD14" s="21"/>
      <c r="DE14" s="21"/>
      <c r="DJ14" s="9"/>
      <c r="DK14" s="21"/>
      <c r="DL14" s="21"/>
      <c r="DM14" s="21"/>
      <c r="DN14" s="21"/>
      <c r="DO14" s="21"/>
      <c r="DR14" s="9"/>
      <c r="DS14" s="21"/>
      <c r="DT14" s="21"/>
      <c r="DU14" s="21"/>
      <c r="DV14" s="21"/>
      <c r="DW14" s="21"/>
      <c r="EB14" s="9"/>
      <c r="EC14" s="21"/>
      <c r="ED14" s="21"/>
      <c r="EE14" s="21"/>
      <c r="EF14" s="21"/>
      <c r="EG14" s="21"/>
      <c r="EJ14" s="9"/>
      <c r="EK14" s="21"/>
      <c r="EL14" s="21"/>
      <c r="EM14" s="21"/>
      <c r="EN14" s="21"/>
      <c r="EO14" s="21"/>
      <c r="ES14" s="9"/>
      <c r="ET14" s="21"/>
      <c r="EU14" s="21"/>
      <c r="EV14" s="21"/>
      <c r="EW14" s="21"/>
      <c r="EX14" s="21"/>
      <c r="FA14" s="9"/>
      <c r="FB14" s="21"/>
      <c r="FC14" s="21"/>
      <c r="FD14" s="21"/>
      <c r="FE14" s="21"/>
      <c r="FF14" s="21"/>
    </row>
    <row r="15" spans="1:164" x14ac:dyDescent="0.25">
      <c r="A15" s="17">
        <f>IFERROR(AS6,0)</f>
        <v>1.1655222864485566</v>
      </c>
      <c r="B15" s="18">
        <f>IFERROR(AV9,0)</f>
        <v>8.0968848153369147E-2</v>
      </c>
      <c r="C15" s="19">
        <f>IFERROR(AV4,0)</f>
        <v>0.45405137691793951</v>
      </c>
      <c r="D15" s="20">
        <f>IFERROR(AV2,0)</f>
        <v>4.2849281142962964E-2</v>
      </c>
      <c r="E15" s="20">
        <f>IFERROR(AS9,0)</f>
        <v>22.608236638082964</v>
      </c>
      <c r="F15" s="9"/>
      <c r="G15" s="21">
        <v>1.1747700000000001</v>
      </c>
      <c r="H15" s="21">
        <v>5.0656699999999999</v>
      </c>
      <c r="I15" s="24">
        <v>1.3397199999999999E-5</v>
      </c>
      <c r="J15" s="21">
        <v>5</v>
      </c>
      <c r="K15" s="21">
        <v>1.17401</v>
      </c>
      <c r="L15">
        <f t="shared" si="0"/>
        <v>-1.6539753086419751E-2</v>
      </c>
      <c r="M15">
        <f t="shared" si="1"/>
        <v>-1.9430405733333333E-2</v>
      </c>
      <c r="N15" s="9"/>
      <c r="O15" s="21">
        <v>-7.4768100000000004E-2</v>
      </c>
      <c r="P15" s="21">
        <v>7.6864100000000004</v>
      </c>
      <c r="Q15" s="24">
        <v>-7.0312499999999995E-5</v>
      </c>
      <c r="R15" s="21">
        <v>5</v>
      </c>
      <c r="S15" s="21">
        <v>-7.5042700000000004E-2</v>
      </c>
      <c r="T15">
        <f t="shared" si="2"/>
        <v>8.6805555555555539E-2</v>
      </c>
      <c r="U15">
        <f t="shared" si="3"/>
        <v>-6.4902864583333327E-3</v>
      </c>
      <c r="V15" s="22"/>
      <c r="W15" s="23"/>
      <c r="X15" s="9"/>
      <c r="Y15" s="21">
        <v>1.1747700000000001</v>
      </c>
      <c r="Z15" s="21">
        <v>12.046799999999999</v>
      </c>
      <c r="AA15" s="24">
        <v>5.1269500000000001E-6</v>
      </c>
      <c r="AB15" s="21">
        <v>5</v>
      </c>
      <c r="AC15" s="21">
        <v>1.1734</v>
      </c>
      <c r="AD15">
        <f t="shared" si="4"/>
        <v>-6.3295679012345682E-3</v>
      </c>
      <c r="AE15">
        <f t="shared" si="5"/>
        <v>-7.4357864833333341E-3</v>
      </c>
      <c r="AF15" s="9"/>
      <c r="AG15" s="21">
        <v>-7.4768100000000004E-2</v>
      </c>
      <c r="AH15" s="21">
        <v>14.6676</v>
      </c>
      <c r="AI15" s="24">
        <v>-6.6162100000000001E-5</v>
      </c>
      <c r="AJ15" s="21">
        <v>5</v>
      </c>
      <c r="AK15" s="21">
        <v>-7.5042700000000004E-2</v>
      </c>
      <c r="AL15">
        <f t="shared" si="6"/>
        <v>8.1681604938271604E-2</v>
      </c>
      <c r="AM15">
        <f t="shared" si="7"/>
        <v>-6.1071784061851857E-3</v>
      </c>
      <c r="AP15" s="9"/>
      <c r="AQ15" s="21">
        <v>1.1747700000000001</v>
      </c>
      <c r="AR15" s="21">
        <v>18.97</v>
      </c>
      <c r="AS15" s="24">
        <v>1.95313E-6</v>
      </c>
      <c r="AT15" s="21">
        <v>5</v>
      </c>
      <c r="AU15" s="21">
        <v>1.17432</v>
      </c>
      <c r="AV15">
        <f t="shared" si="8"/>
        <v>-2.4112716049382713E-3</v>
      </c>
      <c r="AW15">
        <f t="shared" si="9"/>
        <v>-2.8326895433333334E-3</v>
      </c>
      <c r="AX15" s="9"/>
      <c r="AY15" s="21">
        <v>-7.4768100000000004E-2</v>
      </c>
      <c r="AZ15" s="21">
        <v>21.590800000000002</v>
      </c>
      <c r="BA15" s="24">
        <v>-6.4086900000000005E-5</v>
      </c>
      <c r="BB15" s="21">
        <v>5</v>
      </c>
      <c r="BC15" s="21">
        <v>-7.5042700000000004E-2</v>
      </c>
      <c r="BD15">
        <f t="shared" si="10"/>
        <v>7.9119629629629623E-2</v>
      </c>
      <c r="BE15">
        <f t="shared" si="11"/>
        <v>-5.9156243801111105E-3</v>
      </c>
      <c r="BH15" s="9"/>
      <c r="BI15" s="21"/>
      <c r="BJ15" s="21"/>
      <c r="BK15" s="21"/>
      <c r="BL15" s="21"/>
      <c r="BM15" s="21"/>
      <c r="BP15" s="9"/>
      <c r="BQ15" s="21"/>
      <c r="BR15" s="21"/>
      <c r="BS15" s="21"/>
      <c r="BT15" s="21"/>
      <c r="BU15" s="21"/>
      <c r="BZ15" s="9"/>
      <c r="CA15" s="21"/>
      <c r="CB15" s="21"/>
      <c r="CC15" s="21"/>
      <c r="CD15" s="21"/>
      <c r="CE15" s="21"/>
      <c r="CH15" s="9"/>
      <c r="CI15" s="21"/>
      <c r="CJ15" s="21"/>
      <c r="CK15" s="21"/>
      <c r="CL15" s="21"/>
      <c r="CM15" s="21"/>
      <c r="CR15" s="9"/>
      <c r="CS15" s="21"/>
      <c r="CT15" s="21"/>
      <c r="CU15" s="21"/>
      <c r="CV15" s="21"/>
      <c r="CW15" s="21"/>
      <c r="CZ15" s="9"/>
      <c r="DA15" s="21"/>
      <c r="DB15" s="21"/>
      <c r="DC15" s="21"/>
      <c r="DD15" s="21"/>
      <c r="DE15" s="21"/>
      <c r="DJ15" s="9"/>
      <c r="DK15" s="21"/>
      <c r="DL15" s="21"/>
      <c r="DM15" s="21"/>
      <c r="DN15" s="21"/>
      <c r="DO15" s="21"/>
      <c r="DR15" s="9"/>
      <c r="DS15" s="21"/>
      <c r="DT15" s="21"/>
      <c r="DU15" s="21"/>
      <c r="DV15" s="21"/>
      <c r="DW15" s="21"/>
      <c r="EB15" s="9"/>
      <c r="EC15" s="21"/>
      <c r="ED15" s="21"/>
      <c r="EE15" s="21"/>
      <c r="EF15" s="21"/>
      <c r="EG15" s="21"/>
      <c r="EJ15" s="9"/>
      <c r="EK15" s="21"/>
      <c r="EL15" s="21"/>
      <c r="EM15" s="21"/>
      <c r="EN15" s="21"/>
      <c r="EO15" s="21"/>
      <c r="ES15" s="9"/>
      <c r="ET15" s="21"/>
      <c r="EU15" s="21"/>
      <c r="EV15" s="21"/>
      <c r="EW15" s="21"/>
      <c r="EX15" s="21"/>
      <c r="FA15" s="9"/>
      <c r="FB15" s="21"/>
      <c r="FC15" s="21"/>
      <c r="FD15" s="21"/>
      <c r="FE15" s="21"/>
      <c r="FF15" s="21"/>
    </row>
    <row r="16" spans="1:164" x14ac:dyDescent="0.25">
      <c r="A16" s="17">
        <f>IFERROR(BA6,0)</f>
        <v>1.1965178952079389</v>
      </c>
      <c r="B16" s="18">
        <f>IFERROR(BD9,0)</f>
        <v>7.3160299358732209E-2</v>
      </c>
      <c r="C16" s="19">
        <f>IFERROR(BD4,0)</f>
        <v>0.37882934259725781</v>
      </c>
      <c r="D16" s="20">
        <f>IFERROR(BD2,0)</f>
        <v>3.3161814264444436E-2</v>
      </c>
      <c r="E16" s="20"/>
      <c r="F16" s="9"/>
      <c r="G16" s="21">
        <v>1.16974</v>
      </c>
      <c r="H16" s="21">
        <v>5.0757500000000002</v>
      </c>
      <c r="I16" s="24">
        <v>1.18408E-5</v>
      </c>
      <c r="J16" s="21">
        <v>6</v>
      </c>
      <c r="K16" s="21">
        <v>1.16852</v>
      </c>
      <c r="L16">
        <f t="shared" si="0"/>
        <v>-1.461827160493827E-2</v>
      </c>
      <c r="M16">
        <f t="shared" si="1"/>
        <v>-1.709957702716049E-2</v>
      </c>
      <c r="N16" s="9"/>
      <c r="O16" s="21">
        <v>-6.9732699999999995E-2</v>
      </c>
      <c r="P16" s="21">
        <v>7.6964899999999998</v>
      </c>
      <c r="Q16" s="24">
        <v>-6.9854699999999994E-5</v>
      </c>
      <c r="R16" s="21">
        <v>6</v>
      </c>
      <c r="S16" s="21">
        <v>-6.99158E-2</v>
      </c>
      <c r="T16">
        <f t="shared" si="2"/>
        <v>8.6240370370370356E-2</v>
      </c>
      <c r="U16">
        <f t="shared" si="3"/>
        <v>-6.0137738749259243E-3</v>
      </c>
      <c r="V16" s="22"/>
      <c r="W16" s="23"/>
      <c r="X16" s="9"/>
      <c r="Y16" s="21">
        <v>1.16974</v>
      </c>
      <c r="Z16" s="21">
        <v>12.056900000000001</v>
      </c>
      <c r="AA16" s="24">
        <v>3.6621099999999999E-6</v>
      </c>
      <c r="AB16" s="21">
        <v>6</v>
      </c>
      <c r="AC16" s="21">
        <v>1.16943</v>
      </c>
      <c r="AD16">
        <f t="shared" si="4"/>
        <v>-4.5211234567901224E-3</v>
      </c>
      <c r="AE16">
        <f t="shared" si="5"/>
        <v>-5.2885389523456778E-3</v>
      </c>
      <c r="AF16" s="9"/>
      <c r="AG16" s="21">
        <v>-6.9732699999999995E-2</v>
      </c>
      <c r="AH16" s="21">
        <v>14.6777</v>
      </c>
      <c r="AI16" s="24">
        <v>-6.5795899999999998E-5</v>
      </c>
      <c r="AJ16" s="21">
        <v>6</v>
      </c>
      <c r="AK16" s="21">
        <v>-6.9946300000000003E-2</v>
      </c>
      <c r="AL16">
        <f t="shared" si="6"/>
        <v>8.12295061728395E-2</v>
      </c>
      <c r="AM16">
        <f t="shared" si="7"/>
        <v>-5.6643527850987647E-3</v>
      </c>
      <c r="AP16" s="9"/>
      <c r="AQ16" s="21">
        <v>1.16974</v>
      </c>
      <c r="AR16" s="21">
        <v>18.9801</v>
      </c>
      <c r="AS16" s="24">
        <v>7.0190400000000001E-7</v>
      </c>
      <c r="AT16" s="21">
        <v>6</v>
      </c>
      <c r="AU16" s="21">
        <v>1.16913</v>
      </c>
      <c r="AV16">
        <f t="shared" si="8"/>
        <v>-8.6654814814814813E-4</v>
      </c>
      <c r="AW16">
        <f t="shared" si="9"/>
        <v>-1.0136360308148147E-3</v>
      </c>
      <c r="AX16" s="9"/>
      <c r="AY16" s="21">
        <v>-6.9732699999999995E-2</v>
      </c>
      <c r="AZ16" s="21">
        <v>21.6008</v>
      </c>
      <c r="BA16" s="24">
        <v>-6.3720700000000001E-5</v>
      </c>
      <c r="BB16" s="21">
        <v>6</v>
      </c>
      <c r="BC16" s="21">
        <v>-6.9976800000000006E-2</v>
      </c>
      <c r="BD16">
        <f t="shared" si="10"/>
        <v>7.8667530864197532E-2</v>
      </c>
      <c r="BE16">
        <f t="shared" si="11"/>
        <v>-5.4856993294938265E-3</v>
      </c>
      <c r="BH16" s="9"/>
      <c r="BI16" s="21"/>
      <c r="BJ16" s="21"/>
      <c r="BK16" s="21"/>
      <c r="BL16" s="21"/>
      <c r="BM16" s="21"/>
      <c r="BP16" s="9"/>
      <c r="BQ16" s="21"/>
      <c r="BR16" s="21"/>
      <c r="BS16" s="21"/>
      <c r="BT16" s="21"/>
      <c r="BU16" s="21"/>
      <c r="BZ16" s="9"/>
      <c r="CA16" s="21"/>
      <c r="CB16" s="21"/>
      <c r="CC16" s="21"/>
      <c r="CD16" s="21"/>
      <c r="CE16" s="21"/>
      <c r="CH16" s="9"/>
      <c r="CI16" s="21"/>
      <c r="CJ16" s="21"/>
      <c r="CK16" s="21"/>
      <c r="CL16" s="21"/>
      <c r="CM16" s="21"/>
      <c r="CR16" s="9"/>
      <c r="CS16" s="21"/>
      <c r="CT16" s="21"/>
      <c r="CU16" s="21"/>
      <c r="CV16" s="21"/>
      <c r="CW16" s="21"/>
      <c r="CZ16" s="9"/>
      <c r="DA16" s="21"/>
      <c r="DB16" s="21"/>
      <c r="DC16" s="21"/>
      <c r="DD16" s="21"/>
      <c r="DE16" s="21"/>
      <c r="DJ16" s="9"/>
      <c r="DK16" s="21"/>
      <c r="DL16" s="21"/>
      <c r="DM16" s="21"/>
      <c r="DN16" s="21"/>
      <c r="DO16" s="21"/>
      <c r="DR16" s="9"/>
      <c r="DS16" s="21"/>
      <c r="DT16" s="21"/>
      <c r="DU16" s="21"/>
      <c r="DV16" s="21"/>
      <c r="DW16" s="21"/>
      <c r="EB16" s="9"/>
      <c r="EC16" s="21"/>
      <c r="ED16" s="21"/>
      <c r="EE16" s="21"/>
      <c r="EF16" s="21"/>
      <c r="EG16" s="21"/>
      <c r="EJ16" s="9"/>
      <c r="EK16" s="21"/>
      <c r="EL16" s="21"/>
      <c r="EM16" s="21"/>
      <c r="EN16" s="21"/>
      <c r="EO16" s="21"/>
      <c r="ES16" s="9"/>
      <c r="ET16" s="21"/>
      <c r="EU16" s="21"/>
      <c r="EV16" s="21"/>
      <c r="EW16" s="21"/>
      <c r="EX16" s="21"/>
      <c r="FA16" s="9"/>
      <c r="FB16" s="21"/>
      <c r="FC16" s="21"/>
      <c r="FD16" s="21"/>
      <c r="FE16" s="21"/>
      <c r="FF16" s="21"/>
    </row>
    <row r="17" spans="1:162" x14ac:dyDescent="0.25">
      <c r="A17" s="17">
        <f>IFERROR(BK6,0)</f>
        <v>0</v>
      </c>
      <c r="B17" s="18">
        <f>IFERROR(BN9,0)</f>
        <v>0</v>
      </c>
      <c r="C17" s="19">
        <f>IFERROR(BN4,0)</f>
        <v>0</v>
      </c>
      <c r="D17" s="20">
        <f>IFERROR(BN2,0)</f>
        <v>0</v>
      </c>
      <c r="E17" s="20">
        <f>IFERROR(BK9,0)</f>
        <v>0</v>
      </c>
      <c r="F17" s="9"/>
      <c r="G17" s="21">
        <v>1.1647000000000001</v>
      </c>
      <c r="H17" s="21">
        <v>5.08582</v>
      </c>
      <c r="I17" s="24">
        <v>1.0376E-5</v>
      </c>
      <c r="J17" s="21">
        <v>7</v>
      </c>
      <c r="K17" s="21">
        <v>1.16394</v>
      </c>
      <c r="L17">
        <f t="shared" si="0"/>
        <v>-1.2809876543209876E-2</v>
      </c>
      <c r="M17">
        <f t="shared" si="1"/>
        <v>-1.4919663209876543E-2</v>
      </c>
      <c r="N17" s="9"/>
      <c r="O17" s="21">
        <v>-6.4697299999999999E-2</v>
      </c>
      <c r="P17" s="21">
        <v>7.7065599999999996</v>
      </c>
      <c r="Q17" s="24">
        <v>-6.9427500000000006E-5</v>
      </c>
      <c r="R17" s="21">
        <v>7</v>
      </c>
      <c r="S17" s="21">
        <v>-6.4971899999999999E-2</v>
      </c>
      <c r="T17">
        <f t="shared" si="2"/>
        <v>8.5712962962962963E-2</v>
      </c>
      <c r="U17">
        <f t="shared" si="3"/>
        <v>-5.5453972787037039E-3</v>
      </c>
      <c r="V17" s="22"/>
      <c r="W17" s="23"/>
      <c r="X17" s="9"/>
      <c r="Y17" s="21">
        <v>1.1647000000000001</v>
      </c>
      <c r="Z17" s="21">
        <v>12.067</v>
      </c>
      <c r="AA17" s="24">
        <v>2.22778E-6</v>
      </c>
      <c r="AB17" s="21">
        <v>7</v>
      </c>
      <c r="AC17" s="21">
        <v>1.16425</v>
      </c>
      <c r="AD17">
        <f t="shared" si="4"/>
        <v>-2.7503456790123454E-3</v>
      </c>
      <c r="AE17">
        <f t="shared" si="5"/>
        <v>-3.2033276123456791E-3</v>
      </c>
      <c r="AF17" s="9"/>
      <c r="AG17" s="21">
        <v>-6.4697299999999999E-2</v>
      </c>
      <c r="AH17" s="21">
        <v>14.6877</v>
      </c>
      <c r="AI17" s="24">
        <v>-6.5338099999999997E-5</v>
      </c>
      <c r="AJ17" s="21">
        <v>7</v>
      </c>
      <c r="AK17" s="21">
        <v>-6.4941399999999996E-2</v>
      </c>
      <c r="AL17">
        <f t="shared" si="6"/>
        <v>8.0664320987654317E-2</v>
      </c>
      <c r="AM17">
        <f t="shared" si="7"/>
        <v>-5.2187637742345675E-3</v>
      </c>
      <c r="AP17" s="9"/>
      <c r="AQ17" s="21">
        <v>1.1647000000000001</v>
      </c>
      <c r="AR17" s="21">
        <v>18.990200000000002</v>
      </c>
      <c r="AS17" s="24">
        <v>-3.6621100000000002E-7</v>
      </c>
      <c r="AT17" s="21">
        <v>7</v>
      </c>
      <c r="AU17" s="21">
        <v>1.16364</v>
      </c>
      <c r="AV17">
        <f t="shared" si="8"/>
        <v>4.5211234567901234E-4</v>
      </c>
      <c r="AW17">
        <f t="shared" si="9"/>
        <v>5.2657524901234573E-4</v>
      </c>
      <c r="AX17" s="9"/>
      <c r="AY17" s="21">
        <v>-6.4697299999999999E-2</v>
      </c>
      <c r="AZ17" s="21">
        <v>21.610900000000001</v>
      </c>
      <c r="BA17" s="24">
        <v>-6.3354499999999998E-5</v>
      </c>
      <c r="BB17" s="21">
        <v>7</v>
      </c>
      <c r="BC17" s="21">
        <v>-6.4880400000000005E-2</v>
      </c>
      <c r="BD17">
        <f t="shared" si="10"/>
        <v>7.8215432098765428E-2</v>
      </c>
      <c r="BE17">
        <f t="shared" si="11"/>
        <v>-5.0603272751234569E-3</v>
      </c>
      <c r="BH17" s="9"/>
      <c r="BI17" s="21"/>
      <c r="BJ17" s="21"/>
      <c r="BK17" s="21"/>
      <c r="BL17" s="21"/>
      <c r="BM17" s="21"/>
      <c r="BP17" s="9"/>
      <c r="BQ17" s="21"/>
      <c r="BR17" s="21"/>
      <c r="BS17" s="21"/>
      <c r="BT17" s="21"/>
      <c r="BU17" s="21"/>
      <c r="BZ17" s="9"/>
      <c r="CA17" s="21"/>
      <c r="CB17" s="21"/>
      <c r="CC17" s="21"/>
      <c r="CD17" s="21"/>
      <c r="CE17" s="21"/>
      <c r="CH17" s="9"/>
      <c r="CI17" s="21"/>
      <c r="CJ17" s="21"/>
      <c r="CK17" s="21"/>
      <c r="CL17" s="21"/>
      <c r="CM17" s="21"/>
      <c r="CR17" s="9"/>
      <c r="CS17" s="21"/>
      <c r="CT17" s="21"/>
      <c r="CU17" s="21"/>
      <c r="CV17" s="21"/>
      <c r="CW17" s="21"/>
      <c r="CZ17" s="9"/>
      <c r="DA17" s="21"/>
      <c r="DB17" s="21"/>
      <c r="DC17" s="21"/>
      <c r="DD17" s="21"/>
      <c r="DE17" s="21"/>
      <c r="DJ17" s="9"/>
      <c r="DK17" s="21"/>
      <c r="DL17" s="21"/>
      <c r="DM17" s="21"/>
      <c r="DN17" s="21"/>
      <c r="DO17" s="21"/>
      <c r="DR17" s="9"/>
      <c r="DS17" s="21"/>
      <c r="DT17" s="21"/>
      <c r="DU17" s="21"/>
      <c r="DV17" s="21"/>
      <c r="DW17" s="21"/>
      <c r="EB17" s="9"/>
      <c r="EC17" s="21"/>
      <c r="ED17" s="21"/>
      <c r="EE17" s="21"/>
      <c r="EF17" s="21"/>
      <c r="EG17" s="21"/>
      <c r="EJ17" s="9"/>
      <c r="EK17" s="21"/>
      <c r="EL17" s="21"/>
      <c r="EM17" s="21"/>
      <c r="EN17" s="21"/>
      <c r="EO17" s="21"/>
      <c r="ES17" s="9"/>
      <c r="ET17" s="21"/>
      <c r="EU17" s="21"/>
      <c r="EV17" s="21"/>
      <c r="EW17" s="21"/>
      <c r="EX17" s="21"/>
      <c r="FA17" s="9"/>
      <c r="FB17" s="21"/>
      <c r="FC17" s="21"/>
      <c r="FD17" s="21"/>
      <c r="FE17" s="21"/>
      <c r="FF17" s="21"/>
    </row>
    <row r="18" spans="1:162" x14ac:dyDescent="0.25">
      <c r="A18" s="17">
        <f>IFERROR(BS6,0)</f>
        <v>0</v>
      </c>
      <c r="B18" s="18">
        <f>IFERROR(BV9,0)</f>
        <v>0</v>
      </c>
      <c r="C18" s="19">
        <f>IFERROR(BV4,0)</f>
        <v>0</v>
      </c>
      <c r="D18" s="20">
        <f>IFERROR(BV2,0)</f>
        <v>0</v>
      </c>
      <c r="E18" s="20"/>
      <c r="F18" s="9"/>
      <c r="G18" s="21">
        <v>1.15967</v>
      </c>
      <c r="H18" s="21">
        <v>5.0958899999999998</v>
      </c>
      <c r="I18" s="24">
        <v>8.7585400000000003E-6</v>
      </c>
      <c r="J18" s="21">
        <v>8</v>
      </c>
      <c r="K18" s="21">
        <v>1.15906</v>
      </c>
      <c r="L18">
        <f t="shared" si="0"/>
        <v>-1.0813012345679012E-2</v>
      </c>
      <c r="M18">
        <f t="shared" si="1"/>
        <v>-1.2539526026913579E-2</v>
      </c>
      <c r="N18" s="9"/>
      <c r="O18" s="21">
        <v>-5.9661899999999997E-2</v>
      </c>
      <c r="P18" s="21">
        <v>7.7166300000000003</v>
      </c>
      <c r="Q18" s="24">
        <v>-6.9091799999999995E-5</v>
      </c>
      <c r="R18" s="21">
        <v>8</v>
      </c>
      <c r="S18" s="21">
        <v>-5.9966999999999999E-2</v>
      </c>
      <c r="T18">
        <f t="shared" si="2"/>
        <v>8.529851851851851E-2</v>
      </c>
      <c r="U18">
        <f t="shared" si="3"/>
        <v>-5.0890716819999996E-3</v>
      </c>
      <c r="V18" s="22"/>
      <c r="W18" s="23"/>
      <c r="X18" s="9"/>
      <c r="Y18" s="21">
        <v>1.15967</v>
      </c>
      <c r="Z18" s="21">
        <v>12.0771</v>
      </c>
      <c r="AA18" s="24">
        <v>1.12915E-6</v>
      </c>
      <c r="AB18" s="21">
        <v>8</v>
      </c>
      <c r="AC18" s="21">
        <v>1.15906</v>
      </c>
      <c r="AD18">
        <f t="shared" si="4"/>
        <v>-1.3940123456790121E-3</v>
      </c>
      <c r="AE18">
        <f t="shared" si="5"/>
        <v>-1.6165942969135799E-3</v>
      </c>
      <c r="AF18" s="9"/>
      <c r="AG18" s="21">
        <v>-5.9661899999999997E-2</v>
      </c>
      <c r="AH18" s="21">
        <v>14.697800000000001</v>
      </c>
      <c r="AI18" s="24">
        <v>-6.4941400000000001E-5</v>
      </c>
      <c r="AJ18" s="21">
        <v>8</v>
      </c>
      <c r="AK18" s="21">
        <v>-5.9936499999999997E-2</v>
      </c>
      <c r="AL18">
        <f t="shared" si="6"/>
        <v>8.0174567901234561E-2</v>
      </c>
      <c r="AM18">
        <f t="shared" si="7"/>
        <v>-4.7833670526666663E-3</v>
      </c>
      <c r="AP18" s="9"/>
      <c r="AQ18" s="21">
        <v>1.15967</v>
      </c>
      <c r="AR18" s="21">
        <v>19.0002</v>
      </c>
      <c r="AS18" s="24">
        <v>-1.7700199999999999E-6</v>
      </c>
      <c r="AT18" s="21">
        <v>8</v>
      </c>
      <c r="AU18" s="21">
        <v>1.15906</v>
      </c>
      <c r="AV18">
        <f t="shared" si="8"/>
        <v>2.1852098765432096E-3</v>
      </c>
      <c r="AW18">
        <f t="shared" si="9"/>
        <v>2.5341223375308637E-3</v>
      </c>
      <c r="AX18" s="9"/>
      <c r="AY18" s="21">
        <v>-5.9661899999999997E-2</v>
      </c>
      <c r="AZ18" s="21">
        <v>21.620999999999999</v>
      </c>
      <c r="BA18" s="24">
        <v>-6.30188E-5</v>
      </c>
      <c r="BB18" s="21">
        <v>8</v>
      </c>
      <c r="BC18" s="21">
        <v>-5.9906000000000001E-2</v>
      </c>
      <c r="BD18">
        <f t="shared" si="10"/>
        <v>7.7800987654320974E-2</v>
      </c>
      <c r="BE18">
        <f t="shared" si="11"/>
        <v>-4.6417547453333321E-3</v>
      </c>
      <c r="BH18" s="9"/>
      <c r="BI18" s="21"/>
      <c r="BJ18" s="21"/>
      <c r="BK18" s="21"/>
      <c r="BL18" s="21"/>
      <c r="BM18" s="21"/>
      <c r="BP18" s="9"/>
      <c r="BQ18" s="21"/>
      <c r="BR18" s="21"/>
      <c r="BS18" s="21"/>
      <c r="BT18" s="21"/>
      <c r="BU18" s="21"/>
      <c r="BZ18" s="9"/>
      <c r="CA18" s="21"/>
      <c r="CB18" s="21"/>
      <c r="CC18" s="21"/>
      <c r="CD18" s="21"/>
      <c r="CE18" s="21"/>
      <c r="CH18" s="9"/>
      <c r="CI18" s="21"/>
      <c r="CJ18" s="21"/>
      <c r="CK18" s="21"/>
      <c r="CL18" s="21"/>
      <c r="CM18" s="21"/>
      <c r="CR18" s="9"/>
      <c r="CS18" s="21"/>
      <c r="CT18" s="21"/>
      <c r="CU18" s="21"/>
      <c r="CV18" s="21"/>
      <c r="CW18" s="21"/>
      <c r="CZ18" s="9"/>
      <c r="DA18" s="21"/>
      <c r="DB18" s="21"/>
      <c r="DC18" s="21"/>
      <c r="DD18" s="21"/>
      <c r="DE18" s="21"/>
      <c r="DJ18" s="9"/>
      <c r="DK18" s="21"/>
      <c r="DL18" s="21"/>
      <c r="DM18" s="21"/>
      <c r="DN18" s="21"/>
      <c r="DO18" s="21"/>
      <c r="DR18" s="9"/>
      <c r="DS18" s="21"/>
      <c r="DT18" s="21"/>
      <c r="DU18" s="21"/>
      <c r="DV18" s="21"/>
      <c r="DW18" s="21"/>
      <c r="EB18" s="9"/>
      <c r="EC18" s="21"/>
      <c r="ED18" s="21"/>
      <c r="EE18" s="21"/>
      <c r="EF18" s="21"/>
      <c r="EG18" s="21"/>
      <c r="EJ18" s="9"/>
      <c r="EK18" s="21"/>
      <c r="EL18" s="21"/>
      <c r="EM18" s="21"/>
      <c r="EN18" s="21"/>
      <c r="EO18" s="21"/>
      <c r="ES18" s="9"/>
      <c r="ET18" s="21"/>
      <c r="EU18" s="21"/>
      <c r="EV18" s="21"/>
      <c r="EW18" s="21"/>
      <c r="EX18" s="21"/>
      <c r="FA18" s="9"/>
      <c r="FB18" s="21"/>
      <c r="FC18" s="21"/>
      <c r="FD18" s="21"/>
      <c r="FE18" s="21"/>
      <c r="FF18" s="21"/>
    </row>
    <row r="19" spans="1:162" x14ac:dyDescent="0.25">
      <c r="A19" s="17">
        <f>IFERROR(CC6,0)</f>
        <v>0</v>
      </c>
      <c r="B19" s="18">
        <f>IFERROR(CF9,0)</f>
        <v>0</v>
      </c>
      <c r="C19" s="19">
        <f>IFERROR(BN4,0)</f>
        <v>0</v>
      </c>
      <c r="D19" s="20">
        <f>IFERROR(CF2,0)</f>
        <v>0</v>
      </c>
      <c r="E19" s="20">
        <f>IFERROR(CC9,0)</f>
        <v>0</v>
      </c>
      <c r="F19" s="9"/>
      <c r="G19" s="21">
        <v>1.15463</v>
      </c>
      <c r="H19" s="21">
        <v>5.1059599999999996</v>
      </c>
      <c r="I19" s="24">
        <v>7.0190400000000003E-6</v>
      </c>
      <c r="J19" s="21">
        <v>9</v>
      </c>
      <c r="K19" s="21">
        <v>1.15387</v>
      </c>
      <c r="L19">
        <f t="shared" si="0"/>
        <v>-8.6654814814814806E-3</v>
      </c>
      <c r="M19">
        <f t="shared" si="1"/>
        <v>-1.0005424882962962E-2</v>
      </c>
      <c r="N19" s="9"/>
      <c r="O19" s="21">
        <v>-5.4626500000000001E-2</v>
      </c>
      <c r="P19" s="21">
        <v>7.7267000000000001</v>
      </c>
      <c r="Q19" s="24">
        <v>-6.8633999999999994E-5</v>
      </c>
      <c r="R19" s="21">
        <v>9</v>
      </c>
      <c r="S19" s="21">
        <v>-5.4779099999999997E-2</v>
      </c>
      <c r="T19">
        <f t="shared" si="2"/>
        <v>8.4733333333333327E-2</v>
      </c>
      <c r="U19">
        <f t="shared" si="3"/>
        <v>-4.6286854333333332E-3</v>
      </c>
      <c r="V19" s="22"/>
      <c r="W19" s="23"/>
      <c r="X19" s="9"/>
      <c r="Y19" s="21">
        <v>1.15463</v>
      </c>
      <c r="Z19" s="21">
        <v>12.0871</v>
      </c>
      <c r="AA19" s="24">
        <v>1.2207000000000001E-7</v>
      </c>
      <c r="AB19" s="21">
        <v>9</v>
      </c>
      <c r="AC19" s="21">
        <v>1.1541699999999999</v>
      </c>
      <c r="AD19">
        <f t="shared" si="4"/>
        <v>-1.507037037037037E-4</v>
      </c>
      <c r="AE19">
        <f t="shared" si="5"/>
        <v>-1.7400701740740741E-4</v>
      </c>
      <c r="AF19" s="9"/>
      <c r="AG19" s="21">
        <v>-5.4626500000000001E-2</v>
      </c>
      <c r="AH19" s="21">
        <v>14.7079</v>
      </c>
      <c r="AI19" s="24">
        <v>-6.4575199999999998E-5</v>
      </c>
      <c r="AJ19" s="21">
        <v>9</v>
      </c>
      <c r="AK19" s="21">
        <v>-5.4901100000000001E-2</v>
      </c>
      <c r="AL19">
        <f t="shared" si="6"/>
        <v>7.9722469135802471E-2</v>
      </c>
      <c r="AM19">
        <f t="shared" si="7"/>
        <v>-4.3549594602469138E-3</v>
      </c>
      <c r="AP19" s="9"/>
      <c r="AQ19" s="21">
        <v>1.15463</v>
      </c>
      <c r="AR19" s="21">
        <v>19.010300000000001</v>
      </c>
      <c r="AS19" s="24">
        <v>-2.9602099999999999E-6</v>
      </c>
      <c r="AT19" s="21">
        <v>9</v>
      </c>
      <c r="AU19" s="21">
        <v>1.1535599999999999</v>
      </c>
      <c r="AV19">
        <f t="shared" si="8"/>
        <v>3.65458024691358E-3</v>
      </c>
      <c r="AW19">
        <f t="shared" si="9"/>
        <v>4.2196879904938273E-3</v>
      </c>
      <c r="AX19" s="9"/>
      <c r="AY19" s="21">
        <v>-5.4626500000000001E-2</v>
      </c>
      <c r="AZ19" s="21">
        <v>21.6311</v>
      </c>
      <c r="BA19" s="24">
        <v>-6.2622100000000005E-5</v>
      </c>
      <c r="BB19" s="21">
        <v>9</v>
      </c>
      <c r="BC19" s="21">
        <v>-5.4901100000000001E-2</v>
      </c>
      <c r="BD19">
        <f t="shared" si="10"/>
        <v>7.7311234567901246E-2</v>
      </c>
      <c r="BE19">
        <f t="shared" si="11"/>
        <v>-4.2232421551234578E-3</v>
      </c>
      <c r="BH19" s="9"/>
      <c r="BI19" s="21"/>
      <c r="BJ19" s="21"/>
      <c r="BK19" s="21"/>
      <c r="BL19" s="21"/>
      <c r="BM19" s="21"/>
      <c r="BP19" s="9"/>
      <c r="BQ19" s="21"/>
      <c r="BR19" s="21"/>
      <c r="BS19" s="21"/>
      <c r="BT19" s="21"/>
      <c r="BU19" s="21"/>
      <c r="BZ19" s="9"/>
      <c r="CA19" s="21"/>
      <c r="CB19" s="21"/>
      <c r="CC19" s="21"/>
      <c r="CD19" s="21"/>
      <c r="CE19" s="21"/>
      <c r="CH19" s="9"/>
      <c r="CI19" s="21"/>
      <c r="CJ19" s="21"/>
      <c r="CK19" s="21"/>
      <c r="CL19" s="21"/>
      <c r="CM19" s="21"/>
      <c r="CR19" s="9"/>
      <c r="CS19" s="21"/>
      <c r="CT19" s="21"/>
      <c r="CU19" s="21"/>
      <c r="CV19" s="21"/>
      <c r="CW19" s="21"/>
      <c r="CZ19" s="9"/>
      <c r="DA19" s="21"/>
      <c r="DB19" s="21"/>
      <c r="DC19" s="21"/>
      <c r="DD19" s="21"/>
      <c r="DE19" s="21"/>
      <c r="DJ19" s="9"/>
      <c r="DK19" s="21"/>
      <c r="DL19" s="21"/>
      <c r="DM19" s="21"/>
      <c r="DN19" s="21"/>
      <c r="DO19" s="21"/>
      <c r="DR19" s="9"/>
      <c r="DS19" s="21"/>
      <c r="DT19" s="21"/>
      <c r="DU19" s="21"/>
      <c r="DV19" s="21"/>
      <c r="DW19" s="21"/>
      <c r="EB19" s="9"/>
      <c r="EC19" s="21"/>
      <c r="ED19" s="21"/>
      <c r="EE19" s="21"/>
      <c r="EF19" s="21"/>
      <c r="EG19" s="21"/>
      <c r="EJ19" s="9"/>
      <c r="EK19" s="21"/>
      <c r="EL19" s="21"/>
      <c r="EM19" s="21"/>
      <c r="EN19" s="21"/>
      <c r="EO19" s="21"/>
      <c r="ES19" s="9"/>
      <c r="ET19" s="21"/>
      <c r="EU19" s="21"/>
      <c r="EV19" s="21"/>
      <c r="EW19" s="21"/>
      <c r="EX19" s="21"/>
      <c r="FA19" s="9"/>
      <c r="FB19" s="21"/>
      <c r="FC19" s="21"/>
      <c r="FD19" s="21"/>
      <c r="FE19" s="21"/>
      <c r="FF19" s="21"/>
    </row>
    <row r="20" spans="1:162" x14ac:dyDescent="0.25">
      <c r="A20" s="17">
        <f>IFERROR(CK6,0)</f>
        <v>0</v>
      </c>
      <c r="B20" s="18">
        <f>IFERROR(CN9,0)</f>
        <v>0</v>
      </c>
      <c r="C20" s="19">
        <f>IFERROR(CN4,0)</f>
        <v>0</v>
      </c>
      <c r="D20" s="20">
        <f>IFERROR(CN2,0)</f>
        <v>0</v>
      </c>
      <c r="E20" s="20"/>
      <c r="F20" s="9"/>
      <c r="G20" s="21">
        <v>1.1496</v>
      </c>
      <c r="H20" s="21">
        <v>5.1160300000000003</v>
      </c>
      <c r="I20" s="24">
        <v>5.6762699999999998E-6</v>
      </c>
      <c r="J20" s="21">
        <v>10</v>
      </c>
      <c r="K20" s="21">
        <v>1.14899</v>
      </c>
      <c r="L20">
        <f t="shared" si="0"/>
        <v>-7.0077407407407406E-3</v>
      </c>
      <c r="M20">
        <f t="shared" si="1"/>
        <v>-8.056098755555555E-3</v>
      </c>
      <c r="N20" s="9"/>
      <c r="O20" s="21">
        <v>-4.9591099999999999E-2</v>
      </c>
      <c r="P20" s="21">
        <v>7.7367699999999999</v>
      </c>
      <c r="Q20" s="24">
        <v>-6.8328899999999996E-5</v>
      </c>
      <c r="R20" s="21">
        <v>10</v>
      </c>
      <c r="S20" s="21">
        <v>-4.9835200000000003E-2</v>
      </c>
      <c r="T20">
        <f t="shared" si="2"/>
        <v>8.4356666666666663E-2</v>
      </c>
      <c r="U20">
        <f t="shared" si="3"/>
        <v>-4.1833398923333334E-3</v>
      </c>
      <c r="V20" s="22"/>
      <c r="W20" s="23"/>
      <c r="X20" s="9"/>
      <c r="Y20" s="21">
        <v>1.1496</v>
      </c>
      <c r="Z20" s="21">
        <v>12.097200000000001</v>
      </c>
      <c r="AA20" s="24">
        <v>-1.5258799999999999E-6</v>
      </c>
      <c r="AB20" s="21">
        <v>10</v>
      </c>
      <c r="AC20" s="21">
        <v>1.14838</v>
      </c>
      <c r="AD20">
        <f t="shared" si="4"/>
        <v>1.8838024691358022E-3</v>
      </c>
      <c r="AE20">
        <f t="shared" si="5"/>
        <v>2.1656193185185181E-3</v>
      </c>
      <c r="AF20" s="9"/>
      <c r="AG20" s="21">
        <v>-4.9591099999999999E-2</v>
      </c>
      <c r="AH20" s="21">
        <v>14.7179</v>
      </c>
      <c r="AI20" s="24">
        <v>-6.4270000000000006E-5</v>
      </c>
      <c r="AJ20" s="21">
        <v>10</v>
      </c>
      <c r="AK20" s="21">
        <v>-4.9774199999999998E-2</v>
      </c>
      <c r="AL20">
        <f t="shared" si="6"/>
        <v>7.9345679012345682E-2</v>
      </c>
      <c r="AM20">
        <f t="shared" si="7"/>
        <v>-3.9348395024691356E-3</v>
      </c>
      <c r="AP20" s="9"/>
      <c r="AQ20" s="21">
        <v>1.1496</v>
      </c>
      <c r="AR20" s="21">
        <v>19.020399999999999</v>
      </c>
      <c r="AS20" s="24">
        <v>-4.1198699999999997E-6</v>
      </c>
      <c r="AT20" s="21">
        <v>10</v>
      </c>
      <c r="AU20" s="21">
        <v>1.1486799999999999</v>
      </c>
      <c r="AV20">
        <f t="shared" si="8"/>
        <v>5.0862592592592583E-3</v>
      </c>
      <c r="AW20">
        <f t="shared" si="9"/>
        <v>5.847163644444443E-3</v>
      </c>
      <c r="AX20" s="9"/>
      <c r="AY20" s="21">
        <v>-4.9591099999999999E-2</v>
      </c>
      <c r="AZ20" s="21">
        <v>21.641100000000002</v>
      </c>
      <c r="BA20" s="24">
        <v>-6.2194799999999996E-5</v>
      </c>
      <c r="BB20" s="21">
        <v>10</v>
      </c>
      <c r="BC20" s="21">
        <v>-4.98047E-2</v>
      </c>
      <c r="BD20">
        <f t="shared" si="10"/>
        <v>7.6783703703703687E-2</v>
      </c>
      <c r="BE20">
        <f t="shared" si="11"/>
        <v>-3.8077883287407398E-3</v>
      </c>
      <c r="BH20" s="9"/>
      <c r="BI20" s="21"/>
      <c r="BJ20" s="21"/>
      <c r="BK20" s="21"/>
      <c r="BL20" s="21"/>
      <c r="BM20" s="21"/>
      <c r="BP20" s="9"/>
      <c r="BQ20" s="21"/>
      <c r="BR20" s="21"/>
      <c r="BS20" s="21"/>
      <c r="BT20" s="21"/>
      <c r="BU20" s="21"/>
      <c r="BZ20" s="9"/>
      <c r="CA20" s="21"/>
      <c r="CB20" s="21"/>
      <c r="CC20" s="21"/>
      <c r="CD20" s="21"/>
      <c r="CE20" s="21"/>
      <c r="CH20" s="9"/>
      <c r="CI20" s="21"/>
      <c r="CJ20" s="21"/>
      <c r="CK20" s="21"/>
      <c r="CL20" s="21"/>
      <c r="CM20" s="21"/>
      <c r="CR20" s="9"/>
      <c r="CS20" s="21"/>
      <c r="CT20" s="21"/>
      <c r="CU20" s="21"/>
      <c r="CV20" s="21"/>
      <c r="CW20" s="21"/>
      <c r="CZ20" s="9"/>
      <c r="DA20" s="21"/>
      <c r="DB20" s="21"/>
      <c r="DC20" s="21"/>
      <c r="DD20" s="21"/>
      <c r="DE20" s="21"/>
      <c r="DJ20" s="9"/>
      <c r="DK20" s="21"/>
      <c r="DL20" s="21"/>
      <c r="DM20" s="21"/>
      <c r="DN20" s="21"/>
      <c r="DO20" s="21"/>
      <c r="DR20" s="9"/>
      <c r="DS20" s="21"/>
      <c r="DT20" s="21"/>
      <c r="DU20" s="21"/>
      <c r="DV20" s="21"/>
      <c r="DW20" s="21"/>
      <c r="EB20" s="9"/>
      <c r="EC20" s="21"/>
      <c r="ED20" s="21"/>
      <c r="EE20" s="21"/>
      <c r="EF20" s="21"/>
      <c r="EG20" s="21"/>
      <c r="EJ20" s="9"/>
      <c r="EK20" s="21"/>
      <c r="EL20" s="21"/>
      <c r="EM20" s="21"/>
      <c r="EN20" s="21"/>
      <c r="EO20" s="21"/>
      <c r="ES20" s="9"/>
      <c r="ET20" s="21"/>
      <c r="EU20" s="21"/>
      <c r="EV20" s="21"/>
      <c r="EW20" s="21"/>
      <c r="EX20" s="21"/>
      <c r="FA20" s="9"/>
      <c r="FB20" s="21"/>
      <c r="FC20" s="21"/>
      <c r="FD20" s="21"/>
      <c r="FE20" s="21"/>
      <c r="FF20" s="21"/>
    </row>
    <row r="21" spans="1:162" x14ac:dyDescent="0.25">
      <c r="A21" s="17">
        <f>IFERROR(CU6,0)</f>
        <v>0</v>
      </c>
      <c r="B21" s="18">
        <f>IFERROR(CX9,0)</f>
        <v>0</v>
      </c>
      <c r="C21" s="19">
        <f>IFERROR(CX4,0)</f>
        <v>0</v>
      </c>
      <c r="D21" s="20">
        <f>IFERROR(CX2,0)</f>
        <v>0</v>
      </c>
      <c r="E21" s="20">
        <f>IFERROR(CU9,0)</f>
        <v>0</v>
      </c>
      <c r="F21" s="9"/>
      <c r="G21" s="21">
        <v>1.14456</v>
      </c>
      <c r="H21" s="21">
        <v>5.1261000000000001</v>
      </c>
      <c r="I21" s="24">
        <v>4.3640099999999999E-6</v>
      </c>
      <c r="J21" s="21">
        <v>11</v>
      </c>
      <c r="K21" s="21">
        <v>1.1431899999999999</v>
      </c>
      <c r="L21">
        <f t="shared" si="0"/>
        <v>-5.3876666666666656E-3</v>
      </c>
      <c r="M21">
        <f t="shared" si="1"/>
        <v>-6.1665077599999986E-3</v>
      </c>
      <c r="N21" s="9"/>
      <c r="O21" s="21">
        <v>-4.4555699999999997E-2</v>
      </c>
      <c r="P21" s="21">
        <v>7.7468399999999997</v>
      </c>
      <c r="Q21" s="24">
        <v>-6.8023700000000004E-5</v>
      </c>
      <c r="R21" s="21">
        <v>11</v>
      </c>
      <c r="S21" s="21">
        <v>-4.4860799999999999E-2</v>
      </c>
      <c r="T21">
        <f t="shared" si="2"/>
        <v>8.3979876543209875E-2</v>
      </c>
      <c r="U21">
        <f t="shared" si="3"/>
        <v>-3.741782185296296E-3</v>
      </c>
      <c r="V21" s="22"/>
      <c r="W21" s="23"/>
      <c r="X21" s="9"/>
      <c r="Y21" s="21">
        <v>1.14456</v>
      </c>
      <c r="Z21" s="21">
        <v>12.1073</v>
      </c>
      <c r="AA21" s="24">
        <v>-2.6245099999999999E-6</v>
      </c>
      <c r="AB21" s="21">
        <v>11</v>
      </c>
      <c r="AC21" s="21">
        <v>1.1434899999999999</v>
      </c>
      <c r="AD21">
        <f t="shared" si="4"/>
        <v>3.2401358024691353E-3</v>
      </c>
      <c r="AE21">
        <f t="shared" si="5"/>
        <v>3.7085298340740736E-3</v>
      </c>
      <c r="AF21" s="9"/>
      <c r="AG21" s="21">
        <v>-4.4555699999999997E-2</v>
      </c>
      <c r="AH21" s="21">
        <v>14.728</v>
      </c>
      <c r="AI21" s="24">
        <v>-6.3995400000000001E-5</v>
      </c>
      <c r="AJ21" s="21">
        <v>11</v>
      </c>
      <c r="AK21" s="21">
        <v>-4.4830299999999997E-2</v>
      </c>
      <c r="AL21">
        <f t="shared" si="6"/>
        <v>7.9006666666666669E-2</v>
      </c>
      <c r="AM21">
        <f t="shared" si="7"/>
        <v>-3.520197338E-3</v>
      </c>
      <c r="AP21" s="9"/>
      <c r="AQ21" s="21">
        <v>1.14456</v>
      </c>
      <c r="AR21" s="21">
        <v>19.0305</v>
      </c>
      <c r="AS21" s="24">
        <v>-5.1879900000000003E-6</v>
      </c>
      <c r="AT21" s="21">
        <v>11</v>
      </c>
      <c r="AU21" s="21">
        <v>1.1437999999999999</v>
      </c>
      <c r="AV21">
        <f t="shared" si="8"/>
        <v>6.4049259259259259E-3</v>
      </c>
      <c r="AW21">
        <f t="shared" si="9"/>
        <v>7.3308220177777782E-3</v>
      </c>
      <c r="AX21" s="9"/>
      <c r="AY21" s="21">
        <v>-4.4555699999999997E-2</v>
      </c>
      <c r="AZ21" s="21">
        <v>21.651199999999999</v>
      </c>
      <c r="BA21" s="24">
        <v>-6.1737100000000002E-5</v>
      </c>
      <c r="BB21" s="21">
        <v>11</v>
      </c>
      <c r="BC21" s="21">
        <v>-4.4894400000000001E-2</v>
      </c>
      <c r="BD21">
        <f t="shared" si="10"/>
        <v>7.6218641975308643E-2</v>
      </c>
      <c r="BE21">
        <f t="shared" si="11"/>
        <v>-3.3959749462592593E-3</v>
      </c>
      <c r="BH21" s="9"/>
      <c r="BI21" s="21"/>
      <c r="BJ21" s="21"/>
      <c r="BK21" s="21"/>
      <c r="BL21" s="21"/>
      <c r="BM21" s="21"/>
      <c r="BP21" s="9"/>
      <c r="BQ21" s="21"/>
      <c r="BR21" s="21"/>
      <c r="BS21" s="21"/>
      <c r="BT21" s="21"/>
      <c r="BU21" s="21"/>
      <c r="BZ21" s="9"/>
      <c r="CA21" s="21"/>
      <c r="CB21" s="21"/>
      <c r="CC21" s="21"/>
      <c r="CD21" s="21"/>
      <c r="CE21" s="21"/>
      <c r="CH21" s="9"/>
      <c r="CI21" s="21"/>
      <c r="CJ21" s="21"/>
      <c r="CK21" s="21"/>
      <c r="CL21" s="21"/>
      <c r="CM21" s="21"/>
      <c r="CR21" s="9"/>
      <c r="CS21" s="21"/>
      <c r="CT21" s="21"/>
      <c r="CU21" s="21"/>
      <c r="CV21" s="21"/>
      <c r="CW21" s="21"/>
      <c r="CZ21" s="9"/>
      <c r="DA21" s="21"/>
      <c r="DB21" s="21"/>
      <c r="DC21" s="21"/>
      <c r="DD21" s="21"/>
      <c r="DE21" s="21"/>
      <c r="DJ21" s="9"/>
      <c r="DK21" s="21"/>
      <c r="DL21" s="21"/>
      <c r="DM21" s="21"/>
      <c r="DN21" s="21"/>
      <c r="DO21" s="21"/>
      <c r="DR21" s="9"/>
      <c r="DS21" s="21"/>
      <c r="DT21" s="21"/>
      <c r="DU21" s="21"/>
      <c r="DV21" s="21"/>
      <c r="DW21" s="21"/>
      <c r="EB21" s="9"/>
      <c r="EC21" s="21"/>
      <c r="ED21" s="21"/>
      <c r="EE21" s="21"/>
      <c r="EF21" s="21"/>
      <c r="EG21" s="21"/>
      <c r="EJ21" s="9"/>
      <c r="EK21" s="21"/>
      <c r="EL21" s="21"/>
      <c r="EM21" s="21"/>
      <c r="EN21" s="21"/>
      <c r="EO21" s="21"/>
      <c r="ES21" s="9"/>
      <c r="ET21" s="21"/>
      <c r="EU21" s="21"/>
      <c r="EV21" s="21"/>
      <c r="EW21" s="21"/>
      <c r="EX21" s="21"/>
      <c r="FA21" s="9"/>
      <c r="FB21" s="21"/>
      <c r="FC21" s="21"/>
      <c r="FD21" s="21"/>
      <c r="FE21" s="21"/>
      <c r="FF21" s="21"/>
    </row>
    <row r="22" spans="1:162" x14ac:dyDescent="0.25">
      <c r="A22" s="17">
        <f>IFERROR(DC6,0)</f>
        <v>0</v>
      </c>
      <c r="B22" s="18">
        <f>IFERROR(DF9,0)</f>
        <v>0</v>
      </c>
      <c r="C22" s="19">
        <f>IFERROR(DF4,0)</f>
        <v>0</v>
      </c>
      <c r="D22" s="20">
        <f>IFERROR(DF2,0)</f>
        <v>0</v>
      </c>
      <c r="E22" s="20"/>
      <c r="F22" s="9"/>
      <c r="G22" s="21">
        <v>1.1395299999999999</v>
      </c>
      <c r="H22" s="21">
        <v>5.1361699999999999</v>
      </c>
      <c r="I22" s="24">
        <v>2.8686500000000001E-6</v>
      </c>
      <c r="J22" s="21">
        <v>12</v>
      </c>
      <c r="K22" s="21">
        <v>1.1389199999999999</v>
      </c>
      <c r="L22">
        <f t="shared" si="0"/>
        <v>-3.5415432098765431E-3</v>
      </c>
      <c r="M22">
        <f t="shared" si="1"/>
        <v>-4.0356947339506167E-3</v>
      </c>
      <c r="N22" s="9"/>
      <c r="O22" s="21">
        <v>-3.9520300000000001E-2</v>
      </c>
      <c r="P22" s="21">
        <v>7.7569100000000004</v>
      </c>
      <c r="Q22" s="24">
        <v>-6.7718499999999999E-5</v>
      </c>
      <c r="R22" s="21">
        <v>12</v>
      </c>
      <c r="S22" s="21">
        <v>-3.9825399999999997E-2</v>
      </c>
      <c r="T22">
        <f t="shared" si="2"/>
        <v>8.3603086419753073E-2</v>
      </c>
      <c r="U22">
        <f t="shared" si="3"/>
        <v>-3.3040190562345674E-3</v>
      </c>
      <c r="V22" s="22"/>
      <c r="W22" s="23"/>
      <c r="X22" s="9"/>
      <c r="Y22" s="21">
        <v>1.1395299999999999</v>
      </c>
      <c r="Z22" s="21">
        <v>12.1173</v>
      </c>
      <c r="AA22" s="24">
        <v>-3.9367699999999997E-6</v>
      </c>
      <c r="AB22" s="21">
        <v>12</v>
      </c>
      <c r="AC22" s="21">
        <v>1.1389199999999999</v>
      </c>
      <c r="AD22">
        <f t="shared" si="4"/>
        <v>4.8602098765432094E-3</v>
      </c>
      <c r="AE22">
        <f t="shared" si="5"/>
        <v>5.5383549606172833E-3</v>
      </c>
      <c r="AF22" s="9"/>
      <c r="AG22" s="21">
        <v>-3.9520300000000001E-2</v>
      </c>
      <c r="AH22" s="21">
        <v>14.738099999999999</v>
      </c>
      <c r="AI22" s="24">
        <v>-6.3659700000000003E-5</v>
      </c>
      <c r="AJ22" s="21">
        <v>12</v>
      </c>
      <c r="AK22" s="21">
        <v>-3.9837600000000001E-2</v>
      </c>
      <c r="AL22">
        <f t="shared" si="6"/>
        <v>7.859222222222223E-2</v>
      </c>
      <c r="AM22">
        <f t="shared" si="7"/>
        <v>-3.1059881998888894E-3</v>
      </c>
      <c r="AP22" s="9"/>
      <c r="AQ22" s="21">
        <v>1.1395299999999999</v>
      </c>
      <c r="AR22" s="21">
        <v>19.040500000000002</v>
      </c>
      <c r="AS22" s="24">
        <v>-6.2866199999999998E-6</v>
      </c>
      <c r="AT22" s="21">
        <v>12</v>
      </c>
      <c r="AU22" s="21">
        <v>1.1389199999999999</v>
      </c>
      <c r="AV22">
        <f t="shared" si="8"/>
        <v>7.7612592592592594E-3</v>
      </c>
      <c r="AW22">
        <f t="shared" si="9"/>
        <v>8.8441877637037026E-3</v>
      </c>
      <c r="AX22" s="9"/>
      <c r="AY22" s="21">
        <v>-3.9520300000000001E-2</v>
      </c>
      <c r="AZ22" s="21">
        <v>21.661300000000001</v>
      </c>
      <c r="BA22" s="24">
        <v>-6.1523400000000001E-5</v>
      </c>
      <c r="BB22" s="21">
        <v>12</v>
      </c>
      <c r="BC22" s="21">
        <v>-3.9822400000000001E-2</v>
      </c>
      <c r="BD22">
        <f t="shared" si="10"/>
        <v>7.5954814814814808E-2</v>
      </c>
      <c r="BE22">
        <f t="shared" si="11"/>
        <v>-3.0017570679259256E-3</v>
      </c>
      <c r="BH22" s="9"/>
      <c r="BI22" s="21"/>
      <c r="BJ22" s="21"/>
      <c r="BK22" s="21"/>
      <c r="BL22" s="21"/>
      <c r="BM22" s="21"/>
      <c r="BP22" s="9"/>
      <c r="BQ22" s="21"/>
      <c r="BR22" s="21"/>
      <c r="BS22" s="21"/>
      <c r="BT22" s="21"/>
      <c r="BU22" s="21"/>
      <c r="BZ22" s="9"/>
      <c r="CA22" s="21"/>
      <c r="CB22" s="21"/>
      <c r="CC22" s="21"/>
      <c r="CD22" s="21"/>
      <c r="CE22" s="21"/>
      <c r="CH22" s="9"/>
      <c r="CI22" s="21"/>
      <c r="CJ22" s="21"/>
      <c r="CK22" s="21"/>
      <c r="CL22" s="21"/>
      <c r="CM22" s="21"/>
      <c r="CR22" s="9"/>
      <c r="CS22" s="21"/>
      <c r="CT22" s="21"/>
      <c r="CU22" s="21"/>
      <c r="CV22" s="21"/>
      <c r="CW22" s="21"/>
      <c r="CZ22" s="9"/>
      <c r="DA22" s="21"/>
      <c r="DB22" s="21"/>
      <c r="DC22" s="21"/>
      <c r="DD22" s="21"/>
      <c r="DE22" s="21"/>
      <c r="DJ22" s="9"/>
      <c r="DK22" s="21"/>
      <c r="DL22" s="21"/>
      <c r="DM22" s="24"/>
      <c r="DN22" s="21"/>
      <c r="DO22" s="21"/>
      <c r="DR22" s="9"/>
      <c r="DS22" s="21"/>
      <c r="DT22" s="21"/>
      <c r="DU22" s="21"/>
      <c r="DV22" s="21"/>
      <c r="DW22" s="21"/>
      <c r="EB22" s="9"/>
      <c r="EC22" s="21"/>
      <c r="ED22" s="21"/>
      <c r="EE22" s="21"/>
      <c r="EF22" s="21"/>
      <c r="EG22" s="21"/>
      <c r="EJ22" s="9"/>
      <c r="EK22" s="21"/>
      <c r="EL22" s="21"/>
      <c r="EM22" s="21"/>
      <c r="EN22" s="21"/>
      <c r="EO22" s="21"/>
      <c r="ES22" s="9"/>
      <c r="ET22" s="21"/>
      <c r="EU22" s="21"/>
      <c r="EV22" s="21"/>
      <c r="EW22" s="21"/>
      <c r="EX22" s="21"/>
      <c r="FA22" s="9"/>
      <c r="FB22" s="21"/>
      <c r="FC22" s="21"/>
      <c r="FD22" s="21"/>
      <c r="FE22" s="21"/>
      <c r="FF22" s="21"/>
    </row>
    <row r="23" spans="1:162" x14ac:dyDescent="0.25">
      <c r="A23" s="17"/>
      <c r="B23" s="18"/>
      <c r="C23" s="19"/>
      <c r="D23" s="20"/>
      <c r="E23" s="20">
        <f>IFERROR(DM9,0)</f>
        <v>0</v>
      </c>
      <c r="F23" s="9"/>
      <c r="G23" s="21">
        <v>1.13449</v>
      </c>
      <c r="H23" s="21">
        <v>5.1462399999999997</v>
      </c>
      <c r="I23" s="24">
        <v>1.3427700000000001E-6</v>
      </c>
      <c r="J23" s="21">
        <v>13</v>
      </c>
      <c r="K23" s="21">
        <v>1.1334200000000001</v>
      </c>
      <c r="L23">
        <f t="shared" si="0"/>
        <v>-1.6577407407407407E-3</v>
      </c>
      <c r="M23">
        <f t="shared" si="1"/>
        <v>-1.8806902929629629E-3</v>
      </c>
      <c r="N23" s="9"/>
      <c r="O23" s="21">
        <v>-3.4484899999999999E-2</v>
      </c>
      <c r="P23" s="21">
        <v>7.7669800000000002</v>
      </c>
      <c r="Q23" s="24">
        <v>-6.71997E-5</v>
      </c>
      <c r="R23" s="21">
        <v>13</v>
      </c>
      <c r="S23" s="21">
        <v>-3.47137E-2</v>
      </c>
      <c r="T23">
        <f t="shared" si="2"/>
        <v>8.2962592592592588E-2</v>
      </c>
      <c r="U23">
        <f t="shared" si="3"/>
        <v>-2.8609567092962962E-3</v>
      </c>
      <c r="V23" s="22"/>
      <c r="W23" s="23"/>
      <c r="X23" s="9"/>
      <c r="Y23" s="21">
        <v>1.13449</v>
      </c>
      <c r="Z23" s="21">
        <v>12.1274</v>
      </c>
      <c r="AA23" s="24">
        <v>-5.0659199999999998E-6</v>
      </c>
      <c r="AB23" s="21">
        <v>13</v>
      </c>
      <c r="AC23" s="21">
        <v>1.1337299999999999</v>
      </c>
      <c r="AD23">
        <f t="shared" si="4"/>
        <v>6.2542222222222209E-3</v>
      </c>
      <c r="AE23">
        <f t="shared" si="5"/>
        <v>7.0953525688888875E-3</v>
      </c>
      <c r="AF23" s="9"/>
      <c r="AG23" s="21">
        <v>-3.4484899999999999E-2</v>
      </c>
      <c r="AH23" s="21">
        <v>14.748200000000001</v>
      </c>
      <c r="AI23" s="24">
        <v>-6.3354499999999998E-5</v>
      </c>
      <c r="AJ23" s="21">
        <v>13</v>
      </c>
      <c r="AK23" s="21">
        <v>-3.4707599999999998E-2</v>
      </c>
      <c r="AL23">
        <f t="shared" si="6"/>
        <v>7.8215432098765428E-2</v>
      </c>
      <c r="AM23">
        <f t="shared" si="7"/>
        <v>-2.6972513543827158E-3</v>
      </c>
      <c r="AP23" s="9"/>
      <c r="AQ23" s="21">
        <v>1.13449</v>
      </c>
      <c r="AR23" s="21">
        <v>19.050599999999999</v>
      </c>
      <c r="AS23" s="24">
        <v>-7.5073199999999998E-6</v>
      </c>
      <c r="AT23" s="21">
        <v>13</v>
      </c>
      <c r="AU23" s="21">
        <v>1.1337299999999999</v>
      </c>
      <c r="AV23">
        <f t="shared" si="8"/>
        <v>9.2682962962962953E-3</v>
      </c>
      <c r="AW23">
        <f t="shared" si="9"/>
        <v>1.0514789465185184E-2</v>
      </c>
      <c r="AX23" s="9"/>
      <c r="AY23" s="21">
        <v>-3.4484899999999999E-2</v>
      </c>
      <c r="AZ23" s="21">
        <v>21.671299999999999</v>
      </c>
      <c r="BA23" s="24">
        <v>-6.10962E-5</v>
      </c>
      <c r="BB23" s="21">
        <v>13</v>
      </c>
      <c r="BC23" s="21">
        <v>-3.4759499999999999E-2</v>
      </c>
      <c r="BD23">
        <f t="shared" si="10"/>
        <v>7.5427407407407401E-2</v>
      </c>
      <c r="BE23">
        <f t="shared" si="11"/>
        <v>-2.6011066017037035E-3</v>
      </c>
      <c r="BH23" s="9"/>
      <c r="BI23" s="21"/>
      <c r="BJ23" s="21"/>
      <c r="BK23" s="24"/>
      <c r="BL23" s="21"/>
      <c r="BM23" s="21"/>
      <c r="BP23" s="9"/>
      <c r="BQ23" s="21"/>
      <c r="BR23" s="21"/>
      <c r="BS23" s="21"/>
      <c r="BT23" s="21"/>
      <c r="BU23" s="21"/>
      <c r="BZ23" s="9"/>
      <c r="CA23" s="21"/>
      <c r="CB23" s="21"/>
      <c r="CC23" s="24"/>
      <c r="CD23" s="21"/>
      <c r="CE23" s="21"/>
      <c r="CH23" s="9"/>
      <c r="CI23" s="21"/>
      <c r="CJ23" s="21"/>
      <c r="CK23" s="21"/>
      <c r="CL23" s="21"/>
      <c r="CM23" s="21"/>
      <c r="CR23" s="9"/>
      <c r="CS23" s="21"/>
      <c r="CT23" s="21"/>
      <c r="CU23" s="24"/>
      <c r="CV23" s="21"/>
      <c r="CW23" s="21"/>
      <c r="CZ23" s="9"/>
      <c r="DA23" s="21"/>
      <c r="DB23" s="21"/>
      <c r="DC23" s="21"/>
      <c r="DD23" s="21"/>
      <c r="DE23" s="21"/>
      <c r="DJ23" s="9"/>
      <c r="DK23" s="21"/>
      <c r="DL23" s="21"/>
      <c r="DM23" s="24"/>
      <c r="DN23" s="21"/>
      <c r="DO23" s="21"/>
      <c r="DR23" s="9"/>
      <c r="DS23" s="21"/>
      <c r="DT23" s="21"/>
      <c r="DU23" s="21"/>
      <c r="DV23" s="21"/>
      <c r="DW23" s="21"/>
      <c r="EB23" s="9"/>
      <c r="EC23" s="21"/>
      <c r="ED23" s="21"/>
      <c r="EE23" s="24"/>
      <c r="EF23" s="21"/>
      <c r="EG23" s="21"/>
      <c r="EJ23" s="9"/>
      <c r="EK23" s="21"/>
      <c r="EL23" s="21"/>
      <c r="EM23" s="21"/>
      <c r="EN23" s="21"/>
      <c r="EO23" s="21"/>
      <c r="ES23" s="9"/>
      <c r="ET23" s="21"/>
      <c r="EU23" s="21"/>
      <c r="EV23" s="24"/>
      <c r="EW23" s="21"/>
      <c r="EX23" s="21"/>
      <c r="FA23" s="9"/>
      <c r="FB23" s="21"/>
      <c r="FC23" s="21"/>
      <c r="FD23" s="21"/>
      <c r="FE23" s="21"/>
      <c r="FF23" s="21"/>
    </row>
    <row r="24" spans="1:162" x14ac:dyDescent="0.25">
      <c r="A24" s="17"/>
      <c r="B24" s="18"/>
      <c r="C24" s="19"/>
      <c r="D24" s="20"/>
      <c r="E24" s="20"/>
      <c r="F24" s="9"/>
      <c r="G24" s="21">
        <v>1.1294599999999999</v>
      </c>
      <c r="H24" s="21">
        <v>5.1563100000000004</v>
      </c>
      <c r="I24" s="24">
        <v>-6.1035200000000001E-8</v>
      </c>
      <c r="J24" s="21">
        <v>14</v>
      </c>
      <c r="K24" s="21">
        <v>1.1288499999999999</v>
      </c>
      <c r="L24">
        <f t="shared" si="0"/>
        <v>7.5352098765432091E-5</v>
      </c>
      <c r="M24">
        <f t="shared" si="1"/>
        <v>8.5107181471604925E-5</v>
      </c>
      <c r="N24" s="9"/>
      <c r="O24" s="21">
        <v>-2.94495E-2</v>
      </c>
      <c r="P24" s="21">
        <v>7.77705</v>
      </c>
      <c r="Q24" s="24">
        <v>-6.6894499999999995E-5</v>
      </c>
      <c r="R24" s="21">
        <v>14</v>
      </c>
      <c r="S24" s="21">
        <v>-2.9727199999999999E-2</v>
      </c>
      <c r="T24">
        <f t="shared" si="2"/>
        <v>8.2585802469135786E-2</v>
      </c>
      <c r="U24">
        <f t="shared" si="3"/>
        <v>-2.4321105898148145E-3</v>
      </c>
      <c r="V24" s="22"/>
      <c r="W24" s="23"/>
      <c r="X24" s="9"/>
      <c r="Y24" s="21">
        <v>1.1294599999999999</v>
      </c>
      <c r="Z24" s="21">
        <v>12.137499999999999</v>
      </c>
      <c r="AA24" s="24">
        <v>-6.4086900000000003E-6</v>
      </c>
      <c r="AB24" s="21">
        <v>14</v>
      </c>
      <c r="AC24" s="21">
        <v>1.1288499999999999</v>
      </c>
      <c r="AD24">
        <f t="shared" si="4"/>
        <v>7.9119629629629627E-3</v>
      </c>
      <c r="AE24">
        <f t="shared" si="5"/>
        <v>8.9362456881481468E-3</v>
      </c>
      <c r="AF24" s="9"/>
      <c r="AG24" s="21">
        <v>-2.94495E-2</v>
      </c>
      <c r="AH24" s="21">
        <v>14.7582</v>
      </c>
      <c r="AI24" s="24">
        <v>-6.2927200000000003E-5</v>
      </c>
      <c r="AJ24" s="21">
        <v>14</v>
      </c>
      <c r="AK24" s="21">
        <v>-2.9705800000000001E-2</v>
      </c>
      <c r="AL24">
        <f t="shared" si="6"/>
        <v>7.7687901234567897E-2</v>
      </c>
      <c r="AM24">
        <f t="shared" si="7"/>
        <v>-2.2878698474074074E-3</v>
      </c>
      <c r="AP24" s="9"/>
      <c r="AQ24" s="21">
        <v>1.1294599999999999</v>
      </c>
      <c r="AR24" s="21">
        <v>19.060700000000001</v>
      </c>
      <c r="AS24" s="24">
        <v>-8.6059599999999992E-6</v>
      </c>
      <c r="AT24" s="21">
        <v>14</v>
      </c>
      <c r="AU24" s="21">
        <v>1.1285400000000001</v>
      </c>
      <c r="AV24">
        <f t="shared" si="8"/>
        <v>1.062464197530864E-2</v>
      </c>
      <c r="AW24">
        <f t="shared" si="9"/>
        <v>1.2000108125432096E-2</v>
      </c>
      <c r="AX24" s="9"/>
      <c r="AY24" s="21">
        <v>-2.94495E-2</v>
      </c>
      <c r="AZ24" s="21">
        <v>21.6814</v>
      </c>
      <c r="BA24" s="24">
        <v>-6.0943599999999997E-5</v>
      </c>
      <c r="BB24" s="21">
        <v>14</v>
      </c>
      <c r="BC24" s="21">
        <v>-2.9727199999999999E-2</v>
      </c>
      <c r="BD24">
        <f t="shared" si="10"/>
        <v>7.5239012345679007E-2</v>
      </c>
      <c r="BE24">
        <f t="shared" si="11"/>
        <v>-2.2157512940740739E-3</v>
      </c>
      <c r="BH24" s="9"/>
      <c r="BI24" s="21"/>
      <c r="BJ24" s="21"/>
      <c r="BK24" s="21"/>
      <c r="BL24" s="21"/>
      <c r="BM24" s="21"/>
      <c r="BP24" s="9"/>
      <c r="BQ24" s="21"/>
      <c r="BR24" s="21"/>
      <c r="BS24" s="21"/>
      <c r="BT24" s="21"/>
      <c r="BU24" s="21"/>
      <c r="BZ24" s="9"/>
      <c r="CA24" s="21"/>
      <c r="CB24" s="21"/>
      <c r="CC24" s="21"/>
      <c r="CD24" s="21"/>
      <c r="CE24" s="21"/>
      <c r="CH24" s="9"/>
      <c r="CI24" s="21"/>
      <c r="CJ24" s="21"/>
      <c r="CK24" s="21"/>
      <c r="CL24" s="21"/>
      <c r="CM24" s="21"/>
      <c r="CR24" s="9"/>
      <c r="CS24" s="21"/>
      <c r="CT24" s="21"/>
      <c r="CU24" s="21"/>
      <c r="CV24" s="21"/>
      <c r="CW24" s="21"/>
      <c r="CZ24" s="9"/>
      <c r="DA24" s="21"/>
      <c r="DB24" s="21"/>
      <c r="DC24" s="21"/>
      <c r="DD24" s="21"/>
      <c r="DE24" s="21"/>
      <c r="DJ24" s="9"/>
      <c r="DK24" s="21"/>
      <c r="DL24" s="21"/>
      <c r="DM24" s="21"/>
      <c r="DN24" s="21"/>
      <c r="DO24" s="21"/>
      <c r="DR24" s="9"/>
      <c r="DS24" s="21"/>
      <c r="DT24" s="21"/>
      <c r="DU24" s="21"/>
      <c r="DV24" s="21"/>
      <c r="DW24" s="21"/>
      <c r="EB24" s="9"/>
      <c r="EC24" s="21"/>
      <c r="ED24" s="21"/>
      <c r="EE24" s="21"/>
      <c r="EF24" s="21"/>
      <c r="EG24" s="21"/>
      <c r="EJ24" s="9"/>
      <c r="EK24" s="21"/>
      <c r="EL24" s="21"/>
      <c r="EM24" s="21"/>
      <c r="EN24" s="21"/>
      <c r="EO24" s="21"/>
      <c r="ES24" s="9"/>
      <c r="ET24" s="21"/>
      <c r="EU24" s="21"/>
      <c r="EV24" s="21"/>
      <c r="EW24" s="21"/>
      <c r="EX24" s="21"/>
      <c r="FA24" s="9"/>
      <c r="FB24" s="21"/>
      <c r="FC24" s="21"/>
      <c r="FD24" s="21"/>
      <c r="FE24" s="21"/>
      <c r="FF24" s="21"/>
    </row>
    <row r="25" spans="1:162" x14ac:dyDescent="0.25">
      <c r="A25" s="17"/>
      <c r="B25" s="18"/>
      <c r="C25" s="19"/>
      <c r="D25" s="20"/>
      <c r="E25" s="20">
        <f>IFERROR(EE9,0)</f>
        <v>0</v>
      </c>
      <c r="F25" s="9"/>
      <c r="G25" s="21">
        <v>1.12442</v>
      </c>
      <c r="H25" s="21">
        <v>5.1663800000000002</v>
      </c>
      <c r="I25" s="24">
        <v>-1.5564E-6</v>
      </c>
      <c r="J25" s="21">
        <v>15</v>
      </c>
      <c r="K25" s="21">
        <v>1.1236600000000001</v>
      </c>
      <c r="L25">
        <f t="shared" si="0"/>
        <v>1.9214814814814813E-3</v>
      </c>
      <c r="M25">
        <f t="shared" si="1"/>
        <v>2.1605522074074073E-3</v>
      </c>
      <c r="N25" s="9"/>
      <c r="O25" s="21">
        <v>-2.4414100000000001E-2</v>
      </c>
      <c r="P25" s="21">
        <v>7.7871199999999998</v>
      </c>
      <c r="Q25" s="24">
        <v>-6.6497799999999999E-5</v>
      </c>
      <c r="R25" s="21">
        <v>15</v>
      </c>
      <c r="S25" s="21">
        <v>-2.4676500000000001E-2</v>
      </c>
      <c r="T25">
        <f t="shared" si="2"/>
        <v>8.2096049382716044E-2</v>
      </c>
      <c r="U25">
        <f t="shared" si="3"/>
        <v>-2.0043011592345678E-3</v>
      </c>
      <c r="V25" s="22"/>
      <c r="W25" s="23"/>
      <c r="X25" s="9"/>
      <c r="Y25" s="21">
        <v>1.12442</v>
      </c>
      <c r="Z25" s="21">
        <v>12.147600000000001</v>
      </c>
      <c r="AA25" s="24">
        <v>-7.7514600000000008E-6</v>
      </c>
      <c r="AB25" s="21">
        <v>15</v>
      </c>
      <c r="AC25" s="21">
        <v>1.1239600000000001</v>
      </c>
      <c r="AD25">
        <f t="shared" si="4"/>
        <v>9.5697037037037053E-3</v>
      </c>
      <c r="AE25">
        <f t="shared" si="5"/>
        <v>1.076036623851852E-2</v>
      </c>
      <c r="AF25" s="9"/>
      <c r="AG25" s="21">
        <v>-2.4414100000000001E-2</v>
      </c>
      <c r="AH25" s="21">
        <v>14.7683</v>
      </c>
      <c r="AI25" s="24">
        <v>-6.2591599999999999E-5</v>
      </c>
      <c r="AJ25" s="21">
        <v>15</v>
      </c>
      <c r="AK25" s="21">
        <v>-2.4667399999999999E-2</v>
      </c>
      <c r="AL25">
        <f t="shared" si="6"/>
        <v>7.7273580246913581E-2</v>
      </c>
      <c r="AM25">
        <f t="shared" si="7"/>
        <v>-1.8865649155061729E-3</v>
      </c>
      <c r="AP25" s="9"/>
      <c r="AQ25" s="21">
        <v>1.12442</v>
      </c>
      <c r="AR25" s="21">
        <v>19.070699999999999</v>
      </c>
      <c r="AS25" s="24">
        <v>-9.6435500000000002E-6</v>
      </c>
      <c r="AT25" s="21">
        <v>15</v>
      </c>
      <c r="AU25" s="21">
        <v>1.1236600000000001</v>
      </c>
      <c r="AV25">
        <f t="shared" si="8"/>
        <v>1.1905617283950617E-2</v>
      </c>
      <c r="AW25">
        <f t="shared" si="9"/>
        <v>1.3386914186419753E-2</v>
      </c>
      <c r="AX25" s="9"/>
      <c r="AY25" s="21">
        <v>-2.4414100000000001E-2</v>
      </c>
      <c r="AZ25" s="21">
        <v>21.691500000000001</v>
      </c>
      <c r="BA25" s="24">
        <v>-6.0668899999999998E-5</v>
      </c>
      <c r="BB25" s="21">
        <v>15</v>
      </c>
      <c r="BC25" s="21">
        <v>-2.4697899999999998E-2</v>
      </c>
      <c r="BD25">
        <f t="shared" si="10"/>
        <v>7.489987654320987E-2</v>
      </c>
      <c r="BE25">
        <f t="shared" si="11"/>
        <v>-1.8286130759135801E-3</v>
      </c>
      <c r="BH25" s="9"/>
      <c r="BI25" s="21"/>
      <c r="BJ25" s="21"/>
      <c r="BK25" s="21"/>
      <c r="BL25" s="21"/>
      <c r="BM25" s="21"/>
      <c r="BP25" s="9"/>
      <c r="BQ25" s="21"/>
      <c r="BR25" s="21"/>
      <c r="BS25" s="21"/>
      <c r="BT25" s="21"/>
      <c r="BU25" s="21"/>
      <c r="BZ25" s="9"/>
      <c r="CA25" s="21"/>
      <c r="CB25" s="21"/>
      <c r="CC25" s="21"/>
      <c r="CD25" s="21"/>
      <c r="CE25" s="21"/>
      <c r="CH25" s="9"/>
      <c r="CI25" s="21"/>
      <c r="CJ25" s="21"/>
      <c r="CK25" s="21"/>
      <c r="CL25" s="21"/>
      <c r="CM25" s="21"/>
      <c r="CR25" s="9"/>
      <c r="CS25" s="21"/>
      <c r="CT25" s="21"/>
      <c r="CU25" s="21"/>
      <c r="CV25" s="21"/>
      <c r="CW25" s="21"/>
      <c r="CZ25" s="9"/>
      <c r="DA25" s="21"/>
      <c r="DB25" s="21"/>
      <c r="DC25" s="21"/>
      <c r="DD25" s="21"/>
      <c r="DE25" s="21"/>
      <c r="DJ25" s="9"/>
      <c r="DK25" s="21"/>
      <c r="DL25" s="21"/>
      <c r="DM25" s="21"/>
      <c r="DN25" s="21"/>
      <c r="DO25" s="21"/>
      <c r="DR25" s="9"/>
      <c r="DS25" s="21"/>
      <c r="DT25" s="21"/>
      <c r="DU25" s="21"/>
      <c r="DV25" s="21"/>
      <c r="DW25" s="21"/>
      <c r="EB25" s="9"/>
      <c r="EC25" s="21"/>
      <c r="ED25" s="21"/>
      <c r="EE25" s="21"/>
      <c r="EF25" s="21"/>
      <c r="EG25" s="21"/>
      <c r="EJ25" s="9"/>
      <c r="EK25" s="21"/>
      <c r="EL25" s="21"/>
      <c r="EM25" s="21"/>
      <c r="EN25" s="21"/>
      <c r="EO25" s="21"/>
      <c r="ES25" s="9"/>
      <c r="ET25" s="21"/>
      <c r="EU25" s="21"/>
      <c r="EV25" s="21"/>
      <c r="EW25" s="21"/>
      <c r="EX25" s="21"/>
      <c r="FA25" s="9"/>
      <c r="FB25" s="21"/>
      <c r="FC25" s="21"/>
      <c r="FD25" s="21"/>
      <c r="FE25" s="21"/>
      <c r="FF25" s="21"/>
    </row>
    <row r="26" spans="1:162" x14ac:dyDescent="0.25">
      <c r="A26" s="17"/>
      <c r="B26" s="18"/>
      <c r="C26" s="19"/>
      <c r="D26" s="20"/>
      <c r="E26" s="20"/>
      <c r="F26" s="9"/>
      <c r="G26" s="21">
        <v>1.11938</v>
      </c>
      <c r="H26" s="21">
        <v>5.1764599999999996</v>
      </c>
      <c r="I26" s="24">
        <v>-3.0517599999999999E-6</v>
      </c>
      <c r="J26" s="21">
        <v>16</v>
      </c>
      <c r="K26" s="21">
        <v>1.11877</v>
      </c>
      <c r="L26">
        <f t="shared" si="0"/>
        <v>3.7676049382716044E-3</v>
      </c>
      <c r="M26">
        <f t="shared" si="1"/>
        <v>4.217381615802469E-3</v>
      </c>
      <c r="N26" s="9"/>
      <c r="O26" s="21">
        <v>-1.9378699999999999E-2</v>
      </c>
      <c r="P26" s="21">
        <v>7.7972000000000001</v>
      </c>
      <c r="Q26" s="24">
        <v>-6.6192599999999994E-5</v>
      </c>
      <c r="R26" s="21">
        <v>16</v>
      </c>
      <c r="S26" s="21">
        <v>-1.9628900000000001E-2</v>
      </c>
      <c r="T26">
        <f t="shared" si="2"/>
        <v>8.1719259259259255E-2</v>
      </c>
      <c r="U26">
        <f t="shared" si="3"/>
        <v>-1.5836130094074071E-3</v>
      </c>
      <c r="V26" s="22"/>
      <c r="W26" s="23"/>
      <c r="X26" s="9"/>
      <c r="Y26" s="21">
        <v>1.11938</v>
      </c>
      <c r="Z26" s="21">
        <v>12.1576</v>
      </c>
      <c r="AA26" s="24">
        <v>-8.9721699999999999E-6</v>
      </c>
      <c r="AB26" s="21">
        <v>16</v>
      </c>
      <c r="AC26" s="21">
        <v>1.11877</v>
      </c>
      <c r="AD26">
        <f t="shared" si="4"/>
        <v>1.1076753086419753E-2</v>
      </c>
      <c r="AE26">
        <f t="shared" si="5"/>
        <v>1.2399095869876545E-2</v>
      </c>
      <c r="AF26" s="9"/>
      <c r="AG26" s="21">
        <v>-1.9378699999999999E-2</v>
      </c>
      <c r="AH26" s="21">
        <v>14.7784</v>
      </c>
      <c r="AI26" s="24">
        <v>-6.2377899999999998E-5</v>
      </c>
      <c r="AJ26" s="21">
        <v>16</v>
      </c>
      <c r="AK26" s="21">
        <v>-1.9644200000000001E-2</v>
      </c>
      <c r="AL26">
        <f t="shared" si="6"/>
        <v>7.7009753086419747E-2</v>
      </c>
      <c r="AM26">
        <f t="shared" si="7"/>
        <v>-1.4923489021358022E-3</v>
      </c>
      <c r="AP26" s="9"/>
      <c r="AQ26" s="21">
        <v>1.11938</v>
      </c>
      <c r="AR26" s="21">
        <v>19.0808</v>
      </c>
      <c r="AS26" s="24">
        <v>-1.07422E-5</v>
      </c>
      <c r="AT26" s="21">
        <v>16</v>
      </c>
      <c r="AU26" s="21">
        <v>1.1190800000000001</v>
      </c>
      <c r="AV26">
        <f t="shared" si="8"/>
        <v>1.3261975308641975E-2</v>
      </c>
      <c r="AW26">
        <f t="shared" si="9"/>
        <v>1.4845189920987654E-2</v>
      </c>
      <c r="AX26" s="9"/>
      <c r="AY26" s="21">
        <v>-1.9378699999999999E-2</v>
      </c>
      <c r="AZ26" s="21">
        <v>21.701599999999999</v>
      </c>
      <c r="BA26" s="24">
        <v>-6.0424799999999998E-5</v>
      </c>
      <c r="BB26" s="21">
        <v>16</v>
      </c>
      <c r="BC26" s="21">
        <v>-1.9635E-2</v>
      </c>
      <c r="BD26">
        <f t="shared" si="10"/>
        <v>7.4598518518518508E-2</v>
      </c>
      <c r="BE26">
        <f t="shared" si="11"/>
        <v>-1.4456223108148146E-3</v>
      </c>
      <c r="BH26" s="9"/>
      <c r="BI26" s="21"/>
      <c r="BJ26" s="21"/>
      <c r="BK26" s="21"/>
      <c r="BL26" s="21"/>
      <c r="BM26" s="21"/>
      <c r="BP26" s="9"/>
      <c r="BQ26" s="21"/>
      <c r="BR26" s="21"/>
      <c r="BS26" s="21"/>
      <c r="BT26" s="21"/>
      <c r="BU26" s="21"/>
      <c r="BZ26" s="9"/>
      <c r="CA26" s="21"/>
      <c r="CB26" s="21"/>
      <c r="CC26" s="21"/>
      <c r="CD26" s="21"/>
      <c r="CE26" s="21"/>
      <c r="CH26" s="9"/>
      <c r="CI26" s="21"/>
      <c r="CJ26" s="21"/>
      <c r="CK26" s="21"/>
      <c r="CL26" s="21"/>
      <c r="CM26" s="21"/>
      <c r="CR26" s="9"/>
      <c r="CS26" s="21"/>
      <c r="CT26" s="21"/>
      <c r="CU26" s="21"/>
      <c r="CV26" s="21"/>
      <c r="CW26" s="21"/>
      <c r="CZ26" s="9"/>
      <c r="DA26" s="21"/>
      <c r="DB26" s="21"/>
      <c r="DC26" s="21"/>
      <c r="DD26" s="21"/>
      <c r="DE26" s="21"/>
      <c r="DJ26" s="9"/>
      <c r="DK26" s="21"/>
      <c r="DL26" s="21"/>
      <c r="DM26" s="21"/>
      <c r="DN26" s="21"/>
      <c r="DO26" s="21"/>
      <c r="DR26" s="9"/>
      <c r="DS26" s="21"/>
      <c r="DT26" s="21"/>
      <c r="DU26" s="21"/>
      <c r="DV26" s="21"/>
      <c r="DW26" s="21"/>
      <c r="EB26" s="9"/>
      <c r="EC26" s="21"/>
      <c r="ED26" s="21"/>
      <c r="EE26" s="21"/>
      <c r="EF26" s="21"/>
      <c r="EG26" s="21"/>
      <c r="EJ26" s="9"/>
      <c r="EK26" s="21"/>
      <c r="EL26" s="21"/>
      <c r="EM26" s="21"/>
      <c r="EN26" s="21"/>
      <c r="EO26" s="21"/>
      <c r="ES26" s="9"/>
      <c r="ET26" s="21"/>
      <c r="EU26" s="21"/>
      <c r="EV26" s="21"/>
      <c r="EW26" s="21"/>
      <c r="EX26" s="21"/>
      <c r="FA26" s="9"/>
      <c r="FB26" s="21"/>
      <c r="FC26" s="21"/>
      <c r="FD26" s="21"/>
      <c r="FE26" s="21"/>
      <c r="FF26" s="21"/>
    </row>
    <row r="27" spans="1:162" x14ac:dyDescent="0.25">
      <c r="F27" s="9"/>
      <c r="G27" s="21">
        <v>1.11435</v>
      </c>
      <c r="H27" s="21">
        <v>5.1865300000000003</v>
      </c>
      <c r="I27" s="24">
        <v>-4.0588400000000003E-6</v>
      </c>
      <c r="J27" s="21">
        <v>17</v>
      </c>
      <c r="K27" s="21">
        <v>1.11328</v>
      </c>
      <c r="L27">
        <f t="shared" si="0"/>
        <v>5.0109135802469135E-3</v>
      </c>
      <c r="M27">
        <f t="shared" si="1"/>
        <v>5.583911548148148E-3</v>
      </c>
      <c r="N27" s="9"/>
      <c r="O27" s="21">
        <v>-1.43433E-2</v>
      </c>
      <c r="P27" s="21">
        <v>7.8072699999999999</v>
      </c>
      <c r="Q27" s="24">
        <v>-6.5856899999999996E-5</v>
      </c>
      <c r="R27" s="21">
        <v>17</v>
      </c>
      <c r="S27" s="21">
        <v>-1.4566000000000001E-2</v>
      </c>
      <c r="T27">
        <f t="shared" si="2"/>
        <v>8.1304814814814802E-2</v>
      </c>
      <c r="U27">
        <f t="shared" si="3"/>
        <v>-1.1661793503333331E-3</v>
      </c>
      <c r="X27" s="9"/>
      <c r="Y27" s="21">
        <v>1.11435</v>
      </c>
      <c r="Z27" s="21">
        <v>12.1677</v>
      </c>
      <c r="AA27" s="24">
        <v>-9.9792499999999994E-6</v>
      </c>
      <c r="AB27" s="21">
        <v>17</v>
      </c>
      <c r="AC27" s="21">
        <v>1.1135900000000001</v>
      </c>
      <c r="AD27">
        <f t="shared" si="4"/>
        <v>1.232006172839506E-2</v>
      </c>
      <c r="AE27">
        <f t="shared" si="5"/>
        <v>1.3728860787037033E-2</v>
      </c>
      <c r="AF27" s="9"/>
      <c r="AG27" s="21">
        <v>-1.43433E-2</v>
      </c>
      <c r="AH27" s="21">
        <v>14.788399999999999</v>
      </c>
      <c r="AI27" s="24">
        <v>-6.1920200000000004E-5</v>
      </c>
      <c r="AJ27" s="21">
        <v>17</v>
      </c>
      <c r="AK27" s="21">
        <v>-1.4572099999999999E-2</v>
      </c>
      <c r="AL27">
        <f t="shared" si="6"/>
        <v>7.6444691358024688E-2</v>
      </c>
      <c r="AM27">
        <f t="shared" si="7"/>
        <v>-1.0964691415555556E-3</v>
      </c>
      <c r="AP27" s="9"/>
      <c r="AQ27" s="21">
        <v>1.11435</v>
      </c>
      <c r="AR27" s="21">
        <v>19.090900000000001</v>
      </c>
      <c r="AS27" s="24">
        <v>-1.18408E-5</v>
      </c>
      <c r="AT27" s="21">
        <v>17</v>
      </c>
      <c r="AU27" s="21">
        <v>1.1135900000000001</v>
      </c>
      <c r="AV27">
        <f t="shared" si="8"/>
        <v>1.461827160493827E-2</v>
      </c>
      <c r="AW27">
        <f t="shared" si="9"/>
        <v>1.6289870962962961E-2</v>
      </c>
      <c r="AX27" s="9"/>
      <c r="AY27" s="21">
        <v>-1.43433E-2</v>
      </c>
      <c r="AZ27" s="21">
        <v>21.711600000000001</v>
      </c>
      <c r="BA27" s="24">
        <v>-6.0119599999999999E-5</v>
      </c>
      <c r="BB27" s="21">
        <v>17</v>
      </c>
      <c r="BC27" s="21">
        <v>-1.4578199999999999E-2</v>
      </c>
      <c r="BD27">
        <f t="shared" si="10"/>
        <v>7.422172839506172E-2</v>
      </c>
      <c r="BE27">
        <f t="shared" si="11"/>
        <v>-1.0645845168888888E-3</v>
      </c>
      <c r="BH27" s="9"/>
      <c r="BI27" s="21"/>
      <c r="BJ27" s="21"/>
      <c r="BK27" s="21"/>
      <c r="BL27" s="21"/>
      <c r="BM27" s="21"/>
      <c r="BP27" s="9"/>
      <c r="BQ27" s="21"/>
      <c r="BR27" s="21"/>
      <c r="BS27" s="21"/>
      <c r="BT27" s="21"/>
      <c r="BU27" s="21"/>
      <c r="BZ27" s="9"/>
      <c r="CA27" s="21"/>
      <c r="CB27" s="21"/>
      <c r="CC27" s="21"/>
      <c r="CD27" s="21"/>
      <c r="CE27" s="21"/>
      <c r="CH27" s="9"/>
      <c r="CI27" s="21"/>
      <c r="CJ27" s="21"/>
      <c r="CK27" s="21"/>
      <c r="CL27" s="21"/>
      <c r="CM27" s="21"/>
      <c r="CR27" s="9"/>
      <c r="CS27" s="21"/>
      <c r="CT27" s="21"/>
      <c r="CU27" s="21"/>
      <c r="CV27" s="21"/>
      <c r="CW27" s="21"/>
      <c r="CZ27" s="9"/>
      <c r="DA27" s="21"/>
      <c r="DB27" s="21"/>
      <c r="DC27" s="21"/>
      <c r="DD27" s="21"/>
      <c r="DE27" s="21"/>
      <c r="DJ27" s="9"/>
      <c r="DK27" s="21"/>
      <c r="DL27" s="21"/>
      <c r="DM27" s="21"/>
      <c r="DN27" s="21"/>
      <c r="DO27" s="21"/>
      <c r="DR27" s="9"/>
      <c r="DS27" s="21"/>
      <c r="DT27" s="21"/>
      <c r="DU27" s="21"/>
      <c r="DV27" s="21"/>
      <c r="DW27" s="21"/>
      <c r="EB27" s="9"/>
      <c r="EC27" s="21"/>
      <c r="ED27" s="21"/>
      <c r="EE27" s="21"/>
      <c r="EF27" s="21"/>
      <c r="EG27" s="21"/>
      <c r="EJ27" s="9"/>
      <c r="EK27" s="21"/>
      <c r="EL27" s="21"/>
      <c r="EM27" s="21"/>
      <c r="EN27" s="21"/>
      <c r="EO27" s="21"/>
      <c r="ES27" s="9"/>
      <c r="ET27" s="21"/>
      <c r="EU27" s="21"/>
      <c r="EV27" s="21"/>
      <c r="EW27" s="21"/>
      <c r="EX27" s="21"/>
      <c r="FA27" s="9"/>
      <c r="FB27" s="21"/>
      <c r="FC27" s="21"/>
      <c r="FD27" s="21"/>
      <c r="FE27" s="21"/>
      <c r="FF27" s="21"/>
    </row>
    <row r="28" spans="1:162" x14ac:dyDescent="0.25">
      <c r="F28" s="9"/>
      <c r="G28" s="21">
        <v>1.10931</v>
      </c>
      <c r="H28" s="21">
        <v>5.1966000000000001</v>
      </c>
      <c r="I28" s="24">
        <v>-5.4321299999999996E-6</v>
      </c>
      <c r="J28" s="21">
        <v>18</v>
      </c>
      <c r="K28" s="21">
        <v>1.1090100000000001</v>
      </c>
      <c r="L28">
        <f t="shared" si="0"/>
        <v>6.7063333333333324E-3</v>
      </c>
      <c r="M28">
        <f t="shared" si="1"/>
        <v>7.4394026299999987E-3</v>
      </c>
      <c r="N28" s="9"/>
      <c r="O28" s="21">
        <v>-9.3078599999999994E-3</v>
      </c>
      <c r="P28" s="21">
        <v>7.8173399999999997</v>
      </c>
      <c r="Q28" s="24">
        <v>-6.57043E-5</v>
      </c>
      <c r="R28" s="21">
        <v>18</v>
      </c>
      <c r="S28" s="21">
        <v>-9.5153800000000004E-3</v>
      </c>
      <c r="T28">
        <f t="shared" si="2"/>
        <v>8.1116419753086422E-2</v>
      </c>
      <c r="U28">
        <f t="shared" si="3"/>
        <v>-7.5502027876296293E-4</v>
      </c>
      <c r="X28" s="9"/>
      <c r="Y28" s="21">
        <v>1.10931</v>
      </c>
      <c r="Z28" s="21">
        <v>12.1778</v>
      </c>
      <c r="AA28" s="24">
        <v>-1.1383099999999999E-5</v>
      </c>
      <c r="AB28" s="21">
        <v>18</v>
      </c>
      <c r="AC28" s="21">
        <v>1.1087</v>
      </c>
      <c r="AD28">
        <f t="shared" si="4"/>
        <v>1.4053209876543208E-2</v>
      </c>
      <c r="AE28">
        <f t="shared" si="5"/>
        <v>1.5589366248148146E-2</v>
      </c>
      <c r="AF28" s="9"/>
      <c r="AG28" s="21">
        <v>-9.3078599999999994E-3</v>
      </c>
      <c r="AH28" s="21">
        <v>14.798500000000001</v>
      </c>
      <c r="AI28" s="24">
        <v>-6.1675999999999997E-5</v>
      </c>
      <c r="AJ28" s="21">
        <v>18</v>
      </c>
      <c r="AK28" s="21">
        <v>-9.5062299999999992E-3</v>
      </c>
      <c r="AL28">
        <f t="shared" si="6"/>
        <v>7.6143209876543202E-2</v>
      </c>
      <c r="AM28">
        <f t="shared" si="7"/>
        <v>-7.0873033748148132E-4</v>
      </c>
      <c r="AP28" s="9"/>
      <c r="AQ28" s="21">
        <v>1.10931</v>
      </c>
      <c r="AR28" s="21">
        <v>19.100999999999999</v>
      </c>
      <c r="AS28" s="24">
        <v>-1.28174E-5</v>
      </c>
      <c r="AT28" s="21">
        <v>18</v>
      </c>
      <c r="AU28" s="21">
        <v>1.10809</v>
      </c>
      <c r="AV28">
        <f t="shared" si="8"/>
        <v>1.5823950617283949E-2</v>
      </c>
      <c r="AW28">
        <f t="shared" si="9"/>
        <v>1.7553666659259257E-2</v>
      </c>
      <c r="AX28" s="9"/>
      <c r="AY28" s="21">
        <v>-9.3078599999999994E-3</v>
      </c>
      <c r="AZ28" s="21">
        <v>21.721699999999998</v>
      </c>
      <c r="BA28" s="24">
        <v>-5.9845E-5</v>
      </c>
      <c r="BB28" s="21">
        <v>18</v>
      </c>
      <c r="BC28" s="21">
        <v>-9.5367400000000001E-3</v>
      </c>
      <c r="BD28">
        <f t="shared" si="10"/>
        <v>7.3882716049382707E-2</v>
      </c>
      <c r="BE28">
        <f t="shared" si="11"/>
        <v>-6.876899774074073E-4</v>
      </c>
      <c r="BH28" s="9"/>
      <c r="BI28" s="21"/>
      <c r="BJ28" s="21"/>
      <c r="BK28" s="21"/>
      <c r="BL28" s="21"/>
      <c r="BM28" s="21"/>
      <c r="BP28" s="9"/>
      <c r="BQ28" s="21"/>
      <c r="BR28" s="21"/>
      <c r="BS28" s="21"/>
      <c r="BT28" s="21"/>
      <c r="BU28" s="21"/>
      <c r="BZ28" s="9"/>
      <c r="CA28" s="21"/>
      <c r="CB28" s="21"/>
      <c r="CC28" s="21"/>
      <c r="CD28" s="21"/>
      <c r="CE28" s="21"/>
      <c r="CH28" s="9"/>
      <c r="CI28" s="21"/>
      <c r="CJ28" s="21"/>
      <c r="CK28" s="21"/>
      <c r="CL28" s="21"/>
      <c r="CM28" s="21"/>
      <c r="CR28" s="9"/>
      <c r="CS28" s="21"/>
      <c r="CT28" s="21"/>
      <c r="CU28" s="21"/>
      <c r="CV28" s="21"/>
      <c r="CW28" s="21"/>
      <c r="CZ28" s="9"/>
      <c r="DA28" s="21"/>
      <c r="DB28" s="21"/>
      <c r="DC28" s="21"/>
      <c r="DD28" s="21"/>
      <c r="DE28" s="21"/>
      <c r="DJ28" s="9"/>
      <c r="DK28" s="21"/>
      <c r="DL28" s="21"/>
      <c r="DM28" s="21"/>
      <c r="DN28" s="21"/>
      <c r="DO28" s="21"/>
      <c r="DR28" s="9"/>
      <c r="DS28" s="21"/>
      <c r="DT28" s="21"/>
      <c r="DU28" s="21"/>
      <c r="DV28" s="21"/>
      <c r="DW28" s="21"/>
      <c r="EB28" s="9"/>
      <c r="EC28" s="21"/>
      <c r="ED28" s="21"/>
      <c r="EE28" s="21"/>
      <c r="EF28" s="21"/>
      <c r="EG28" s="21"/>
      <c r="EJ28" s="9"/>
      <c r="EK28" s="21"/>
      <c r="EL28" s="21"/>
      <c r="EM28" s="21"/>
      <c r="EN28" s="21"/>
      <c r="EO28" s="21"/>
      <c r="ES28" s="9"/>
      <c r="ET28" s="21"/>
      <c r="EU28" s="21"/>
      <c r="EV28" s="21"/>
      <c r="EW28" s="21"/>
      <c r="EX28" s="21"/>
      <c r="FA28" s="9"/>
      <c r="FB28" s="21"/>
      <c r="FC28" s="21"/>
      <c r="FD28" s="21"/>
      <c r="FE28" s="21"/>
      <c r="FF28" s="21"/>
    </row>
    <row r="29" spans="1:162" x14ac:dyDescent="0.25">
      <c r="F29" s="9"/>
      <c r="G29" s="21">
        <v>1.1042799999999999</v>
      </c>
      <c r="H29" s="21">
        <v>5.2066699999999999</v>
      </c>
      <c r="I29" s="24">
        <v>-6.5918000000000001E-6</v>
      </c>
      <c r="J29" s="21">
        <v>19</v>
      </c>
      <c r="K29" s="21">
        <v>1.1029100000000001</v>
      </c>
      <c r="L29">
        <f t="shared" si="0"/>
        <v>8.1380246913580236E-3</v>
      </c>
      <c r="M29">
        <f t="shared" si="1"/>
        <v>8.9866579061728385E-3</v>
      </c>
      <c r="N29" s="9"/>
      <c r="O29" s="21">
        <v>-4.2724599999999996E-3</v>
      </c>
      <c r="P29" s="21">
        <v>7.8274100000000004</v>
      </c>
      <c r="Q29" s="24">
        <v>-6.5368699999999996E-5</v>
      </c>
      <c r="R29" s="21">
        <v>19</v>
      </c>
      <c r="S29" s="21">
        <v>-4.4952400000000002E-3</v>
      </c>
      <c r="T29">
        <f t="shared" si="2"/>
        <v>8.0702098765432093E-2</v>
      </c>
      <c r="U29">
        <f t="shared" si="3"/>
        <v>-3.4479648889135798E-4</v>
      </c>
      <c r="X29" s="9"/>
      <c r="Y29" s="21">
        <v>1.1042799999999999</v>
      </c>
      <c r="Z29" s="21">
        <v>12.187799999999999</v>
      </c>
      <c r="AA29" s="24">
        <v>-1.26038E-5</v>
      </c>
      <c r="AB29" s="21">
        <v>19</v>
      </c>
      <c r="AC29" s="21">
        <v>1.1035200000000001</v>
      </c>
      <c r="AD29">
        <f t="shared" si="4"/>
        <v>1.5560246913580246E-2</v>
      </c>
      <c r="AE29">
        <f t="shared" si="5"/>
        <v>1.7182869461728392E-2</v>
      </c>
      <c r="AF29" s="9"/>
      <c r="AG29" s="21">
        <v>-4.2724599999999996E-3</v>
      </c>
      <c r="AH29" s="21">
        <v>14.8086</v>
      </c>
      <c r="AI29" s="24">
        <v>-6.1431899999999997E-5</v>
      </c>
      <c r="AJ29" s="21">
        <v>19</v>
      </c>
      <c r="AK29" s="21">
        <v>-4.4677700000000002E-3</v>
      </c>
      <c r="AL29">
        <f t="shared" si="6"/>
        <v>7.5841851851851841E-2</v>
      </c>
      <c r="AM29">
        <f t="shared" si="7"/>
        <v>-3.240312783629629E-4</v>
      </c>
      <c r="AP29" s="9"/>
      <c r="AQ29" s="21">
        <v>1.1042799999999999</v>
      </c>
      <c r="AR29" s="21">
        <v>19.111000000000001</v>
      </c>
      <c r="AS29" s="24">
        <v>-1.37939E-5</v>
      </c>
      <c r="AT29" s="21">
        <v>19</v>
      </c>
      <c r="AU29" s="21">
        <v>1.1029100000000001</v>
      </c>
      <c r="AV29">
        <f t="shared" si="8"/>
        <v>1.7029506172839506E-2</v>
      </c>
      <c r="AW29">
        <f t="shared" si="9"/>
        <v>1.8805343076543208E-2</v>
      </c>
      <c r="AX29" s="9"/>
      <c r="AY29" s="21">
        <v>-4.2724599999999996E-3</v>
      </c>
      <c r="AZ29" s="21">
        <v>21.7318</v>
      </c>
      <c r="BA29" s="24">
        <v>-5.9448199999999998E-5</v>
      </c>
      <c r="BB29" s="21">
        <v>19</v>
      </c>
      <c r="BC29" s="21">
        <v>-4.4860799999999999E-3</v>
      </c>
      <c r="BD29">
        <f t="shared" si="10"/>
        <v>7.3392839506172841E-2</v>
      </c>
      <c r="BE29">
        <f t="shared" si="11"/>
        <v>-3.1356797107654318E-4</v>
      </c>
      <c r="BH29" s="9"/>
      <c r="BI29" s="21"/>
      <c r="BJ29" s="21"/>
      <c r="BK29" s="21"/>
      <c r="BL29" s="21"/>
      <c r="BM29" s="21"/>
      <c r="BP29" s="9"/>
      <c r="BQ29" s="21"/>
      <c r="BR29" s="21"/>
      <c r="BS29" s="21"/>
      <c r="BT29" s="21"/>
      <c r="BU29" s="21"/>
      <c r="BZ29" s="9"/>
      <c r="CA29" s="21"/>
      <c r="CB29" s="21"/>
      <c r="CC29" s="21"/>
      <c r="CD29" s="21"/>
      <c r="CE29" s="21"/>
      <c r="CH29" s="9"/>
      <c r="CI29" s="21"/>
      <c r="CJ29" s="21"/>
      <c r="CK29" s="21"/>
      <c r="CL29" s="21"/>
      <c r="CM29" s="21"/>
      <c r="CR29" s="9"/>
      <c r="CS29" s="21"/>
      <c r="CT29" s="21"/>
      <c r="CU29" s="21"/>
      <c r="CV29" s="21"/>
      <c r="CW29" s="21"/>
      <c r="CZ29" s="9"/>
      <c r="DA29" s="21"/>
      <c r="DB29" s="21"/>
      <c r="DC29" s="21"/>
      <c r="DD29" s="21"/>
      <c r="DE29" s="21"/>
      <c r="DJ29" s="9"/>
      <c r="DK29" s="21"/>
      <c r="DL29" s="21"/>
      <c r="DM29" s="21"/>
      <c r="DN29" s="21"/>
      <c r="DO29" s="21"/>
      <c r="DR29" s="9"/>
      <c r="DS29" s="21"/>
      <c r="DT29" s="21"/>
      <c r="DU29" s="21"/>
      <c r="DV29" s="21"/>
      <c r="DW29" s="21"/>
      <c r="EB29" s="9"/>
      <c r="EC29" s="21"/>
      <c r="ED29" s="21"/>
      <c r="EE29" s="21"/>
      <c r="EF29" s="21"/>
      <c r="EG29" s="21"/>
      <c r="EJ29" s="9"/>
      <c r="EK29" s="21"/>
      <c r="EL29" s="21"/>
      <c r="EM29" s="21"/>
      <c r="EN29" s="21"/>
      <c r="EO29" s="21"/>
      <c r="ES29" s="9"/>
      <c r="ET29" s="21"/>
      <c r="EU29" s="21"/>
      <c r="EV29" s="21"/>
      <c r="EW29" s="21"/>
      <c r="EX29" s="21"/>
      <c r="FA29" s="9"/>
      <c r="FB29" s="21"/>
      <c r="FC29" s="21"/>
      <c r="FD29" s="21"/>
      <c r="FE29" s="21"/>
      <c r="FF29" s="21"/>
    </row>
    <row r="30" spans="1:162" x14ac:dyDescent="0.25">
      <c r="F30" s="9"/>
      <c r="G30" s="21">
        <v>1.09924</v>
      </c>
      <c r="H30" s="21">
        <v>5.2167399999999997</v>
      </c>
      <c r="I30" s="24">
        <v>-7.6904300000000005E-6</v>
      </c>
      <c r="J30" s="21">
        <v>20</v>
      </c>
      <c r="K30" s="21">
        <v>1.09863</v>
      </c>
      <c r="L30">
        <f t="shared" si="0"/>
        <v>9.494358024691358E-3</v>
      </c>
      <c r="M30">
        <f t="shared" si="1"/>
        <v>1.0436578115061728E-2</v>
      </c>
      <c r="N30" s="9"/>
      <c r="O30" s="21">
        <v>7.6293900000000002E-4</v>
      </c>
      <c r="P30" s="21">
        <v>7.8374800000000002</v>
      </c>
      <c r="Q30" s="24">
        <v>-6.5093999999999997E-5</v>
      </c>
      <c r="R30" s="21">
        <v>20</v>
      </c>
      <c r="S30" s="21">
        <v>6.1645500000000002E-4</v>
      </c>
      <c r="T30">
        <f t="shared" si="2"/>
        <v>8.0362962962962955E-2</v>
      </c>
      <c r="U30">
        <f t="shared" si="3"/>
        <v>6.1312038599999999E-5</v>
      </c>
      <c r="X30" s="9"/>
      <c r="Y30" s="21">
        <v>1.09924</v>
      </c>
      <c r="Z30" s="21">
        <v>12.197900000000001</v>
      </c>
      <c r="AA30" s="24">
        <v>-1.3275099999999999E-5</v>
      </c>
      <c r="AB30" s="21">
        <v>20</v>
      </c>
      <c r="AC30" s="21">
        <v>1.09833</v>
      </c>
      <c r="AD30">
        <f t="shared" si="4"/>
        <v>1.6389012345679008E-2</v>
      </c>
      <c r="AE30">
        <f t="shared" si="5"/>
        <v>1.8015457930864193E-2</v>
      </c>
      <c r="AF30" s="9"/>
      <c r="AG30" s="21">
        <v>7.6293900000000002E-4</v>
      </c>
      <c r="AH30" s="21">
        <v>14.8187</v>
      </c>
      <c r="AI30" s="24">
        <v>-6.1248799999999995E-5</v>
      </c>
      <c r="AJ30" s="21">
        <v>20</v>
      </c>
      <c r="AK30" s="21">
        <v>6.2255899999999996E-4</v>
      </c>
      <c r="AL30">
        <f t="shared" si="6"/>
        <v>7.5615802469135796E-2</v>
      </c>
      <c r="AM30">
        <f t="shared" si="7"/>
        <v>5.7690244719999993E-5</v>
      </c>
      <c r="AP30" s="9"/>
      <c r="AQ30" s="21">
        <v>1.09924</v>
      </c>
      <c r="AR30" s="21">
        <v>19.121099999999998</v>
      </c>
      <c r="AS30" s="24">
        <v>-1.4617899999999999E-5</v>
      </c>
      <c r="AT30" s="21">
        <v>20</v>
      </c>
      <c r="AU30" s="21">
        <v>1.09863</v>
      </c>
      <c r="AV30">
        <f t="shared" si="8"/>
        <v>1.8046790123456787E-2</v>
      </c>
      <c r="AW30">
        <f t="shared" si="9"/>
        <v>1.9837753575308637E-2</v>
      </c>
      <c r="AX30" s="9"/>
      <c r="AY30" s="21">
        <v>7.6293900000000002E-4</v>
      </c>
      <c r="AZ30" s="21">
        <v>21.741800000000001</v>
      </c>
      <c r="BA30" s="24">
        <v>-5.9234599999999997E-5</v>
      </c>
      <c r="BB30" s="21">
        <v>20</v>
      </c>
      <c r="BC30" s="21">
        <v>6.0119600000000002E-4</v>
      </c>
      <c r="BD30">
        <f t="shared" si="10"/>
        <v>7.3129135802469117E-2</v>
      </c>
      <c r="BE30">
        <f t="shared" si="11"/>
        <v>5.5793069739999988E-5</v>
      </c>
      <c r="BH30" s="9"/>
      <c r="BI30" s="21"/>
      <c r="BJ30" s="21"/>
      <c r="BK30" s="21"/>
      <c r="BL30" s="21"/>
      <c r="BM30" s="21"/>
      <c r="BP30" s="9"/>
      <c r="BQ30" s="21"/>
      <c r="BR30" s="21"/>
      <c r="BS30" s="21"/>
      <c r="BT30" s="21"/>
      <c r="BU30" s="21"/>
      <c r="BZ30" s="9"/>
      <c r="CA30" s="21"/>
      <c r="CB30" s="21"/>
      <c r="CC30" s="21"/>
      <c r="CD30" s="21"/>
      <c r="CE30" s="21"/>
      <c r="CH30" s="9"/>
      <c r="CI30" s="21"/>
      <c r="CJ30" s="21"/>
      <c r="CK30" s="21"/>
      <c r="CL30" s="21"/>
      <c r="CM30" s="21"/>
      <c r="CR30" s="9"/>
      <c r="CS30" s="21"/>
      <c r="CT30" s="21"/>
      <c r="CU30" s="21"/>
      <c r="CV30" s="21"/>
      <c r="CW30" s="21"/>
      <c r="CZ30" s="9"/>
      <c r="DA30" s="21"/>
      <c r="DB30" s="21"/>
      <c r="DC30" s="21"/>
      <c r="DD30" s="21"/>
      <c r="DE30" s="21"/>
      <c r="DJ30" s="9"/>
      <c r="DK30" s="21"/>
      <c r="DL30" s="21"/>
      <c r="DM30" s="21"/>
      <c r="DN30" s="21"/>
      <c r="DO30" s="21"/>
      <c r="DR30" s="9"/>
      <c r="DS30" s="21"/>
      <c r="DT30" s="21"/>
      <c r="DU30" s="21"/>
      <c r="DV30" s="21"/>
      <c r="DW30" s="21"/>
      <c r="EB30" s="9"/>
      <c r="EC30" s="21"/>
      <c r="ED30" s="21"/>
      <c r="EE30" s="21"/>
      <c r="EF30" s="21"/>
      <c r="EG30" s="21"/>
      <c r="EJ30" s="9"/>
      <c r="EK30" s="21"/>
      <c r="EL30" s="21"/>
      <c r="EM30" s="21"/>
      <c r="EN30" s="21"/>
      <c r="EO30" s="21"/>
      <c r="ES30" s="9"/>
      <c r="ET30" s="21"/>
      <c r="EU30" s="21"/>
      <c r="EV30" s="21"/>
      <c r="EW30" s="21"/>
      <c r="EX30" s="21"/>
      <c r="FA30" s="9"/>
      <c r="FB30" s="21"/>
      <c r="FC30" s="21"/>
      <c r="FD30" s="21"/>
      <c r="FE30" s="21"/>
      <c r="FF30" s="21"/>
    </row>
    <row r="31" spans="1:162" x14ac:dyDescent="0.25">
      <c r="F31" s="9"/>
      <c r="G31" s="21">
        <v>1.0942099999999999</v>
      </c>
      <c r="H31" s="21">
        <v>5.2268100000000004</v>
      </c>
      <c r="I31" s="24">
        <v>-9.0637200000000007E-6</v>
      </c>
      <c r="J31" s="21">
        <v>21</v>
      </c>
      <c r="K31" s="21">
        <v>1.09375</v>
      </c>
      <c r="L31">
        <f t="shared" si="0"/>
        <v>1.1189777777777778E-2</v>
      </c>
      <c r="M31">
        <f t="shared" si="1"/>
        <v>1.2243966742222221E-2</v>
      </c>
      <c r="N31" s="9"/>
      <c r="O31" s="21">
        <v>5.7983399999999999E-3</v>
      </c>
      <c r="P31" s="21">
        <v>7.84755</v>
      </c>
      <c r="Q31" s="24">
        <v>-6.4697300000000001E-5</v>
      </c>
      <c r="R31" s="21">
        <v>21</v>
      </c>
      <c r="S31" s="21">
        <v>5.6091300000000004E-3</v>
      </c>
      <c r="T31">
        <f t="shared" si="2"/>
        <v>7.98732098765432E-2</v>
      </c>
      <c r="U31">
        <f t="shared" si="3"/>
        <v>4.631320277555555E-4</v>
      </c>
      <c r="X31" s="9"/>
      <c r="Y31" s="21">
        <v>1.0942099999999999</v>
      </c>
      <c r="Z31" s="21">
        <v>12.208</v>
      </c>
      <c r="AA31" s="24">
        <v>-1.42822E-5</v>
      </c>
      <c r="AB31" s="21">
        <v>21</v>
      </c>
      <c r="AC31" s="21">
        <v>1.09344</v>
      </c>
      <c r="AD31">
        <f t="shared" si="4"/>
        <v>1.7632345679012344E-2</v>
      </c>
      <c r="AE31">
        <f t="shared" si="5"/>
        <v>1.9293488965432096E-2</v>
      </c>
      <c r="AF31" s="9"/>
      <c r="AG31" s="21">
        <v>5.7983399999999999E-3</v>
      </c>
      <c r="AH31" s="21">
        <v>14.8287</v>
      </c>
      <c r="AI31" s="24">
        <v>-6.0913099999999998E-5</v>
      </c>
      <c r="AJ31" s="21">
        <v>21</v>
      </c>
      <c r="AK31" s="21">
        <v>5.6457499999999997E-3</v>
      </c>
      <c r="AL31">
        <f t="shared" si="6"/>
        <v>7.5201358024691356E-2</v>
      </c>
      <c r="AM31">
        <f t="shared" si="7"/>
        <v>4.3604304228888886E-4</v>
      </c>
      <c r="AP31" s="9"/>
      <c r="AQ31" s="21">
        <v>1.0942099999999999</v>
      </c>
      <c r="AR31" s="21">
        <v>19.1312</v>
      </c>
      <c r="AS31" s="24">
        <v>-1.5289299999999999E-5</v>
      </c>
      <c r="AT31" s="21">
        <v>21</v>
      </c>
      <c r="AU31" s="21">
        <v>1.09344</v>
      </c>
      <c r="AV31">
        <f t="shared" si="8"/>
        <v>1.8875679012345676E-2</v>
      </c>
      <c r="AW31">
        <f t="shared" si="9"/>
        <v>2.0653956732098761E-2</v>
      </c>
      <c r="AX31" s="9"/>
      <c r="AY31" s="21">
        <v>5.7983399999999999E-3</v>
      </c>
      <c r="AZ31" s="21">
        <v>21.751899999999999</v>
      </c>
      <c r="BA31" s="24">
        <v>-5.8959999999999998E-5</v>
      </c>
      <c r="BB31" s="21">
        <v>21</v>
      </c>
      <c r="BC31" s="21">
        <v>5.6304900000000001E-3</v>
      </c>
      <c r="BD31">
        <f t="shared" si="10"/>
        <v>7.2790123456790118E-2</v>
      </c>
      <c r="BE31">
        <f t="shared" si="11"/>
        <v>4.2206188444444438E-4</v>
      </c>
      <c r="BH31" s="9"/>
      <c r="BI31" s="21"/>
      <c r="BJ31" s="21"/>
      <c r="BK31" s="21"/>
      <c r="BL31" s="21"/>
      <c r="BM31" s="21"/>
      <c r="BP31" s="9"/>
      <c r="BQ31" s="21"/>
      <c r="BR31" s="21"/>
      <c r="BS31" s="21"/>
      <c r="BT31" s="21"/>
      <c r="BU31" s="21"/>
      <c r="BZ31" s="9"/>
      <c r="CA31" s="21"/>
      <c r="CB31" s="21"/>
      <c r="CC31" s="21"/>
      <c r="CD31" s="21"/>
      <c r="CE31" s="21"/>
      <c r="CH31" s="9"/>
      <c r="CI31" s="21"/>
      <c r="CJ31" s="21"/>
      <c r="CK31" s="21"/>
      <c r="CL31" s="21"/>
      <c r="CM31" s="21"/>
      <c r="CR31" s="9"/>
      <c r="CS31" s="21"/>
      <c r="CT31" s="21"/>
      <c r="CU31" s="21"/>
      <c r="CV31" s="21"/>
      <c r="CW31" s="21"/>
      <c r="CZ31" s="9"/>
      <c r="DA31" s="21"/>
      <c r="DB31" s="21"/>
      <c r="DC31" s="21"/>
      <c r="DD31" s="21"/>
      <c r="DE31" s="21"/>
      <c r="DJ31" s="9"/>
      <c r="DK31" s="21"/>
      <c r="DL31" s="21"/>
      <c r="DM31" s="21"/>
      <c r="DN31" s="21"/>
      <c r="DO31" s="21"/>
      <c r="DR31" s="9"/>
      <c r="DS31" s="21"/>
      <c r="DT31" s="21"/>
      <c r="DU31" s="21"/>
      <c r="DV31" s="21"/>
      <c r="DW31" s="21"/>
      <c r="EB31" s="9"/>
      <c r="EC31" s="21"/>
      <c r="ED31" s="21"/>
      <c r="EE31" s="21"/>
      <c r="EF31" s="21"/>
      <c r="EG31" s="21"/>
      <c r="EJ31" s="9"/>
      <c r="EK31" s="21"/>
      <c r="EL31" s="21"/>
      <c r="EM31" s="21"/>
      <c r="EN31" s="21"/>
      <c r="EO31" s="21"/>
      <c r="ES31" s="9"/>
      <c r="ET31" s="21"/>
      <c r="EU31" s="21"/>
      <c r="EV31" s="21"/>
      <c r="EW31" s="21"/>
      <c r="EX31" s="21"/>
      <c r="FA31" s="9"/>
      <c r="FB31" s="21"/>
      <c r="FC31" s="21"/>
      <c r="FD31" s="21"/>
      <c r="FE31" s="21"/>
      <c r="FF31" s="21"/>
    </row>
    <row r="32" spans="1:162" x14ac:dyDescent="0.25">
      <c r="F32" s="9"/>
      <c r="G32" s="21">
        <v>1.08917</v>
      </c>
      <c r="H32" s="21">
        <v>5.2368800000000002</v>
      </c>
      <c r="I32" s="24">
        <v>-1.0284399999999999E-5</v>
      </c>
      <c r="J32" s="21">
        <v>22</v>
      </c>
      <c r="K32" s="21">
        <v>1.08765</v>
      </c>
      <c r="L32">
        <f t="shared" si="0"/>
        <v>1.2696790123456788E-2</v>
      </c>
      <c r="M32">
        <f t="shared" si="1"/>
        <v>1.3828962898765429E-2</v>
      </c>
      <c r="N32" s="9"/>
      <c r="O32" s="21">
        <v>1.08337E-2</v>
      </c>
      <c r="P32" s="21">
        <v>7.8576199999999998</v>
      </c>
      <c r="Q32" s="24">
        <v>-6.4422600000000002E-5</v>
      </c>
      <c r="R32" s="21">
        <v>22</v>
      </c>
      <c r="S32" s="21">
        <v>1.0711699999999999E-2</v>
      </c>
      <c r="T32">
        <f t="shared" si="2"/>
        <v>7.9534074074074063E-2</v>
      </c>
      <c r="U32">
        <f t="shared" si="3"/>
        <v>8.6164829829629621E-4</v>
      </c>
      <c r="X32" s="9"/>
      <c r="Y32" s="21">
        <v>1.08917</v>
      </c>
      <c r="Z32" s="21">
        <v>12.2181</v>
      </c>
      <c r="AA32" s="24">
        <v>-1.5350300000000001E-5</v>
      </c>
      <c r="AB32" s="21">
        <v>22</v>
      </c>
      <c r="AC32" s="21">
        <v>1.08856</v>
      </c>
      <c r="AD32">
        <f t="shared" si="4"/>
        <v>1.8950987654320989E-2</v>
      </c>
      <c r="AE32">
        <f t="shared" si="5"/>
        <v>2.0640847223456792E-2</v>
      </c>
      <c r="AF32" s="9"/>
      <c r="AG32" s="21">
        <v>1.08337E-2</v>
      </c>
      <c r="AH32" s="21">
        <v>14.838800000000001</v>
      </c>
      <c r="AI32" s="24">
        <v>-6.06079E-5</v>
      </c>
      <c r="AJ32" s="21">
        <v>22</v>
      </c>
      <c r="AK32" s="21">
        <v>1.06873E-2</v>
      </c>
      <c r="AL32">
        <f t="shared" si="6"/>
        <v>7.4824567901234554E-2</v>
      </c>
      <c r="AM32">
        <f t="shared" si="7"/>
        <v>8.1062692127160474E-4</v>
      </c>
      <c r="AP32" s="9"/>
      <c r="AQ32" s="21">
        <v>1.08917</v>
      </c>
      <c r="AR32" s="21">
        <v>19.141200000000001</v>
      </c>
      <c r="AS32" s="24">
        <v>-1.63574E-5</v>
      </c>
      <c r="AT32" s="21">
        <v>22</v>
      </c>
      <c r="AU32" s="21">
        <v>1.08856</v>
      </c>
      <c r="AV32">
        <f t="shared" si="8"/>
        <v>2.0194320987654321E-2</v>
      </c>
      <c r="AW32">
        <f t="shared" si="9"/>
        <v>2.1995048590123457E-2</v>
      </c>
      <c r="AX32" s="9"/>
      <c r="AY32" s="21">
        <v>1.08337E-2</v>
      </c>
      <c r="AZ32" s="21">
        <v>21.762</v>
      </c>
      <c r="BA32" s="24">
        <v>-5.8807400000000002E-5</v>
      </c>
      <c r="BB32" s="21">
        <v>22</v>
      </c>
      <c r="BC32" s="21">
        <v>1.06567E-2</v>
      </c>
      <c r="BD32">
        <f t="shared" si="10"/>
        <v>7.2601728395061724E-2</v>
      </c>
      <c r="BE32">
        <f t="shared" si="11"/>
        <v>7.8654534491358016E-4</v>
      </c>
      <c r="BH32" s="9"/>
      <c r="BI32" s="21"/>
      <c r="BJ32" s="21"/>
      <c r="BK32" s="21"/>
      <c r="BL32" s="21"/>
      <c r="BM32" s="21"/>
      <c r="BP32" s="9"/>
      <c r="BQ32" s="21"/>
      <c r="BR32" s="21"/>
      <c r="BS32" s="21"/>
      <c r="BT32" s="21"/>
      <c r="BU32" s="21"/>
      <c r="BZ32" s="9"/>
      <c r="CA32" s="21"/>
      <c r="CB32" s="21"/>
      <c r="CC32" s="21"/>
      <c r="CD32" s="21"/>
      <c r="CE32" s="21"/>
      <c r="CH32" s="9"/>
      <c r="CI32" s="21"/>
      <c r="CJ32" s="21"/>
      <c r="CK32" s="21"/>
      <c r="CL32" s="21"/>
      <c r="CM32" s="21"/>
      <c r="CR32" s="9"/>
      <c r="CS32" s="21"/>
      <c r="CT32" s="21"/>
      <c r="CU32" s="21"/>
      <c r="CV32" s="21"/>
      <c r="CW32" s="21"/>
      <c r="CZ32" s="9"/>
      <c r="DA32" s="21"/>
      <c r="DB32" s="21"/>
      <c r="DC32" s="21"/>
      <c r="DD32" s="21"/>
      <c r="DE32" s="21"/>
      <c r="DJ32" s="9"/>
      <c r="DK32" s="21"/>
      <c r="DL32" s="21"/>
      <c r="DM32" s="21"/>
      <c r="DN32" s="21"/>
      <c r="DO32" s="21"/>
      <c r="DR32" s="9"/>
      <c r="DS32" s="21"/>
      <c r="DT32" s="21"/>
      <c r="DU32" s="21"/>
      <c r="DV32" s="21"/>
      <c r="DW32" s="21"/>
      <c r="EB32" s="9"/>
      <c r="EC32" s="21"/>
      <c r="ED32" s="21"/>
      <c r="EE32" s="21"/>
      <c r="EF32" s="21"/>
      <c r="EG32" s="21"/>
      <c r="EJ32" s="9"/>
      <c r="EK32" s="21"/>
      <c r="EL32" s="21"/>
      <c r="EM32" s="21"/>
      <c r="EN32" s="21"/>
      <c r="EO32" s="21"/>
      <c r="ES32" s="9"/>
      <c r="ET32" s="21"/>
      <c r="EU32" s="21"/>
      <c r="EV32" s="21"/>
      <c r="EW32" s="21"/>
      <c r="EX32" s="21"/>
      <c r="FA32" s="9"/>
      <c r="FB32" s="21"/>
      <c r="FC32" s="21"/>
      <c r="FD32" s="21"/>
      <c r="FE32" s="21"/>
      <c r="FF32" s="21"/>
    </row>
    <row r="33" spans="6:162" x14ac:dyDescent="0.25">
      <c r="F33" s="9"/>
      <c r="G33" s="21">
        <v>1.0841400000000001</v>
      </c>
      <c r="H33" s="21">
        <v>5.24695</v>
      </c>
      <c r="I33" s="24">
        <v>-1.1505099999999999E-5</v>
      </c>
      <c r="J33" s="21">
        <v>23</v>
      </c>
      <c r="K33" s="21">
        <v>1.0833699999999999</v>
      </c>
      <c r="L33">
        <f t="shared" si="0"/>
        <v>1.4203827160493825E-2</v>
      </c>
      <c r="M33">
        <f t="shared" si="1"/>
        <v>1.5398937177777777E-2</v>
      </c>
      <c r="N33" s="9"/>
      <c r="O33" s="21">
        <v>1.5869100000000001E-2</v>
      </c>
      <c r="P33" s="21">
        <v>7.8676899999999996</v>
      </c>
      <c r="Q33" s="24">
        <v>-6.3934299999999995E-5</v>
      </c>
      <c r="R33" s="21">
        <v>23</v>
      </c>
      <c r="S33" s="21">
        <v>1.5737899999999999E-2</v>
      </c>
      <c r="T33">
        <f t="shared" si="2"/>
        <v>7.8931234567901229E-2</v>
      </c>
      <c r="U33">
        <f t="shared" si="3"/>
        <v>1.2525676544814814E-3</v>
      </c>
      <c r="X33" s="9"/>
      <c r="Y33" s="21">
        <v>1.0841400000000001</v>
      </c>
      <c r="Z33" s="21">
        <v>12.2281</v>
      </c>
      <c r="AA33" s="24">
        <v>-1.62659E-5</v>
      </c>
      <c r="AB33" s="21">
        <v>23</v>
      </c>
      <c r="AC33" s="21">
        <v>1.0833699999999999</v>
      </c>
      <c r="AD33">
        <f t="shared" si="4"/>
        <v>2.0081358024691354E-2</v>
      </c>
      <c r="AE33">
        <f t="shared" si="5"/>
        <v>2.1771003488888885E-2</v>
      </c>
      <c r="AF33" s="9"/>
      <c r="AG33" s="21">
        <v>1.5869100000000001E-2</v>
      </c>
      <c r="AH33" s="21">
        <v>14.8489</v>
      </c>
      <c r="AI33" s="24">
        <v>-6.0455299999999997E-5</v>
      </c>
      <c r="AJ33" s="21">
        <v>23</v>
      </c>
      <c r="AK33" s="21">
        <v>1.5737899999999999E-2</v>
      </c>
      <c r="AL33">
        <f t="shared" si="6"/>
        <v>7.4636172839506174E-2</v>
      </c>
      <c r="AM33">
        <f t="shared" si="7"/>
        <v>1.1844088904074074E-3</v>
      </c>
      <c r="AP33" s="9"/>
      <c r="AQ33" s="21">
        <v>1.0841400000000001</v>
      </c>
      <c r="AR33" s="21">
        <v>19.151299999999999</v>
      </c>
      <c r="AS33" s="24">
        <v>-1.7272899999999999E-5</v>
      </c>
      <c r="AT33" s="21">
        <v>23</v>
      </c>
      <c r="AU33" s="21">
        <v>1.0839799999999999</v>
      </c>
      <c r="AV33">
        <f t="shared" si="8"/>
        <v>2.1324567901234565E-2</v>
      </c>
      <c r="AW33">
        <f t="shared" si="9"/>
        <v>2.3118817044444444E-2</v>
      </c>
      <c r="AX33" s="9"/>
      <c r="AY33" s="21">
        <v>1.5869100000000001E-2</v>
      </c>
      <c r="AZ33" s="21">
        <v>21.771999999999998</v>
      </c>
      <c r="BA33" s="24">
        <v>-5.8471699999999998E-5</v>
      </c>
      <c r="BB33" s="21">
        <v>23</v>
      </c>
      <c r="BC33" s="21">
        <v>1.5728800000000001E-2</v>
      </c>
      <c r="BD33">
        <f t="shared" si="10"/>
        <v>7.2187283950617284E-2</v>
      </c>
      <c r="BE33">
        <f t="shared" si="11"/>
        <v>1.1455472277407408E-3</v>
      </c>
      <c r="BH33" s="9"/>
      <c r="BI33" s="21"/>
      <c r="BJ33" s="21"/>
      <c r="BK33" s="21"/>
      <c r="BL33" s="21"/>
      <c r="BM33" s="21"/>
      <c r="BP33" s="9"/>
      <c r="BQ33" s="21"/>
      <c r="BR33" s="21"/>
      <c r="BS33" s="21"/>
      <c r="BT33" s="21"/>
      <c r="BU33" s="21"/>
      <c r="BZ33" s="9"/>
      <c r="CA33" s="21"/>
      <c r="CB33" s="21"/>
      <c r="CC33" s="21"/>
      <c r="CD33" s="21"/>
      <c r="CE33" s="21"/>
      <c r="CH33" s="9"/>
      <c r="CI33" s="21"/>
      <c r="CJ33" s="21"/>
      <c r="CK33" s="21"/>
      <c r="CL33" s="21"/>
      <c r="CM33" s="21"/>
      <c r="CR33" s="9"/>
      <c r="CS33" s="21"/>
      <c r="CT33" s="21"/>
      <c r="CU33" s="21"/>
      <c r="CV33" s="21"/>
      <c r="CW33" s="21"/>
      <c r="CZ33" s="9"/>
      <c r="DA33" s="21"/>
      <c r="DB33" s="21"/>
      <c r="DC33" s="21"/>
      <c r="DD33" s="21"/>
      <c r="DE33" s="21"/>
      <c r="DJ33" s="9"/>
      <c r="DK33" s="21"/>
      <c r="DL33" s="21"/>
      <c r="DM33" s="21"/>
      <c r="DN33" s="21"/>
      <c r="DO33" s="21"/>
      <c r="DR33" s="9"/>
      <c r="DS33" s="21"/>
      <c r="DT33" s="21"/>
      <c r="DU33" s="21"/>
      <c r="DV33" s="21"/>
      <c r="DW33" s="21"/>
      <c r="EB33" s="9"/>
      <c r="EC33" s="21"/>
      <c r="ED33" s="21"/>
      <c r="EE33" s="21"/>
      <c r="EF33" s="21"/>
      <c r="EG33" s="21"/>
      <c r="EJ33" s="9"/>
      <c r="EK33" s="21"/>
      <c r="EL33" s="21"/>
      <c r="EM33" s="21"/>
      <c r="EN33" s="21"/>
      <c r="EO33" s="21"/>
      <c r="ES33" s="9"/>
      <c r="ET33" s="21"/>
      <c r="EU33" s="21"/>
      <c r="EV33" s="21"/>
      <c r="EW33" s="21"/>
      <c r="EX33" s="21"/>
      <c r="FA33" s="9"/>
      <c r="FB33" s="21"/>
      <c r="FC33" s="21"/>
      <c r="FD33" s="21"/>
      <c r="FE33" s="21"/>
      <c r="FF33" s="21"/>
    </row>
    <row r="34" spans="6:162" x14ac:dyDescent="0.25">
      <c r="F34" s="9"/>
      <c r="G34" s="21">
        <v>1.0790999999999999</v>
      </c>
      <c r="H34" s="21">
        <v>5.2570199999999998</v>
      </c>
      <c r="I34" s="24">
        <v>-1.26343E-5</v>
      </c>
      <c r="J34" s="21">
        <v>24</v>
      </c>
      <c r="K34" s="21">
        <v>1.0784899999999999</v>
      </c>
      <c r="L34">
        <f t="shared" si="0"/>
        <v>1.5597901234567901E-2</v>
      </c>
      <c r="M34">
        <f t="shared" si="1"/>
        <v>1.683169522222222E-2</v>
      </c>
      <c r="N34" s="9"/>
      <c r="O34" s="21">
        <v>2.0904499999999999E-2</v>
      </c>
      <c r="P34" s="21">
        <v>7.8777600000000003</v>
      </c>
      <c r="Q34" s="24">
        <v>-6.3751199999999994E-5</v>
      </c>
      <c r="R34" s="21">
        <v>24</v>
      </c>
      <c r="S34" s="21">
        <v>2.0788600000000001E-2</v>
      </c>
      <c r="T34">
        <f t="shared" si="2"/>
        <v>7.870518518518517E-2</v>
      </c>
      <c r="U34">
        <f t="shared" si="3"/>
        <v>1.6452925437037034E-3</v>
      </c>
      <c r="X34" s="9"/>
      <c r="Y34" s="21">
        <v>1.0790999999999999</v>
      </c>
      <c r="Z34" s="21">
        <v>12.238200000000001</v>
      </c>
      <c r="AA34" s="24">
        <v>-1.72119E-5</v>
      </c>
      <c r="AB34" s="21">
        <v>24</v>
      </c>
      <c r="AC34" s="21">
        <v>1.07819</v>
      </c>
      <c r="AD34">
        <f t="shared" si="4"/>
        <v>2.1249259259259259E-2</v>
      </c>
      <c r="AE34">
        <f t="shared" si="5"/>
        <v>2.2930075666666664E-2</v>
      </c>
      <c r="AF34" s="9"/>
      <c r="AG34" s="21">
        <v>2.0904499999999999E-2</v>
      </c>
      <c r="AH34" s="21">
        <v>14.8589</v>
      </c>
      <c r="AI34" s="24">
        <v>-6.0180699999999998E-5</v>
      </c>
      <c r="AJ34" s="21">
        <v>24</v>
      </c>
      <c r="AK34" s="21">
        <v>2.07794E-2</v>
      </c>
      <c r="AL34">
        <f t="shared" si="6"/>
        <v>7.4297160493827161E-2</v>
      </c>
      <c r="AM34">
        <f t="shared" si="7"/>
        <v>1.5531449915432097E-3</v>
      </c>
      <c r="AP34" s="9"/>
      <c r="AQ34" s="21">
        <v>1.0790999999999999</v>
      </c>
      <c r="AR34" s="21">
        <v>19.1614</v>
      </c>
      <c r="AS34" s="24">
        <v>-1.8096899999999999E-5</v>
      </c>
      <c r="AT34" s="21">
        <v>24</v>
      </c>
      <c r="AU34" s="21">
        <v>1.0788</v>
      </c>
      <c r="AV34">
        <f t="shared" si="8"/>
        <v>2.2341851851851849E-2</v>
      </c>
      <c r="AW34">
        <f t="shared" si="9"/>
        <v>2.4109092333333328E-2</v>
      </c>
      <c r="AX34" s="9"/>
      <c r="AY34" s="21">
        <v>2.0904499999999999E-2</v>
      </c>
      <c r="AZ34" s="21">
        <v>21.7821</v>
      </c>
      <c r="BA34" s="24">
        <v>-5.8319100000000002E-5</v>
      </c>
      <c r="BB34" s="21">
        <v>24</v>
      </c>
      <c r="BC34" s="21">
        <v>2.07764E-2</v>
      </c>
      <c r="BD34">
        <f t="shared" si="10"/>
        <v>7.199888888888889E-2</v>
      </c>
      <c r="BE34">
        <f t="shared" si="11"/>
        <v>1.5051007727777779E-3</v>
      </c>
      <c r="BH34" s="9"/>
      <c r="BI34" s="21"/>
      <c r="BJ34" s="21"/>
      <c r="BK34" s="21"/>
      <c r="BL34" s="21"/>
      <c r="BM34" s="21"/>
      <c r="BP34" s="9"/>
      <c r="BQ34" s="21"/>
      <c r="BR34" s="21"/>
      <c r="BS34" s="21"/>
      <c r="BT34" s="21"/>
      <c r="BU34" s="21"/>
      <c r="BZ34" s="9"/>
      <c r="CA34" s="21"/>
      <c r="CB34" s="21"/>
      <c r="CC34" s="21"/>
      <c r="CD34" s="21"/>
      <c r="CE34" s="21"/>
      <c r="CH34" s="9"/>
      <c r="CI34" s="21"/>
      <c r="CJ34" s="21"/>
      <c r="CK34" s="21"/>
      <c r="CL34" s="21"/>
      <c r="CM34" s="21"/>
      <c r="CR34" s="9"/>
      <c r="CS34" s="21"/>
      <c r="CT34" s="21"/>
      <c r="CU34" s="21"/>
      <c r="CV34" s="21"/>
      <c r="CW34" s="21"/>
      <c r="CZ34" s="9"/>
      <c r="DA34" s="21"/>
      <c r="DB34" s="21"/>
      <c r="DC34" s="21"/>
      <c r="DD34" s="21"/>
      <c r="DE34" s="21"/>
      <c r="DJ34" s="9"/>
      <c r="DK34" s="21"/>
      <c r="DL34" s="21"/>
      <c r="DM34" s="21"/>
      <c r="DN34" s="21"/>
      <c r="DO34" s="21"/>
      <c r="DR34" s="9"/>
      <c r="DS34" s="21"/>
      <c r="DT34" s="21"/>
      <c r="DU34" s="21"/>
      <c r="DV34" s="21"/>
      <c r="DW34" s="21"/>
      <c r="EB34" s="9"/>
      <c r="EC34" s="21"/>
      <c r="ED34" s="21"/>
      <c r="EE34" s="21"/>
      <c r="EF34" s="21"/>
      <c r="EG34" s="21"/>
      <c r="EJ34" s="9"/>
      <c r="EK34" s="21"/>
      <c r="EL34" s="21"/>
      <c r="EM34" s="21"/>
      <c r="EN34" s="21"/>
      <c r="EO34" s="21"/>
      <c r="ES34" s="9"/>
      <c r="ET34" s="21"/>
      <c r="EU34" s="21"/>
      <c r="EV34" s="21"/>
      <c r="EW34" s="21"/>
      <c r="EX34" s="21"/>
      <c r="FA34" s="9"/>
      <c r="FB34" s="21"/>
      <c r="FC34" s="21"/>
      <c r="FD34" s="21"/>
      <c r="FE34" s="21"/>
      <c r="FF34" s="21"/>
    </row>
    <row r="35" spans="6:162" x14ac:dyDescent="0.25">
      <c r="F35" s="9"/>
      <c r="G35" s="21">
        <v>1.0740700000000001</v>
      </c>
      <c r="H35" s="21">
        <v>5.2670899999999996</v>
      </c>
      <c r="I35" s="24">
        <v>-1.3763399999999999E-5</v>
      </c>
      <c r="J35" s="21">
        <v>25</v>
      </c>
      <c r="K35" s="21">
        <v>1.07361</v>
      </c>
      <c r="L35">
        <f t="shared" si="0"/>
        <v>1.6991851851851852E-2</v>
      </c>
      <c r="M35">
        <f t="shared" si="1"/>
        <v>1.8250438318518521E-2</v>
      </c>
      <c r="N35" s="9"/>
      <c r="O35" s="21">
        <v>2.5939899999999998E-2</v>
      </c>
      <c r="P35" s="21">
        <v>7.8878300000000001</v>
      </c>
      <c r="Q35" s="24">
        <v>-6.3324000000000006E-5</v>
      </c>
      <c r="R35" s="21">
        <v>25</v>
      </c>
      <c r="S35" s="21">
        <v>2.58514E-2</v>
      </c>
      <c r="T35">
        <f t="shared" si="2"/>
        <v>7.8177777777777777E-2</v>
      </c>
      <c r="U35">
        <f t="shared" si="3"/>
        <v>2.0279237377777777E-3</v>
      </c>
      <c r="X35" s="9"/>
      <c r="Y35" s="21">
        <v>1.0740700000000001</v>
      </c>
      <c r="Z35" s="21">
        <v>12.2483</v>
      </c>
      <c r="AA35" s="24">
        <v>-1.8249499999999999E-5</v>
      </c>
      <c r="AB35" s="21">
        <v>25</v>
      </c>
      <c r="AC35" s="21">
        <v>1.073</v>
      </c>
      <c r="AD35">
        <f t="shared" si="4"/>
        <v>2.2530246913580243E-2</v>
      </c>
      <c r="AE35">
        <f t="shared" si="5"/>
        <v>2.4199062302469133E-2</v>
      </c>
      <c r="AF35" s="9"/>
      <c r="AG35" s="21">
        <v>2.5939899999999998E-2</v>
      </c>
      <c r="AH35" s="21">
        <v>14.869</v>
      </c>
      <c r="AI35" s="24">
        <v>-5.9997600000000003E-5</v>
      </c>
      <c r="AJ35" s="21">
        <v>25</v>
      </c>
      <c r="AK35" s="21">
        <v>2.58362E-2</v>
      </c>
      <c r="AL35">
        <f t="shared" si="6"/>
        <v>7.4071111111111101E-2</v>
      </c>
      <c r="AM35">
        <f t="shared" si="7"/>
        <v>1.9213972151111108E-3</v>
      </c>
      <c r="AP35" s="9"/>
      <c r="AQ35" s="21">
        <v>1.0740700000000001</v>
      </c>
      <c r="AR35" s="21">
        <v>19.171500000000002</v>
      </c>
      <c r="AS35" s="24">
        <v>-1.8981899999999999E-5</v>
      </c>
      <c r="AT35" s="21">
        <v>25</v>
      </c>
      <c r="AU35" s="21">
        <v>1.0732999999999999</v>
      </c>
      <c r="AV35">
        <f t="shared" si="8"/>
        <v>2.3434444444444442E-2</v>
      </c>
      <c r="AW35">
        <f t="shared" si="9"/>
        <v>2.5170233744444444E-2</v>
      </c>
      <c r="AX35" s="9"/>
      <c r="AY35" s="21">
        <v>2.5939899999999998E-2</v>
      </c>
      <c r="AZ35" s="21">
        <v>21.792200000000001</v>
      </c>
      <c r="BA35" s="24">
        <v>-5.8013899999999997E-5</v>
      </c>
      <c r="BB35" s="21">
        <v>25</v>
      </c>
      <c r="BC35" s="21">
        <v>2.5833100000000001E-2</v>
      </c>
      <c r="BD35">
        <f t="shared" si="10"/>
        <v>7.1622098765432088E-2</v>
      </c>
      <c r="BE35">
        <f t="shared" si="11"/>
        <v>1.8578700797654316E-3</v>
      </c>
      <c r="BH35" s="9"/>
      <c r="BI35" s="21"/>
      <c r="BJ35" s="21"/>
      <c r="BK35" s="21"/>
      <c r="BL35" s="21"/>
      <c r="BM35" s="21"/>
      <c r="BP35" s="9"/>
      <c r="BQ35" s="21"/>
      <c r="BR35" s="21"/>
      <c r="BS35" s="21"/>
      <c r="BT35" s="21"/>
      <c r="BU35" s="21"/>
      <c r="BZ35" s="9"/>
      <c r="CA35" s="21"/>
      <c r="CB35" s="21"/>
      <c r="CC35" s="21"/>
      <c r="CD35" s="21"/>
      <c r="CE35" s="21"/>
      <c r="CH35" s="9"/>
      <c r="CI35" s="21"/>
      <c r="CJ35" s="21"/>
      <c r="CK35" s="21"/>
      <c r="CL35" s="21"/>
      <c r="CM35" s="21"/>
      <c r="CR35" s="9"/>
      <c r="CS35" s="21"/>
      <c r="CT35" s="21"/>
      <c r="CU35" s="21"/>
      <c r="CV35" s="21"/>
      <c r="CW35" s="21"/>
      <c r="CZ35" s="9"/>
      <c r="DA35" s="21"/>
      <c r="DB35" s="21"/>
      <c r="DC35" s="21"/>
      <c r="DD35" s="21"/>
      <c r="DE35" s="21"/>
      <c r="DJ35" s="9"/>
      <c r="DK35" s="21"/>
      <c r="DL35" s="21"/>
      <c r="DM35" s="21"/>
      <c r="DN35" s="21"/>
      <c r="DO35" s="21"/>
      <c r="DR35" s="9"/>
      <c r="DS35" s="21"/>
      <c r="DT35" s="21"/>
      <c r="DU35" s="21"/>
      <c r="DV35" s="21"/>
      <c r="DW35" s="21"/>
      <c r="EB35" s="9"/>
      <c r="EC35" s="21"/>
      <c r="ED35" s="21"/>
      <c r="EE35" s="21"/>
      <c r="EF35" s="21"/>
      <c r="EG35" s="21"/>
      <c r="EJ35" s="9"/>
      <c r="EK35" s="21"/>
      <c r="EL35" s="21"/>
      <c r="EM35" s="21"/>
      <c r="EN35" s="21"/>
      <c r="EO35" s="21"/>
      <c r="ES35" s="9"/>
      <c r="ET35" s="21"/>
      <c r="EU35" s="21"/>
      <c r="EV35" s="21"/>
      <c r="EW35" s="21"/>
      <c r="EX35" s="21"/>
      <c r="FA35" s="9"/>
      <c r="FB35" s="21"/>
      <c r="FC35" s="21"/>
      <c r="FD35" s="21"/>
      <c r="FE35" s="21"/>
      <c r="FF35" s="21"/>
    </row>
    <row r="36" spans="6:162" x14ac:dyDescent="0.25">
      <c r="F36" s="9"/>
      <c r="G36" s="21">
        <v>1.0690299999999999</v>
      </c>
      <c r="H36" s="21">
        <v>5.2771699999999999</v>
      </c>
      <c r="I36" s="24">
        <v>-1.4679E-5</v>
      </c>
      <c r="J36" s="21">
        <v>26</v>
      </c>
      <c r="K36" s="21">
        <v>1.0678099999999999</v>
      </c>
      <c r="L36">
        <f t="shared" si="0"/>
        <v>1.8122222222222224E-2</v>
      </c>
      <c r="M36">
        <f t="shared" si="1"/>
        <v>1.9373199222222224E-2</v>
      </c>
      <c r="N36" s="9"/>
      <c r="O36" s="21">
        <v>3.0975300000000001E-2</v>
      </c>
      <c r="P36" s="21">
        <v>7.8979100000000004</v>
      </c>
      <c r="Q36" s="24">
        <v>-6.3110399999999998E-5</v>
      </c>
      <c r="R36" s="21">
        <v>26</v>
      </c>
      <c r="S36" s="21">
        <v>3.0892900000000001E-2</v>
      </c>
      <c r="T36">
        <f t="shared" si="2"/>
        <v>7.7914074074074066E-2</v>
      </c>
      <c r="U36">
        <f t="shared" si="3"/>
        <v>2.4134118186666664E-3</v>
      </c>
      <c r="X36" s="9"/>
      <c r="Y36" s="21">
        <v>1.0690299999999999</v>
      </c>
      <c r="Z36" s="21">
        <v>12.2583</v>
      </c>
      <c r="AA36" s="24">
        <v>-1.9165E-5</v>
      </c>
      <c r="AB36" s="21">
        <v>26</v>
      </c>
      <c r="AC36" s="21">
        <v>1.0690299999999999</v>
      </c>
      <c r="AD36">
        <f t="shared" si="4"/>
        <v>2.3660493827160494E-2</v>
      </c>
      <c r="AE36">
        <f t="shared" si="5"/>
        <v>2.5293777716049383E-2</v>
      </c>
      <c r="AF36" s="9"/>
      <c r="AG36" s="21">
        <v>3.0975300000000001E-2</v>
      </c>
      <c r="AH36" s="21">
        <v>14.879099999999999</v>
      </c>
      <c r="AI36" s="24">
        <v>-5.9692399999999998E-5</v>
      </c>
      <c r="AJ36" s="21">
        <v>26</v>
      </c>
      <c r="AK36" s="21">
        <v>3.0859399999999999E-2</v>
      </c>
      <c r="AL36">
        <f t="shared" si="6"/>
        <v>7.3694320987654313E-2</v>
      </c>
      <c r="AM36">
        <f t="shared" si="7"/>
        <v>2.2827037008888887E-3</v>
      </c>
      <c r="AP36" s="9"/>
      <c r="AQ36" s="21">
        <v>1.0690299999999999</v>
      </c>
      <c r="AR36" s="21">
        <v>19.1815</v>
      </c>
      <c r="AS36" s="24">
        <v>-1.98975E-5</v>
      </c>
      <c r="AT36" s="21">
        <v>26</v>
      </c>
      <c r="AU36" s="21">
        <v>1.06812</v>
      </c>
      <c r="AV36">
        <f t="shared" si="8"/>
        <v>2.4564814814814814E-2</v>
      </c>
      <c r="AW36">
        <f t="shared" si="9"/>
        <v>2.6260523981481477E-2</v>
      </c>
      <c r="AX36" s="9"/>
      <c r="AY36" s="21">
        <v>3.0975300000000001E-2</v>
      </c>
      <c r="AZ36" s="21">
        <v>21.802299999999999</v>
      </c>
      <c r="BA36" s="24">
        <v>-5.7800300000000003E-5</v>
      </c>
      <c r="BB36" s="21">
        <v>26</v>
      </c>
      <c r="BC36" s="21">
        <v>3.08685E-2</v>
      </c>
      <c r="BD36">
        <f t="shared" si="10"/>
        <v>7.1358395061728391E-2</v>
      </c>
      <c r="BE36">
        <f t="shared" si="11"/>
        <v>2.2103476945555555E-3</v>
      </c>
      <c r="BH36" s="9"/>
      <c r="BI36" s="21"/>
      <c r="BJ36" s="21"/>
      <c r="BK36" s="21"/>
      <c r="BL36" s="21"/>
      <c r="BM36" s="21"/>
      <c r="BP36" s="9"/>
      <c r="BQ36" s="21"/>
      <c r="BR36" s="21"/>
      <c r="BS36" s="21"/>
      <c r="BT36" s="21"/>
      <c r="BU36" s="21"/>
      <c r="BZ36" s="9"/>
      <c r="CA36" s="21"/>
      <c r="CB36" s="21"/>
      <c r="CC36" s="21"/>
      <c r="CD36" s="21"/>
      <c r="CE36" s="21"/>
      <c r="CH36" s="9"/>
      <c r="CI36" s="21"/>
      <c r="CJ36" s="21"/>
      <c r="CK36" s="21"/>
      <c r="CL36" s="21"/>
      <c r="CM36" s="21"/>
      <c r="CR36" s="9"/>
      <c r="CS36" s="21"/>
      <c r="CT36" s="21"/>
      <c r="CU36" s="21"/>
      <c r="CV36" s="21"/>
      <c r="CW36" s="21"/>
      <c r="CZ36" s="9"/>
      <c r="DA36" s="21"/>
      <c r="DB36" s="21"/>
      <c r="DC36" s="21"/>
      <c r="DD36" s="21"/>
      <c r="DE36" s="21"/>
      <c r="DJ36" s="9"/>
      <c r="DK36" s="21"/>
      <c r="DL36" s="21"/>
      <c r="DM36" s="21"/>
      <c r="DN36" s="21"/>
      <c r="DO36" s="21"/>
      <c r="DR36" s="9"/>
      <c r="DS36" s="21"/>
      <c r="DT36" s="21"/>
      <c r="DU36" s="21"/>
      <c r="DV36" s="21"/>
      <c r="DW36" s="21"/>
      <c r="EB36" s="9"/>
      <c r="EC36" s="21"/>
      <c r="ED36" s="21"/>
      <c r="EE36" s="21"/>
      <c r="EF36" s="21"/>
      <c r="EG36" s="21"/>
      <c r="EJ36" s="9"/>
      <c r="EK36" s="21"/>
      <c r="EL36" s="21"/>
      <c r="EM36" s="21"/>
      <c r="EN36" s="21"/>
      <c r="EO36" s="21"/>
      <c r="ES36" s="9"/>
      <c r="ET36" s="21"/>
      <c r="EU36" s="21"/>
      <c r="EV36" s="21"/>
      <c r="EW36" s="21"/>
      <c r="EX36" s="21"/>
      <c r="FA36" s="9"/>
      <c r="FB36" s="21"/>
      <c r="FC36" s="21"/>
      <c r="FD36" s="21"/>
      <c r="FE36" s="21"/>
      <c r="FF36" s="21"/>
    </row>
    <row r="37" spans="6:162" x14ac:dyDescent="0.25">
      <c r="F37" s="9"/>
      <c r="G37" s="21">
        <v>1.0640000000000001</v>
      </c>
      <c r="H37" s="21">
        <v>5.2872399999999997</v>
      </c>
      <c r="I37" s="24">
        <v>-1.57471E-5</v>
      </c>
      <c r="J37" s="21">
        <v>27</v>
      </c>
      <c r="K37" s="21">
        <v>1.0632299999999999</v>
      </c>
      <c r="L37">
        <f t="shared" si="0"/>
        <v>1.9440864197530862E-2</v>
      </c>
      <c r="M37">
        <f t="shared" si="1"/>
        <v>2.0685079506172838E-2</v>
      </c>
      <c r="N37" s="9"/>
      <c r="O37" s="21">
        <v>3.60107E-2</v>
      </c>
      <c r="P37" s="21">
        <v>7.9079800000000002</v>
      </c>
      <c r="Q37" s="24">
        <v>-6.2744100000000001E-5</v>
      </c>
      <c r="R37" s="21">
        <v>27</v>
      </c>
      <c r="S37" s="21">
        <v>3.5916099999999999E-2</v>
      </c>
      <c r="T37">
        <f t="shared" si="2"/>
        <v>7.7461851851851837E-2</v>
      </c>
      <c r="U37">
        <f t="shared" si="3"/>
        <v>2.789455508481481E-3</v>
      </c>
      <c r="X37" s="9"/>
      <c r="Y37" s="21">
        <v>1.0640000000000001</v>
      </c>
      <c r="Z37" s="21">
        <v>12.2684</v>
      </c>
      <c r="AA37" s="24">
        <v>-1.9958499999999999E-5</v>
      </c>
      <c r="AB37" s="21">
        <v>27</v>
      </c>
      <c r="AC37" s="21">
        <v>1.0632299999999999</v>
      </c>
      <c r="AD37">
        <f t="shared" si="4"/>
        <v>2.464012345679012E-2</v>
      </c>
      <c r="AE37">
        <f t="shared" si="5"/>
        <v>2.6217091358024688E-2</v>
      </c>
      <c r="AF37" s="9"/>
      <c r="AG37" s="21">
        <v>3.60107E-2</v>
      </c>
      <c r="AH37" s="21">
        <v>14.889099999999999</v>
      </c>
      <c r="AI37" s="24">
        <v>-5.9539800000000002E-5</v>
      </c>
      <c r="AJ37" s="21">
        <v>27</v>
      </c>
      <c r="AK37" s="21">
        <v>3.59528E-2</v>
      </c>
      <c r="AL37">
        <f t="shared" si="6"/>
        <v>7.3505925925925919E-2</v>
      </c>
      <c r="AM37">
        <f t="shared" si="7"/>
        <v>2.6469998467407406E-3</v>
      </c>
      <c r="AP37" s="9"/>
      <c r="AQ37" s="21">
        <v>1.0640000000000001</v>
      </c>
      <c r="AR37" s="21">
        <v>19.191600000000001</v>
      </c>
      <c r="AS37" s="24">
        <v>-2.07825E-5</v>
      </c>
      <c r="AT37" s="21">
        <v>27</v>
      </c>
      <c r="AU37" s="21">
        <v>1.0632299999999999</v>
      </c>
      <c r="AV37">
        <f t="shared" si="8"/>
        <v>2.5657407407407407E-2</v>
      </c>
      <c r="AW37">
        <f t="shared" si="9"/>
        <v>2.7299481481481484E-2</v>
      </c>
      <c r="AX37" s="9"/>
      <c r="AY37" s="21">
        <v>3.60107E-2</v>
      </c>
      <c r="AZ37" s="21">
        <v>21.8123</v>
      </c>
      <c r="BA37" s="24">
        <v>-5.7464599999999999E-5</v>
      </c>
      <c r="BB37" s="21">
        <v>27</v>
      </c>
      <c r="BC37" s="21">
        <v>3.5971099999999999E-2</v>
      </c>
      <c r="BD37">
        <f t="shared" si="10"/>
        <v>7.0943950617283952E-2</v>
      </c>
      <c r="BE37">
        <f t="shared" si="11"/>
        <v>2.5547413224938273E-3</v>
      </c>
      <c r="BH37" s="9"/>
      <c r="BI37" s="21"/>
      <c r="BJ37" s="21"/>
      <c r="BK37" s="21"/>
      <c r="BL37" s="21"/>
      <c r="BM37" s="21"/>
      <c r="BP37" s="9"/>
      <c r="BQ37" s="21"/>
      <c r="BR37" s="21"/>
      <c r="BS37" s="21"/>
      <c r="BT37" s="21"/>
      <c r="BU37" s="21"/>
      <c r="BZ37" s="9"/>
      <c r="CA37" s="21"/>
      <c r="CB37" s="21"/>
      <c r="CC37" s="21"/>
      <c r="CD37" s="21"/>
      <c r="CE37" s="21"/>
      <c r="CH37" s="9"/>
      <c r="CI37" s="21"/>
      <c r="CJ37" s="21"/>
      <c r="CK37" s="21"/>
      <c r="CL37" s="21"/>
      <c r="CM37" s="21"/>
      <c r="CR37" s="9"/>
      <c r="CS37" s="21"/>
      <c r="CT37" s="21"/>
      <c r="CU37" s="21"/>
      <c r="CV37" s="21"/>
      <c r="CW37" s="21"/>
      <c r="CZ37" s="9"/>
      <c r="DA37" s="21"/>
      <c r="DB37" s="21"/>
      <c r="DC37" s="21"/>
      <c r="DD37" s="21"/>
      <c r="DE37" s="21"/>
      <c r="DJ37" s="9"/>
      <c r="DK37" s="21"/>
      <c r="DL37" s="21"/>
      <c r="DM37" s="21"/>
      <c r="DN37" s="21"/>
      <c r="DO37" s="21"/>
      <c r="DR37" s="9"/>
      <c r="DS37" s="21"/>
      <c r="DT37" s="21"/>
      <c r="DU37" s="21"/>
      <c r="DV37" s="21"/>
      <c r="DW37" s="21"/>
      <c r="EB37" s="9"/>
      <c r="EC37" s="21"/>
      <c r="ED37" s="21"/>
      <c r="EE37" s="21"/>
      <c r="EF37" s="21"/>
      <c r="EG37" s="21"/>
      <c r="EJ37" s="9"/>
      <c r="EK37" s="21"/>
      <c r="EL37" s="21"/>
      <c r="EM37" s="21"/>
      <c r="EN37" s="21"/>
      <c r="EO37" s="21"/>
      <c r="ES37" s="9"/>
      <c r="ET37" s="21"/>
      <c r="EU37" s="21"/>
      <c r="EV37" s="21"/>
      <c r="EW37" s="21"/>
      <c r="EX37" s="21"/>
      <c r="FA37" s="9"/>
      <c r="FB37" s="21"/>
      <c r="FC37" s="21"/>
      <c r="FD37" s="21"/>
      <c r="FE37" s="21"/>
      <c r="FF37" s="21"/>
    </row>
    <row r="38" spans="6:162" x14ac:dyDescent="0.25">
      <c r="F38" s="9"/>
      <c r="G38" s="21">
        <v>1.0589599999999999</v>
      </c>
      <c r="H38" s="21">
        <v>5.2973100000000004</v>
      </c>
      <c r="I38" s="24">
        <v>-1.6906699999999999E-5</v>
      </c>
      <c r="J38" s="21">
        <v>28</v>
      </c>
      <c r="K38" s="21">
        <v>1.0577399999999999</v>
      </c>
      <c r="L38">
        <f t="shared" si="0"/>
        <v>2.0872469135802468E-2</v>
      </c>
      <c r="M38">
        <f t="shared" si="1"/>
        <v>2.2103109916049378E-2</v>
      </c>
      <c r="N38" s="9"/>
      <c r="O38" s="21">
        <v>4.1046100000000002E-2</v>
      </c>
      <c r="P38" s="21">
        <v>7.91805</v>
      </c>
      <c r="Q38" s="24">
        <v>-6.2530499999999994E-5</v>
      </c>
      <c r="R38" s="21">
        <v>28</v>
      </c>
      <c r="S38" s="21">
        <v>4.0985099999999997E-2</v>
      </c>
      <c r="T38">
        <f t="shared" si="2"/>
        <v>7.7198148148148127E-2</v>
      </c>
      <c r="U38">
        <f t="shared" si="3"/>
        <v>3.1686829087037029E-3</v>
      </c>
      <c r="X38" s="9"/>
      <c r="Y38" s="21">
        <v>1.0589599999999999</v>
      </c>
      <c r="Z38" s="21">
        <v>12.278499999999999</v>
      </c>
      <c r="AA38" s="24">
        <v>-2.0843500000000001E-5</v>
      </c>
      <c r="AB38" s="21">
        <v>28</v>
      </c>
      <c r="AC38" s="21">
        <v>1.0580400000000001</v>
      </c>
      <c r="AD38">
        <f t="shared" si="4"/>
        <v>2.5732716049382716E-2</v>
      </c>
      <c r="AE38">
        <f t="shared" si="5"/>
        <v>2.7249916987654318E-2</v>
      </c>
      <c r="AF38" s="9"/>
      <c r="AG38" s="21">
        <v>4.1046100000000002E-2</v>
      </c>
      <c r="AH38" s="21">
        <v>14.8992</v>
      </c>
      <c r="AI38" s="24">
        <v>-5.93567E-5</v>
      </c>
      <c r="AJ38" s="21">
        <v>28</v>
      </c>
      <c r="AK38" s="21">
        <v>4.0979000000000002E-2</v>
      </c>
      <c r="AL38">
        <f t="shared" si="6"/>
        <v>7.3279876543209874E-2</v>
      </c>
      <c r="AM38">
        <f t="shared" si="7"/>
        <v>3.0078531405802471E-3</v>
      </c>
      <c r="AP38" s="9"/>
      <c r="AQ38" s="21">
        <v>1.0589599999999999</v>
      </c>
      <c r="AR38" s="21">
        <v>19.201699999999999</v>
      </c>
      <c r="AS38" s="24">
        <v>-2.15149E-5</v>
      </c>
      <c r="AT38" s="21">
        <v>28</v>
      </c>
      <c r="AU38" s="21">
        <v>1.0577399999999999</v>
      </c>
      <c r="AV38">
        <f t="shared" si="8"/>
        <v>2.6561604938271602E-2</v>
      </c>
      <c r="AW38">
        <f t="shared" si="9"/>
        <v>2.8127677165432092E-2</v>
      </c>
      <c r="AX38" s="9"/>
      <c r="AY38" s="21">
        <v>4.1046100000000002E-2</v>
      </c>
      <c r="AZ38" s="21">
        <v>21.822399999999998</v>
      </c>
      <c r="BA38" s="24">
        <v>-5.7281499999999997E-5</v>
      </c>
      <c r="BB38" s="21">
        <v>28</v>
      </c>
      <c r="BC38" s="21">
        <v>4.0975999999999999E-2</v>
      </c>
      <c r="BD38">
        <f t="shared" si="10"/>
        <v>7.0717901234567893E-2</v>
      </c>
      <c r="BE38">
        <f t="shared" si="11"/>
        <v>2.9026940458641974E-3</v>
      </c>
      <c r="BH38" s="9"/>
      <c r="BI38" s="21"/>
      <c r="BJ38" s="21"/>
      <c r="BK38" s="21"/>
      <c r="BL38" s="21"/>
      <c r="BM38" s="21"/>
      <c r="BP38" s="9"/>
      <c r="BQ38" s="21"/>
      <c r="BR38" s="21"/>
      <c r="BS38" s="21"/>
      <c r="BT38" s="21"/>
      <c r="BU38" s="21"/>
      <c r="BZ38" s="9"/>
      <c r="CA38" s="21"/>
      <c r="CB38" s="21"/>
      <c r="CC38" s="21"/>
      <c r="CD38" s="21"/>
      <c r="CE38" s="21"/>
      <c r="CH38" s="9"/>
      <c r="CI38" s="21"/>
      <c r="CJ38" s="21"/>
      <c r="CK38" s="21"/>
      <c r="CL38" s="21"/>
      <c r="CM38" s="21"/>
      <c r="CR38" s="9"/>
      <c r="CS38" s="21"/>
      <c r="CT38" s="21"/>
      <c r="CU38" s="21"/>
      <c r="CV38" s="21"/>
      <c r="CW38" s="21"/>
      <c r="CZ38" s="9"/>
      <c r="DA38" s="21"/>
      <c r="DB38" s="21"/>
      <c r="DC38" s="21"/>
      <c r="DD38" s="21"/>
      <c r="DE38" s="21"/>
      <c r="DJ38" s="9"/>
      <c r="DK38" s="21"/>
      <c r="DL38" s="21"/>
      <c r="DM38" s="21"/>
      <c r="DN38" s="21"/>
      <c r="DO38" s="21"/>
      <c r="DR38" s="9"/>
      <c r="DS38" s="21"/>
      <c r="DT38" s="21"/>
      <c r="DU38" s="21"/>
      <c r="DV38" s="21"/>
      <c r="DW38" s="21"/>
      <c r="EB38" s="9"/>
      <c r="EC38" s="21"/>
      <c r="ED38" s="21"/>
      <c r="EE38" s="21"/>
      <c r="EF38" s="21"/>
      <c r="EG38" s="21"/>
      <c r="EJ38" s="9"/>
      <c r="EK38" s="21"/>
      <c r="EL38" s="21"/>
      <c r="EM38" s="21"/>
      <c r="EN38" s="21"/>
      <c r="EO38" s="21"/>
      <c r="ES38" s="9"/>
      <c r="ET38" s="21"/>
      <c r="EU38" s="21"/>
      <c r="EV38" s="21"/>
      <c r="EW38" s="21"/>
      <c r="EX38" s="21"/>
      <c r="FA38" s="9"/>
      <c r="FB38" s="21"/>
      <c r="FC38" s="21"/>
      <c r="FD38" s="21"/>
      <c r="FE38" s="21"/>
      <c r="FF38" s="21"/>
    </row>
    <row r="39" spans="6:162" x14ac:dyDescent="0.25">
      <c r="F39" s="9"/>
      <c r="G39" s="21">
        <v>1.05392</v>
      </c>
      <c r="H39" s="21">
        <v>5.3073800000000002</v>
      </c>
      <c r="I39" s="24">
        <v>-1.79443E-5</v>
      </c>
      <c r="J39" s="21">
        <v>29</v>
      </c>
      <c r="K39" s="21">
        <v>1.0528599999999999</v>
      </c>
      <c r="L39">
        <f t="shared" si="0"/>
        <v>2.2153456790123458E-2</v>
      </c>
      <c r="M39">
        <f t="shared" si="1"/>
        <v>2.3347971180246913E-2</v>
      </c>
      <c r="N39" s="9"/>
      <c r="O39" s="21">
        <v>4.6081499999999997E-2</v>
      </c>
      <c r="P39" s="21">
        <v>7.9281199999999998</v>
      </c>
      <c r="Q39" s="24">
        <v>-6.2194799999999996E-5</v>
      </c>
      <c r="R39" s="21">
        <v>29</v>
      </c>
      <c r="S39" s="21">
        <v>4.6032700000000003E-2</v>
      </c>
      <c r="T39">
        <f t="shared" si="2"/>
        <v>7.6783703703703687E-2</v>
      </c>
      <c r="U39">
        <f t="shared" si="3"/>
        <v>3.5383082422222214E-3</v>
      </c>
      <c r="X39" s="9"/>
      <c r="Y39" s="21">
        <v>1.05392</v>
      </c>
      <c r="Z39" s="21">
        <v>12.288600000000001</v>
      </c>
      <c r="AA39" s="24">
        <v>-2.1759E-5</v>
      </c>
      <c r="AB39" s="21">
        <v>29</v>
      </c>
      <c r="AC39" s="21">
        <v>1.0534699999999999</v>
      </c>
      <c r="AD39">
        <f t="shared" si="4"/>
        <v>2.686296296296296E-2</v>
      </c>
      <c r="AE39">
        <f t="shared" si="5"/>
        <v>2.8311413925925923E-2</v>
      </c>
      <c r="AF39" s="9"/>
      <c r="AG39" s="21">
        <v>4.6081499999999997E-2</v>
      </c>
      <c r="AH39" s="21">
        <v>14.9093</v>
      </c>
      <c r="AI39" s="24">
        <v>-5.9173599999999999E-5</v>
      </c>
      <c r="AJ39" s="21">
        <v>29</v>
      </c>
      <c r="AK39" s="21">
        <v>4.6032700000000003E-2</v>
      </c>
      <c r="AL39">
        <f t="shared" si="6"/>
        <v>7.3053827160493814E-2</v>
      </c>
      <c r="AM39">
        <f t="shared" si="7"/>
        <v>3.3664299362962955E-3</v>
      </c>
      <c r="AP39" s="9"/>
      <c r="AQ39" s="21">
        <v>1.05392</v>
      </c>
      <c r="AR39" s="21">
        <v>19.2117</v>
      </c>
      <c r="AS39" s="24">
        <v>-2.2308300000000001E-5</v>
      </c>
      <c r="AT39" s="21">
        <v>29</v>
      </c>
      <c r="AU39" s="21">
        <v>1.0528599999999999</v>
      </c>
      <c r="AV39">
        <f t="shared" si="8"/>
        <v>2.7541111111111113E-2</v>
      </c>
      <c r="AW39">
        <f t="shared" si="9"/>
        <v>2.9026127822222223E-2</v>
      </c>
      <c r="AX39" s="9"/>
      <c r="AY39" s="21">
        <v>4.6081499999999997E-2</v>
      </c>
      <c r="AZ39" s="21">
        <v>21.8325</v>
      </c>
      <c r="BA39" s="24">
        <v>-5.7037399999999997E-5</v>
      </c>
      <c r="BB39" s="21">
        <v>29</v>
      </c>
      <c r="BC39" s="21">
        <v>4.6032700000000003E-2</v>
      </c>
      <c r="BD39">
        <f t="shared" si="10"/>
        <v>7.0416543209876531E-2</v>
      </c>
      <c r="BE39">
        <f t="shared" si="11"/>
        <v>3.2448999359259252E-3</v>
      </c>
      <c r="BH39" s="9"/>
      <c r="BI39" s="21"/>
      <c r="BJ39" s="21"/>
      <c r="BK39" s="21"/>
      <c r="BL39" s="21"/>
      <c r="BM39" s="21"/>
      <c r="BP39" s="9"/>
      <c r="BQ39" s="21"/>
      <c r="BR39" s="21"/>
      <c r="BS39" s="21"/>
      <c r="BT39" s="21"/>
      <c r="BU39" s="21"/>
      <c r="BZ39" s="9"/>
      <c r="CA39" s="21"/>
      <c r="CB39" s="21"/>
      <c r="CC39" s="21"/>
      <c r="CD39" s="21"/>
      <c r="CE39" s="21"/>
      <c r="CH39" s="9"/>
      <c r="CI39" s="21"/>
      <c r="CJ39" s="21"/>
      <c r="CK39" s="21"/>
      <c r="CL39" s="21"/>
      <c r="CM39" s="21"/>
      <c r="CR39" s="9"/>
      <c r="CS39" s="21"/>
      <c r="CT39" s="21"/>
      <c r="CU39" s="21"/>
      <c r="CV39" s="21"/>
      <c r="CW39" s="21"/>
      <c r="CZ39" s="9"/>
      <c r="DA39" s="21"/>
      <c r="DB39" s="21"/>
      <c r="DC39" s="21"/>
      <c r="DD39" s="21"/>
      <c r="DE39" s="21"/>
      <c r="DJ39" s="9"/>
      <c r="DK39" s="21"/>
      <c r="DL39" s="21"/>
      <c r="DM39" s="21"/>
      <c r="DN39" s="21"/>
      <c r="DO39" s="21"/>
      <c r="DR39" s="9"/>
      <c r="DS39" s="21"/>
      <c r="DT39" s="21"/>
      <c r="DU39" s="21"/>
      <c r="DV39" s="21"/>
      <c r="DW39" s="21"/>
      <c r="EB39" s="9"/>
      <c r="EC39" s="21"/>
      <c r="ED39" s="21"/>
      <c r="EE39" s="21"/>
      <c r="EF39" s="21"/>
      <c r="EG39" s="21"/>
      <c r="EJ39" s="9"/>
      <c r="EK39" s="21"/>
      <c r="EL39" s="21"/>
      <c r="EM39" s="21"/>
      <c r="EN39" s="21"/>
      <c r="EO39" s="21"/>
      <c r="ES39" s="9"/>
      <c r="ET39" s="21"/>
      <c r="EU39" s="21"/>
      <c r="EV39" s="21"/>
      <c r="EW39" s="21"/>
      <c r="EX39" s="21"/>
      <c r="FA39" s="9"/>
      <c r="FB39" s="21"/>
      <c r="FC39" s="21"/>
      <c r="FD39" s="21"/>
      <c r="FE39" s="21"/>
      <c r="FF39" s="21"/>
    </row>
    <row r="40" spans="6:162" x14ac:dyDescent="0.25">
      <c r="F40" s="9"/>
      <c r="G40" s="21">
        <v>1.0488900000000001</v>
      </c>
      <c r="H40" s="21">
        <v>5.31745</v>
      </c>
      <c r="I40" s="24">
        <v>-1.91956E-5</v>
      </c>
      <c r="J40" s="21">
        <v>30</v>
      </c>
      <c r="K40" s="21">
        <v>1.0476700000000001</v>
      </c>
      <c r="L40">
        <f t="shared" si="0"/>
        <v>2.369827160493827E-2</v>
      </c>
      <c r="M40">
        <f t="shared" si="1"/>
        <v>2.4856880103703703E-2</v>
      </c>
      <c r="N40" s="9"/>
      <c r="O40" s="21">
        <v>5.11169E-2</v>
      </c>
      <c r="P40" s="21">
        <v>7.9381899999999996</v>
      </c>
      <c r="Q40" s="24">
        <v>-6.2011699999999994E-5</v>
      </c>
      <c r="R40" s="21">
        <v>30</v>
      </c>
      <c r="S40" s="21">
        <v>5.0872800000000003E-2</v>
      </c>
      <c r="T40">
        <f t="shared" si="2"/>
        <v>7.6557654320987642E-2</v>
      </c>
      <c r="U40">
        <f t="shared" si="3"/>
        <v>3.9133899601604934E-3</v>
      </c>
      <c r="X40" s="9"/>
      <c r="Y40" s="21">
        <v>1.0488900000000001</v>
      </c>
      <c r="Z40" s="21">
        <v>12.2986</v>
      </c>
      <c r="AA40" s="24">
        <v>-2.2583E-5</v>
      </c>
      <c r="AB40" s="21">
        <v>30</v>
      </c>
      <c r="AC40" s="21">
        <v>1.0479700000000001</v>
      </c>
      <c r="AD40">
        <f t="shared" si="4"/>
        <v>2.7880246913580247E-2</v>
      </c>
      <c r="AE40">
        <f t="shared" si="5"/>
        <v>2.9243312185185187E-2</v>
      </c>
      <c r="AF40" s="9"/>
      <c r="AG40" s="21">
        <v>5.11169E-2</v>
      </c>
      <c r="AH40" s="21">
        <v>14.9194</v>
      </c>
      <c r="AI40" s="24">
        <v>-5.88684E-5</v>
      </c>
      <c r="AJ40" s="21">
        <v>30</v>
      </c>
      <c r="AK40" s="21">
        <v>5.0872800000000003E-2</v>
      </c>
      <c r="AL40">
        <f t="shared" si="6"/>
        <v>7.267703703703704E-2</v>
      </c>
      <c r="AM40">
        <f t="shared" si="7"/>
        <v>3.7150248345185185E-3</v>
      </c>
      <c r="AP40" s="9"/>
      <c r="AQ40" s="21">
        <v>1.0488900000000001</v>
      </c>
      <c r="AR40" s="21">
        <v>19.221800000000002</v>
      </c>
      <c r="AS40" s="24">
        <v>-2.31018E-5</v>
      </c>
      <c r="AT40" s="21">
        <v>30</v>
      </c>
      <c r="AU40" s="21">
        <v>1.0479700000000001</v>
      </c>
      <c r="AV40">
        <f t="shared" si="8"/>
        <v>2.8520740740740739E-2</v>
      </c>
      <c r="AW40">
        <f t="shared" si="9"/>
        <v>2.9915119755555556E-2</v>
      </c>
      <c r="AX40" s="9"/>
      <c r="AY40" s="21">
        <v>5.11169E-2</v>
      </c>
      <c r="AZ40" s="21">
        <v>21.842500000000001</v>
      </c>
      <c r="BA40" s="24">
        <v>-5.6793199999999997E-5</v>
      </c>
      <c r="BB40" s="21">
        <v>30</v>
      </c>
      <c r="BC40" s="21">
        <v>5.0811799999999997E-2</v>
      </c>
      <c r="BD40">
        <f t="shared" si="10"/>
        <v>7.0115061728395045E-2</v>
      </c>
      <c r="BE40">
        <f t="shared" si="11"/>
        <v>3.5840645988641966E-3</v>
      </c>
      <c r="BH40" s="9"/>
      <c r="BI40" s="21"/>
      <c r="BJ40" s="21"/>
      <c r="BK40" s="21"/>
      <c r="BL40" s="21"/>
      <c r="BM40" s="21"/>
      <c r="BP40" s="9"/>
      <c r="BQ40" s="21"/>
      <c r="BR40" s="21"/>
      <c r="BS40" s="21"/>
      <c r="BT40" s="21"/>
      <c r="BU40" s="21"/>
      <c r="BZ40" s="9"/>
      <c r="CA40" s="21"/>
      <c r="CB40" s="21"/>
      <c r="CC40" s="21"/>
      <c r="CD40" s="21"/>
      <c r="CE40" s="21"/>
      <c r="CH40" s="9"/>
      <c r="CI40" s="21"/>
      <c r="CJ40" s="21"/>
      <c r="CK40" s="21"/>
      <c r="CL40" s="21"/>
      <c r="CM40" s="21"/>
      <c r="CR40" s="9"/>
      <c r="CS40" s="21"/>
      <c r="CT40" s="21"/>
      <c r="CU40" s="21"/>
      <c r="CV40" s="21"/>
      <c r="CW40" s="21"/>
      <c r="CZ40" s="9"/>
      <c r="DA40" s="21"/>
      <c r="DB40" s="21"/>
      <c r="DC40" s="21"/>
      <c r="DD40" s="21"/>
      <c r="DE40" s="21"/>
      <c r="DJ40" s="9"/>
      <c r="DK40" s="21"/>
      <c r="DL40" s="21"/>
      <c r="DM40" s="21"/>
      <c r="DN40" s="21"/>
      <c r="DO40" s="21"/>
      <c r="DR40" s="9"/>
      <c r="DS40" s="21"/>
      <c r="DT40" s="21"/>
      <c r="DU40" s="21"/>
      <c r="DV40" s="21"/>
      <c r="DW40" s="21"/>
      <c r="EB40" s="9"/>
      <c r="EC40" s="21"/>
      <c r="ED40" s="21"/>
      <c r="EE40" s="21"/>
      <c r="EF40" s="21"/>
      <c r="EG40" s="21"/>
      <c r="EJ40" s="9"/>
      <c r="EK40" s="21"/>
      <c r="EL40" s="21"/>
      <c r="EM40" s="21"/>
      <c r="EN40" s="21"/>
      <c r="EO40" s="21"/>
      <c r="ES40" s="9"/>
      <c r="ET40" s="21"/>
      <c r="EU40" s="21"/>
      <c r="EV40" s="21"/>
      <c r="EW40" s="21"/>
      <c r="EX40" s="21"/>
      <c r="FA40" s="9"/>
      <c r="FB40" s="21"/>
      <c r="FC40" s="21"/>
      <c r="FD40" s="21"/>
      <c r="FE40" s="21"/>
      <c r="FF40" s="21"/>
    </row>
    <row r="41" spans="6:162" x14ac:dyDescent="0.25">
      <c r="F41" s="9"/>
      <c r="G41" s="21">
        <v>1.0438499999999999</v>
      </c>
      <c r="H41" s="21">
        <v>5.3275199999999998</v>
      </c>
      <c r="I41" s="24">
        <v>-2.0080599999999999E-5</v>
      </c>
      <c r="J41" s="21">
        <v>31</v>
      </c>
      <c r="K41" s="21">
        <v>1.0427900000000001</v>
      </c>
      <c r="L41">
        <f t="shared" si="0"/>
        <v>2.4790864197530859E-2</v>
      </c>
      <c r="M41">
        <f t="shared" si="1"/>
        <v>2.5877943592592587E-2</v>
      </c>
      <c r="N41" s="9"/>
      <c r="O41" s="21">
        <v>5.6152300000000002E-2</v>
      </c>
      <c r="P41" s="21">
        <v>7.9482600000000003</v>
      </c>
      <c r="Q41" s="24">
        <v>-6.1737100000000002E-5</v>
      </c>
      <c r="R41" s="21">
        <v>31</v>
      </c>
      <c r="S41" s="21">
        <v>5.5816699999999997E-2</v>
      </c>
      <c r="T41">
        <f t="shared" si="2"/>
        <v>7.6218641975308643E-2</v>
      </c>
      <c r="U41">
        <f t="shared" si="3"/>
        <v>4.2798520497901241E-3</v>
      </c>
      <c r="X41" s="9"/>
      <c r="Y41" s="21">
        <v>1.0438499999999999</v>
      </c>
      <c r="Z41" s="21">
        <v>12.3087</v>
      </c>
      <c r="AA41" s="24">
        <v>-2.34375E-5</v>
      </c>
      <c r="AB41" s="21">
        <v>31</v>
      </c>
      <c r="AC41" s="21">
        <v>1.0430900000000001</v>
      </c>
      <c r="AD41">
        <f t="shared" si="4"/>
        <v>2.8935185185185182E-2</v>
      </c>
      <c r="AE41">
        <f t="shared" si="5"/>
        <v>3.0203993055555552E-2</v>
      </c>
      <c r="AF41" s="9"/>
      <c r="AG41" s="21">
        <v>5.6152300000000002E-2</v>
      </c>
      <c r="AH41" s="21">
        <v>14.929399999999999</v>
      </c>
      <c r="AI41" s="24">
        <v>-5.8776900000000003E-5</v>
      </c>
      <c r="AJ41" s="21">
        <v>31</v>
      </c>
      <c r="AK41" s="21">
        <v>5.58472E-2</v>
      </c>
      <c r="AL41">
        <f t="shared" si="6"/>
        <v>7.2564074074074073E-2</v>
      </c>
      <c r="AM41">
        <f t="shared" si="7"/>
        <v>4.0746396566296297E-3</v>
      </c>
      <c r="AP41" s="9"/>
      <c r="AQ41" s="21">
        <v>1.0438499999999999</v>
      </c>
      <c r="AR41" s="21">
        <v>19.2319</v>
      </c>
      <c r="AS41" s="24">
        <v>-2.3773200000000001E-5</v>
      </c>
      <c r="AT41" s="21">
        <v>31</v>
      </c>
      <c r="AU41" s="21">
        <v>1.0434000000000001</v>
      </c>
      <c r="AV41">
        <f t="shared" si="8"/>
        <v>2.9349629629629628E-2</v>
      </c>
      <c r="AW41">
        <f t="shared" si="9"/>
        <v>3.0636610888888884E-2</v>
      </c>
      <c r="AX41" s="9"/>
      <c r="AY41" s="21">
        <v>5.6152300000000002E-2</v>
      </c>
      <c r="AZ41" s="21">
        <v>21.852599999999999</v>
      </c>
      <c r="BA41" s="24">
        <v>-5.6579600000000003E-5</v>
      </c>
      <c r="BB41" s="21">
        <v>31</v>
      </c>
      <c r="BC41" s="21">
        <v>5.5816699999999997E-2</v>
      </c>
      <c r="BD41">
        <f t="shared" si="10"/>
        <v>6.9851358024691362E-2</v>
      </c>
      <c r="BE41">
        <f t="shared" si="11"/>
        <v>3.9223144112098766E-3</v>
      </c>
      <c r="BH41" s="9"/>
      <c r="BI41" s="21"/>
      <c r="BJ41" s="21"/>
      <c r="BK41" s="21"/>
      <c r="BL41" s="21"/>
      <c r="BM41" s="21"/>
      <c r="BP41" s="9"/>
      <c r="BQ41" s="21"/>
      <c r="BR41" s="21"/>
      <c r="BS41" s="21"/>
      <c r="BT41" s="21"/>
      <c r="BU41" s="21"/>
      <c r="BZ41" s="9"/>
      <c r="CA41" s="21"/>
      <c r="CB41" s="21"/>
      <c r="CC41" s="21"/>
      <c r="CD41" s="21"/>
      <c r="CE41" s="21"/>
      <c r="CH41" s="9"/>
      <c r="CI41" s="21"/>
      <c r="CJ41" s="21"/>
      <c r="CK41" s="21"/>
      <c r="CL41" s="21"/>
      <c r="CM41" s="21"/>
      <c r="CR41" s="9"/>
      <c r="CS41" s="21"/>
      <c r="CT41" s="21"/>
      <c r="CU41" s="21"/>
      <c r="CV41" s="21"/>
      <c r="CW41" s="21"/>
      <c r="CZ41" s="9"/>
      <c r="DA41" s="21"/>
      <c r="DB41" s="21"/>
      <c r="DC41" s="21"/>
      <c r="DD41" s="21"/>
      <c r="DE41" s="21"/>
      <c r="DJ41" s="9"/>
      <c r="DK41" s="21"/>
      <c r="DL41" s="21"/>
      <c r="DM41" s="21"/>
      <c r="DN41" s="21"/>
      <c r="DO41" s="21"/>
      <c r="DR41" s="9"/>
      <c r="DS41" s="21"/>
      <c r="DT41" s="21"/>
      <c r="DU41" s="21"/>
      <c r="DV41" s="21"/>
      <c r="DW41" s="21"/>
      <c r="EB41" s="9"/>
      <c r="EC41" s="21"/>
      <c r="ED41" s="21"/>
      <c r="EE41" s="21"/>
      <c r="EF41" s="21"/>
      <c r="EG41" s="21"/>
      <c r="EJ41" s="9"/>
      <c r="EK41" s="21"/>
      <c r="EL41" s="21"/>
      <c r="EM41" s="21"/>
      <c r="EN41" s="21"/>
      <c r="EO41" s="21"/>
      <c r="ES41" s="9"/>
      <c r="ET41" s="21"/>
      <c r="EU41" s="21"/>
      <c r="EV41" s="21"/>
      <c r="EW41" s="21"/>
      <c r="EX41" s="21"/>
      <c r="FA41" s="9"/>
      <c r="FB41" s="21"/>
      <c r="FC41" s="21"/>
      <c r="FD41" s="21"/>
      <c r="FE41" s="21"/>
      <c r="FF41" s="21"/>
    </row>
    <row r="42" spans="6:162" x14ac:dyDescent="0.25">
      <c r="F42" s="9"/>
      <c r="G42" s="21">
        <v>1.0388200000000001</v>
      </c>
      <c r="H42" s="21">
        <v>5.3375899999999996</v>
      </c>
      <c r="I42" s="24">
        <v>-2.0874E-5</v>
      </c>
      <c r="J42" s="21">
        <v>32</v>
      </c>
      <c r="K42" s="21">
        <v>1.0379</v>
      </c>
      <c r="L42">
        <f t="shared" si="0"/>
        <v>2.5770370370370367E-2</v>
      </c>
      <c r="M42">
        <f t="shared" si="1"/>
        <v>2.6770776148148146E-2</v>
      </c>
      <c r="N42" s="9"/>
      <c r="O42" s="21">
        <v>6.1187699999999998E-2</v>
      </c>
      <c r="P42" s="21">
        <v>7.9583300000000001</v>
      </c>
      <c r="Q42" s="24">
        <v>-6.1584500000000006E-5</v>
      </c>
      <c r="R42" s="21">
        <v>32</v>
      </c>
      <c r="S42" s="21">
        <v>6.0913099999999998E-2</v>
      </c>
      <c r="T42">
        <f t="shared" si="2"/>
        <v>7.6030246913580249E-2</v>
      </c>
      <c r="U42">
        <f t="shared" si="3"/>
        <v>4.6521159390740738E-3</v>
      </c>
      <c r="X42" s="9"/>
      <c r="Y42" s="21">
        <v>1.0388200000000001</v>
      </c>
      <c r="Z42" s="21">
        <v>12.3188</v>
      </c>
      <c r="AA42" s="24">
        <v>-2.4383500000000001E-5</v>
      </c>
      <c r="AB42" s="21">
        <v>32</v>
      </c>
      <c r="AC42" s="21">
        <v>1.0379</v>
      </c>
      <c r="AD42">
        <f t="shared" si="4"/>
        <v>3.0103086419753088E-2</v>
      </c>
      <c r="AE42">
        <f t="shared" si="5"/>
        <v>3.1271688234567906E-2</v>
      </c>
      <c r="AF42" s="9"/>
      <c r="AG42" s="21">
        <v>6.1187699999999998E-2</v>
      </c>
      <c r="AH42" s="21">
        <v>14.939500000000001</v>
      </c>
      <c r="AI42" s="24">
        <v>-5.8471699999999998E-5</v>
      </c>
      <c r="AJ42" s="21">
        <v>32</v>
      </c>
      <c r="AK42" s="21">
        <v>6.0943600000000001E-2</v>
      </c>
      <c r="AL42">
        <f t="shared" si="6"/>
        <v>7.2187283950617284E-2</v>
      </c>
      <c r="AM42">
        <f t="shared" si="7"/>
        <v>4.4169738741851854E-3</v>
      </c>
      <c r="AP42" s="9"/>
      <c r="AQ42" s="21">
        <v>1.0388200000000001</v>
      </c>
      <c r="AR42" s="21">
        <v>19.241900000000001</v>
      </c>
      <c r="AS42" s="24">
        <v>-2.4719199999999999E-5</v>
      </c>
      <c r="AT42" s="21">
        <v>32</v>
      </c>
      <c r="AU42" s="21">
        <v>1.0379</v>
      </c>
      <c r="AV42">
        <f t="shared" si="8"/>
        <v>3.0517530864197527E-2</v>
      </c>
      <c r="AW42">
        <f t="shared" si="9"/>
        <v>3.1702221412345674E-2</v>
      </c>
      <c r="AX42" s="9"/>
      <c r="AY42" s="21">
        <v>6.1187699999999998E-2</v>
      </c>
      <c r="AZ42" s="21">
        <v>21.8627</v>
      </c>
      <c r="BA42" s="24">
        <v>-5.6366000000000002E-5</v>
      </c>
      <c r="BB42" s="21">
        <v>32</v>
      </c>
      <c r="BC42" s="21">
        <v>6.0943600000000001E-2</v>
      </c>
      <c r="BD42">
        <f t="shared" si="10"/>
        <v>6.9587654320987652E-2</v>
      </c>
      <c r="BE42">
        <f t="shared" si="11"/>
        <v>4.257908516296296E-3</v>
      </c>
      <c r="BH42" s="9"/>
      <c r="BI42" s="21"/>
      <c r="BJ42" s="21"/>
      <c r="BK42" s="21"/>
      <c r="BL42" s="21"/>
      <c r="BM42" s="21"/>
      <c r="BP42" s="9"/>
      <c r="BQ42" s="21"/>
      <c r="BR42" s="21"/>
      <c r="BS42" s="21"/>
      <c r="BT42" s="21"/>
      <c r="BU42" s="21"/>
      <c r="BZ42" s="9"/>
      <c r="CA42" s="21"/>
      <c r="CB42" s="21"/>
      <c r="CC42" s="21"/>
      <c r="CD42" s="21"/>
      <c r="CE42" s="21"/>
      <c r="CH42" s="9"/>
      <c r="CI42" s="21"/>
      <c r="CJ42" s="21"/>
      <c r="CK42" s="21"/>
      <c r="CL42" s="21"/>
      <c r="CM42" s="21"/>
      <c r="CR42" s="9"/>
      <c r="CS42" s="21"/>
      <c r="CT42" s="21"/>
      <c r="CU42" s="21"/>
      <c r="CV42" s="21"/>
      <c r="CW42" s="21"/>
      <c r="CZ42" s="9"/>
      <c r="DA42" s="21"/>
      <c r="DB42" s="21"/>
      <c r="DC42" s="21"/>
      <c r="DD42" s="21"/>
      <c r="DE42" s="21"/>
      <c r="DJ42" s="9"/>
      <c r="DK42" s="21"/>
      <c r="DL42" s="21"/>
      <c r="DM42" s="21"/>
      <c r="DN42" s="21"/>
      <c r="DO42" s="21"/>
      <c r="DR42" s="9"/>
      <c r="DS42" s="21"/>
      <c r="DT42" s="21"/>
      <c r="DU42" s="21"/>
      <c r="DV42" s="21"/>
      <c r="DW42" s="21"/>
      <c r="EB42" s="9"/>
      <c r="EC42" s="21"/>
      <c r="ED42" s="21"/>
      <c r="EE42" s="21"/>
      <c r="EF42" s="21"/>
      <c r="EG42" s="21"/>
      <c r="EJ42" s="9"/>
      <c r="EK42" s="21"/>
      <c r="EL42" s="21"/>
      <c r="EM42" s="21"/>
      <c r="EN42" s="21"/>
      <c r="EO42" s="21"/>
      <c r="ES42" s="9"/>
      <c r="ET42" s="21"/>
      <c r="EU42" s="21"/>
      <c r="EV42" s="21"/>
      <c r="EW42" s="21"/>
      <c r="EX42" s="21"/>
      <c r="FA42" s="9"/>
      <c r="FB42" s="21"/>
      <c r="FC42" s="21"/>
      <c r="FD42" s="21"/>
      <c r="FE42" s="21"/>
      <c r="FF42" s="21"/>
    </row>
    <row r="43" spans="6:162" x14ac:dyDescent="0.25">
      <c r="F43" s="9"/>
      <c r="G43" s="21">
        <v>1.0337799999999999</v>
      </c>
      <c r="H43" s="21">
        <v>5.3476600000000003</v>
      </c>
      <c r="I43" s="24">
        <v>-2.1972700000000001E-5</v>
      </c>
      <c r="J43" s="21">
        <v>33</v>
      </c>
      <c r="K43" s="21">
        <v>1.03271</v>
      </c>
      <c r="L43">
        <f t="shared" si="0"/>
        <v>2.7126790123456788E-2</v>
      </c>
      <c r="M43">
        <f t="shared" si="1"/>
        <v>2.8043133093827156E-2</v>
      </c>
      <c r="N43" s="9"/>
      <c r="O43" s="21">
        <v>6.6223099999999993E-2</v>
      </c>
      <c r="P43" s="21">
        <v>7.9683999999999999</v>
      </c>
      <c r="Q43" s="24">
        <v>-6.1401400000000005E-5</v>
      </c>
      <c r="R43" s="21">
        <v>33</v>
      </c>
      <c r="S43" s="21">
        <v>6.5918000000000004E-2</v>
      </c>
      <c r="T43">
        <f t="shared" si="2"/>
        <v>7.5804197530864204E-2</v>
      </c>
      <c r="U43">
        <f t="shared" si="3"/>
        <v>5.0199889535061729E-3</v>
      </c>
      <c r="X43" s="9"/>
      <c r="Y43" s="21">
        <v>1.0337799999999999</v>
      </c>
      <c r="Z43" s="21">
        <v>12.328799999999999</v>
      </c>
      <c r="AA43" s="24">
        <v>-2.5268600000000001E-5</v>
      </c>
      <c r="AB43" s="21">
        <v>33</v>
      </c>
      <c r="AC43" s="21">
        <v>1.03271</v>
      </c>
      <c r="AD43">
        <f t="shared" si="4"/>
        <v>3.1195802469135801E-2</v>
      </c>
      <c r="AE43">
        <f t="shared" si="5"/>
        <v>3.2249596676543209E-2</v>
      </c>
      <c r="AF43" s="9"/>
      <c r="AG43" s="21">
        <v>6.6223099999999993E-2</v>
      </c>
      <c r="AH43" s="21">
        <v>14.9496</v>
      </c>
      <c r="AI43" s="24">
        <v>-5.8319100000000002E-5</v>
      </c>
      <c r="AJ43" s="21">
        <v>33</v>
      </c>
      <c r="AK43" s="21">
        <v>6.5948499999999993E-2</v>
      </c>
      <c r="AL43">
        <f t="shared" si="6"/>
        <v>7.199888888888889E-2</v>
      </c>
      <c r="AM43">
        <f t="shared" si="7"/>
        <v>4.7679896187777775E-3</v>
      </c>
      <c r="AP43" s="9"/>
      <c r="AQ43" s="21">
        <v>1.0337799999999999</v>
      </c>
      <c r="AR43" s="21">
        <v>19.251999999999999</v>
      </c>
      <c r="AS43" s="24">
        <v>-2.52991E-5</v>
      </c>
      <c r="AT43" s="21">
        <v>33</v>
      </c>
      <c r="AU43" s="21">
        <v>1.03271</v>
      </c>
      <c r="AV43">
        <f t="shared" si="8"/>
        <v>3.1233456790123452E-2</v>
      </c>
      <c r="AW43">
        <f t="shared" si="9"/>
        <v>3.2288522960493823E-2</v>
      </c>
      <c r="AX43" s="9"/>
      <c r="AY43" s="21">
        <v>6.6223099999999993E-2</v>
      </c>
      <c r="AZ43" s="21">
        <v>21.872800000000002</v>
      </c>
      <c r="BA43" s="24">
        <v>-5.6152300000000001E-5</v>
      </c>
      <c r="BB43" s="21">
        <v>33</v>
      </c>
      <c r="BC43" s="21">
        <v>6.5887500000000002E-2</v>
      </c>
      <c r="BD43">
        <f t="shared" si="10"/>
        <v>6.9323827160493831E-2</v>
      </c>
      <c r="BE43">
        <f t="shared" si="11"/>
        <v>4.5908387384320983E-3</v>
      </c>
      <c r="BH43" s="9"/>
      <c r="BI43" s="21"/>
      <c r="BJ43" s="21"/>
      <c r="BK43" s="21"/>
      <c r="BL43" s="21"/>
      <c r="BM43" s="21"/>
      <c r="BP43" s="9"/>
      <c r="BQ43" s="21"/>
      <c r="BR43" s="21"/>
      <c r="BS43" s="21"/>
      <c r="BT43" s="21"/>
      <c r="BU43" s="21"/>
      <c r="BZ43" s="9"/>
      <c r="CA43" s="21"/>
      <c r="CB43" s="21"/>
      <c r="CC43" s="21"/>
      <c r="CD43" s="21"/>
      <c r="CE43" s="21"/>
      <c r="CH43" s="9"/>
      <c r="CI43" s="21"/>
      <c r="CJ43" s="21"/>
      <c r="CK43" s="21"/>
      <c r="CL43" s="21"/>
      <c r="CM43" s="21"/>
      <c r="CR43" s="9"/>
      <c r="CS43" s="21"/>
      <c r="CT43" s="21"/>
      <c r="CU43" s="21"/>
      <c r="CV43" s="21"/>
      <c r="CW43" s="21"/>
      <c r="CZ43" s="9"/>
      <c r="DA43" s="21"/>
      <c r="DB43" s="21"/>
      <c r="DC43" s="21"/>
      <c r="DD43" s="21"/>
      <c r="DE43" s="21"/>
      <c r="DJ43" s="9"/>
      <c r="DK43" s="21"/>
      <c r="DL43" s="21"/>
      <c r="DM43" s="21"/>
      <c r="DN43" s="21"/>
      <c r="DO43" s="21"/>
      <c r="DR43" s="9"/>
      <c r="DS43" s="21"/>
      <c r="DT43" s="21"/>
      <c r="DU43" s="21"/>
      <c r="DV43" s="21"/>
      <c r="DW43" s="21"/>
      <c r="EB43" s="9"/>
      <c r="EC43" s="21"/>
      <c r="ED43" s="21"/>
      <c r="EE43" s="21"/>
      <c r="EF43" s="21"/>
      <c r="EG43" s="21"/>
      <c r="EJ43" s="9"/>
      <c r="EK43" s="21"/>
      <c r="EL43" s="21"/>
      <c r="EM43" s="21"/>
      <c r="EN43" s="21"/>
      <c r="EO43" s="21"/>
      <c r="ES43" s="9"/>
      <c r="ET43" s="21"/>
      <c r="EU43" s="21"/>
      <c r="EV43" s="21"/>
      <c r="EW43" s="21"/>
      <c r="EX43" s="21"/>
      <c r="FA43" s="9"/>
      <c r="FB43" s="21"/>
      <c r="FC43" s="21"/>
      <c r="FD43" s="21"/>
      <c r="FE43" s="21"/>
      <c r="FF43" s="21"/>
    </row>
    <row r="44" spans="6:162" x14ac:dyDescent="0.25">
      <c r="F44" s="9"/>
      <c r="G44" s="21">
        <v>1.0287500000000001</v>
      </c>
      <c r="H44" s="21">
        <v>5.3577300000000001</v>
      </c>
      <c r="I44" s="24">
        <v>-2.3010299999999999E-5</v>
      </c>
      <c r="J44" s="21">
        <v>34</v>
      </c>
      <c r="K44" s="21">
        <v>1.02783</v>
      </c>
      <c r="L44">
        <f t="shared" si="0"/>
        <v>2.8407777777777775E-2</v>
      </c>
      <c r="M44">
        <f t="shared" si="1"/>
        <v>2.9224501388888886E-2</v>
      </c>
      <c r="N44" s="9"/>
      <c r="O44" s="21">
        <v>7.1258500000000002E-2</v>
      </c>
      <c r="P44" s="21">
        <v>7.9784699999999997</v>
      </c>
      <c r="Q44" s="24">
        <v>-6.1157199999999998E-5</v>
      </c>
      <c r="R44" s="21">
        <v>34</v>
      </c>
      <c r="S44" s="21">
        <v>7.0983900000000003E-2</v>
      </c>
      <c r="T44">
        <f t="shared" si="2"/>
        <v>7.5502716049382704E-2</v>
      </c>
      <c r="U44">
        <f t="shared" si="3"/>
        <v>5.380210291604938E-3</v>
      </c>
      <c r="X44" s="9"/>
      <c r="Y44" s="21">
        <v>1.0287500000000001</v>
      </c>
      <c r="Z44" s="21">
        <v>12.338900000000001</v>
      </c>
      <c r="AA44" s="24">
        <v>-2.6001000000000001E-5</v>
      </c>
      <c r="AB44" s="21">
        <v>34</v>
      </c>
      <c r="AC44" s="21">
        <v>1.02783</v>
      </c>
      <c r="AD44">
        <f t="shared" si="4"/>
        <v>3.2100000000000004E-2</v>
      </c>
      <c r="AE44">
        <f t="shared" si="5"/>
        <v>3.3022875000000007E-2</v>
      </c>
      <c r="AF44" s="9"/>
      <c r="AG44" s="21">
        <v>7.1258500000000002E-2</v>
      </c>
      <c r="AH44" s="21">
        <v>14.9596</v>
      </c>
      <c r="AI44" s="24">
        <v>-5.8105500000000001E-5</v>
      </c>
      <c r="AJ44" s="21">
        <v>34</v>
      </c>
      <c r="AK44" s="21">
        <v>7.09534E-2</v>
      </c>
      <c r="AL44">
        <f t="shared" si="6"/>
        <v>7.173518518518518E-2</v>
      </c>
      <c r="AM44">
        <f t="shared" si="7"/>
        <v>5.1117416935185182E-3</v>
      </c>
      <c r="AP44" s="9"/>
      <c r="AQ44" s="21">
        <v>1.0287500000000001</v>
      </c>
      <c r="AR44" s="21">
        <v>19.2621</v>
      </c>
      <c r="AS44" s="24">
        <v>-2.59094E-5</v>
      </c>
      <c r="AT44" s="21">
        <v>34</v>
      </c>
      <c r="AU44" s="21">
        <v>1.0281400000000001</v>
      </c>
      <c r="AV44">
        <f t="shared" si="8"/>
        <v>3.1986913580246912E-2</v>
      </c>
      <c r="AW44">
        <f t="shared" si="9"/>
        <v>3.2906537345679013E-2</v>
      </c>
      <c r="AX44" s="9"/>
      <c r="AY44" s="21">
        <v>7.1258500000000002E-2</v>
      </c>
      <c r="AZ44" s="21">
        <v>21.8828</v>
      </c>
      <c r="BA44" s="24">
        <v>-5.5969199999999999E-5</v>
      </c>
      <c r="BB44" s="21">
        <v>34</v>
      </c>
      <c r="BC44" s="21">
        <v>7.09534E-2</v>
      </c>
      <c r="BD44">
        <f t="shared" si="10"/>
        <v>6.9097777777777772E-2</v>
      </c>
      <c r="BE44">
        <f t="shared" si="11"/>
        <v>4.9238039977777771E-3</v>
      </c>
      <c r="BH44" s="9"/>
      <c r="BI44" s="21"/>
      <c r="BJ44" s="21"/>
      <c r="BK44" s="21"/>
      <c r="BL44" s="21"/>
      <c r="BM44" s="21"/>
      <c r="BP44" s="9"/>
      <c r="BQ44" s="21"/>
      <c r="BR44" s="21"/>
      <c r="BS44" s="21"/>
      <c r="BT44" s="21"/>
      <c r="BU44" s="21"/>
      <c r="BZ44" s="9"/>
      <c r="CA44" s="21"/>
      <c r="CB44" s="21"/>
      <c r="CC44" s="21"/>
      <c r="CD44" s="21"/>
      <c r="CE44" s="21"/>
      <c r="CH44" s="9"/>
      <c r="CI44" s="21"/>
      <c r="CJ44" s="21"/>
      <c r="CK44" s="21"/>
      <c r="CL44" s="21"/>
      <c r="CM44" s="21"/>
      <c r="CR44" s="9"/>
      <c r="CS44" s="21"/>
      <c r="CT44" s="21"/>
      <c r="CU44" s="21"/>
      <c r="CV44" s="21"/>
      <c r="CW44" s="21"/>
      <c r="CZ44" s="9"/>
      <c r="DA44" s="21"/>
      <c r="DB44" s="21"/>
      <c r="DC44" s="21"/>
      <c r="DD44" s="21"/>
      <c r="DE44" s="21"/>
      <c r="DJ44" s="9"/>
      <c r="DK44" s="21"/>
      <c r="DL44" s="21"/>
      <c r="DM44" s="21"/>
      <c r="DN44" s="21"/>
      <c r="DO44" s="21"/>
      <c r="DR44" s="9"/>
      <c r="DS44" s="21"/>
      <c r="DT44" s="21"/>
      <c r="DU44" s="21"/>
      <c r="DV44" s="21"/>
      <c r="DW44" s="21"/>
      <c r="EB44" s="9"/>
      <c r="EC44" s="21"/>
      <c r="ED44" s="21"/>
      <c r="EE44" s="21"/>
      <c r="EF44" s="21"/>
      <c r="EG44" s="21"/>
      <c r="EJ44" s="9"/>
      <c r="EK44" s="21"/>
      <c r="EL44" s="21"/>
      <c r="EM44" s="21"/>
      <c r="EN44" s="21"/>
      <c r="EO44" s="21"/>
      <c r="ES44" s="9"/>
      <c r="ET44" s="21"/>
      <c r="EU44" s="21"/>
      <c r="EV44" s="21"/>
      <c r="EW44" s="21"/>
      <c r="EX44" s="21"/>
      <c r="FA44" s="9"/>
      <c r="FB44" s="21"/>
      <c r="FC44" s="21"/>
      <c r="FD44" s="21"/>
      <c r="FE44" s="21"/>
      <c r="FF44" s="21"/>
    </row>
    <row r="45" spans="6:162" x14ac:dyDescent="0.25">
      <c r="F45" s="9"/>
      <c r="G45" s="21">
        <v>1.0237099999999999</v>
      </c>
      <c r="H45" s="21">
        <v>5.3677999999999999</v>
      </c>
      <c r="I45" s="24">
        <v>-2.4017300000000001E-5</v>
      </c>
      <c r="J45" s="21">
        <v>35</v>
      </c>
      <c r="K45" s="21">
        <v>1.02264</v>
      </c>
      <c r="L45">
        <f t="shared" si="0"/>
        <v>2.9650987654320986E-2</v>
      </c>
      <c r="M45">
        <f t="shared" si="1"/>
        <v>3.0354012571604933E-2</v>
      </c>
      <c r="N45" s="9"/>
      <c r="O45" s="21">
        <v>7.6293899999999998E-2</v>
      </c>
      <c r="P45" s="21">
        <v>7.9885400000000004</v>
      </c>
      <c r="Q45" s="24">
        <v>-6.0974100000000003E-5</v>
      </c>
      <c r="R45" s="21">
        <v>35</v>
      </c>
      <c r="S45" s="21">
        <v>7.5897199999999998E-2</v>
      </c>
      <c r="T45">
        <f t="shared" si="2"/>
        <v>7.5276666666666672E-2</v>
      </c>
      <c r="U45">
        <f t="shared" si="3"/>
        <v>5.7431504790000001E-3</v>
      </c>
      <c r="X45" s="9"/>
      <c r="Y45" s="21">
        <v>1.0237099999999999</v>
      </c>
      <c r="Z45" s="21">
        <v>12.349</v>
      </c>
      <c r="AA45" s="24">
        <v>-2.6458700000000001E-5</v>
      </c>
      <c r="AB45" s="21">
        <v>35</v>
      </c>
      <c r="AC45" s="21">
        <v>1.02234</v>
      </c>
      <c r="AD45">
        <f t="shared" si="4"/>
        <v>3.2665061728395062E-2</v>
      </c>
      <c r="AE45">
        <f t="shared" si="5"/>
        <v>3.3439550341975308E-2</v>
      </c>
      <c r="AF45" s="9"/>
      <c r="AG45" s="21">
        <v>7.6293899999999998E-2</v>
      </c>
      <c r="AH45" s="21">
        <v>14.9697</v>
      </c>
      <c r="AI45" s="24">
        <v>-5.78918E-5</v>
      </c>
      <c r="AJ45" s="21">
        <v>35</v>
      </c>
      <c r="AK45" s="21">
        <v>7.6019299999999998E-2</v>
      </c>
      <c r="AL45">
        <f t="shared" si="6"/>
        <v>7.1471358024691345E-2</v>
      </c>
      <c r="AM45">
        <f t="shared" si="7"/>
        <v>5.452828641999999E-3</v>
      </c>
      <c r="AP45" s="9"/>
      <c r="AQ45" s="21">
        <v>1.0237099999999999</v>
      </c>
      <c r="AR45" s="21">
        <v>19.272200000000002</v>
      </c>
      <c r="AS45" s="24">
        <v>-2.66418E-5</v>
      </c>
      <c r="AT45" s="21">
        <v>35</v>
      </c>
      <c r="AU45" s="21">
        <v>1.02295</v>
      </c>
      <c r="AV45">
        <f t="shared" si="8"/>
        <v>3.2891111111111107E-2</v>
      </c>
      <c r="AW45">
        <f t="shared" si="9"/>
        <v>3.3670959355555551E-2</v>
      </c>
      <c r="AX45" s="9"/>
      <c r="AY45" s="21">
        <v>7.6293899999999998E-2</v>
      </c>
      <c r="AZ45" s="21">
        <v>21.892900000000001</v>
      </c>
      <c r="BA45" s="24">
        <v>-5.5725099999999999E-5</v>
      </c>
      <c r="BB45" s="21">
        <v>35</v>
      </c>
      <c r="BC45" s="21">
        <v>7.6049800000000001E-2</v>
      </c>
      <c r="BD45">
        <f t="shared" si="10"/>
        <v>6.879641975308641E-2</v>
      </c>
      <c r="BE45">
        <f t="shared" si="11"/>
        <v>5.2487471689999995E-3</v>
      </c>
      <c r="BH45" s="9"/>
      <c r="BI45" s="21"/>
      <c r="BJ45" s="21"/>
      <c r="BK45" s="21"/>
      <c r="BL45" s="21"/>
      <c r="BM45" s="21"/>
      <c r="BP45" s="9"/>
      <c r="BQ45" s="21"/>
      <c r="BR45" s="21"/>
      <c r="BS45" s="21"/>
      <c r="BT45" s="21"/>
      <c r="BU45" s="21"/>
      <c r="BZ45" s="9"/>
      <c r="CA45" s="21"/>
      <c r="CB45" s="21"/>
      <c r="CC45" s="21"/>
      <c r="CD45" s="21"/>
      <c r="CE45" s="21"/>
      <c r="CH45" s="9"/>
      <c r="CI45" s="21"/>
      <c r="CJ45" s="21"/>
      <c r="CK45" s="21"/>
      <c r="CL45" s="21"/>
      <c r="CM45" s="21"/>
      <c r="CR45" s="9"/>
      <c r="CS45" s="21"/>
      <c r="CT45" s="21"/>
      <c r="CU45" s="21"/>
      <c r="CV45" s="21"/>
      <c r="CW45" s="21"/>
      <c r="CZ45" s="9"/>
      <c r="DA45" s="21"/>
      <c r="DB45" s="21"/>
      <c r="DC45" s="21"/>
      <c r="DD45" s="21"/>
      <c r="DE45" s="21"/>
      <c r="DJ45" s="9"/>
      <c r="DK45" s="21"/>
      <c r="DL45" s="21"/>
      <c r="DM45" s="21"/>
      <c r="DN45" s="21"/>
      <c r="DO45" s="21"/>
      <c r="DR45" s="9"/>
      <c r="DS45" s="21"/>
      <c r="DT45" s="21"/>
      <c r="DU45" s="21"/>
      <c r="DV45" s="21"/>
      <c r="DW45" s="21"/>
      <c r="EB45" s="9"/>
      <c r="EC45" s="21"/>
      <c r="ED45" s="21"/>
      <c r="EE45" s="21"/>
      <c r="EF45" s="21"/>
      <c r="EG45" s="21"/>
      <c r="EJ45" s="9"/>
      <c r="EK45" s="21"/>
      <c r="EL45" s="21"/>
      <c r="EM45" s="21"/>
      <c r="EN45" s="21"/>
      <c r="EO45" s="21"/>
      <c r="ES45" s="9"/>
      <c r="ET45" s="21"/>
      <c r="EU45" s="21"/>
      <c r="EV45" s="21"/>
      <c r="EW45" s="21"/>
      <c r="EX45" s="21"/>
      <c r="FA45" s="9"/>
      <c r="FB45" s="21"/>
      <c r="FC45" s="21"/>
      <c r="FD45" s="21"/>
      <c r="FE45" s="21"/>
      <c r="FF45" s="21"/>
    </row>
    <row r="46" spans="6:162" x14ac:dyDescent="0.25">
      <c r="F46" s="9"/>
      <c r="G46" s="21">
        <v>1.01868</v>
      </c>
      <c r="H46" s="21">
        <v>5.3778800000000002</v>
      </c>
      <c r="I46" s="24">
        <v>-2.5085399999999999E-5</v>
      </c>
      <c r="J46" s="21">
        <v>36</v>
      </c>
      <c r="K46" s="21">
        <v>1.01746</v>
      </c>
      <c r="L46">
        <f t="shared" si="0"/>
        <v>3.0969629629629625E-2</v>
      </c>
      <c r="M46">
        <f t="shared" si="1"/>
        <v>3.154814231111111E-2</v>
      </c>
      <c r="N46" s="9"/>
      <c r="O46" s="21">
        <v>8.1329299999999993E-2</v>
      </c>
      <c r="P46" s="21">
        <v>7.9986199999999998</v>
      </c>
      <c r="Q46" s="24">
        <v>-6.0730000000000003E-5</v>
      </c>
      <c r="R46" s="21">
        <v>36</v>
      </c>
      <c r="S46" s="21">
        <v>8.1054699999999993E-2</v>
      </c>
      <c r="T46">
        <f t="shared" si="2"/>
        <v>7.4975308641975311E-2</v>
      </c>
      <c r="U46">
        <f t="shared" si="3"/>
        <v>6.0976893691358025E-3</v>
      </c>
      <c r="X46" s="9"/>
      <c r="Y46" s="21">
        <v>1.01868</v>
      </c>
      <c r="Z46" s="21">
        <v>12.359</v>
      </c>
      <c r="AA46" s="24">
        <v>-2.7282699999999999E-5</v>
      </c>
      <c r="AB46" s="21">
        <v>36</v>
      </c>
      <c r="AC46" s="21">
        <v>1.01746</v>
      </c>
      <c r="AD46">
        <f t="shared" si="4"/>
        <v>3.3682345679012342E-2</v>
      </c>
      <c r="AE46">
        <f t="shared" si="5"/>
        <v>3.4311531896296293E-2</v>
      </c>
      <c r="AF46" s="9"/>
      <c r="AG46" s="21">
        <v>8.1329299999999993E-2</v>
      </c>
      <c r="AH46" s="21">
        <v>14.979799999999999</v>
      </c>
      <c r="AI46" s="24">
        <v>-5.7586700000000002E-5</v>
      </c>
      <c r="AJ46" s="21">
        <v>36</v>
      </c>
      <c r="AK46" s="21">
        <v>8.1176799999999993E-2</v>
      </c>
      <c r="AL46">
        <f t="shared" si="6"/>
        <v>7.1094691358024681E-2</v>
      </c>
      <c r="AM46">
        <f t="shared" si="7"/>
        <v>5.7820814818641958E-3</v>
      </c>
      <c r="AP46" s="9"/>
      <c r="AQ46" s="21">
        <v>1.01868</v>
      </c>
      <c r="AR46" s="21">
        <v>19.2822</v>
      </c>
      <c r="AS46" s="24">
        <v>-2.7282699999999999E-5</v>
      </c>
      <c r="AT46" s="21">
        <v>36</v>
      </c>
      <c r="AU46" s="21">
        <v>1.01776</v>
      </c>
      <c r="AV46">
        <f t="shared" si="8"/>
        <v>3.3682345679012342E-2</v>
      </c>
      <c r="AW46">
        <f t="shared" si="9"/>
        <v>3.4311531896296293E-2</v>
      </c>
      <c r="AX46" s="9"/>
      <c r="AY46" s="21">
        <v>8.1329299999999993E-2</v>
      </c>
      <c r="AZ46" s="21">
        <v>21.902999999999999</v>
      </c>
      <c r="BA46" s="24">
        <v>-5.5419900000000001E-5</v>
      </c>
      <c r="BB46" s="21">
        <v>36</v>
      </c>
      <c r="BC46" s="21">
        <v>8.1024200000000005E-2</v>
      </c>
      <c r="BD46">
        <f t="shared" si="10"/>
        <v>6.8419629629629622E-2</v>
      </c>
      <c r="BE46">
        <f t="shared" si="11"/>
        <v>5.5645205840370356E-3</v>
      </c>
      <c r="BH46" s="9"/>
      <c r="BI46" s="21"/>
      <c r="BJ46" s="21"/>
      <c r="BK46" s="21"/>
      <c r="BL46" s="21"/>
      <c r="BM46" s="21"/>
      <c r="BP46" s="9"/>
      <c r="BQ46" s="21"/>
      <c r="BR46" s="21"/>
      <c r="BS46" s="21"/>
      <c r="BT46" s="21"/>
      <c r="BU46" s="21"/>
      <c r="BZ46" s="9"/>
      <c r="CA46" s="21"/>
      <c r="CB46" s="21"/>
      <c r="CC46" s="21"/>
      <c r="CD46" s="21"/>
      <c r="CE46" s="21"/>
      <c r="CH46" s="9"/>
      <c r="CI46" s="21"/>
      <c r="CJ46" s="21"/>
      <c r="CK46" s="21"/>
      <c r="CL46" s="21"/>
      <c r="CM46" s="21"/>
      <c r="CR46" s="9"/>
      <c r="CS46" s="21"/>
      <c r="CT46" s="21"/>
      <c r="CU46" s="21"/>
      <c r="CV46" s="21"/>
      <c r="CW46" s="21"/>
      <c r="CZ46" s="9"/>
      <c r="DA46" s="21"/>
      <c r="DB46" s="21"/>
      <c r="DC46" s="21"/>
      <c r="DD46" s="21"/>
      <c r="DE46" s="21"/>
      <c r="DJ46" s="9"/>
      <c r="DK46" s="21"/>
      <c r="DL46" s="21"/>
      <c r="DM46" s="21"/>
      <c r="DN46" s="21"/>
      <c r="DO46" s="21"/>
      <c r="DR46" s="9"/>
      <c r="DS46" s="21"/>
      <c r="DT46" s="21"/>
      <c r="DU46" s="21"/>
      <c r="DV46" s="21"/>
      <c r="DW46" s="21"/>
      <c r="EB46" s="9"/>
      <c r="EC46" s="21"/>
      <c r="ED46" s="21"/>
      <c r="EE46" s="21"/>
      <c r="EF46" s="21"/>
      <c r="EG46" s="21"/>
      <c r="EJ46" s="9"/>
      <c r="EK46" s="21"/>
      <c r="EL46" s="21"/>
      <c r="EM46" s="21"/>
      <c r="EN46" s="21"/>
      <c r="EO46" s="21"/>
      <c r="ES46" s="9"/>
      <c r="ET46" s="21"/>
      <c r="EU46" s="21"/>
      <c r="EV46" s="21"/>
      <c r="EW46" s="21"/>
      <c r="EX46" s="21"/>
      <c r="FA46" s="9"/>
      <c r="FB46" s="21"/>
      <c r="FC46" s="21"/>
      <c r="FD46" s="21"/>
      <c r="FE46" s="21"/>
      <c r="FF46" s="21"/>
    </row>
    <row r="47" spans="6:162" x14ac:dyDescent="0.25">
      <c r="F47" s="9"/>
      <c r="G47" s="21">
        <v>1.0136400000000001</v>
      </c>
      <c r="H47" s="21">
        <v>5.38795</v>
      </c>
      <c r="I47" s="24">
        <v>-2.5878900000000001E-5</v>
      </c>
      <c r="J47" s="21">
        <v>37</v>
      </c>
      <c r="K47" s="21">
        <v>1.01318</v>
      </c>
      <c r="L47">
        <f t="shared" si="0"/>
        <v>3.1949259259259261E-2</v>
      </c>
      <c r="M47">
        <f t="shared" si="1"/>
        <v>3.2385047155555562E-2</v>
      </c>
      <c r="N47" s="9"/>
      <c r="O47" s="21">
        <v>8.6364700000000003E-2</v>
      </c>
      <c r="P47" s="21">
        <v>8.0086899999999996</v>
      </c>
      <c r="Q47" s="24">
        <v>-6.0516400000000002E-5</v>
      </c>
      <c r="R47" s="21">
        <v>37</v>
      </c>
      <c r="S47" s="21">
        <v>8.6090100000000003E-2</v>
      </c>
      <c r="T47">
        <f t="shared" si="2"/>
        <v>7.47116049382716E-2</v>
      </c>
      <c r="U47">
        <f t="shared" si="3"/>
        <v>6.4524453470123453E-3</v>
      </c>
      <c r="X47" s="9"/>
      <c r="Y47" s="21">
        <v>1.0136400000000001</v>
      </c>
      <c r="Z47" s="21">
        <v>12.3691</v>
      </c>
      <c r="AA47" s="24">
        <v>-2.7923600000000001E-5</v>
      </c>
      <c r="AB47" s="21">
        <v>37</v>
      </c>
      <c r="AC47" s="21">
        <v>1.01288</v>
      </c>
      <c r="AD47">
        <f t="shared" si="4"/>
        <v>3.4473580246913584E-2</v>
      </c>
      <c r="AE47">
        <f t="shared" si="5"/>
        <v>3.494379988148149E-2</v>
      </c>
      <c r="AF47" s="9"/>
      <c r="AG47" s="21">
        <v>8.6364700000000003E-2</v>
      </c>
      <c r="AH47" s="21">
        <v>14.9899</v>
      </c>
      <c r="AI47" s="24">
        <v>-5.7464599999999999E-5</v>
      </c>
      <c r="AJ47" s="21">
        <v>37</v>
      </c>
      <c r="AK47" s="21">
        <v>8.60596E-2</v>
      </c>
      <c r="AL47">
        <f t="shared" si="6"/>
        <v>7.0943950617283952E-2</v>
      </c>
      <c r="AM47">
        <f t="shared" si="7"/>
        <v>6.1270530118765435E-3</v>
      </c>
      <c r="AP47" s="9"/>
      <c r="AQ47" s="21">
        <v>1.0136400000000001</v>
      </c>
      <c r="AR47" s="21">
        <v>19.292300000000001</v>
      </c>
      <c r="AS47" s="24">
        <v>-2.8045700000000002E-5</v>
      </c>
      <c r="AT47" s="21">
        <v>37</v>
      </c>
      <c r="AU47" s="21">
        <v>1.01227</v>
      </c>
      <c r="AV47">
        <f t="shared" si="8"/>
        <v>3.462432098765432E-2</v>
      </c>
      <c r="AW47">
        <f t="shared" si="9"/>
        <v>3.5096596725925931E-2</v>
      </c>
      <c r="AX47" s="9"/>
      <c r="AY47" s="21">
        <v>8.6364700000000003E-2</v>
      </c>
      <c r="AZ47" s="21">
        <v>21.913</v>
      </c>
      <c r="BA47" s="24">
        <v>-5.5267299999999999E-5</v>
      </c>
      <c r="BB47" s="21">
        <v>37</v>
      </c>
      <c r="BC47" s="21">
        <v>8.6090100000000003E-2</v>
      </c>
      <c r="BD47">
        <f t="shared" si="10"/>
        <v>6.8231234567901228E-2</v>
      </c>
      <c r="BE47">
        <f t="shared" si="11"/>
        <v>5.8927701040864195E-3</v>
      </c>
      <c r="BH47" s="9"/>
      <c r="BI47" s="21"/>
      <c r="BJ47" s="21"/>
      <c r="BK47" s="21"/>
      <c r="BL47" s="21"/>
      <c r="BM47" s="21"/>
      <c r="BP47" s="9"/>
      <c r="BQ47" s="21"/>
      <c r="BR47" s="21"/>
      <c r="BS47" s="21"/>
      <c r="BT47" s="21"/>
      <c r="BU47" s="21"/>
      <c r="BZ47" s="9"/>
      <c r="CA47" s="21"/>
      <c r="CB47" s="21"/>
      <c r="CC47" s="21"/>
      <c r="CD47" s="21"/>
      <c r="CE47" s="21"/>
      <c r="CH47" s="9"/>
      <c r="CI47" s="21"/>
      <c r="CJ47" s="21"/>
      <c r="CK47" s="21"/>
      <c r="CL47" s="21"/>
      <c r="CM47" s="21"/>
      <c r="CR47" s="9"/>
      <c r="CS47" s="21"/>
      <c r="CT47" s="21"/>
      <c r="CU47" s="21"/>
      <c r="CV47" s="21"/>
      <c r="CW47" s="21"/>
      <c r="CZ47" s="9"/>
      <c r="DA47" s="21"/>
      <c r="DB47" s="21"/>
      <c r="DC47" s="21"/>
      <c r="DD47" s="21"/>
      <c r="DE47" s="21"/>
      <c r="DJ47" s="9"/>
      <c r="DK47" s="21"/>
      <c r="DL47" s="21"/>
      <c r="DM47" s="21"/>
      <c r="DN47" s="21"/>
      <c r="DO47" s="21"/>
      <c r="DR47" s="9"/>
      <c r="DS47" s="21"/>
      <c r="DT47" s="21"/>
      <c r="DU47" s="21"/>
      <c r="DV47" s="21"/>
      <c r="DW47" s="21"/>
      <c r="EB47" s="9"/>
      <c r="EC47" s="21"/>
      <c r="ED47" s="21"/>
      <c r="EE47" s="21"/>
      <c r="EF47" s="21"/>
      <c r="EG47" s="21"/>
      <c r="EJ47" s="9"/>
      <c r="EK47" s="21"/>
      <c r="EL47" s="21"/>
      <c r="EM47" s="21"/>
      <c r="EN47" s="21"/>
      <c r="EO47" s="21"/>
      <c r="ES47" s="9"/>
      <c r="ET47" s="21"/>
      <c r="EU47" s="21"/>
      <c r="EV47" s="21"/>
      <c r="EW47" s="21"/>
      <c r="EX47" s="21"/>
      <c r="FA47" s="9"/>
      <c r="FB47" s="21"/>
      <c r="FC47" s="21"/>
      <c r="FD47" s="21"/>
      <c r="FE47" s="21"/>
      <c r="FF47" s="21"/>
    </row>
    <row r="48" spans="6:162" x14ac:dyDescent="0.25">
      <c r="F48" s="9"/>
      <c r="G48" s="21">
        <v>1.00861</v>
      </c>
      <c r="H48" s="21">
        <v>5.3980199999999998</v>
      </c>
      <c r="I48" s="24">
        <v>-2.69775E-5</v>
      </c>
      <c r="J48" s="21">
        <v>38</v>
      </c>
      <c r="K48" s="21">
        <v>1.00739</v>
      </c>
      <c r="L48">
        <f t="shared" si="0"/>
        <v>3.3305555555555554E-2</v>
      </c>
      <c r="M48">
        <f t="shared" si="1"/>
        <v>3.359231638888889E-2</v>
      </c>
      <c r="N48" s="9"/>
      <c r="O48" s="21">
        <v>9.1400099999999998E-2</v>
      </c>
      <c r="P48" s="21">
        <v>8.0187600000000003</v>
      </c>
      <c r="Q48" s="24">
        <v>-6.0333300000000001E-5</v>
      </c>
      <c r="R48" s="21">
        <v>38</v>
      </c>
      <c r="S48" s="21">
        <v>9.1156000000000001E-2</v>
      </c>
      <c r="T48">
        <f t="shared" si="2"/>
        <v>7.4485555555555555E-2</v>
      </c>
      <c r="U48">
        <f t="shared" si="3"/>
        <v>6.8079872263333329E-3</v>
      </c>
      <c r="X48" s="9"/>
      <c r="Y48" s="21">
        <v>1.00861</v>
      </c>
      <c r="Z48" s="21">
        <v>12.379200000000001</v>
      </c>
      <c r="AA48" s="24">
        <v>-2.8625499999999999E-5</v>
      </c>
      <c r="AB48" s="21">
        <v>38</v>
      </c>
      <c r="AC48" s="21">
        <v>1.00769</v>
      </c>
      <c r="AD48">
        <f t="shared" si="4"/>
        <v>3.5340123456790114E-2</v>
      </c>
      <c r="AE48">
        <f t="shared" si="5"/>
        <v>3.5644401919753078E-2</v>
      </c>
      <c r="AF48" s="9"/>
      <c r="AG48" s="21">
        <v>9.1400099999999998E-2</v>
      </c>
      <c r="AH48" s="21">
        <v>14.9999</v>
      </c>
      <c r="AI48" s="24">
        <v>-5.71594E-5</v>
      </c>
      <c r="AJ48" s="21">
        <v>38</v>
      </c>
      <c r="AK48" s="21">
        <v>9.1094999999999995E-2</v>
      </c>
      <c r="AL48">
        <f t="shared" si="6"/>
        <v>7.0567160493827163E-2</v>
      </c>
      <c r="AM48">
        <f t="shared" si="7"/>
        <v>6.4498455258518517E-3</v>
      </c>
      <c r="AP48" s="9"/>
      <c r="AQ48" s="21">
        <v>1.00861</v>
      </c>
      <c r="AR48" s="21">
        <v>19.302399999999999</v>
      </c>
      <c r="AS48" s="24">
        <v>-2.8564500000000001E-5</v>
      </c>
      <c r="AT48" s="21">
        <v>38</v>
      </c>
      <c r="AU48" s="21">
        <v>1.008</v>
      </c>
      <c r="AV48">
        <f t="shared" si="8"/>
        <v>3.5264814814814818E-2</v>
      </c>
      <c r="AW48">
        <f t="shared" si="9"/>
        <v>3.5568444870370371E-2</v>
      </c>
      <c r="AX48" s="9"/>
      <c r="AY48" s="21">
        <v>9.1400099999999998E-2</v>
      </c>
      <c r="AZ48" s="21">
        <v>21.923100000000002</v>
      </c>
      <c r="BA48" s="24">
        <v>-5.5084199999999997E-5</v>
      </c>
      <c r="BB48" s="21">
        <v>38</v>
      </c>
      <c r="BC48" s="21">
        <v>9.1125499999999998E-2</v>
      </c>
      <c r="BD48">
        <f t="shared" si="10"/>
        <v>6.8005185185185182E-2</v>
      </c>
      <c r="BE48">
        <f t="shared" si="11"/>
        <v>6.215680726444444E-3</v>
      </c>
      <c r="BH48" s="9"/>
      <c r="BI48" s="21"/>
      <c r="BJ48" s="21"/>
      <c r="BK48" s="21"/>
      <c r="BL48" s="21"/>
      <c r="BM48" s="21"/>
      <c r="BP48" s="9"/>
      <c r="BQ48" s="21"/>
      <c r="BR48" s="21"/>
      <c r="BS48" s="21"/>
      <c r="BT48" s="21"/>
      <c r="BU48" s="21"/>
      <c r="BZ48" s="9"/>
      <c r="CA48" s="21"/>
      <c r="CB48" s="21"/>
      <c r="CC48" s="21"/>
      <c r="CD48" s="21"/>
      <c r="CE48" s="21"/>
      <c r="CH48" s="9"/>
      <c r="CI48" s="21"/>
      <c r="CJ48" s="21"/>
      <c r="CK48" s="21"/>
      <c r="CL48" s="21"/>
      <c r="CM48" s="21"/>
      <c r="CR48" s="9"/>
      <c r="CS48" s="21"/>
      <c r="CT48" s="21"/>
      <c r="CU48" s="21"/>
      <c r="CV48" s="21"/>
      <c r="CW48" s="21"/>
      <c r="CZ48" s="9"/>
      <c r="DA48" s="21"/>
      <c r="DB48" s="21"/>
      <c r="DC48" s="21"/>
      <c r="DD48" s="21"/>
      <c r="DE48" s="21"/>
      <c r="DJ48" s="9"/>
      <c r="DK48" s="21"/>
      <c r="DL48" s="21"/>
      <c r="DM48" s="21"/>
      <c r="DN48" s="21"/>
      <c r="DO48" s="21"/>
      <c r="DR48" s="9"/>
      <c r="DS48" s="21"/>
      <c r="DT48" s="21"/>
      <c r="DU48" s="21"/>
      <c r="DV48" s="21"/>
      <c r="DW48" s="21"/>
      <c r="EB48" s="9"/>
      <c r="EC48" s="21"/>
      <c r="ED48" s="21"/>
      <c r="EE48" s="21"/>
      <c r="EF48" s="21"/>
      <c r="EG48" s="21"/>
      <c r="EJ48" s="9"/>
      <c r="EK48" s="21"/>
      <c r="EL48" s="21"/>
      <c r="EM48" s="21"/>
      <c r="EN48" s="21"/>
      <c r="EO48" s="21"/>
      <c r="ES48" s="9"/>
      <c r="ET48" s="21"/>
      <c r="EU48" s="21"/>
      <c r="EV48" s="21"/>
      <c r="EW48" s="21"/>
      <c r="EX48" s="21"/>
      <c r="FA48" s="9"/>
      <c r="FB48" s="21"/>
      <c r="FC48" s="21"/>
      <c r="FD48" s="21"/>
      <c r="FE48" s="21"/>
      <c r="FF48" s="21"/>
    </row>
    <row r="49" spans="6:162" x14ac:dyDescent="0.25">
      <c r="F49" s="9"/>
      <c r="G49" s="21">
        <v>1.0035700000000001</v>
      </c>
      <c r="H49" s="21">
        <v>5.4080899999999996</v>
      </c>
      <c r="I49" s="24">
        <v>-2.79846E-5</v>
      </c>
      <c r="J49" s="21">
        <v>39</v>
      </c>
      <c r="K49" s="21">
        <v>1.00281</v>
      </c>
      <c r="L49">
        <f t="shared" si="0"/>
        <v>3.4548888888888886E-2</v>
      </c>
      <c r="M49">
        <f t="shared" si="1"/>
        <v>3.4672228422222222E-2</v>
      </c>
      <c r="N49" s="9"/>
      <c r="O49" s="21">
        <v>9.6435499999999993E-2</v>
      </c>
      <c r="P49" s="21">
        <v>8.0288299999999992</v>
      </c>
      <c r="Q49" s="24">
        <v>-6.0150099999999999E-5</v>
      </c>
      <c r="R49" s="21">
        <v>39</v>
      </c>
      <c r="S49" s="21">
        <v>9.6160899999999994E-2</v>
      </c>
      <c r="T49">
        <f t="shared" si="2"/>
        <v>7.4259382716049371E-2</v>
      </c>
      <c r="U49">
        <f t="shared" si="3"/>
        <v>7.1612407019135786E-3</v>
      </c>
      <c r="X49" s="9"/>
      <c r="Y49" s="21">
        <v>1.0035700000000001</v>
      </c>
      <c r="Z49" s="21">
        <v>12.3893</v>
      </c>
      <c r="AA49" s="24">
        <v>-2.95715E-5</v>
      </c>
      <c r="AB49" s="21">
        <v>39</v>
      </c>
      <c r="AC49" s="21">
        <v>1.0031099999999999</v>
      </c>
      <c r="AD49">
        <f t="shared" si="4"/>
        <v>3.6508024691358026E-2</v>
      </c>
      <c r="AE49">
        <f t="shared" si="5"/>
        <v>3.6638358339506176E-2</v>
      </c>
      <c r="AF49" s="9"/>
      <c r="AG49" s="21">
        <v>9.6435499999999993E-2</v>
      </c>
      <c r="AH49" s="21">
        <v>15.01</v>
      </c>
      <c r="AI49" s="24">
        <v>-5.7006799999999998E-5</v>
      </c>
      <c r="AJ49" s="21">
        <v>39</v>
      </c>
      <c r="AK49" s="21">
        <v>9.6130400000000005E-2</v>
      </c>
      <c r="AL49">
        <f t="shared" si="6"/>
        <v>7.0378765432098769E-2</v>
      </c>
      <c r="AM49">
        <f t="shared" si="7"/>
        <v>6.7870114338271607E-3</v>
      </c>
      <c r="AP49" s="9"/>
      <c r="AQ49" s="21">
        <v>1.0035700000000001</v>
      </c>
      <c r="AR49" s="21">
        <v>19.3124</v>
      </c>
      <c r="AS49" s="24">
        <v>-2.9113799999999999E-5</v>
      </c>
      <c r="AT49" s="21">
        <v>39</v>
      </c>
      <c r="AU49" s="21">
        <v>1.0031099999999999</v>
      </c>
      <c r="AV49">
        <f t="shared" si="8"/>
        <v>3.5942962962962961E-2</v>
      </c>
      <c r="AW49">
        <f t="shared" si="9"/>
        <v>3.6071279340740739E-2</v>
      </c>
      <c r="AX49" s="9"/>
      <c r="AY49" s="21">
        <v>9.6435499999999993E-2</v>
      </c>
      <c r="AZ49" s="21">
        <v>21.933199999999999</v>
      </c>
      <c r="BA49" s="24">
        <v>-5.4840099999999997E-5</v>
      </c>
      <c r="BB49" s="21">
        <v>39</v>
      </c>
      <c r="BC49" s="21">
        <v>9.6191399999999996E-2</v>
      </c>
      <c r="BD49">
        <f t="shared" si="10"/>
        <v>6.7703827160493821E-2</v>
      </c>
      <c r="BE49">
        <f t="shared" si="11"/>
        <v>6.5290524241358016E-3</v>
      </c>
      <c r="BH49" s="9"/>
      <c r="BI49" s="21"/>
      <c r="BJ49" s="21"/>
      <c r="BK49" s="21"/>
      <c r="BL49" s="21"/>
      <c r="BM49" s="21"/>
      <c r="BP49" s="9"/>
      <c r="BQ49" s="21"/>
      <c r="BR49" s="21"/>
      <c r="BS49" s="21"/>
      <c r="BT49" s="21"/>
      <c r="BU49" s="21"/>
      <c r="BZ49" s="9"/>
      <c r="CA49" s="21"/>
      <c r="CB49" s="21"/>
      <c r="CC49" s="21"/>
      <c r="CD49" s="21"/>
      <c r="CE49" s="21"/>
      <c r="CH49" s="9"/>
      <c r="CI49" s="21"/>
      <c r="CJ49" s="21"/>
      <c r="CK49" s="21"/>
      <c r="CL49" s="21"/>
      <c r="CM49" s="21"/>
      <c r="CR49" s="9"/>
      <c r="CS49" s="21"/>
      <c r="CT49" s="21"/>
      <c r="CU49" s="21"/>
      <c r="CV49" s="21"/>
      <c r="CW49" s="21"/>
      <c r="CZ49" s="9"/>
      <c r="DA49" s="21"/>
      <c r="DB49" s="21"/>
      <c r="DC49" s="21"/>
      <c r="DD49" s="21"/>
      <c r="DE49" s="21"/>
      <c r="DJ49" s="9"/>
      <c r="DK49" s="21"/>
      <c r="DL49" s="21"/>
      <c r="DM49" s="21"/>
      <c r="DN49" s="21"/>
      <c r="DO49" s="21"/>
      <c r="DR49" s="9"/>
      <c r="DS49" s="21"/>
      <c r="DT49" s="21"/>
      <c r="DU49" s="21"/>
      <c r="DV49" s="21"/>
      <c r="DW49" s="21"/>
      <c r="EB49" s="9"/>
      <c r="EC49" s="21"/>
      <c r="ED49" s="21"/>
      <c r="EE49" s="21"/>
      <c r="EF49" s="21"/>
      <c r="EG49" s="21"/>
      <c r="EJ49" s="9"/>
      <c r="EK49" s="21"/>
      <c r="EL49" s="21"/>
      <c r="EM49" s="21"/>
      <c r="EN49" s="21"/>
      <c r="EO49" s="21"/>
      <c r="ES49" s="9"/>
      <c r="ET49" s="21"/>
      <c r="EU49" s="21"/>
      <c r="EV49" s="21"/>
      <c r="EW49" s="21"/>
      <c r="EX49" s="21"/>
      <c r="FA49" s="9"/>
      <c r="FB49" s="21"/>
      <c r="FC49" s="21"/>
      <c r="FD49" s="21"/>
      <c r="FE49" s="21"/>
      <c r="FF49" s="21"/>
    </row>
    <row r="50" spans="6:162" x14ac:dyDescent="0.25">
      <c r="F50" s="9"/>
      <c r="G50" s="21">
        <v>0.99853499999999995</v>
      </c>
      <c r="H50" s="21">
        <v>5.4181600000000003</v>
      </c>
      <c r="I50" s="24">
        <v>-2.8717E-5</v>
      </c>
      <c r="J50" s="21">
        <v>40</v>
      </c>
      <c r="K50" s="21">
        <v>0.99761999999999995</v>
      </c>
      <c r="L50">
        <f t="shared" si="0"/>
        <v>3.5453086419753081E-2</v>
      </c>
      <c r="M50">
        <f t="shared" si="1"/>
        <v>3.540114764814814E-2</v>
      </c>
      <c r="N50" s="9"/>
      <c r="O50" s="21">
        <v>0.10147100000000001</v>
      </c>
      <c r="P50" s="21">
        <v>8.0388999999999999</v>
      </c>
      <c r="Q50" s="24">
        <v>-5.9905999999999999E-5</v>
      </c>
      <c r="R50" s="21">
        <v>40</v>
      </c>
      <c r="S50" s="21">
        <v>0.10119599999999999</v>
      </c>
      <c r="T50">
        <f t="shared" si="2"/>
        <v>7.3958024691358024E-2</v>
      </c>
      <c r="U50">
        <f t="shared" si="3"/>
        <v>7.5045947234567909E-3</v>
      </c>
      <c r="X50" s="9"/>
      <c r="Y50" s="21">
        <v>0.99853499999999995</v>
      </c>
      <c r="Z50" s="21">
        <v>12.3993</v>
      </c>
      <c r="AA50" s="24">
        <v>-3.0120800000000001E-5</v>
      </c>
      <c r="AB50" s="21">
        <v>40</v>
      </c>
      <c r="AC50" s="21">
        <v>0.99761999999999995</v>
      </c>
      <c r="AD50">
        <f t="shared" si="4"/>
        <v>3.7186172839506176E-2</v>
      </c>
      <c r="AE50">
        <f t="shared" si="5"/>
        <v>3.7131695096296297E-2</v>
      </c>
      <c r="AF50" s="9"/>
      <c r="AG50" s="21">
        <v>0.10147100000000001</v>
      </c>
      <c r="AH50" s="21">
        <v>15.020099999999999</v>
      </c>
      <c r="AI50" s="24">
        <v>-5.66711E-5</v>
      </c>
      <c r="AJ50" s="21">
        <v>40</v>
      </c>
      <c r="AK50" s="21">
        <v>0.101135</v>
      </c>
      <c r="AL50">
        <f t="shared" si="6"/>
        <v>6.9964320987654316E-2</v>
      </c>
      <c r="AM50">
        <f t="shared" si="7"/>
        <v>7.0993496149382718E-3</v>
      </c>
      <c r="AP50" s="9"/>
      <c r="AQ50" s="21">
        <v>0.99853499999999995</v>
      </c>
      <c r="AR50" s="21">
        <v>19.322500000000002</v>
      </c>
      <c r="AS50" s="24">
        <v>-2.9541000000000001E-5</v>
      </c>
      <c r="AT50" s="21">
        <v>40</v>
      </c>
      <c r="AU50" s="21">
        <v>0.99731400000000003</v>
      </c>
      <c r="AV50">
        <f t="shared" si="8"/>
        <v>3.6470370370370368E-2</v>
      </c>
      <c r="AW50">
        <f t="shared" si="9"/>
        <v>3.6416941277777774E-2</v>
      </c>
      <c r="AX50" s="9"/>
      <c r="AY50" s="21">
        <v>0.10147100000000001</v>
      </c>
      <c r="AZ50" s="21">
        <v>21.943300000000001</v>
      </c>
      <c r="BA50" s="24">
        <v>-5.4809599999999998E-5</v>
      </c>
      <c r="BB50" s="21">
        <v>40</v>
      </c>
      <c r="BC50" s="21">
        <v>0.101105</v>
      </c>
      <c r="BD50">
        <f t="shared" si="10"/>
        <v>6.7666172839506156E-2</v>
      </c>
      <c r="BE50">
        <f t="shared" si="11"/>
        <v>6.8661542241975296E-3</v>
      </c>
      <c r="BH50" s="9"/>
      <c r="BI50" s="21"/>
      <c r="BJ50" s="21"/>
      <c r="BK50" s="21"/>
      <c r="BL50" s="21"/>
      <c r="BM50" s="21"/>
      <c r="BP50" s="9"/>
      <c r="BQ50" s="21"/>
      <c r="BR50" s="21"/>
      <c r="BS50" s="21"/>
      <c r="BT50" s="21"/>
      <c r="BU50" s="21"/>
      <c r="BZ50" s="9"/>
      <c r="CA50" s="21"/>
      <c r="CB50" s="21"/>
      <c r="CC50" s="21"/>
      <c r="CD50" s="21"/>
      <c r="CE50" s="21"/>
      <c r="CH50" s="9"/>
      <c r="CI50" s="21"/>
      <c r="CJ50" s="21"/>
      <c r="CK50" s="21"/>
      <c r="CL50" s="21"/>
      <c r="CM50" s="21"/>
      <c r="CR50" s="9"/>
      <c r="CS50" s="21"/>
      <c r="CT50" s="21"/>
      <c r="CU50" s="21"/>
      <c r="CV50" s="21"/>
      <c r="CW50" s="21"/>
      <c r="CZ50" s="9"/>
      <c r="DA50" s="21"/>
      <c r="DB50" s="21"/>
      <c r="DC50" s="21"/>
      <c r="DD50" s="21"/>
      <c r="DE50" s="21"/>
      <c r="DJ50" s="9"/>
      <c r="DK50" s="21"/>
      <c r="DL50" s="21"/>
      <c r="DM50" s="21"/>
      <c r="DN50" s="21"/>
      <c r="DO50" s="21"/>
      <c r="DR50" s="9"/>
      <c r="DS50" s="21"/>
      <c r="DT50" s="21"/>
      <c r="DU50" s="21"/>
      <c r="DV50" s="21"/>
      <c r="DW50" s="21"/>
      <c r="EB50" s="9"/>
      <c r="EC50" s="21"/>
      <c r="ED50" s="21"/>
      <c r="EE50" s="21"/>
      <c r="EF50" s="21"/>
      <c r="EG50" s="21"/>
      <c r="EJ50" s="9"/>
      <c r="EK50" s="21"/>
      <c r="EL50" s="21"/>
      <c r="EM50" s="21"/>
      <c r="EN50" s="21"/>
      <c r="EO50" s="21"/>
      <c r="ES50" s="9"/>
      <c r="ET50" s="21"/>
      <c r="EU50" s="21"/>
      <c r="EV50" s="21"/>
      <c r="EW50" s="21"/>
      <c r="EX50" s="21"/>
      <c r="FA50" s="9"/>
      <c r="FB50" s="21"/>
      <c r="FC50" s="21"/>
      <c r="FD50" s="21"/>
      <c r="FE50" s="21"/>
      <c r="FF50" s="21"/>
    </row>
    <row r="51" spans="6:162" x14ac:dyDescent="0.25">
      <c r="F51" s="9"/>
      <c r="G51" s="21">
        <v>0.99350000000000005</v>
      </c>
      <c r="H51" s="21">
        <v>5.4282300000000001</v>
      </c>
      <c r="I51" s="24">
        <v>-2.9144300000000001E-5</v>
      </c>
      <c r="J51" s="21">
        <v>41</v>
      </c>
      <c r="K51" s="21">
        <v>0.99243199999999998</v>
      </c>
      <c r="L51">
        <f t="shared" si="0"/>
        <v>3.5980617283950619E-2</v>
      </c>
      <c r="M51">
        <f t="shared" si="1"/>
        <v>3.5746743271604944E-2</v>
      </c>
      <c r="N51" s="9"/>
      <c r="O51" s="21">
        <v>0.106506</v>
      </c>
      <c r="P51" s="21">
        <v>8.0489700000000006</v>
      </c>
      <c r="Q51" s="24">
        <v>-5.9753400000000003E-5</v>
      </c>
      <c r="R51" s="21">
        <v>41</v>
      </c>
      <c r="S51" s="21">
        <v>0.106201</v>
      </c>
      <c r="T51">
        <f t="shared" si="2"/>
        <v>7.3769629629629629E-2</v>
      </c>
      <c r="U51">
        <f t="shared" si="3"/>
        <v>7.8569081733333331E-3</v>
      </c>
      <c r="X51" s="9"/>
      <c r="Y51" s="21">
        <v>0.99350000000000005</v>
      </c>
      <c r="Z51" s="21">
        <v>12.4094</v>
      </c>
      <c r="AA51" s="24">
        <v>-3.0578599999999999E-5</v>
      </c>
      <c r="AB51" s="21">
        <v>41</v>
      </c>
      <c r="AC51" s="21">
        <v>0.99273699999999998</v>
      </c>
      <c r="AD51">
        <f t="shared" si="4"/>
        <v>3.7751358024691352E-2</v>
      </c>
      <c r="AE51">
        <f t="shared" si="5"/>
        <v>3.7505974197530857E-2</v>
      </c>
      <c r="AF51" s="9"/>
      <c r="AG51" s="21">
        <v>0.106506</v>
      </c>
      <c r="AH51" s="21">
        <v>15.030099999999999</v>
      </c>
      <c r="AI51" s="24">
        <v>-5.6579600000000003E-5</v>
      </c>
      <c r="AJ51" s="21">
        <v>41</v>
      </c>
      <c r="AK51" s="21">
        <v>0.106262</v>
      </c>
      <c r="AL51">
        <f t="shared" si="6"/>
        <v>6.9851358024691362E-2</v>
      </c>
      <c r="AM51">
        <f t="shared" si="7"/>
        <v>7.4395887377777786E-3</v>
      </c>
      <c r="AP51" s="9"/>
      <c r="AQ51" s="21">
        <v>0.99350000000000005</v>
      </c>
      <c r="AR51" s="21">
        <v>19.332599999999999</v>
      </c>
      <c r="AS51" s="24">
        <v>-3.0120800000000001E-5</v>
      </c>
      <c r="AT51" s="21">
        <v>41</v>
      </c>
      <c r="AU51" s="21">
        <v>0.99273699999999998</v>
      </c>
      <c r="AV51">
        <f t="shared" si="8"/>
        <v>3.7186172839506176E-2</v>
      </c>
      <c r="AW51">
        <f t="shared" si="9"/>
        <v>3.6944462716049391E-2</v>
      </c>
      <c r="AX51" s="9"/>
      <c r="AY51" s="21">
        <v>0.106506</v>
      </c>
      <c r="AZ51" s="21">
        <v>21.953299999999999</v>
      </c>
      <c r="BA51" s="24">
        <v>-5.4657000000000002E-5</v>
      </c>
      <c r="BB51" s="21">
        <v>41</v>
      </c>
      <c r="BC51" s="21">
        <v>0.106201</v>
      </c>
      <c r="BD51">
        <f t="shared" si="10"/>
        <v>6.7477777777777775E-2</v>
      </c>
      <c r="BE51">
        <f t="shared" si="11"/>
        <v>7.1867881999999996E-3</v>
      </c>
      <c r="BH51" s="9"/>
      <c r="BI51" s="21"/>
      <c r="BJ51" s="21"/>
      <c r="BK51" s="21"/>
      <c r="BL51" s="21"/>
      <c r="BM51" s="21"/>
      <c r="BP51" s="9"/>
      <c r="BQ51" s="21"/>
      <c r="BR51" s="21"/>
      <c r="BS51" s="21"/>
      <c r="BT51" s="21"/>
      <c r="BU51" s="21"/>
      <c r="BZ51" s="9"/>
      <c r="CA51" s="21"/>
      <c r="CB51" s="21"/>
      <c r="CC51" s="21"/>
      <c r="CD51" s="21"/>
      <c r="CE51" s="21"/>
      <c r="CH51" s="9"/>
      <c r="CI51" s="21"/>
      <c r="CJ51" s="21"/>
      <c r="CK51" s="21"/>
      <c r="CL51" s="21"/>
      <c r="CM51" s="21"/>
      <c r="CR51" s="9"/>
      <c r="CS51" s="21"/>
      <c r="CT51" s="21"/>
      <c r="CU51" s="21"/>
      <c r="CV51" s="21"/>
      <c r="CW51" s="21"/>
      <c r="CZ51" s="9"/>
      <c r="DA51" s="21"/>
      <c r="DB51" s="21"/>
      <c r="DC51" s="21"/>
      <c r="DD51" s="21"/>
      <c r="DE51" s="21"/>
      <c r="DJ51" s="9"/>
      <c r="DK51" s="21"/>
      <c r="DL51" s="21"/>
      <c r="DM51" s="21"/>
      <c r="DN51" s="21"/>
      <c r="DO51" s="21"/>
      <c r="DR51" s="9"/>
      <c r="DS51" s="21"/>
      <c r="DT51" s="21"/>
      <c r="DU51" s="21"/>
      <c r="DV51" s="21"/>
      <c r="DW51" s="21"/>
      <c r="EB51" s="9"/>
      <c r="EC51" s="21"/>
      <c r="ED51" s="21"/>
      <c r="EE51" s="21"/>
      <c r="EF51" s="21"/>
      <c r="EG51" s="21"/>
      <c r="EJ51" s="9"/>
      <c r="EK51" s="21"/>
      <c r="EL51" s="21"/>
      <c r="EM51" s="21"/>
      <c r="EN51" s="21"/>
      <c r="EO51" s="21"/>
      <c r="ES51" s="9"/>
      <c r="ET51" s="21"/>
      <c r="EU51" s="21"/>
      <c r="EV51" s="21"/>
      <c r="EW51" s="21"/>
      <c r="EX51" s="21"/>
      <c r="FA51" s="9"/>
      <c r="FB51" s="21"/>
      <c r="FC51" s="21"/>
      <c r="FD51" s="21"/>
      <c r="FE51" s="21"/>
      <c r="FF51" s="21"/>
    </row>
    <row r="52" spans="6:162" x14ac:dyDescent="0.25">
      <c r="F52" s="9"/>
      <c r="G52" s="21">
        <v>0.98846400000000001</v>
      </c>
      <c r="H52" s="21">
        <v>5.4382999999999999</v>
      </c>
      <c r="I52" s="24">
        <v>-2.9998800000000002E-5</v>
      </c>
      <c r="J52" s="21">
        <v>42</v>
      </c>
      <c r="K52" s="21">
        <v>0.98724400000000001</v>
      </c>
      <c r="L52">
        <f t="shared" si="0"/>
        <v>3.7035555555555551E-2</v>
      </c>
      <c r="M52">
        <f t="shared" si="1"/>
        <v>3.660831338666666E-2</v>
      </c>
      <c r="N52" s="9"/>
      <c r="O52" s="21">
        <v>0.111542</v>
      </c>
      <c r="P52" s="21">
        <v>8.0590399999999995</v>
      </c>
      <c r="Q52" s="24">
        <v>-5.9539800000000002E-5</v>
      </c>
      <c r="R52" s="21">
        <v>42</v>
      </c>
      <c r="S52" s="21">
        <v>0.111176</v>
      </c>
      <c r="T52">
        <f t="shared" si="2"/>
        <v>7.3505925925925919E-2</v>
      </c>
      <c r="U52">
        <f t="shared" si="3"/>
        <v>8.1989979896296295E-3</v>
      </c>
      <c r="X52" s="9"/>
      <c r="Y52" s="21">
        <v>0.98846400000000001</v>
      </c>
      <c r="Z52" s="21">
        <v>12.419499999999999</v>
      </c>
      <c r="AA52" s="24">
        <v>-3.1402600000000003E-5</v>
      </c>
      <c r="AB52" s="21">
        <v>42</v>
      </c>
      <c r="AC52" s="21">
        <v>0.98785400000000001</v>
      </c>
      <c r="AD52">
        <f t="shared" si="4"/>
        <v>3.8768641975308646E-2</v>
      </c>
      <c r="AE52">
        <f t="shared" si="5"/>
        <v>3.8321406921481484E-2</v>
      </c>
      <c r="AF52" s="9"/>
      <c r="AG52" s="21">
        <v>0.111542</v>
      </c>
      <c r="AH52" s="21">
        <v>15.0402</v>
      </c>
      <c r="AI52" s="24">
        <v>-5.6274399999999998E-5</v>
      </c>
      <c r="AJ52" s="21">
        <v>42</v>
      </c>
      <c r="AK52" s="21">
        <v>0.111237</v>
      </c>
      <c r="AL52">
        <f t="shared" si="6"/>
        <v>6.947456790123456E-2</v>
      </c>
      <c r="AM52">
        <f t="shared" si="7"/>
        <v>7.7493322528395057E-3</v>
      </c>
      <c r="AP52" s="9"/>
      <c r="AQ52" s="21">
        <v>0.98846400000000001</v>
      </c>
      <c r="AR52" s="21">
        <v>19.342700000000001</v>
      </c>
      <c r="AS52" s="24">
        <v>-3.0609099999999998E-5</v>
      </c>
      <c r="AT52" s="21">
        <v>42</v>
      </c>
      <c r="AU52" s="21">
        <v>0.98754900000000001</v>
      </c>
      <c r="AV52">
        <f t="shared" si="8"/>
        <v>3.7789012345679003E-2</v>
      </c>
      <c r="AW52">
        <f t="shared" si="9"/>
        <v>3.7353078299259247E-2</v>
      </c>
      <c r="AX52" s="9"/>
      <c r="AY52" s="21">
        <v>0.111542</v>
      </c>
      <c r="AZ52" s="21">
        <v>21.9634</v>
      </c>
      <c r="BA52" s="24">
        <v>-5.4657000000000002E-5</v>
      </c>
      <c r="BB52" s="21">
        <v>42</v>
      </c>
      <c r="BC52" s="21">
        <v>0.111267</v>
      </c>
      <c r="BD52">
        <f t="shared" si="10"/>
        <v>6.7477777777777775E-2</v>
      </c>
      <c r="BE52">
        <f t="shared" si="11"/>
        <v>7.5266062888888884E-3</v>
      </c>
      <c r="BH52" s="9"/>
      <c r="BI52" s="21"/>
      <c r="BJ52" s="21"/>
      <c r="BK52" s="21"/>
      <c r="BL52" s="21"/>
      <c r="BM52" s="21"/>
      <c r="BP52" s="9"/>
      <c r="BQ52" s="21"/>
      <c r="BR52" s="21"/>
      <c r="BS52" s="21"/>
      <c r="BT52" s="21"/>
      <c r="BU52" s="21"/>
      <c r="BZ52" s="9"/>
      <c r="CA52" s="21"/>
      <c r="CB52" s="21"/>
      <c r="CC52" s="21"/>
      <c r="CD52" s="21"/>
      <c r="CE52" s="21"/>
      <c r="CH52" s="9"/>
      <c r="CI52" s="21"/>
      <c r="CJ52" s="21"/>
      <c r="CK52" s="21"/>
      <c r="CL52" s="21"/>
      <c r="CM52" s="21"/>
      <c r="CR52" s="9"/>
      <c r="CS52" s="21"/>
      <c r="CT52" s="21"/>
      <c r="CU52" s="21"/>
      <c r="CV52" s="21"/>
      <c r="CW52" s="21"/>
      <c r="CZ52" s="9"/>
      <c r="DA52" s="21"/>
      <c r="DB52" s="21"/>
      <c r="DC52" s="21"/>
      <c r="DD52" s="21"/>
      <c r="DE52" s="21"/>
      <c r="DJ52" s="9"/>
      <c r="DK52" s="21"/>
      <c r="DL52" s="21"/>
      <c r="DM52" s="21"/>
      <c r="DN52" s="21"/>
      <c r="DO52" s="21"/>
      <c r="DR52" s="9"/>
      <c r="DS52" s="21"/>
      <c r="DT52" s="21"/>
      <c r="DU52" s="21"/>
      <c r="DV52" s="21"/>
      <c r="DW52" s="21"/>
      <c r="EB52" s="9"/>
      <c r="EC52" s="21"/>
      <c r="ED52" s="21"/>
      <c r="EE52" s="21"/>
      <c r="EF52" s="21"/>
      <c r="EG52" s="21"/>
      <c r="EJ52" s="9"/>
      <c r="EK52" s="21"/>
      <c r="EL52" s="21"/>
      <c r="EM52" s="21"/>
      <c r="EN52" s="21"/>
      <c r="EO52" s="21"/>
      <c r="ES52" s="9"/>
      <c r="ET52" s="21"/>
      <c r="EU52" s="21"/>
      <c r="EV52" s="21"/>
      <c r="EW52" s="21"/>
      <c r="EX52" s="21"/>
      <c r="FA52" s="9"/>
      <c r="FB52" s="21"/>
      <c r="FC52" s="21"/>
      <c r="FD52" s="21"/>
      <c r="FE52" s="21"/>
      <c r="FF52" s="21"/>
    </row>
    <row r="53" spans="6:162" x14ac:dyDescent="0.25">
      <c r="F53" s="9"/>
      <c r="G53" s="21">
        <v>0.983429</v>
      </c>
      <c r="H53" s="21">
        <v>5.4483699999999997</v>
      </c>
      <c r="I53" s="24">
        <v>-3.0975300000000001E-5</v>
      </c>
      <c r="J53" s="21">
        <v>43</v>
      </c>
      <c r="K53" s="21">
        <v>0.98236100000000004</v>
      </c>
      <c r="L53">
        <f t="shared" si="0"/>
        <v>3.8241111111111108E-2</v>
      </c>
      <c r="M53">
        <f t="shared" si="1"/>
        <v>3.7607417658888885E-2</v>
      </c>
      <c r="N53" s="9"/>
      <c r="O53" s="21">
        <v>0.116577</v>
      </c>
      <c r="P53" s="21">
        <v>8.0691100000000002</v>
      </c>
      <c r="Q53" s="24">
        <v>-5.93567E-5</v>
      </c>
      <c r="R53" s="21">
        <v>43</v>
      </c>
      <c r="S53" s="21">
        <v>0.11621099999999999</v>
      </c>
      <c r="T53">
        <f t="shared" si="2"/>
        <v>7.3279876543209874E-2</v>
      </c>
      <c r="U53">
        <f t="shared" si="3"/>
        <v>8.5427481677777771E-3</v>
      </c>
      <c r="X53" s="9"/>
      <c r="Y53" s="21">
        <v>0.983429</v>
      </c>
      <c r="Z53" s="21">
        <v>12.429500000000001</v>
      </c>
      <c r="AA53" s="24">
        <v>-3.2043499999999999E-5</v>
      </c>
      <c r="AB53" s="21">
        <v>43</v>
      </c>
      <c r="AC53" s="21">
        <v>0.98266600000000004</v>
      </c>
      <c r="AD53">
        <f t="shared" si="4"/>
        <v>3.9559876543209874E-2</v>
      </c>
      <c r="AE53">
        <f t="shared" si="5"/>
        <v>3.8904329829012339E-2</v>
      </c>
      <c r="AF53" s="9"/>
      <c r="AG53" s="21">
        <v>0.116577</v>
      </c>
      <c r="AH53" s="21">
        <v>15.0503</v>
      </c>
      <c r="AI53" s="24">
        <v>-5.6243899999999999E-5</v>
      </c>
      <c r="AJ53" s="21">
        <v>43</v>
      </c>
      <c r="AK53" s="21">
        <v>0.11633300000000001</v>
      </c>
      <c r="AL53">
        <f t="shared" si="6"/>
        <v>6.9436913580246909E-2</v>
      </c>
      <c r="AM53">
        <f t="shared" si="7"/>
        <v>8.0947470744444448E-3</v>
      </c>
      <c r="AP53" s="9"/>
      <c r="AQ53" s="21">
        <v>0.983429</v>
      </c>
      <c r="AR53" s="21">
        <v>19.352699999999999</v>
      </c>
      <c r="AS53" s="24">
        <v>-3.1158400000000003E-5</v>
      </c>
      <c r="AT53" s="21">
        <v>43</v>
      </c>
      <c r="AU53" s="21">
        <v>0.98297100000000004</v>
      </c>
      <c r="AV53">
        <f t="shared" si="8"/>
        <v>3.846716049382716E-2</v>
      </c>
      <c r="AW53">
        <f t="shared" si="9"/>
        <v>3.7829721177283948E-2</v>
      </c>
      <c r="AX53" s="9"/>
      <c r="AY53" s="21">
        <v>0.116577</v>
      </c>
      <c r="AZ53" s="21">
        <v>21.973500000000001</v>
      </c>
      <c r="BA53" s="24">
        <v>-5.4382300000000003E-5</v>
      </c>
      <c r="BB53" s="21">
        <v>43</v>
      </c>
      <c r="BC53" s="21">
        <v>0.116272</v>
      </c>
      <c r="BD53">
        <f t="shared" si="10"/>
        <v>6.7138641975308638E-2</v>
      </c>
      <c r="BE53">
        <f t="shared" si="11"/>
        <v>7.8268214655555553E-3</v>
      </c>
      <c r="BH53" s="9"/>
      <c r="BI53" s="21"/>
      <c r="BJ53" s="21"/>
      <c r="BK53" s="21"/>
      <c r="BL53" s="21"/>
      <c r="BM53" s="21"/>
      <c r="BP53" s="9"/>
      <c r="BQ53" s="21"/>
      <c r="BR53" s="21"/>
      <c r="BS53" s="21"/>
      <c r="BT53" s="21"/>
      <c r="BU53" s="21"/>
      <c r="BZ53" s="9"/>
      <c r="CA53" s="21"/>
      <c r="CB53" s="21"/>
      <c r="CC53" s="21"/>
      <c r="CD53" s="21"/>
      <c r="CE53" s="21"/>
      <c r="CH53" s="9"/>
      <c r="CI53" s="21"/>
      <c r="CJ53" s="21"/>
      <c r="CK53" s="21"/>
      <c r="CL53" s="21"/>
      <c r="CM53" s="21"/>
      <c r="CR53" s="9"/>
      <c r="CS53" s="21"/>
      <c r="CT53" s="21"/>
      <c r="CU53" s="21"/>
      <c r="CV53" s="21"/>
      <c r="CW53" s="21"/>
      <c r="CZ53" s="9"/>
      <c r="DA53" s="21"/>
      <c r="DB53" s="21"/>
      <c r="DC53" s="21"/>
      <c r="DD53" s="21"/>
      <c r="DE53" s="21"/>
      <c r="DJ53" s="9"/>
      <c r="DK53" s="21"/>
      <c r="DL53" s="21"/>
      <c r="DM53" s="21"/>
      <c r="DN53" s="21"/>
      <c r="DO53" s="21"/>
      <c r="DR53" s="9"/>
      <c r="DS53" s="21"/>
      <c r="DT53" s="21"/>
      <c r="DU53" s="21"/>
      <c r="DV53" s="21"/>
      <c r="DW53" s="21"/>
      <c r="EB53" s="9"/>
      <c r="EC53" s="21"/>
      <c r="ED53" s="21"/>
      <c r="EE53" s="21"/>
      <c r="EF53" s="21"/>
      <c r="EG53" s="21"/>
      <c r="EJ53" s="9"/>
      <c r="EK53" s="21"/>
      <c r="EL53" s="21"/>
      <c r="EM53" s="21"/>
      <c r="EN53" s="21"/>
      <c r="EO53" s="21"/>
      <c r="ES53" s="9"/>
      <c r="ET53" s="21"/>
      <c r="EU53" s="21"/>
      <c r="EV53" s="21"/>
      <c r="EW53" s="21"/>
      <c r="EX53" s="21"/>
      <c r="FA53" s="9"/>
      <c r="FB53" s="21"/>
      <c r="FC53" s="21"/>
      <c r="FD53" s="21"/>
      <c r="FE53" s="21"/>
      <c r="FF53" s="21"/>
    </row>
    <row r="54" spans="6:162" x14ac:dyDescent="0.25">
      <c r="F54" s="9"/>
      <c r="G54" s="21">
        <v>0.97839399999999999</v>
      </c>
      <c r="H54" s="21">
        <v>5.4584400000000004</v>
      </c>
      <c r="I54" s="24">
        <v>-3.1707800000000002E-5</v>
      </c>
      <c r="J54" s="21">
        <v>44</v>
      </c>
      <c r="K54" s="21">
        <v>0.97778299999999996</v>
      </c>
      <c r="L54">
        <f t="shared" si="0"/>
        <v>3.9145432098765434E-2</v>
      </c>
      <c r="M54">
        <f t="shared" si="1"/>
        <v>3.8299655892839506E-2</v>
      </c>
      <c r="N54" s="9"/>
      <c r="O54" s="21">
        <v>0.121613</v>
      </c>
      <c r="P54" s="21">
        <v>8.0791799999999991</v>
      </c>
      <c r="Q54" s="24">
        <v>-5.91431E-5</v>
      </c>
      <c r="R54" s="21">
        <v>44</v>
      </c>
      <c r="S54" s="21">
        <v>0.121338</v>
      </c>
      <c r="T54">
        <f t="shared" si="2"/>
        <v>7.3016172839506163E-2</v>
      </c>
      <c r="U54">
        <f t="shared" si="3"/>
        <v>8.8797158275308631E-3</v>
      </c>
      <c r="X54" s="9"/>
      <c r="Y54" s="21">
        <v>0.97839399999999999</v>
      </c>
      <c r="Z54" s="21">
        <v>12.4396</v>
      </c>
      <c r="AA54" s="24">
        <v>-3.2379200000000003E-5</v>
      </c>
      <c r="AB54" s="21">
        <v>44</v>
      </c>
      <c r="AC54" s="21">
        <v>0.97747799999999996</v>
      </c>
      <c r="AD54">
        <f t="shared" si="4"/>
        <v>3.9974320987654327E-2</v>
      </c>
      <c r="AE54">
        <f t="shared" si="5"/>
        <v>3.9110635808395064E-2</v>
      </c>
      <c r="AF54" s="9"/>
      <c r="AG54" s="21">
        <v>0.121613</v>
      </c>
      <c r="AH54" s="21">
        <v>15.0604</v>
      </c>
      <c r="AI54" s="24">
        <v>-5.59387E-5</v>
      </c>
      <c r="AJ54" s="21">
        <v>44</v>
      </c>
      <c r="AK54" s="21">
        <v>0.121338</v>
      </c>
      <c r="AL54">
        <f t="shared" si="6"/>
        <v>6.9060123456790121E-2</v>
      </c>
      <c r="AM54">
        <f t="shared" si="7"/>
        <v>8.3986087939506172E-3</v>
      </c>
      <c r="AP54" s="9"/>
      <c r="AQ54" s="21">
        <v>0.97839399999999999</v>
      </c>
      <c r="AR54" s="21">
        <v>19.3628</v>
      </c>
      <c r="AS54" s="24">
        <v>-3.1677200000000002E-5</v>
      </c>
      <c r="AT54" s="21">
        <v>44</v>
      </c>
      <c r="AU54" s="21">
        <v>0.97717299999999996</v>
      </c>
      <c r="AV54">
        <f t="shared" si="8"/>
        <v>3.9107654320987652E-2</v>
      </c>
      <c r="AW54">
        <f t="shared" si="9"/>
        <v>3.8262694341728395E-2</v>
      </c>
      <c r="AX54" s="9"/>
      <c r="AY54" s="21">
        <v>0.121613</v>
      </c>
      <c r="AZ54" s="21">
        <v>21.983499999999999</v>
      </c>
      <c r="BA54" s="24">
        <v>-5.42297E-5</v>
      </c>
      <c r="BB54" s="21">
        <v>44</v>
      </c>
      <c r="BC54" s="21">
        <v>0.121338</v>
      </c>
      <c r="BD54">
        <f t="shared" si="10"/>
        <v>6.6950246913580244E-2</v>
      </c>
      <c r="BE54">
        <f t="shared" si="11"/>
        <v>8.1420203779012344E-3</v>
      </c>
      <c r="BH54" s="9"/>
      <c r="BI54" s="21"/>
      <c r="BJ54" s="21"/>
      <c r="BK54" s="21"/>
      <c r="BL54" s="21"/>
      <c r="BM54" s="21"/>
      <c r="BP54" s="9"/>
      <c r="BQ54" s="21"/>
      <c r="BR54" s="21"/>
      <c r="BS54" s="21"/>
      <c r="BT54" s="21"/>
      <c r="BU54" s="21"/>
      <c r="BZ54" s="9"/>
      <c r="CA54" s="21"/>
      <c r="CB54" s="21"/>
      <c r="CC54" s="21"/>
      <c r="CD54" s="21"/>
      <c r="CE54" s="21"/>
      <c r="CH54" s="9"/>
      <c r="CI54" s="21"/>
      <c r="CJ54" s="21"/>
      <c r="CK54" s="21"/>
      <c r="CL54" s="21"/>
      <c r="CM54" s="21"/>
      <c r="CR54" s="9"/>
      <c r="CS54" s="21"/>
      <c r="CT54" s="21"/>
      <c r="CU54" s="21"/>
      <c r="CV54" s="21"/>
      <c r="CW54" s="21"/>
      <c r="CZ54" s="9"/>
      <c r="DA54" s="21"/>
      <c r="DB54" s="21"/>
      <c r="DC54" s="21"/>
      <c r="DD54" s="21"/>
      <c r="DE54" s="21"/>
      <c r="DJ54" s="9"/>
      <c r="DK54" s="21"/>
      <c r="DL54" s="21"/>
      <c r="DM54" s="21"/>
      <c r="DN54" s="21"/>
      <c r="DO54" s="21"/>
      <c r="DR54" s="9"/>
      <c r="DS54" s="21"/>
      <c r="DT54" s="21"/>
      <c r="DU54" s="21"/>
      <c r="DV54" s="21"/>
      <c r="DW54" s="21"/>
      <c r="EB54" s="9"/>
      <c r="EC54" s="21"/>
      <c r="ED54" s="21"/>
      <c r="EE54" s="21"/>
      <c r="EF54" s="21"/>
      <c r="EG54" s="21"/>
      <c r="EJ54" s="9"/>
      <c r="EK54" s="21"/>
      <c r="EL54" s="21"/>
      <c r="EM54" s="21"/>
      <c r="EN54" s="21"/>
      <c r="EO54" s="21"/>
      <c r="ES54" s="9"/>
      <c r="ET54" s="21"/>
      <c r="EU54" s="21"/>
      <c r="EV54" s="21"/>
      <c r="EW54" s="21"/>
      <c r="EX54" s="21"/>
      <c r="FA54" s="9"/>
      <c r="FB54" s="21"/>
      <c r="FC54" s="21"/>
      <c r="FD54" s="21"/>
      <c r="FE54" s="21"/>
      <c r="FF54" s="21"/>
    </row>
    <row r="55" spans="6:162" x14ac:dyDescent="0.25">
      <c r="F55" s="9"/>
      <c r="G55" s="21">
        <v>0.97335799999999995</v>
      </c>
      <c r="H55" s="21">
        <v>5.4685100000000002</v>
      </c>
      <c r="I55" s="24">
        <v>-3.2592799999999997E-5</v>
      </c>
      <c r="J55" s="21">
        <v>45</v>
      </c>
      <c r="K55" s="21">
        <v>0.97259499999999999</v>
      </c>
      <c r="L55">
        <f t="shared" si="0"/>
        <v>4.0238024691358017E-2</v>
      </c>
      <c r="M55">
        <f t="shared" si="1"/>
        <v>3.9166003237530854E-2</v>
      </c>
      <c r="N55" s="9"/>
      <c r="O55" s="21">
        <v>0.12664800000000001</v>
      </c>
      <c r="P55" s="21">
        <v>8.0892499999999998</v>
      </c>
      <c r="Q55" s="24">
        <v>-5.8898899999999999E-5</v>
      </c>
      <c r="R55" s="21">
        <v>45</v>
      </c>
      <c r="S55" s="21">
        <v>0.12634300000000001</v>
      </c>
      <c r="T55">
        <f t="shared" si="2"/>
        <v>7.2714691358024691E-2</v>
      </c>
      <c r="U55">
        <f t="shared" si="3"/>
        <v>9.209170231111112E-3</v>
      </c>
      <c r="X55" s="9"/>
      <c r="Y55" s="21">
        <v>0.97335799999999995</v>
      </c>
      <c r="Z55" s="21">
        <v>12.4497</v>
      </c>
      <c r="AA55" s="24">
        <v>-3.2959000000000001E-5</v>
      </c>
      <c r="AB55" s="21">
        <v>45</v>
      </c>
      <c r="AC55" s="21">
        <v>0.97137499999999999</v>
      </c>
      <c r="AD55">
        <f t="shared" si="4"/>
        <v>4.0690123456790128E-2</v>
      </c>
      <c r="AE55">
        <f t="shared" si="5"/>
        <v>3.9606057187654323E-2</v>
      </c>
      <c r="AF55" s="9"/>
      <c r="AG55" s="21">
        <v>0.12664800000000001</v>
      </c>
      <c r="AH55" s="21">
        <v>15.070399999999999</v>
      </c>
      <c r="AI55" s="24">
        <v>-5.5847200000000003E-5</v>
      </c>
      <c r="AJ55" s="21">
        <v>45</v>
      </c>
      <c r="AK55" s="21">
        <v>0.12640399999999999</v>
      </c>
      <c r="AL55">
        <f t="shared" si="6"/>
        <v>6.8947160493827167E-2</v>
      </c>
      <c r="AM55">
        <f t="shared" si="7"/>
        <v>8.7320199822222243E-3</v>
      </c>
      <c r="AP55" s="9"/>
      <c r="AQ55" s="21">
        <v>0.97335799999999995</v>
      </c>
      <c r="AR55" s="21">
        <v>19.372900000000001</v>
      </c>
      <c r="AS55" s="24">
        <v>-3.2287599999999999E-5</v>
      </c>
      <c r="AT55" s="21">
        <v>45</v>
      </c>
      <c r="AU55" s="21">
        <v>0.97228999999999999</v>
      </c>
      <c r="AV55">
        <f t="shared" si="8"/>
        <v>3.9861234567901235E-2</v>
      </c>
      <c r="AW55">
        <f t="shared" si="9"/>
        <v>3.8799251556543207E-2</v>
      </c>
      <c r="AX55" s="9"/>
      <c r="AY55" s="21">
        <v>0.12664800000000001</v>
      </c>
      <c r="AZ55" s="21">
        <v>21.993600000000001</v>
      </c>
      <c r="BA55" s="24">
        <v>-5.4016099999999999E-5</v>
      </c>
      <c r="BB55" s="21">
        <v>45</v>
      </c>
      <c r="BC55" s="21">
        <v>0.12634300000000001</v>
      </c>
      <c r="BD55">
        <f t="shared" si="10"/>
        <v>6.6686543209876534E-2</v>
      </c>
      <c r="BE55">
        <f t="shared" si="11"/>
        <v>8.4457173244444437E-3</v>
      </c>
      <c r="BH55" s="9"/>
      <c r="BI55" s="21"/>
      <c r="BJ55" s="21"/>
      <c r="BK55" s="21"/>
      <c r="BL55" s="21"/>
      <c r="BM55" s="21"/>
      <c r="BP55" s="9"/>
      <c r="BQ55" s="21"/>
      <c r="BR55" s="21"/>
      <c r="BS55" s="21"/>
      <c r="BT55" s="21"/>
      <c r="BU55" s="21"/>
      <c r="BZ55" s="9"/>
      <c r="CA55" s="21"/>
      <c r="CB55" s="21"/>
      <c r="CC55" s="21"/>
      <c r="CD55" s="21"/>
      <c r="CE55" s="21"/>
      <c r="CH55" s="9"/>
      <c r="CI55" s="21"/>
      <c r="CJ55" s="21"/>
      <c r="CK55" s="21"/>
      <c r="CL55" s="21"/>
      <c r="CM55" s="21"/>
      <c r="CR55" s="9"/>
      <c r="CS55" s="21"/>
      <c r="CT55" s="21"/>
      <c r="CU55" s="21"/>
      <c r="CV55" s="21"/>
      <c r="CW55" s="21"/>
      <c r="CZ55" s="9"/>
      <c r="DA55" s="21"/>
      <c r="DB55" s="21"/>
      <c r="DC55" s="21"/>
      <c r="DD55" s="21"/>
      <c r="DE55" s="21"/>
      <c r="DJ55" s="9"/>
      <c r="DK55" s="21"/>
      <c r="DL55" s="21"/>
      <c r="DM55" s="21"/>
      <c r="DN55" s="21"/>
      <c r="DO55" s="21"/>
      <c r="DR55" s="9"/>
      <c r="DS55" s="21"/>
      <c r="DT55" s="21"/>
      <c r="DU55" s="21"/>
      <c r="DV55" s="21"/>
      <c r="DW55" s="21"/>
      <c r="EB55" s="9"/>
      <c r="EC55" s="21"/>
      <c r="ED55" s="21"/>
      <c r="EE55" s="21"/>
      <c r="EF55" s="21"/>
      <c r="EG55" s="21"/>
      <c r="EJ55" s="9"/>
      <c r="EK55" s="21"/>
      <c r="EL55" s="21"/>
      <c r="EM55" s="21"/>
      <c r="EN55" s="21"/>
      <c r="EO55" s="21"/>
      <c r="ES55" s="9"/>
      <c r="ET55" s="21"/>
      <c r="EU55" s="21"/>
      <c r="EV55" s="21"/>
      <c r="EW55" s="21"/>
      <c r="EX55" s="21"/>
      <c r="FA55" s="9"/>
      <c r="FB55" s="21"/>
      <c r="FC55" s="21"/>
      <c r="FD55" s="21"/>
      <c r="FE55" s="21"/>
      <c r="FF55" s="21"/>
    </row>
    <row r="56" spans="6:162" x14ac:dyDescent="0.25">
      <c r="F56" s="9"/>
      <c r="G56" s="21">
        <v>0.96832300000000004</v>
      </c>
      <c r="H56" s="21">
        <v>5.4785899999999996</v>
      </c>
      <c r="I56" s="24">
        <v>-3.3325199999999997E-5</v>
      </c>
      <c r="J56" s="21">
        <v>46</v>
      </c>
      <c r="K56" s="21">
        <v>0.96740700000000002</v>
      </c>
      <c r="L56">
        <f t="shared" si="0"/>
        <v>4.1142222222222219E-2</v>
      </c>
      <c r="M56">
        <f t="shared" si="1"/>
        <v>3.9838960048888886E-2</v>
      </c>
      <c r="N56" s="9"/>
      <c r="O56" s="21">
        <v>0.13168299999999999</v>
      </c>
      <c r="P56" s="21">
        <v>8.0993300000000001</v>
      </c>
      <c r="Q56" s="24">
        <v>-5.8593800000000001E-5</v>
      </c>
      <c r="R56" s="21">
        <v>46</v>
      </c>
      <c r="S56" s="21">
        <v>0.131439</v>
      </c>
      <c r="T56">
        <f t="shared" si="2"/>
        <v>7.2338024691358013E-2</v>
      </c>
      <c r="U56">
        <f t="shared" si="3"/>
        <v>9.5256881054320963E-3</v>
      </c>
      <c r="X56" s="9"/>
      <c r="Y56" s="21">
        <v>0.96832300000000004</v>
      </c>
      <c r="Z56" s="21">
        <v>12.4598</v>
      </c>
      <c r="AA56" s="24">
        <v>-3.3355700000000003E-5</v>
      </c>
      <c r="AB56" s="21">
        <v>46</v>
      </c>
      <c r="AC56" s="21">
        <v>0.96801800000000005</v>
      </c>
      <c r="AD56">
        <f t="shared" si="4"/>
        <v>4.1179876543209877E-2</v>
      </c>
      <c r="AE56">
        <f t="shared" si="5"/>
        <v>3.9875421593950619E-2</v>
      </c>
      <c r="AF56" s="9"/>
      <c r="AG56" s="21">
        <v>0.13168299999999999</v>
      </c>
      <c r="AH56" s="21">
        <v>15.080500000000001</v>
      </c>
      <c r="AI56" s="24">
        <v>-5.5481E-5</v>
      </c>
      <c r="AJ56" s="21">
        <v>46</v>
      </c>
      <c r="AK56" s="21">
        <v>0.13147</v>
      </c>
      <c r="AL56">
        <f t="shared" si="6"/>
        <v>6.8495061728395062E-2</v>
      </c>
      <c r="AM56">
        <f t="shared" si="7"/>
        <v>9.019635213580247E-3</v>
      </c>
      <c r="AP56" s="9"/>
      <c r="AQ56" s="21">
        <v>0.96832300000000004</v>
      </c>
      <c r="AR56" s="21">
        <v>19.382899999999999</v>
      </c>
      <c r="AS56" s="24">
        <v>-3.27454E-5</v>
      </c>
      <c r="AT56" s="21">
        <v>46</v>
      </c>
      <c r="AU56" s="21">
        <v>0.96740700000000002</v>
      </c>
      <c r="AV56">
        <f t="shared" si="8"/>
        <v>4.0426419753086418E-2</v>
      </c>
      <c r="AW56">
        <f t="shared" si="9"/>
        <v>3.9145832054567904E-2</v>
      </c>
      <c r="AX56" s="9"/>
      <c r="AY56" s="21">
        <v>0.13168299999999999</v>
      </c>
      <c r="AZ56" s="21">
        <v>22.003699999999998</v>
      </c>
      <c r="BA56" s="24">
        <v>-5.3832999999999998E-5</v>
      </c>
      <c r="BB56" s="21">
        <v>46</v>
      </c>
      <c r="BC56" s="21">
        <v>0.131409</v>
      </c>
      <c r="BD56">
        <f t="shared" si="10"/>
        <v>6.6460493827160488E-2</v>
      </c>
      <c r="BE56">
        <f t="shared" si="11"/>
        <v>8.7517172086419744E-3</v>
      </c>
      <c r="BH56" s="9"/>
      <c r="BI56" s="21"/>
      <c r="BJ56" s="21"/>
      <c r="BK56" s="21"/>
      <c r="BL56" s="21"/>
      <c r="BM56" s="21"/>
      <c r="BP56" s="9"/>
      <c r="BQ56" s="21"/>
      <c r="BR56" s="21"/>
      <c r="BS56" s="21"/>
      <c r="BT56" s="21"/>
      <c r="BU56" s="21"/>
      <c r="BZ56" s="9"/>
      <c r="CA56" s="21"/>
      <c r="CB56" s="21"/>
      <c r="CC56" s="21"/>
      <c r="CD56" s="21"/>
      <c r="CE56" s="21"/>
      <c r="CH56" s="9"/>
      <c r="CI56" s="21"/>
      <c r="CJ56" s="21"/>
      <c r="CK56" s="21"/>
      <c r="CL56" s="21"/>
      <c r="CM56" s="21"/>
      <c r="CR56" s="9"/>
      <c r="CS56" s="21"/>
      <c r="CT56" s="21"/>
      <c r="CU56" s="21"/>
      <c r="CV56" s="21"/>
      <c r="CW56" s="21"/>
      <c r="CZ56" s="9"/>
      <c r="DA56" s="21"/>
      <c r="DB56" s="21"/>
      <c r="DC56" s="21"/>
      <c r="DD56" s="21"/>
      <c r="DE56" s="21"/>
      <c r="DJ56" s="9"/>
      <c r="DK56" s="21"/>
      <c r="DL56" s="21"/>
      <c r="DM56" s="21"/>
      <c r="DN56" s="21"/>
      <c r="DO56" s="21"/>
      <c r="DR56" s="9"/>
      <c r="DS56" s="21"/>
      <c r="DT56" s="21"/>
      <c r="DU56" s="21"/>
      <c r="DV56" s="21"/>
      <c r="DW56" s="21"/>
      <c r="EB56" s="9"/>
      <c r="EC56" s="21"/>
      <c r="ED56" s="21"/>
      <c r="EE56" s="21"/>
      <c r="EF56" s="21"/>
      <c r="EG56" s="21"/>
      <c r="EJ56" s="9"/>
      <c r="EK56" s="21"/>
      <c r="EL56" s="21"/>
      <c r="EM56" s="21"/>
      <c r="EN56" s="21"/>
      <c r="EO56" s="21"/>
      <c r="ES56" s="9"/>
      <c r="ET56" s="21"/>
      <c r="EU56" s="21"/>
      <c r="EV56" s="21"/>
      <c r="EW56" s="21"/>
      <c r="EX56" s="21"/>
      <c r="FA56" s="9"/>
      <c r="FB56" s="21"/>
      <c r="FC56" s="21"/>
      <c r="FD56" s="21"/>
      <c r="FE56" s="21"/>
      <c r="FF56" s="21"/>
    </row>
    <row r="57" spans="6:162" x14ac:dyDescent="0.25">
      <c r="F57" s="9"/>
      <c r="G57" s="21">
        <v>0.963287</v>
      </c>
      <c r="H57" s="21">
        <v>5.4886600000000003</v>
      </c>
      <c r="I57" s="24">
        <v>-3.39661E-5</v>
      </c>
      <c r="J57" s="21">
        <v>47</v>
      </c>
      <c r="K57" s="21">
        <v>0.96252400000000005</v>
      </c>
      <c r="L57">
        <f t="shared" si="0"/>
        <v>4.1933456790123454E-2</v>
      </c>
      <c r="M57">
        <f t="shared" si="1"/>
        <v>4.0393953790987654E-2</v>
      </c>
      <c r="N57" s="9"/>
      <c r="O57" s="21">
        <v>0.13671900000000001</v>
      </c>
      <c r="P57" s="21">
        <v>8.1094000000000008</v>
      </c>
      <c r="Q57" s="24">
        <v>-5.8441199999999999E-5</v>
      </c>
      <c r="R57" s="21">
        <v>47</v>
      </c>
      <c r="S57" s="21">
        <v>0.136383</v>
      </c>
      <c r="T57">
        <f t="shared" si="2"/>
        <v>7.2149629629629619E-2</v>
      </c>
      <c r="U57">
        <f t="shared" si="3"/>
        <v>9.8642252133333327E-3</v>
      </c>
      <c r="X57" s="9"/>
      <c r="Y57" s="21">
        <v>0.963287</v>
      </c>
      <c r="Z57" s="21">
        <v>12.469799999999999</v>
      </c>
      <c r="AA57" s="24">
        <v>-3.4118700000000003E-5</v>
      </c>
      <c r="AB57" s="21">
        <v>47</v>
      </c>
      <c r="AC57" s="21">
        <v>0.96252400000000005</v>
      </c>
      <c r="AD57">
        <f t="shared" si="4"/>
        <v>4.2121851851851855E-2</v>
      </c>
      <c r="AE57">
        <f t="shared" si="5"/>
        <v>4.0575432304814821E-2</v>
      </c>
      <c r="AF57" s="9"/>
      <c r="AG57" s="21">
        <v>0.13671900000000001</v>
      </c>
      <c r="AH57" s="21">
        <v>15.0906</v>
      </c>
      <c r="AI57" s="24">
        <v>-5.5419900000000001E-5</v>
      </c>
      <c r="AJ57" s="21">
        <v>47</v>
      </c>
      <c r="AK57" s="21">
        <v>0.13644400000000001</v>
      </c>
      <c r="AL57">
        <f t="shared" si="6"/>
        <v>6.8419629629629622E-2</v>
      </c>
      <c r="AM57">
        <f t="shared" si="7"/>
        <v>9.3542633433333321E-3</v>
      </c>
      <c r="AP57" s="9"/>
      <c r="AQ57" s="21">
        <v>0.963287</v>
      </c>
      <c r="AR57" s="21">
        <v>19.393000000000001</v>
      </c>
      <c r="AS57" s="24">
        <v>-3.3264199999999999E-5</v>
      </c>
      <c r="AT57" s="21">
        <v>47</v>
      </c>
      <c r="AU57" s="21">
        <v>0.96221900000000005</v>
      </c>
      <c r="AV57">
        <f t="shared" si="8"/>
        <v>4.106691358024691E-2</v>
      </c>
      <c r="AW57">
        <f t="shared" si="9"/>
        <v>3.9559223981975304E-2</v>
      </c>
      <c r="AX57" s="9"/>
      <c r="AY57" s="21">
        <v>0.13671900000000001</v>
      </c>
      <c r="AZ57" s="21">
        <v>22.0138</v>
      </c>
      <c r="BA57" s="24">
        <v>-5.3619399999999997E-5</v>
      </c>
      <c r="BB57" s="21">
        <v>47</v>
      </c>
      <c r="BC57" s="21">
        <v>0.13641400000000001</v>
      </c>
      <c r="BD57">
        <f t="shared" si="10"/>
        <v>6.6196790123456778E-2</v>
      </c>
      <c r="BE57">
        <f t="shared" si="11"/>
        <v>9.0503589488888873E-3</v>
      </c>
      <c r="BH57" s="9"/>
      <c r="BI57" s="21"/>
      <c r="BJ57" s="21"/>
      <c r="BK57" s="21"/>
      <c r="BL57" s="21"/>
      <c r="BM57" s="21"/>
      <c r="BP57" s="9"/>
      <c r="BQ57" s="21"/>
      <c r="BR57" s="21"/>
      <c r="BS57" s="21"/>
      <c r="BT57" s="21"/>
      <c r="BU57" s="21"/>
      <c r="BZ57" s="9"/>
      <c r="CA57" s="21"/>
      <c r="CB57" s="21"/>
      <c r="CC57" s="21"/>
      <c r="CD57" s="21"/>
      <c r="CE57" s="21"/>
      <c r="CH57" s="9"/>
      <c r="CI57" s="21"/>
      <c r="CJ57" s="21"/>
      <c r="CK57" s="21"/>
      <c r="CL57" s="21"/>
      <c r="CM57" s="21"/>
      <c r="CR57" s="9"/>
      <c r="CS57" s="21"/>
      <c r="CT57" s="21"/>
      <c r="CU57" s="21"/>
      <c r="CV57" s="21"/>
      <c r="CW57" s="21"/>
      <c r="CZ57" s="9"/>
      <c r="DA57" s="21"/>
      <c r="DB57" s="21"/>
      <c r="DC57" s="21"/>
      <c r="DD57" s="21"/>
      <c r="DE57" s="21"/>
      <c r="DJ57" s="9"/>
      <c r="DK57" s="21"/>
      <c r="DL57" s="21"/>
      <c r="DM57" s="21"/>
      <c r="DN57" s="21"/>
      <c r="DO57" s="21"/>
      <c r="DR57" s="9"/>
      <c r="DS57" s="21"/>
      <c r="DT57" s="21"/>
      <c r="DU57" s="21"/>
      <c r="DV57" s="21"/>
      <c r="DW57" s="21"/>
      <c r="EB57" s="9"/>
      <c r="EC57" s="21"/>
      <c r="ED57" s="21"/>
      <c r="EE57" s="21"/>
      <c r="EF57" s="21"/>
      <c r="EG57" s="21"/>
      <c r="EJ57" s="9"/>
      <c r="EK57" s="21"/>
      <c r="EL57" s="21"/>
      <c r="EM57" s="21"/>
      <c r="EN57" s="21"/>
      <c r="EO57" s="21"/>
      <c r="ES57" s="9"/>
      <c r="ET57" s="21"/>
      <c r="EU57" s="21"/>
      <c r="EV57" s="21"/>
      <c r="EW57" s="21"/>
      <c r="EX57" s="21"/>
      <c r="FA57" s="9"/>
      <c r="FB57" s="21"/>
      <c r="FC57" s="21"/>
      <c r="FD57" s="21"/>
      <c r="FE57" s="21"/>
      <c r="FF57" s="21"/>
    </row>
    <row r="58" spans="6:162" x14ac:dyDescent="0.25">
      <c r="F58" s="9"/>
      <c r="G58" s="21">
        <v>0.95825199999999999</v>
      </c>
      <c r="H58" s="21">
        <v>5.4987300000000001</v>
      </c>
      <c r="I58" s="24">
        <v>-3.4484899999999999E-5</v>
      </c>
      <c r="J58" s="21">
        <v>48</v>
      </c>
      <c r="K58" s="21">
        <v>0.95703099999999997</v>
      </c>
      <c r="L58">
        <f t="shared" si="0"/>
        <v>4.2573950617283945E-2</v>
      </c>
      <c r="M58">
        <f t="shared" si="1"/>
        <v>4.0796573326913575E-2</v>
      </c>
      <c r="N58" s="9"/>
      <c r="O58" s="21">
        <v>0.14175399999999999</v>
      </c>
      <c r="P58" s="21">
        <v>8.1194699999999997</v>
      </c>
      <c r="Q58" s="24">
        <v>-5.8196999999999999E-5</v>
      </c>
      <c r="R58" s="21">
        <v>48</v>
      </c>
      <c r="S58" s="21">
        <v>0.14147899999999999</v>
      </c>
      <c r="T58">
        <f t="shared" si="2"/>
        <v>7.1848148148148147E-2</v>
      </c>
      <c r="U58">
        <f t="shared" si="3"/>
        <v>1.0184762392592592E-2</v>
      </c>
      <c r="X58" s="9"/>
      <c r="Y58" s="21">
        <v>0.95825199999999999</v>
      </c>
      <c r="Z58" s="21">
        <v>12.479900000000001</v>
      </c>
      <c r="AA58" s="24">
        <v>-3.4515399999999998E-5</v>
      </c>
      <c r="AB58" s="21">
        <v>48</v>
      </c>
      <c r="AC58" s="21">
        <v>0.95703099999999997</v>
      </c>
      <c r="AD58">
        <f t="shared" si="4"/>
        <v>4.2611604938271597E-2</v>
      </c>
      <c r="AE58">
        <f t="shared" si="5"/>
        <v>4.0832655655308636E-2</v>
      </c>
      <c r="AF58" s="9"/>
      <c r="AG58" s="21">
        <v>0.14175399999999999</v>
      </c>
      <c r="AH58" s="21">
        <v>15.1006</v>
      </c>
      <c r="AI58" s="24">
        <v>-5.5175800000000001E-5</v>
      </c>
      <c r="AJ58" s="21">
        <v>48</v>
      </c>
      <c r="AK58" s="21">
        <v>0.14138800000000001</v>
      </c>
      <c r="AL58">
        <f t="shared" si="6"/>
        <v>6.8118271604938274E-2</v>
      </c>
      <c r="AM58">
        <f t="shared" si="7"/>
        <v>9.65603747308642E-3</v>
      </c>
      <c r="AP58" s="9"/>
      <c r="AQ58" s="21">
        <v>0.95825199999999999</v>
      </c>
      <c r="AR58" s="21">
        <v>19.403099999999998</v>
      </c>
      <c r="AS58" s="24">
        <v>-3.37219E-5</v>
      </c>
      <c r="AT58" s="21">
        <v>48</v>
      </c>
      <c r="AU58" s="21">
        <v>0.95672599999999997</v>
      </c>
      <c r="AV58">
        <f t="shared" si="8"/>
        <v>4.1631975308641968E-2</v>
      </c>
      <c r="AW58">
        <f t="shared" si="9"/>
        <v>3.9893923603456782E-2</v>
      </c>
      <c r="AX58" s="9"/>
      <c r="AY58" s="21">
        <v>0.14175399999999999</v>
      </c>
      <c r="AZ58" s="21">
        <v>22.023800000000001</v>
      </c>
      <c r="BA58" s="24">
        <v>-5.3466800000000001E-5</v>
      </c>
      <c r="BB58" s="21">
        <v>48</v>
      </c>
      <c r="BC58" s="21">
        <v>0.14141799999999999</v>
      </c>
      <c r="BD58">
        <f t="shared" si="10"/>
        <v>6.6008395061728384E-2</v>
      </c>
      <c r="BE58">
        <f t="shared" si="11"/>
        <v>9.3569540335802451E-3</v>
      </c>
      <c r="BH58" s="9"/>
      <c r="BI58" s="21"/>
      <c r="BJ58" s="21"/>
      <c r="BK58" s="21"/>
      <c r="BL58" s="21"/>
      <c r="BM58" s="21"/>
      <c r="BP58" s="9"/>
      <c r="BQ58" s="21"/>
      <c r="BR58" s="21"/>
      <c r="BS58" s="21"/>
      <c r="BT58" s="21"/>
      <c r="BU58" s="21"/>
      <c r="BZ58" s="9"/>
      <c r="CA58" s="21"/>
      <c r="CB58" s="21"/>
      <c r="CC58" s="21"/>
      <c r="CD58" s="21"/>
      <c r="CE58" s="21"/>
      <c r="CH58" s="9"/>
      <c r="CI58" s="21"/>
      <c r="CJ58" s="21"/>
      <c r="CK58" s="21"/>
      <c r="CL58" s="21"/>
      <c r="CM58" s="21"/>
      <c r="CR58" s="9"/>
      <c r="CS58" s="21"/>
      <c r="CT58" s="21"/>
      <c r="CU58" s="21"/>
      <c r="CV58" s="21"/>
      <c r="CW58" s="21"/>
      <c r="CZ58" s="9"/>
      <c r="DA58" s="21"/>
      <c r="DB58" s="21"/>
      <c r="DC58" s="21"/>
      <c r="DD58" s="21"/>
      <c r="DE58" s="21"/>
      <c r="DJ58" s="9"/>
      <c r="DK58" s="21"/>
      <c r="DL58" s="21"/>
      <c r="DM58" s="21"/>
      <c r="DN58" s="21"/>
      <c r="DO58" s="21"/>
      <c r="DR58" s="9"/>
      <c r="DS58" s="21"/>
      <c r="DT58" s="21"/>
      <c r="DU58" s="21"/>
      <c r="DV58" s="21"/>
      <c r="DW58" s="21"/>
      <c r="EB58" s="9"/>
      <c r="EC58" s="21"/>
      <c r="ED58" s="21"/>
      <c r="EE58" s="21"/>
      <c r="EF58" s="21"/>
      <c r="EG58" s="21"/>
      <c r="EJ58" s="9"/>
      <c r="EK58" s="21"/>
      <c r="EL58" s="21"/>
      <c r="EM58" s="21"/>
      <c r="EN58" s="21"/>
      <c r="EO58" s="21"/>
      <c r="ES58" s="9"/>
      <c r="ET58" s="21"/>
      <c r="EU58" s="21"/>
      <c r="EV58" s="21"/>
      <c r="EW58" s="21"/>
      <c r="EX58" s="21"/>
      <c r="FA58" s="9"/>
      <c r="FB58" s="21"/>
      <c r="FC58" s="21"/>
      <c r="FD58" s="21"/>
      <c r="FE58" s="21"/>
      <c r="FF58" s="21"/>
    </row>
    <row r="59" spans="6:162" x14ac:dyDescent="0.25">
      <c r="F59" s="9"/>
      <c r="G59" s="21">
        <v>0.95321699999999998</v>
      </c>
      <c r="H59" s="21">
        <v>5.5087999999999999</v>
      </c>
      <c r="I59" s="24">
        <v>-3.5095200000000002E-5</v>
      </c>
      <c r="J59" s="21">
        <v>49</v>
      </c>
      <c r="K59" s="21">
        <v>0.95245400000000002</v>
      </c>
      <c r="L59">
        <f t="shared" si="0"/>
        <v>4.3327407407407405E-2</v>
      </c>
      <c r="M59">
        <f t="shared" si="1"/>
        <v>4.1300421306666661E-2</v>
      </c>
      <c r="N59" s="9"/>
      <c r="O59" s="21">
        <v>0.14679</v>
      </c>
      <c r="P59" s="21">
        <v>8.1295400000000004</v>
      </c>
      <c r="Q59" s="24">
        <v>-5.79224E-5</v>
      </c>
      <c r="R59" s="21">
        <v>49</v>
      </c>
      <c r="S59" s="21">
        <v>0.14651500000000001</v>
      </c>
      <c r="T59">
        <f t="shared" si="2"/>
        <v>7.1509135802469134E-2</v>
      </c>
      <c r="U59">
        <f t="shared" si="3"/>
        <v>1.0496826044444444E-2</v>
      </c>
      <c r="X59" s="9"/>
      <c r="Y59" s="21">
        <v>0.95321699999999998</v>
      </c>
      <c r="Z59" s="21">
        <v>12.49</v>
      </c>
      <c r="AA59" s="24">
        <v>-3.4973099999999999E-5</v>
      </c>
      <c r="AB59" s="21">
        <v>49</v>
      </c>
      <c r="AC59" s="21">
        <v>0.95245400000000002</v>
      </c>
      <c r="AD59">
        <f t="shared" si="4"/>
        <v>4.3176666666666662E-2</v>
      </c>
      <c r="AE59">
        <f t="shared" si="5"/>
        <v>4.1156732669999994E-2</v>
      </c>
      <c r="AF59" s="9"/>
      <c r="AG59" s="21">
        <v>0.14679</v>
      </c>
      <c r="AH59" s="21">
        <v>15.1107</v>
      </c>
      <c r="AI59" s="24">
        <v>-5.5053699999999998E-5</v>
      </c>
      <c r="AJ59" s="21">
        <v>49</v>
      </c>
      <c r="AK59" s="21">
        <v>0.14651500000000001</v>
      </c>
      <c r="AL59">
        <f t="shared" si="6"/>
        <v>6.7967530864197531E-2</v>
      </c>
      <c r="AM59">
        <f t="shared" si="7"/>
        <v>9.9769538555555554E-3</v>
      </c>
      <c r="AP59" s="9"/>
      <c r="AQ59" s="21">
        <v>0.95321699999999998</v>
      </c>
      <c r="AR59" s="21">
        <v>19.4132</v>
      </c>
      <c r="AS59" s="24">
        <v>-3.4301799999999997E-5</v>
      </c>
      <c r="AT59" s="21">
        <v>49</v>
      </c>
      <c r="AU59" s="21">
        <v>0.95214799999999999</v>
      </c>
      <c r="AV59">
        <f t="shared" si="8"/>
        <v>4.2347901234567893E-2</v>
      </c>
      <c r="AW59">
        <f t="shared" si="9"/>
        <v>4.0366739371111106E-2</v>
      </c>
      <c r="AX59" s="9"/>
      <c r="AY59" s="21">
        <v>0.14679</v>
      </c>
      <c r="AZ59" s="21">
        <v>22.033899999999999</v>
      </c>
      <c r="BA59" s="24">
        <v>-5.3283699999999999E-5</v>
      </c>
      <c r="BB59" s="21">
        <v>49</v>
      </c>
      <c r="BC59" s="21">
        <v>0.14657600000000001</v>
      </c>
      <c r="BD59">
        <f t="shared" si="10"/>
        <v>6.5782345679012338E-2</v>
      </c>
      <c r="BE59">
        <f t="shared" si="11"/>
        <v>9.6561905222222206E-3</v>
      </c>
      <c r="BH59" s="9"/>
      <c r="BI59" s="21"/>
      <c r="BJ59" s="21"/>
      <c r="BK59" s="21"/>
      <c r="BL59" s="21"/>
      <c r="BM59" s="21"/>
      <c r="BP59" s="9"/>
      <c r="BQ59" s="21"/>
      <c r="BR59" s="21"/>
      <c r="BS59" s="21"/>
      <c r="BT59" s="21"/>
      <c r="BU59" s="21"/>
      <c r="BZ59" s="9"/>
      <c r="CA59" s="21"/>
      <c r="CB59" s="21"/>
      <c r="CC59" s="21"/>
      <c r="CD59" s="21"/>
      <c r="CE59" s="21"/>
      <c r="CH59" s="9"/>
      <c r="CI59" s="21"/>
      <c r="CJ59" s="21"/>
      <c r="CK59" s="21"/>
      <c r="CL59" s="21"/>
      <c r="CM59" s="21"/>
      <c r="CR59" s="9"/>
      <c r="CS59" s="21"/>
      <c r="CT59" s="21"/>
      <c r="CU59" s="21"/>
      <c r="CV59" s="21"/>
      <c r="CW59" s="21"/>
      <c r="CZ59" s="9"/>
      <c r="DA59" s="21"/>
      <c r="DB59" s="21"/>
      <c r="DC59" s="21"/>
      <c r="DD59" s="21"/>
      <c r="DE59" s="21"/>
      <c r="DJ59" s="9"/>
      <c r="DK59" s="21"/>
      <c r="DL59" s="21"/>
      <c r="DM59" s="21"/>
      <c r="DN59" s="21"/>
      <c r="DO59" s="21"/>
      <c r="DR59" s="9"/>
      <c r="DS59" s="21"/>
      <c r="DT59" s="21"/>
      <c r="DU59" s="21"/>
      <c r="DV59" s="21"/>
      <c r="DW59" s="21"/>
      <c r="EB59" s="9"/>
      <c r="EC59" s="21"/>
      <c r="ED59" s="21"/>
      <c r="EE59" s="21"/>
      <c r="EF59" s="21"/>
      <c r="EG59" s="21"/>
      <c r="EJ59" s="9"/>
      <c r="EK59" s="21"/>
      <c r="EL59" s="21"/>
      <c r="EM59" s="21"/>
      <c r="EN59" s="21"/>
      <c r="EO59" s="21"/>
      <c r="ES59" s="9"/>
      <c r="ET59" s="21"/>
      <c r="EU59" s="21"/>
      <c r="EV59" s="21"/>
      <c r="EW59" s="21"/>
      <c r="EX59" s="21"/>
      <c r="FA59" s="9"/>
      <c r="FB59" s="21"/>
      <c r="FC59" s="21"/>
      <c r="FD59" s="21"/>
      <c r="FE59" s="21"/>
      <c r="FF59" s="21"/>
    </row>
    <row r="60" spans="6:162" x14ac:dyDescent="0.25">
      <c r="F60" s="9"/>
      <c r="G60" s="21">
        <v>0.94818100000000005</v>
      </c>
      <c r="H60" s="21">
        <v>5.5188699999999997</v>
      </c>
      <c r="I60" s="24">
        <v>-3.5491899999999998E-5</v>
      </c>
      <c r="J60" s="21">
        <v>50</v>
      </c>
      <c r="K60" s="21">
        <v>0.94696000000000002</v>
      </c>
      <c r="L60">
        <f t="shared" si="0"/>
        <v>4.3817160493827154E-2</v>
      </c>
      <c r="M60">
        <f t="shared" si="1"/>
        <v>4.1546599054197525E-2</v>
      </c>
      <c r="N60" s="9"/>
      <c r="O60" s="21">
        <v>0.15182499999999999</v>
      </c>
      <c r="P60" s="21">
        <v>8.1396099999999993</v>
      </c>
      <c r="Q60" s="24">
        <v>-5.7708699999999999E-5</v>
      </c>
      <c r="R60" s="21">
        <v>50</v>
      </c>
      <c r="S60" s="21">
        <v>0.15151999999999999</v>
      </c>
      <c r="T60">
        <f t="shared" si="2"/>
        <v>7.12453086419753E-2</v>
      </c>
      <c r="U60">
        <f t="shared" si="3"/>
        <v>1.0816818984567898E-2</v>
      </c>
      <c r="X60" s="9"/>
      <c r="Y60" s="21">
        <v>0.94818100000000005</v>
      </c>
      <c r="Z60" s="21">
        <v>12.5</v>
      </c>
      <c r="AA60" s="24">
        <v>-3.5491899999999998E-5</v>
      </c>
      <c r="AB60" s="21">
        <v>50</v>
      </c>
      <c r="AC60" s="21">
        <v>0.94726600000000005</v>
      </c>
      <c r="AD60">
        <f t="shared" si="4"/>
        <v>4.3817160493827154E-2</v>
      </c>
      <c r="AE60">
        <f t="shared" si="5"/>
        <v>4.1546599054197525E-2</v>
      </c>
      <c r="AF60" s="9"/>
      <c r="AG60" s="21">
        <v>0.15182499999999999</v>
      </c>
      <c r="AH60" s="21">
        <v>15.120799999999999</v>
      </c>
      <c r="AI60" s="24">
        <v>-5.4931600000000001E-5</v>
      </c>
      <c r="AJ60" s="21">
        <v>50</v>
      </c>
      <c r="AK60" s="21">
        <v>0.15154999999999999</v>
      </c>
      <c r="AL60">
        <f t="shared" si="6"/>
        <v>6.7816790123456788E-2</v>
      </c>
      <c r="AM60">
        <f t="shared" si="7"/>
        <v>1.0296284160493826E-2</v>
      </c>
      <c r="AP60" s="9"/>
      <c r="AQ60" s="21">
        <v>0.94818100000000005</v>
      </c>
      <c r="AR60" s="21">
        <v>19.423200000000001</v>
      </c>
      <c r="AS60" s="24">
        <v>-3.4728999999999999E-5</v>
      </c>
      <c r="AT60" s="21">
        <v>50</v>
      </c>
      <c r="AU60" s="21">
        <v>0.94757100000000005</v>
      </c>
      <c r="AV60">
        <f t="shared" si="8"/>
        <v>4.2875308641975307E-2</v>
      </c>
      <c r="AW60">
        <f t="shared" si="9"/>
        <v>4.0653553023456794E-2</v>
      </c>
      <c r="AX60" s="9"/>
      <c r="AY60" s="21">
        <v>0.15182499999999999</v>
      </c>
      <c r="AZ60" s="21">
        <v>22.044</v>
      </c>
      <c r="BA60" s="24">
        <v>-5.3100599999999998E-5</v>
      </c>
      <c r="BB60" s="21">
        <v>50</v>
      </c>
      <c r="BC60" s="21">
        <v>0.15148900000000001</v>
      </c>
      <c r="BD60">
        <f t="shared" si="10"/>
        <v>6.5556296296296293E-2</v>
      </c>
      <c r="BE60">
        <f t="shared" si="11"/>
        <v>9.9530846851851838E-3</v>
      </c>
      <c r="BH60" s="9"/>
      <c r="BI60" s="21"/>
      <c r="BJ60" s="21"/>
      <c r="BK60" s="21"/>
      <c r="BL60" s="21"/>
      <c r="BM60" s="21"/>
      <c r="BP60" s="9"/>
      <c r="BQ60" s="21"/>
      <c r="BR60" s="21"/>
      <c r="BS60" s="21"/>
      <c r="BT60" s="21"/>
      <c r="BU60" s="21"/>
      <c r="BZ60" s="9"/>
      <c r="CA60" s="21"/>
      <c r="CB60" s="21"/>
      <c r="CC60" s="21"/>
      <c r="CD60" s="21"/>
      <c r="CE60" s="21"/>
      <c r="CH60" s="9"/>
      <c r="CI60" s="21"/>
      <c r="CJ60" s="21"/>
      <c r="CK60" s="21"/>
      <c r="CL60" s="21"/>
      <c r="CM60" s="21"/>
      <c r="CR60" s="9"/>
      <c r="CS60" s="21"/>
      <c r="CT60" s="21"/>
      <c r="CU60" s="21"/>
      <c r="CV60" s="21"/>
      <c r="CW60" s="21"/>
      <c r="CZ60" s="9"/>
      <c r="DA60" s="21"/>
      <c r="DB60" s="21"/>
      <c r="DC60" s="21"/>
      <c r="DD60" s="21"/>
      <c r="DE60" s="21"/>
      <c r="DJ60" s="9"/>
      <c r="DK60" s="21"/>
      <c r="DL60" s="21"/>
      <c r="DM60" s="21"/>
      <c r="DN60" s="21"/>
      <c r="DO60" s="21"/>
      <c r="DR60" s="9"/>
      <c r="DS60" s="21"/>
      <c r="DT60" s="21"/>
      <c r="DU60" s="21"/>
      <c r="DV60" s="21"/>
      <c r="DW60" s="21"/>
      <c r="EB60" s="9"/>
      <c r="EC60" s="21"/>
      <c r="ED60" s="21"/>
      <c r="EE60" s="21"/>
      <c r="EF60" s="21"/>
      <c r="EG60" s="21"/>
      <c r="EJ60" s="9"/>
      <c r="EK60" s="21"/>
      <c r="EL60" s="21"/>
      <c r="EM60" s="21"/>
      <c r="EN60" s="21"/>
      <c r="EO60" s="21"/>
      <c r="ES60" s="9"/>
      <c r="ET60" s="21"/>
      <c r="EU60" s="21"/>
      <c r="EV60" s="21"/>
      <c r="EW60" s="21"/>
      <c r="EX60" s="21"/>
      <c r="FA60" s="9"/>
      <c r="FB60" s="21"/>
      <c r="FC60" s="21"/>
      <c r="FD60" s="21"/>
      <c r="FE60" s="21"/>
      <c r="FF60" s="21"/>
    </row>
    <row r="61" spans="6:162" x14ac:dyDescent="0.25">
      <c r="F61" s="9"/>
      <c r="G61" s="21">
        <v>0.94314600000000004</v>
      </c>
      <c r="H61" s="21">
        <v>5.5289400000000004</v>
      </c>
      <c r="I61" s="24">
        <v>-3.59192E-5</v>
      </c>
      <c r="J61" s="21">
        <v>51</v>
      </c>
      <c r="K61" s="21">
        <v>0.94207799999999997</v>
      </c>
      <c r="L61">
        <f t="shared" si="0"/>
        <v>4.4344691358024692E-2</v>
      </c>
      <c r="M61">
        <f t="shared" si="1"/>
        <v>4.1823518275555555E-2</v>
      </c>
      <c r="N61" s="9"/>
      <c r="O61" s="21">
        <v>0.15686</v>
      </c>
      <c r="P61" s="21">
        <v>8.14968</v>
      </c>
      <c r="Q61" s="24">
        <v>-5.7586700000000002E-5</v>
      </c>
      <c r="R61" s="21">
        <v>51</v>
      </c>
      <c r="S61" s="21">
        <v>0.156555</v>
      </c>
      <c r="T61">
        <f t="shared" si="2"/>
        <v>7.1094691358024681E-2</v>
      </c>
      <c r="U61">
        <f t="shared" si="3"/>
        <v>1.1151913286419752E-2</v>
      </c>
      <c r="X61" s="9"/>
      <c r="Y61" s="21">
        <v>0.94314600000000004</v>
      </c>
      <c r="Z61" s="21">
        <v>12.5101</v>
      </c>
      <c r="AA61" s="24">
        <v>-3.5949699999999999E-5</v>
      </c>
      <c r="AB61" s="21">
        <v>51</v>
      </c>
      <c r="AC61" s="21">
        <v>0.94207799999999997</v>
      </c>
      <c r="AD61">
        <f t="shared" si="4"/>
        <v>4.4382345679012343E-2</v>
      </c>
      <c r="AE61">
        <f t="shared" si="5"/>
        <v>4.1859031797777779E-2</v>
      </c>
      <c r="AF61" s="9"/>
      <c r="AG61" s="21">
        <v>0.15686</v>
      </c>
      <c r="AH61" s="21">
        <v>15.1309</v>
      </c>
      <c r="AI61" s="24">
        <v>-5.4657000000000002E-5</v>
      </c>
      <c r="AJ61" s="21">
        <v>51</v>
      </c>
      <c r="AK61" s="21">
        <v>0.156525</v>
      </c>
      <c r="AL61">
        <f t="shared" si="6"/>
        <v>6.7477777777777775E-2</v>
      </c>
      <c r="AM61">
        <f t="shared" si="7"/>
        <v>1.0584564222222221E-2</v>
      </c>
      <c r="AP61" s="9"/>
      <c r="AQ61" s="21">
        <v>0.94314600000000004</v>
      </c>
      <c r="AR61" s="21">
        <v>19.433299999999999</v>
      </c>
      <c r="AS61" s="24">
        <v>-3.5125700000000002E-5</v>
      </c>
      <c r="AT61" s="21">
        <v>51</v>
      </c>
      <c r="AU61" s="21">
        <v>0.94207799999999997</v>
      </c>
      <c r="AV61">
        <f t="shared" si="8"/>
        <v>4.3365061728395063E-2</v>
      </c>
      <c r="AW61">
        <f t="shared" si="9"/>
        <v>4.0899584508888892E-2</v>
      </c>
      <c r="AX61" s="9"/>
      <c r="AY61" s="21">
        <v>0.15686</v>
      </c>
      <c r="AZ61" s="21">
        <v>22.053999999999998</v>
      </c>
      <c r="BA61" s="24">
        <v>-5.2917500000000003E-5</v>
      </c>
      <c r="BB61" s="21">
        <v>51</v>
      </c>
      <c r="BC61" s="21">
        <v>0.156525</v>
      </c>
      <c r="BD61">
        <f t="shared" si="10"/>
        <v>6.5330246913580248E-2</v>
      </c>
      <c r="BE61">
        <f t="shared" si="11"/>
        <v>1.0247702530864197E-2</v>
      </c>
      <c r="BH61" s="9"/>
      <c r="BI61" s="21"/>
      <c r="BJ61" s="21"/>
      <c r="BK61" s="21"/>
      <c r="BL61" s="21"/>
      <c r="BM61" s="21"/>
      <c r="BP61" s="9"/>
      <c r="BQ61" s="21"/>
      <c r="BR61" s="21"/>
      <c r="BS61" s="21"/>
      <c r="BT61" s="21"/>
      <c r="BU61" s="21"/>
      <c r="BZ61" s="9"/>
      <c r="CA61" s="21"/>
      <c r="CB61" s="21"/>
      <c r="CC61" s="21"/>
      <c r="CD61" s="21"/>
      <c r="CE61" s="21"/>
      <c r="CH61" s="9"/>
      <c r="CI61" s="21"/>
      <c r="CJ61" s="21"/>
      <c r="CK61" s="21"/>
      <c r="CL61" s="21"/>
      <c r="CM61" s="21"/>
      <c r="CR61" s="9"/>
      <c r="CS61" s="21"/>
      <c r="CT61" s="21"/>
      <c r="CU61" s="21"/>
      <c r="CV61" s="21"/>
      <c r="CW61" s="21"/>
      <c r="CZ61" s="9"/>
      <c r="DA61" s="21"/>
      <c r="DB61" s="21"/>
      <c r="DC61" s="21"/>
      <c r="DD61" s="21"/>
      <c r="DE61" s="21"/>
      <c r="DJ61" s="9"/>
      <c r="DK61" s="21"/>
      <c r="DL61" s="21"/>
      <c r="DM61" s="21"/>
      <c r="DN61" s="21"/>
      <c r="DO61" s="21"/>
      <c r="DR61" s="9"/>
      <c r="DS61" s="21"/>
      <c r="DT61" s="21"/>
      <c r="DU61" s="21"/>
      <c r="DV61" s="21"/>
      <c r="DW61" s="21"/>
      <c r="EB61" s="9"/>
      <c r="EC61" s="21"/>
      <c r="ED61" s="21"/>
      <c r="EE61" s="21"/>
      <c r="EF61" s="21"/>
      <c r="EG61" s="21"/>
      <c r="EJ61" s="9"/>
      <c r="EK61" s="21"/>
      <c r="EL61" s="21"/>
      <c r="EM61" s="21"/>
      <c r="EN61" s="21"/>
      <c r="EO61" s="21"/>
      <c r="ES61" s="9"/>
      <c r="ET61" s="21"/>
      <c r="EU61" s="21"/>
      <c r="EV61" s="21"/>
      <c r="EW61" s="21"/>
      <c r="EX61" s="21"/>
      <c r="FA61" s="9"/>
      <c r="FB61" s="21"/>
      <c r="FC61" s="21"/>
      <c r="FD61" s="21"/>
      <c r="FE61" s="21"/>
      <c r="FF61" s="21"/>
    </row>
    <row r="62" spans="6:162" x14ac:dyDescent="0.25">
      <c r="F62" s="9"/>
      <c r="G62" s="21">
        <v>0.93811</v>
      </c>
      <c r="H62" s="21">
        <v>5.5390100000000002</v>
      </c>
      <c r="I62" s="24">
        <v>-3.6682099999999999E-5</v>
      </c>
      <c r="J62" s="21">
        <v>52</v>
      </c>
      <c r="K62" s="21">
        <v>0.9375</v>
      </c>
      <c r="L62">
        <f t="shared" si="0"/>
        <v>4.5286543209876538E-2</v>
      </c>
      <c r="M62">
        <f t="shared" si="1"/>
        <v>4.2483759050617277E-2</v>
      </c>
      <c r="N62" s="9"/>
      <c r="O62" s="21">
        <v>0.16189600000000001</v>
      </c>
      <c r="P62" s="21">
        <v>8.1597500000000007</v>
      </c>
      <c r="Q62" s="24">
        <v>-5.7281499999999997E-5</v>
      </c>
      <c r="R62" s="21">
        <v>52</v>
      </c>
      <c r="S62" s="21">
        <v>0.16165199999999999</v>
      </c>
      <c r="T62">
        <f t="shared" si="2"/>
        <v>7.0717901234567893E-2</v>
      </c>
      <c r="U62">
        <f t="shared" si="3"/>
        <v>1.1448945338271604E-2</v>
      </c>
      <c r="X62" s="9"/>
      <c r="Y62" s="21">
        <v>0.93811</v>
      </c>
      <c r="Z62" s="21">
        <v>12.520200000000001</v>
      </c>
      <c r="AA62" s="24">
        <v>-3.6468499999999998E-5</v>
      </c>
      <c r="AB62" s="21">
        <v>52</v>
      </c>
      <c r="AC62" s="21">
        <v>0.9375</v>
      </c>
      <c r="AD62">
        <f t="shared" si="4"/>
        <v>4.5022839506172835E-2</v>
      </c>
      <c r="AE62">
        <f t="shared" si="5"/>
        <v>4.2236375969135799E-2</v>
      </c>
      <c r="AF62" s="9"/>
      <c r="AG62" s="21">
        <v>0.16189600000000001</v>
      </c>
      <c r="AH62" s="21">
        <v>15.1409</v>
      </c>
      <c r="AI62" s="24">
        <v>-5.4412800000000002E-5</v>
      </c>
      <c r="AJ62" s="21">
        <v>52</v>
      </c>
      <c r="AK62" s="21">
        <v>0.16162099999999999</v>
      </c>
      <c r="AL62">
        <f t="shared" si="6"/>
        <v>6.717629629629629E-2</v>
      </c>
      <c r="AM62">
        <f t="shared" si="7"/>
        <v>1.0875573665185184E-2</v>
      </c>
      <c r="AP62" s="9"/>
      <c r="AQ62" s="21">
        <v>0.93811</v>
      </c>
      <c r="AR62" s="21">
        <v>19.4434</v>
      </c>
      <c r="AS62" s="24">
        <v>-3.5461399999999999E-5</v>
      </c>
      <c r="AT62" s="21">
        <v>52</v>
      </c>
      <c r="AU62" s="21">
        <v>0.937195</v>
      </c>
      <c r="AV62">
        <f t="shared" si="8"/>
        <v>4.3779506172839502E-2</v>
      </c>
      <c r="AW62">
        <f t="shared" si="9"/>
        <v>4.1069992535802465E-2</v>
      </c>
      <c r="AX62" s="9"/>
      <c r="AY62" s="21">
        <v>0.16189600000000001</v>
      </c>
      <c r="AZ62" s="21">
        <v>22.0641</v>
      </c>
      <c r="BA62" s="24">
        <v>-5.2642799999999997E-5</v>
      </c>
      <c r="BB62" s="21">
        <v>52</v>
      </c>
      <c r="BC62" s="21">
        <v>0.16153000000000001</v>
      </c>
      <c r="BD62">
        <f t="shared" si="10"/>
        <v>6.4991111111111111E-2</v>
      </c>
      <c r="BE62">
        <f t="shared" si="11"/>
        <v>1.0521800924444446E-2</v>
      </c>
      <c r="BH62" s="9"/>
      <c r="BI62" s="21"/>
      <c r="BJ62" s="21"/>
      <c r="BK62" s="21"/>
      <c r="BL62" s="21"/>
      <c r="BM62" s="21"/>
      <c r="BP62" s="9"/>
      <c r="BQ62" s="21"/>
      <c r="BR62" s="21"/>
      <c r="BS62" s="21"/>
      <c r="BT62" s="21"/>
      <c r="BU62" s="21"/>
      <c r="BZ62" s="9"/>
      <c r="CA62" s="21"/>
      <c r="CB62" s="21"/>
      <c r="CC62" s="21"/>
      <c r="CD62" s="21"/>
      <c r="CE62" s="21"/>
      <c r="CH62" s="9"/>
      <c r="CI62" s="21"/>
      <c r="CJ62" s="21"/>
      <c r="CK62" s="21"/>
      <c r="CL62" s="21"/>
      <c r="CM62" s="21"/>
      <c r="CR62" s="9"/>
      <c r="CS62" s="21"/>
      <c r="CT62" s="21"/>
      <c r="CU62" s="21"/>
      <c r="CV62" s="21"/>
      <c r="CW62" s="21"/>
      <c r="CZ62" s="9"/>
      <c r="DA62" s="21"/>
      <c r="DB62" s="21"/>
      <c r="DC62" s="21"/>
      <c r="DD62" s="21"/>
      <c r="DE62" s="21"/>
      <c r="DJ62" s="9"/>
      <c r="DK62" s="21"/>
      <c r="DL62" s="21"/>
      <c r="DM62" s="21"/>
      <c r="DN62" s="21"/>
      <c r="DO62" s="21"/>
      <c r="DR62" s="9"/>
      <c r="DS62" s="21"/>
      <c r="DT62" s="21"/>
      <c r="DU62" s="21"/>
      <c r="DV62" s="21"/>
      <c r="DW62" s="21"/>
      <c r="EB62" s="9"/>
      <c r="EC62" s="21"/>
      <c r="ED62" s="21"/>
      <c r="EE62" s="21"/>
      <c r="EF62" s="21"/>
      <c r="EG62" s="21"/>
      <c r="EJ62" s="9"/>
      <c r="EK62" s="21"/>
      <c r="EL62" s="21"/>
      <c r="EM62" s="21"/>
      <c r="EN62" s="21"/>
      <c r="EO62" s="21"/>
      <c r="ES62" s="9"/>
      <c r="ET62" s="21"/>
      <c r="EU62" s="21"/>
      <c r="EV62" s="21"/>
      <c r="EW62" s="21"/>
      <c r="EX62" s="21"/>
      <c r="FA62" s="9"/>
      <c r="FB62" s="21"/>
      <c r="FC62" s="21"/>
      <c r="FD62" s="21"/>
      <c r="FE62" s="21"/>
      <c r="FF62" s="21"/>
    </row>
    <row r="63" spans="6:162" x14ac:dyDescent="0.25">
      <c r="F63" s="9"/>
      <c r="G63" s="21">
        <v>0.93307499999999999</v>
      </c>
      <c r="H63" s="21">
        <v>5.54908</v>
      </c>
      <c r="I63" s="24">
        <v>-3.71399E-5</v>
      </c>
      <c r="J63" s="21">
        <v>53</v>
      </c>
      <c r="K63" s="21">
        <v>0.93231200000000003</v>
      </c>
      <c r="L63">
        <f t="shared" si="0"/>
        <v>4.5851728395061728E-2</v>
      </c>
      <c r="M63">
        <f t="shared" si="1"/>
        <v>4.2783101472222224E-2</v>
      </c>
      <c r="N63" s="9"/>
      <c r="O63" s="21">
        <v>0.166931</v>
      </c>
      <c r="P63" s="21">
        <v>8.1698199999999996</v>
      </c>
      <c r="Q63" s="24">
        <v>-5.7189899999999999E-5</v>
      </c>
      <c r="R63" s="21">
        <v>53</v>
      </c>
      <c r="S63" s="21">
        <v>0.16656499999999999</v>
      </c>
      <c r="T63">
        <f t="shared" si="2"/>
        <v>7.0604814814814815E-2</v>
      </c>
      <c r="U63">
        <f t="shared" si="3"/>
        <v>1.1786132341851852E-2</v>
      </c>
      <c r="X63" s="9"/>
      <c r="Y63" s="21">
        <v>0.93307499999999999</v>
      </c>
      <c r="Z63" s="21">
        <v>12.5303</v>
      </c>
      <c r="AA63" s="24">
        <v>-3.6987299999999997E-5</v>
      </c>
      <c r="AB63" s="21">
        <v>53</v>
      </c>
      <c r="AC63" s="21">
        <v>0.93200700000000003</v>
      </c>
      <c r="AD63">
        <f t="shared" si="4"/>
        <v>4.5663333333333327E-2</v>
      </c>
      <c r="AE63">
        <f t="shared" si="5"/>
        <v>4.2607314749999993E-2</v>
      </c>
      <c r="AF63" s="9"/>
      <c r="AG63" s="21">
        <v>0.166931</v>
      </c>
      <c r="AH63" s="21">
        <v>15.151</v>
      </c>
      <c r="AI63" s="24">
        <v>-5.4168700000000002E-5</v>
      </c>
      <c r="AJ63" s="21">
        <v>53</v>
      </c>
      <c r="AK63" s="21">
        <v>0.16659499999999999</v>
      </c>
      <c r="AL63">
        <f t="shared" si="6"/>
        <v>6.6874938271604942E-2</v>
      </c>
      <c r="AM63">
        <f t="shared" si="7"/>
        <v>1.1163500320617284E-2</v>
      </c>
      <c r="AP63" s="9"/>
      <c r="AQ63" s="21">
        <v>0.93307499999999999</v>
      </c>
      <c r="AR63" s="21">
        <v>19.453399999999998</v>
      </c>
      <c r="AS63" s="24">
        <v>-3.5736099999999998E-5</v>
      </c>
      <c r="AT63" s="21">
        <v>53</v>
      </c>
      <c r="AU63" s="21">
        <v>0.93200700000000003</v>
      </c>
      <c r="AV63">
        <f t="shared" si="8"/>
        <v>4.411864197530864E-2</v>
      </c>
      <c r="AW63">
        <f t="shared" si="9"/>
        <v>4.1166001861111107E-2</v>
      </c>
      <c r="AX63" s="9"/>
      <c r="AY63" s="21">
        <v>0.166931</v>
      </c>
      <c r="AZ63" s="21">
        <v>22.074200000000001</v>
      </c>
      <c r="BA63" s="24">
        <v>-5.2581799999999999E-5</v>
      </c>
      <c r="BB63" s="21">
        <v>53</v>
      </c>
      <c r="BC63" s="21">
        <v>0.166626</v>
      </c>
      <c r="BD63">
        <f t="shared" si="10"/>
        <v>6.4915802469135808E-2</v>
      </c>
      <c r="BE63">
        <f t="shared" si="11"/>
        <v>1.0836459821975309E-2</v>
      </c>
      <c r="BH63" s="9"/>
      <c r="BI63" s="21"/>
      <c r="BJ63" s="21"/>
      <c r="BK63" s="21"/>
      <c r="BL63" s="21"/>
      <c r="BM63" s="21"/>
      <c r="BP63" s="9"/>
      <c r="BQ63" s="21"/>
      <c r="BR63" s="21"/>
      <c r="BS63" s="21"/>
      <c r="BT63" s="21"/>
      <c r="BU63" s="21"/>
      <c r="BZ63" s="9"/>
      <c r="CA63" s="21"/>
      <c r="CB63" s="21"/>
      <c r="CC63" s="21"/>
      <c r="CD63" s="21"/>
      <c r="CE63" s="21"/>
      <c r="CH63" s="9"/>
      <c r="CI63" s="21"/>
      <c r="CJ63" s="21"/>
      <c r="CK63" s="21"/>
      <c r="CL63" s="21"/>
      <c r="CM63" s="21"/>
      <c r="CR63" s="9"/>
      <c r="CS63" s="21"/>
      <c r="CT63" s="21"/>
      <c r="CU63" s="21"/>
      <c r="CV63" s="21"/>
      <c r="CW63" s="21"/>
      <c r="CZ63" s="9"/>
      <c r="DA63" s="21"/>
      <c r="DB63" s="21"/>
      <c r="DC63" s="21"/>
      <c r="DD63" s="21"/>
      <c r="DE63" s="21"/>
      <c r="DJ63" s="9"/>
      <c r="DK63" s="21"/>
      <c r="DL63" s="21"/>
      <c r="DM63" s="21"/>
      <c r="DN63" s="21"/>
      <c r="DO63" s="21"/>
      <c r="DR63" s="9"/>
      <c r="DS63" s="21"/>
      <c r="DT63" s="21"/>
      <c r="DU63" s="21"/>
      <c r="DV63" s="21"/>
      <c r="DW63" s="21"/>
      <c r="EB63" s="9"/>
      <c r="EC63" s="21"/>
      <c r="ED63" s="21"/>
      <c r="EE63" s="21"/>
      <c r="EF63" s="21"/>
      <c r="EG63" s="21"/>
      <c r="EJ63" s="9"/>
      <c r="EK63" s="21"/>
      <c r="EL63" s="21"/>
      <c r="EM63" s="21"/>
      <c r="EN63" s="21"/>
      <c r="EO63" s="21"/>
      <c r="ES63" s="9"/>
      <c r="ET63" s="21"/>
      <c r="EU63" s="21"/>
      <c r="EV63" s="21"/>
      <c r="EW63" s="21"/>
      <c r="EX63" s="21"/>
      <c r="FA63" s="9"/>
      <c r="FB63" s="21"/>
      <c r="FC63" s="21"/>
      <c r="FD63" s="21"/>
      <c r="FE63" s="21"/>
      <c r="FF63" s="21"/>
    </row>
    <row r="64" spans="6:162" x14ac:dyDescent="0.25">
      <c r="F64" s="9"/>
      <c r="G64" s="21">
        <v>0.92803999999999998</v>
      </c>
      <c r="H64" s="21">
        <v>5.5591499999999998</v>
      </c>
      <c r="I64" s="24">
        <v>-3.7902799999999999E-5</v>
      </c>
      <c r="J64" s="21">
        <v>54</v>
      </c>
      <c r="K64" s="21">
        <v>0.92742899999999995</v>
      </c>
      <c r="L64">
        <f t="shared" si="0"/>
        <v>4.6793580246913574E-2</v>
      </c>
      <c r="M64">
        <f t="shared" si="1"/>
        <v>4.3426314212345669E-2</v>
      </c>
      <c r="N64" s="9"/>
      <c r="O64" s="21">
        <v>0.17196700000000001</v>
      </c>
      <c r="P64" s="21">
        <v>8.1798900000000003</v>
      </c>
      <c r="Q64" s="24">
        <v>-5.6945799999999999E-5</v>
      </c>
      <c r="R64" s="21">
        <v>54</v>
      </c>
      <c r="S64" s="21">
        <v>0.17166100000000001</v>
      </c>
      <c r="T64">
        <f t="shared" si="2"/>
        <v>7.0303456790123453E-2</v>
      </c>
      <c r="U64">
        <f t="shared" si="3"/>
        <v>1.208987455382716E-2</v>
      </c>
      <c r="X64" s="9"/>
      <c r="Y64" s="21">
        <v>0.92803999999999998</v>
      </c>
      <c r="Z64" s="21">
        <v>12.5403</v>
      </c>
      <c r="AA64" s="24">
        <v>-3.76282E-5</v>
      </c>
      <c r="AB64" s="21">
        <v>54</v>
      </c>
      <c r="AC64" s="21">
        <v>0.92712399999999995</v>
      </c>
      <c r="AD64">
        <f t="shared" si="4"/>
        <v>4.6454567901234561E-2</v>
      </c>
      <c r="AE64">
        <f t="shared" si="5"/>
        <v>4.3111697195061721E-2</v>
      </c>
      <c r="AF64" s="9"/>
      <c r="AG64" s="21">
        <v>0.17196700000000001</v>
      </c>
      <c r="AH64" s="21">
        <v>15.161099999999999</v>
      </c>
      <c r="AI64" s="24">
        <v>-5.4016099999999999E-5</v>
      </c>
      <c r="AJ64" s="21">
        <v>54</v>
      </c>
      <c r="AK64" s="21">
        <v>0.17163100000000001</v>
      </c>
      <c r="AL64">
        <f t="shared" si="6"/>
        <v>6.6686543209876534E-2</v>
      </c>
      <c r="AM64">
        <f t="shared" si="7"/>
        <v>1.1467884776172839E-2</v>
      </c>
      <c r="AP64" s="9"/>
      <c r="AQ64" s="21">
        <v>0.92803999999999998</v>
      </c>
      <c r="AR64" s="21">
        <v>19.4635</v>
      </c>
      <c r="AS64" s="24">
        <v>-3.61633E-5</v>
      </c>
      <c r="AT64" s="21">
        <v>54</v>
      </c>
      <c r="AU64" s="21">
        <v>0.92773399999999995</v>
      </c>
      <c r="AV64">
        <f t="shared" si="8"/>
        <v>4.4646049382716047E-2</v>
      </c>
      <c r="AW64">
        <f t="shared" si="9"/>
        <v>4.1433319669135799E-2</v>
      </c>
      <c r="AX64" s="9"/>
      <c r="AY64" s="21">
        <v>0.17196700000000001</v>
      </c>
      <c r="AZ64" s="21">
        <v>22.084199999999999</v>
      </c>
      <c r="BA64" s="24">
        <v>-5.22766E-5</v>
      </c>
      <c r="BB64" s="21">
        <v>54</v>
      </c>
      <c r="BC64" s="21">
        <v>0.17166100000000001</v>
      </c>
      <c r="BD64">
        <f t="shared" si="10"/>
        <v>6.4539012345679006E-2</v>
      </c>
      <c r="BE64">
        <f t="shared" si="11"/>
        <v>1.1098580336049383E-2</v>
      </c>
      <c r="BH64" s="9"/>
      <c r="BI64" s="21"/>
      <c r="BJ64" s="21"/>
      <c r="BK64" s="21"/>
      <c r="BL64" s="21"/>
      <c r="BM64" s="21"/>
      <c r="BP64" s="9"/>
      <c r="BQ64" s="21"/>
      <c r="BR64" s="21"/>
      <c r="BS64" s="21"/>
      <c r="BT64" s="21"/>
      <c r="BU64" s="21"/>
      <c r="BZ64" s="9"/>
      <c r="CA64" s="21"/>
      <c r="CB64" s="21"/>
      <c r="CC64" s="21"/>
      <c r="CD64" s="21"/>
      <c r="CE64" s="21"/>
      <c r="CH64" s="9"/>
      <c r="CI64" s="21"/>
      <c r="CJ64" s="21"/>
      <c r="CK64" s="21"/>
      <c r="CL64" s="21"/>
      <c r="CM64" s="21"/>
      <c r="CR64" s="9"/>
      <c r="CS64" s="21"/>
      <c r="CT64" s="21"/>
      <c r="CU64" s="21"/>
      <c r="CV64" s="21"/>
      <c r="CW64" s="21"/>
      <c r="CZ64" s="9"/>
      <c r="DA64" s="21"/>
      <c r="DB64" s="21"/>
      <c r="DC64" s="21"/>
      <c r="DD64" s="21"/>
      <c r="DE64" s="21"/>
      <c r="DJ64" s="9"/>
      <c r="DK64" s="21"/>
      <c r="DL64" s="21"/>
      <c r="DM64" s="21"/>
      <c r="DN64" s="21"/>
      <c r="DO64" s="21"/>
      <c r="DR64" s="9"/>
      <c r="DS64" s="21"/>
      <c r="DT64" s="21"/>
      <c r="DU64" s="21"/>
      <c r="DV64" s="21"/>
      <c r="DW64" s="21"/>
      <c r="EB64" s="9"/>
      <c r="EC64" s="21"/>
      <c r="ED64" s="21"/>
      <c r="EE64" s="21"/>
      <c r="EF64" s="21"/>
      <c r="EG64" s="21"/>
      <c r="EJ64" s="9"/>
      <c r="EK64" s="21"/>
      <c r="EL64" s="21"/>
      <c r="EM64" s="21"/>
      <c r="EN64" s="21"/>
      <c r="EO64" s="21"/>
      <c r="ES64" s="9"/>
      <c r="ET64" s="21"/>
      <c r="EU64" s="21"/>
      <c r="EV64" s="21"/>
      <c r="EW64" s="21"/>
      <c r="EX64" s="21"/>
      <c r="FA64" s="9"/>
      <c r="FB64" s="21"/>
      <c r="FC64" s="21"/>
      <c r="FD64" s="21"/>
      <c r="FE64" s="21"/>
      <c r="FF64" s="21"/>
    </row>
    <row r="65" spans="6:162" x14ac:dyDescent="0.25">
      <c r="F65" s="9"/>
      <c r="G65" s="21">
        <v>0.92300400000000005</v>
      </c>
      <c r="H65" s="21">
        <v>5.5692199999999996</v>
      </c>
      <c r="I65" s="24">
        <v>-3.8238500000000003E-5</v>
      </c>
      <c r="J65" s="21">
        <v>55</v>
      </c>
      <c r="K65" s="21">
        <v>0.92254599999999998</v>
      </c>
      <c r="L65">
        <f t="shared" si="0"/>
        <v>4.7208024691358028E-2</v>
      </c>
      <c r="M65">
        <f t="shared" si="1"/>
        <v>4.3573195622222227E-2</v>
      </c>
      <c r="N65" s="9"/>
      <c r="O65" s="21">
        <v>0.17700199999999999</v>
      </c>
      <c r="P65" s="21">
        <v>8.1899599999999992</v>
      </c>
      <c r="Q65" s="24">
        <v>-5.6793199999999997E-5</v>
      </c>
      <c r="R65" s="21">
        <v>55</v>
      </c>
      <c r="S65" s="21">
        <v>0.176727</v>
      </c>
      <c r="T65">
        <f t="shared" si="2"/>
        <v>7.0115061728395045E-2</v>
      </c>
      <c r="U65">
        <f t="shared" si="3"/>
        <v>1.241050615604938E-2</v>
      </c>
      <c r="X65" s="9"/>
      <c r="Y65" s="21">
        <v>0.92300400000000005</v>
      </c>
      <c r="Z65" s="21">
        <v>12.5504</v>
      </c>
      <c r="AA65" s="24">
        <v>-3.8055400000000002E-5</v>
      </c>
      <c r="AB65" s="21">
        <v>55</v>
      </c>
      <c r="AC65" s="21">
        <v>0.92224099999999998</v>
      </c>
      <c r="AD65">
        <f t="shared" si="4"/>
        <v>4.6981975308641975E-2</v>
      </c>
      <c r="AE65">
        <f t="shared" si="5"/>
        <v>4.3364551137777783E-2</v>
      </c>
      <c r="AF65" s="9"/>
      <c r="AG65" s="21">
        <v>0.17700199999999999</v>
      </c>
      <c r="AH65" s="21">
        <v>15.171099999999999</v>
      </c>
      <c r="AI65" s="24">
        <v>-5.3802499999999999E-5</v>
      </c>
      <c r="AJ65" s="21">
        <v>55</v>
      </c>
      <c r="AK65" s="21">
        <v>0.17666599999999999</v>
      </c>
      <c r="AL65">
        <f t="shared" si="6"/>
        <v>6.6422839506172837E-2</v>
      </c>
      <c r="AM65">
        <f t="shared" si="7"/>
        <v>1.1756975438271604E-2</v>
      </c>
      <c r="AP65" s="9"/>
      <c r="AQ65" s="21">
        <v>0.92300400000000005</v>
      </c>
      <c r="AR65" s="21">
        <v>19.473600000000001</v>
      </c>
      <c r="AS65" s="24">
        <v>-3.6529500000000003E-5</v>
      </c>
      <c r="AT65" s="21">
        <v>55</v>
      </c>
      <c r="AU65" s="21">
        <v>0.92224099999999998</v>
      </c>
      <c r="AV65">
        <f t="shared" si="8"/>
        <v>4.5098148148148151E-2</v>
      </c>
      <c r="AW65">
        <f t="shared" si="9"/>
        <v>4.1625771133333336E-2</v>
      </c>
      <c r="AX65" s="9"/>
      <c r="AY65" s="21">
        <v>0.17700199999999999</v>
      </c>
      <c r="AZ65" s="21">
        <v>22.0943</v>
      </c>
      <c r="BA65" s="24">
        <v>-5.2185100000000003E-5</v>
      </c>
      <c r="BB65" s="21">
        <v>55</v>
      </c>
      <c r="BC65" s="21">
        <v>0.17663599999999999</v>
      </c>
      <c r="BD65">
        <f t="shared" si="10"/>
        <v>6.4426049382716052E-2</v>
      </c>
      <c r="BE65">
        <f t="shared" si="11"/>
        <v>1.1403539592839506E-2</v>
      </c>
      <c r="BH65" s="9"/>
      <c r="BI65" s="21"/>
      <c r="BJ65" s="21"/>
      <c r="BK65" s="21"/>
      <c r="BL65" s="21"/>
      <c r="BM65" s="21"/>
      <c r="BP65" s="9"/>
      <c r="BQ65" s="21"/>
      <c r="BR65" s="21"/>
      <c r="BS65" s="21"/>
      <c r="BT65" s="21"/>
      <c r="BU65" s="21"/>
      <c r="BZ65" s="9"/>
      <c r="CA65" s="21"/>
      <c r="CB65" s="21"/>
      <c r="CC65" s="21"/>
      <c r="CD65" s="21"/>
      <c r="CE65" s="21"/>
      <c r="CH65" s="9"/>
      <c r="CI65" s="21"/>
      <c r="CJ65" s="21"/>
      <c r="CK65" s="21"/>
      <c r="CL65" s="21"/>
      <c r="CM65" s="21"/>
      <c r="CR65" s="9"/>
      <c r="CS65" s="21"/>
      <c r="CT65" s="21"/>
      <c r="CU65" s="21"/>
      <c r="CV65" s="21"/>
      <c r="CW65" s="21"/>
      <c r="CZ65" s="9"/>
      <c r="DA65" s="21"/>
      <c r="DB65" s="21"/>
      <c r="DC65" s="21"/>
      <c r="DD65" s="21"/>
      <c r="DE65" s="21"/>
      <c r="DJ65" s="9"/>
      <c r="DK65" s="21"/>
      <c r="DL65" s="21"/>
      <c r="DM65" s="21"/>
      <c r="DN65" s="21"/>
      <c r="DO65" s="21"/>
      <c r="DR65" s="9"/>
      <c r="DS65" s="21"/>
      <c r="DT65" s="21"/>
      <c r="DU65" s="21"/>
      <c r="DV65" s="21"/>
      <c r="DW65" s="21"/>
      <c r="EB65" s="9"/>
      <c r="EC65" s="21"/>
      <c r="ED65" s="21"/>
      <c r="EE65" s="21"/>
      <c r="EF65" s="21"/>
      <c r="EG65" s="21"/>
      <c r="EJ65" s="9"/>
      <c r="EK65" s="21"/>
      <c r="EL65" s="21"/>
      <c r="EM65" s="21"/>
      <c r="EN65" s="21"/>
      <c r="EO65" s="21"/>
      <c r="ES65" s="9"/>
      <c r="ET65" s="21"/>
      <c r="EU65" s="21"/>
      <c r="EV65" s="21"/>
      <c r="EW65" s="21"/>
      <c r="EX65" s="21"/>
      <c r="FA65" s="9"/>
      <c r="FB65" s="21"/>
      <c r="FC65" s="21"/>
      <c r="FD65" s="21"/>
      <c r="FE65" s="21"/>
      <c r="FF65" s="21"/>
    </row>
    <row r="66" spans="6:162" x14ac:dyDescent="0.25">
      <c r="F66" s="9"/>
      <c r="G66" s="21">
        <v>0.91796900000000003</v>
      </c>
      <c r="H66" s="21">
        <v>5.5792999999999999</v>
      </c>
      <c r="I66" s="24">
        <v>-3.8879399999999999E-5</v>
      </c>
      <c r="J66" s="21">
        <v>56</v>
      </c>
      <c r="K66" s="21">
        <v>0.91705300000000001</v>
      </c>
      <c r="L66">
        <f t="shared" si="0"/>
        <v>4.7999259259259255E-2</v>
      </c>
      <c r="M66">
        <f t="shared" si="1"/>
        <v>4.406183202296296E-2</v>
      </c>
      <c r="N66" s="9"/>
      <c r="O66" s="21">
        <v>0.182037</v>
      </c>
      <c r="P66" s="21">
        <v>8.2000399999999996</v>
      </c>
      <c r="Q66" s="24">
        <v>-5.6640600000000001E-5</v>
      </c>
      <c r="R66" s="21">
        <v>56</v>
      </c>
      <c r="S66" s="21">
        <v>0.181732</v>
      </c>
      <c r="T66">
        <f t="shared" si="2"/>
        <v>6.9926666666666665E-2</v>
      </c>
      <c r="U66">
        <f t="shared" si="3"/>
        <v>1.272924062E-2</v>
      </c>
      <c r="X66" s="9"/>
      <c r="Y66" s="21">
        <v>0.91796900000000003</v>
      </c>
      <c r="Z66" s="21">
        <v>12.560499999999999</v>
      </c>
      <c r="AA66" s="24">
        <v>-3.8482699999999997E-5</v>
      </c>
      <c r="AB66" s="21">
        <v>56</v>
      </c>
      <c r="AC66" s="21">
        <v>0.91674800000000001</v>
      </c>
      <c r="AD66">
        <f t="shared" si="4"/>
        <v>4.75095061728395E-2</v>
      </c>
      <c r="AE66">
        <f t="shared" si="5"/>
        <v>4.3612253871975301E-2</v>
      </c>
      <c r="AF66" s="9"/>
      <c r="AG66" s="21">
        <v>0.182037</v>
      </c>
      <c r="AH66" s="21">
        <v>15.1812</v>
      </c>
      <c r="AI66" s="24">
        <v>-5.3710900000000001E-5</v>
      </c>
      <c r="AJ66" s="21">
        <v>56</v>
      </c>
      <c r="AK66" s="21">
        <v>0.18176300000000001</v>
      </c>
      <c r="AL66">
        <f t="shared" si="6"/>
        <v>6.6309753086419759E-2</v>
      </c>
      <c r="AM66">
        <f t="shared" si="7"/>
        <v>1.2070828522592595E-2</v>
      </c>
      <c r="AP66" s="9"/>
      <c r="AQ66" s="21">
        <v>0.91796900000000003</v>
      </c>
      <c r="AR66" s="21">
        <v>19.483699999999999</v>
      </c>
      <c r="AS66" s="24">
        <v>-3.6834700000000002E-5</v>
      </c>
      <c r="AT66" s="21">
        <v>56</v>
      </c>
      <c r="AU66" s="21">
        <v>0.91735800000000001</v>
      </c>
      <c r="AV66">
        <f t="shared" si="8"/>
        <v>4.5474938271604932E-2</v>
      </c>
      <c r="AW66">
        <f t="shared" si="9"/>
        <v>4.174458361024691E-2</v>
      </c>
      <c r="AX66" s="9"/>
      <c r="AY66" s="21">
        <v>0.182037</v>
      </c>
      <c r="AZ66" s="21">
        <v>22.104399999999998</v>
      </c>
      <c r="BA66" s="24">
        <v>-5.1971400000000002E-5</v>
      </c>
      <c r="BB66" s="21">
        <v>56</v>
      </c>
      <c r="BC66" s="21">
        <v>0.181732</v>
      </c>
      <c r="BD66">
        <f t="shared" si="10"/>
        <v>6.4162222222222218E-2</v>
      </c>
      <c r="BE66">
        <f t="shared" si="11"/>
        <v>1.1679898446666667E-2</v>
      </c>
      <c r="BH66" s="9"/>
      <c r="BI66" s="21"/>
      <c r="BJ66" s="21"/>
      <c r="BK66" s="21"/>
      <c r="BL66" s="21"/>
      <c r="BM66" s="21"/>
      <c r="BP66" s="9"/>
      <c r="BQ66" s="21"/>
      <c r="BR66" s="21"/>
      <c r="BS66" s="21"/>
      <c r="BT66" s="21"/>
      <c r="BU66" s="21"/>
      <c r="BZ66" s="9"/>
      <c r="CA66" s="21"/>
      <c r="CB66" s="21"/>
      <c r="CC66" s="21"/>
      <c r="CD66" s="21"/>
      <c r="CE66" s="21"/>
      <c r="CH66" s="9"/>
      <c r="CI66" s="21"/>
      <c r="CJ66" s="21"/>
      <c r="CK66" s="21"/>
      <c r="CL66" s="21"/>
      <c r="CM66" s="21"/>
      <c r="CR66" s="9"/>
      <c r="CS66" s="21"/>
      <c r="CT66" s="21"/>
      <c r="CU66" s="21"/>
      <c r="CV66" s="21"/>
      <c r="CW66" s="21"/>
      <c r="CZ66" s="9"/>
      <c r="DA66" s="21"/>
      <c r="DB66" s="21"/>
      <c r="DC66" s="21"/>
      <c r="DD66" s="21"/>
      <c r="DE66" s="21"/>
      <c r="DJ66" s="9"/>
      <c r="DK66" s="21"/>
      <c r="DL66" s="21"/>
      <c r="DM66" s="21"/>
      <c r="DN66" s="21"/>
      <c r="DO66" s="21"/>
      <c r="DR66" s="9"/>
      <c r="DS66" s="21"/>
      <c r="DT66" s="21"/>
      <c r="DU66" s="21"/>
      <c r="DV66" s="21"/>
      <c r="DW66" s="21"/>
      <c r="EB66" s="9"/>
      <c r="EC66" s="21"/>
      <c r="ED66" s="21"/>
      <c r="EE66" s="21"/>
      <c r="EF66" s="21"/>
      <c r="EG66" s="21"/>
      <c r="EJ66" s="9"/>
      <c r="EK66" s="21"/>
      <c r="EL66" s="21"/>
      <c r="EM66" s="21"/>
      <c r="EN66" s="21"/>
      <c r="EO66" s="21"/>
      <c r="ES66" s="9"/>
      <c r="ET66" s="21"/>
      <c r="EU66" s="21"/>
      <c r="EV66" s="21"/>
      <c r="EW66" s="21"/>
      <c r="EX66" s="21"/>
      <c r="FA66" s="9"/>
      <c r="FB66" s="21"/>
      <c r="FC66" s="21"/>
      <c r="FD66" s="21"/>
      <c r="FE66" s="21"/>
      <c r="FF66" s="21"/>
    </row>
    <row r="67" spans="6:162" x14ac:dyDescent="0.25">
      <c r="F67" s="9"/>
      <c r="G67" s="21">
        <v>0.91293299999999999</v>
      </c>
      <c r="H67" s="21">
        <v>5.5893699999999997</v>
      </c>
      <c r="I67" s="24">
        <v>-3.9398199999999998E-5</v>
      </c>
      <c r="J67" s="21">
        <v>57</v>
      </c>
      <c r="K67" s="21">
        <v>0.91217000000000004</v>
      </c>
      <c r="L67">
        <f t="shared" si="0"/>
        <v>4.8639753086419747E-2</v>
      </c>
      <c r="M67">
        <f t="shared" si="1"/>
        <v>4.4404835704444437E-2</v>
      </c>
      <c r="N67" s="9"/>
      <c r="O67" s="21">
        <v>0.18707299999999999</v>
      </c>
      <c r="P67" s="21">
        <v>8.2101100000000002</v>
      </c>
      <c r="Q67" s="24">
        <v>-5.6457499999999999E-5</v>
      </c>
      <c r="R67" s="21">
        <v>57</v>
      </c>
      <c r="S67" s="21">
        <v>0.18673699999999999</v>
      </c>
      <c r="T67">
        <f t="shared" si="2"/>
        <v>6.9700617283950606E-2</v>
      </c>
      <c r="U67">
        <f t="shared" si="3"/>
        <v>1.3039103577160491E-2</v>
      </c>
      <c r="X67" s="9"/>
      <c r="Y67" s="21">
        <v>0.91293299999999999</v>
      </c>
      <c r="Z67" s="21">
        <v>12.570499999999999</v>
      </c>
      <c r="AA67" s="24">
        <v>-3.8665799999999998E-5</v>
      </c>
      <c r="AB67" s="21">
        <v>57</v>
      </c>
      <c r="AC67" s="21">
        <v>0.91217000000000004</v>
      </c>
      <c r="AD67">
        <f t="shared" si="4"/>
        <v>4.7735555555555545E-2</v>
      </c>
      <c r="AE67">
        <f t="shared" si="5"/>
        <v>4.357936393999999E-2</v>
      </c>
      <c r="AF67" s="9"/>
      <c r="AG67" s="21">
        <v>0.18707299999999999</v>
      </c>
      <c r="AH67" s="21">
        <v>15.1913</v>
      </c>
      <c r="AI67" s="24">
        <v>-5.3558299999999998E-5</v>
      </c>
      <c r="AJ67" s="21">
        <v>57</v>
      </c>
      <c r="AK67" s="21">
        <v>0.18673699999999999</v>
      </c>
      <c r="AL67">
        <f t="shared" si="6"/>
        <v>6.6121358024691351E-2</v>
      </c>
      <c r="AM67">
        <f t="shared" si="7"/>
        <v>1.2369520809753084E-2</v>
      </c>
      <c r="AP67" s="9"/>
      <c r="AQ67" s="21">
        <v>0.91293299999999999</v>
      </c>
      <c r="AR67" s="21">
        <v>19.4937</v>
      </c>
      <c r="AS67" s="24">
        <v>-3.71399E-5</v>
      </c>
      <c r="AT67" s="21">
        <v>57</v>
      </c>
      <c r="AU67" s="21">
        <v>0.91186500000000004</v>
      </c>
      <c r="AV67">
        <f t="shared" si="8"/>
        <v>4.5851728395061728E-2</v>
      </c>
      <c r="AW67">
        <f t="shared" si="9"/>
        <v>4.1859555958888885E-2</v>
      </c>
      <c r="AX67" s="9"/>
      <c r="AY67" s="21">
        <v>0.18707299999999999</v>
      </c>
      <c r="AZ67" s="21">
        <v>22.1145</v>
      </c>
      <c r="BA67" s="24">
        <v>-5.1727300000000002E-5</v>
      </c>
      <c r="BB67" s="21">
        <v>57</v>
      </c>
      <c r="BC67" s="21">
        <v>0.18673699999999999</v>
      </c>
      <c r="BD67">
        <f t="shared" si="10"/>
        <v>6.386086419753087E-2</v>
      </c>
      <c r="BE67">
        <f t="shared" si="11"/>
        <v>1.1946643448024692E-2</v>
      </c>
      <c r="BH67" s="9"/>
      <c r="BI67" s="21"/>
      <c r="BJ67" s="21"/>
      <c r="BK67" s="21"/>
      <c r="BL67" s="21"/>
      <c r="BM67" s="21"/>
      <c r="BP67" s="9"/>
      <c r="BQ67" s="21"/>
      <c r="BR67" s="21"/>
      <c r="BS67" s="21"/>
      <c r="BT67" s="21"/>
      <c r="BU67" s="21"/>
      <c r="BZ67" s="9"/>
      <c r="CA67" s="21"/>
      <c r="CB67" s="21"/>
      <c r="CC67" s="21"/>
      <c r="CD67" s="21"/>
      <c r="CE67" s="21"/>
      <c r="CH67" s="9"/>
      <c r="CI67" s="21"/>
      <c r="CJ67" s="21"/>
      <c r="CK67" s="21"/>
      <c r="CL67" s="21"/>
      <c r="CM67" s="21"/>
      <c r="CR67" s="9"/>
      <c r="CS67" s="21"/>
      <c r="CT67" s="21"/>
      <c r="CU67" s="21"/>
      <c r="CV67" s="21"/>
      <c r="CW67" s="21"/>
      <c r="CZ67" s="9"/>
      <c r="DA67" s="21"/>
      <c r="DB67" s="21"/>
      <c r="DC67" s="21"/>
      <c r="DD67" s="21"/>
      <c r="DE67" s="21"/>
      <c r="DJ67" s="9"/>
      <c r="DK67" s="21"/>
      <c r="DL67" s="21"/>
      <c r="DM67" s="21"/>
      <c r="DN67" s="21"/>
      <c r="DO67" s="21"/>
      <c r="DR67" s="9"/>
      <c r="DS67" s="21"/>
      <c r="DT67" s="21"/>
      <c r="DU67" s="21"/>
      <c r="DV67" s="21"/>
      <c r="DW67" s="21"/>
      <c r="EB67" s="9"/>
      <c r="EC67" s="21"/>
      <c r="ED67" s="21"/>
      <c r="EE67" s="21"/>
      <c r="EF67" s="21"/>
      <c r="EG67" s="21"/>
      <c r="EJ67" s="9"/>
      <c r="EK67" s="21"/>
      <c r="EL67" s="21"/>
      <c r="EM67" s="21"/>
      <c r="EN67" s="21"/>
      <c r="EO67" s="21"/>
      <c r="ES67" s="9"/>
      <c r="ET67" s="21"/>
      <c r="EU67" s="21"/>
      <c r="EV67" s="21"/>
      <c r="EW67" s="21"/>
      <c r="EX67" s="21"/>
      <c r="FA67" s="9"/>
      <c r="FB67" s="21"/>
      <c r="FC67" s="21"/>
      <c r="FD67" s="21"/>
      <c r="FE67" s="21"/>
      <c r="FF67" s="21"/>
    </row>
    <row r="68" spans="6:162" x14ac:dyDescent="0.25">
      <c r="F68" s="9"/>
      <c r="G68" s="21">
        <v>0.90789799999999998</v>
      </c>
      <c r="H68" s="21">
        <v>5.5994400000000004</v>
      </c>
      <c r="I68" s="24">
        <v>-4.0008500000000002E-5</v>
      </c>
      <c r="J68" s="21">
        <v>58</v>
      </c>
      <c r="K68" s="21">
        <v>0.90698199999999995</v>
      </c>
      <c r="L68">
        <f t="shared" si="0"/>
        <v>4.9393209876543206E-2</v>
      </c>
      <c r="M68">
        <f t="shared" si="1"/>
        <v>4.4843996460493821E-2</v>
      </c>
      <c r="N68" s="9"/>
      <c r="O68" s="21">
        <v>0.192108</v>
      </c>
      <c r="P68" s="21">
        <v>8.2201799999999992</v>
      </c>
      <c r="Q68" s="24">
        <v>-5.6304899999999997E-5</v>
      </c>
      <c r="R68" s="21">
        <v>58</v>
      </c>
      <c r="S68" s="21">
        <v>0.191772</v>
      </c>
      <c r="T68">
        <f t="shared" si="2"/>
        <v>6.9512222222222211E-2</v>
      </c>
      <c r="U68">
        <f t="shared" si="3"/>
        <v>1.3353853986666664E-2</v>
      </c>
      <c r="X68" s="9"/>
      <c r="Y68" s="21">
        <v>0.90789799999999998</v>
      </c>
      <c r="Z68" s="21">
        <v>12.5806</v>
      </c>
      <c r="AA68" s="24">
        <v>-3.9123499999999999E-5</v>
      </c>
      <c r="AB68" s="21">
        <v>58</v>
      </c>
      <c r="AC68" s="21">
        <v>0.90728799999999998</v>
      </c>
      <c r="AD68">
        <f t="shared" si="4"/>
        <v>4.8300617283950617E-2</v>
      </c>
      <c r="AE68">
        <f t="shared" si="5"/>
        <v>4.3852033830864195E-2</v>
      </c>
      <c r="AF68" s="9"/>
      <c r="AG68" s="21">
        <v>0.192108</v>
      </c>
      <c r="AH68" s="21">
        <v>15.2014</v>
      </c>
      <c r="AI68" s="24">
        <v>-5.34973E-5</v>
      </c>
      <c r="AJ68" s="21">
        <v>58</v>
      </c>
      <c r="AK68" s="21">
        <v>0.191833</v>
      </c>
      <c r="AL68">
        <f t="shared" si="6"/>
        <v>6.6046049382716035E-2</v>
      </c>
      <c r="AM68">
        <f t="shared" si="7"/>
        <v>1.2687974454814812E-2</v>
      </c>
      <c r="AP68" s="9"/>
      <c r="AQ68" s="21">
        <v>0.90789799999999998</v>
      </c>
      <c r="AR68" s="21">
        <v>19.503799999999998</v>
      </c>
      <c r="AS68" s="24">
        <v>-3.7506100000000003E-5</v>
      </c>
      <c r="AT68" s="21">
        <v>58</v>
      </c>
      <c r="AU68" s="21">
        <v>0.90698199999999995</v>
      </c>
      <c r="AV68">
        <f t="shared" si="8"/>
        <v>4.6303827160493825E-2</v>
      </c>
      <c r="AW68">
        <f t="shared" si="9"/>
        <v>4.203915207135802E-2</v>
      </c>
      <c r="AX68" s="9"/>
      <c r="AY68" s="21">
        <v>0.192108</v>
      </c>
      <c r="AZ68" s="21">
        <v>22.124500000000001</v>
      </c>
      <c r="BA68" s="24">
        <v>-5.1696800000000003E-5</v>
      </c>
      <c r="BB68" s="21">
        <v>58</v>
      </c>
      <c r="BC68" s="21">
        <v>0.191833</v>
      </c>
      <c r="BD68">
        <f t="shared" si="10"/>
        <v>6.3823209876543205E-2</v>
      </c>
      <c r="BE68">
        <f t="shared" si="11"/>
        <v>1.2260949202962963E-2</v>
      </c>
      <c r="BH68" s="9"/>
      <c r="BI68" s="21"/>
      <c r="BJ68" s="21"/>
      <c r="BK68" s="21"/>
      <c r="BL68" s="21"/>
      <c r="BM68" s="21"/>
      <c r="BP68" s="9"/>
      <c r="BQ68" s="21"/>
      <c r="BR68" s="21"/>
      <c r="BS68" s="21"/>
      <c r="BT68" s="21"/>
      <c r="BU68" s="21"/>
      <c r="BZ68" s="9"/>
      <c r="CA68" s="21"/>
      <c r="CB68" s="21"/>
      <c r="CC68" s="21"/>
      <c r="CD68" s="21"/>
      <c r="CE68" s="21"/>
      <c r="CH68" s="9"/>
      <c r="CI68" s="21"/>
      <c r="CJ68" s="21"/>
      <c r="CK68" s="21"/>
      <c r="CL68" s="21"/>
      <c r="CM68" s="21"/>
      <c r="CR68" s="9"/>
      <c r="CS68" s="21"/>
      <c r="CT68" s="21"/>
      <c r="CU68" s="21"/>
      <c r="CV68" s="21"/>
      <c r="CW68" s="21"/>
      <c r="CZ68" s="9"/>
      <c r="DA68" s="21"/>
      <c r="DB68" s="21"/>
      <c r="DC68" s="21"/>
      <c r="DD68" s="21"/>
      <c r="DE68" s="21"/>
      <c r="DJ68" s="9"/>
      <c r="DK68" s="21"/>
      <c r="DL68" s="21"/>
      <c r="DM68" s="21"/>
      <c r="DN68" s="21"/>
      <c r="DO68" s="21"/>
      <c r="DR68" s="9"/>
      <c r="DS68" s="21"/>
      <c r="DT68" s="21"/>
      <c r="DU68" s="21"/>
      <c r="DV68" s="21"/>
      <c r="DW68" s="21"/>
      <c r="EB68" s="9"/>
      <c r="EC68" s="21"/>
      <c r="ED68" s="21"/>
      <c r="EE68" s="21"/>
      <c r="EF68" s="21"/>
      <c r="EG68" s="21"/>
      <c r="EJ68" s="9"/>
      <c r="EK68" s="21"/>
      <c r="EL68" s="21"/>
      <c r="EM68" s="21"/>
      <c r="EN68" s="21"/>
      <c r="EO68" s="21"/>
      <c r="ES68" s="9"/>
      <c r="ET68" s="21"/>
      <c r="EU68" s="21"/>
      <c r="EV68" s="21"/>
      <c r="EW68" s="21"/>
      <c r="EX68" s="21"/>
      <c r="FA68" s="9"/>
      <c r="FB68" s="21"/>
      <c r="FC68" s="21"/>
      <c r="FD68" s="21"/>
      <c r="FE68" s="21"/>
      <c r="FF68" s="21"/>
    </row>
    <row r="69" spans="6:162" x14ac:dyDescent="0.25">
      <c r="F69" s="9"/>
      <c r="G69" s="21">
        <v>0.90286299999999997</v>
      </c>
      <c r="H69" s="21">
        <v>5.6095100000000002</v>
      </c>
      <c r="I69" s="24">
        <v>-4.0405299999999998E-5</v>
      </c>
      <c r="J69" s="21">
        <v>59</v>
      </c>
      <c r="K69" s="21">
        <v>0.90179399999999998</v>
      </c>
      <c r="L69">
        <f t="shared" si="0"/>
        <v>4.988308641975308E-2</v>
      </c>
      <c r="M69">
        <f t="shared" si="1"/>
        <v>4.5037593054197522E-2</v>
      </c>
      <c r="N69" s="9"/>
      <c r="O69" s="21">
        <v>0.19714400000000001</v>
      </c>
      <c r="P69" s="21">
        <v>8.2302499999999998</v>
      </c>
      <c r="Q69" s="24">
        <v>-5.6121800000000002E-5</v>
      </c>
      <c r="R69" s="21">
        <v>59</v>
      </c>
      <c r="S69" s="21">
        <v>0.19677700000000001</v>
      </c>
      <c r="T69">
        <f t="shared" si="2"/>
        <v>6.928617283950618E-2</v>
      </c>
      <c r="U69">
        <f t="shared" si="3"/>
        <v>1.3659353258271608E-2</v>
      </c>
      <c r="X69" s="9"/>
      <c r="Y69" s="21">
        <v>0.90286299999999997</v>
      </c>
      <c r="Z69" s="21">
        <v>12.5907</v>
      </c>
      <c r="AA69" s="24">
        <v>-3.9489700000000002E-5</v>
      </c>
      <c r="AB69" s="21">
        <v>59</v>
      </c>
      <c r="AC69" s="21">
        <v>0.90240500000000001</v>
      </c>
      <c r="AD69">
        <f t="shared" si="4"/>
        <v>4.8752716049382715E-2</v>
      </c>
      <c r="AE69">
        <f t="shared" si="5"/>
        <v>4.4017023470493827E-2</v>
      </c>
      <c r="AF69" s="9"/>
      <c r="AG69" s="21">
        <v>0.19714400000000001</v>
      </c>
      <c r="AH69" s="21">
        <v>15.211399999999999</v>
      </c>
      <c r="AI69" s="24">
        <v>-5.3283699999999999E-5</v>
      </c>
      <c r="AJ69" s="21">
        <v>59</v>
      </c>
      <c r="AK69" s="21">
        <v>0.19683800000000001</v>
      </c>
      <c r="AL69">
        <f t="shared" si="6"/>
        <v>6.5782345679012338E-2</v>
      </c>
      <c r="AM69">
        <f t="shared" si="7"/>
        <v>1.296859475654321E-2</v>
      </c>
      <c r="AP69" s="9"/>
      <c r="AQ69" s="21">
        <v>0.90286299999999997</v>
      </c>
      <c r="AR69" s="21">
        <v>19.5139</v>
      </c>
      <c r="AS69" s="24">
        <v>-3.7841800000000001E-5</v>
      </c>
      <c r="AT69" s="21">
        <v>59</v>
      </c>
      <c r="AU69" s="21">
        <v>0.90210000000000001</v>
      </c>
      <c r="AV69">
        <f t="shared" si="8"/>
        <v>4.6718271604938272E-2</v>
      </c>
      <c r="AW69">
        <f t="shared" si="9"/>
        <v>4.2180198856049379E-2</v>
      </c>
      <c r="AX69" s="9"/>
      <c r="AY69" s="21">
        <v>0.19714400000000001</v>
      </c>
      <c r="AZ69" s="21">
        <v>22.134599999999999</v>
      </c>
      <c r="BA69" s="24">
        <v>-5.1635699999999998E-5</v>
      </c>
      <c r="BB69" s="21">
        <v>59</v>
      </c>
      <c r="BC69" s="21">
        <v>0.19686899999999999</v>
      </c>
      <c r="BD69">
        <f t="shared" si="10"/>
        <v>6.3747777777777764E-2</v>
      </c>
      <c r="BE69">
        <f t="shared" si="11"/>
        <v>1.2567491902222221E-2</v>
      </c>
      <c r="BH69" s="9"/>
      <c r="BI69" s="21"/>
      <c r="BJ69" s="21"/>
      <c r="BK69" s="21"/>
      <c r="BL69" s="21"/>
      <c r="BM69" s="21"/>
      <c r="BP69" s="9"/>
      <c r="BQ69" s="21"/>
      <c r="BR69" s="21"/>
      <c r="BS69" s="21"/>
      <c r="BT69" s="21"/>
      <c r="BU69" s="21"/>
      <c r="BZ69" s="9"/>
      <c r="CA69" s="21"/>
      <c r="CB69" s="21"/>
      <c r="CC69" s="21"/>
      <c r="CD69" s="21"/>
      <c r="CE69" s="21"/>
      <c r="CH69" s="9"/>
      <c r="CI69" s="21"/>
      <c r="CJ69" s="21"/>
      <c r="CK69" s="21"/>
      <c r="CL69" s="21"/>
      <c r="CM69" s="21"/>
      <c r="CR69" s="9"/>
      <c r="CS69" s="21"/>
      <c r="CT69" s="21"/>
      <c r="CU69" s="21"/>
      <c r="CV69" s="21"/>
      <c r="CW69" s="21"/>
      <c r="CZ69" s="9"/>
      <c r="DA69" s="21"/>
      <c r="DB69" s="21"/>
      <c r="DC69" s="21"/>
      <c r="DD69" s="21"/>
      <c r="DE69" s="21"/>
      <c r="DJ69" s="9"/>
      <c r="DK69" s="21"/>
      <c r="DL69" s="21"/>
      <c r="DM69" s="21"/>
      <c r="DN69" s="21"/>
      <c r="DO69" s="21"/>
      <c r="DR69" s="9"/>
      <c r="DS69" s="21"/>
      <c r="DT69" s="21"/>
      <c r="DU69" s="21"/>
      <c r="DV69" s="21"/>
      <c r="DW69" s="21"/>
      <c r="EB69" s="9"/>
      <c r="EC69" s="21"/>
      <c r="ED69" s="21"/>
      <c r="EE69" s="21"/>
      <c r="EF69" s="21"/>
      <c r="EG69" s="21"/>
      <c r="EJ69" s="9"/>
      <c r="EK69" s="21"/>
      <c r="EL69" s="21"/>
      <c r="EM69" s="21"/>
      <c r="EN69" s="21"/>
      <c r="EO69" s="21"/>
      <c r="ES69" s="9"/>
      <c r="ET69" s="21"/>
      <c r="EU69" s="21"/>
      <c r="EV69" s="21"/>
      <c r="EW69" s="21"/>
      <c r="EX69" s="21"/>
      <c r="FA69" s="9"/>
      <c r="FB69" s="21"/>
      <c r="FC69" s="21"/>
      <c r="FD69" s="21"/>
      <c r="FE69" s="21"/>
      <c r="FF69" s="21"/>
    </row>
    <row r="70" spans="6:162" x14ac:dyDescent="0.25">
      <c r="F70" s="9"/>
      <c r="G70" s="21">
        <v>0.89782700000000004</v>
      </c>
      <c r="H70" s="21">
        <v>5.61958</v>
      </c>
      <c r="I70" s="24">
        <v>-4.0985100000000002E-5</v>
      </c>
      <c r="J70" s="21">
        <v>60</v>
      </c>
      <c r="K70" s="21">
        <v>0.89721700000000004</v>
      </c>
      <c r="L70">
        <f t="shared" si="0"/>
        <v>5.0598888888888888E-2</v>
      </c>
      <c r="M70">
        <f t="shared" si="1"/>
        <v>4.5429048614444446E-2</v>
      </c>
      <c r="N70" s="9"/>
      <c r="O70" s="21">
        <v>0.202179</v>
      </c>
      <c r="P70" s="21">
        <v>8.2403200000000005</v>
      </c>
      <c r="Q70" s="24">
        <v>-5.5908200000000001E-5</v>
      </c>
      <c r="R70" s="21">
        <v>60</v>
      </c>
      <c r="S70" s="21">
        <v>0.20184299999999999</v>
      </c>
      <c r="T70">
        <f t="shared" si="2"/>
        <v>6.9022469135802456E-2</v>
      </c>
      <c r="U70">
        <f t="shared" si="3"/>
        <v>1.3954893787407404E-2</v>
      </c>
      <c r="X70" s="9"/>
      <c r="Y70" s="21">
        <v>0.89782700000000004</v>
      </c>
      <c r="Z70" s="21">
        <v>12.6008</v>
      </c>
      <c r="AA70" s="24">
        <v>-3.98254E-5</v>
      </c>
      <c r="AB70" s="21">
        <v>60</v>
      </c>
      <c r="AC70" s="21">
        <v>0.89660600000000001</v>
      </c>
      <c r="AD70">
        <f t="shared" si="4"/>
        <v>4.9167160493827154E-2</v>
      </c>
      <c r="AE70">
        <f t="shared" si="5"/>
        <v>4.4143604204691357E-2</v>
      </c>
      <c r="AF70" s="9"/>
      <c r="AG70" s="21">
        <v>0.202179</v>
      </c>
      <c r="AH70" s="21">
        <v>15.221500000000001</v>
      </c>
      <c r="AI70" s="24">
        <v>-5.3131099999999997E-5</v>
      </c>
      <c r="AJ70" s="21">
        <v>60</v>
      </c>
      <c r="AK70" s="21">
        <v>0.201874</v>
      </c>
      <c r="AL70">
        <f t="shared" si="6"/>
        <v>6.5593950617283944E-2</v>
      </c>
      <c r="AM70">
        <f t="shared" si="7"/>
        <v>1.3261719341851851E-2</v>
      </c>
      <c r="AP70" s="9"/>
      <c r="AQ70" s="21">
        <v>0.89782700000000004</v>
      </c>
      <c r="AR70" s="21">
        <v>19.523900000000001</v>
      </c>
      <c r="AS70" s="24">
        <v>-3.81165E-5</v>
      </c>
      <c r="AT70" s="21">
        <v>60</v>
      </c>
      <c r="AU70" s="21">
        <v>0.89630100000000001</v>
      </c>
      <c r="AV70">
        <f t="shared" si="8"/>
        <v>4.7057407407407402E-2</v>
      </c>
      <c r="AW70">
        <f t="shared" si="9"/>
        <v>4.2249410920370364E-2</v>
      </c>
      <c r="AX70" s="9"/>
      <c r="AY70" s="21">
        <v>0.202179</v>
      </c>
      <c r="AZ70" s="21">
        <v>22.1447</v>
      </c>
      <c r="BA70" s="24">
        <v>-5.1483200000000002E-5</v>
      </c>
      <c r="BB70" s="21">
        <v>60</v>
      </c>
      <c r="BC70" s="21">
        <v>0.201874</v>
      </c>
      <c r="BD70">
        <f t="shared" si="10"/>
        <v>6.3559506172839508E-2</v>
      </c>
      <c r="BE70">
        <f t="shared" si="11"/>
        <v>1.2850397398518518E-2</v>
      </c>
      <c r="BH70" s="9"/>
      <c r="BI70" s="21"/>
      <c r="BJ70" s="21"/>
      <c r="BK70" s="21"/>
      <c r="BL70" s="21"/>
      <c r="BM70" s="21"/>
      <c r="BP70" s="9"/>
      <c r="BQ70" s="21"/>
      <c r="BR70" s="21"/>
      <c r="BS70" s="21"/>
      <c r="BT70" s="21"/>
      <c r="BU70" s="21"/>
      <c r="BZ70" s="9"/>
      <c r="CA70" s="21"/>
      <c r="CB70" s="21"/>
      <c r="CC70" s="21"/>
      <c r="CD70" s="21"/>
      <c r="CE70" s="21"/>
      <c r="CH70" s="9"/>
      <c r="CI70" s="21"/>
      <c r="CJ70" s="21"/>
      <c r="CK70" s="21"/>
      <c r="CL70" s="21"/>
      <c r="CM70" s="21"/>
      <c r="CR70" s="9"/>
      <c r="CS70" s="21"/>
      <c r="CT70" s="21"/>
      <c r="CU70" s="21"/>
      <c r="CV70" s="21"/>
      <c r="CW70" s="21"/>
      <c r="CZ70" s="9"/>
      <c r="DA70" s="21"/>
      <c r="DB70" s="21"/>
      <c r="DC70" s="21"/>
      <c r="DD70" s="21"/>
      <c r="DE70" s="21"/>
      <c r="DJ70" s="9"/>
      <c r="DK70" s="21"/>
      <c r="DL70" s="21"/>
      <c r="DM70" s="21"/>
      <c r="DN70" s="21"/>
      <c r="DO70" s="21"/>
      <c r="DR70" s="9"/>
      <c r="DS70" s="21"/>
      <c r="DT70" s="21"/>
      <c r="DU70" s="21"/>
      <c r="DV70" s="21"/>
      <c r="DW70" s="21"/>
      <c r="EB70" s="9"/>
      <c r="EC70" s="21"/>
      <c r="ED70" s="21"/>
      <c r="EE70" s="21"/>
      <c r="EF70" s="21"/>
      <c r="EG70" s="21"/>
      <c r="EJ70" s="9"/>
      <c r="EK70" s="21"/>
      <c r="EL70" s="21"/>
      <c r="EM70" s="21"/>
      <c r="EN70" s="21"/>
      <c r="EO70" s="21"/>
      <c r="ES70" s="9"/>
      <c r="ET70" s="21"/>
      <c r="EU70" s="21"/>
      <c r="EV70" s="21"/>
      <c r="EW70" s="21"/>
      <c r="EX70" s="21"/>
      <c r="FA70" s="9"/>
      <c r="FB70" s="21"/>
      <c r="FC70" s="21"/>
      <c r="FD70" s="21"/>
      <c r="FE70" s="21"/>
      <c r="FF70" s="21"/>
    </row>
    <row r="71" spans="6:162" x14ac:dyDescent="0.25">
      <c r="F71" s="9"/>
      <c r="G71" s="21">
        <v>0.89279200000000003</v>
      </c>
      <c r="H71" s="21">
        <v>5.6296499999999998</v>
      </c>
      <c r="I71" s="24">
        <v>-4.1259800000000001E-5</v>
      </c>
      <c r="J71" s="21">
        <v>61</v>
      </c>
      <c r="K71" s="21">
        <v>0.89172399999999996</v>
      </c>
      <c r="L71">
        <f t="shared" si="0"/>
        <v>5.0938024691358018E-2</v>
      </c>
      <c r="M71">
        <f t="shared" si="1"/>
        <v>4.5477060940246908E-2</v>
      </c>
      <c r="N71" s="9"/>
      <c r="O71" s="21">
        <v>0.20721400000000001</v>
      </c>
      <c r="P71" s="21">
        <v>8.2503899999999994</v>
      </c>
      <c r="Q71" s="24">
        <v>-5.5816699999999997E-5</v>
      </c>
      <c r="R71" s="21">
        <v>61</v>
      </c>
      <c r="S71" s="21">
        <v>0.20690900000000001</v>
      </c>
      <c r="T71">
        <f t="shared" si="2"/>
        <v>6.8909506172839502E-2</v>
      </c>
      <c r="U71">
        <f t="shared" si="3"/>
        <v>1.4279014412098764E-2</v>
      </c>
      <c r="X71" s="9"/>
      <c r="Y71" s="21">
        <v>0.89279200000000003</v>
      </c>
      <c r="Z71" s="21">
        <v>12.610799999999999</v>
      </c>
      <c r="AA71" s="24">
        <v>-4.0252700000000002E-5</v>
      </c>
      <c r="AB71" s="21">
        <v>61</v>
      </c>
      <c r="AC71" s="21">
        <v>0.89141800000000004</v>
      </c>
      <c r="AD71">
        <f t="shared" si="4"/>
        <v>4.9694691358024692E-2</v>
      </c>
      <c r="AE71">
        <f t="shared" si="5"/>
        <v>4.4367022886913583E-2</v>
      </c>
      <c r="AF71" s="9"/>
      <c r="AG71" s="21">
        <v>0.20721400000000001</v>
      </c>
      <c r="AH71" s="21">
        <v>15.2316</v>
      </c>
      <c r="AI71" s="24">
        <v>-5.2856399999999998E-5</v>
      </c>
      <c r="AJ71" s="21">
        <v>61</v>
      </c>
      <c r="AK71" s="21">
        <v>0.20694000000000001</v>
      </c>
      <c r="AL71">
        <f t="shared" si="6"/>
        <v>6.5254814814814807E-2</v>
      </c>
      <c r="AM71">
        <f t="shared" si="7"/>
        <v>1.3521711197037036E-2</v>
      </c>
      <c r="AP71" s="9"/>
      <c r="AQ71" s="21">
        <v>0.89279200000000003</v>
      </c>
      <c r="AR71" s="21">
        <v>19.533999999999999</v>
      </c>
      <c r="AS71" s="24">
        <v>-3.8452099999999997E-5</v>
      </c>
      <c r="AT71" s="21">
        <v>61</v>
      </c>
      <c r="AU71" s="21">
        <v>0.89202899999999996</v>
      </c>
      <c r="AV71">
        <f t="shared" si="8"/>
        <v>4.7471728395061724E-2</v>
      </c>
      <c r="AW71">
        <f t="shared" si="9"/>
        <v>4.2382379337283949E-2</v>
      </c>
      <c r="AX71" s="9"/>
      <c r="AY71" s="21">
        <v>0.20721400000000001</v>
      </c>
      <c r="AZ71" s="21">
        <v>22.154699999999998</v>
      </c>
      <c r="BA71" s="24">
        <v>-5.1330599999999999E-5</v>
      </c>
      <c r="BB71" s="21">
        <v>61</v>
      </c>
      <c r="BC71" s="21">
        <v>0.20687900000000001</v>
      </c>
      <c r="BD71">
        <f t="shared" si="10"/>
        <v>6.33711111111111E-2</v>
      </c>
      <c r="BE71">
        <f t="shared" si="11"/>
        <v>1.3131381417777777E-2</v>
      </c>
      <c r="BH71" s="9"/>
      <c r="BI71" s="21"/>
      <c r="BJ71" s="21"/>
      <c r="BK71" s="21"/>
      <c r="BL71" s="21"/>
      <c r="BM71" s="21"/>
      <c r="BP71" s="9"/>
      <c r="BQ71" s="21"/>
      <c r="BR71" s="21"/>
      <c r="BS71" s="21"/>
      <c r="BT71" s="21"/>
      <c r="BU71" s="21"/>
      <c r="BZ71" s="9"/>
      <c r="CA71" s="21"/>
      <c r="CB71" s="21"/>
      <c r="CC71" s="21"/>
      <c r="CD71" s="21"/>
      <c r="CE71" s="21"/>
      <c r="CH71" s="9"/>
      <c r="CI71" s="21"/>
      <c r="CJ71" s="21"/>
      <c r="CK71" s="21"/>
      <c r="CL71" s="21"/>
      <c r="CM71" s="21"/>
      <c r="CR71" s="9"/>
      <c r="CS71" s="21"/>
      <c r="CT71" s="21"/>
      <c r="CU71" s="21"/>
      <c r="CV71" s="21"/>
      <c r="CW71" s="21"/>
      <c r="CZ71" s="9"/>
      <c r="DA71" s="21"/>
      <c r="DB71" s="21"/>
      <c r="DC71" s="21"/>
      <c r="DD71" s="21"/>
      <c r="DE71" s="21"/>
      <c r="DJ71" s="9"/>
      <c r="DK71" s="21"/>
      <c r="DL71" s="21"/>
      <c r="DM71" s="21"/>
      <c r="DN71" s="21"/>
      <c r="DO71" s="21"/>
      <c r="DR71" s="9"/>
      <c r="DS71" s="21"/>
      <c r="DT71" s="21"/>
      <c r="DU71" s="21"/>
      <c r="DV71" s="21"/>
      <c r="DW71" s="21"/>
      <c r="EB71" s="9"/>
      <c r="EC71" s="21"/>
      <c r="ED71" s="21"/>
      <c r="EE71" s="21"/>
      <c r="EF71" s="21"/>
      <c r="EG71" s="21"/>
      <c r="EJ71" s="9"/>
      <c r="EK71" s="21"/>
      <c r="EL71" s="21"/>
      <c r="EM71" s="21"/>
      <c r="EN71" s="21"/>
      <c r="EO71" s="21"/>
      <c r="ES71" s="9"/>
      <c r="ET71" s="21"/>
      <c r="EU71" s="21"/>
      <c r="EV71" s="21"/>
      <c r="EW71" s="21"/>
      <c r="EX71" s="21"/>
      <c r="FA71" s="9"/>
      <c r="FB71" s="21"/>
      <c r="FC71" s="21"/>
      <c r="FD71" s="21"/>
      <c r="FE71" s="21"/>
      <c r="FF71" s="21"/>
    </row>
    <row r="72" spans="6:162" x14ac:dyDescent="0.25">
      <c r="F72" s="9"/>
      <c r="G72" s="21">
        <v>0.88775599999999999</v>
      </c>
      <c r="H72" s="21">
        <v>5.6397199999999996</v>
      </c>
      <c r="I72" s="24">
        <v>-4.1717500000000002E-5</v>
      </c>
      <c r="J72" s="21">
        <v>62</v>
      </c>
      <c r="K72" s="21">
        <v>0.88653599999999999</v>
      </c>
      <c r="L72">
        <f t="shared" si="0"/>
        <v>5.1503086419753083E-2</v>
      </c>
      <c r="M72">
        <f t="shared" si="1"/>
        <v>4.5722173987654317E-2</v>
      </c>
      <c r="N72" s="9"/>
      <c r="O72" s="21">
        <v>0.21224999999999999</v>
      </c>
      <c r="P72" s="21">
        <v>8.2604600000000001</v>
      </c>
      <c r="Q72" s="24">
        <v>-5.5541999999999998E-5</v>
      </c>
      <c r="R72" s="21">
        <v>62</v>
      </c>
      <c r="S72" s="21">
        <v>0.211975</v>
      </c>
      <c r="T72">
        <f t="shared" si="2"/>
        <v>6.8570370370370365E-2</v>
      </c>
      <c r="U72">
        <f t="shared" si="3"/>
        <v>1.455406111111111E-2</v>
      </c>
      <c r="X72" s="9"/>
      <c r="Y72" s="21">
        <v>0.88775599999999999</v>
      </c>
      <c r="Z72" s="21">
        <v>12.620900000000001</v>
      </c>
      <c r="AA72" s="24">
        <v>-4.0679900000000003E-5</v>
      </c>
      <c r="AB72" s="21">
        <v>62</v>
      </c>
      <c r="AC72" s="21">
        <v>0.88684099999999999</v>
      </c>
      <c r="AD72">
        <f t="shared" si="4"/>
        <v>5.0222098765432099E-2</v>
      </c>
      <c r="AE72">
        <f t="shared" si="5"/>
        <v>4.4584969511604941E-2</v>
      </c>
      <c r="AF72" s="9"/>
      <c r="AG72" s="21">
        <v>0.21224999999999999</v>
      </c>
      <c r="AH72" s="21">
        <v>15.2416</v>
      </c>
      <c r="AI72" s="24">
        <v>-5.2703900000000002E-5</v>
      </c>
      <c r="AJ72" s="21">
        <v>62</v>
      </c>
      <c r="AK72" s="21">
        <v>0.21194499999999999</v>
      </c>
      <c r="AL72">
        <f t="shared" si="6"/>
        <v>6.5066543209876537E-2</v>
      </c>
      <c r="AM72">
        <f t="shared" si="7"/>
        <v>1.3810373796296295E-2</v>
      </c>
      <c r="AP72" s="9"/>
      <c r="AQ72" s="21">
        <v>0.88775599999999999</v>
      </c>
      <c r="AR72" s="21">
        <v>19.5441</v>
      </c>
      <c r="AS72" s="24">
        <v>-3.8696299999999997E-5</v>
      </c>
      <c r="AT72" s="21">
        <v>62</v>
      </c>
      <c r="AU72" s="21">
        <v>0.88745099999999999</v>
      </c>
      <c r="AV72">
        <f t="shared" si="8"/>
        <v>4.7773209876543203E-2</v>
      </c>
      <c r="AW72">
        <f t="shared" si="9"/>
        <v>4.2410953707160484E-2</v>
      </c>
      <c r="AX72" s="9"/>
      <c r="AY72" s="21">
        <v>0.21224999999999999</v>
      </c>
      <c r="AZ72" s="21">
        <v>22.1648</v>
      </c>
      <c r="BA72" s="24">
        <v>-5.1116899999999998E-5</v>
      </c>
      <c r="BB72" s="21">
        <v>62</v>
      </c>
      <c r="BC72" s="21">
        <v>0.21206700000000001</v>
      </c>
      <c r="BD72">
        <f t="shared" si="10"/>
        <v>6.3107283950617279E-2</v>
      </c>
      <c r="BE72">
        <f t="shared" si="11"/>
        <v>1.3394521018518518E-2</v>
      </c>
      <c r="BH72" s="9"/>
      <c r="BI72" s="21"/>
      <c r="BJ72" s="21"/>
      <c r="BK72" s="21"/>
      <c r="BL72" s="21"/>
      <c r="BM72" s="21"/>
      <c r="BP72" s="9"/>
      <c r="BQ72" s="21"/>
      <c r="BR72" s="21"/>
      <c r="BS72" s="21"/>
      <c r="BT72" s="21"/>
      <c r="BU72" s="21"/>
      <c r="BZ72" s="9"/>
      <c r="CA72" s="21"/>
      <c r="CB72" s="21"/>
      <c r="CC72" s="21"/>
      <c r="CD72" s="21"/>
      <c r="CE72" s="21"/>
      <c r="CH72" s="9"/>
      <c r="CI72" s="21"/>
      <c r="CJ72" s="21"/>
      <c r="CK72" s="21"/>
      <c r="CL72" s="21"/>
      <c r="CM72" s="21"/>
      <c r="CR72" s="9"/>
      <c r="CS72" s="21"/>
      <c r="CT72" s="21"/>
      <c r="CU72" s="21"/>
      <c r="CV72" s="21"/>
      <c r="CW72" s="21"/>
      <c r="CZ72" s="9"/>
      <c r="DA72" s="21"/>
      <c r="DB72" s="21"/>
      <c r="DC72" s="21"/>
      <c r="DD72" s="21"/>
      <c r="DE72" s="21"/>
      <c r="DJ72" s="9"/>
      <c r="DK72" s="21"/>
      <c r="DL72" s="21"/>
      <c r="DM72" s="21"/>
      <c r="DN72" s="21"/>
      <c r="DO72" s="21"/>
      <c r="DR72" s="9"/>
      <c r="DS72" s="21"/>
      <c r="DT72" s="21"/>
      <c r="DU72" s="21"/>
      <c r="DV72" s="21"/>
      <c r="DW72" s="21"/>
      <c r="EB72" s="9"/>
      <c r="EC72" s="21"/>
      <c r="ED72" s="21"/>
      <c r="EE72" s="21"/>
      <c r="EF72" s="21"/>
      <c r="EG72" s="21"/>
      <c r="EJ72" s="9"/>
      <c r="EK72" s="21"/>
      <c r="EL72" s="21"/>
      <c r="EM72" s="21"/>
      <c r="EN72" s="21"/>
      <c r="EO72" s="21"/>
      <c r="ES72" s="9"/>
      <c r="ET72" s="21"/>
      <c r="EU72" s="21"/>
      <c r="EV72" s="21"/>
      <c r="EW72" s="21"/>
      <c r="EX72" s="21"/>
      <c r="FA72" s="9"/>
      <c r="FB72" s="21"/>
      <c r="FC72" s="21"/>
      <c r="FD72" s="21"/>
      <c r="FE72" s="21"/>
      <c r="FF72" s="21"/>
    </row>
    <row r="73" spans="6:162" x14ac:dyDescent="0.25">
      <c r="F73" s="9"/>
      <c r="G73" s="21">
        <v>0.88272099999999998</v>
      </c>
      <c r="H73" s="21">
        <v>5.6497900000000003</v>
      </c>
      <c r="I73" s="24">
        <v>-4.1992200000000001E-5</v>
      </c>
      <c r="J73" s="21">
        <v>63</v>
      </c>
      <c r="K73" s="21">
        <v>0.88134800000000002</v>
      </c>
      <c r="L73">
        <f t="shared" si="0"/>
        <v>5.184222222222222E-2</v>
      </c>
      <c r="M73">
        <f t="shared" si="1"/>
        <v>4.5762218242222222E-2</v>
      </c>
      <c r="N73" s="9"/>
      <c r="O73" s="21">
        <v>0.21728500000000001</v>
      </c>
      <c r="P73" s="21">
        <v>8.2705300000000008</v>
      </c>
      <c r="Q73" s="24">
        <v>-5.5389400000000002E-5</v>
      </c>
      <c r="R73" s="21">
        <v>63</v>
      </c>
      <c r="S73" s="21">
        <v>0.21701000000000001</v>
      </c>
      <c r="T73">
        <f t="shared" si="2"/>
        <v>6.8381975308641971E-2</v>
      </c>
      <c r="U73">
        <f t="shared" si="3"/>
        <v>1.4858377504938271E-2</v>
      </c>
      <c r="X73" s="9"/>
      <c r="Y73" s="21">
        <v>0.88272099999999998</v>
      </c>
      <c r="Z73" s="21">
        <v>12.631</v>
      </c>
      <c r="AA73" s="24">
        <v>-4.10461E-5</v>
      </c>
      <c r="AB73" s="21">
        <v>63</v>
      </c>
      <c r="AC73" s="21">
        <v>0.88195800000000002</v>
      </c>
      <c r="AD73">
        <f t="shared" si="4"/>
        <v>5.067419753086419E-2</v>
      </c>
      <c r="AE73">
        <f t="shared" si="5"/>
        <v>4.473117831864197E-2</v>
      </c>
      <c r="AF73" s="9"/>
      <c r="AG73" s="21">
        <v>0.21728500000000001</v>
      </c>
      <c r="AH73" s="21">
        <v>15.2517</v>
      </c>
      <c r="AI73" s="24">
        <v>-5.2612299999999998E-5</v>
      </c>
      <c r="AJ73" s="21">
        <v>63</v>
      </c>
      <c r="AK73" s="21">
        <v>0.21701000000000001</v>
      </c>
      <c r="AL73">
        <f t="shared" si="6"/>
        <v>6.4953456790123459E-2</v>
      </c>
      <c r="AM73">
        <f t="shared" si="7"/>
        <v>1.4113411858641976E-2</v>
      </c>
      <c r="AP73" s="9"/>
      <c r="AQ73" s="21">
        <v>0.88272099999999998</v>
      </c>
      <c r="AR73" s="21">
        <v>19.554099999999998</v>
      </c>
      <c r="AS73" s="24">
        <v>-3.9032000000000002E-5</v>
      </c>
      <c r="AT73" s="21">
        <v>63</v>
      </c>
      <c r="AU73" s="21">
        <v>0.88195800000000002</v>
      </c>
      <c r="AV73">
        <f t="shared" si="8"/>
        <v>4.8187654320987656E-2</v>
      </c>
      <c r="AW73">
        <f t="shared" si="9"/>
        <v>4.2536254409876545E-2</v>
      </c>
      <c r="AX73" s="9"/>
      <c r="AY73" s="21">
        <v>0.21728500000000001</v>
      </c>
      <c r="AZ73" s="21">
        <v>22.174900000000001</v>
      </c>
      <c r="BA73" s="24">
        <v>-5.0903299999999998E-5</v>
      </c>
      <c r="BB73" s="21">
        <v>63</v>
      </c>
      <c r="BC73" s="21">
        <v>0.21707199999999999</v>
      </c>
      <c r="BD73">
        <f t="shared" si="10"/>
        <v>6.2843580246913569E-2</v>
      </c>
      <c r="BE73">
        <f t="shared" si="11"/>
        <v>1.3654967333950616E-2</v>
      </c>
      <c r="BH73" s="9"/>
      <c r="BI73" s="21"/>
      <c r="BJ73" s="21"/>
      <c r="BK73" s="21"/>
      <c r="BL73" s="21"/>
      <c r="BM73" s="21"/>
      <c r="BP73" s="9"/>
      <c r="BQ73" s="21"/>
      <c r="BR73" s="21"/>
      <c r="BS73" s="21"/>
      <c r="BT73" s="21"/>
      <c r="BU73" s="21"/>
      <c r="BZ73" s="9"/>
      <c r="CA73" s="21"/>
      <c r="CB73" s="21"/>
      <c r="CC73" s="21"/>
      <c r="CD73" s="21"/>
      <c r="CE73" s="21"/>
      <c r="CH73" s="9"/>
      <c r="CI73" s="21"/>
      <c r="CJ73" s="21"/>
      <c r="CK73" s="21"/>
      <c r="CL73" s="21"/>
      <c r="CM73" s="21"/>
      <c r="CR73" s="9"/>
      <c r="CS73" s="21"/>
      <c r="CT73" s="21"/>
      <c r="CU73" s="21"/>
      <c r="CV73" s="21"/>
      <c r="CW73" s="21"/>
      <c r="CZ73" s="9"/>
      <c r="DA73" s="21"/>
      <c r="DB73" s="21"/>
      <c r="DC73" s="21"/>
      <c r="DD73" s="21"/>
      <c r="DE73" s="21"/>
      <c r="DJ73" s="9"/>
      <c r="DK73" s="21"/>
      <c r="DL73" s="21"/>
      <c r="DM73" s="21"/>
      <c r="DN73" s="21"/>
      <c r="DO73" s="21"/>
      <c r="DR73" s="9"/>
      <c r="DS73" s="21"/>
      <c r="DT73" s="21"/>
      <c r="DU73" s="21"/>
      <c r="DV73" s="21"/>
      <c r="DW73" s="21"/>
      <c r="EB73" s="9"/>
      <c r="EC73" s="21"/>
      <c r="ED73" s="21"/>
      <c r="EE73" s="21"/>
      <c r="EF73" s="21"/>
      <c r="EG73" s="21"/>
      <c r="EJ73" s="9"/>
      <c r="EK73" s="21"/>
      <c r="EL73" s="21"/>
      <c r="EM73" s="21"/>
      <c r="EN73" s="21"/>
      <c r="EO73" s="21"/>
      <c r="ES73" s="9"/>
      <c r="ET73" s="21"/>
      <c r="EU73" s="21"/>
      <c r="EV73" s="21"/>
      <c r="EW73" s="21"/>
      <c r="EX73" s="21"/>
      <c r="FA73" s="9"/>
      <c r="FB73" s="21"/>
      <c r="FC73" s="21"/>
      <c r="FD73" s="21"/>
      <c r="FE73" s="21"/>
      <c r="FF73" s="21"/>
    </row>
    <row r="74" spans="6:162" x14ac:dyDescent="0.25">
      <c r="F74" s="9"/>
      <c r="G74" s="21">
        <v>0.87768599999999997</v>
      </c>
      <c r="H74" s="21">
        <v>5.6598600000000001</v>
      </c>
      <c r="I74" s="24">
        <v>-4.2388899999999997E-5</v>
      </c>
      <c r="J74" s="21">
        <v>64</v>
      </c>
      <c r="K74" s="21">
        <v>0.87646500000000005</v>
      </c>
      <c r="L74">
        <f t="shared" si="0"/>
        <v>5.2331975308641962E-2</v>
      </c>
      <c r="M74">
        <f t="shared" si="1"/>
        <v>4.5931042080740725E-2</v>
      </c>
      <c r="N74" s="9"/>
      <c r="O74" s="21">
        <v>0.22232099999999999</v>
      </c>
      <c r="P74" s="21">
        <v>8.2805999999999997</v>
      </c>
      <c r="Q74" s="24">
        <v>-5.5175800000000001E-5</v>
      </c>
      <c r="R74" s="21">
        <v>64</v>
      </c>
      <c r="S74" s="21">
        <v>0.22201499999999999</v>
      </c>
      <c r="T74">
        <f t="shared" si="2"/>
        <v>6.8118271604938274E-2</v>
      </c>
      <c r="U74">
        <f t="shared" si="3"/>
        <v>1.5144122261481482E-2</v>
      </c>
      <c r="X74" s="9"/>
      <c r="Y74" s="21">
        <v>0.87768599999999997</v>
      </c>
      <c r="Z74" s="21">
        <v>12.641</v>
      </c>
      <c r="AA74" s="24">
        <v>-4.1320799999999999E-5</v>
      </c>
      <c r="AB74" s="21">
        <v>64</v>
      </c>
      <c r="AC74" s="21">
        <v>0.87646500000000005</v>
      </c>
      <c r="AD74">
        <f t="shared" si="4"/>
        <v>5.1013333333333327E-2</v>
      </c>
      <c r="AE74">
        <f t="shared" si="5"/>
        <v>4.477368847999999E-2</v>
      </c>
      <c r="AF74" s="9"/>
      <c r="AG74" s="21">
        <v>0.22232099999999999</v>
      </c>
      <c r="AH74" s="21">
        <v>15.261799999999999</v>
      </c>
      <c r="AI74" s="24">
        <v>-5.2490200000000001E-5</v>
      </c>
      <c r="AJ74" s="21">
        <v>64</v>
      </c>
      <c r="AK74" s="21">
        <v>0.22198499999999999</v>
      </c>
      <c r="AL74">
        <f t="shared" si="6"/>
        <v>6.4802716049382716E-2</v>
      </c>
      <c r="AM74">
        <f t="shared" si="7"/>
        <v>1.4407004634814815E-2</v>
      </c>
      <c r="AP74" s="9"/>
      <c r="AQ74" s="21">
        <v>0.87768599999999997</v>
      </c>
      <c r="AR74" s="21">
        <v>19.5642</v>
      </c>
      <c r="AS74" s="24">
        <v>-3.9276100000000002E-5</v>
      </c>
      <c r="AT74" s="21">
        <v>64</v>
      </c>
      <c r="AU74" s="21">
        <v>0.87677000000000005</v>
      </c>
      <c r="AV74">
        <f t="shared" si="8"/>
        <v>4.8489012345679011E-2</v>
      </c>
      <c r="AW74">
        <f t="shared" si="9"/>
        <v>4.2558127289629627E-2</v>
      </c>
      <c r="AX74" s="9"/>
      <c r="AY74" s="21">
        <v>0.22232099999999999</v>
      </c>
      <c r="AZ74" s="21">
        <v>22.184999999999999</v>
      </c>
      <c r="BA74" s="24">
        <v>-5.0689699999999997E-5</v>
      </c>
      <c r="BB74" s="21">
        <v>64</v>
      </c>
      <c r="BC74" s="21">
        <v>0.22201499999999999</v>
      </c>
      <c r="BD74">
        <f t="shared" si="10"/>
        <v>6.2579876543209872E-2</v>
      </c>
      <c r="BE74">
        <f t="shared" si="11"/>
        <v>1.3912820732962962E-2</v>
      </c>
      <c r="BH74" s="9"/>
      <c r="BI74" s="21"/>
      <c r="BJ74" s="21"/>
      <c r="BK74" s="21"/>
      <c r="BL74" s="21"/>
      <c r="BM74" s="21"/>
      <c r="BP74" s="9"/>
      <c r="BQ74" s="21"/>
      <c r="BR74" s="21"/>
      <c r="BS74" s="21"/>
      <c r="BT74" s="21"/>
      <c r="BU74" s="21"/>
      <c r="BZ74" s="9"/>
      <c r="CA74" s="21"/>
      <c r="CB74" s="21"/>
      <c r="CC74" s="21"/>
      <c r="CD74" s="21"/>
      <c r="CE74" s="21"/>
      <c r="CH74" s="9"/>
      <c r="CI74" s="21"/>
      <c r="CJ74" s="21"/>
      <c r="CK74" s="21"/>
      <c r="CL74" s="21"/>
      <c r="CM74" s="21"/>
      <c r="CR74" s="9"/>
      <c r="CS74" s="21"/>
      <c r="CT74" s="21"/>
      <c r="CU74" s="21"/>
      <c r="CV74" s="21"/>
      <c r="CW74" s="21"/>
      <c r="CZ74" s="9"/>
      <c r="DA74" s="21"/>
      <c r="DB74" s="21"/>
      <c r="DC74" s="21"/>
      <c r="DD74" s="21"/>
      <c r="DE74" s="21"/>
      <c r="DJ74" s="9"/>
      <c r="DK74" s="21"/>
      <c r="DL74" s="21"/>
      <c r="DM74" s="21"/>
      <c r="DN74" s="21"/>
      <c r="DO74" s="21"/>
      <c r="DR74" s="9"/>
      <c r="DS74" s="21"/>
      <c r="DT74" s="21"/>
      <c r="DU74" s="21"/>
      <c r="DV74" s="21"/>
      <c r="DW74" s="21"/>
      <c r="EB74" s="9"/>
      <c r="EC74" s="21"/>
      <c r="ED74" s="21"/>
      <c r="EE74" s="21"/>
      <c r="EF74" s="21"/>
      <c r="EG74" s="21"/>
      <c r="EJ74" s="9"/>
      <c r="EK74" s="21"/>
      <c r="EL74" s="21"/>
      <c r="EM74" s="21"/>
      <c r="EN74" s="21"/>
      <c r="EO74" s="21"/>
      <c r="ES74" s="9"/>
      <c r="ET74" s="21"/>
      <c r="EU74" s="21"/>
      <c r="EV74" s="21"/>
      <c r="EW74" s="21"/>
      <c r="EX74" s="21"/>
      <c r="FA74" s="9"/>
      <c r="FB74" s="21"/>
      <c r="FC74" s="21"/>
      <c r="FD74" s="21"/>
      <c r="FE74" s="21"/>
      <c r="FF74" s="21"/>
    </row>
    <row r="75" spans="6:162" x14ac:dyDescent="0.25">
      <c r="F75" s="9"/>
      <c r="G75" s="21">
        <v>0.87265000000000004</v>
      </c>
      <c r="H75" s="21">
        <v>5.6699299999999999</v>
      </c>
      <c r="I75" s="24">
        <v>-4.2785599999999999E-5</v>
      </c>
      <c r="J75" s="21">
        <v>65</v>
      </c>
      <c r="K75" s="21">
        <v>0.87127699999999997</v>
      </c>
      <c r="L75">
        <f t="shared" si="0"/>
        <v>5.2821728395061725E-2</v>
      </c>
      <c r="M75">
        <f t="shared" si="1"/>
        <v>4.6094881283950617E-2</v>
      </c>
      <c r="N75" s="9"/>
      <c r="O75" s="21">
        <v>0.227356</v>
      </c>
      <c r="P75" s="21">
        <v>8.2906700000000004</v>
      </c>
      <c r="Q75" s="24">
        <v>-5.49927E-5</v>
      </c>
      <c r="R75" s="21">
        <v>65</v>
      </c>
      <c r="S75" s="21">
        <v>0.22702</v>
      </c>
      <c r="T75">
        <f t="shared" si="2"/>
        <v>6.7892222222222215E-2</v>
      </c>
      <c r="U75">
        <f t="shared" si="3"/>
        <v>1.5435704075555555E-2</v>
      </c>
      <c r="X75" s="9"/>
      <c r="Y75" s="21">
        <v>0.87265000000000004</v>
      </c>
      <c r="Z75" s="21">
        <v>12.6511</v>
      </c>
      <c r="AA75" s="24">
        <v>-4.1503900000000001E-5</v>
      </c>
      <c r="AB75" s="21">
        <v>65</v>
      </c>
      <c r="AC75" s="21">
        <v>0.87188699999999997</v>
      </c>
      <c r="AD75">
        <f t="shared" si="4"/>
        <v>5.1239382716049379E-2</v>
      </c>
      <c r="AE75">
        <f t="shared" si="5"/>
        <v>4.4714047327160493E-2</v>
      </c>
      <c r="AF75" s="9"/>
      <c r="AG75" s="21">
        <v>0.227356</v>
      </c>
      <c r="AH75" s="21">
        <v>15.271800000000001</v>
      </c>
      <c r="AI75" s="24">
        <v>-5.2307099999999999E-5</v>
      </c>
      <c r="AJ75" s="21">
        <v>65</v>
      </c>
      <c r="AK75" s="21">
        <v>0.22702</v>
      </c>
      <c r="AL75">
        <f t="shared" si="6"/>
        <v>6.4576666666666671E-2</v>
      </c>
      <c r="AM75">
        <f t="shared" si="7"/>
        <v>1.4681892626666668E-2</v>
      </c>
      <c r="AP75" s="9"/>
      <c r="AQ75" s="21">
        <v>0.87265000000000004</v>
      </c>
      <c r="AR75" s="21">
        <v>19.574300000000001</v>
      </c>
      <c r="AS75" s="24">
        <v>-3.9520300000000002E-5</v>
      </c>
      <c r="AT75" s="21">
        <v>65</v>
      </c>
      <c r="AU75" s="21">
        <v>0.87158199999999997</v>
      </c>
      <c r="AV75">
        <f t="shared" si="8"/>
        <v>4.879049382716049E-2</v>
      </c>
      <c r="AW75">
        <f t="shared" si="9"/>
        <v>4.2577024438271605E-2</v>
      </c>
      <c r="AX75" s="9"/>
      <c r="AY75" s="21">
        <v>0.227356</v>
      </c>
      <c r="AZ75" s="21">
        <v>22.195</v>
      </c>
      <c r="BA75" s="24">
        <v>-5.0506600000000002E-5</v>
      </c>
      <c r="BB75" s="21">
        <v>65</v>
      </c>
      <c r="BC75" s="21">
        <v>0.22711200000000001</v>
      </c>
      <c r="BD75">
        <f t="shared" si="10"/>
        <v>6.2353827160493834E-2</v>
      </c>
      <c r="BE75">
        <f t="shared" si="11"/>
        <v>1.4176516727901236E-2</v>
      </c>
      <c r="BH75" s="9"/>
      <c r="BI75" s="21"/>
      <c r="BJ75" s="21"/>
      <c r="BK75" s="21"/>
      <c r="BL75" s="21"/>
      <c r="BM75" s="21"/>
      <c r="BP75" s="9"/>
      <c r="BQ75" s="21"/>
      <c r="BR75" s="21"/>
      <c r="BS75" s="21"/>
      <c r="BT75" s="21"/>
      <c r="BU75" s="21"/>
      <c r="BZ75" s="9"/>
      <c r="CA75" s="21"/>
      <c r="CB75" s="21"/>
      <c r="CC75" s="21"/>
      <c r="CD75" s="21"/>
      <c r="CE75" s="21"/>
      <c r="CH75" s="9"/>
      <c r="CI75" s="21"/>
      <c r="CJ75" s="21"/>
      <c r="CK75" s="21"/>
      <c r="CL75" s="21"/>
      <c r="CM75" s="21"/>
      <c r="CR75" s="9"/>
      <c r="CS75" s="21"/>
      <c r="CT75" s="21"/>
      <c r="CU75" s="21"/>
      <c r="CV75" s="21"/>
      <c r="CW75" s="21"/>
      <c r="CZ75" s="9"/>
      <c r="DA75" s="21"/>
      <c r="DB75" s="21"/>
      <c r="DC75" s="21"/>
      <c r="DD75" s="21"/>
      <c r="DE75" s="21"/>
      <c r="DJ75" s="9"/>
      <c r="DK75" s="21"/>
      <c r="DL75" s="21"/>
      <c r="DM75" s="21"/>
      <c r="DN75" s="21"/>
      <c r="DO75" s="21"/>
      <c r="DR75" s="9"/>
      <c r="DS75" s="21"/>
      <c r="DT75" s="21"/>
      <c r="DU75" s="21"/>
      <c r="DV75" s="21"/>
      <c r="DW75" s="21"/>
      <c r="EB75" s="9"/>
      <c r="EC75" s="21"/>
      <c r="ED75" s="21"/>
      <c r="EE75" s="21"/>
      <c r="EF75" s="21"/>
      <c r="EG75" s="21"/>
      <c r="EJ75" s="9"/>
      <c r="EK75" s="21"/>
      <c r="EL75" s="21"/>
      <c r="EM75" s="21"/>
      <c r="EN75" s="21"/>
      <c r="EO75" s="21"/>
      <c r="ES75" s="9"/>
      <c r="ET75" s="21"/>
      <c r="EU75" s="21"/>
      <c r="EV75" s="21"/>
      <c r="EW75" s="21"/>
      <c r="EX75" s="21"/>
      <c r="FA75" s="9"/>
      <c r="FB75" s="21"/>
      <c r="FC75" s="21"/>
      <c r="FD75" s="21"/>
      <c r="FE75" s="21"/>
      <c r="FF75" s="21"/>
    </row>
    <row r="76" spans="6:162" x14ac:dyDescent="0.25">
      <c r="F76" s="9"/>
      <c r="G76" s="21">
        <v>0.86761500000000003</v>
      </c>
      <c r="H76" s="21">
        <v>5.6800100000000002</v>
      </c>
      <c r="I76" s="24">
        <v>-4.3182400000000002E-5</v>
      </c>
      <c r="J76" s="21">
        <v>66</v>
      </c>
      <c r="K76" s="21">
        <v>0.866699</v>
      </c>
      <c r="L76">
        <f t="shared" ref="L76:L139" si="12">-I76/$F$2*1000</f>
        <v>5.3311604938271605E-2</v>
      </c>
      <c r="M76">
        <f t="shared" ref="M76:M139" si="13">L76*G76</f>
        <v>4.6253948118518518E-2</v>
      </c>
      <c r="N76" s="9"/>
      <c r="O76" s="21">
        <v>0.23239099999999999</v>
      </c>
      <c r="P76" s="21">
        <v>8.3007500000000007</v>
      </c>
      <c r="Q76" s="24">
        <v>-5.4748499999999999E-5</v>
      </c>
      <c r="R76" s="21">
        <v>66</v>
      </c>
      <c r="S76" s="21">
        <v>0.23208599999999999</v>
      </c>
      <c r="T76">
        <f t="shared" ref="T76:T139" si="14">-Q76/$F$2*1000</f>
        <v>6.7590740740740743E-2</v>
      </c>
      <c r="U76">
        <f t="shared" ref="U76:U139" si="15">T76*O76</f>
        <v>1.5707479831481481E-2</v>
      </c>
      <c r="X76" s="9"/>
      <c r="Y76" s="21">
        <v>0.86761500000000003</v>
      </c>
      <c r="Z76" s="21">
        <v>12.661199999999999</v>
      </c>
      <c r="AA76" s="24">
        <v>-4.1839599999999998E-5</v>
      </c>
      <c r="AB76" s="21">
        <v>66</v>
      </c>
      <c r="AC76" s="21">
        <v>0.866699</v>
      </c>
      <c r="AD76">
        <f t="shared" ref="AD76:AD139" si="16">-AA76/$F$2*1000</f>
        <v>5.1653827160493819E-2</v>
      </c>
      <c r="AE76">
        <f t="shared" ref="AE76:AE139" si="17">AD76*Y76</f>
        <v>4.4815635251851844E-2</v>
      </c>
      <c r="AF76" s="9"/>
      <c r="AG76" s="21">
        <v>0.23239099999999999</v>
      </c>
      <c r="AH76" s="21">
        <v>15.2819</v>
      </c>
      <c r="AI76" s="24">
        <v>-5.20325E-5</v>
      </c>
      <c r="AJ76" s="21">
        <v>66</v>
      </c>
      <c r="AK76" s="21">
        <v>0.23208599999999999</v>
      </c>
      <c r="AL76">
        <f t="shared" ref="AL76:AL139" si="18">-AI76/$F$2*1000</f>
        <v>6.4237654320987658E-2</v>
      </c>
      <c r="AM76">
        <f t="shared" ref="AM76:AM139" si="19">AL76*AG76</f>
        <v>1.4928252725308643E-2</v>
      </c>
      <c r="AP76" s="9"/>
      <c r="AQ76" s="21">
        <v>0.86761500000000003</v>
      </c>
      <c r="AR76" s="21">
        <v>19.584399999999999</v>
      </c>
      <c r="AS76" s="24">
        <v>-3.9855999999999999E-5</v>
      </c>
      <c r="AT76" s="21">
        <v>66</v>
      </c>
      <c r="AU76" s="21">
        <v>0.866699</v>
      </c>
      <c r="AV76">
        <f t="shared" ref="AV76:AV139" si="20">-AS76/$F$2*1000</f>
        <v>4.9204938271604937E-2</v>
      </c>
      <c r="AW76">
        <f t="shared" ref="AW76:AW139" si="21">AV76*AQ76</f>
        <v>4.2690942518518515E-2</v>
      </c>
      <c r="AX76" s="9"/>
      <c r="AY76" s="21">
        <v>0.23239099999999999</v>
      </c>
      <c r="AZ76" s="21">
        <v>22.205100000000002</v>
      </c>
      <c r="BA76" s="24">
        <v>-5.0353999999999999E-5</v>
      </c>
      <c r="BB76" s="21">
        <v>66</v>
      </c>
      <c r="BC76" s="21">
        <v>0.23211699999999999</v>
      </c>
      <c r="BD76">
        <f t="shared" ref="BD76:BD139" si="22">-BA76/$F$2*1000</f>
        <v>6.2165432098765433E-2</v>
      </c>
      <c r="BE76">
        <f t="shared" ref="BE76:BE139" si="23">BD76*AY76</f>
        <v>1.4446686930864197E-2</v>
      </c>
      <c r="BH76" s="9"/>
      <c r="BI76" s="21"/>
      <c r="BJ76" s="21"/>
      <c r="BK76" s="21"/>
      <c r="BL76" s="21"/>
      <c r="BM76" s="21"/>
      <c r="BP76" s="9"/>
      <c r="BQ76" s="21"/>
      <c r="BR76" s="21"/>
      <c r="BS76" s="21"/>
      <c r="BT76" s="21"/>
      <c r="BU76" s="21"/>
      <c r="BZ76" s="9"/>
      <c r="CA76" s="21"/>
      <c r="CB76" s="21"/>
      <c r="CC76" s="21"/>
      <c r="CD76" s="21"/>
      <c r="CE76" s="21"/>
      <c r="CH76" s="9"/>
      <c r="CI76" s="21"/>
      <c r="CJ76" s="21"/>
      <c r="CK76" s="21"/>
      <c r="CL76" s="21"/>
      <c r="CM76" s="21"/>
      <c r="CR76" s="9"/>
      <c r="CS76" s="21"/>
      <c r="CT76" s="21"/>
      <c r="CU76" s="21"/>
      <c r="CV76" s="21"/>
      <c r="CW76" s="21"/>
      <c r="CZ76" s="9"/>
      <c r="DA76" s="21"/>
      <c r="DB76" s="21"/>
      <c r="DC76" s="21"/>
      <c r="DD76" s="21"/>
      <c r="DE76" s="21"/>
      <c r="DJ76" s="9"/>
      <c r="DK76" s="21"/>
      <c r="DL76" s="21"/>
      <c r="DM76" s="21"/>
      <c r="DN76" s="21"/>
      <c r="DO76" s="21"/>
      <c r="DR76" s="9"/>
      <c r="DS76" s="21"/>
      <c r="DT76" s="21"/>
      <c r="DU76" s="21"/>
      <c r="DV76" s="21"/>
      <c r="DW76" s="21"/>
      <c r="EB76" s="9"/>
      <c r="EC76" s="21"/>
      <c r="ED76" s="21"/>
      <c r="EE76" s="21"/>
      <c r="EF76" s="21"/>
      <c r="EG76" s="21"/>
      <c r="EJ76" s="9"/>
      <c r="EK76" s="21"/>
      <c r="EL76" s="21"/>
      <c r="EM76" s="21"/>
      <c r="EN76" s="21"/>
      <c r="EO76" s="21"/>
      <c r="ES76" s="9"/>
      <c r="ET76" s="21"/>
      <c r="EU76" s="21"/>
      <c r="EV76" s="21"/>
      <c r="EW76" s="21"/>
      <c r="EX76" s="21"/>
      <c r="FA76" s="9"/>
      <c r="FB76" s="21"/>
      <c r="FC76" s="21"/>
      <c r="FD76" s="21"/>
      <c r="FE76" s="21"/>
      <c r="FF76" s="21"/>
    </row>
    <row r="77" spans="6:162" x14ac:dyDescent="0.25">
      <c r="F77" s="9"/>
      <c r="G77" s="21">
        <v>0.86257899999999998</v>
      </c>
      <c r="H77" s="21">
        <v>5.69008</v>
      </c>
      <c r="I77" s="24">
        <v>-4.3548599999999998E-5</v>
      </c>
      <c r="J77" s="21">
        <v>67</v>
      </c>
      <c r="K77" s="21">
        <v>0.86151100000000003</v>
      </c>
      <c r="L77">
        <f t="shared" si="12"/>
        <v>5.3763703703703702E-2</v>
      </c>
      <c r="M77">
        <f t="shared" si="13"/>
        <v>4.6375441777037035E-2</v>
      </c>
      <c r="N77" s="9"/>
      <c r="O77" s="21">
        <v>0.237427</v>
      </c>
      <c r="P77" s="21">
        <v>8.3108199999999997</v>
      </c>
      <c r="Q77" s="24">
        <v>-5.4534899999999999E-5</v>
      </c>
      <c r="R77" s="21">
        <v>67</v>
      </c>
      <c r="S77" s="21">
        <v>0.237091</v>
      </c>
      <c r="T77">
        <f t="shared" si="14"/>
        <v>6.7327037037037032E-2</v>
      </c>
      <c r="U77">
        <f t="shared" si="15"/>
        <v>1.5985256422592593E-2</v>
      </c>
      <c r="X77" s="9"/>
      <c r="Y77" s="21">
        <v>0.86257899999999998</v>
      </c>
      <c r="Z77" s="21">
        <v>12.671200000000001</v>
      </c>
      <c r="AA77" s="24">
        <v>-4.2114299999999998E-5</v>
      </c>
      <c r="AB77" s="21">
        <v>67</v>
      </c>
      <c r="AC77" s="21">
        <v>0.86151100000000003</v>
      </c>
      <c r="AD77">
        <f t="shared" si="16"/>
        <v>5.1992962962962956E-2</v>
      </c>
      <c r="AE77">
        <f t="shared" si="17"/>
        <v>4.4848037999629622E-2</v>
      </c>
      <c r="AF77" s="9"/>
      <c r="AG77" s="21">
        <v>0.237427</v>
      </c>
      <c r="AH77" s="21">
        <v>15.292</v>
      </c>
      <c r="AI77" s="24">
        <v>-5.1940900000000003E-5</v>
      </c>
      <c r="AJ77" s="21">
        <v>67</v>
      </c>
      <c r="AK77" s="21">
        <v>0.237152</v>
      </c>
      <c r="AL77">
        <f t="shared" si="18"/>
        <v>6.4124567901234567E-2</v>
      </c>
      <c r="AM77">
        <f t="shared" si="19"/>
        <v>1.522490378308642E-2</v>
      </c>
      <c r="AP77" s="9"/>
      <c r="AQ77" s="21">
        <v>0.86257899999999998</v>
      </c>
      <c r="AR77" s="21">
        <v>19.5944</v>
      </c>
      <c r="AS77" s="24">
        <v>-4.0161099999999997E-5</v>
      </c>
      <c r="AT77" s="21">
        <v>67</v>
      </c>
      <c r="AU77" s="21">
        <v>0.86181600000000003</v>
      </c>
      <c r="AV77">
        <f t="shared" si="20"/>
        <v>4.9581604938271601E-2</v>
      </c>
      <c r="AW77">
        <f t="shared" si="21"/>
        <v>4.276805120604938E-2</v>
      </c>
      <c r="AX77" s="9"/>
      <c r="AY77" s="21">
        <v>0.237427</v>
      </c>
      <c r="AZ77" s="21">
        <v>22.215199999999999</v>
      </c>
      <c r="BA77" s="24">
        <v>-5.0231900000000003E-5</v>
      </c>
      <c r="BB77" s="21">
        <v>67</v>
      </c>
      <c r="BC77" s="21">
        <v>0.237122</v>
      </c>
      <c r="BD77">
        <f t="shared" si="22"/>
        <v>6.2014691358024697E-2</v>
      </c>
      <c r="BE77">
        <f t="shared" si="23"/>
        <v>1.472396212506173E-2</v>
      </c>
      <c r="BH77" s="9"/>
      <c r="BI77" s="21"/>
      <c r="BJ77" s="21"/>
      <c r="BK77" s="21"/>
      <c r="BL77" s="21"/>
      <c r="BM77" s="21"/>
      <c r="BP77" s="9"/>
      <c r="BQ77" s="21"/>
      <c r="BR77" s="21"/>
      <c r="BS77" s="21"/>
      <c r="BT77" s="21"/>
      <c r="BU77" s="21"/>
      <c r="BZ77" s="9"/>
      <c r="CA77" s="21"/>
      <c r="CB77" s="21"/>
      <c r="CC77" s="21"/>
      <c r="CD77" s="21"/>
      <c r="CE77" s="21"/>
      <c r="CH77" s="9"/>
      <c r="CI77" s="21"/>
      <c r="CJ77" s="21"/>
      <c r="CK77" s="21"/>
      <c r="CL77" s="21"/>
      <c r="CM77" s="21"/>
      <c r="CR77" s="9"/>
      <c r="CS77" s="21"/>
      <c r="CT77" s="21"/>
      <c r="CU77" s="21"/>
      <c r="CV77" s="21"/>
      <c r="CW77" s="21"/>
      <c r="CZ77" s="9"/>
      <c r="DA77" s="21"/>
      <c r="DB77" s="21"/>
      <c r="DC77" s="21"/>
      <c r="DD77" s="21"/>
      <c r="DE77" s="21"/>
      <c r="DJ77" s="9"/>
      <c r="DK77" s="21"/>
      <c r="DL77" s="21"/>
      <c r="DM77" s="21"/>
      <c r="DN77" s="21"/>
      <c r="DO77" s="21"/>
      <c r="DR77" s="9"/>
      <c r="DS77" s="21"/>
      <c r="DT77" s="21"/>
      <c r="DU77" s="21"/>
      <c r="DV77" s="21"/>
      <c r="DW77" s="21"/>
      <c r="EB77" s="9"/>
      <c r="EC77" s="21"/>
      <c r="ED77" s="21"/>
      <c r="EE77" s="21"/>
      <c r="EF77" s="21"/>
      <c r="EG77" s="21"/>
      <c r="EJ77" s="9"/>
      <c r="EK77" s="21"/>
      <c r="EL77" s="21"/>
      <c r="EM77" s="21"/>
      <c r="EN77" s="21"/>
      <c r="EO77" s="21"/>
      <c r="ES77" s="9"/>
      <c r="ET77" s="21"/>
      <c r="EU77" s="21"/>
      <c r="EV77" s="21"/>
      <c r="EW77" s="21"/>
      <c r="EX77" s="21"/>
      <c r="FA77" s="9"/>
      <c r="FB77" s="21"/>
      <c r="FC77" s="21"/>
      <c r="FD77" s="21"/>
      <c r="FE77" s="21"/>
      <c r="FF77" s="21"/>
    </row>
    <row r="78" spans="6:162" x14ac:dyDescent="0.25">
      <c r="F78" s="9"/>
      <c r="G78" s="21">
        <v>0.85754399999999997</v>
      </c>
      <c r="H78" s="21">
        <v>5.7001499999999998</v>
      </c>
      <c r="I78" s="24">
        <v>-4.4158900000000002E-5</v>
      </c>
      <c r="J78" s="21">
        <v>68</v>
      </c>
      <c r="K78" s="21">
        <v>0.85601799999999995</v>
      </c>
      <c r="L78">
        <f t="shared" si="12"/>
        <v>5.4517160493827162E-2</v>
      </c>
      <c r="M78">
        <f t="shared" si="13"/>
        <v>4.6750863878518518E-2</v>
      </c>
      <c r="N78" s="9"/>
      <c r="O78" s="21">
        <v>0.24246200000000001</v>
      </c>
      <c r="P78" s="21">
        <v>8.3208900000000003</v>
      </c>
      <c r="Q78" s="24">
        <v>-5.4382300000000003E-5</v>
      </c>
      <c r="R78" s="21">
        <v>68</v>
      </c>
      <c r="S78" s="21">
        <v>0.24215700000000001</v>
      </c>
      <c r="T78">
        <f t="shared" si="14"/>
        <v>6.7138641975308638E-2</v>
      </c>
      <c r="U78">
        <f t="shared" si="15"/>
        <v>1.6278569410617283E-2</v>
      </c>
      <c r="X78" s="9"/>
      <c r="Y78" s="21">
        <v>0.85754399999999997</v>
      </c>
      <c r="Z78" s="21">
        <v>12.6813</v>
      </c>
      <c r="AA78" s="24">
        <v>-4.2388899999999997E-5</v>
      </c>
      <c r="AB78" s="21">
        <v>68</v>
      </c>
      <c r="AC78" s="21">
        <v>0.85662799999999995</v>
      </c>
      <c r="AD78">
        <f t="shared" si="16"/>
        <v>5.2331975308641962E-2</v>
      </c>
      <c r="AE78">
        <f t="shared" si="17"/>
        <v>4.4876971434074063E-2</v>
      </c>
      <c r="AF78" s="9"/>
      <c r="AG78" s="21">
        <v>0.24246200000000001</v>
      </c>
      <c r="AH78" s="21">
        <v>15.302099999999999</v>
      </c>
      <c r="AI78" s="24">
        <v>-5.17883E-5</v>
      </c>
      <c r="AJ78" s="21">
        <v>68</v>
      </c>
      <c r="AK78" s="21">
        <v>0.24215700000000001</v>
      </c>
      <c r="AL78">
        <f t="shared" si="18"/>
        <v>6.3936172839506172E-2</v>
      </c>
      <c r="AM78">
        <f t="shared" si="19"/>
        <v>1.5502092339012346E-2</v>
      </c>
      <c r="AP78" s="9"/>
      <c r="AQ78" s="21">
        <v>0.85754399999999997</v>
      </c>
      <c r="AR78" s="21">
        <v>19.604500000000002</v>
      </c>
      <c r="AS78" s="24">
        <v>-4.0435799999999997E-5</v>
      </c>
      <c r="AT78" s="21">
        <v>68</v>
      </c>
      <c r="AU78" s="21">
        <v>0.85693399999999997</v>
      </c>
      <c r="AV78">
        <f t="shared" si="20"/>
        <v>4.9920740740740738E-2</v>
      </c>
      <c r="AW78">
        <f t="shared" si="21"/>
        <v>4.2809231697777776E-2</v>
      </c>
      <c r="AX78" s="9"/>
      <c r="AY78" s="21">
        <v>0.24246200000000001</v>
      </c>
      <c r="AZ78" s="21">
        <v>22.225200000000001</v>
      </c>
      <c r="BA78" s="24">
        <v>-5.0018300000000002E-5</v>
      </c>
      <c r="BB78" s="21">
        <v>68</v>
      </c>
      <c r="BC78" s="21">
        <v>0.24212600000000001</v>
      </c>
      <c r="BD78">
        <f t="shared" si="22"/>
        <v>6.175098765432098E-2</v>
      </c>
      <c r="BE78">
        <f t="shared" si="23"/>
        <v>1.4972267968641975E-2</v>
      </c>
      <c r="BH78" s="9"/>
      <c r="BI78" s="21"/>
      <c r="BJ78" s="21"/>
      <c r="BK78" s="21"/>
      <c r="BL78" s="21"/>
      <c r="BM78" s="21"/>
      <c r="BP78" s="9"/>
      <c r="BQ78" s="21"/>
      <c r="BR78" s="21"/>
      <c r="BS78" s="21"/>
      <c r="BT78" s="21"/>
      <c r="BU78" s="21"/>
      <c r="BZ78" s="9"/>
      <c r="CA78" s="21"/>
      <c r="CB78" s="21"/>
      <c r="CC78" s="21"/>
      <c r="CD78" s="21"/>
      <c r="CE78" s="21"/>
      <c r="CH78" s="9"/>
      <c r="CI78" s="21"/>
      <c r="CJ78" s="21"/>
      <c r="CK78" s="21"/>
      <c r="CL78" s="21"/>
      <c r="CM78" s="21"/>
      <c r="CR78" s="9"/>
      <c r="CS78" s="21"/>
      <c r="CT78" s="21"/>
      <c r="CU78" s="21"/>
      <c r="CV78" s="21"/>
      <c r="CW78" s="21"/>
      <c r="CZ78" s="9"/>
      <c r="DA78" s="21"/>
      <c r="DB78" s="21"/>
      <c r="DC78" s="21"/>
      <c r="DD78" s="21"/>
      <c r="DE78" s="21"/>
      <c r="DJ78" s="9"/>
      <c r="DK78" s="21"/>
      <c r="DL78" s="21"/>
      <c r="DM78" s="21"/>
      <c r="DN78" s="21"/>
      <c r="DO78" s="21"/>
      <c r="DR78" s="9"/>
      <c r="DS78" s="21"/>
      <c r="DT78" s="21"/>
      <c r="DU78" s="21"/>
      <c r="DV78" s="21"/>
      <c r="DW78" s="21"/>
      <c r="EB78" s="9"/>
      <c r="EC78" s="21"/>
      <c r="ED78" s="21"/>
      <c r="EE78" s="21"/>
      <c r="EF78" s="21"/>
      <c r="EG78" s="21"/>
      <c r="EJ78" s="9"/>
      <c r="EK78" s="21"/>
      <c r="EL78" s="21"/>
      <c r="EM78" s="21"/>
      <c r="EN78" s="21"/>
      <c r="EO78" s="21"/>
      <c r="ES78" s="9"/>
      <c r="ET78" s="21"/>
      <c r="EU78" s="21"/>
      <c r="EV78" s="21"/>
      <c r="EW78" s="21"/>
      <c r="EX78" s="21"/>
      <c r="FA78" s="9"/>
      <c r="FB78" s="21"/>
      <c r="FC78" s="21"/>
      <c r="FD78" s="21"/>
      <c r="FE78" s="21"/>
      <c r="FF78" s="21"/>
    </row>
    <row r="79" spans="6:162" x14ac:dyDescent="0.25">
      <c r="F79" s="9"/>
      <c r="G79" s="21">
        <v>0.85250899999999996</v>
      </c>
      <c r="H79" s="21">
        <v>5.7102199999999996</v>
      </c>
      <c r="I79" s="24">
        <v>-4.4372600000000003E-5</v>
      </c>
      <c r="J79" s="21">
        <v>69</v>
      </c>
      <c r="K79" s="21">
        <v>0.851746</v>
      </c>
      <c r="L79">
        <f t="shared" si="12"/>
        <v>5.4780987654320983E-2</v>
      </c>
      <c r="M79">
        <f t="shared" si="13"/>
        <v>4.6701285004197526E-2</v>
      </c>
      <c r="N79" s="9"/>
      <c r="O79" s="21">
        <v>0.247498</v>
      </c>
      <c r="P79" s="21">
        <v>8.3309599999999993</v>
      </c>
      <c r="Q79" s="24">
        <v>-5.4168700000000002E-5</v>
      </c>
      <c r="R79" s="21">
        <v>69</v>
      </c>
      <c r="S79" s="21">
        <v>0.24713099999999999</v>
      </c>
      <c r="T79">
        <f t="shared" si="14"/>
        <v>6.6874938271604942E-2</v>
      </c>
      <c r="U79">
        <f t="shared" si="15"/>
        <v>1.6551413472345681E-2</v>
      </c>
      <c r="X79" s="9"/>
      <c r="Y79" s="21">
        <v>0.85250899999999996</v>
      </c>
      <c r="Z79" s="21">
        <v>12.6914</v>
      </c>
      <c r="AA79" s="24">
        <v>-4.2663600000000003E-5</v>
      </c>
      <c r="AB79" s="21">
        <v>69</v>
      </c>
      <c r="AC79" s="21">
        <v>0.85143999999999997</v>
      </c>
      <c r="AD79">
        <f t="shared" si="16"/>
        <v>5.2671111111111113E-2</v>
      </c>
      <c r="AE79">
        <f t="shared" si="17"/>
        <v>4.4902596262222219E-2</v>
      </c>
      <c r="AF79" s="9"/>
      <c r="AG79" s="21">
        <v>0.247498</v>
      </c>
      <c r="AH79" s="21">
        <v>15.312099999999999</v>
      </c>
      <c r="AI79" s="24">
        <v>-5.1635699999999998E-5</v>
      </c>
      <c r="AJ79" s="21">
        <v>69</v>
      </c>
      <c r="AK79" s="21">
        <v>0.247192</v>
      </c>
      <c r="AL79">
        <f t="shared" si="18"/>
        <v>6.3747777777777764E-2</v>
      </c>
      <c r="AM79">
        <f t="shared" si="19"/>
        <v>1.5777447504444441E-2</v>
      </c>
      <c r="AP79" s="9"/>
      <c r="AQ79" s="21">
        <v>0.85250899999999996</v>
      </c>
      <c r="AR79" s="21">
        <v>19.614599999999999</v>
      </c>
      <c r="AS79" s="24">
        <v>-4.0588399999999999E-5</v>
      </c>
      <c r="AT79" s="21">
        <v>69</v>
      </c>
      <c r="AU79" s="21">
        <v>0.85113499999999997</v>
      </c>
      <c r="AV79">
        <f t="shared" si="20"/>
        <v>5.0109135802469132E-2</v>
      </c>
      <c r="AW79">
        <f t="shared" si="21"/>
        <v>4.2718489253827152E-2</v>
      </c>
      <c r="AX79" s="9"/>
      <c r="AY79" s="21">
        <v>0.247498</v>
      </c>
      <c r="AZ79" s="21">
        <v>22.235299999999999</v>
      </c>
      <c r="BA79" s="24">
        <v>-4.98352E-5</v>
      </c>
      <c r="BB79" s="21">
        <v>69</v>
      </c>
      <c r="BC79" s="21">
        <v>0.24716199999999999</v>
      </c>
      <c r="BD79">
        <f t="shared" si="22"/>
        <v>6.1524938271604934E-2</v>
      </c>
      <c r="BE79">
        <f t="shared" si="23"/>
        <v>1.5227299172345677E-2</v>
      </c>
      <c r="BH79" s="9"/>
      <c r="BI79" s="21"/>
      <c r="BJ79" s="21"/>
      <c r="BK79" s="21"/>
      <c r="BL79" s="21"/>
      <c r="BM79" s="21"/>
      <c r="BP79" s="9"/>
      <c r="BQ79" s="21"/>
      <c r="BR79" s="21"/>
      <c r="BS79" s="21"/>
      <c r="BT79" s="21"/>
      <c r="BU79" s="21"/>
      <c r="BZ79" s="9"/>
      <c r="CA79" s="21"/>
      <c r="CB79" s="21"/>
      <c r="CC79" s="21"/>
      <c r="CD79" s="21"/>
      <c r="CE79" s="21"/>
      <c r="CH79" s="9"/>
      <c r="CI79" s="21"/>
      <c r="CJ79" s="21"/>
      <c r="CK79" s="21"/>
      <c r="CL79" s="21"/>
      <c r="CM79" s="21"/>
      <c r="CR79" s="9"/>
      <c r="CS79" s="21"/>
      <c r="CT79" s="21"/>
      <c r="CU79" s="21"/>
      <c r="CV79" s="21"/>
      <c r="CW79" s="21"/>
      <c r="CZ79" s="9"/>
      <c r="DA79" s="21"/>
      <c r="DB79" s="21"/>
      <c r="DC79" s="21"/>
      <c r="DD79" s="21"/>
      <c r="DE79" s="21"/>
      <c r="DJ79" s="9"/>
      <c r="DK79" s="21"/>
      <c r="DL79" s="21"/>
      <c r="DM79" s="21"/>
      <c r="DN79" s="21"/>
      <c r="DO79" s="21"/>
      <c r="DR79" s="9"/>
      <c r="DS79" s="21"/>
      <c r="DT79" s="21"/>
      <c r="DU79" s="21"/>
      <c r="DV79" s="21"/>
      <c r="DW79" s="21"/>
      <c r="EB79" s="9"/>
      <c r="EC79" s="21"/>
      <c r="ED79" s="21"/>
      <c r="EE79" s="21"/>
      <c r="EF79" s="21"/>
      <c r="EG79" s="21"/>
      <c r="EJ79" s="9"/>
      <c r="EK79" s="21"/>
      <c r="EL79" s="21"/>
      <c r="EM79" s="21"/>
      <c r="EN79" s="21"/>
      <c r="EO79" s="21"/>
      <c r="ES79" s="9"/>
      <c r="ET79" s="21"/>
      <c r="EU79" s="21"/>
      <c r="EV79" s="21"/>
      <c r="EW79" s="21"/>
      <c r="EX79" s="21"/>
      <c r="FA79" s="9"/>
      <c r="FB79" s="21"/>
      <c r="FC79" s="21"/>
      <c r="FD79" s="21"/>
      <c r="FE79" s="21"/>
      <c r="FF79" s="21"/>
    </row>
    <row r="80" spans="6:162" x14ac:dyDescent="0.25">
      <c r="F80" s="9"/>
      <c r="G80" s="21">
        <v>0.84747300000000003</v>
      </c>
      <c r="H80" s="21">
        <v>5.7202900000000003</v>
      </c>
      <c r="I80" s="24">
        <v>-4.4677700000000001E-5</v>
      </c>
      <c r="J80" s="21">
        <v>70</v>
      </c>
      <c r="K80" s="21">
        <v>0.84686300000000003</v>
      </c>
      <c r="L80">
        <f t="shared" si="12"/>
        <v>5.5157654320987654E-2</v>
      </c>
      <c r="M80">
        <f t="shared" si="13"/>
        <v>4.6744622780370372E-2</v>
      </c>
      <c r="N80" s="9"/>
      <c r="O80" s="21">
        <v>0.25253300000000001</v>
      </c>
      <c r="P80" s="21">
        <v>8.3410299999999999</v>
      </c>
      <c r="Q80" s="24">
        <v>-5.3924600000000002E-5</v>
      </c>
      <c r="R80" s="21">
        <v>70</v>
      </c>
      <c r="S80" s="21">
        <v>0.25216699999999997</v>
      </c>
      <c r="T80">
        <f t="shared" si="14"/>
        <v>6.657358024691358E-2</v>
      </c>
      <c r="U80">
        <f t="shared" si="15"/>
        <v>1.6812025940493826E-2</v>
      </c>
      <c r="X80" s="9"/>
      <c r="Y80" s="21">
        <v>0.84747300000000003</v>
      </c>
      <c r="Z80" s="21">
        <v>12.701499999999999</v>
      </c>
      <c r="AA80" s="24">
        <v>-4.29993E-5</v>
      </c>
      <c r="AB80" s="21">
        <v>70</v>
      </c>
      <c r="AC80" s="21">
        <v>0.84655800000000003</v>
      </c>
      <c r="AD80">
        <f t="shared" si="16"/>
        <v>5.3085555555555552E-2</v>
      </c>
      <c r="AE80">
        <f t="shared" si="17"/>
        <v>4.4988575023333331E-2</v>
      </c>
      <c r="AF80" s="9"/>
      <c r="AG80" s="21">
        <v>0.25253300000000001</v>
      </c>
      <c r="AH80" s="21">
        <v>15.3222</v>
      </c>
      <c r="AI80" s="24">
        <v>-5.1452600000000003E-5</v>
      </c>
      <c r="AJ80" s="21">
        <v>70</v>
      </c>
      <c r="AK80" s="21">
        <v>0.25216699999999997</v>
      </c>
      <c r="AL80">
        <f t="shared" si="18"/>
        <v>6.3521728395061733E-2</v>
      </c>
      <c r="AM80">
        <f t="shared" si="19"/>
        <v>1.6041332636790126E-2</v>
      </c>
      <c r="AP80" s="9"/>
      <c r="AQ80" s="21">
        <v>0.84747300000000003</v>
      </c>
      <c r="AR80" s="21">
        <v>19.624600000000001</v>
      </c>
      <c r="AS80" s="24">
        <v>-4.0954600000000003E-5</v>
      </c>
      <c r="AT80" s="21">
        <v>70</v>
      </c>
      <c r="AU80" s="21">
        <v>0.846252</v>
      </c>
      <c r="AV80">
        <f t="shared" si="20"/>
        <v>5.0561234567901236E-2</v>
      </c>
      <c r="AW80">
        <f t="shared" si="21"/>
        <v>4.2849281142962964E-2</v>
      </c>
      <c r="AX80" s="9"/>
      <c r="AY80" s="21">
        <v>0.25253300000000001</v>
      </c>
      <c r="AZ80" s="21">
        <v>22.2454</v>
      </c>
      <c r="BA80" s="24">
        <v>-4.9804700000000001E-5</v>
      </c>
      <c r="BB80" s="21">
        <v>70</v>
      </c>
      <c r="BC80" s="21">
        <v>0.25222800000000001</v>
      </c>
      <c r="BD80">
        <f t="shared" si="22"/>
        <v>6.1487283950617283E-2</v>
      </c>
      <c r="BE80">
        <f t="shared" si="23"/>
        <v>1.5527568277901235E-2</v>
      </c>
      <c r="BH80" s="9"/>
      <c r="BI80" s="21"/>
      <c r="BJ80" s="21"/>
      <c r="BK80" s="21"/>
      <c r="BL80" s="21"/>
      <c r="BM80" s="21"/>
      <c r="BP80" s="9"/>
      <c r="BQ80" s="21"/>
      <c r="BR80" s="21"/>
      <c r="BS80" s="21"/>
      <c r="BT80" s="21"/>
      <c r="BU80" s="21"/>
      <c r="BZ80" s="9"/>
      <c r="CA80" s="21"/>
      <c r="CB80" s="21"/>
      <c r="CC80" s="21"/>
      <c r="CD80" s="21"/>
      <c r="CE80" s="21"/>
      <c r="CH80" s="9"/>
      <c r="CI80" s="21"/>
      <c r="CJ80" s="21"/>
      <c r="CK80" s="21"/>
      <c r="CL80" s="21"/>
      <c r="CM80" s="21"/>
      <c r="CR80" s="9"/>
      <c r="CS80" s="21"/>
      <c r="CT80" s="21"/>
      <c r="CU80" s="21"/>
      <c r="CV80" s="21"/>
      <c r="CW80" s="21"/>
      <c r="CZ80" s="9"/>
      <c r="DA80" s="21"/>
      <c r="DB80" s="21"/>
      <c r="DC80" s="21"/>
      <c r="DD80" s="21"/>
      <c r="DE80" s="21"/>
      <c r="DJ80" s="9"/>
      <c r="DK80" s="21"/>
      <c r="DL80" s="21"/>
      <c r="DM80" s="21"/>
      <c r="DN80" s="21"/>
      <c r="DO80" s="21"/>
      <c r="DR80" s="9"/>
      <c r="DS80" s="21"/>
      <c r="DT80" s="21"/>
      <c r="DU80" s="21"/>
      <c r="DV80" s="21"/>
      <c r="DW80" s="21"/>
      <c r="EB80" s="9"/>
      <c r="EC80" s="21"/>
      <c r="ED80" s="21"/>
      <c r="EE80" s="21"/>
      <c r="EF80" s="21"/>
      <c r="EG80" s="21"/>
      <c r="EJ80" s="9"/>
      <c r="EK80" s="21"/>
      <c r="EL80" s="21"/>
      <c r="EM80" s="21"/>
      <c r="EN80" s="21"/>
      <c r="EO80" s="21"/>
      <c r="ES80" s="9"/>
      <c r="ET80" s="21"/>
      <c r="EU80" s="21"/>
      <c r="EV80" s="21"/>
      <c r="EW80" s="21"/>
      <c r="EX80" s="21"/>
      <c r="FA80" s="9"/>
      <c r="FB80" s="21"/>
      <c r="FC80" s="21"/>
      <c r="FD80" s="21"/>
      <c r="FE80" s="21"/>
      <c r="FF80" s="21"/>
    </row>
    <row r="81" spans="6:162" x14ac:dyDescent="0.25">
      <c r="F81" s="9"/>
      <c r="G81" s="21">
        <v>0.84243800000000002</v>
      </c>
      <c r="H81" s="21">
        <v>5.7303600000000001</v>
      </c>
      <c r="I81" s="24">
        <v>-4.5043899999999997E-5</v>
      </c>
      <c r="J81" s="21">
        <v>71</v>
      </c>
      <c r="K81" s="21">
        <v>0.84136999999999995</v>
      </c>
      <c r="L81">
        <f t="shared" si="12"/>
        <v>5.5609753086419744E-2</v>
      </c>
      <c r="M81">
        <f t="shared" si="13"/>
        <v>4.6847769170617275E-2</v>
      </c>
      <c r="N81" s="9"/>
      <c r="O81" s="21">
        <v>0.25756800000000002</v>
      </c>
      <c r="P81" s="21">
        <v>8.3511000000000006</v>
      </c>
      <c r="Q81" s="24">
        <v>-5.37415E-5</v>
      </c>
      <c r="R81" s="21">
        <v>71</v>
      </c>
      <c r="S81" s="21">
        <v>0.25726300000000002</v>
      </c>
      <c r="T81">
        <f t="shared" si="14"/>
        <v>6.6347530864197521E-2</v>
      </c>
      <c r="U81">
        <f t="shared" si="15"/>
        <v>1.7089000829629629E-2</v>
      </c>
      <c r="X81" s="9"/>
      <c r="Y81" s="21">
        <v>0.84243800000000002</v>
      </c>
      <c r="Z81" s="21">
        <v>12.711499999999999</v>
      </c>
      <c r="AA81" s="24">
        <v>-4.3273899999999999E-5</v>
      </c>
      <c r="AB81" s="21">
        <v>71</v>
      </c>
      <c r="AC81" s="21">
        <v>0.84167499999999995</v>
      </c>
      <c r="AD81">
        <f t="shared" si="16"/>
        <v>5.3424567901234565E-2</v>
      </c>
      <c r="AE81">
        <f t="shared" si="17"/>
        <v>4.5006886133580247E-2</v>
      </c>
      <c r="AF81" s="9"/>
      <c r="AG81" s="21">
        <v>0.25756800000000002</v>
      </c>
      <c r="AH81" s="21">
        <v>15.3323</v>
      </c>
      <c r="AI81" s="24">
        <v>-5.1177999999999997E-5</v>
      </c>
      <c r="AJ81" s="21">
        <v>71</v>
      </c>
      <c r="AK81" s="21">
        <v>0.25726300000000002</v>
      </c>
      <c r="AL81">
        <f t="shared" si="18"/>
        <v>6.3182716049382706E-2</v>
      </c>
      <c r="AM81">
        <f t="shared" si="19"/>
        <v>1.6273845807407407E-2</v>
      </c>
      <c r="AP81" s="9"/>
      <c r="AQ81" s="21">
        <v>0.84243800000000002</v>
      </c>
      <c r="AR81" s="21">
        <v>19.634699999999999</v>
      </c>
      <c r="AS81" s="24">
        <v>-4.1137699999999997E-5</v>
      </c>
      <c r="AT81" s="21">
        <v>71</v>
      </c>
      <c r="AU81" s="21">
        <v>0.84197999999999995</v>
      </c>
      <c r="AV81">
        <f t="shared" si="20"/>
        <v>5.0787283950617275E-2</v>
      </c>
      <c r="AW81">
        <f t="shared" si="21"/>
        <v>4.2785137916790117E-2</v>
      </c>
      <c r="AX81" s="9"/>
      <c r="AY81" s="21">
        <v>0.25756800000000002</v>
      </c>
      <c r="AZ81" s="21">
        <v>22.255500000000001</v>
      </c>
      <c r="BA81" s="24">
        <v>-4.95911E-5</v>
      </c>
      <c r="BB81" s="21">
        <v>71</v>
      </c>
      <c r="BC81" s="21">
        <v>0.25729400000000002</v>
      </c>
      <c r="BD81">
        <f t="shared" si="22"/>
        <v>6.122358024691358E-2</v>
      </c>
      <c r="BE81">
        <f t="shared" si="23"/>
        <v>1.5769235117037039E-2</v>
      </c>
      <c r="BH81" s="9"/>
      <c r="BI81" s="21"/>
      <c r="BJ81" s="21"/>
      <c r="BK81" s="21"/>
      <c r="BL81" s="21"/>
      <c r="BM81" s="21"/>
      <c r="BP81" s="9"/>
      <c r="BQ81" s="21"/>
      <c r="BR81" s="21"/>
      <c r="BS81" s="21"/>
      <c r="BT81" s="21"/>
      <c r="BU81" s="21"/>
      <c r="BZ81" s="9"/>
      <c r="CA81" s="21"/>
      <c r="CB81" s="21"/>
      <c r="CC81" s="21"/>
      <c r="CD81" s="21"/>
      <c r="CE81" s="21"/>
      <c r="CH81" s="9"/>
      <c r="CI81" s="21"/>
      <c r="CJ81" s="21"/>
      <c r="CK81" s="21"/>
      <c r="CL81" s="21"/>
      <c r="CM81" s="21"/>
      <c r="CR81" s="9"/>
      <c r="CS81" s="21"/>
      <c r="CT81" s="21"/>
      <c r="CU81" s="21"/>
      <c r="CV81" s="21"/>
      <c r="CW81" s="21"/>
      <c r="CZ81" s="9"/>
      <c r="DA81" s="21"/>
      <c r="DB81" s="21"/>
      <c r="DC81" s="21"/>
      <c r="DD81" s="21"/>
      <c r="DE81" s="21"/>
      <c r="DJ81" s="9"/>
      <c r="DK81" s="21"/>
      <c r="DL81" s="21"/>
      <c r="DM81" s="21"/>
      <c r="DN81" s="21"/>
      <c r="DO81" s="21"/>
      <c r="DR81" s="9"/>
      <c r="DS81" s="21"/>
      <c r="DT81" s="21"/>
      <c r="DU81" s="21"/>
      <c r="DV81" s="21"/>
      <c r="DW81" s="21"/>
      <c r="EB81" s="9"/>
      <c r="EC81" s="21"/>
      <c r="ED81" s="21"/>
      <c r="EE81" s="21"/>
      <c r="EF81" s="21"/>
      <c r="EG81" s="21"/>
      <c r="EJ81" s="9"/>
      <c r="EK81" s="21"/>
      <c r="EL81" s="21"/>
      <c r="EM81" s="21"/>
      <c r="EN81" s="21"/>
      <c r="EO81" s="21"/>
      <c r="ES81" s="9"/>
      <c r="ET81" s="21"/>
      <c r="EU81" s="21"/>
      <c r="EV81" s="21"/>
      <c r="EW81" s="21"/>
      <c r="EX81" s="21"/>
      <c r="FA81" s="9"/>
      <c r="FB81" s="21"/>
      <c r="FC81" s="21"/>
      <c r="FD81" s="21"/>
      <c r="FE81" s="21"/>
      <c r="FF81" s="21"/>
    </row>
    <row r="82" spans="6:162" x14ac:dyDescent="0.25">
      <c r="F82" s="9"/>
      <c r="G82" s="21">
        <v>0.83740199999999998</v>
      </c>
      <c r="H82" s="21">
        <v>5.7404299999999999</v>
      </c>
      <c r="I82" s="24">
        <v>-4.5410200000000001E-5</v>
      </c>
      <c r="J82" s="21">
        <v>72</v>
      </c>
      <c r="K82" s="21">
        <v>0.83709699999999998</v>
      </c>
      <c r="L82">
        <f t="shared" si="12"/>
        <v>5.6061975308641973E-2</v>
      </c>
      <c r="M82">
        <f t="shared" si="13"/>
        <v>4.6946410247407401E-2</v>
      </c>
      <c r="N82" s="9"/>
      <c r="O82" s="21">
        <v>0.262604</v>
      </c>
      <c r="P82" s="21">
        <v>8.3611699999999995</v>
      </c>
      <c r="Q82" s="24">
        <v>-5.3619399999999997E-5</v>
      </c>
      <c r="R82" s="21">
        <v>72</v>
      </c>
      <c r="S82" s="21">
        <v>0.26232899999999998</v>
      </c>
      <c r="T82">
        <f t="shared" si="14"/>
        <v>6.6196790123456778E-2</v>
      </c>
      <c r="U82">
        <f t="shared" si="15"/>
        <v>1.7383541873580245E-2</v>
      </c>
      <c r="X82" s="9"/>
      <c r="Y82" s="21">
        <v>0.83740199999999998</v>
      </c>
      <c r="Z82" s="21">
        <v>12.7216</v>
      </c>
      <c r="AA82" s="24">
        <v>-4.3609599999999997E-5</v>
      </c>
      <c r="AB82" s="21">
        <v>72</v>
      </c>
      <c r="AC82" s="21">
        <v>0.83679199999999998</v>
      </c>
      <c r="AD82">
        <f t="shared" si="16"/>
        <v>5.3839012345679005E-2</v>
      </c>
      <c r="AE82">
        <f t="shared" si="17"/>
        <v>4.5084896616296291E-2</v>
      </c>
      <c r="AF82" s="9"/>
      <c r="AG82" s="21">
        <v>0.262604</v>
      </c>
      <c r="AH82" s="21">
        <v>15.3423</v>
      </c>
      <c r="AI82" s="24">
        <v>-5.1086399999999999E-5</v>
      </c>
      <c r="AJ82" s="21">
        <v>72</v>
      </c>
      <c r="AK82" s="21">
        <v>0.262268</v>
      </c>
      <c r="AL82">
        <f t="shared" si="18"/>
        <v>6.3069629629629614E-2</v>
      </c>
      <c r="AM82">
        <f t="shared" si="19"/>
        <v>1.6562337019259254E-2</v>
      </c>
      <c r="AP82" s="9"/>
      <c r="AQ82" s="21">
        <v>0.83740199999999998</v>
      </c>
      <c r="AR82" s="21">
        <v>19.6448</v>
      </c>
      <c r="AS82" s="24">
        <v>-4.1442900000000003E-5</v>
      </c>
      <c r="AT82" s="21">
        <v>72</v>
      </c>
      <c r="AU82" s="21">
        <v>0.83618199999999998</v>
      </c>
      <c r="AV82">
        <f t="shared" si="20"/>
        <v>5.1164074074074077E-2</v>
      </c>
      <c r="AW82">
        <f t="shared" si="21"/>
        <v>4.2844897957777781E-2</v>
      </c>
      <c r="AX82" s="9"/>
      <c r="AY82" s="21">
        <v>0.262604</v>
      </c>
      <c r="AZ82" s="21">
        <v>22.265499999999999</v>
      </c>
      <c r="BA82" s="24">
        <v>-4.9438499999999998E-5</v>
      </c>
      <c r="BB82" s="21">
        <v>72</v>
      </c>
      <c r="BC82" s="21">
        <v>0.26217699999999999</v>
      </c>
      <c r="BD82">
        <f t="shared" si="22"/>
        <v>6.1035185185185178E-2</v>
      </c>
      <c r="BE82">
        <f t="shared" si="23"/>
        <v>1.602808377037037E-2</v>
      </c>
      <c r="BH82" s="9"/>
      <c r="BI82" s="21"/>
      <c r="BJ82" s="21"/>
      <c r="BK82" s="21"/>
      <c r="BL82" s="21"/>
      <c r="BM82" s="21"/>
      <c r="BP82" s="9"/>
      <c r="BQ82" s="21"/>
      <c r="BR82" s="21"/>
      <c r="BS82" s="21"/>
      <c r="BT82" s="21"/>
      <c r="BU82" s="21"/>
      <c r="BZ82" s="9"/>
      <c r="CA82" s="21"/>
      <c r="CB82" s="21"/>
      <c r="CC82" s="21"/>
      <c r="CD82" s="21"/>
      <c r="CE82" s="21"/>
      <c r="CH82" s="9"/>
      <c r="CI82" s="21"/>
      <c r="CJ82" s="21"/>
      <c r="CK82" s="21"/>
      <c r="CL82" s="21"/>
      <c r="CM82" s="21"/>
      <c r="CR82" s="9"/>
      <c r="CS82" s="21"/>
      <c r="CT82" s="21"/>
      <c r="CU82" s="21"/>
      <c r="CV82" s="21"/>
      <c r="CW82" s="21"/>
      <c r="CZ82" s="9"/>
      <c r="DA82" s="21"/>
      <c r="DB82" s="21"/>
      <c r="DC82" s="21"/>
      <c r="DD82" s="21"/>
      <c r="DE82" s="21"/>
      <c r="DJ82" s="9"/>
      <c r="DK82" s="21"/>
      <c r="DL82" s="21"/>
      <c r="DM82" s="21"/>
      <c r="DN82" s="21"/>
      <c r="DO82" s="21"/>
      <c r="DR82" s="9"/>
      <c r="DS82" s="21"/>
      <c r="DT82" s="21"/>
      <c r="DU82" s="21"/>
      <c r="DV82" s="21"/>
      <c r="DW82" s="21"/>
      <c r="EB82" s="9"/>
      <c r="EC82" s="21"/>
      <c r="ED82" s="21"/>
      <c r="EE82" s="21"/>
      <c r="EF82" s="21"/>
      <c r="EG82" s="21"/>
      <c r="EJ82" s="9"/>
      <c r="EK82" s="21"/>
      <c r="EL82" s="21"/>
      <c r="EM82" s="21"/>
      <c r="EN82" s="21"/>
      <c r="EO82" s="21"/>
      <c r="ES82" s="9"/>
      <c r="ET82" s="21"/>
      <c r="EU82" s="21"/>
      <c r="EV82" s="21"/>
      <c r="EW82" s="21"/>
      <c r="EX82" s="21"/>
      <c r="FA82" s="9"/>
      <c r="FB82" s="21"/>
      <c r="FC82" s="21"/>
      <c r="FD82" s="21"/>
      <c r="FE82" s="21"/>
      <c r="FF82" s="21"/>
    </row>
    <row r="83" spans="6:162" x14ac:dyDescent="0.25">
      <c r="F83" s="9"/>
      <c r="G83" s="21">
        <v>0.83236699999999997</v>
      </c>
      <c r="H83" s="21">
        <v>5.7504999999999997</v>
      </c>
      <c r="I83" s="24">
        <v>-4.5593300000000003E-5</v>
      </c>
      <c r="J83" s="21">
        <v>73</v>
      </c>
      <c r="K83" s="21">
        <v>0.83160400000000001</v>
      </c>
      <c r="L83">
        <f t="shared" si="12"/>
        <v>5.6288024691358018E-2</v>
      </c>
      <c r="M83">
        <f t="shared" si="13"/>
        <v>4.68522942482716E-2</v>
      </c>
      <c r="N83" s="9"/>
      <c r="O83" s="21">
        <v>0.26763900000000002</v>
      </c>
      <c r="P83" s="21">
        <v>8.3712400000000002</v>
      </c>
      <c r="Q83" s="24">
        <v>-5.3558299999999998E-5</v>
      </c>
      <c r="R83" s="21">
        <v>73</v>
      </c>
      <c r="S83" s="21">
        <v>0.26733400000000002</v>
      </c>
      <c r="T83">
        <f t="shared" si="14"/>
        <v>6.6121358024691351E-2</v>
      </c>
      <c r="U83">
        <f t="shared" si="15"/>
        <v>1.7696654140370371E-2</v>
      </c>
      <c r="X83" s="9"/>
      <c r="Y83" s="21">
        <v>0.83236699999999997</v>
      </c>
      <c r="Z83" s="21">
        <v>12.7317</v>
      </c>
      <c r="AA83" s="24">
        <v>-4.3823199999999997E-5</v>
      </c>
      <c r="AB83" s="21">
        <v>73</v>
      </c>
      <c r="AC83" s="21">
        <v>0.83129900000000001</v>
      </c>
      <c r="AD83">
        <f t="shared" si="16"/>
        <v>5.4102716049382708E-2</v>
      </c>
      <c r="AE83">
        <f t="shared" si="17"/>
        <v>4.5033315449876536E-2</v>
      </c>
      <c r="AF83" s="9"/>
      <c r="AG83" s="21">
        <v>0.26763900000000002</v>
      </c>
      <c r="AH83" s="21">
        <v>15.352399999999999</v>
      </c>
      <c r="AI83" s="24">
        <v>-5.1025400000000001E-5</v>
      </c>
      <c r="AJ83" s="21">
        <v>73</v>
      </c>
      <c r="AK83" s="21">
        <v>0.26733400000000002</v>
      </c>
      <c r="AL83">
        <f t="shared" si="18"/>
        <v>6.2994320987654312E-2</v>
      </c>
      <c r="AM83">
        <f t="shared" si="19"/>
        <v>1.6859737074814814E-2</v>
      </c>
      <c r="AP83" s="9"/>
      <c r="AQ83" s="21">
        <v>0.83236699999999997</v>
      </c>
      <c r="AR83" s="21">
        <v>19.654900000000001</v>
      </c>
      <c r="AS83" s="24">
        <v>-4.1564899999999999E-5</v>
      </c>
      <c r="AT83" s="21">
        <v>73</v>
      </c>
      <c r="AU83" s="21">
        <v>0.83190900000000001</v>
      </c>
      <c r="AV83">
        <f t="shared" si="20"/>
        <v>5.1314691358024689E-2</v>
      </c>
      <c r="AW83">
        <f t="shared" si="21"/>
        <v>4.2712655701604936E-2</v>
      </c>
      <c r="AX83" s="9"/>
      <c r="AY83" s="21">
        <v>0.26763900000000002</v>
      </c>
      <c r="AZ83" s="21">
        <v>22.275600000000001</v>
      </c>
      <c r="BA83" s="24">
        <v>-4.9224899999999997E-5</v>
      </c>
      <c r="BB83" s="21">
        <v>73</v>
      </c>
      <c r="BC83" s="21">
        <v>0.26733400000000002</v>
      </c>
      <c r="BD83">
        <f t="shared" si="22"/>
        <v>6.0771481481481475E-2</v>
      </c>
      <c r="BE83">
        <f t="shared" si="23"/>
        <v>1.6264818532222221E-2</v>
      </c>
      <c r="BH83" s="9"/>
      <c r="BI83" s="21"/>
      <c r="BJ83" s="21"/>
      <c r="BK83" s="21"/>
      <c r="BL83" s="21"/>
      <c r="BM83" s="21"/>
      <c r="BP83" s="9"/>
      <c r="BQ83" s="21"/>
      <c r="BR83" s="21"/>
      <c r="BS83" s="21"/>
      <c r="BT83" s="21"/>
      <c r="BU83" s="21"/>
      <c r="BZ83" s="9"/>
      <c r="CA83" s="21"/>
      <c r="CB83" s="21"/>
      <c r="CC83" s="21"/>
      <c r="CD83" s="21"/>
      <c r="CE83" s="21"/>
      <c r="CH83" s="9"/>
      <c r="CI83" s="21"/>
      <c r="CJ83" s="21"/>
      <c r="CK83" s="21"/>
      <c r="CL83" s="21"/>
      <c r="CM83" s="21"/>
      <c r="CR83" s="9"/>
      <c r="CS83" s="21"/>
      <c r="CT83" s="21"/>
      <c r="CU83" s="21"/>
      <c r="CV83" s="21"/>
      <c r="CW83" s="21"/>
      <c r="CZ83" s="9"/>
      <c r="DA83" s="21"/>
      <c r="DB83" s="21"/>
      <c r="DC83" s="21"/>
      <c r="DD83" s="21"/>
      <c r="DE83" s="21"/>
      <c r="DJ83" s="9"/>
      <c r="DK83" s="21"/>
      <c r="DL83" s="21"/>
      <c r="DM83" s="21"/>
      <c r="DN83" s="21"/>
      <c r="DO83" s="21"/>
      <c r="DR83" s="9"/>
      <c r="DS83" s="21"/>
      <c r="DT83" s="21"/>
      <c r="DU83" s="21"/>
      <c r="DV83" s="21"/>
      <c r="DW83" s="21"/>
      <c r="EB83" s="9"/>
      <c r="EC83" s="21"/>
      <c r="ED83" s="21"/>
      <c r="EE83" s="21"/>
      <c r="EF83" s="21"/>
      <c r="EG83" s="21"/>
      <c r="EJ83" s="9"/>
      <c r="EK83" s="21"/>
      <c r="EL83" s="21"/>
      <c r="EM83" s="21"/>
      <c r="EN83" s="21"/>
      <c r="EO83" s="21"/>
      <c r="ES83" s="9"/>
      <c r="ET83" s="21"/>
      <c r="EU83" s="21"/>
      <c r="EV83" s="21"/>
      <c r="EW83" s="21"/>
      <c r="EX83" s="21"/>
      <c r="FA83" s="9"/>
      <c r="FB83" s="21"/>
      <c r="FC83" s="21"/>
      <c r="FD83" s="21"/>
      <c r="FE83" s="21"/>
      <c r="FF83" s="21"/>
    </row>
    <row r="84" spans="6:162" x14ac:dyDescent="0.25">
      <c r="F84" s="9"/>
      <c r="G84" s="21">
        <v>0.82733199999999996</v>
      </c>
      <c r="H84" s="21">
        <v>5.7605700000000004</v>
      </c>
      <c r="I84" s="24">
        <v>-4.6112100000000002E-5</v>
      </c>
      <c r="J84" s="21">
        <v>74</v>
      </c>
      <c r="K84" s="21">
        <v>0.82672100000000004</v>
      </c>
      <c r="L84">
        <f t="shared" si="12"/>
        <v>5.6928518518518517E-2</v>
      </c>
      <c r="M84">
        <f t="shared" si="13"/>
        <v>4.709878508296296E-2</v>
      </c>
      <c r="N84" s="9"/>
      <c r="O84" s="21">
        <v>0.272675</v>
      </c>
      <c r="P84" s="21">
        <v>8.3813099999999991</v>
      </c>
      <c r="Q84" s="24">
        <v>-5.3344699999999998E-5</v>
      </c>
      <c r="R84" s="21">
        <v>74</v>
      </c>
      <c r="S84" s="21">
        <v>0.272339</v>
      </c>
      <c r="T84">
        <f t="shared" si="14"/>
        <v>6.5857654320987641E-2</v>
      </c>
      <c r="U84">
        <f t="shared" si="15"/>
        <v>1.7957735891975305E-2</v>
      </c>
      <c r="X84" s="9"/>
      <c r="Y84" s="21">
        <v>0.82733199999999996</v>
      </c>
      <c r="Z84" s="21">
        <v>12.7417</v>
      </c>
      <c r="AA84" s="24">
        <v>-4.4036899999999998E-5</v>
      </c>
      <c r="AB84" s="21">
        <v>74</v>
      </c>
      <c r="AC84" s="21">
        <v>0.82672100000000004</v>
      </c>
      <c r="AD84">
        <f t="shared" si="16"/>
        <v>5.4366543209876536E-2</v>
      </c>
      <c r="AE84">
        <f t="shared" si="17"/>
        <v>4.4979180926913574E-2</v>
      </c>
      <c r="AF84" s="9"/>
      <c r="AG84" s="21">
        <v>0.272675</v>
      </c>
      <c r="AH84" s="21">
        <v>15.362500000000001</v>
      </c>
      <c r="AI84" s="24">
        <v>-5.0964400000000003E-5</v>
      </c>
      <c r="AJ84" s="21">
        <v>74</v>
      </c>
      <c r="AK84" s="21">
        <v>0.27230799999999999</v>
      </c>
      <c r="AL84">
        <f t="shared" si="18"/>
        <v>6.291901234567901E-2</v>
      </c>
      <c r="AM84">
        <f t="shared" si="19"/>
        <v>1.7156441691358024E-2</v>
      </c>
      <c r="AP84" s="9"/>
      <c r="AQ84" s="21">
        <v>0.82733199999999996</v>
      </c>
      <c r="AR84" s="21">
        <v>19.664899999999999</v>
      </c>
      <c r="AS84" s="24">
        <v>-4.1748000000000001E-5</v>
      </c>
      <c r="AT84" s="21">
        <v>74</v>
      </c>
      <c r="AU84" s="21">
        <v>0.82641600000000004</v>
      </c>
      <c r="AV84">
        <f t="shared" si="20"/>
        <v>5.1540740740740734E-2</v>
      </c>
      <c r="AW84">
        <f t="shared" si="21"/>
        <v>4.2641304118518512E-2</v>
      </c>
      <c r="AX84" s="9"/>
      <c r="AY84" s="21">
        <v>0.272675</v>
      </c>
      <c r="AZ84" s="21">
        <v>22.285699999999999</v>
      </c>
      <c r="BA84" s="24">
        <v>-4.9163799999999998E-5</v>
      </c>
      <c r="BB84" s="21">
        <v>74</v>
      </c>
      <c r="BC84" s="21">
        <v>0.27227800000000002</v>
      </c>
      <c r="BD84">
        <f t="shared" si="22"/>
        <v>6.0696049382716048E-2</v>
      </c>
      <c r="BE84">
        <f t="shared" si="23"/>
        <v>1.65502952654321E-2</v>
      </c>
      <c r="BH84" s="9"/>
      <c r="BI84" s="21"/>
      <c r="BJ84" s="21"/>
      <c r="BK84" s="21"/>
      <c r="BL84" s="21"/>
      <c r="BM84" s="21"/>
      <c r="BP84" s="9"/>
      <c r="BQ84" s="21"/>
      <c r="BR84" s="21"/>
      <c r="BS84" s="21"/>
      <c r="BT84" s="21"/>
      <c r="BU84" s="21"/>
      <c r="BZ84" s="9"/>
      <c r="CA84" s="21"/>
      <c r="CB84" s="21"/>
      <c r="CC84" s="21"/>
      <c r="CD84" s="21"/>
      <c r="CE84" s="21"/>
      <c r="CH84" s="9"/>
      <c r="CI84" s="21"/>
      <c r="CJ84" s="21"/>
      <c r="CK84" s="21"/>
      <c r="CL84" s="21"/>
      <c r="CM84" s="21"/>
      <c r="CR84" s="9"/>
      <c r="CS84" s="21"/>
      <c r="CT84" s="21"/>
      <c r="CU84" s="21"/>
      <c r="CV84" s="21"/>
      <c r="CW84" s="21"/>
      <c r="CZ84" s="9"/>
      <c r="DA84" s="21"/>
      <c r="DB84" s="21"/>
      <c r="DC84" s="21"/>
      <c r="DD84" s="21"/>
      <c r="DE84" s="21"/>
      <c r="DJ84" s="9"/>
      <c r="DK84" s="21"/>
      <c r="DL84" s="21"/>
      <c r="DM84" s="21"/>
      <c r="DN84" s="21"/>
      <c r="DO84" s="21"/>
      <c r="DR84" s="9"/>
      <c r="DS84" s="21"/>
      <c r="DT84" s="21"/>
      <c r="DU84" s="21"/>
      <c r="DV84" s="21"/>
      <c r="DW84" s="21"/>
      <c r="EB84" s="9"/>
      <c r="EC84" s="21"/>
      <c r="ED84" s="21"/>
      <c r="EE84" s="21"/>
      <c r="EF84" s="21"/>
      <c r="EG84" s="21"/>
      <c r="EJ84" s="9"/>
      <c r="EK84" s="21"/>
      <c r="EL84" s="21"/>
      <c r="EM84" s="21"/>
      <c r="EN84" s="21"/>
      <c r="EO84" s="21"/>
      <c r="ES84" s="9"/>
      <c r="ET84" s="21"/>
      <c r="EU84" s="21"/>
      <c r="EV84" s="21"/>
      <c r="EW84" s="21"/>
      <c r="EX84" s="21"/>
      <c r="FA84" s="9"/>
      <c r="FB84" s="21"/>
      <c r="FC84" s="21"/>
      <c r="FD84" s="21"/>
      <c r="FE84" s="21"/>
      <c r="FF84" s="21"/>
    </row>
    <row r="85" spans="6:162" x14ac:dyDescent="0.25">
      <c r="F85" s="9"/>
      <c r="G85" s="21">
        <v>0.82229600000000003</v>
      </c>
      <c r="H85" s="21">
        <v>5.7706400000000002</v>
      </c>
      <c r="I85" s="24">
        <v>-4.6386700000000001E-5</v>
      </c>
      <c r="J85" s="21">
        <v>75</v>
      </c>
      <c r="K85" s="21">
        <v>0.82122799999999996</v>
      </c>
      <c r="L85">
        <f t="shared" si="12"/>
        <v>5.726753086419753E-2</v>
      </c>
      <c r="M85">
        <f t="shared" si="13"/>
        <v>4.7090861559506175E-2</v>
      </c>
      <c r="N85" s="9"/>
      <c r="O85" s="21">
        <v>0.27771000000000001</v>
      </c>
      <c r="P85" s="21">
        <v>8.3913799999999998</v>
      </c>
      <c r="Q85" s="24">
        <v>-5.3314199999999999E-5</v>
      </c>
      <c r="R85" s="21">
        <v>75</v>
      </c>
      <c r="S85" s="21">
        <v>0.27734399999999998</v>
      </c>
      <c r="T85">
        <f t="shared" si="14"/>
        <v>6.581999999999999E-2</v>
      </c>
      <c r="U85">
        <f t="shared" si="15"/>
        <v>1.8278872199999997E-2</v>
      </c>
      <c r="X85" s="9"/>
      <c r="Y85" s="21">
        <v>0.82229600000000003</v>
      </c>
      <c r="Z85" s="21">
        <v>12.751799999999999</v>
      </c>
      <c r="AA85" s="24">
        <v>-4.4189500000000001E-5</v>
      </c>
      <c r="AB85" s="21">
        <v>75</v>
      </c>
      <c r="AC85" s="21">
        <v>0.82183799999999996</v>
      </c>
      <c r="AD85">
        <f t="shared" si="16"/>
        <v>5.4554938271604937E-2</v>
      </c>
      <c r="AE85">
        <f t="shared" si="17"/>
        <v>4.4860307520987658E-2</v>
      </c>
      <c r="AF85" s="9"/>
      <c r="AG85" s="21">
        <v>0.27771000000000001</v>
      </c>
      <c r="AH85" s="21">
        <v>15.3726</v>
      </c>
      <c r="AI85" s="24">
        <v>-5.0659199999999998E-5</v>
      </c>
      <c r="AJ85" s="21">
        <v>75</v>
      </c>
      <c r="AK85" s="21">
        <v>0.27740500000000001</v>
      </c>
      <c r="AL85">
        <f t="shared" si="18"/>
        <v>6.2542222222222221E-2</v>
      </c>
      <c r="AM85">
        <f t="shared" si="19"/>
        <v>1.7368600533333334E-2</v>
      </c>
      <c r="AP85" s="9"/>
      <c r="AQ85" s="21">
        <v>0.82229600000000003</v>
      </c>
      <c r="AR85" s="21">
        <v>19.675000000000001</v>
      </c>
      <c r="AS85" s="24">
        <v>-4.1992200000000001E-5</v>
      </c>
      <c r="AT85" s="21">
        <v>75</v>
      </c>
      <c r="AU85" s="21">
        <v>0.82153299999999996</v>
      </c>
      <c r="AV85">
        <f t="shared" si="20"/>
        <v>5.184222222222222E-2</v>
      </c>
      <c r="AW85">
        <f t="shared" si="21"/>
        <v>4.2629651964444445E-2</v>
      </c>
      <c r="AX85" s="9"/>
      <c r="AY85" s="21">
        <v>0.27771000000000001</v>
      </c>
      <c r="AZ85" s="21">
        <v>22.2957</v>
      </c>
      <c r="BA85" s="24">
        <v>-4.9011200000000003E-5</v>
      </c>
      <c r="BB85" s="21">
        <v>75</v>
      </c>
      <c r="BC85" s="21">
        <v>0.27740500000000001</v>
      </c>
      <c r="BD85">
        <f t="shared" si="22"/>
        <v>6.0507654320987654E-2</v>
      </c>
      <c r="BE85">
        <f t="shared" si="23"/>
        <v>1.6803580681481481E-2</v>
      </c>
      <c r="BH85" s="9"/>
      <c r="BI85" s="21"/>
      <c r="BJ85" s="21"/>
      <c r="BK85" s="21"/>
      <c r="BL85" s="21"/>
      <c r="BM85" s="21"/>
      <c r="BP85" s="9"/>
      <c r="BQ85" s="21"/>
      <c r="BR85" s="21"/>
      <c r="BS85" s="21"/>
      <c r="BT85" s="21"/>
      <c r="BU85" s="21"/>
      <c r="BZ85" s="9"/>
      <c r="CA85" s="21"/>
      <c r="CB85" s="21"/>
      <c r="CC85" s="21"/>
      <c r="CD85" s="21"/>
      <c r="CE85" s="21"/>
      <c r="CH85" s="9"/>
      <c r="CI85" s="21"/>
      <c r="CJ85" s="21"/>
      <c r="CK85" s="21"/>
      <c r="CL85" s="21"/>
      <c r="CM85" s="21"/>
      <c r="CR85" s="9"/>
      <c r="CS85" s="21"/>
      <c r="CT85" s="21"/>
      <c r="CU85" s="21"/>
      <c r="CV85" s="21"/>
      <c r="CW85" s="21"/>
      <c r="CZ85" s="9"/>
      <c r="DA85" s="21"/>
      <c r="DB85" s="21"/>
      <c r="DC85" s="21"/>
      <c r="DD85" s="21"/>
      <c r="DE85" s="21"/>
      <c r="DJ85" s="9"/>
      <c r="DK85" s="21"/>
      <c r="DL85" s="21"/>
      <c r="DM85" s="21"/>
      <c r="DN85" s="21"/>
      <c r="DO85" s="21"/>
      <c r="DR85" s="9"/>
      <c r="DS85" s="21"/>
      <c r="DT85" s="21"/>
      <c r="DU85" s="21"/>
      <c r="DV85" s="21"/>
      <c r="DW85" s="21"/>
      <c r="EB85" s="9"/>
      <c r="EC85" s="21"/>
      <c r="ED85" s="21"/>
      <c r="EE85" s="21"/>
      <c r="EF85" s="21"/>
      <c r="EG85" s="21"/>
      <c r="EJ85" s="9"/>
      <c r="EK85" s="21"/>
      <c r="EL85" s="21"/>
      <c r="EM85" s="21"/>
      <c r="EN85" s="21"/>
      <c r="EO85" s="21"/>
      <c r="ES85" s="9"/>
      <c r="ET85" s="21"/>
      <c r="EU85" s="21"/>
      <c r="EV85" s="21"/>
      <c r="EW85" s="21"/>
      <c r="EX85" s="21"/>
      <c r="FA85" s="9"/>
      <c r="FB85" s="21"/>
      <c r="FC85" s="21"/>
      <c r="FD85" s="21"/>
      <c r="FE85" s="21"/>
      <c r="FF85" s="21"/>
    </row>
    <row r="86" spans="6:162" x14ac:dyDescent="0.25">
      <c r="F86" s="9"/>
      <c r="G86" s="21">
        <v>0.81726100000000002</v>
      </c>
      <c r="H86" s="21">
        <v>5.7807199999999996</v>
      </c>
      <c r="I86" s="24">
        <v>-4.6722399999999998E-5</v>
      </c>
      <c r="J86" s="21">
        <v>76</v>
      </c>
      <c r="K86" s="21">
        <v>0.81603999999999999</v>
      </c>
      <c r="L86">
        <f t="shared" si="12"/>
        <v>5.768197530864197E-2</v>
      </c>
      <c r="M86">
        <f t="shared" si="13"/>
        <v>4.7141228822716048E-2</v>
      </c>
      <c r="N86" s="9"/>
      <c r="O86" s="21">
        <v>0.28274500000000002</v>
      </c>
      <c r="P86" s="21">
        <v>8.4014600000000002</v>
      </c>
      <c r="Q86" s="24">
        <v>-5.3100599999999998E-5</v>
      </c>
      <c r="R86" s="21">
        <v>76</v>
      </c>
      <c r="S86" s="21">
        <v>0.28240999999999999</v>
      </c>
      <c r="T86">
        <f t="shared" si="14"/>
        <v>6.5556296296296293E-2</v>
      </c>
      <c r="U86">
        <f t="shared" si="15"/>
        <v>1.8535714996296297E-2</v>
      </c>
      <c r="X86" s="9"/>
      <c r="Y86" s="21">
        <v>0.81726100000000002</v>
      </c>
      <c r="Z86" s="21">
        <v>12.761900000000001</v>
      </c>
      <c r="AA86" s="24">
        <v>-4.4311499999999997E-5</v>
      </c>
      <c r="AB86" s="21">
        <v>76</v>
      </c>
      <c r="AC86" s="21">
        <v>0.81603999999999999</v>
      </c>
      <c r="AD86">
        <f t="shared" si="16"/>
        <v>5.4705555555555549E-2</v>
      </c>
      <c r="AE86">
        <f t="shared" si="17"/>
        <v>4.4708717038888887E-2</v>
      </c>
      <c r="AF86" s="9"/>
      <c r="AG86" s="21">
        <v>0.28274500000000002</v>
      </c>
      <c r="AH86" s="21">
        <v>15.3826</v>
      </c>
      <c r="AI86" s="24">
        <v>-5.0506600000000002E-5</v>
      </c>
      <c r="AJ86" s="21">
        <v>76</v>
      </c>
      <c r="AK86" s="21">
        <v>0.28240999999999999</v>
      </c>
      <c r="AL86">
        <f t="shared" si="18"/>
        <v>6.2353827160493834E-2</v>
      </c>
      <c r="AM86">
        <f t="shared" si="19"/>
        <v>1.7630232860493832E-2</v>
      </c>
      <c r="AP86" s="9"/>
      <c r="AQ86" s="21">
        <v>0.81726100000000002</v>
      </c>
      <c r="AR86" s="21">
        <v>19.685099999999998</v>
      </c>
      <c r="AS86" s="24">
        <v>-4.2144799999999997E-5</v>
      </c>
      <c r="AT86" s="21">
        <v>76</v>
      </c>
      <c r="AU86" s="21">
        <v>0.81634499999999999</v>
      </c>
      <c r="AV86">
        <f t="shared" si="20"/>
        <v>5.2030617283950607E-2</v>
      </c>
      <c r="AW86">
        <f t="shared" si="21"/>
        <v>4.252259431209876E-2</v>
      </c>
      <c r="AX86" s="9"/>
      <c r="AY86" s="21">
        <v>0.28274500000000002</v>
      </c>
      <c r="AZ86" s="21">
        <v>22.305800000000001</v>
      </c>
      <c r="BA86" s="24">
        <v>-4.88586E-5</v>
      </c>
      <c r="BB86" s="21">
        <v>76</v>
      </c>
      <c r="BC86" s="21">
        <v>0.28237899999999999</v>
      </c>
      <c r="BD86">
        <f t="shared" si="22"/>
        <v>6.0319259259259253E-2</v>
      </c>
      <c r="BE86">
        <f t="shared" si="23"/>
        <v>1.7054968959259259E-2</v>
      </c>
      <c r="BH86" s="9"/>
      <c r="BI86" s="21"/>
      <c r="BJ86" s="21"/>
      <c r="BK86" s="21"/>
      <c r="BL86" s="21"/>
      <c r="BM86" s="21"/>
      <c r="BP86" s="9"/>
      <c r="BQ86" s="21"/>
      <c r="BR86" s="21"/>
      <c r="BS86" s="21"/>
      <c r="BT86" s="21"/>
      <c r="BU86" s="21"/>
      <c r="BZ86" s="9"/>
      <c r="CA86" s="21"/>
      <c r="CB86" s="21"/>
      <c r="CC86" s="21"/>
      <c r="CD86" s="21"/>
      <c r="CE86" s="21"/>
      <c r="CH86" s="9"/>
      <c r="CI86" s="21"/>
      <c r="CJ86" s="21"/>
      <c r="CK86" s="21"/>
      <c r="CL86" s="21"/>
      <c r="CM86" s="21"/>
      <c r="CR86" s="9"/>
      <c r="CS86" s="21"/>
      <c r="CT86" s="21"/>
      <c r="CU86" s="21"/>
      <c r="CV86" s="21"/>
      <c r="CW86" s="21"/>
      <c r="CZ86" s="9"/>
      <c r="DA86" s="21"/>
      <c r="DB86" s="21"/>
      <c r="DC86" s="21"/>
      <c r="DD86" s="21"/>
      <c r="DE86" s="21"/>
      <c r="DJ86" s="9"/>
      <c r="DK86" s="21"/>
      <c r="DL86" s="21"/>
      <c r="DM86" s="21"/>
      <c r="DN86" s="21"/>
      <c r="DO86" s="21"/>
      <c r="DR86" s="9"/>
      <c r="DS86" s="21"/>
      <c r="DT86" s="21"/>
      <c r="DU86" s="21"/>
      <c r="DV86" s="21"/>
      <c r="DW86" s="21"/>
      <c r="EB86" s="9"/>
      <c r="EC86" s="21"/>
      <c r="ED86" s="21"/>
      <c r="EE86" s="21"/>
      <c r="EF86" s="21"/>
      <c r="EG86" s="21"/>
      <c r="EJ86" s="9"/>
      <c r="EK86" s="21"/>
      <c r="EL86" s="21"/>
      <c r="EM86" s="21"/>
      <c r="EN86" s="21"/>
      <c r="EO86" s="21"/>
      <c r="ES86" s="9"/>
      <c r="ET86" s="21"/>
      <c r="EU86" s="21"/>
      <c r="EV86" s="21"/>
      <c r="EW86" s="21"/>
      <c r="EX86" s="21"/>
      <c r="FA86" s="9"/>
      <c r="FB86" s="21"/>
      <c r="FC86" s="21"/>
      <c r="FD86" s="21"/>
      <c r="FE86" s="21"/>
      <c r="FF86" s="21"/>
    </row>
    <row r="87" spans="6:162" x14ac:dyDescent="0.25">
      <c r="F87" s="9"/>
      <c r="G87" s="21">
        <v>0.81222499999999997</v>
      </c>
      <c r="H87" s="21">
        <v>5.7907900000000003</v>
      </c>
      <c r="I87" s="24">
        <v>-4.6935999999999999E-5</v>
      </c>
      <c r="J87" s="21">
        <v>77</v>
      </c>
      <c r="K87" s="21">
        <v>0.81115700000000002</v>
      </c>
      <c r="L87">
        <f t="shared" si="12"/>
        <v>5.7945679012345673E-2</v>
      </c>
      <c r="M87">
        <f t="shared" si="13"/>
        <v>4.7064929135802465E-2</v>
      </c>
      <c r="N87" s="9"/>
      <c r="O87" s="21">
        <v>0.28778100000000001</v>
      </c>
      <c r="P87" s="21">
        <v>8.4115300000000008</v>
      </c>
      <c r="Q87" s="24">
        <v>-5.2886999999999997E-5</v>
      </c>
      <c r="R87" s="21">
        <v>77</v>
      </c>
      <c r="S87" s="21">
        <v>0.28750599999999998</v>
      </c>
      <c r="T87">
        <f t="shared" si="14"/>
        <v>6.5292592592592583E-2</v>
      </c>
      <c r="U87">
        <f t="shared" si="15"/>
        <v>1.8789967588888887E-2</v>
      </c>
      <c r="X87" s="9"/>
      <c r="Y87" s="21">
        <v>0.81222499999999997</v>
      </c>
      <c r="Z87" s="21">
        <v>12.772</v>
      </c>
      <c r="AA87" s="24">
        <v>-4.4616700000000003E-5</v>
      </c>
      <c r="AB87" s="21">
        <v>77</v>
      </c>
      <c r="AC87" s="21">
        <v>0.81176800000000005</v>
      </c>
      <c r="AD87">
        <f t="shared" si="16"/>
        <v>5.5082345679012344E-2</v>
      </c>
      <c r="AE87">
        <f t="shared" si="17"/>
        <v>4.4739258219135797E-2</v>
      </c>
      <c r="AF87" s="9"/>
      <c r="AG87" s="21">
        <v>0.28778100000000001</v>
      </c>
      <c r="AH87" s="21">
        <v>15.3927</v>
      </c>
      <c r="AI87" s="24">
        <v>-5.0262500000000002E-5</v>
      </c>
      <c r="AJ87" s="21">
        <v>77</v>
      </c>
      <c r="AK87" s="21">
        <v>0.28750599999999998</v>
      </c>
      <c r="AL87">
        <f t="shared" si="18"/>
        <v>6.2052469135802465E-2</v>
      </c>
      <c r="AM87">
        <f t="shared" si="19"/>
        <v>1.7857521620370371E-2</v>
      </c>
      <c r="AP87" s="9"/>
      <c r="AQ87" s="21">
        <v>0.81222499999999997</v>
      </c>
      <c r="AR87" s="21">
        <v>19.6951</v>
      </c>
      <c r="AS87" s="24">
        <v>-4.2358399999999997E-5</v>
      </c>
      <c r="AT87" s="21">
        <v>77</v>
      </c>
      <c r="AU87" s="21">
        <v>0.81176800000000005</v>
      </c>
      <c r="AV87">
        <f t="shared" si="20"/>
        <v>5.2294320987654318E-2</v>
      </c>
      <c r="AW87">
        <f t="shared" si="21"/>
        <v>4.2474754864197529E-2</v>
      </c>
      <c r="AX87" s="9"/>
      <c r="AY87" s="21">
        <v>0.28778100000000001</v>
      </c>
      <c r="AZ87" s="21">
        <v>22.315899999999999</v>
      </c>
      <c r="BA87" s="24">
        <v>-4.8736599999999997E-5</v>
      </c>
      <c r="BB87" s="21">
        <v>77</v>
      </c>
      <c r="BC87" s="21">
        <v>0.28747600000000001</v>
      </c>
      <c r="BD87">
        <f t="shared" si="22"/>
        <v>6.0168641975308634E-2</v>
      </c>
      <c r="BE87">
        <f t="shared" si="23"/>
        <v>1.7315391956296295E-2</v>
      </c>
      <c r="BH87" s="9"/>
      <c r="BI87" s="21"/>
      <c r="BJ87" s="21"/>
      <c r="BK87" s="21"/>
      <c r="BL87" s="21"/>
      <c r="BM87" s="21"/>
      <c r="BP87" s="9"/>
      <c r="BQ87" s="21"/>
      <c r="BR87" s="21"/>
      <c r="BS87" s="21"/>
      <c r="BT87" s="21"/>
      <c r="BU87" s="21"/>
      <c r="BZ87" s="9"/>
      <c r="CA87" s="21"/>
      <c r="CB87" s="21"/>
      <c r="CC87" s="21"/>
      <c r="CD87" s="21"/>
      <c r="CE87" s="21"/>
      <c r="CH87" s="9"/>
      <c r="CI87" s="21"/>
      <c r="CJ87" s="21"/>
      <c r="CK87" s="21"/>
      <c r="CL87" s="21"/>
      <c r="CM87" s="21"/>
      <c r="CR87" s="9"/>
      <c r="CS87" s="21"/>
      <c r="CT87" s="21"/>
      <c r="CU87" s="21"/>
      <c r="CV87" s="21"/>
      <c r="CW87" s="21"/>
      <c r="CZ87" s="9"/>
      <c r="DA87" s="21"/>
      <c r="DB87" s="21"/>
      <c r="DC87" s="21"/>
      <c r="DD87" s="21"/>
      <c r="DE87" s="21"/>
      <c r="DJ87" s="9"/>
      <c r="DK87" s="21"/>
      <c r="DL87" s="21"/>
      <c r="DM87" s="21"/>
      <c r="DN87" s="21"/>
      <c r="DO87" s="21"/>
      <c r="DR87" s="9"/>
      <c r="DS87" s="21"/>
      <c r="DT87" s="21"/>
      <c r="DU87" s="21"/>
      <c r="DV87" s="21"/>
      <c r="DW87" s="21"/>
      <c r="EB87" s="9"/>
      <c r="EC87" s="21"/>
      <c r="ED87" s="21"/>
      <c r="EE87" s="21"/>
      <c r="EF87" s="21"/>
      <c r="EG87" s="21"/>
      <c r="EJ87" s="9"/>
      <c r="EK87" s="21"/>
      <c r="EL87" s="21"/>
      <c r="EM87" s="21"/>
      <c r="EN87" s="21"/>
      <c r="EO87" s="21"/>
      <c r="ES87" s="9"/>
      <c r="ET87" s="21"/>
      <c r="EU87" s="21"/>
      <c r="EV87" s="21"/>
      <c r="EW87" s="21"/>
      <c r="EX87" s="21"/>
      <c r="FA87" s="9"/>
      <c r="FB87" s="21"/>
      <c r="FC87" s="21"/>
      <c r="FD87" s="21"/>
      <c r="FE87" s="21"/>
      <c r="FF87" s="21"/>
    </row>
    <row r="88" spans="6:162" x14ac:dyDescent="0.25">
      <c r="F88" s="9"/>
      <c r="G88" s="21">
        <v>0.80718999999999996</v>
      </c>
      <c r="H88" s="21">
        <v>5.8008600000000001</v>
      </c>
      <c r="I88" s="24">
        <v>-4.7332800000000002E-5</v>
      </c>
      <c r="J88" s="21">
        <v>78</v>
      </c>
      <c r="K88" s="21">
        <v>0.80657999999999996</v>
      </c>
      <c r="L88">
        <f t="shared" si="12"/>
        <v>5.8435555555555553E-2</v>
      </c>
      <c r="M88">
        <f t="shared" si="13"/>
        <v>4.7168596088888883E-2</v>
      </c>
      <c r="N88" s="9"/>
      <c r="O88" s="21">
        <v>0.29281600000000002</v>
      </c>
      <c r="P88" s="21">
        <v>8.4215999999999998</v>
      </c>
      <c r="Q88" s="24">
        <v>-5.2703900000000002E-5</v>
      </c>
      <c r="R88" s="21">
        <v>78</v>
      </c>
      <c r="S88" s="21">
        <v>0.29241899999999998</v>
      </c>
      <c r="T88">
        <f t="shared" si="14"/>
        <v>6.5066543209876537E-2</v>
      </c>
      <c r="U88">
        <f t="shared" si="15"/>
        <v>1.9052524916543211E-2</v>
      </c>
      <c r="X88" s="9"/>
      <c r="Y88" s="21">
        <v>0.80718999999999996</v>
      </c>
      <c r="Z88" s="21">
        <v>12.782</v>
      </c>
      <c r="AA88" s="24">
        <v>-4.4769299999999998E-5</v>
      </c>
      <c r="AB88" s="21">
        <v>78</v>
      </c>
      <c r="AC88" s="21">
        <v>0.80627400000000005</v>
      </c>
      <c r="AD88">
        <f t="shared" si="16"/>
        <v>5.5270740740740738E-2</v>
      </c>
      <c r="AE88">
        <f t="shared" si="17"/>
        <v>4.4613989218518516E-2</v>
      </c>
      <c r="AF88" s="9"/>
      <c r="AG88" s="21">
        <v>0.29281600000000002</v>
      </c>
      <c r="AH88" s="21">
        <v>15.402799999999999</v>
      </c>
      <c r="AI88" s="24">
        <v>-5.00793E-5</v>
      </c>
      <c r="AJ88" s="21">
        <v>78</v>
      </c>
      <c r="AK88" s="21">
        <v>0.29251100000000002</v>
      </c>
      <c r="AL88">
        <f t="shared" si="18"/>
        <v>6.1826296296296296E-2</v>
      </c>
      <c r="AM88">
        <f t="shared" si="19"/>
        <v>1.8103728776296298E-2</v>
      </c>
      <c r="AP88" s="9"/>
      <c r="AQ88" s="21">
        <v>0.80718999999999996</v>
      </c>
      <c r="AR88" s="21">
        <v>19.705200000000001</v>
      </c>
      <c r="AS88" s="24">
        <v>-4.2633099999999997E-5</v>
      </c>
      <c r="AT88" s="21">
        <v>78</v>
      </c>
      <c r="AU88" s="21">
        <v>0.80627400000000005</v>
      </c>
      <c r="AV88">
        <f t="shared" si="20"/>
        <v>5.2633456790123448E-2</v>
      </c>
      <c r="AW88">
        <f t="shared" si="21"/>
        <v>4.2485199986419746E-2</v>
      </c>
      <c r="AX88" s="9"/>
      <c r="AY88" s="21">
        <v>0.29281600000000002</v>
      </c>
      <c r="AZ88" s="21">
        <v>22.326000000000001</v>
      </c>
      <c r="BA88" s="24">
        <v>-4.8522900000000003E-5</v>
      </c>
      <c r="BB88" s="21">
        <v>78</v>
      </c>
      <c r="BC88" s="21">
        <v>0.29254200000000002</v>
      </c>
      <c r="BD88">
        <f t="shared" si="22"/>
        <v>5.9904814814814814E-2</v>
      </c>
      <c r="BE88">
        <f t="shared" si="23"/>
        <v>1.7541088254814815E-2</v>
      </c>
      <c r="BH88" s="9"/>
      <c r="BI88" s="21"/>
      <c r="BJ88" s="21"/>
      <c r="BK88" s="21"/>
      <c r="BL88" s="21"/>
      <c r="BM88" s="21"/>
      <c r="BP88" s="9"/>
      <c r="BQ88" s="21"/>
      <c r="BR88" s="21"/>
      <c r="BS88" s="21"/>
      <c r="BT88" s="21"/>
      <c r="BU88" s="21"/>
      <c r="BZ88" s="9"/>
      <c r="CA88" s="21"/>
      <c r="CB88" s="21"/>
      <c r="CC88" s="21"/>
      <c r="CD88" s="21"/>
      <c r="CE88" s="21"/>
      <c r="CH88" s="9"/>
      <c r="CI88" s="21"/>
      <c r="CJ88" s="21"/>
      <c r="CK88" s="21"/>
      <c r="CL88" s="21"/>
      <c r="CM88" s="21"/>
      <c r="CR88" s="9"/>
      <c r="CS88" s="21"/>
      <c r="CT88" s="21"/>
      <c r="CU88" s="21"/>
      <c r="CV88" s="21"/>
      <c r="CW88" s="21"/>
      <c r="CZ88" s="9"/>
      <c r="DA88" s="21"/>
      <c r="DB88" s="21"/>
      <c r="DC88" s="21"/>
      <c r="DD88" s="21"/>
      <c r="DE88" s="21"/>
      <c r="DJ88" s="9"/>
      <c r="DK88" s="21"/>
      <c r="DL88" s="21"/>
      <c r="DM88" s="21"/>
      <c r="DN88" s="21"/>
      <c r="DO88" s="21"/>
      <c r="DR88" s="9"/>
      <c r="DS88" s="21"/>
      <c r="DT88" s="21"/>
      <c r="DU88" s="21"/>
      <c r="DV88" s="21"/>
      <c r="DW88" s="21"/>
      <c r="EB88" s="9"/>
      <c r="EC88" s="21"/>
      <c r="ED88" s="21"/>
      <c r="EE88" s="21"/>
      <c r="EF88" s="21"/>
      <c r="EG88" s="21"/>
      <c r="EJ88" s="9"/>
      <c r="EK88" s="21"/>
      <c r="EL88" s="21"/>
      <c r="EM88" s="21"/>
      <c r="EN88" s="21"/>
      <c r="EO88" s="21"/>
      <c r="ES88" s="9"/>
      <c r="ET88" s="21"/>
      <c r="EU88" s="21"/>
      <c r="EV88" s="21"/>
      <c r="EW88" s="21"/>
      <c r="EX88" s="21"/>
      <c r="FA88" s="9"/>
      <c r="FB88" s="21"/>
      <c r="FC88" s="21"/>
      <c r="FD88" s="21"/>
      <c r="FE88" s="21"/>
      <c r="FF88" s="21"/>
    </row>
    <row r="89" spans="6:162" x14ac:dyDescent="0.25">
      <c r="F89" s="9"/>
      <c r="G89" s="21">
        <v>0.80215499999999995</v>
      </c>
      <c r="H89" s="21">
        <v>5.8109299999999999</v>
      </c>
      <c r="I89" s="24">
        <v>-4.7546400000000003E-5</v>
      </c>
      <c r="J89" s="21">
        <v>79</v>
      </c>
      <c r="K89" s="21">
        <v>0.80108599999999996</v>
      </c>
      <c r="L89">
        <f t="shared" si="12"/>
        <v>5.8699259259259257E-2</v>
      </c>
      <c r="M89">
        <f t="shared" si="13"/>
        <v>4.7085904311111107E-2</v>
      </c>
      <c r="N89" s="9"/>
      <c r="O89" s="21">
        <v>0.29785200000000001</v>
      </c>
      <c r="P89" s="21">
        <v>8.4316700000000004</v>
      </c>
      <c r="Q89" s="24">
        <v>-5.2673300000000003E-5</v>
      </c>
      <c r="R89" s="21">
        <v>79</v>
      </c>
      <c r="S89" s="21">
        <v>0.297516</v>
      </c>
      <c r="T89">
        <f t="shared" si="14"/>
        <v>6.5028765432098762E-2</v>
      </c>
      <c r="U89">
        <f t="shared" si="15"/>
        <v>1.9368947841481479E-2</v>
      </c>
      <c r="X89" s="9"/>
      <c r="Y89" s="21">
        <v>0.80215499999999995</v>
      </c>
      <c r="Z89" s="21">
        <v>12.7921</v>
      </c>
      <c r="AA89" s="24">
        <v>-4.4982899999999999E-5</v>
      </c>
      <c r="AB89" s="21">
        <v>79</v>
      </c>
      <c r="AC89" s="21">
        <v>0.80139199999999999</v>
      </c>
      <c r="AD89">
        <f t="shared" si="16"/>
        <v>5.5534444444444435E-2</v>
      </c>
      <c r="AE89">
        <f t="shared" si="17"/>
        <v>4.4547232283333321E-2</v>
      </c>
      <c r="AF89" s="9"/>
      <c r="AG89" s="21">
        <v>0.29785200000000001</v>
      </c>
      <c r="AH89" s="21">
        <v>15.412800000000001</v>
      </c>
      <c r="AI89" s="24">
        <v>-4.9865699999999999E-5</v>
      </c>
      <c r="AJ89" s="21">
        <v>79</v>
      </c>
      <c r="AK89" s="21">
        <v>0.29754599999999998</v>
      </c>
      <c r="AL89">
        <f t="shared" si="18"/>
        <v>6.1562592592592578E-2</v>
      </c>
      <c r="AM89">
        <f t="shared" si="19"/>
        <v>1.8336541328888886E-2</v>
      </c>
      <c r="AP89" s="9"/>
      <c r="AQ89" s="21">
        <v>0.80215499999999995</v>
      </c>
      <c r="AR89" s="21">
        <v>19.715299999999999</v>
      </c>
      <c r="AS89" s="24">
        <v>-4.2785599999999999E-5</v>
      </c>
      <c r="AT89" s="21">
        <v>79</v>
      </c>
      <c r="AU89" s="21">
        <v>0.80078099999999997</v>
      </c>
      <c r="AV89">
        <f t="shared" si="20"/>
        <v>5.2821728395061725E-2</v>
      </c>
      <c r="AW89">
        <f t="shared" si="21"/>
        <v>4.2371213540740735E-2</v>
      </c>
      <c r="AX89" s="9"/>
      <c r="AY89" s="21">
        <v>0.29785200000000001</v>
      </c>
      <c r="AZ89" s="21">
        <v>22.335999999999999</v>
      </c>
      <c r="BA89" s="24">
        <v>-4.83704E-5</v>
      </c>
      <c r="BB89" s="21">
        <v>79</v>
      </c>
      <c r="BC89" s="21">
        <v>0.29757699999999998</v>
      </c>
      <c r="BD89">
        <f t="shared" si="22"/>
        <v>5.9716543209876537E-2</v>
      </c>
      <c r="BE89">
        <f t="shared" si="23"/>
        <v>1.7786691828148148E-2</v>
      </c>
      <c r="BH89" s="9"/>
      <c r="BI89" s="21"/>
      <c r="BJ89" s="21"/>
      <c r="BK89" s="21"/>
      <c r="BL89" s="21"/>
      <c r="BM89" s="21"/>
      <c r="BP89" s="9"/>
      <c r="BQ89" s="21"/>
      <c r="BR89" s="21"/>
      <c r="BS89" s="21"/>
      <c r="BT89" s="21"/>
      <c r="BU89" s="21"/>
      <c r="BZ89" s="9"/>
      <c r="CA89" s="21"/>
      <c r="CB89" s="21"/>
      <c r="CC89" s="21"/>
      <c r="CD89" s="21"/>
      <c r="CE89" s="21"/>
      <c r="CH89" s="9"/>
      <c r="CI89" s="21"/>
      <c r="CJ89" s="21"/>
      <c r="CK89" s="21"/>
      <c r="CL89" s="21"/>
      <c r="CM89" s="21"/>
      <c r="CR89" s="9"/>
      <c r="CS89" s="21"/>
      <c r="CT89" s="21"/>
      <c r="CU89" s="21"/>
      <c r="CV89" s="21"/>
      <c r="CW89" s="21"/>
      <c r="CZ89" s="9"/>
      <c r="DA89" s="21"/>
      <c r="DB89" s="21"/>
      <c r="DC89" s="21"/>
      <c r="DD89" s="21"/>
      <c r="DE89" s="21"/>
      <c r="DJ89" s="9"/>
      <c r="DK89" s="21"/>
      <c r="DL89" s="21"/>
      <c r="DM89" s="21"/>
      <c r="DN89" s="21"/>
      <c r="DO89" s="21"/>
      <c r="DR89" s="9"/>
      <c r="DS89" s="21"/>
      <c r="DT89" s="21"/>
      <c r="DU89" s="21"/>
      <c r="DV89" s="21"/>
      <c r="DW89" s="21"/>
      <c r="EB89" s="9"/>
      <c r="EC89" s="21"/>
      <c r="ED89" s="21"/>
      <c r="EE89" s="21"/>
      <c r="EF89" s="21"/>
      <c r="EG89" s="21"/>
      <c r="EJ89" s="9"/>
      <c r="EK89" s="21"/>
      <c r="EL89" s="21"/>
      <c r="EM89" s="21"/>
      <c r="EN89" s="21"/>
      <c r="EO89" s="21"/>
      <c r="ES89" s="9"/>
      <c r="ET89" s="21"/>
      <c r="EU89" s="21"/>
      <c r="EV89" s="21"/>
      <c r="EW89" s="21"/>
      <c r="EX89" s="21"/>
      <c r="FA89" s="9"/>
      <c r="FB89" s="21"/>
      <c r="FC89" s="21"/>
      <c r="FD89" s="21"/>
      <c r="FE89" s="21"/>
      <c r="FF89" s="21"/>
    </row>
    <row r="90" spans="6:162" x14ac:dyDescent="0.25">
      <c r="F90" s="9"/>
      <c r="G90" s="21">
        <v>0.79711900000000002</v>
      </c>
      <c r="H90" s="21">
        <v>5.8209999999999997</v>
      </c>
      <c r="I90" s="24">
        <v>-4.7851600000000001E-5</v>
      </c>
      <c r="J90" s="21">
        <v>80</v>
      </c>
      <c r="K90" s="21">
        <v>0.79589799999999999</v>
      </c>
      <c r="L90">
        <f t="shared" si="12"/>
        <v>5.9076049382716045E-2</v>
      </c>
      <c r="M90">
        <f t="shared" si="13"/>
        <v>4.7090641407901229E-2</v>
      </c>
      <c r="N90" s="9"/>
      <c r="O90" s="21">
        <v>0.30288700000000002</v>
      </c>
      <c r="P90" s="21">
        <v>8.4417399999999994</v>
      </c>
      <c r="Q90" s="24">
        <v>-5.2459700000000002E-5</v>
      </c>
      <c r="R90" s="21">
        <v>80</v>
      </c>
      <c r="S90" s="21">
        <v>0.30248999999999998</v>
      </c>
      <c r="T90">
        <f t="shared" si="14"/>
        <v>6.4765061728395051E-2</v>
      </c>
      <c r="U90">
        <f t="shared" si="15"/>
        <v>1.9616495251728393E-2</v>
      </c>
      <c r="X90" s="9"/>
      <c r="Y90" s="21">
        <v>0.79711900000000002</v>
      </c>
      <c r="Z90" s="21">
        <v>12.802199999999999</v>
      </c>
      <c r="AA90" s="24">
        <v>-4.5166000000000001E-5</v>
      </c>
      <c r="AB90" s="21">
        <v>80</v>
      </c>
      <c r="AC90" s="21">
        <v>0.79620400000000002</v>
      </c>
      <c r="AD90">
        <f t="shared" si="16"/>
        <v>5.5760493827160494E-2</v>
      </c>
      <c r="AE90">
        <f t="shared" si="17"/>
        <v>4.4447749079012347E-2</v>
      </c>
      <c r="AF90" s="9"/>
      <c r="AG90" s="21">
        <v>0.30288700000000002</v>
      </c>
      <c r="AH90" s="21">
        <v>15.4229</v>
      </c>
      <c r="AI90" s="24">
        <v>-4.9743700000000003E-5</v>
      </c>
      <c r="AJ90" s="21">
        <v>80</v>
      </c>
      <c r="AK90" s="21">
        <v>0.30258200000000002</v>
      </c>
      <c r="AL90">
        <f t="shared" si="18"/>
        <v>6.1411975308641981E-2</v>
      </c>
      <c r="AM90">
        <f t="shared" si="19"/>
        <v>1.8600888965308645E-2</v>
      </c>
      <c r="AP90" s="9"/>
      <c r="AQ90" s="21">
        <v>0.79711900000000002</v>
      </c>
      <c r="AR90" s="21">
        <v>19.7254</v>
      </c>
      <c r="AS90" s="24">
        <v>-4.29993E-5</v>
      </c>
      <c r="AT90" s="21">
        <v>80</v>
      </c>
      <c r="AU90" s="21">
        <v>0.79589799999999999</v>
      </c>
      <c r="AV90">
        <f t="shared" si="20"/>
        <v>5.3085555555555552E-2</v>
      </c>
      <c r="AW90">
        <f t="shared" si="21"/>
        <v>4.2315504958888889E-2</v>
      </c>
      <c r="AX90" s="9"/>
      <c r="AY90" s="21">
        <v>0.30288700000000002</v>
      </c>
      <c r="AZ90" s="21">
        <v>22.3461</v>
      </c>
      <c r="BA90" s="24">
        <v>-4.8248299999999997E-5</v>
      </c>
      <c r="BB90" s="21">
        <v>80</v>
      </c>
      <c r="BC90" s="21">
        <v>0.30255100000000001</v>
      </c>
      <c r="BD90">
        <f t="shared" si="22"/>
        <v>5.9565802469135794E-2</v>
      </c>
      <c r="BE90">
        <f t="shared" si="23"/>
        <v>1.8041707212469133E-2</v>
      </c>
      <c r="BH90" s="9"/>
      <c r="BI90" s="21"/>
      <c r="BJ90" s="21"/>
      <c r="BK90" s="21"/>
      <c r="BL90" s="21"/>
      <c r="BM90" s="21"/>
      <c r="BP90" s="9"/>
      <c r="BQ90" s="21"/>
      <c r="BR90" s="21"/>
      <c r="BS90" s="21"/>
      <c r="BT90" s="21"/>
      <c r="BU90" s="21"/>
      <c r="BZ90" s="9"/>
      <c r="CA90" s="21"/>
      <c r="CB90" s="21"/>
      <c r="CC90" s="21"/>
      <c r="CD90" s="21"/>
      <c r="CE90" s="21"/>
      <c r="CH90" s="9"/>
      <c r="CI90" s="21"/>
      <c r="CJ90" s="21"/>
      <c r="CK90" s="21"/>
      <c r="CL90" s="21"/>
      <c r="CM90" s="21"/>
      <c r="CR90" s="9"/>
      <c r="CS90" s="21"/>
      <c r="CT90" s="21"/>
      <c r="CU90" s="21"/>
      <c r="CV90" s="21"/>
      <c r="CW90" s="21"/>
      <c r="CZ90" s="9"/>
      <c r="DA90" s="21"/>
      <c r="DB90" s="21"/>
      <c r="DC90" s="21"/>
      <c r="DD90" s="21"/>
      <c r="DE90" s="21"/>
      <c r="DJ90" s="9"/>
      <c r="DK90" s="21"/>
      <c r="DL90" s="21"/>
      <c r="DM90" s="21"/>
      <c r="DN90" s="21"/>
      <c r="DO90" s="21"/>
      <c r="DR90" s="9"/>
      <c r="DS90" s="21"/>
      <c r="DT90" s="21"/>
      <c r="DU90" s="21"/>
      <c r="DV90" s="21"/>
      <c r="DW90" s="21"/>
      <c r="EB90" s="9"/>
      <c r="EC90" s="21"/>
      <c r="ED90" s="21"/>
      <c r="EE90" s="21"/>
      <c r="EF90" s="21"/>
      <c r="EG90" s="21"/>
      <c r="EJ90" s="9"/>
      <c r="EK90" s="21"/>
      <c r="EL90" s="21"/>
      <c r="EM90" s="21"/>
      <c r="EN90" s="21"/>
      <c r="EO90" s="21"/>
      <c r="ES90" s="9"/>
      <c r="ET90" s="21"/>
      <c r="EU90" s="21"/>
      <c r="EV90" s="21"/>
      <c r="EW90" s="21"/>
      <c r="EX90" s="21"/>
      <c r="FA90" s="9"/>
      <c r="FB90" s="21"/>
      <c r="FC90" s="21"/>
      <c r="FD90" s="21"/>
      <c r="FE90" s="21"/>
      <c r="FF90" s="21"/>
    </row>
    <row r="91" spans="6:162" x14ac:dyDescent="0.25">
      <c r="F91" s="9"/>
      <c r="G91" s="21">
        <v>0.79208400000000001</v>
      </c>
      <c r="H91" s="21">
        <v>5.8310700000000004</v>
      </c>
      <c r="I91" s="24">
        <v>-4.8065200000000002E-5</v>
      </c>
      <c r="J91" s="21">
        <v>81</v>
      </c>
      <c r="K91" s="21">
        <v>0.79162600000000005</v>
      </c>
      <c r="L91">
        <f t="shared" si="12"/>
        <v>5.9339753086419748E-2</v>
      </c>
      <c r="M91">
        <f t="shared" si="13"/>
        <v>4.7002068983703703E-2</v>
      </c>
      <c r="N91" s="9"/>
      <c r="O91" s="21">
        <v>0.30792199999999997</v>
      </c>
      <c r="P91" s="21">
        <v>8.45181</v>
      </c>
      <c r="Q91" s="24">
        <v>-5.22766E-5</v>
      </c>
      <c r="R91" s="21">
        <v>81</v>
      </c>
      <c r="S91" s="21">
        <v>0.30764799999999998</v>
      </c>
      <c r="T91">
        <f t="shared" si="14"/>
        <v>6.4539012345679006E-2</v>
      </c>
      <c r="U91">
        <f t="shared" si="15"/>
        <v>1.9872981759506168E-2</v>
      </c>
      <c r="X91" s="9"/>
      <c r="Y91" s="21">
        <v>0.79208400000000001</v>
      </c>
      <c r="Z91" s="21">
        <v>12.812200000000001</v>
      </c>
      <c r="AA91" s="24">
        <v>-4.5410200000000001E-5</v>
      </c>
      <c r="AB91" s="21">
        <v>81</v>
      </c>
      <c r="AC91" s="21">
        <v>0.79162600000000005</v>
      </c>
      <c r="AD91">
        <f t="shared" si="16"/>
        <v>5.6061975308641973E-2</v>
      </c>
      <c r="AE91">
        <f t="shared" si="17"/>
        <v>4.4405793650370368E-2</v>
      </c>
      <c r="AF91" s="9"/>
      <c r="AG91" s="21">
        <v>0.30792199999999997</v>
      </c>
      <c r="AH91" s="21">
        <v>15.433</v>
      </c>
      <c r="AI91" s="24">
        <v>-4.9560500000000001E-5</v>
      </c>
      <c r="AJ91" s="21">
        <v>81</v>
      </c>
      <c r="AK91" s="21">
        <v>0.30752600000000002</v>
      </c>
      <c r="AL91">
        <f t="shared" si="18"/>
        <v>6.1185802469135797E-2</v>
      </c>
      <c r="AM91">
        <f t="shared" si="19"/>
        <v>1.884045466790123E-2</v>
      </c>
      <c r="AP91" s="9"/>
      <c r="AQ91" s="21">
        <v>0.79208400000000001</v>
      </c>
      <c r="AR91" s="21">
        <v>19.735399999999998</v>
      </c>
      <c r="AS91" s="24">
        <v>-4.3182400000000002E-5</v>
      </c>
      <c r="AT91" s="21">
        <v>81</v>
      </c>
      <c r="AU91" s="21">
        <v>0.79132100000000005</v>
      </c>
      <c r="AV91">
        <f t="shared" si="20"/>
        <v>5.3311604938271605E-2</v>
      </c>
      <c r="AW91">
        <f t="shared" si="21"/>
        <v>4.2227269285925927E-2</v>
      </c>
      <c r="AX91" s="9"/>
      <c r="AY91" s="21">
        <v>0.30792199999999997</v>
      </c>
      <c r="AZ91" s="21">
        <v>22.356200000000001</v>
      </c>
      <c r="BA91" s="24">
        <v>-4.8065200000000002E-5</v>
      </c>
      <c r="BB91" s="21">
        <v>81</v>
      </c>
      <c r="BC91" s="21">
        <v>0.30761699999999997</v>
      </c>
      <c r="BD91">
        <f t="shared" si="22"/>
        <v>5.9339753086419748E-2</v>
      </c>
      <c r="BE91">
        <f t="shared" si="23"/>
        <v>1.8272015449876541E-2</v>
      </c>
      <c r="BH91" s="9"/>
      <c r="BI91" s="21"/>
      <c r="BJ91" s="21"/>
      <c r="BK91" s="21"/>
      <c r="BL91" s="21"/>
      <c r="BM91" s="21"/>
      <c r="BP91" s="9"/>
      <c r="BQ91" s="21"/>
      <c r="BR91" s="21"/>
      <c r="BS91" s="21"/>
      <c r="BT91" s="21"/>
      <c r="BU91" s="21"/>
      <c r="BZ91" s="9"/>
      <c r="CA91" s="21"/>
      <c r="CB91" s="21"/>
      <c r="CC91" s="21"/>
      <c r="CD91" s="21"/>
      <c r="CE91" s="21"/>
      <c r="CH91" s="9"/>
      <c r="CI91" s="21"/>
      <c r="CJ91" s="21"/>
      <c r="CK91" s="21"/>
      <c r="CL91" s="21"/>
      <c r="CM91" s="21"/>
      <c r="CR91" s="9"/>
      <c r="CS91" s="21"/>
      <c r="CT91" s="21"/>
      <c r="CU91" s="21"/>
      <c r="CV91" s="21"/>
      <c r="CW91" s="21"/>
      <c r="CZ91" s="9"/>
      <c r="DA91" s="21"/>
      <c r="DB91" s="21"/>
      <c r="DC91" s="21"/>
      <c r="DD91" s="21"/>
      <c r="DE91" s="21"/>
      <c r="DJ91" s="9"/>
      <c r="DK91" s="21"/>
      <c r="DL91" s="21"/>
      <c r="DM91" s="21"/>
      <c r="DN91" s="21"/>
      <c r="DO91" s="21"/>
      <c r="DR91" s="9"/>
      <c r="DS91" s="21"/>
      <c r="DT91" s="21"/>
      <c r="DU91" s="21"/>
      <c r="DV91" s="21"/>
      <c r="DW91" s="21"/>
      <c r="EB91" s="9"/>
      <c r="EC91" s="21"/>
      <c r="ED91" s="21"/>
      <c r="EE91" s="21"/>
      <c r="EF91" s="21"/>
      <c r="EG91" s="21"/>
      <c r="EJ91" s="9"/>
      <c r="EK91" s="21"/>
      <c r="EL91" s="21"/>
      <c r="EM91" s="21"/>
      <c r="EN91" s="21"/>
      <c r="EO91" s="21"/>
      <c r="ES91" s="9"/>
      <c r="ET91" s="21"/>
      <c r="EU91" s="21"/>
      <c r="EV91" s="21"/>
      <c r="EW91" s="21"/>
      <c r="EX91" s="21"/>
      <c r="FA91" s="9"/>
      <c r="FB91" s="21"/>
      <c r="FC91" s="21"/>
      <c r="FD91" s="21"/>
      <c r="FE91" s="21"/>
      <c r="FF91" s="21"/>
    </row>
    <row r="92" spans="6:162" x14ac:dyDescent="0.25">
      <c r="F92" s="9"/>
      <c r="G92" s="21">
        <v>0.78704799999999997</v>
      </c>
      <c r="H92" s="21">
        <v>5.8411400000000002</v>
      </c>
      <c r="I92" s="24">
        <v>-4.8339800000000001E-5</v>
      </c>
      <c r="J92" s="21">
        <v>82</v>
      </c>
      <c r="K92" s="21">
        <v>0.78643799999999997</v>
      </c>
      <c r="L92">
        <f t="shared" si="12"/>
        <v>5.9678765432098761E-2</v>
      </c>
      <c r="M92">
        <f t="shared" si="13"/>
        <v>4.6970052975802465E-2</v>
      </c>
      <c r="N92" s="9"/>
      <c r="O92" s="21">
        <v>0.31295800000000001</v>
      </c>
      <c r="P92" s="21">
        <v>8.4618800000000007</v>
      </c>
      <c r="Q92" s="24">
        <v>-5.2123999999999998E-5</v>
      </c>
      <c r="R92" s="21">
        <v>82</v>
      </c>
      <c r="S92" s="21">
        <v>0.31259199999999998</v>
      </c>
      <c r="T92">
        <f t="shared" si="14"/>
        <v>6.4350617283950598E-2</v>
      </c>
      <c r="U92">
        <f t="shared" si="15"/>
        <v>2.0139040483950613E-2</v>
      </c>
      <c r="X92" s="9"/>
      <c r="Y92" s="21">
        <v>0.78704799999999997</v>
      </c>
      <c r="Z92" s="21">
        <v>12.8223</v>
      </c>
      <c r="AA92" s="24">
        <v>-4.5623800000000002E-5</v>
      </c>
      <c r="AB92" s="21">
        <v>82</v>
      </c>
      <c r="AC92" s="21">
        <v>0.78643799999999997</v>
      </c>
      <c r="AD92">
        <f t="shared" si="16"/>
        <v>5.6325679012345677E-2</v>
      </c>
      <c r="AE92">
        <f t="shared" si="17"/>
        <v>4.4331013015308639E-2</v>
      </c>
      <c r="AF92" s="9"/>
      <c r="AG92" s="21">
        <v>0.31295800000000001</v>
      </c>
      <c r="AH92" s="21">
        <v>15.443099999999999</v>
      </c>
      <c r="AI92" s="24">
        <v>-4.9438499999999998E-5</v>
      </c>
      <c r="AJ92" s="21">
        <v>82</v>
      </c>
      <c r="AK92" s="21">
        <v>0.31265300000000001</v>
      </c>
      <c r="AL92">
        <f t="shared" si="18"/>
        <v>6.1035185185185178E-2</v>
      </c>
      <c r="AM92">
        <f t="shared" si="19"/>
        <v>1.9101449485185183E-2</v>
      </c>
      <c r="AP92" s="9"/>
      <c r="AQ92" s="21">
        <v>0.78704799999999997</v>
      </c>
      <c r="AR92" s="21">
        <v>19.7455</v>
      </c>
      <c r="AS92" s="24">
        <v>-4.34875E-5</v>
      </c>
      <c r="AT92" s="21">
        <v>82</v>
      </c>
      <c r="AU92" s="21">
        <v>0.78613299999999997</v>
      </c>
      <c r="AV92">
        <f t="shared" si="20"/>
        <v>5.3688271604938269E-2</v>
      </c>
      <c r="AW92">
        <f t="shared" si="21"/>
        <v>4.2255246790123456E-2</v>
      </c>
      <c r="AX92" s="9"/>
      <c r="AY92" s="21">
        <v>0.31295800000000001</v>
      </c>
      <c r="AZ92" s="21">
        <v>22.366199999999999</v>
      </c>
      <c r="BA92" s="24">
        <v>-4.7912599999999999E-5</v>
      </c>
      <c r="BB92" s="21">
        <v>82</v>
      </c>
      <c r="BC92" s="21">
        <v>0.31262200000000001</v>
      </c>
      <c r="BD92">
        <f t="shared" si="22"/>
        <v>5.9151358024691354E-2</v>
      </c>
      <c r="BE92">
        <f t="shared" si="23"/>
        <v>1.8511890704691357E-2</v>
      </c>
      <c r="BH92" s="9"/>
      <c r="BI92" s="21"/>
      <c r="BJ92" s="21"/>
      <c r="BK92" s="21"/>
      <c r="BL92" s="21"/>
      <c r="BM92" s="21"/>
      <c r="BP92" s="9"/>
      <c r="BQ92" s="21"/>
      <c r="BR92" s="21"/>
      <c r="BS92" s="21"/>
      <c r="BT92" s="21"/>
      <c r="BU92" s="21"/>
      <c r="BZ92" s="9"/>
      <c r="CA92" s="21"/>
      <c r="CB92" s="21"/>
      <c r="CC92" s="21"/>
      <c r="CD92" s="21"/>
      <c r="CE92" s="21"/>
      <c r="CH92" s="9"/>
      <c r="CI92" s="21"/>
      <c r="CJ92" s="21"/>
      <c r="CK92" s="21"/>
      <c r="CL92" s="21"/>
      <c r="CM92" s="21"/>
      <c r="CR92" s="9"/>
      <c r="CS92" s="21"/>
      <c r="CT92" s="21"/>
      <c r="CU92" s="21"/>
      <c r="CV92" s="21"/>
      <c r="CW92" s="21"/>
      <c r="CZ92" s="9"/>
      <c r="DA92" s="21"/>
      <c r="DB92" s="21"/>
      <c r="DC92" s="21"/>
      <c r="DD92" s="21"/>
      <c r="DE92" s="21"/>
      <c r="DJ92" s="9"/>
      <c r="DK92" s="21"/>
      <c r="DL92" s="21"/>
      <c r="DM92" s="21"/>
      <c r="DN92" s="21"/>
      <c r="DO92" s="21"/>
      <c r="DR92" s="9"/>
      <c r="DS92" s="21"/>
      <c r="DT92" s="21"/>
      <c r="DU92" s="21"/>
      <c r="DV92" s="21"/>
      <c r="DW92" s="21"/>
      <c r="EB92" s="9"/>
      <c r="EC92" s="21"/>
      <c r="ED92" s="21"/>
      <c r="EE92" s="21"/>
      <c r="EF92" s="21"/>
      <c r="EG92" s="21"/>
      <c r="EJ92" s="9"/>
      <c r="EK92" s="21"/>
      <c r="EL92" s="21"/>
      <c r="EM92" s="21"/>
      <c r="EN92" s="21"/>
      <c r="EO92" s="21"/>
      <c r="ES92" s="9"/>
      <c r="ET92" s="21"/>
      <c r="EU92" s="21"/>
      <c r="EV92" s="21"/>
      <c r="EW92" s="21"/>
      <c r="EX92" s="21"/>
      <c r="FA92" s="9"/>
      <c r="FB92" s="21"/>
      <c r="FC92" s="21"/>
      <c r="FD92" s="21"/>
      <c r="FE92" s="21"/>
      <c r="FF92" s="21"/>
    </row>
    <row r="93" spans="6:162" x14ac:dyDescent="0.25">
      <c r="F93" s="9"/>
      <c r="G93" s="21">
        <v>0.78201299999999996</v>
      </c>
      <c r="H93" s="21">
        <v>5.85121</v>
      </c>
      <c r="I93" s="24">
        <v>-4.86145E-5</v>
      </c>
      <c r="J93" s="21">
        <v>83</v>
      </c>
      <c r="K93" s="21">
        <v>0.781555</v>
      </c>
      <c r="L93">
        <f t="shared" si="12"/>
        <v>6.0017901234567898E-2</v>
      </c>
      <c r="M93">
        <f t="shared" si="13"/>
        <v>4.6934778998148144E-2</v>
      </c>
      <c r="N93" s="9"/>
      <c r="O93" s="21">
        <v>0.31799300000000003</v>
      </c>
      <c r="P93" s="21">
        <v>8.4719499999999996</v>
      </c>
      <c r="Q93" s="24">
        <v>-5.1879899999999998E-5</v>
      </c>
      <c r="R93" s="21">
        <v>83</v>
      </c>
      <c r="S93" s="21">
        <v>0.31762699999999999</v>
      </c>
      <c r="T93">
        <f t="shared" si="14"/>
        <v>6.404925925925925E-2</v>
      </c>
      <c r="U93">
        <f t="shared" si="15"/>
        <v>2.0367216099629628E-2</v>
      </c>
      <c r="X93" s="9"/>
      <c r="Y93" s="21">
        <v>0.78201299999999996</v>
      </c>
      <c r="Z93" s="21">
        <v>12.8324</v>
      </c>
      <c r="AA93" s="24">
        <v>-4.5837400000000003E-5</v>
      </c>
      <c r="AB93" s="21">
        <v>83</v>
      </c>
      <c r="AC93" s="21">
        <v>0.78125</v>
      </c>
      <c r="AD93">
        <f t="shared" si="16"/>
        <v>5.658938271604938E-2</v>
      </c>
      <c r="AE93">
        <f t="shared" si="17"/>
        <v>4.4253632945925922E-2</v>
      </c>
      <c r="AF93" s="9"/>
      <c r="AG93" s="21">
        <v>0.31799300000000003</v>
      </c>
      <c r="AH93" s="21">
        <v>15.453099999999999</v>
      </c>
      <c r="AI93" s="24">
        <v>-4.9255400000000003E-5</v>
      </c>
      <c r="AJ93" s="21">
        <v>83</v>
      </c>
      <c r="AK93" s="21">
        <v>0.31768800000000003</v>
      </c>
      <c r="AL93">
        <f t="shared" si="18"/>
        <v>6.080913580246914E-2</v>
      </c>
      <c r="AM93">
        <f t="shared" si="19"/>
        <v>1.9336879521234571E-2</v>
      </c>
      <c r="AP93" s="9"/>
      <c r="AQ93" s="21">
        <v>0.78201299999999996</v>
      </c>
      <c r="AR93" s="21">
        <v>19.755600000000001</v>
      </c>
      <c r="AS93" s="24">
        <v>-4.3609599999999997E-5</v>
      </c>
      <c r="AT93" s="21">
        <v>83</v>
      </c>
      <c r="AU93" s="21">
        <v>0.78125</v>
      </c>
      <c r="AV93">
        <f t="shared" si="20"/>
        <v>5.3839012345679005E-2</v>
      </c>
      <c r="AW93">
        <f t="shared" si="21"/>
        <v>4.2102807561481471E-2</v>
      </c>
      <c r="AX93" s="9"/>
      <c r="AY93" s="21">
        <v>0.31799300000000003</v>
      </c>
      <c r="AZ93" s="21">
        <v>22.376300000000001</v>
      </c>
      <c r="BA93" s="24">
        <v>-4.7698999999999999E-5</v>
      </c>
      <c r="BB93" s="21">
        <v>83</v>
      </c>
      <c r="BC93" s="21">
        <v>0.31759599999999999</v>
      </c>
      <c r="BD93">
        <f t="shared" si="22"/>
        <v>5.8887654320987651E-2</v>
      </c>
      <c r="BE93">
        <f t="shared" si="23"/>
        <v>1.8725861860493829E-2</v>
      </c>
      <c r="BH93" s="9"/>
      <c r="BI93" s="21"/>
      <c r="BJ93" s="21"/>
      <c r="BK93" s="21"/>
      <c r="BL93" s="21"/>
      <c r="BM93" s="21"/>
      <c r="BP93" s="9"/>
      <c r="BQ93" s="21"/>
      <c r="BR93" s="21"/>
      <c r="BS93" s="21"/>
      <c r="BT93" s="21"/>
      <c r="BU93" s="21"/>
      <c r="BZ93" s="9"/>
      <c r="CA93" s="21"/>
      <c r="CB93" s="21"/>
      <c r="CC93" s="21"/>
      <c r="CD93" s="21"/>
      <c r="CE93" s="21"/>
      <c r="CH93" s="9"/>
      <c r="CI93" s="21"/>
      <c r="CJ93" s="21"/>
      <c r="CK93" s="21"/>
      <c r="CL93" s="21"/>
      <c r="CM93" s="21"/>
      <c r="CR93" s="9"/>
      <c r="CS93" s="21"/>
      <c r="CT93" s="21"/>
      <c r="CU93" s="21"/>
      <c r="CV93" s="21"/>
      <c r="CW93" s="21"/>
      <c r="CZ93" s="9"/>
      <c r="DA93" s="21"/>
      <c r="DB93" s="21"/>
      <c r="DC93" s="21"/>
      <c r="DD93" s="21"/>
      <c r="DE93" s="21"/>
      <c r="DJ93" s="9"/>
      <c r="DK93" s="21"/>
      <c r="DL93" s="21"/>
      <c r="DM93" s="21"/>
      <c r="DN93" s="21"/>
      <c r="DO93" s="21"/>
      <c r="DR93" s="9"/>
      <c r="DS93" s="21"/>
      <c r="DT93" s="21"/>
      <c r="DU93" s="21"/>
      <c r="DV93" s="21"/>
      <c r="DW93" s="21"/>
      <c r="EB93" s="9"/>
      <c r="EC93" s="21"/>
      <c r="ED93" s="21"/>
      <c r="EE93" s="21"/>
      <c r="EF93" s="21"/>
      <c r="EG93" s="21"/>
      <c r="EJ93" s="9"/>
      <c r="EK93" s="21"/>
      <c r="EL93" s="21"/>
      <c r="EM93" s="21"/>
      <c r="EN93" s="21"/>
      <c r="EO93" s="21"/>
      <c r="ES93" s="9"/>
      <c r="ET93" s="21"/>
      <c r="EU93" s="21"/>
      <c r="EV93" s="21"/>
      <c r="EW93" s="21"/>
      <c r="EX93" s="21"/>
      <c r="FA93" s="9"/>
      <c r="FB93" s="21"/>
      <c r="FC93" s="21"/>
      <c r="FD93" s="21"/>
      <c r="FE93" s="21"/>
      <c r="FF93" s="21"/>
    </row>
    <row r="94" spans="6:162" x14ac:dyDescent="0.25">
      <c r="F94" s="9"/>
      <c r="G94" s="21">
        <v>0.77697799999999995</v>
      </c>
      <c r="H94" s="21">
        <v>5.8612799999999998</v>
      </c>
      <c r="I94" s="24">
        <v>-4.8767100000000003E-5</v>
      </c>
      <c r="J94" s="21">
        <v>84</v>
      </c>
      <c r="K94" s="21">
        <v>0.77606200000000003</v>
      </c>
      <c r="L94">
        <f t="shared" si="12"/>
        <v>6.0206296296296292E-2</v>
      </c>
      <c r="M94">
        <f t="shared" si="13"/>
        <v>4.6778967683703696E-2</v>
      </c>
      <c r="N94" s="9"/>
      <c r="O94" s="21">
        <v>0.32302900000000001</v>
      </c>
      <c r="P94" s="21">
        <v>8.4820200000000003</v>
      </c>
      <c r="Q94" s="24">
        <v>-5.17883E-5</v>
      </c>
      <c r="R94" s="21">
        <v>84</v>
      </c>
      <c r="S94" s="21">
        <v>0.322662</v>
      </c>
      <c r="T94">
        <f t="shared" si="14"/>
        <v>6.3936172839506172E-2</v>
      </c>
      <c r="U94">
        <f t="shared" si="15"/>
        <v>2.0653237976172838E-2</v>
      </c>
      <c r="X94" s="9"/>
      <c r="Y94" s="21">
        <v>0.77697799999999995</v>
      </c>
      <c r="Z94" s="21">
        <v>12.842499999999999</v>
      </c>
      <c r="AA94" s="24">
        <v>-4.5898400000000001E-5</v>
      </c>
      <c r="AB94" s="21">
        <v>84</v>
      </c>
      <c r="AC94" s="21">
        <v>0.77606200000000003</v>
      </c>
      <c r="AD94">
        <f t="shared" si="16"/>
        <v>5.6664691358024689E-2</v>
      </c>
      <c r="AE94">
        <f t="shared" si="17"/>
        <v>4.4027218561975306E-2</v>
      </c>
      <c r="AF94" s="9"/>
      <c r="AG94" s="21">
        <v>0.32302900000000001</v>
      </c>
      <c r="AH94" s="21">
        <v>15.463200000000001</v>
      </c>
      <c r="AI94" s="24">
        <v>-4.9194299999999998E-5</v>
      </c>
      <c r="AJ94" s="21">
        <v>84</v>
      </c>
      <c r="AK94" s="21">
        <v>0.32269300000000001</v>
      </c>
      <c r="AL94">
        <f t="shared" si="18"/>
        <v>6.0733703703703693E-2</v>
      </c>
      <c r="AM94">
        <f t="shared" si="19"/>
        <v>1.9618747573703701E-2</v>
      </c>
      <c r="AP94" s="9"/>
      <c r="AQ94" s="21">
        <v>0.77697799999999995</v>
      </c>
      <c r="AR94" s="21">
        <v>19.765599999999999</v>
      </c>
      <c r="AS94" s="24">
        <v>-4.3853799999999997E-5</v>
      </c>
      <c r="AT94" s="21">
        <v>84</v>
      </c>
      <c r="AU94" s="21">
        <v>0.77606200000000003</v>
      </c>
      <c r="AV94">
        <f t="shared" si="20"/>
        <v>5.4140493827160484E-2</v>
      </c>
      <c r="AW94">
        <f t="shared" si="21"/>
        <v>4.2065972612839495E-2</v>
      </c>
      <c r="AX94" s="9"/>
      <c r="AY94" s="21">
        <v>0.32302900000000001</v>
      </c>
      <c r="AZ94" s="21">
        <v>22.386399999999998</v>
      </c>
      <c r="BA94" s="24">
        <v>-4.7576900000000002E-5</v>
      </c>
      <c r="BB94" s="21">
        <v>84</v>
      </c>
      <c r="BC94" s="21">
        <v>0.322662</v>
      </c>
      <c r="BD94">
        <f t="shared" si="22"/>
        <v>5.8736913580246908E-2</v>
      </c>
      <c r="BE94">
        <f t="shared" si="23"/>
        <v>1.897372645691358E-2</v>
      </c>
      <c r="BH94" s="9"/>
      <c r="BI94" s="21"/>
      <c r="BJ94" s="21"/>
      <c r="BK94" s="21"/>
      <c r="BL94" s="21"/>
      <c r="BM94" s="21"/>
      <c r="BP94" s="9"/>
      <c r="BQ94" s="21"/>
      <c r="BR94" s="21"/>
      <c r="BS94" s="21"/>
      <c r="BT94" s="21"/>
      <c r="BU94" s="21"/>
      <c r="BZ94" s="9"/>
      <c r="CA94" s="21"/>
      <c r="CB94" s="21"/>
      <c r="CC94" s="21"/>
      <c r="CD94" s="21"/>
      <c r="CE94" s="21"/>
      <c r="CH94" s="9"/>
      <c r="CI94" s="21"/>
      <c r="CJ94" s="21"/>
      <c r="CK94" s="21"/>
      <c r="CL94" s="21"/>
      <c r="CM94" s="21"/>
      <c r="CR94" s="9"/>
      <c r="CS94" s="21"/>
      <c r="CT94" s="21"/>
      <c r="CU94" s="21"/>
      <c r="CV94" s="21"/>
      <c r="CW94" s="21"/>
      <c r="CZ94" s="9"/>
      <c r="DA94" s="21"/>
      <c r="DB94" s="21"/>
      <c r="DC94" s="21"/>
      <c r="DD94" s="21"/>
      <c r="DE94" s="21"/>
      <c r="DJ94" s="9"/>
      <c r="DK94" s="21"/>
      <c r="DL94" s="21"/>
      <c r="DM94" s="21"/>
      <c r="DN94" s="21"/>
      <c r="DO94" s="21"/>
      <c r="DR94" s="9"/>
      <c r="DS94" s="21"/>
      <c r="DT94" s="21"/>
      <c r="DU94" s="21"/>
      <c r="DV94" s="21"/>
      <c r="DW94" s="21"/>
      <c r="EB94" s="9"/>
      <c r="EC94" s="21"/>
      <c r="ED94" s="21"/>
      <c r="EE94" s="21"/>
      <c r="EF94" s="21"/>
      <c r="EG94" s="21"/>
      <c r="EJ94" s="9"/>
      <c r="EK94" s="21"/>
      <c r="EL94" s="21"/>
      <c r="EM94" s="21"/>
      <c r="EN94" s="21"/>
      <c r="EO94" s="21"/>
      <c r="ES94" s="9"/>
      <c r="ET94" s="21"/>
      <c r="EU94" s="21"/>
      <c r="EV94" s="21"/>
      <c r="EW94" s="21"/>
      <c r="EX94" s="21"/>
      <c r="FA94" s="9"/>
      <c r="FB94" s="21"/>
      <c r="FC94" s="21"/>
      <c r="FD94" s="21"/>
      <c r="FE94" s="21"/>
      <c r="FF94" s="21"/>
    </row>
    <row r="95" spans="6:162" x14ac:dyDescent="0.25">
      <c r="F95" s="9"/>
      <c r="G95" s="21">
        <v>0.77194200000000002</v>
      </c>
      <c r="H95" s="21">
        <v>5.8713499999999996</v>
      </c>
      <c r="I95" s="24">
        <v>-4.91028E-5</v>
      </c>
      <c r="J95" s="21">
        <v>85</v>
      </c>
      <c r="K95" s="21">
        <v>0.77087399999999995</v>
      </c>
      <c r="L95">
        <f t="shared" si="12"/>
        <v>6.0620740740740739E-2</v>
      </c>
      <c r="M95">
        <f t="shared" si="13"/>
        <v>4.6795695848888888E-2</v>
      </c>
      <c r="N95" s="9"/>
      <c r="O95" s="21">
        <v>0.32806400000000002</v>
      </c>
      <c r="P95" s="21">
        <v>8.4920899999999993</v>
      </c>
      <c r="Q95" s="24">
        <v>-5.1483200000000002E-5</v>
      </c>
      <c r="R95" s="21">
        <v>85</v>
      </c>
      <c r="S95" s="21">
        <v>0.32775900000000002</v>
      </c>
      <c r="T95">
        <f t="shared" si="14"/>
        <v>6.3559506172839508E-2</v>
      </c>
      <c r="U95">
        <f t="shared" si="15"/>
        <v>2.0851585833086422E-2</v>
      </c>
      <c r="X95" s="9"/>
      <c r="Y95" s="21">
        <v>0.77194200000000002</v>
      </c>
      <c r="Z95" s="21">
        <v>12.852499999999999</v>
      </c>
      <c r="AA95" s="24">
        <v>-4.5989999999999998E-5</v>
      </c>
      <c r="AB95" s="21">
        <v>85</v>
      </c>
      <c r="AC95" s="21">
        <v>0.77117899999999995</v>
      </c>
      <c r="AD95">
        <f t="shared" si="16"/>
        <v>5.6777777777777774E-2</v>
      </c>
      <c r="AE95">
        <f t="shared" si="17"/>
        <v>4.382915133333333E-2</v>
      </c>
      <c r="AF95" s="9"/>
      <c r="AG95" s="21">
        <v>0.32806400000000002</v>
      </c>
      <c r="AH95" s="21">
        <v>15.4733</v>
      </c>
      <c r="AI95" s="24">
        <v>-4.8980699999999997E-5</v>
      </c>
      <c r="AJ95" s="21">
        <v>85</v>
      </c>
      <c r="AK95" s="21">
        <v>0.32766699999999999</v>
      </c>
      <c r="AL95">
        <f t="shared" si="18"/>
        <v>6.0469999999999996E-2</v>
      </c>
      <c r="AM95">
        <f t="shared" si="19"/>
        <v>1.9838030079999999E-2</v>
      </c>
      <c r="AP95" s="9"/>
      <c r="AQ95" s="21">
        <v>0.77194200000000002</v>
      </c>
      <c r="AR95" s="21">
        <v>19.775700000000001</v>
      </c>
      <c r="AS95" s="24">
        <v>-4.4036899999999998E-5</v>
      </c>
      <c r="AT95" s="21">
        <v>85</v>
      </c>
      <c r="AU95" s="21">
        <v>0.77117899999999995</v>
      </c>
      <c r="AV95">
        <f t="shared" si="20"/>
        <v>5.4366543209876536E-2</v>
      </c>
      <c r="AW95">
        <f t="shared" si="21"/>
        <v>4.1967818098518517E-2</v>
      </c>
      <c r="AX95" s="9"/>
      <c r="AY95" s="21">
        <v>0.32806400000000002</v>
      </c>
      <c r="AZ95" s="21">
        <v>22.3965</v>
      </c>
      <c r="BA95" s="24">
        <v>-4.73938E-5</v>
      </c>
      <c r="BB95" s="21">
        <v>85</v>
      </c>
      <c r="BC95" s="21">
        <v>0.32766699999999999</v>
      </c>
      <c r="BD95">
        <f t="shared" si="22"/>
        <v>5.8510864197530855E-2</v>
      </c>
      <c r="BE95">
        <f t="shared" si="23"/>
        <v>1.9195308152098765E-2</v>
      </c>
      <c r="BH95" s="9"/>
      <c r="BI95" s="21"/>
      <c r="BJ95" s="21"/>
      <c r="BK95" s="21"/>
      <c r="BL95" s="21"/>
      <c r="BM95" s="21"/>
      <c r="BP95" s="9"/>
      <c r="BQ95" s="21"/>
      <c r="BR95" s="21"/>
      <c r="BS95" s="21"/>
      <c r="BT95" s="21"/>
      <c r="BU95" s="21"/>
      <c r="BZ95" s="9"/>
      <c r="CA95" s="21"/>
      <c r="CB95" s="21"/>
      <c r="CC95" s="21"/>
      <c r="CD95" s="21"/>
      <c r="CE95" s="21"/>
      <c r="CH95" s="9"/>
      <c r="CI95" s="21"/>
      <c r="CJ95" s="21"/>
      <c r="CK95" s="21"/>
      <c r="CL95" s="21"/>
      <c r="CM95" s="21"/>
      <c r="CR95" s="9"/>
      <c r="CS95" s="21"/>
      <c r="CT95" s="21"/>
      <c r="CU95" s="21"/>
      <c r="CV95" s="21"/>
      <c r="CW95" s="21"/>
      <c r="CZ95" s="9"/>
      <c r="DA95" s="21"/>
      <c r="DB95" s="21"/>
      <c r="DC95" s="21"/>
      <c r="DD95" s="21"/>
      <c r="DE95" s="21"/>
      <c r="DJ95" s="9"/>
      <c r="DK95" s="21"/>
      <c r="DL95" s="21"/>
      <c r="DM95" s="21"/>
      <c r="DN95" s="21"/>
      <c r="DO95" s="21"/>
      <c r="DR95" s="9"/>
      <c r="DS95" s="21"/>
      <c r="DT95" s="21"/>
      <c r="DU95" s="21"/>
      <c r="DV95" s="21"/>
      <c r="DW95" s="21"/>
      <c r="EB95" s="9"/>
      <c r="EC95" s="21"/>
      <c r="ED95" s="21"/>
      <c r="EE95" s="21"/>
      <c r="EF95" s="21"/>
      <c r="EG95" s="21"/>
      <c r="EJ95" s="9"/>
      <c r="EK95" s="21"/>
      <c r="EL95" s="21"/>
      <c r="EM95" s="21"/>
      <c r="EN95" s="21"/>
      <c r="EO95" s="21"/>
      <c r="ES95" s="9"/>
      <c r="ET95" s="21"/>
      <c r="EU95" s="21"/>
      <c r="EV95" s="21"/>
      <c r="EW95" s="21"/>
      <c r="EX95" s="21"/>
      <c r="FA95" s="9"/>
      <c r="FB95" s="21"/>
      <c r="FC95" s="21"/>
      <c r="FD95" s="21"/>
      <c r="FE95" s="21"/>
      <c r="FF95" s="21"/>
    </row>
    <row r="96" spans="6:162" x14ac:dyDescent="0.25">
      <c r="F96" s="9"/>
      <c r="G96" s="21">
        <v>0.76690700000000001</v>
      </c>
      <c r="H96" s="21">
        <v>5.8814299999999999</v>
      </c>
      <c r="I96" s="24">
        <v>-4.9377399999999999E-5</v>
      </c>
      <c r="J96" s="21">
        <v>86</v>
      </c>
      <c r="K96" s="21">
        <v>0.76599099999999998</v>
      </c>
      <c r="L96">
        <f t="shared" si="12"/>
        <v>6.0959753086419745E-2</v>
      </c>
      <c r="M96">
        <f t="shared" si="13"/>
        <v>4.6750461360246909E-2</v>
      </c>
      <c r="N96" s="9"/>
      <c r="O96" s="21">
        <v>0.33309899999999998</v>
      </c>
      <c r="P96" s="21">
        <v>8.5021699999999996</v>
      </c>
      <c r="Q96" s="24">
        <v>-5.1422099999999997E-5</v>
      </c>
      <c r="R96" s="21">
        <v>86</v>
      </c>
      <c r="S96" s="21">
        <v>0.332733</v>
      </c>
      <c r="T96">
        <f t="shared" si="14"/>
        <v>6.3484074074074068E-2</v>
      </c>
      <c r="U96">
        <f t="shared" si="15"/>
        <v>2.1146481589999995E-2</v>
      </c>
      <c r="X96" s="9"/>
      <c r="Y96" s="21">
        <v>0.76690700000000001</v>
      </c>
      <c r="Z96" s="21">
        <v>12.8626</v>
      </c>
      <c r="AA96" s="24">
        <v>-4.6203599999999999E-5</v>
      </c>
      <c r="AB96" s="21">
        <v>86</v>
      </c>
      <c r="AC96" s="21">
        <v>0.76599099999999998</v>
      </c>
      <c r="AD96">
        <f t="shared" si="16"/>
        <v>5.7041481481481478E-2</v>
      </c>
      <c r="AE96">
        <f t="shared" si="17"/>
        <v>4.3745511438518514E-2</v>
      </c>
      <c r="AF96" s="9"/>
      <c r="AG96" s="21">
        <v>0.33309899999999998</v>
      </c>
      <c r="AH96" s="21">
        <v>15.4833</v>
      </c>
      <c r="AI96" s="24">
        <v>-4.8828100000000001E-5</v>
      </c>
      <c r="AJ96" s="21">
        <v>86</v>
      </c>
      <c r="AK96" s="21">
        <v>0.33270300000000003</v>
      </c>
      <c r="AL96">
        <f t="shared" si="18"/>
        <v>6.0281604938271602E-2</v>
      </c>
      <c r="AM96">
        <f t="shared" si="19"/>
        <v>2.007974232333333E-2</v>
      </c>
      <c r="AP96" s="9"/>
      <c r="AQ96" s="21">
        <v>0.76690700000000001</v>
      </c>
      <c r="AR96" s="21">
        <v>19.785799999999998</v>
      </c>
      <c r="AS96" s="24">
        <v>-4.4189500000000001E-5</v>
      </c>
      <c r="AT96" s="21">
        <v>86</v>
      </c>
      <c r="AU96" s="21">
        <v>0.76568599999999998</v>
      </c>
      <c r="AV96">
        <f t="shared" si="20"/>
        <v>5.4554938271604937E-2</v>
      </c>
      <c r="AW96">
        <f t="shared" si="21"/>
        <v>4.1838564045061727E-2</v>
      </c>
      <c r="AX96" s="9"/>
      <c r="AY96" s="21">
        <v>0.33309899999999998</v>
      </c>
      <c r="AZ96" s="21">
        <v>22.406500000000001</v>
      </c>
      <c r="BA96" s="24">
        <v>-4.7302200000000003E-5</v>
      </c>
      <c r="BB96" s="21">
        <v>86</v>
      </c>
      <c r="BC96" s="21">
        <v>0.332764</v>
      </c>
      <c r="BD96">
        <f t="shared" si="22"/>
        <v>5.8397777777777771E-2</v>
      </c>
      <c r="BE96">
        <f t="shared" si="23"/>
        <v>1.9452241379999995E-2</v>
      </c>
      <c r="BH96" s="9"/>
      <c r="BI96" s="21"/>
      <c r="BJ96" s="21"/>
      <c r="BK96" s="21"/>
      <c r="BL96" s="21"/>
      <c r="BM96" s="21"/>
      <c r="BP96" s="9"/>
      <c r="BQ96" s="21"/>
      <c r="BR96" s="21"/>
      <c r="BS96" s="21"/>
      <c r="BT96" s="21"/>
      <c r="BU96" s="21"/>
      <c r="BZ96" s="9"/>
      <c r="CA96" s="21"/>
      <c r="CB96" s="21"/>
      <c r="CC96" s="21"/>
      <c r="CD96" s="21"/>
      <c r="CE96" s="21"/>
      <c r="CH96" s="9"/>
      <c r="CI96" s="21"/>
      <c r="CJ96" s="21"/>
      <c r="CK96" s="21"/>
      <c r="CL96" s="21"/>
      <c r="CM96" s="21"/>
      <c r="CR96" s="9"/>
      <c r="CS96" s="21"/>
      <c r="CT96" s="21"/>
      <c r="CU96" s="21"/>
      <c r="CV96" s="21"/>
      <c r="CW96" s="21"/>
      <c r="CZ96" s="9"/>
      <c r="DA96" s="21"/>
      <c r="DB96" s="21"/>
      <c r="DC96" s="21"/>
      <c r="DD96" s="21"/>
      <c r="DE96" s="21"/>
      <c r="DJ96" s="9"/>
      <c r="DK96" s="21"/>
      <c r="DL96" s="21"/>
      <c r="DM96" s="21"/>
      <c r="DN96" s="21"/>
      <c r="DO96" s="21"/>
      <c r="DR96" s="9"/>
      <c r="DS96" s="21"/>
      <c r="DT96" s="21"/>
      <c r="DU96" s="21"/>
      <c r="DV96" s="21"/>
      <c r="DW96" s="21"/>
      <c r="EB96" s="9"/>
      <c r="EC96" s="21"/>
      <c r="ED96" s="21"/>
      <c r="EE96" s="21"/>
      <c r="EF96" s="21"/>
      <c r="EG96" s="21"/>
      <c r="EJ96" s="9"/>
      <c r="EK96" s="21"/>
      <c r="EL96" s="21"/>
      <c r="EM96" s="21"/>
      <c r="EN96" s="21"/>
      <c r="EO96" s="21"/>
      <c r="ES96" s="9"/>
      <c r="ET96" s="21"/>
      <c r="EU96" s="21"/>
      <c r="EV96" s="21"/>
      <c r="EW96" s="21"/>
      <c r="EX96" s="21"/>
      <c r="FA96" s="9"/>
      <c r="FB96" s="21"/>
      <c r="FC96" s="21"/>
      <c r="FD96" s="21"/>
      <c r="FE96" s="21"/>
      <c r="FF96" s="21"/>
    </row>
    <row r="97" spans="6:162" x14ac:dyDescent="0.25">
      <c r="F97" s="9"/>
      <c r="G97" s="21">
        <v>0.76187099999999996</v>
      </c>
      <c r="H97" s="21">
        <v>5.8914999999999997</v>
      </c>
      <c r="I97" s="24">
        <v>-4.9621599999999999E-5</v>
      </c>
      <c r="J97" s="21">
        <v>87</v>
      </c>
      <c r="K97" s="21">
        <v>0.76049800000000001</v>
      </c>
      <c r="L97">
        <f t="shared" si="12"/>
        <v>6.1261234567901231E-2</v>
      </c>
      <c r="M97">
        <f t="shared" si="13"/>
        <v>4.6673158041481477E-2</v>
      </c>
      <c r="N97" s="9"/>
      <c r="O97" s="21">
        <v>0.33813500000000002</v>
      </c>
      <c r="P97" s="21">
        <v>8.5122400000000003</v>
      </c>
      <c r="Q97" s="24">
        <v>-5.1239000000000002E-5</v>
      </c>
      <c r="R97" s="21">
        <v>87</v>
      </c>
      <c r="S97" s="21">
        <v>0.33785999999999999</v>
      </c>
      <c r="T97">
        <f t="shared" si="14"/>
        <v>6.3258024691358022E-2</v>
      </c>
      <c r="U97">
        <f t="shared" si="15"/>
        <v>2.1389752179012345E-2</v>
      </c>
      <c r="X97" s="9"/>
      <c r="Y97" s="21">
        <v>0.76187099999999996</v>
      </c>
      <c r="Z97" s="21">
        <v>12.8727</v>
      </c>
      <c r="AA97" s="24">
        <v>-4.6478299999999998E-5</v>
      </c>
      <c r="AB97" s="21">
        <v>87</v>
      </c>
      <c r="AC97" s="21">
        <v>0.76049800000000001</v>
      </c>
      <c r="AD97">
        <f t="shared" si="16"/>
        <v>5.7380617283950615E-2</v>
      </c>
      <c r="AE97">
        <f t="shared" si="17"/>
        <v>4.3716628270740736E-2</v>
      </c>
      <c r="AF97" s="9"/>
      <c r="AG97" s="21">
        <v>0.33813500000000002</v>
      </c>
      <c r="AH97" s="21">
        <v>15.493399999999999</v>
      </c>
      <c r="AI97" s="24">
        <v>-4.8706099999999998E-5</v>
      </c>
      <c r="AJ97" s="21">
        <v>87</v>
      </c>
      <c r="AK97" s="21">
        <v>0.33776899999999999</v>
      </c>
      <c r="AL97">
        <f t="shared" si="18"/>
        <v>6.0130987654320983E-2</v>
      </c>
      <c r="AM97">
        <f t="shared" si="19"/>
        <v>2.0332391510493826E-2</v>
      </c>
      <c r="AP97" s="9"/>
      <c r="AQ97" s="21">
        <v>0.76187099999999996</v>
      </c>
      <c r="AR97" s="21">
        <v>19.7959</v>
      </c>
      <c r="AS97" s="24">
        <v>-4.4342000000000003E-5</v>
      </c>
      <c r="AT97" s="21">
        <v>87</v>
      </c>
      <c r="AU97" s="21">
        <v>0.76110800000000001</v>
      </c>
      <c r="AV97">
        <f t="shared" si="20"/>
        <v>5.4743209876543207E-2</v>
      </c>
      <c r="AW97">
        <f t="shared" si="21"/>
        <v>4.170726405185185E-2</v>
      </c>
      <c r="AX97" s="9"/>
      <c r="AY97" s="21">
        <v>0.33813500000000002</v>
      </c>
      <c r="AZ97" s="21">
        <v>22.416599999999999</v>
      </c>
      <c r="BA97" s="24">
        <v>-4.7088600000000002E-5</v>
      </c>
      <c r="BB97" s="21">
        <v>87</v>
      </c>
      <c r="BC97" s="21">
        <v>0.33773799999999998</v>
      </c>
      <c r="BD97">
        <f t="shared" si="22"/>
        <v>5.8134074074074074E-2</v>
      </c>
      <c r="BE97">
        <f t="shared" si="23"/>
        <v>1.9657165137037039E-2</v>
      </c>
      <c r="BH97" s="9"/>
      <c r="BI97" s="21"/>
      <c r="BJ97" s="21"/>
      <c r="BK97" s="21"/>
      <c r="BL97" s="21"/>
      <c r="BM97" s="21"/>
      <c r="BP97" s="9"/>
      <c r="BQ97" s="21"/>
      <c r="BR97" s="21"/>
      <c r="BS97" s="21"/>
      <c r="BT97" s="21"/>
      <c r="BU97" s="21"/>
      <c r="BZ97" s="9"/>
      <c r="CA97" s="21"/>
      <c r="CB97" s="21"/>
      <c r="CC97" s="21"/>
      <c r="CD97" s="21"/>
      <c r="CE97" s="21"/>
      <c r="CH97" s="9"/>
      <c r="CI97" s="21"/>
      <c r="CJ97" s="21"/>
      <c r="CK97" s="21"/>
      <c r="CL97" s="21"/>
      <c r="CM97" s="21"/>
      <c r="CR97" s="9"/>
      <c r="CS97" s="21"/>
      <c r="CT97" s="21"/>
      <c r="CU97" s="21"/>
      <c r="CV97" s="21"/>
      <c r="CW97" s="21"/>
      <c r="CZ97" s="9"/>
      <c r="DA97" s="21"/>
      <c r="DB97" s="21"/>
      <c r="DC97" s="21"/>
      <c r="DD97" s="21"/>
      <c r="DE97" s="21"/>
      <c r="DJ97" s="9"/>
      <c r="DK97" s="21"/>
      <c r="DL97" s="21"/>
      <c r="DM97" s="21"/>
      <c r="DN97" s="21"/>
      <c r="DO97" s="21"/>
      <c r="DR97" s="9"/>
      <c r="DS97" s="21"/>
      <c r="DT97" s="21"/>
      <c r="DU97" s="21"/>
      <c r="DV97" s="21"/>
      <c r="DW97" s="21"/>
      <c r="EB97" s="9"/>
      <c r="EC97" s="21"/>
      <c r="ED97" s="21"/>
      <c r="EE97" s="21"/>
      <c r="EF97" s="21"/>
      <c r="EG97" s="21"/>
      <c r="EJ97" s="9"/>
      <c r="EK97" s="21"/>
      <c r="EL97" s="21"/>
      <c r="EM97" s="21"/>
      <c r="EN97" s="21"/>
      <c r="EO97" s="21"/>
      <c r="ES97" s="9"/>
      <c r="ET97" s="21"/>
      <c r="EU97" s="21"/>
      <c r="EV97" s="21"/>
      <c r="EW97" s="21"/>
      <c r="EX97" s="21"/>
      <c r="FA97" s="9"/>
      <c r="FB97" s="21"/>
      <c r="FC97" s="21"/>
      <c r="FD97" s="21"/>
      <c r="FE97" s="21"/>
      <c r="FF97" s="21"/>
    </row>
    <row r="98" spans="6:162" x14ac:dyDescent="0.25">
      <c r="F98" s="9"/>
      <c r="G98" s="21">
        <v>0.75683599999999995</v>
      </c>
      <c r="H98" s="21">
        <v>5.9015700000000004</v>
      </c>
      <c r="I98" s="24">
        <v>-4.9896199999999998E-5</v>
      </c>
      <c r="J98" s="21">
        <v>88</v>
      </c>
      <c r="K98" s="21">
        <v>0.75653099999999995</v>
      </c>
      <c r="L98">
        <f t="shared" si="12"/>
        <v>6.1600246913580244E-2</v>
      </c>
      <c r="M98">
        <f t="shared" si="13"/>
        <v>4.6621284473086416E-2</v>
      </c>
      <c r="N98" s="9"/>
      <c r="O98" s="21">
        <v>0.34316999999999998</v>
      </c>
      <c r="P98" s="21">
        <v>8.5223099999999992</v>
      </c>
      <c r="Q98" s="24">
        <v>-5.1116899999999998E-5</v>
      </c>
      <c r="R98" s="21">
        <v>88</v>
      </c>
      <c r="S98" s="21">
        <v>0.34283400000000003</v>
      </c>
      <c r="T98">
        <f t="shared" si="14"/>
        <v>6.3107283950617279E-2</v>
      </c>
      <c r="U98">
        <f t="shared" si="15"/>
        <v>2.1656526633333329E-2</v>
      </c>
      <c r="X98" s="9"/>
      <c r="Y98" s="21">
        <v>0.75683599999999995</v>
      </c>
      <c r="Z98" s="21">
        <v>12.8827</v>
      </c>
      <c r="AA98" s="24">
        <v>-4.6630900000000001E-5</v>
      </c>
      <c r="AB98" s="21">
        <v>88</v>
      </c>
      <c r="AC98" s="21">
        <v>0.75622599999999995</v>
      </c>
      <c r="AD98">
        <f t="shared" si="16"/>
        <v>5.7569012345679009E-2</v>
      </c>
      <c r="AE98">
        <f t="shared" si="17"/>
        <v>4.3570301027654315E-2</v>
      </c>
      <c r="AF98" s="9"/>
      <c r="AG98" s="21">
        <v>0.34316999999999998</v>
      </c>
      <c r="AH98" s="21">
        <v>15.503500000000001</v>
      </c>
      <c r="AI98" s="24">
        <v>-4.8553500000000002E-5</v>
      </c>
      <c r="AJ98" s="21">
        <v>88</v>
      </c>
      <c r="AK98" s="21">
        <v>0.34283400000000003</v>
      </c>
      <c r="AL98">
        <f t="shared" si="18"/>
        <v>5.9942592592592596E-2</v>
      </c>
      <c r="AM98">
        <f t="shared" si="19"/>
        <v>2.0570499499999999E-2</v>
      </c>
      <c r="AP98" s="9"/>
      <c r="AQ98" s="21">
        <v>0.75683599999999995</v>
      </c>
      <c r="AR98" s="21">
        <v>19.805900000000001</v>
      </c>
      <c r="AS98" s="24">
        <v>-4.4555699999999998E-5</v>
      </c>
      <c r="AT98" s="21">
        <v>88</v>
      </c>
      <c r="AU98" s="21">
        <v>0.75561500000000004</v>
      </c>
      <c r="AV98">
        <f t="shared" si="20"/>
        <v>5.5007037037037028E-2</v>
      </c>
      <c r="AW98">
        <f t="shared" si="21"/>
        <v>4.1631305882962953E-2</v>
      </c>
      <c r="AX98" s="9"/>
      <c r="AY98" s="21">
        <v>0.34316999999999998</v>
      </c>
      <c r="AZ98" s="21">
        <v>22.4267</v>
      </c>
      <c r="BA98" s="24">
        <v>-4.6935999999999999E-5</v>
      </c>
      <c r="BB98" s="21">
        <v>88</v>
      </c>
      <c r="BC98" s="21">
        <v>0.342804</v>
      </c>
      <c r="BD98">
        <f t="shared" si="22"/>
        <v>5.7945679012345673E-2</v>
      </c>
      <c r="BE98">
        <f t="shared" si="23"/>
        <v>1.9885218666666662E-2</v>
      </c>
      <c r="BH98" s="9"/>
      <c r="BI98" s="21"/>
      <c r="BJ98" s="21"/>
      <c r="BK98" s="21"/>
      <c r="BL98" s="21"/>
      <c r="BM98" s="21"/>
      <c r="BP98" s="9"/>
      <c r="BQ98" s="21"/>
      <c r="BR98" s="21"/>
      <c r="BS98" s="21"/>
      <c r="BT98" s="21"/>
      <c r="BU98" s="21"/>
      <c r="BZ98" s="9"/>
      <c r="CA98" s="21"/>
      <c r="CB98" s="21"/>
      <c r="CC98" s="21"/>
      <c r="CD98" s="21"/>
      <c r="CE98" s="21"/>
      <c r="CH98" s="9"/>
      <c r="CI98" s="21"/>
      <c r="CJ98" s="21"/>
      <c r="CK98" s="21"/>
      <c r="CL98" s="21"/>
      <c r="CM98" s="21"/>
      <c r="CR98" s="9"/>
      <c r="CS98" s="21"/>
      <c r="CT98" s="21"/>
      <c r="CU98" s="21"/>
      <c r="CV98" s="21"/>
      <c r="CW98" s="21"/>
      <c r="CZ98" s="9"/>
      <c r="DA98" s="21"/>
      <c r="DB98" s="21"/>
      <c r="DC98" s="21"/>
      <c r="DD98" s="21"/>
      <c r="DE98" s="21"/>
      <c r="DJ98" s="9"/>
      <c r="DK98" s="21"/>
      <c r="DL98" s="21"/>
      <c r="DM98" s="21"/>
      <c r="DN98" s="21"/>
      <c r="DO98" s="21"/>
      <c r="DR98" s="9"/>
      <c r="DS98" s="21"/>
      <c r="DT98" s="21"/>
      <c r="DU98" s="21"/>
      <c r="DV98" s="21"/>
      <c r="DW98" s="21"/>
      <c r="EB98" s="9"/>
      <c r="EC98" s="21"/>
      <c r="ED98" s="21"/>
      <c r="EE98" s="21"/>
      <c r="EF98" s="21"/>
      <c r="EG98" s="21"/>
      <c r="EJ98" s="9"/>
      <c r="EK98" s="21"/>
      <c r="EL98" s="21"/>
      <c r="EM98" s="21"/>
      <c r="EN98" s="21"/>
      <c r="EO98" s="21"/>
      <c r="ES98" s="9"/>
      <c r="ET98" s="21"/>
      <c r="EU98" s="21"/>
      <c r="EV98" s="21"/>
      <c r="EW98" s="21"/>
      <c r="EX98" s="21"/>
      <c r="FA98" s="9"/>
      <c r="FB98" s="21"/>
      <c r="FC98" s="21"/>
      <c r="FD98" s="21"/>
      <c r="FE98" s="21"/>
      <c r="FF98" s="21"/>
    </row>
    <row r="99" spans="6:162" x14ac:dyDescent="0.25">
      <c r="F99" s="9"/>
      <c r="G99" s="21">
        <v>0.75180100000000005</v>
      </c>
      <c r="H99" s="21">
        <v>5.9116400000000002</v>
      </c>
      <c r="I99" s="24">
        <v>-5.0170899999999998E-5</v>
      </c>
      <c r="J99" s="21">
        <v>89</v>
      </c>
      <c r="K99" s="21">
        <v>0.75073199999999995</v>
      </c>
      <c r="L99">
        <f t="shared" si="12"/>
        <v>6.1939382716049381E-2</v>
      </c>
      <c r="M99">
        <f t="shared" si="13"/>
        <v>4.6566089865308642E-2</v>
      </c>
      <c r="N99" s="9"/>
      <c r="O99" s="21">
        <v>0.34820600000000002</v>
      </c>
      <c r="P99" s="21">
        <v>8.5323799999999999</v>
      </c>
      <c r="Q99" s="24">
        <v>-5.10559E-5</v>
      </c>
      <c r="R99" s="21">
        <v>89</v>
      </c>
      <c r="S99" s="21">
        <v>0.34780899999999998</v>
      </c>
      <c r="T99">
        <f t="shared" si="14"/>
        <v>6.3031975308641963E-2</v>
      </c>
      <c r="U99">
        <f t="shared" si="15"/>
        <v>2.1948111994320986E-2</v>
      </c>
      <c r="X99" s="9"/>
      <c r="Y99" s="21">
        <v>0.75180100000000005</v>
      </c>
      <c r="Z99" s="21">
        <v>12.892799999999999</v>
      </c>
      <c r="AA99" s="24">
        <v>-4.69055E-5</v>
      </c>
      <c r="AB99" s="21">
        <v>89</v>
      </c>
      <c r="AC99" s="21">
        <v>0.75103799999999998</v>
      </c>
      <c r="AD99">
        <f t="shared" si="16"/>
        <v>5.7908024691358022E-2</v>
      </c>
      <c r="AE99">
        <f t="shared" si="17"/>
        <v>4.3535310870987658E-2</v>
      </c>
      <c r="AF99" s="9"/>
      <c r="AG99" s="21">
        <v>0.34820600000000002</v>
      </c>
      <c r="AH99" s="21">
        <v>15.5136</v>
      </c>
      <c r="AI99" s="24">
        <v>-4.8400899999999999E-5</v>
      </c>
      <c r="AJ99" s="21">
        <v>89</v>
      </c>
      <c r="AK99" s="21">
        <v>0.34783900000000001</v>
      </c>
      <c r="AL99">
        <f t="shared" si="18"/>
        <v>5.9754197530864195E-2</v>
      </c>
      <c r="AM99">
        <f t="shared" si="19"/>
        <v>2.0806770105432099E-2</v>
      </c>
      <c r="AP99" s="9"/>
      <c r="AQ99" s="21">
        <v>0.75180100000000005</v>
      </c>
      <c r="AR99" s="21">
        <v>19.815999999999999</v>
      </c>
      <c r="AS99" s="24">
        <v>-4.4799799999999998E-5</v>
      </c>
      <c r="AT99" s="21">
        <v>89</v>
      </c>
      <c r="AU99" s="21">
        <v>0.75103799999999998</v>
      </c>
      <c r="AV99">
        <f t="shared" si="20"/>
        <v>5.530839506172839E-2</v>
      </c>
      <c r="AW99">
        <f t="shared" si="21"/>
        <v>4.1580906715802467E-2</v>
      </c>
      <c r="AX99" s="9"/>
      <c r="AY99" s="21">
        <v>0.34820600000000002</v>
      </c>
      <c r="AZ99" s="21">
        <v>22.436699999999998</v>
      </c>
      <c r="BA99" s="24">
        <v>-4.6722399999999998E-5</v>
      </c>
      <c r="BB99" s="21">
        <v>89</v>
      </c>
      <c r="BC99" s="21">
        <v>0.34787000000000001</v>
      </c>
      <c r="BD99">
        <f t="shared" si="22"/>
        <v>5.768197530864197E-2</v>
      </c>
      <c r="BE99">
        <f t="shared" si="23"/>
        <v>2.0085209894320985E-2</v>
      </c>
      <c r="BH99" s="9"/>
      <c r="BI99" s="21"/>
      <c r="BJ99" s="21"/>
      <c r="BK99" s="21"/>
      <c r="BL99" s="21"/>
      <c r="BM99" s="21"/>
      <c r="BP99" s="9"/>
      <c r="BQ99" s="21"/>
      <c r="BR99" s="21"/>
      <c r="BS99" s="21"/>
      <c r="BT99" s="21"/>
      <c r="BU99" s="21"/>
      <c r="BZ99" s="9"/>
      <c r="CA99" s="21"/>
      <c r="CB99" s="21"/>
      <c r="CC99" s="21"/>
      <c r="CD99" s="21"/>
      <c r="CE99" s="21"/>
      <c r="CH99" s="9"/>
      <c r="CI99" s="21"/>
      <c r="CJ99" s="21"/>
      <c r="CK99" s="21"/>
      <c r="CL99" s="21"/>
      <c r="CM99" s="21"/>
      <c r="CR99" s="9"/>
      <c r="CS99" s="21"/>
      <c r="CT99" s="21"/>
      <c r="CU99" s="21"/>
      <c r="CV99" s="21"/>
      <c r="CW99" s="21"/>
      <c r="CZ99" s="9"/>
      <c r="DA99" s="21"/>
      <c r="DB99" s="21"/>
      <c r="DC99" s="21"/>
      <c r="DD99" s="21"/>
      <c r="DE99" s="21"/>
      <c r="DJ99" s="9"/>
      <c r="DK99" s="21"/>
      <c r="DL99" s="21"/>
      <c r="DM99" s="21"/>
      <c r="DN99" s="21"/>
      <c r="DO99" s="21"/>
      <c r="DR99" s="9"/>
      <c r="DS99" s="21"/>
      <c r="DT99" s="21"/>
      <c r="DU99" s="21"/>
      <c r="DV99" s="21"/>
      <c r="DW99" s="21"/>
      <c r="EB99" s="9"/>
      <c r="EC99" s="21"/>
      <c r="ED99" s="21"/>
      <c r="EE99" s="21"/>
      <c r="EF99" s="21"/>
      <c r="EG99" s="21"/>
      <c r="EJ99" s="9"/>
      <c r="EK99" s="21"/>
      <c r="EL99" s="21"/>
      <c r="EM99" s="21"/>
      <c r="EN99" s="21"/>
      <c r="EO99" s="21"/>
      <c r="ES99" s="9"/>
      <c r="ET99" s="21"/>
      <c r="EU99" s="21"/>
      <c r="EV99" s="21"/>
      <c r="EW99" s="21"/>
      <c r="EX99" s="21"/>
      <c r="FA99" s="9"/>
      <c r="FB99" s="21"/>
      <c r="FC99" s="21"/>
      <c r="FD99" s="21"/>
      <c r="FE99" s="21"/>
      <c r="FF99" s="21"/>
    </row>
    <row r="100" spans="6:162" x14ac:dyDescent="0.25">
      <c r="F100" s="9"/>
      <c r="G100" s="21">
        <v>0.74676500000000001</v>
      </c>
      <c r="H100" s="21">
        <v>5.92171</v>
      </c>
      <c r="I100" s="24">
        <v>-5.0353999999999999E-5</v>
      </c>
      <c r="J100" s="21">
        <v>90</v>
      </c>
      <c r="K100" s="21">
        <v>0.74642900000000001</v>
      </c>
      <c r="L100">
        <f t="shared" si="12"/>
        <v>6.2165432098765433E-2</v>
      </c>
      <c r="M100">
        <f t="shared" si="13"/>
        <v>4.6422968901234568E-2</v>
      </c>
      <c r="N100" s="9"/>
      <c r="O100" s="21">
        <v>0.35324100000000003</v>
      </c>
      <c r="P100" s="21">
        <v>8.5424500000000005</v>
      </c>
      <c r="Q100" s="24">
        <v>-5.0872799999999999E-5</v>
      </c>
      <c r="R100" s="21">
        <v>90</v>
      </c>
      <c r="S100" s="21">
        <v>0.35290500000000002</v>
      </c>
      <c r="T100">
        <f t="shared" si="14"/>
        <v>6.2805925925925918E-2</v>
      </c>
      <c r="U100">
        <f t="shared" si="15"/>
        <v>2.2185628079999999E-2</v>
      </c>
      <c r="X100" s="9"/>
      <c r="Y100" s="21">
        <v>0.74676500000000001</v>
      </c>
      <c r="Z100" s="21">
        <v>12.902900000000001</v>
      </c>
      <c r="AA100" s="24">
        <v>-4.6966599999999999E-5</v>
      </c>
      <c r="AB100" s="21">
        <v>90</v>
      </c>
      <c r="AC100" s="21">
        <v>0.74642900000000001</v>
      </c>
      <c r="AD100">
        <f t="shared" si="16"/>
        <v>5.7983456790123448E-2</v>
      </c>
      <c r="AE100">
        <f t="shared" si="17"/>
        <v>4.3300016109876535E-2</v>
      </c>
      <c r="AF100" s="9"/>
      <c r="AG100" s="21">
        <v>0.35324100000000003</v>
      </c>
      <c r="AH100" s="21">
        <v>15.5236</v>
      </c>
      <c r="AI100" s="24">
        <v>-4.8309300000000002E-5</v>
      </c>
      <c r="AJ100" s="21">
        <v>90</v>
      </c>
      <c r="AK100" s="21">
        <v>0.35290500000000002</v>
      </c>
      <c r="AL100">
        <f t="shared" si="18"/>
        <v>5.964111111111111E-2</v>
      </c>
      <c r="AM100">
        <f t="shared" si="19"/>
        <v>2.1067685730000001E-2</v>
      </c>
      <c r="AP100" s="9"/>
      <c r="AQ100" s="21">
        <v>0.74676500000000001</v>
      </c>
      <c r="AR100" s="21">
        <v>19.8261</v>
      </c>
      <c r="AS100" s="24">
        <v>-4.4982899999999999E-5</v>
      </c>
      <c r="AT100" s="21">
        <v>90</v>
      </c>
      <c r="AU100" s="21">
        <v>0.74642900000000001</v>
      </c>
      <c r="AV100">
        <f t="shared" si="20"/>
        <v>5.5534444444444435E-2</v>
      </c>
      <c r="AW100">
        <f t="shared" si="21"/>
        <v>4.1471179405555551E-2</v>
      </c>
      <c r="AX100" s="9"/>
      <c r="AY100" s="21">
        <v>0.35324100000000003</v>
      </c>
      <c r="AZ100" s="21">
        <v>22.4468</v>
      </c>
      <c r="BA100" s="24">
        <v>-4.66614E-5</v>
      </c>
      <c r="BB100" s="21">
        <v>90</v>
      </c>
      <c r="BC100" s="21">
        <v>0.35290500000000002</v>
      </c>
      <c r="BD100">
        <f t="shared" si="22"/>
        <v>5.7606666666666667E-2</v>
      </c>
      <c r="BE100">
        <f t="shared" si="23"/>
        <v>2.034903654E-2</v>
      </c>
      <c r="BH100" s="9"/>
      <c r="BI100" s="21"/>
      <c r="BJ100" s="21"/>
      <c r="BK100" s="21"/>
      <c r="BL100" s="21"/>
      <c r="BM100" s="21"/>
      <c r="BP100" s="9"/>
      <c r="BQ100" s="21"/>
      <c r="BR100" s="21"/>
      <c r="BS100" s="21"/>
      <c r="BT100" s="21"/>
      <c r="BU100" s="21"/>
      <c r="BZ100" s="9"/>
      <c r="CA100" s="21"/>
      <c r="CB100" s="21"/>
      <c r="CC100" s="21"/>
      <c r="CD100" s="21"/>
      <c r="CE100" s="21"/>
      <c r="CH100" s="9"/>
      <c r="CI100" s="21"/>
      <c r="CJ100" s="21"/>
      <c r="CK100" s="21"/>
      <c r="CL100" s="21"/>
      <c r="CM100" s="21"/>
      <c r="CR100" s="9"/>
      <c r="CS100" s="21"/>
      <c r="CT100" s="21"/>
      <c r="CU100" s="21"/>
      <c r="CV100" s="21"/>
      <c r="CW100" s="21"/>
      <c r="CZ100" s="9"/>
      <c r="DA100" s="21"/>
      <c r="DB100" s="21"/>
      <c r="DC100" s="21"/>
      <c r="DD100" s="21"/>
      <c r="DE100" s="21"/>
      <c r="DJ100" s="9"/>
      <c r="DK100" s="21"/>
      <c r="DL100" s="21"/>
      <c r="DM100" s="21"/>
      <c r="DN100" s="21"/>
      <c r="DO100" s="21"/>
      <c r="DR100" s="9"/>
      <c r="DS100" s="21"/>
      <c r="DT100" s="21"/>
      <c r="DU100" s="21"/>
      <c r="DV100" s="21"/>
      <c r="DW100" s="21"/>
      <c r="EB100" s="9"/>
      <c r="EC100" s="21"/>
      <c r="ED100" s="21"/>
      <c r="EE100" s="21"/>
      <c r="EF100" s="21"/>
      <c r="EG100" s="21"/>
      <c r="EJ100" s="9"/>
      <c r="EK100" s="21"/>
      <c r="EL100" s="21"/>
      <c r="EM100" s="21"/>
      <c r="EN100" s="21"/>
      <c r="EO100" s="21"/>
      <c r="ES100" s="9"/>
      <c r="ET100" s="21"/>
      <c r="EU100" s="21"/>
      <c r="EV100" s="21"/>
      <c r="EW100" s="21"/>
      <c r="EX100" s="21"/>
      <c r="FA100" s="9"/>
      <c r="FB100" s="21"/>
      <c r="FC100" s="21"/>
      <c r="FD100" s="21"/>
      <c r="FE100" s="21"/>
      <c r="FF100" s="21"/>
    </row>
    <row r="101" spans="6:162" x14ac:dyDescent="0.25">
      <c r="F101" s="9"/>
      <c r="G101" s="21">
        <v>0.74173</v>
      </c>
      <c r="H101" s="21">
        <v>5.9317799999999998</v>
      </c>
      <c r="I101" s="24">
        <v>-5.0537100000000001E-5</v>
      </c>
      <c r="J101" s="21">
        <v>91</v>
      </c>
      <c r="K101" s="21">
        <v>0.741425</v>
      </c>
      <c r="L101">
        <f t="shared" si="12"/>
        <v>6.2391481481481478E-2</v>
      </c>
      <c r="M101">
        <f t="shared" si="13"/>
        <v>4.6277633559259256E-2</v>
      </c>
      <c r="N101" s="9"/>
      <c r="O101" s="21">
        <v>0.35827599999999998</v>
      </c>
      <c r="P101" s="21">
        <v>8.5525199999999995</v>
      </c>
      <c r="Q101" s="24">
        <v>-5.0689699999999997E-5</v>
      </c>
      <c r="R101" s="21">
        <v>91</v>
      </c>
      <c r="S101" s="21">
        <v>0.35797099999999998</v>
      </c>
      <c r="T101">
        <f t="shared" si="14"/>
        <v>6.2579876543209872E-2</v>
      </c>
      <c r="U101">
        <f t="shared" si="15"/>
        <v>2.242086784839506E-2</v>
      </c>
      <c r="X101" s="9"/>
      <c r="Y101" s="21">
        <v>0.74173</v>
      </c>
      <c r="Z101" s="21">
        <v>12.913</v>
      </c>
      <c r="AA101" s="24">
        <v>-4.7119100000000001E-5</v>
      </c>
      <c r="AB101" s="21">
        <v>91</v>
      </c>
      <c r="AC101" s="21">
        <v>0.741425</v>
      </c>
      <c r="AD101">
        <f t="shared" si="16"/>
        <v>5.8171728395061725E-2</v>
      </c>
      <c r="AE101">
        <f t="shared" si="17"/>
        <v>4.3147716102469133E-2</v>
      </c>
      <c r="AF101" s="9"/>
      <c r="AG101" s="21">
        <v>0.35827599999999998</v>
      </c>
      <c r="AH101" s="21">
        <v>15.5337</v>
      </c>
      <c r="AI101" s="24">
        <v>-4.8187299999999999E-5</v>
      </c>
      <c r="AJ101" s="21">
        <v>91</v>
      </c>
      <c r="AK101" s="21">
        <v>0.35797099999999998</v>
      </c>
      <c r="AL101">
        <f t="shared" si="18"/>
        <v>5.9490493827160484E-2</v>
      </c>
      <c r="AM101">
        <f t="shared" si="19"/>
        <v>2.1314016166419748E-2</v>
      </c>
      <c r="AP101" s="9"/>
      <c r="AQ101" s="21">
        <v>0.74173</v>
      </c>
      <c r="AR101" s="21">
        <v>19.836099999999998</v>
      </c>
      <c r="AS101" s="24">
        <v>-4.51965E-5</v>
      </c>
      <c r="AT101" s="21">
        <v>91</v>
      </c>
      <c r="AU101" s="21">
        <v>0.74145499999999998</v>
      </c>
      <c r="AV101">
        <f t="shared" si="20"/>
        <v>5.5798148148148145E-2</v>
      </c>
      <c r="AW101">
        <f t="shared" si="21"/>
        <v>4.1387160425925926E-2</v>
      </c>
      <c r="AX101" s="9"/>
      <c r="AY101" s="21">
        <v>0.35827599999999998</v>
      </c>
      <c r="AZ101" s="21">
        <v>22.456900000000001</v>
      </c>
      <c r="BA101" s="24">
        <v>-4.6539299999999997E-5</v>
      </c>
      <c r="BB101" s="21">
        <v>91</v>
      </c>
      <c r="BC101" s="21">
        <v>0.35800199999999999</v>
      </c>
      <c r="BD101">
        <f t="shared" si="22"/>
        <v>5.7455925925925917E-2</v>
      </c>
      <c r="BE101">
        <f t="shared" si="23"/>
        <v>2.0585079317037035E-2</v>
      </c>
      <c r="BH101" s="9"/>
      <c r="BI101" s="21"/>
      <c r="BJ101" s="21"/>
      <c r="BK101" s="21"/>
      <c r="BL101" s="21"/>
      <c r="BM101" s="21"/>
      <c r="BP101" s="9"/>
      <c r="BQ101" s="21"/>
      <c r="BR101" s="21"/>
      <c r="BS101" s="21"/>
      <c r="BT101" s="21"/>
      <c r="BU101" s="21"/>
      <c r="BZ101" s="9"/>
      <c r="CA101" s="21"/>
      <c r="CB101" s="21"/>
      <c r="CC101" s="21"/>
      <c r="CD101" s="21"/>
      <c r="CE101" s="21"/>
      <c r="CH101" s="9"/>
      <c r="CI101" s="21"/>
      <c r="CJ101" s="21"/>
      <c r="CK101" s="21"/>
      <c r="CL101" s="21"/>
      <c r="CM101" s="21"/>
      <c r="CR101" s="9"/>
      <c r="CS101" s="21"/>
      <c r="CT101" s="21"/>
      <c r="CU101" s="21"/>
      <c r="CV101" s="21"/>
      <c r="CW101" s="21"/>
      <c r="CZ101" s="9"/>
      <c r="DA101" s="21"/>
      <c r="DB101" s="21"/>
      <c r="DC101" s="21"/>
      <c r="DD101" s="21"/>
      <c r="DE101" s="21"/>
      <c r="DJ101" s="9"/>
      <c r="DK101" s="21"/>
      <c r="DL101" s="21"/>
      <c r="DM101" s="21"/>
      <c r="DN101" s="21"/>
      <c r="DO101" s="21"/>
      <c r="DR101" s="9"/>
      <c r="DS101" s="21"/>
      <c r="DT101" s="21"/>
      <c r="DU101" s="21"/>
      <c r="DV101" s="21"/>
      <c r="DW101" s="21"/>
      <c r="EB101" s="9"/>
      <c r="EC101" s="21"/>
      <c r="ED101" s="21"/>
      <c r="EE101" s="21"/>
      <c r="EF101" s="21"/>
      <c r="EG101" s="21"/>
      <c r="EJ101" s="9"/>
      <c r="EK101" s="21"/>
      <c r="EL101" s="21"/>
      <c r="EM101" s="21"/>
      <c r="EN101" s="21"/>
      <c r="EO101" s="21"/>
      <c r="ES101" s="9"/>
      <c r="ET101" s="21"/>
      <c r="EU101" s="21"/>
      <c r="EV101" s="21"/>
      <c r="EW101" s="21"/>
      <c r="EX101" s="21"/>
      <c r="FA101" s="9"/>
      <c r="FB101" s="21"/>
      <c r="FC101" s="21"/>
      <c r="FD101" s="21"/>
      <c r="FE101" s="21"/>
      <c r="FF101" s="21"/>
    </row>
    <row r="102" spans="6:162" x14ac:dyDescent="0.25">
      <c r="F102" s="9"/>
      <c r="G102" s="21">
        <v>0.73669399999999996</v>
      </c>
      <c r="H102" s="21">
        <v>5.9418499999999996</v>
      </c>
      <c r="I102" s="24">
        <v>-5.0628699999999999E-5</v>
      </c>
      <c r="J102" s="21">
        <v>92</v>
      </c>
      <c r="K102" s="21">
        <v>0.73632799999999998</v>
      </c>
      <c r="L102">
        <f t="shared" si="12"/>
        <v>6.250456790123457E-2</v>
      </c>
      <c r="M102">
        <f t="shared" si="13"/>
        <v>4.60467401454321E-2</v>
      </c>
      <c r="N102" s="9"/>
      <c r="O102" s="21">
        <v>0.36331200000000002</v>
      </c>
      <c r="P102" s="21">
        <v>8.5625900000000001</v>
      </c>
      <c r="Q102" s="24">
        <v>-5.0506600000000002E-5</v>
      </c>
      <c r="R102" s="21">
        <v>92</v>
      </c>
      <c r="S102" s="21">
        <v>0.36288500000000001</v>
      </c>
      <c r="T102">
        <f t="shared" si="14"/>
        <v>6.2353827160493834E-2</v>
      </c>
      <c r="U102">
        <f t="shared" si="15"/>
        <v>2.2653893653333337E-2</v>
      </c>
      <c r="X102" s="9"/>
      <c r="Y102" s="21">
        <v>0.73669399999999996</v>
      </c>
      <c r="Z102" s="21">
        <v>12.923</v>
      </c>
      <c r="AA102" s="24">
        <v>-4.7302200000000003E-5</v>
      </c>
      <c r="AB102" s="21">
        <v>92</v>
      </c>
      <c r="AC102" s="21">
        <v>0.73629800000000001</v>
      </c>
      <c r="AD102">
        <f t="shared" si="16"/>
        <v>5.8397777777777771E-2</v>
      </c>
      <c r="AE102">
        <f t="shared" si="17"/>
        <v>4.3021292502222218E-2</v>
      </c>
      <c r="AF102" s="9"/>
      <c r="AG102" s="21">
        <v>0.36331200000000002</v>
      </c>
      <c r="AH102" s="21">
        <v>15.543799999999999</v>
      </c>
      <c r="AI102" s="24">
        <v>-4.8034700000000003E-5</v>
      </c>
      <c r="AJ102" s="21">
        <v>92</v>
      </c>
      <c r="AK102" s="21">
        <v>0.36300700000000002</v>
      </c>
      <c r="AL102">
        <f t="shared" si="18"/>
        <v>5.9302098765432104E-2</v>
      </c>
      <c r="AM102">
        <f t="shared" si="19"/>
        <v>2.1545164106666671E-2</v>
      </c>
      <c r="AP102" s="9"/>
      <c r="AQ102" s="21">
        <v>0.73669399999999996</v>
      </c>
      <c r="AR102" s="21">
        <v>19.8462</v>
      </c>
      <c r="AS102" s="24">
        <v>-4.5349100000000003E-5</v>
      </c>
      <c r="AT102" s="21">
        <v>92</v>
      </c>
      <c r="AU102" s="21">
        <v>0.736267</v>
      </c>
      <c r="AV102">
        <f t="shared" si="20"/>
        <v>5.5986543209876546E-2</v>
      </c>
      <c r="AW102">
        <f t="shared" si="21"/>
        <v>4.1244950463456789E-2</v>
      </c>
      <c r="AX102" s="9"/>
      <c r="AY102" s="21">
        <v>0.36331200000000002</v>
      </c>
      <c r="AZ102" s="21">
        <v>22.466899999999999</v>
      </c>
      <c r="BA102" s="24">
        <v>-4.6447799999999999E-5</v>
      </c>
      <c r="BB102" s="21">
        <v>92</v>
      </c>
      <c r="BC102" s="21">
        <v>0.36297600000000002</v>
      </c>
      <c r="BD102">
        <f t="shared" si="22"/>
        <v>5.7342962962962957E-2</v>
      </c>
      <c r="BE102">
        <f t="shared" si="23"/>
        <v>2.083338656E-2</v>
      </c>
      <c r="BH102" s="9"/>
      <c r="BI102" s="21"/>
      <c r="BJ102" s="21"/>
      <c r="BK102" s="21"/>
      <c r="BL102" s="21"/>
      <c r="BM102" s="21"/>
      <c r="BP102" s="9"/>
      <c r="BQ102" s="21"/>
      <c r="BR102" s="21"/>
      <c r="BS102" s="21"/>
      <c r="BT102" s="21"/>
      <c r="BU102" s="21"/>
      <c r="BZ102" s="9"/>
      <c r="CA102" s="21"/>
      <c r="CB102" s="21"/>
      <c r="CC102" s="21"/>
      <c r="CD102" s="21"/>
      <c r="CE102" s="21"/>
      <c r="CH102" s="9"/>
      <c r="CI102" s="21"/>
      <c r="CJ102" s="21"/>
      <c r="CK102" s="21"/>
      <c r="CL102" s="21"/>
      <c r="CM102" s="21"/>
      <c r="CR102" s="9"/>
      <c r="CS102" s="21"/>
      <c r="CT102" s="21"/>
      <c r="CU102" s="21"/>
      <c r="CV102" s="21"/>
      <c r="CW102" s="21"/>
      <c r="CZ102" s="9"/>
      <c r="DA102" s="21"/>
      <c r="DB102" s="21"/>
      <c r="DC102" s="21"/>
      <c r="DD102" s="21"/>
      <c r="DE102" s="21"/>
      <c r="DJ102" s="9"/>
      <c r="DK102" s="21"/>
      <c r="DL102" s="21"/>
      <c r="DM102" s="21"/>
      <c r="DN102" s="21"/>
      <c r="DO102" s="21"/>
      <c r="DR102" s="9"/>
      <c r="DS102" s="21"/>
      <c r="DT102" s="21"/>
      <c r="DU102" s="21"/>
      <c r="DV102" s="21"/>
      <c r="DW102" s="21"/>
      <c r="EB102" s="9"/>
      <c r="EC102" s="21"/>
      <c r="ED102" s="21"/>
      <c r="EE102" s="21"/>
      <c r="EF102" s="21"/>
      <c r="EG102" s="21"/>
      <c r="EJ102" s="9"/>
      <c r="EK102" s="21"/>
      <c r="EL102" s="21"/>
      <c r="EM102" s="21"/>
      <c r="EN102" s="21"/>
      <c r="EO102" s="21"/>
      <c r="ES102" s="9"/>
      <c r="ET102" s="21"/>
      <c r="EU102" s="21"/>
      <c r="EV102" s="21"/>
      <c r="EW102" s="21"/>
      <c r="EX102" s="21"/>
      <c r="FA102" s="9"/>
      <c r="FB102" s="21"/>
      <c r="FC102" s="21"/>
      <c r="FD102" s="21"/>
      <c r="FE102" s="21"/>
      <c r="FF102" s="21"/>
    </row>
    <row r="103" spans="6:162" x14ac:dyDescent="0.25">
      <c r="F103" s="9"/>
      <c r="G103" s="21">
        <v>0.73165899999999995</v>
      </c>
      <c r="H103" s="21">
        <v>5.9519200000000003</v>
      </c>
      <c r="I103" s="24">
        <v>-5.0903299999999998E-5</v>
      </c>
      <c r="J103" s="21">
        <v>93</v>
      </c>
      <c r="K103" s="21">
        <v>0.73129299999999997</v>
      </c>
      <c r="L103">
        <f t="shared" si="12"/>
        <v>6.2843580246913569E-2</v>
      </c>
      <c r="M103">
        <f t="shared" si="13"/>
        <v>4.5980071079876533E-2</v>
      </c>
      <c r="N103" s="9"/>
      <c r="O103" s="21">
        <v>0.36834699999999998</v>
      </c>
      <c r="P103" s="21">
        <v>8.5726600000000008</v>
      </c>
      <c r="Q103" s="24">
        <v>-5.0353999999999999E-5</v>
      </c>
      <c r="R103" s="21">
        <v>93</v>
      </c>
      <c r="S103" s="21">
        <v>0.36801099999999998</v>
      </c>
      <c r="T103">
        <f t="shared" si="14"/>
        <v>6.2165432098765433E-2</v>
      </c>
      <c r="U103">
        <f t="shared" si="15"/>
        <v>2.2898450417283951E-2</v>
      </c>
      <c r="X103" s="9"/>
      <c r="Y103" s="21">
        <v>0.73165899999999995</v>
      </c>
      <c r="Z103" s="21">
        <v>12.9331</v>
      </c>
      <c r="AA103" s="24">
        <v>-4.7546400000000003E-5</v>
      </c>
      <c r="AB103" s="21">
        <v>93</v>
      </c>
      <c r="AC103" s="21">
        <v>0.73132299999999995</v>
      </c>
      <c r="AD103">
        <f t="shared" si="16"/>
        <v>5.8699259259259257E-2</v>
      </c>
      <c r="AE103">
        <f t="shared" si="17"/>
        <v>4.2947841330370363E-2</v>
      </c>
      <c r="AF103" s="9"/>
      <c r="AG103" s="21">
        <v>0.36834699999999998</v>
      </c>
      <c r="AH103" s="21">
        <v>15.553800000000001</v>
      </c>
      <c r="AI103" s="24">
        <v>-4.78821E-5</v>
      </c>
      <c r="AJ103" s="21">
        <v>93</v>
      </c>
      <c r="AK103" s="21">
        <v>0.36804199999999998</v>
      </c>
      <c r="AL103">
        <f t="shared" si="18"/>
        <v>5.9113703703703703E-2</v>
      </c>
      <c r="AM103">
        <f t="shared" si="19"/>
        <v>2.1774355418148147E-2</v>
      </c>
      <c r="AP103" s="9"/>
      <c r="AQ103" s="21">
        <v>0.73165899999999995</v>
      </c>
      <c r="AR103" s="21">
        <v>19.856300000000001</v>
      </c>
      <c r="AS103" s="24">
        <v>-4.5471199999999999E-5</v>
      </c>
      <c r="AT103" s="21">
        <v>93</v>
      </c>
      <c r="AU103" s="21">
        <v>0.73129299999999997</v>
      </c>
      <c r="AV103">
        <f t="shared" si="20"/>
        <v>5.6137283950617282E-2</v>
      </c>
      <c r="AW103">
        <f t="shared" si="21"/>
        <v>4.107334903802469E-2</v>
      </c>
      <c r="AX103" s="9"/>
      <c r="AY103" s="21">
        <v>0.36834699999999998</v>
      </c>
      <c r="AZ103" s="21">
        <v>22.477</v>
      </c>
      <c r="BA103" s="24">
        <v>-4.6386700000000001E-5</v>
      </c>
      <c r="BB103" s="21">
        <v>93</v>
      </c>
      <c r="BC103" s="21">
        <v>0.367981</v>
      </c>
      <c r="BD103">
        <f t="shared" si="22"/>
        <v>5.726753086419753E-2</v>
      </c>
      <c r="BE103">
        <f t="shared" si="23"/>
        <v>2.1094323191234568E-2</v>
      </c>
      <c r="BH103" s="9"/>
      <c r="BI103" s="21"/>
      <c r="BJ103" s="21"/>
      <c r="BK103" s="21"/>
      <c r="BL103" s="21"/>
      <c r="BM103" s="21"/>
      <c r="BP103" s="9"/>
      <c r="BQ103" s="21"/>
      <c r="BR103" s="21"/>
      <c r="BS103" s="21"/>
      <c r="BT103" s="21"/>
      <c r="BU103" s="21"/>
      <c r="BZ103" s="9"/>
      <c r="CA103" s="21"/>
      <c r="CB103" s="21"/>
      <c r="CC103" s="21"/>
      <c r="CD103" s="21"/>
      <c r="CE103" s="21"/>
      <c r="CH103" s="9"/>
      <c r="CI103" s="21"/>
      <c r="CJ103" s="21"/>
      <c r="CK103" s="21"/>
      <c r="CL103" s="21"/>
      <c r="CM103" s="21"/>
      <c r="CR103" s="9"/>
      <c r="CS103" s="21"/>
      <c r="CT103" s="21"/>
      <c r="CU103" s="21"/>
      <c r="CV103" s="21"/>
      <c r="CW103" s="21"/>
      <c r="CZ103" s="9"/>
      <c r="DA103" s="21"/>
      <c r="DB103" s="21"/>
      <c r="DC103" s="21"/>
      <c r="DD103" s="21"/>
      <c r="DE103" s="21"/>
      <c r="DJ103" s="9"/>
      <c r="DK103" s="21"/>
      <c r="DL103" s="21"/>
      <c r="DM103" s="21"/>
      <c r="DN103" s="21"/>
      <c r="DO103" s="21"/>
      <c r="DR103" s="9"/>
      <c r="DS103" s="21"/>
      <c r="DT103" s="21"/>
      <c r="DU103" s="21"/>
      <c r="DV103" s="21"/>
      <c r="DW103" s="21"/>
      <c r="EB103" s="9"/>
      <c r="EC103" s="21"/>
      <c r="ED103" s="21"/>
      <c r="EE103" s="21"/>
      <c r="EF103" s="21"/>
      <c r="EG103" s="21"/>
      <c r="EJ103" s="9"/>
      <c r="EK103" s="21"/>
      <c r="EL103" s="21"/>
      <c r="EM103" s="21"/>
      <c r="EN103" s="21"/>
      <c r="EO103" s="21"/>
      <c r="ES103" s="9"/>
      <c r="ET103" s="21"/>
      <c r="EU103" s="21"/>
      <c r="EV103" s="21"/>
      <c r="EW103" s="21"/>
      <c r="EX103" s="21"/>
      <c r="FA103" s="9"/>
      <c r="FB103" s="21"/>
      <c r="FC103" s="21"/>
      <c r="FD103" s="21"/>
      <c r="FE103" s="21"/>
      <c r="FF103" s="21"/>
    </row>
    <row r="104" spans="6:162" x14ac:dyDescent="0.25">
      <c r="F104" s="9"/>
      <c r="G104" s="21">
        <v>0.72662400000000005</v>
      </c>
      <c r="H104" s="21">
        <v>5.9619900000000001</v>
      </c>
      <c r="I104" s="24">
        <v>-5.1177999999999997E-5</v>
      </c>
      <c r="J104" s="21">
        <v>94</v>
      </c>
      <c r="K104" s="21">
        <v>0.72625700000000004</v>
      </c>
      <c r="L104">
        <f t="shared" si="12"/>
        <v>6.3182716049382706E-2</v>
      </c>
      <c r="M104">
        <f t="shared" si="13"/>
        <v>4.5910077866666663E-2</v>
      </c>
      <c r="N104" s="9"/>
      <c r="O104" s="21">
        <v>0.37338300000000002</v>
      </c>
      <c r="P104" s="21">
        <v>8.5827299999999997</v>
      </c>
      <c r="Q104" s="24">
        <v>-5.0262500000000002E-5</v>
      </c>
      <c r="R104" s="21">
        <v>94</v>
      </c>
      <c r="S104" s="21">
        <v>0.37304700000000002</v>
      </c>
      <c r="T104">
        <f t="shared" si="14"/>
        <v>6.2052469135802465E-2</v>
      </c>
      <c r="U104">
        <f t="shared" si="15"/>
        <v>2.3169337083333335E-2</v>
      </c>
      <c r="X104" s="9"/>
      <c r="Y104" s="21">
        <v>0.72662400000000005</v>
      </c>
      <c r="Z104" s="21">
        <v>12.943199999999999</v>
      </c>
      <c r="AA104" s="24">
        <v>-4.7668499999999999E-5</v>
      </c>
      <c r="AB104" s="21">
        <v>94</v>
      </c>
      <c r="AC104" s="21">
        <v>0.72622699999999996</v>
      </c>
      <c r="AD104">
        <f t="shared" si="16"/>
        <v>5.8849999999999993E-2</v>
      </c>
      <c r="AE104">
        <f t="shared" si="17"/>
        <v>4.2761822399999996E-2</v>
      </c>
      <c r="AF104" s="9"/>
      <c r="AG104" s="21">
        <v>0.37338300000000002</v>
      </c>
      <c r="AH104" s="21">
        <v>15.5639</v>
      </c>
      <c r="AI104" s="24">
        <v>-4.7790500000000003E-5</v>
      </c>
      <c r="AJ104" s="21">
        <v>94</v>
      </c>
      <c r="AK104" s="21">
        <v>0.37301600000000001</v>
      </c>
      <c r="AL104">
        <f t="shared" si="18"/>
        <v>5.9000617283950618E-2</v>
      </c>
      <c r="AM104">
        <f t="shared" si="19"/>
        <v>2.2029827483333334E-2</v>
      </c>
      <c r="AP104" s="9"/>
      <c r="AQ104" s="21">
        <v>0.72662400000000005</v>
      </c>
      <c r="AR104" s="21">
        <v>19.866399999999999</v>
      </c>
      <c r="AS104" s="24">
        <v>-4.5593300000000003E-5</v>
      </c>
      <c r="AT104" s="21">
        <v>94</v>
      </c>
      <c r="AU104" s="21">
        <v>0.72628800000000004</v>
      </c>
      <c r="AV104">
        <f t="shared" si="20"/>
        <v>5.6288024691358018E-2</v>
      </c>
      <c r="AW104">
        <f t="shared" si="21"/>
        <v>4.0900229653333328E-2</v>
      </c>
      <c r="AX104" s="9"/>
      <c r="AY104" s="21">
        <v>0.37338300000000002</v>
      </c>
      <c r="AZ104" s="21">
        <v>22.487100000000002</v>
      </c>
      <c r="BA104" s="24">
        <v>-4.6203599999999999E-5</v>
      </c>
      <c r="BB104" s="21">
        <v>94</v>
      </c>
      <c r="BC104" s="21">
        <v>0.37304700000000002</v>
      </c>
      <c r="BD104">
        <f t="shared" si="22"/>
        <v>5.7041481481481478E-2</v>
      </c>
      <c r="BE104">
        <f t="shared" si="23"/>
        <v>2.1298319480000001E-2</v>
      </c>
      <c r="BH104" s="9"/>
      <c r="BI104" s="21"/>
      <c r="BJ104" s="21"/>
      <c r="BK104" s="21"/>
      <c r="BL104" s="21"/>
      <c r="BM104" s="21"/>
      <c r="BP104" s="9"/>
      <c r="BQ104" s="21"/>
      <c r="BR104" s="21"/>
      <c r="BS104" s="21"/>
      <c r="BT104" s="21"/>
      <c r="BU104" s="21"/>
      <c r="BZ104" s="9"/>
      <c r="CA104" s="21"/>
      <c r="CB104" s="21"/>
      <c r="CC104" s="21"/>
      <c r="CD104" s="21"/>
      <c r="CE104" s="21"/>
      <c r="CH104" s="9"/>
      <c r="CI104" s="21"/>
      <c r="CJ104" s="21"/>
      <c r="CK104" s="21"/>
      <c r="CL104" s="21"/>
      <c r="CM104" s="21"/>
      <c r="CR104" s="9"/>
      <c r="CS104" s="21"/>
      <c r="CT104" s="21"/>
      <c r="CU104" s="21"/>
      <c r="CV104" s="21"/>
      <c r="CW104" s="21"/>
      <c r="CZ104" s="9"/>
      <c r="DA104" s="21"/>
      <c r="DB104" s="21"/>
      <c r="DC104" s="21"/>
      <c r="DD104" s="21"/>
      <c r="DE104" s="21"/>
      <c r="DJ104" s="9"/>
      <c r="DK104" s="21"/>
      <c r="DL104" s="21"/>
      <c r="DM104" s="21"/>
      <c r="DN104" s="21"/>
      <c r="DO104" s="21"/>
      <c r="DR104" s="9"/>
      <c r="DS104" s="21"/>
      <c r="DT104" s="21"/>
      <c r="DU104" s="21"/>
      <c r="DV104" s="21"/>
      <c r="DW104" s="21"/>
      <c r="EB104" s="9"/>
      <c r="EC104" s="21"/>
      <c r="ED104" s="21"/>
      <c r="EE104" s="21"/>
      <c r="EF104" s="21"/>
      <c r="EG104" s="21"/>
      <c r="EJ104" s="9"/>
      <c r="EK104" s="21"/>
      <c r="EL104" s="21"/>
      <c r="EM104" s="21"/>
      <c r="EN104" s="21"/>
      <c r="EO104" s="21"/>
      <c r="ES104" s="9"/>
      <c r="ET104" s="21"/>
      <c r="EU104" s="21"/>
      <c r="EV104" s="21"/>
      <c r="EW104" s="21"/>
      <c r="EX104" s="21"/>
      <c r="FA104" s="9"/>
      <c r="FB104" s="21"/>
      <c r="FC104" s="21"/>
      <c r="FD104" s="21"/>
      <c r="FE104" s="21"/>
      <c r="FF104" s="21"/>
    </row>
    <row r="105" spans="6:162" x14ac:dyDescent="0.25">
      <c r="F105" s="9"/>
      <c r="G105" s="21">
        <v>0.72158800000000001</v>
      </c>
      <c r="H105" s="21">
        <v>5.9720599999999999</v>
      </c>
      <c r="I105" s="24">
        <v>-5.1483200000000002E-5</v>
      </c>
      <c r="J105" s="21">
        <v>95</v>
      </c>
      <c r="K105" s="21">
        <v>0.72128300000000001</v>
      </c>
      <c r="L105">
        <f t="shared" si="12"/>
        <v>6.3559506172839508E-2</v>
      </c>
      <c r="M105">
        <f t="shared" si="13"/>
        <v>4.5863776940246917E-2</v>
      </c>
      <c r="N105" s="9"/>
      <c r="O105" s="21">
        <v>0.37841799999999998</v>
      </c>
      <c r="P105" s="21">
        <v>8.5928000000000004</v>
      </c>
      <c r="Q105" s="24">
        <v>-5.00793E-5</v>
      </c>
      <c r="R105" s="21">
        <v>95</v>
      </c>
      <c r="S105" s="21">
        <v>0.37808199999999997</v>
      </c>
      <c r="T105">
        <f t="shared" si="14"/>
        <v>6.1826296296296296E-2</v>
      </c>
      <c r="U105">
        <f t="shared" si="15"/>
        <v>2.3396183391851851E-2</v>
      </c>
      <c r="X105" s="9"/>
      <c r="Y105" s="21">
        <v>0.72158800000000001</v>
      </c>
      <c r="Z105" s="21">
        <v>12.953200000000001</v>
      </c>
      <c r="AA105" s="24">
        <v>-4.7912599999999999E-5</v>
      </c>
      <c r="AB105" s="21">
        <v>95</v>
      </c>
      <c r="AC105" s="21">
        <v>0.721252</v>
      </c>
      <c r="AD105">
        <f t="shared" si="16"/>
        <v>5.9151358024691354E-2</v>
      </c>
      <c r="AE105">
        <f t="shared" si="17"/>
        <v>4.2682910134320982E-2</v>
      </c>
      <c r="AF105" s="9"/>
      <c r="AG105" s="21">
        <v>0.37841799999999998</v>
      </c>
      <c r="AH105" s="21">
        <v>15.574</v>
      </c>
      <c r="AI105" s="24">
        <v>-4.7729499999999998E-5</v>
      </c>
      <c r="AJ105" s="21">
        <v>95</v>
      </c>
      <c r="AK105" s="21">
        <v>0.378052</v>
      </c>
      <c r="AL105">
        <f t="shared" si="18"/>
        <v>5.8925308641975302E-2</v>
      </c>
      <c r="AM105">
        <f t="shared" si="19"/>
        <v>2.2298397445679009E-2</v>
      </c>
      <c r="AP105" s="9"/>
      <c r="AQ105" s="21">
        <v>0.72158800000000001</v>
      </c>
      <c r="AR105" s="21">
        <v>19.8764</v>
      </c>
      <c r="AS105" s="24">
        <v>-4.5806899999999997E-5</v>
      </c>
      <c r="AT105" s="21">
        <v>95</v>
      </c>
      <c r="AU105" s="21">
        <v>0.721252</v>
      </c>
      <c r="AV105">
        <f t="shared" si="20"/>
        <v>5.6551728395061722E-2</v>
      </c>
      <c r="AW105">
        <f t="shared" si="21"/>
        <v>4.0807048589135801E-2</v>
      </c>
      <c r="AX105" s="9"/>
      <c r="AY105" s="21">
        <v>0.37841799999999998</v>
      </c>
      <c r="AZ105" s="21">
        <v>22.497199999999999</v>
      </c>
      <c r="BA105" s="24">
        <v>-4.6050999999999997E-5</v>
      </c>
      <c r="BB105" s="21">
        <v>95</v>
      </c>
      <c r="BC105" s="21">
        <v>0.37808199999999997</v>
      </c>
      <c r="BD105">
        <f t="shared" si="22"/>
        <v>5.6853086419753084E-2</v>
      </c>
      <c r="BE105">
        <f t="shared" si="23"/>
        <v>2.1514231256790122E-2</v>
      </c>
      <c r="BH105" s="9"/>
      <c r="BI105" s="21"/>
      <c r="BJ105" s="21"/>
      <c r="BK105" s="21"/>
      <c r="BL105" s="21"/>
      <c r="BM105" s="21"/>
      <c r="BP105" s="9"/>
      <c r="BQ105" s="21"/>
      <c r="BR105" s="21"/>
      <c r="BS105" s="21"/>
      <c r="BT105" s="21"/>
      <c r="BU105" s="21"/>
      <c r="BZ105" s="9"/>
      <c r="CA105" s="21"/>
      <c r="CB105" s="21"/>
      <c r="CC105" s="21"/>
      <c r="CD105" s="21"/>
      <c r="CE105" s="21"/>
      <c r="CH105" s="9"/>
      <c r="CI105" s="21"/>
      <c r="CJ105" s="21"/>
      <c r="CK105" s="21"/>
      <c r="CL105" s="21"/>
      <c r="CM105" s="21"/>
      <c r="CR105" s="9"/>
      <c r="CS105" s="21"/>
      <c r="CT105" s="21"/>
      <c r="CU105" s="21"/>
      <c r="CV105" s="21"/>
      <c r="CW105" s="21"/>
      <c r="CZ105" s="9"/>
      <c r="DA105" s="21"/>
      <c r="DB105" s="21"/>
      <c r="DC105" s="21"/>
      <c r="DD105" s="21"/>
      <c r="DE105" s="21"/>
      <c r="DJ105" s="9"/>
      <c r="DK105" s="21"/>
      <c r="DL105" s="21"/>
      <c r="DM105" s="21"/>
      <c r="DN105" s="21"/>
      <c r="DO105" s="21"/>
      <c r="DR105" s="9"/>
      <c r="DS105" s="21"/>
      <c r="DT105" s="21"/>
      <c r="DU105" s="21"/>
      <c r="DV105" s="21"/>
      <c r="DW105" s="21"/>
      <c r="EB105" s="9"/>
      <c r="EC105" s="21"/>
      <c r="ED105" s="21"/>
      <c r="EE105" s="21"/>
      <c r="EF105" s="21"/>
      <c r="EG105" s="21"/>
      <c r="EJ105" s="9"/>
      <c r="EK105" s="21"/>
      <c r="EL105" s="21"/>
      <c r="EM105" s="21"/>
      <c r="EN105" s="21"/>
      <c r="EO105" s="21"/>
      <c r="ES105" s="9"/>
      <c r="ET105" s="21"/>
      <c r="EU105" s="21"/>
      <c r="EV105" s="21"/>
      <c r="EW105" s="21"/>
      <c r="EX105" s="21"/>
      <c r="FA105" s="9"/>
      <c r="FB105" s="21"/>
      <c r="FC105" s="21"/>
      <c r="FD105" s="21"/>
      <c r="FE105" s="21"/>
      <c r="FF105" s="21"/>
    </row>
    <row r="106" spans="6:162" x14ac:dyDescent="0.25">
      <c r="F106" s="9"/>
      <c r="G106" s="21">
        <v>0.716553</v>
      </c>
      <c r="H106" s="21">
        <v>5.9821400000000002</v>
      </c>
      <c r="I106" s="24">
        <v>-5.17883E-5</v>
      </c>
      <c r="J106" s="21">
        <v>96</v>
      </c>
      <c r="K106" s="21">
        <v>0.716248</v>
      </c>
      <c r="L106">
        <f t="shared" si="12"/>
        <v>6.3936172839506172E-2</v>
      </c>
      <c r="M106">
        <f t="shared" si="13"/>
        <v>4.5813656456666664E-2</v>
      </c>
      <c r="N106" s="9"/>
      <c r="O106" s="21">
        <v>0.38345299999999999</v>
      </c>
      <c r="P106" s="21">
        <v>8.6028800000000007</v>
      </c>
      <c r="Q106" s="24">
        <v>-4.9896199999999998E-5</v>
      </c>
      <c r="R106" s="21">
        <v>96</v>
      </c>
      <c r="S106" s="21">
        <v>0.38311800000000001</v>
      </c>
      <c r="T106">
        <f t="shared" si="14"/>
        <v>6.1600246913580244E-2</v>
      </c>
      <c r="U106">
        <f t="shared" si="15"/>
        <v>2.3620799479753086E-2</v>
      </c>
      <c r="X106" s="9"/>
      <c r="Y106" s="21">
        <v>0.716553</v>
      </c>
      <c r="Z106" s="21">
        <v>12.9633</v>
      </c>
      <c r="AA106" s="24">
        <v>-4.8004199999999997E-5</v>
      </c>
      <c r="AB106" s="21">
        <v>96</v>
      </c>
      <c r="AC106" s="21">
        <v>0.71627799999999997</v>
      </c>
      <c r="AD106">
        <f t="shared" si="16"/>
        <v>5.9264444444444439E-2</v>
      </c>
      <c r="AE106">
        <f t="shared" si="17"/>
        <v>4.2466115459999995E-2</v>
      </c>
      <c r="AF106" s="9"/>
      <c r="AG106" s="21">
        <v>0.38345299999999999</v>
      </c>
      <c r="AH106" s="21">
        <v>15.584</v>
      </c>
      <c r="AI106" s="24">
        <v>-4.7607400000000001E-5</v>
      </c>
      <c r="AJ106" s="21">
        <v>96</v>
      </c>
      <c r="AK106" s="21">
        <v>0.38317899999999999</v>
      </c>
      <c r="AL106">
        <f t="shared" si="18"/>
        <v>5.8774567901234566E-2</v>
      </c>
      <c r="AM106">
        <f t="shared" si="19"/>
        <v>2.2537284385432097E-2</v>
      </c>
      <c r="AP106" s="9"/>
      <c r="AQ106" s="21">
        <v>0.716553</v>
      </c>
      <c r="AR106" s="21">
        <v>19.886500000000002</v>
      </c>
      <c r="AS106" s="24">
        <v>-4.5959499999999999E-5</v>
      </c>
      <c r="AT106" s="21">
        <v>96</v>
      </c>
      <c r="AU106" s="21">
        <v>0.71618700000000002</v>
      </c>
      <c r="AV106">
        <f t="shared" si="20"/>
        <v>5.6740123456790123E-2</v>
      </c>
      <c r="AW106">
        <f t="shared" si="21"/>
        <v>4.0657305683333332E-2</v>
      </c>
      <c r="AX106" s="9"/>
      <c r="AY106" s="21">
        <v>0.38345299999999999</v>
      </c>
      <c r="AZ106" s="21">
        <v>22.507200000000001</v>
      </c>
      <c r="BA106" s="24">
        <v>-4.5989999999999998E-5</v>
      </c>
      <c r="BB106" s="21">
        <v>96</v>
      </c>
      <c r="BC106" s="21">
        <v>0.38311800000000001</v>
      </c>
      <c r="BD106">
        <f t="shared" si="22"/>
        <v>5.6777777777777774E-2</v>
      </c>
      <c r="BE106">
        <f t="shared" si="23"/>
        <v>2.1771609222222221E-2</v>
      </c>
      <c r="BH106" s="9"/>
      <c r="BI106" s="21"/>
      <c r="BJ106" s="21"/>
      <c r="BK106" s="21"/>
      <c r="BL106" s="21"/>
      <c r="BM106" s="21"/>
      <c r="BP106" s="9"/>
      <c r="BQ106" s="21"/>
      <c r="BR106" s="21"/>
      <c r="BS106" s="21"/>
      <c r="BT106" s="21"/>
      <c r="BU106" s="21"/>
      <c r="BZ106" s="9"/>
      <c r="CA106" s="21"/>
      <c r="CB106" s="21"/>
      <c r="CC106" s="21"/>
      <c r="CD106" s="21"/>
      <c r="CE106" s="21"/>
      <c r="CH106" s="9"/>
      <c r="CI106" s="21"/>
      <c r="CJ106" s="21"/>
      <c r="CK106" s="21"/>
      <c r="CL106" s="21"/>
      <c r="CM106" s="21"/>
      <c r="CR106" s="9"/>
      <c r="CS106" s="21"/>
      <c r="CT106" s="21"/>
      <c r="CU106" s="21"/>
      <c r="CV106" s="21"/>
      <c r="CW106" s="21"/>
      <c r="CZ106" s="9"/>
      <c r="DA106" s="21"/>
      <c r="DB106" s="21"/>
      <c r="DC106" s="21"/>
      <c r="DD106" s="21"/>
      <c r="DE106" s="21"/>
      <c r="DJ106" s="9"/>
      <c r="DK106" s="21"/>
      <c r="DL106" s="21"/>
      <c r="DM106" s="21"/>
      <c r="DN106" s="21"/>
      <c r="DO106" s="21"/>
      <c r="DR106" s="9"/>
      <c r="DS106" s="21"/>
      <c r="DT106" s="21"/>
      <c r="DU106" s="21"/>
      <c r="DV106" s="21"/>
      <c r="DW106" s="21"/>
      <c r="EB106" s="9"/>
      <c r="EC106" s="21"/>
      <c r="ED106" s="21"/>
      <c r="EE106" s="21"/>
      <c r="EF106" s="21"/>
      <c r="EG106" s="21"/>
      <c r="EJ106" s="9"/>
      <c r="EK106" s="21"/>
      <c r="EL106" s="21"/>
      <c r="EM106" s="21"/>
      <c r="EN106" s="21"/>
      <c r="EO106" s="21"/>
      <c r="ES106" s="9"/>
      <c r="ET106" s="21"/>
      <c r="EU106" s="21"/>
      <c r="EV106" s="21"/>
      <c r="EW106" s="21"/>
      <c r="EX106" s="21"/>
      <c r="FA106" s="9"/>
      <c r="FB106" s="21"/>
      <c r="FC106" s="21"/>
      <c r="FD106" s="21"/>
      <c r="FE106" s="21"/>
      <c r="FF106" s="21"/>
    </row>
    <row r="107" spans="6:162" x14ac:dyDescent="0.25">
      <c r="F107" s="9"/>
      <c r="G107" s="21">
        <v>0.71151699999999996</v>
      </c>
      <c r="H107" s="21">
        <v>5.99221</v>
      </c>
      <c r="I107" s="24">
        <v>-5.2002000000000001E-5</v>
      </c>
      <c r="J107" s="21">
        <v>97</v>
      </c>
      <c r="K107" s="21">
        <v>0.711121</v>
      </c>
      <c r="L107">
        <f t="shared" si="12"/>
        <v>6.4200000000000007E-2</v>
      </c>
      <c r="M107">
        <f t="shared" si="13"/>
        <v>4.5679391400000005E-2</v>
      </c>
      <c r="N107" s="9"/>
      <c r="O107" s="21">
        <v>0.38848899999999997</v>
      </c>
      <c r="P107" s="21">
        <v>8.6129499999999997</v>
      </c>
      <c r="Q107" s="24">
        <v>-4.9896199999999998E-5</v>
      </c>
      <c r="R107" s="21">
        <v>97</v>
      </c>
      <c r="S107" s="21">
        <v>0.388214</v>
      </c>
      <c r="T107">
        <f t="shared" si="14"/>
        <v>6.1600246913580244E-2</v>
      </c>
      <c r="U107">
        <f t="shared" si="15"/>
        <v>2.3931018323209874E-2</v>
      </c>
      <c r="X107" s="9"/>
      <c r="Y107" s="21">
        <v>0.71151699999999996</v>
      </c>
      <c r="Z107" s="21">
        <v>12.9734</v>
      </c>
      <c r="AA107" s="24">
        <v>-4.8278800000000003E-5</v>
      </c>
      <c r="AB107" s="21">
        <v>97</v>
      </c>
      <c r="AC107" s="21">
        <v>0.71115099999999998</v>
      </c>
      <c r="AD107">
        <f t="shared" si="16"/>
        <v>5.9603456790123459E-2</v>
      </c>
      <c r="AE107">
        <f t="shared" si="17"/>
        <v>4.2408872764938273E-2</v>
      </c>
      <c r="AF107" s="9"/>
      <c r="AG107" s="21">
        <v>0.38848899999999997</v>
      </c>
      <c r="AH107" s="21">
        <v>15.594099999999999</v>
      </c>
      <c r="AI107" s="24">
        <v>-4.7454799999999998E-5</v>
      </c>
      <c r="AJ107" s="21">
        <v>97</v>
      </c>
      <c r="AK107" s="21">
        <v>0.388214</v>
      </c>
      <c r="AL107">
        <f t="shared" si="18"/>
        <v>5.8586172839506165E-2</v>
      </c>
      <c r="AM107">
        <f t="shared" si="19"/>
        <v>2.2760083700246909E-2</v>
      </c>
      <c r="AP107" s="9"/>
      <c r="AQ107" s="21">
        <v>0.71151699999999996</v>
      </c>
      <c r="AR107" s="21">
        <v>19.896599999999999</v>
      </c>
      <c r="AS107" s="24">
        <v>-4.6203599999999999E-5</v>
      </c>
      <c r="AT107" s="21">
        <v>97</v>
      </c>
      <c r="AU107" s="21">
        <v>0.71115099999999998</v>
      </c>
      <c r="AV107">
        <f t="shared" si="20"/>
        <v>5.7041481481481478E-2</v>
      </c>
      <c r="AW107">
        <f t="shared" si="21"/>
        <v>4.0585983779259253E-2</v>
      </c>
      <c r="AX107" s="9"/>
      <c r="AY107" s="21">
        <v>0.38848899999999997</v>
      </c>
      <c r="AZ107" s="21">
        <v>22.517299999999999</v>
      </c>
      <c r="BA107" s="24">
        <v>-4.5776399999999998E-5</v>
      </c>
      <c r="BB107" s="21">
        <v>97</v>
      </c>
      <c r="BC107" s="21">
        <v>0.388123</v>
      </c>
      <c r="BD107">
        <f t="shared" si="22"/>
        <v>5.6514074074074064E-2</v>
      </c>
      <c r="BE107">
        <f t="shared" si="23"/>
        <v>2.1955096122962956E-2</v>
      </c>
      <c r="BH107" s="9"/>
      <c r="BI107" s="21"/>
      <c r="BJ107" s="21"/>
      <c r="BK107" s="21"/>
      <c r="BL107" s="21"/>
      <c r="BM107" s="21"/>
      <c r="BP107" s="9"/>
      <c r="BQ107" s="21"/>
      <c r="BR107" s="21"/>
      <c r="BS107" s="21"/>
      <c r="BT107" s="21"/>
      <c r="BU107" s="21"/>
      <c r="BZ107" s="9"/>
      <c r="CA107" s="21"/>
      <c r="CB107" s="21"/>
      <c r="CC107" s="21"/>
      <c r="CD107" s="21"/>
      <c r="CE107" s="21"/>
      <c r="CH107" s="9"/>
      <c r="CI107" s="21"/>
      <c r="CJ107" s="21"/>
      <c r="CK107" s="21"/>
      <c r="CL107" s="21"/>
      <c r="CM107" s="21"/>
      <c r="CR107" s="9"/>
      <c r="CS107" s="21"/>
      <c r="CT107" s="21"/>
      <c r="CU107" s="21"/>
      <c r="CV107" s="21"/>
      <c r="CW107" s="21"/>
      <c r="CZ107" s="9"/>
      <c r="DA107" s="21"/>
      <c r="DB107" s="21"/>
      <c r="DC107" s="21"/>
      <c r="DD107" s="21"/>
      <c r="DE107" s="21"/>
      <c r="DJ107" s="9"/>
      <c r="DK107" s="21"/>
      <c r="DL107" s="21"/>
      <c r="DM107" s="21"/>
      <c r="DN107" s="21"/>
      <c r="DO107" s="21"/>
      <c r="DR107" s="9"/>
      <c r="DS107" s="21"/>
      <c r="DT107" s="21"/>
      <c r="DU107" s="21"/>
      <c r="DV107" s="21"/>
      <c r="DW107" s="21"/>
      <c r="EB107" s="9"/>
      <c r="EC107" s="21"/>
      <c r="ED107" s="21"/>
      <c r="EE107" s="21"/>
      <c r="EF107" s="21"/>
      <c r="EG107" s="21"/>
      <c r="EJ107" s="9"/>
      <c r="EK107" s="21"/>
      <c r="EL107" s="21"/>
      <c r="EM107" s="21"/>
      <c r="EN107" s="21"/>
      <c r="EO107" s="21"/>
      <c r="ES107" s="9"/>
      <c r="ET107" s="21"/>
      <c r="EU107" s="21"/>
      <c r="EV107" s="21"/>
      <c r="EW107" s="21"/>
      <c r="EX107" s="21"/>
      <c r="FA107" s="9"/>
      <c r="FB107" s="21"/>
      <c r="FC107" s="21"/>
      <c r="FD107" s="21"/>
      <c r="FE107" s="21"/>
      <c r="FF107" s="21"/>
    </row>
    <row r="108" spans="6:162" x14ac:dyDescent="0.25">
      <c r="F108" s="9"/>
      <c r="G108" s="21">
        <v>0.70648200000000005</v>
      </c>
      <c r="H108" s="21">
        <v>6.0022799999999998</v>
      </c>
      <c r="I108" s="24">
        <v>-5.2307099999999999E-5</v>
      </c>
      <c r="J108" s="21">
        <v>98</v>
      </c>
      <c r="K108" s="21">
        <v>0.70608499999999996</v>
      </c>
      <c r="L108">
        <f t="shared" si="12"/>
        <v>6.4576666666666671E-2</v>
      </c>
      <c r="M108">
        <f t="shared" si="13"/>
        <v>4.5622252620000005E-2</v>
      </c>
      <c r="N108" s="9"/>
      <c r="O108" s="21">
        <v>0.39352399999999998</v>
      </c>
      <c r="P108" s="21">
        <v>8.6230200000000004</v>
      </c>
      <c r="Q108" s="24">
        <v>-4.9743700000000003E-5</v>
      </c>
      <c r="R108" s="21">
        <v>98</v>
      </c>
      <c r="S108" s="21">
        <v>0.39321899999999999</v>
      </c>
      <c r="T108">
        <f t="shared" si="14"/>
        <v>6.1411975308641981E-2</v>
      </c>
      <c r="U108">
        <f t="shared" si="15"/>
        <v>2.4167086171358026E-2</v>
      </c>
      <c r="X108" s="9"/>
      <c r="Y108" s="21">
        <v>0.70648200000000005</v>
      </c>
      <c r="Z108" s="21">
        <v>12.983499999999999</v>
      </c>
      <c r="AA108" s="24">
        <v>-4.8248299999999997E-5</v>
      </c>
      <c r="AB108" s="21">
        <v>98</v>
      </c>
      <c r="AC108" s="21">
        <v>0.70614600000000005</v>
      </c>
      <c r="AD108">
        <f t="shared" si="16"/>
        <v>5.9565802469135794E-2</v>
      </c>
      <c r="AE108">
        <f t="shared" si="17"/>
        <v>4.2082167259999997E-2</v>
      </c>
      <c r="AF108" s="9"/>
      <c r="AG108" s="21">
        <v>0.39352399999999998</v>
      </c>
      <c r="AH108" s="21">
        <v>15.604200000000001</v>
      </c>
      <c r="AI108" s="24">
        <v>-4.7302200000000003E-5</v>
      </c>
      <c r="AJ108" s="21">
        <v>98</v>
      </c>
      <c r="AK108" s="21">
        <v>0.39328000000000002</v>
      </c>
      <c r="AL108">
        <f t="shared" si="18"/>
        <v>5.8397777777777771E-2</v>
      </c>
      <c r="AM108">
        <f t="shared" si="19"/>
        <v>2.2980927102222218E-2</v>
      </c>
      <c r="AP108" s="9"/>
      <c r="AQ108" s="21">
        <v>0.70648200000000005</v>
      </c>
      <c r="AR108" s="21">
        <v>19.906600000000001</v>
      </c>
      <c r="AS108" s="24">
        <v>-4.6356200000000002E-5</v>
      </c>
      <c r="AT108" s="21">
        <v>98</v>
      </c>
      <c r="AU108" s="21">
        <v>0.70617700000000005</v>
      </c>
      <c r="AV108">
        <f t="shared" si="20"/>
        <v>5.7229876543209872E-2</v>
      </c>
      <c r="AW108">
        <f t="shared" si="21"/>
        <v>4.0431877640000002E-2</v>
      </c>
      <c r="AX108" s="9"/>
      <c r="AY108" s="21">
        <v>0.39352399999999998</v>
      </c>
      <c r="AZ108" s="21">
        <v>22.5274</v>
      </c>
      <c r="BA108" s="24">
        <v>-4.5593300000000003E-5</v>
      </c>
      <c r="BB108" s="21">
        <v>98</v>
      </c>
      <c r="BC108" s="21">
        <v>0.39324999999999999</v>
      </c>
      <c r="BD108">
        <f t="shared" si="22"/>
        <v>5.6288024691358018E-2</v>
      </c>
      <c r="BE108">
        <f t="shared" si="23"/>
        <v>2.2150688628641974E-2</v>
      </c>
      <c r="BH108" s="9"/>
      <c r="BI108" s="21"/>
      <c r="BJ108" s="21"/>
      <c r="BK108" s="21"/>
      <c r="BL108" s="21"/>
      <c r="BM108" s="21"/>
      <c r="BP108" s="9"/>
      <c r="BQ108" s="21"/>
      <c r="BR108" s="21"/>
      <c r="BS108" s="21"/>
      <c r="BT108" s="21"/>
      <c r="BU108" s="21"/>
      <c r="BZ108" s="9"/>
      <c r="CA108" s="21"/>
      <c r="CB108" s="21"/>
      <c r="CC108" s="21"/>
      <c r="CD108" s="21"/>
      <c r="CE108" s="21"/>
      <c r="CH108" s="9"/>
      <c r="CI108" s="21"/>
      <c r="CJ108" s="21"/>
      <c r="CK108" s="21"/>
      <c r="CL108" s="21"/>
      <c r="CM108" s="21"/>
      <c r="CR108" s="9"/>
      <c r="CS108" s="21"/>
      <c r="CT108" s="21"/>
      <c r="CU108" s="21"/>
      <c r="CV108" s="21"/>
      <c r="CW108" s="21"/>
      <c r="CZ108" s="9"/>
      <c r="DA108" s="21"/>
      <c r="DB108" s="21"/>
      <c r="DC108" s="21"/>
      <c r="DD108" s="21"/>
      <c r="DE108" s="21"/>
      <c r="DJ108" s="9"/>
      <c r="DK108" s="21"/>
      <c r="DL108" s="21"/>
      <c r="DM108" s="21"/>
      <c r="DN108" s="21"/>
      <c r="DO108" s="21"/>
      <c r="DR108" s="9"/>
      <c r="DS108" s="21"/>
      <c r="DT108" s="21"/>
      <c r="DU108" s="21"/>
      <c r="DV108" s="21"/>
      <c r="DW108" s="21"/>
      <c r="EB108" s="9"/>
      <c r="EC108" s="21"/>
      <c r="ED108" s="21"/>
      <c r="EE108" s="21"/>
      <c r="EF108" s="21"/>
      <c r="EG108" s="21"/>
      <c r="EJ108" s="9"/>
      <c r="EK108" s="21"/>
      <c r="EL108" s="21"/>
      <c r="EM108" s="21"/>
      <c r="EN108" s="21"/>
      <c r="EO108" s="21"/>
      <c r="ES108" s="9"/>
      <c r="ET108" s="21"/>
      <c r="EU108" s="21"/>
      <c r="EV108" s="21"/>
      <c r="EW108" s="21"/>
      <c r="EX108" s="21"/>
      <c r="FA108" s="9"/>
      <c r="FB108" s="21"/>
      <c r="FC108" s="21"/>
      <c r="FD108" s="21"/>
      <c r="FE108" s="21"/>
      <c r="FF108" s="21"/>
    </row>
    <row r="109" spans="6:162" x14ac:dyDescent="0.25">
      <c r="F109" s="9"/>
      <c r="G109" s="21">
        <v>0.70144700000000004</v>
      </c>
      <c r="H109" s="21">
        <v>6.0123499999999996</v>
      </c>
      <c r="I109" s="24">
        <v>-5.2490200000000001E-5</v>
      </c>
      <c r="J109" s="21">
        <v>99</v>
      </c>
      <c r="K109" s="21">
        <v>0.70111100000000004</v>
      </c>
      <c r="L109">
        <f t="shared" si="12"/>
        <v>6.4802716049382716E-2</v>
      </c>
      <c r="M109">
        <f t="shared" si="13"/>
        <v>4.5455670764691362E-2</v>
      </c>
      <c r="N109" s="9"/>
      <c r="O109" s="21">
        <v>0.39856000000000003</v>
      </c>
      <c r="P109" s="21">
        <v>8.6330899999999993</v>
      </c>
      <c r="Q109" s="24">
        <v>-4.95911E-5</v>
      </c>
      <c r="R109" s="21">
        <v>99</v>
      </c>
      <c r="S109" s="21">
        <v>0.39822400000000002</v>
      </c>
      <c r="T109">
        <f t="shared" si="14"/>
        <v>6.122358024691358E-2</v>
      </c>
      <c r="U109">
        <f t="shared" si="15"/>
        <v>2.4401270143209877E-2</v>
      </c>
      <c r="X109" s="9"/>
      <c r="Y109" s="21">
        <v>0.70144700000000004</v>
      </c>
      <c r="Z109" s="21">
        <v>12.993499999999999</v>
      </c>
      <c r="AA109" s="24">
        <v>-4.8522900000000003E-5</v>
      </c>
      <c r="AB109" s="21">
        <v>99</v>
      </c>
      <c r="AC109" s="21">
        <v>0.70114100000000001</v>
      </c>
      <c r="AD109">
        <f t="shared" si="16"/>
        <v>5.9904814814814814E-2</v>
      </c>
      <c r="AE109">
        <f t="shared" si="17"/>
        <v>4.2020052637407407E-2</v>
      </c>
      <c r="AF109" s="9"/>
      <c r="AG109" s="21">
        <v>0.39856000000000003</v>
      </c>
      <c r="AH109" s="21">
        <v>15.6143</v>
      </c>
      <c r="AI109" s="24">
        <v>-4.7180199999999999E-5</v>
      </c>
      <c r="AJ109" s="21">
        <v>99</v>
      </c>
      <c r="AK109" s="21">
        <v>0.39822400000000002</v>
      </c>
      <c r="AL109">
        <f t="shared" si="18"/>
        <v>5.8247160493827159E-2</v>
      </c>
      <c r="AM109">
        <f t="shared" si="19"/>
        <v>2.3214988286419755E-2</v>
      </c>
      <c r="AP109" s="9"/>
      <c r="AQ109" s="21">
        <v>0.70144700000000004</v>
      </c>
      <c r="AR109" s="21">
        <v>19.916699999999999</v>
      </c>
      <c r="AS109" s="24">
        <v>-4.6447799999999999E-5</v>
      </c>
      <c r="AT109" s="21">
        <v>99</v>
      </c>
      <c r="AU109" s="21">
        <v>0.70108000000000004</v>
      </c>
      <c r="AV109">
        <f t="shared" si="20"/>
        <v>5.7342962962962957E-2</v>
      </c>
      <c r="AW109">
        <f t="shared" si="21"/>
        <v>4.0223049341481479E-2</v>
      </c>
      <c r="AX109" s="9"/>
      <c r="AY109" s="21">
        <v>0.39856000000000003</v>
      </c>
      <c r="AZ109" s="21">
        <v>22.537400000000002</v>
      </c>
      <c r="BA109" s="24">
        <v>-4.5501699999999998E-5</v>
      </c>
      <c r="BB109" s="21">
        <v>99</v>
      </c>
      <c r="BC109" s="21">
        <v>0.398254</v>
      </c>
      <c r="BD109">
        <f t="shared" si="22"/>
        <v>5.6174938271604927E-2</v>
      </c>
      <c r="BE109">
        <f t="shared" si="23"/>
        <v>2.238908339753086E-2</v>
      </c>
      <c r="BH109" s="9"/>
      <c r="BI109" s="21"/>
      <c r="BJ109" s="21"/>
      <c r="BK109" s="21"/>
      <c r="BL109" s="21"/>
      <c r="BM109" s="21"/>
      <c r="BP109" s="9"/>
      <c r="BQ109" s="21"/>
      <c r="BR109" s="21"/>
      <c r="BS109" s="21"/>
      <c r="BT109" s="21"/>
      <c r="BU109" s="21"/>
      <c r="BZ109" s="9"/>
      <c r="CA109" s="21"/>
      <c r="CB109" s="21"/>
      <c r="CC109" s="21"/>
      <c r="CD109" s="21"/>
      <c r="CE109" s="21"/>
      <c r="CH109" s="9"/>
      <c r="CI109" s="21"/>
      <c r="CJ109" s="21"/>
      <c r="CK109" s="21"/>
      <c r="CL109" s="21"/>
      <c r="CM109" s="21"/>
      <c r="CR109" s="9"/>
      <c r="CS109" s="21"/>
      <c r="CT109" s="21"/>
      <c r="CU109" s="21"/>
      <c r="CV109" s="21"/>
      <c r="CW109" s="21"/>
      <c r="CZ109" s="9"/>
      <c r="DA109" s="21"/>
      <c r="DB109" s="21"/>
      <c r="DC109" s="21"/>
      <c r="DD109" s="21"/>
      <c r="DE109" s="21"/>
      <c r="DJ109" s="9"/>
      <c r="DK109" s="21"/>
      <c r="DL109" s="21"/>
      <c r="DM109" s="21"/>
      <c r="DN109" s="21"/>
      <c r="DO109" s="21"/>
      <c r="DR109" s="9"/>
      <c r="DS109" s="21"/>
      <c r="DT109" s="21"/>
      <c r="DU109" s="21"/>
      <c r="DV109" s="21"/>
      <c r="DW109" s="21"/>
      <c r="EB109" s="9"/>
      <c r="EC109" s="21"/>
      <c r="ED109" s="21"/>
      <c r="EE109" s="21"/>
      <c r="EF109" s="21"/>
      <c r="EG109" s="21"/>
      <c r="EJ109" s="9"/>
      <c r="EK109" s="21"/>
      <c r="EL109" s="21"/>
      <c r="EM109" s="21"/>
      <c r="EN109" s="21"/>
      <c r="EO109" s="21"/>
      <c r="ES109" s="9"/>
      <c r="ET109" s="21"/>
      <c r="EU109" s="21"/>
      <c r="EV109" s="21"/>
      <c r="EW109" s="21"/>
      <c r="EX109" s="21"/>
      <c r="FA109" s="9"/>
      <c r="FB109" s="21"/>
      <c r="FC109" s="21"/>
      <c r="FD109" s="21"/>
      <c r="FE109" s="21"/>
      <c r="FF109" s="21"/>
    </row>
    <row r="110" spans="6:162" x14ac:dyDescent="0.25">
      <c r="F110" s="9"/>
      <c r="G110" s="21">
        <v>0.696411</v>
      </c>
      <c r="H110" s="21">
        <v>6.0224200000000003</v>
      </c>
      <c r="I110" s="24">
        <v>-5.2703900000000002E-5</v>
      </c>
      <c r="J110" s="21">
        <v>100</v>
      </c>
      <c r="K110" s="21">
        <v>0.696075</v>
      </c>
      <c r="L110">
        <f t="shared" si="12"/>
        <v>6.5066543209876537E-2</v>
      </c>
      <c r="M110">
        <f t="shared" si="13"/>
        <v>4.5313056423333331E-2</v>
      </c>
      <c r="N110" s="9"/>
      <c r="O110" s="21">
        <v>0.40359499999999998</v>
      </c>
      <c r="P110" s="21">
        <v>8.64316</v>
      </c>
      <c r="Q110" s="24">
        <v>-4.9438499999999998E-5</v>
      </c>
      <c r="R110" s="21">
        <v>100</v>
      </c>
      <c r="S110" s="21">
        <v>0.40332000000000001</v>
      </c>
      <c r="T110">
        <f t="shared" si="14"/>
        <v>6.1035185185185178E-2</v>
      </c>
      <c r="U110">
        <f t="shared" si="15"/>
        <v>2.4633495564814811E-2</v>
      </c>
      <c r="X110" s="9"/>
      <c r="Y110" s="21">
        <v>0.696411</v>
      </c>
      <c r="Z110" s="21">
        <v>13.0036</v>
      </c>
      <c r="AA110" s="24">
        <v>-4.8644999999999999E-5</v>
      </c>
      <c r="AB110" s="21">
        <v>100</v>
      </c>
      <c r="AC110" s="21">
        <v>0.696075</v>
      </c>
      <c r="AD110">
        <f t="shared" si="16"/>
        <v>6.005555555555555E-2</v>
      </c>
      <c r="AE110">
        <f t="shared" si="17"/>
        <v>4.1823349499999996E-2</v>
      </c>
      <c r="AF110" s="9"/>
      <c r="AG110" s="21">
        <v>0.40359499999999998</v>
      </c>
      <c r="AH110" s="21">
        <v>15.6243</v>
      </c>
      <c r="AI110" s="24">
        <v>-4.6997099999999998E-5</v>
      </c>
      <c r="AJ110" s="21">
        <v>100</v>
      </c>
      <c r="AK110" s="21">
        <v>0.40338099999999999</v>
      </c>
      <c r="AL110">
        <f t="shared" si="18"/>
        <v>5.80211111111111E-2</v>
      </c>
      <c r="AM110">
        <f t="shared" si="19"/>
        <v>2.3417030338888884E-2</v>
      </c>
      <c r="AP110" s="9"/>
      <c r="AQ110" s="21">
        <v>0.696411</v>
      </c>
      <c r="AR110" s="21">
        <v>19.9268</v>
      </c>
      <c r="AS110" s="24">
        <v>-4.6691899999999999E-5</v>
      </c>
      <c r="AT110" s="21">
        <v>100</v>
      </c>
      <c r="AU110" s="21">
        <v>0.696075</v>
      </c>
      <c r="AV110">
        <f t="shared" si="20"/>
        <v>5.7644320987654318E-2</v>
      </c>
      <c r="AW110">
        <f t="shared" si="21"/>
        <v>4.0144139223333333E-2</v>
      </c>
      <c r="AX110" s="9"/>
      <c r="AY110" s="21">
        <v>0.40359499999999998</v>
      </c>
      <c r="AZ110" s="21">
        <v>22.547499999999999</v>
      </c>
      <c r="BA110" s="24">
        <v>-4.5349100000000003E-5</v>
      </c>
      <c r="BB110" s="21">
        <v>100</v>
      </c>
      <c r="BC110" s="21">
        <v>0.40332000000000001</v>
      </c>
      <c r="BD110">
        <f t="shared" si="22"/>
        <v>5.5986543209876546E-2</v>
      </c>
      <c r="BE110">
        <f t="shared" si="23"/>
        <v>2.2595888906790124E-2</v>
      </c>
      <c r="BH110" s="9"/>
      <c r="BI110" s="21"/>
      <c r="BJ110" s="21"/>
      <c r="BK110" s="21"/>
      <c r="BL110" s="21"/>
      <c r="BM110" s="21"/>
      <c r="BP110" s="9"/>
      <c r="BQ110" s="21"/>
      <c r="BR110" s="21"/>
      <c r="BS110" s="21"/>
      <c r="BT110" s="21"/>
      <c r="BU110" s="21"/>
      <c r="BZ110" s="9"/>
      <c r="CA110" s="21"/>
      <c r="CB110" s="21"/>
      <c r="CC110" s="21"/>
      <c r="CD110" s="21"/>
      <c r="CE110" s="21"/>
      <c r="CH110" s="9"/>
      <c r="CI110" s="21"/>
      <c r="CJ110" s="21"/>
      <c r="CK110" s="21"/>
      <c r="CL110" s="21"/>
      <c r="CM110" s="21"/>
      <c r="CR110" s="9"/>
      <c r="CS110" s="21"/>
      <c r="CT110" s="21"/>
      <c r="CU110" s="21"/>
      <c r="CV110" s="21"/>
      <c r="CW110" s="21"/>
      <c r="CZ110" s="9"/>
      <c r="DA110" s="21"/>
      <c r="DB110" s="21"/>
      <c r="DC110" s="21"/>
      <c r="DD110" s="21"/>
      <c r="DE110" s="21"/>
      <c r="DJ110" s="9"/>
      <c r="DK110" s="21"/>
      <c r="DL110" s="21"/>
      <c r="DM110" s="21"/>
      <c r="DN110" s="21"/>
      <c r="DO110" s="21"/>
      <c r="DR110" s="9"/>
      <c r="DS110" s="21"/>
      <c r="DT110" s="21"/>
      <c r="DU110" s="21"/>
      <c r="DV110" s="21"/>
      <c r="DW110" s="21"/>
      <c r="EB110" s="9"/>
      <c r="EC110" s="21"/>
      <c r="ED110" s="21"/>
      <c r="EE110" s="21"/>
      <c r="EF110" s="21"/>
      <c r="EG110" s="21"/>
      <c r="EJ110" s="9"/>
      <c r="EK110" s="21"/>
      <c r="EL110" s="21"/>
      <c r="EM110" s="21"/>
      <c r="EN110" s="21"/>
      <c r="EO110" s="21"/>
      <c r="ES110" s="9"/>
      <c r="ET110" s="21"/>
      <c r="EU110" s="21"/>
      <c r="EV110" s="21"/>
      <c r="EW110" s="21"/>
      <c r="EX110" s="21"/>
      <c r="FA110" s="9"/>
      <c r="FB110" s="21"/>
      <c r="FC110" s="21"/>
      <c r="FD110" s="21"/>
      <c r="FE110" s="21"/>
      <c r="FF110" s="21"/>
    </row>
    <row r="111" spans="6:162" x14ac:dyDescent="0.25">
      <c r="F111" s="9"/>
      <c r="G111" s="21">
        <v>0.69137599999999999</v>
      </c>
      <c r="H111" s="21">
        <v>6.0324900000000001</v>
      </c>
      <c r="I111" s="24">
        <v>-5.2917500000000003E-5</v>
      </c>
      <c r="J111" s="21">
        <v>101</v>
      </c>
      <c r="K111" s="21">
        <v>0.69103999999999999</v>
      </c>
      <c r="L111">
        <f t="shared" si="12"/>
        <v>6.5330246913580248E-2</v>
      </c>
      <c r="M111">
        <f t="shared" si="13"/>
        <v>4.5167764790123459E-2</v>
      </c>
      <c r="N111" s="9"/>
      <c r="O111" s="21">
        <v>0.40862999999999999</v>
      </c>
      <c r="P111" s="21">
        <v>8.6532300000000006</v>
      </c>
      <c r="Q111" s="24">
        <v>-4.93469E-5</v>
      </c>
      <c r="R111" s="21">
        <v>101</v>
      </c>
      <c r="S111" s="21">
        <v>0.40826400000000002</v>
      </c>
      <c r="T111">
        <f t="shared" si="14"/>
        <v>6.0922098765432094E-2</v>
      </c>
      <c r="U111">
        <f t="shared" si="15"/>
        <v>2.4894597218518517E-2</v>
      </c>
      <c r="X111" s="9"/>
      <c r="Y111" s="21">
        <v>0.69137599999999999</v>
      </c>
      <c r="Z111" s="21">
        <v>13.0137</v>
      </c>
      <c r="AA111" s="24">
        <v>-4.8950199999999998E-5</v>
      </c>
      <c r="AB111" s="21">
        <v>101</v>
      </c>
      <c r="AC111" s="21">
        <v>0.69107099999999999</v>
      </c>
      <c r="AD111">
        <f t="shared" si="16"/>
        <v>6.0432345679012338E-2</v>
      </c>
      <c r="AE111">
        <f t="shared" si="17"/>
        <v>4.1781473426172833E-2</v>
      </c>
      <c r="AF111" s="9"/>
      <c r="AG111" s="21">
        <v>0.40862999999999999</v>
      </c>
      <c r="AH111" s="21">
        <v>15.634399999999999</v>
      </c>
      <c r="AI111" s="24">
        <v>-4.6844500000000002E-5</v>
      </c>
      <c r="AJ111" s="21">
        <v>101</v>
      </c>
      <c r="AK111" s="21">
        <v>0.40823399999999999</v>
      </c>
      <c r="AL111">
        <f t="shared" si="18"/>
        <v>5.7832716049382712E-2</v>
      </c>
      <c r="AM111">
        <f t="shared" si="19"/>
        <v>2.3632182759259258E-2</v>
      </c>
      <c r="AP111" s="9"/>
      <c r="AQ111" s="21">
        <v>0.69137599999999999</v>
      </c>
      <c r="AR111" s="21">
        <v>19.936800000000002</v>
      </c>
      <c r="AS111" s="24">
        <v>-4.6814000000000003E-5</v>
      </c>
      <c r="AT111" s="21">
        <v>101</v>
      </c>
      <c r="AU111" s="21">
        <v>0.69107099999999999</v>
      </c>
      <c r="AV111">
        <f t="shared" si="20"/>
        <v>5.7795061728395061E-2</v>
      </c>
      <c r="AW111">
        <f t="shared" si="21"/>
        <v>3.9958118597530866E-2</v>
      </c>
      <c r="AX111" s="9"/>
      <c r="AY111" s="21">
        <v>0.40862999999999999</v>
      </c>
      <c r="AZ111" s="21">
        <v>22.557600000000001</v>
      </c>
      <c r="BA111" s="24">
        <v>-4.5166000000000001E-5</v>
      </c>
      <c r="BB111" s="21">
        <v>101</v>
      </c>
      <c r="BC111" s="21">
        <v>0.40823399999999999</v>
      </c>
      <c r="BD111">
        <f t="shared" si="22"/>
        <v>5.5760493827160494E-2</v>
      </c>
      <c r="BE111">
        <f t="shared" si="23"/>
        <v>2.2785410592592592E-2</v>
      </c>
      <c r="BH111" s="9"/>
      <c r="BI111" s="21"/>
      <c r="BJ111" s="21"/>
      <c r="BK111" s="21"/>
      <c r="BL111" s="21"/>
      <c r="BM111" s="21"/>
      <c r="BP111" s="9"/>
      <c r="BQ111" s="21"/>
      <c r="BR111" s="21"/>
      <c r="BS111" s="21"/>
      <c r="BT111" s="21"/>
      <c r="BU111" s="21"/>
      <c r="BZ111" s="9"/>
      <c r="CA111" s="21"/>
      <c r="CB111" s="21"/>
      <c r="CC111" s="21"/>
      <c r="CD111" s="21"/>
      <c r="CE111" s="21"/>
      <c r="CH111" s="9"/>
      <c r="CI111" s="21"/>
      <c r="CJ111" s="21"/>
      <c r="CK111" s="21"/>
      <c r="CL111" s="21"/>
      <c r="CM111" s="21"/>
      <c r="CR111" s="9"/>
      <c r="CS111" s="21"/>
      <c r="CT111" s="21"/>
      <c r="CU111" s="21"/>
      <c r="CV111" s="21"/>
      <c r="CW111" s="21"/>
      <c r="CZ111" s="9"/>
      <c r="DA111" s="21"/>
      <c r="DB111" s="21"/>
      <c r="DC111" s="21"/>
      <c r="DD111" s="21"/>
      <c r="DE111" s="21"/>
      <c r="DJ111" s="9"/>
      <c r="DK111" s="21"/>
      <c r="DL111" s="21"/>
      <c r="DM111" s="21"/>
      <c r="DN111" s="21"/>
      <c r="DO111" s="21"/>
      <c r="DR111" s="9"/>
      <c r="DS111" s="21"/>
      <c r="DT111" s="21"/>
      <c r="DU111" s="21"/>
      <c r="DV111" s="21"/>
      <c r="DW111" s="21"/>
      <c r="EB111" s="9"/>
      <c r="EC111" s="21"/>
      <c r="ED111" s="21"/>
      <c r="EE111" s="21"/>
      <c r="EF111" s="21"/>
      <c r="EG111" s="21"/>
      <c r="EJ111" s="9"/>
      <c r="EK111" s="21"/>
      <c r="EL111" s="21"/>
      <c r="EM111" s="21"/>
      <c r="EN111" s="21"/>
      <c r="EO111" s="21"/>
      <c r="ES111" s="9"/>
      <c r="ET111" s="21"/>
      <c r="EU111" s="21"/>
      <c r="EV111" s="21"/>
      <c r="EW111" s="21"/>
      <c r="EX111" s="21"/>
      <c r="FA111" s="9"/>
      <c r="FB111" s="21"/>
      <c r="FC111" s="21"/>
      <c r="FD111" s="21"/>
      <c r="FE111" s="21"/>
      <c r="FF111" s="21"/>
    </row>
    <row r="112" spans="6:162" x14ac:dyDescent="0.25">
      <c r="F112" s="9"/>
      <c r="G112" s="21">
        <v>0.68633999999999995</v>
      </c>
      <c r="H112" s="21">
        <v>6.0425599999999999</v>
      </c>
      <c r="I112" s="24">
        <v>-5.3100599999999998E-5</v>
      </c>
      <c r="J112" s="21">
        <v>102</v>
      </c>
      <c r="K112" s="21">
        <v>0.68591299999999999</v>
      </c>
      <c r="L112">
        <f t="shared" si="12"/>
        <v>6.5556296296296293E-2</v>
      </c>
      <c r="M112">
        <f t="shared" si="13"/>
        <v>4.4993908399999998E-2</v>
      </c>
      <c r="N112" s="9"/>
      <c r="O112" s="21">
        <v>0.41366599999999998</v>
      </c>
      <c r="P112" s="21">
        <v>8.6632999999999996</v>
      </c>
      <c r="Q112" s="24">
        <v>-4.9133299999999999E-5</v>
      </c>
      <c r="R112" s="21">
        <v>102</v>
      </c>
      <c r="S112" s="21">
        <v>0.41336099999999998</v>
      </c>
      <c r="T112">
        <f t="shared" si="14"/>
        <v>6.065839506172839E-2</v>
      </c>
      <c r="U112">
        <f t="shared" si="15"/>
        <v>2.5092315651604934E-2</v>
      </c>
      <c r="X112" s="9"/>
      <c r="Y112" s="21">
        <v>0.68633999999999995</v>
      </c>
      <c r="Z112" s="21">
        <v>13.0237</v>
      </c>
      <c r="AA112" s="24">
        <v>-4.9041700000000002E-5</v>
      </c>
      <c r="AB112" s="21">
        <v>102</v>
      </c>
      <c r="AC112" s="21">
        <v>0.68597399999999997</v>
      </c>
      <c r="AD112">
        <f t="shared" si="16"/>
        <v>6.0545308641975312E-2</v>
      </c>
      <c r="AE112">
        <f t="shared" si="17"/>
        <v>4.1554667133333334E-2</v>
      </c>
      <c r="AF112" s="9"/>
      <c r="AG112" s="21">
        <v>0.41366599999999998</v>
      </c>
      <c r="AH112" s="21">
        <v>15.644500000000001</v>
      </c>
      <c r="AI112" s="24">
        <v>-4.6752899999999998E-5</v>
      </c>
      <c r="AJ112" s="21">
        <v>102</v>
      </c>
      <c r="AK112" s="21">
        <v>0.413269</v>
      </c>
      <c r="AL112">
        <f t="shared" si="18"/>
        <v>5.7719629629629621E-2</v>
      </c>
      <c r="AM112">
        <f t="shared" si="19"/>
        <v>2.3876648310370365E-2</v>
      </c>
      <c r="AP112" s="9"/>
      <c r="AQ112" s="21">
        <v>0.68633999999999995</v>
      </c>
      <c r="AR112" s="21">
        <v>19.946899999999999</v>
      </c>
      <c r="AS112" s="24">
        <v>-4.69055E-5</v>
      </c>
      <c r="AT112" s="21">
        <v>102</v>
      </c>
      <c r="AU112" s="21">
        <v>0.68600499999999998</v>
      </c>
      <c r="AV112">
        <f t="shared" si="20"/>
        <v>5.7908024691358022E-2</v>
      </c>
      <c r="AW112">
        <f t="shared" si="21"/>
        <v>3.9744593666666661E-2</v>
      </c>
      <c r="AX112" s="9"/>
      <c r="AY112" s="21">
        <v>0.41366599999999998</v>
      </c>
      <c r="AZ112" s="21">
        <v>22.567699999999999</v>
      </c>
      <c r="BA112" s="24">
        <v>-4.5074499999999997E-5</v>
      </c>
      <c r="BB112" s="21">
        <v>102</v>
      </c>
      <c r="BC112" s="21">
        <v>0.41336099999999998</v>
      </c>
      <c r="BD112">
        <f t="shared" si="22"/>
        <v>5.564753086419752E-2</v>
      </c>
      <c r="BE112">
        <f t="shared" si="23"/>
        <v>2.3019491502469128E-2</v>
      </c>
      <c r="BH112" s="9"/>
      <c r="BI112" s="21"/>
      <c r="BJ112" s="21"/>
      <c r="BK112" s="21"/>
      <c r="BL112" s="21"/>
      <c r="BM112" s="21"/>
      <c r="BP112" s="9"/>
      <c r="BQ112" s="21"/>
      <c r="BR112" s="21"/>
      <c r="BS112" s="21"/>
      <c r="BT112" s="21"/>
      <c r="BU112" s="21"/>
      <c r="BZ112" s="9"/>
      <c r="CA112" s="21"/>
      <c r="CB112" s="21"/>
      <c r="CC112" s="21"/>
      <c r="CD112" s="21"/>
      <c r="CE112" s="21"/>
      <c r="CH112" s="9"/>
      <c r="CI112" s="21"/>
      <c r="CJ112" s="21"/>
      <c r="CK112" s="21"/>
      <c r="CL112" s="21"/>
      <c r="CM112" s="21"/>
      <c r="CR112" s="9"/>
      <c r="CS112" s="21"/>
      <c r="CT112" s="21"/>
      <c r="CU112" s="21"/>
      <c r="CV112" s="21"/>
      <c r="CW112" s="21"/>
      <c r="CZ112" s="9"/>
      <c r="DA112" s="21"/>
      <c r="DB112" s="21"/>
      <c r="DC112" s="21"/>
      <c r="DD112" s="21"/>
      <c r="DE112" s="21"/>
      <c r="DJ112" s="9"/>
      <c r="DK112" s="21"/>
      <c r="DL112" s="21"/>
      <c r="DM112" s="21"/>
      <c r="DN112" s="21"/>
      <c r="DO112" s="21"/>
      <c r="DR112" s="9"/>
      <c r="DS112" s="21"/>
      <c r="DT112" s="21"/>
      <c r="DU112" s="21"/>
      <c r="DV112" s="21"/>
      <c r="DW112" s="21"/>
      <c r="EB112" s="9"/>
      <c r="EC112" s="21"/>
      <c r="ED112" s="21"/>
      <c r="EE112" s="21"/>
      <c r="EF112" s="21"/>
      <c r="EG112" s="21"/>
      <c r="EJ112" s="9"/>
      <c r="EK112" s="21"/>
      <c r="EL112" s="21"/>
      <c r="EM112" s="21"/>
      <c r="EN112" s="21"/>
      <c r="EO112" s="21"/>
      <c r="ES112" s="9"/>
      <c r="ET112" s="21"/>
      <c r="EU112" s="21"/>
      <c r="EV112" s="21"/>
      <c r="EW112" s="21"/>
      <c r="EX112" s="21"/>
      <c r="FA112" s="9"/>
      <c r="FB112" s="21"/>
      <c r="FC112" s="21"/>
      <c r="FD112" s="21"/>
      <c r="FE112" s="21"/>
      <c r="FF112" s="21"/>
    </row>
    <row r="113" spans="6:162" x14ac:dyDescent="0.25">
      <c r="F113" s="9"/>
      <c r="G113" s="21">
        <v>0.68130500000000005</v>
      </c>
      <c r="H113" s="21">
        <v>6.0526299999999997</v>
      </c>
      <c r="I113" s="24">
        <v>-5.3436300000000002E-5</v>
      </c>
      <c r="J113" s="21">
        <v>103</v>
      </c>
      <c r="K113" s="21">
        <v>0.68090799999999996</v>
      </c>
      <c r="L113">
        <f t="shared" si="12"/>
        <v>6.5970740740740733E-2</v>
      </c>
      <c r="M113">
        <f t="shared" si="13"/>
        <v>4.4946195520370366E-2</v>
      </c>
      <c r="N113" s="9"/>
      <c r="O113" s="21">
        <v>0.41870099999999999</v>
      </c>
      <c r="P113" s="21">
        <v>8.6733700000000002</v>
      </c>
      <c r="Q113" s="24">
        <v>-4.8919699999999999E-5</v>
      </c>
      <c r="R113" s="21">
        <v>103</v>
      </c>
      <c r="S113" s="21">
        <v>0.41836499999999999</v>
      </c>
      <c r="T113">
        <f t="shared" si="14"/>
        <v>6.0394691358024687E-2</v>
      </c>
      <c r="U113">
        <f t="shared" si="15"/>
        <v>2.5287317666296293E-2</v>
      </c>
      <c r="X113" s="9"/>
      <c r="Y113" s="21">
        <v>0.68130500000000005</v>
      </c>
      <c r="Z113" s="21">
        <v>13.033799999999999</v>
      </c>
      <c r="AA113" s="24">
        <v>-4.9377399999999999E-5</v>
      </c>
      <c r="AB113" s="21">
        <v>103</v>
      </c>
      <c r="AC113" s="21">
        <v>0.68093899999999996</v>
      </c>
      <c r="AD113">
        <f t="shared" si="16"/>
        <v>6.0959753086419745E-2</v>
      </c>
      <c r="AE113">
        <f t="shared" si="17"/>
        <v>4.1532184576543209E-2</v>
      </c>
      <c r="AF113" s="9"/>
      <c r="AG113" s="21">
        <v>0.41870099999999999</v>
      </c>
      <c r="AH113" s="21">
        <v>15.654500000000001</v>
      </c>
      <c r="AI113" s="24">
        <v>-4.6600300000000002E-5</v>
      </c>
      <c r="AJ113" s="21">
        <v>103</v>
      </c>
      <c r="AK113" s="21">
        <v>0.41830400000000001</v>
      </c>
      <c r="AL113">
        <f t="shared" si="18"/>
        <v>5.7531234567901234E-2</v>
      </c>
      <c r="AM113">
        <f t="shared" si="19"/>
        <v>2.4088385444814814E-2</v>
      </c>
      <c r="AP113" s="9"/>
      <c r="AQ113" s="21">
        <v>0.68130500000000005</v>
      </c>
      <c r="AR113" s="21">
        <v>19.957000000000001</v>
      </c>
      <c r="AS113" s="24">
        <v>-4.7058100000000003E-5</v>
      </c>
      <c r="AT113" s="21">
        <v>103</v>
      </c>
      <c r="AU113" s="21">
        <v>0.68090799999999996</v>
      </c>
      <c r="AV113">
        <f t="shared" si="20"/>
        <v>5.8096419753086416E-2</v>
      </c>
      <c r="AW113">
        <f t="shared" si="21"/>
        <v>3.9581381259876543E-2</v>
      </c>
      <c r="AX113" s="9"/>
      <c r="AY113" s="21">
        <v>0.41870099999999999</v>
      </c>
      <c r="AZ113" s="21">
        <v>22.5777</v>
      </c>
      <c r="BA113" s="24">
        <v>-4.49524E-5</v>
      </c>
      <c r="BB113" s="21">
        <v>103</v>
      </c>
      <c r="BC113" s="21">
        <v>0.41836499999999999</v>
      </c>
      <c r="BD113">
        <f t="shared" si="22"/>
        <v>5.5496790123456784E-2</v>
      </c>
      <c r="BE113">
        <f t="shared" si="23"/>
        <v>2.3236561521481479E-2</v>
      </c>
      <c r="BH113" s="9"/>
      <c r="BI113" s="21"/>
      <c r="BJ113" s="21"/>
      <c r="BK113" s="21"/>
      <c r="BL113" s="21"/>
      <c r="BM113" s="21"/>
      <c r="BP113" s="9"/>
      <c r="BQ113" s="21"/>
      <c r="BR113" s="21"/>
      <c r="BS113" s="21"/>
      <c r="BT113" s="21"/>
      <c r="BU113" s="21"/>
      <c r="BZ113" s="9"/>
      <c r="CA113" s="21"/>
      <c r="CB113" s="21"/>
      <c r="CC113" s="21"/>
      <c r="CD113" s="21"/>
      <c r="CE113" s="21"/>
      <c r="CH113" s="9"/>
      <c r="CI113" s="21"/>
      <c r="CJ113" s="21"/>
      <c r="CK113" s="21"/>
      <c r="CL113" s="21"/>
      <c r="CM113" s="21"/>
      <c r="CR113" s="9"/>
      <c r="CS113" s="21"/>
      <c r="CT113" s="21"/>
      <c r="CU113" s="21"/>
      <c r="CV113" s="21"/>
      <c r="CW113" s="21"/>
      <c r="CZ113" s="9"/>
      <c r="DA113" s="21"/>
      <c r="DB113" s="21"/>
      <c r="DC113" s="21"/>
      <c r="DD113" s="21"/>
      <c r="DE113" s="21"/>
      <c r="DJ113" s="9"/>
      <c r="DK113" s="21"/>
      <c r="DL113" s="21"/>
      <c r="DM113" s="21"/>
      <c r="DN113" s="21"/>
      <c r="DO113" s="21"/>
      <c r="DR113" s="9"/>
      <c r="DS113" s="21"/>
      <c r="DT113" s="21"/>
      <c r="DU113" s="21"/>
      <c r="DV113" s="21"/>
      <c r="DW113" s="21"/>
      <c r="EB113" s="9"/>
      <c r="EC113" s="21"/>
      <c r="ED113" s="21"/>
      <c r="EE113" s="21"/>
      <c r="EF113" s="21"/>
      <c r="EG113" s="21"/>
      <c r="EJ113" s="9"/>
      <c r="EK113" s="21"/>
      <c r="EL113" s="21"/>
      <c r="EM113" s="21"/>
      <c r="EN113" s="21"/>
      <c r="EO113" s="21"/>
      <c r="ES113" s="9"/>
      <c r="ET113" s="21"/>
      <c r="EU113" s="21"/>
      <c r="EV113" s="21"/>
      <c r="EW113" s="21"/>
      <c r="EX113" s="21"/>
      <c r="FA113" s="9"/>
      <c r="FB113" s="21"/>
      <c r="FC113" s="21"/>
      <c r="FD113" s="21"/>
      <c r="FE113" s="21"/>
      <c r="FF113" s="21"/>
    </row>
    <row r="114" spans="6:162" x14ac:dyDescent="0.25">
      <c r="F114" s="9"/>
      <c r="G114" s="21">
        <v>0.67627000000000004</v>
      </c>
      <c r="H114" s="21">
        <v>6.0627000000000004</v>
      </c>
      <c r="I114" s="24">
        <v>-5.3558299999999998E-5</v>
      </c>
      <c r="J114" s="21">
        <v>104</v>
      </c>
      <c r="K114" s="21">
        <v>0.67596400000000001</v>
      </c>
      <c r="L114">
        <f t="shared" si="12"/>
        <v>6.6121358024691351E-2</v>
      </c>
      <c r="M114">
        <f t="shared" si="13"/>
        <v>4.4715890791358022E-2</v>
      </c>
      <c r="N114" s="9"/>
      <c r="O114" s="21">
        <v>0.42373699999999997</v>
      </c>
      <c r="P114" s="21">
        <v>8.6834399999999992</v>
      </c>
      <c r="Q114" s="24">
        <v>-4.8706099999999998E-5</v>
      </c>
      <c r="R114" s="21">
        <v>104</v>
      </c>
      <c r="S114" s="21">
        <v>0.42340100000000003</v>
      </c>
      <c r="T114">
        <f t="shared" si="14"/>
        <v>6.0130987654320983E-2</v>
      </c>
      <c r="U114">
        <f t="shared" si="15"/>
        <v>2.5479724315679009E-2</v>
      </c>
      <c r="X114" s="9"/>
      <c r="Y114" s="21">
        <v>0.67627000000000004</v>
      </c>
      <c r="Z114" s="21">
        <v>13.043900000000001</v>
      </c>
      <c r="AA114" s="24">
        <v>-4.9530000000000002E-5</v>
      </c>
      <c r="AB114" s="21">
        <v>104</v>
      </c>
      <c r="AC114" s="21">
        <v>0.67599500000000001</v>
      </c>
      <c r="AD114">
        <f t="shared" si="16"/>
        <v>6.1148148148148146E-2</v>
      </c>
      <c r="AE114">
        <f t="shared" si="17"/>
        <v>4.1352658148148147E-2</v>
      </c>
      <c r="AF114" s="9"/>
      <c r="AG114" s="21">
        <v>0.42373699999999997</v>
      </c>
      <c r="AH114" s="21">
        <v>15.6646</v>
      </c>
      <c r="AI114" s="24">
        <v>-4.6478299999999998E-5</v>
      </c>
      <c r="AJ114" s="21">
        <v>104</v>
      </c>
      <c r="AK114" s="21">
        <v>0.42340100000000003</v>
      </c>
      <c r="AL114">
        <f t="shared" si="18"/>
        <v>5.7380617283950615E-2</v>
      </c>
      <c r="AM114">
        <f t="shared" si="19"/>
        <v>2.4314290626049381E-2</v>
      </c>
      <c r="AP114" s="9"/>
      <c r="AQ114" s="21">
        <v>0.67627000000000004</v>
      </c>
      <c r="AR114" s="21">
        <v>19.967099999999999</v>
      </c>
      <c r="AS114" s="24">
        <v>-4.7241199999999998E-5</v>
      </c>
      <c r="AT114" s="21">
        <v>104</v>
      </c>
      <c r="AU114" s="21">
        <v>0.67599500000000001</v>
      </c>
      <c r="AV114">
        <f t="shared" si="20"/>
        <v>5.8322469135802461E-2</v>
      </c>
      <c r="AW114">
        <f t="shared" si="21"/>
        <v>3.944173620246913E-2</v>
      </c>
      <c r="AX114" s="9"/>
      <c r="AY114" s="21">
        <v>0.42373699999999997</v>
      </c>
      <c r="AZ114" s="21">
        <v>22.587800000000001</v>
      </c>
      <c r="BA114" s="24">
        <v>-4.4799799999999998E-5</v>
      </c>
      <c r="BB114" s="21">
        <v>104</v>
      </c>
      <c r="BC114" s="21">
        <v>0.42333999999999999</v>
      </c>
      <c r="BD114">
        <f t="shared" si="22"/>
        <v>5.530839506172839E-2</v>
      </c>
      <c r="BE114">
        <f t="shared" si="23"/>
        <v>2.3436213398271601E-2</v>
      </c>
      <c r="BH114" s="9"/>
      <c r="BI114" s="21"/>
      <c r="BJ114" s="21"/>
      <c r="BK114" s="21"/>
      <c r="BL114" s="21"/>
      <c r="BM114" s="21"/>
      <c r="BP114" s="9"/>
      <c r="BQ114" s="21"/>
      <c r="BR114" s="21"/>
      <c r="BS114" s="21"/>
      <c r="BT114" s="21"/>
      <c r="BU114" s="21"/>
      <c r="BZ114" s="9"/>
      <c r="CA114" s="21"/>
      <c r="CB114" s="21"/>
      <c r="CC114" s="21"/>
      <c r="CD114" s="21"/>
      <c r="CE114" s="21"/>
      <c r="CH114" s="9"/>
      <c r="CI114" s="21"/>
      <c r="CJ114" s="21"/>
      <c r="CK114" s="21"/>
      <c r="CL114" s="21"/>
      <c r="CM114" s="21"/>
      <c r="CR114" s="9"/>
      <c r="CS114" s="21"/>
      <c r="CT114" s="21"/>
      <c r="CU114" s="21"/>
      <c r="CV114" s="21"/>
      <c r="CW114" s="21"/>
      <c r="CZ114" s="9"/>
      <c r="DA114" s="21"/>
      <c r="DB114" s="21"/>
      <c r="DC114" s="21"/>
      <c r="DD114" s="21"/>
      <c r="DE114" s="21"/>
      <c r="DJ114" s="9"/>
      <c r="DK114" s="21"/>
      <c r="DL114" s="21"/>
      <c r="DM114" s="21"/>
      <c r="DN114" s="21"/>
      <c r="DO114" s="21"/>
      <c r="DR114" s="9"/>
      <c r="DS114" s="21"/>
      <c r="DT114" s="21"/>
      <c r="DU114" s="21"/>
      <c r="DV114" s="21"/>
      <c r="DW114" s="21"/>
      <c r="EB114" s="9"/>
      <c r="EC114" s="21"/>
      <c r="ED114" s="21"/>
      <c r="EE114" s="21"/>
      <c r="EF114" s="21"/>
      <c r="EG114" s="21"/>
      <c r="EJ114" s="9"/>
      <c r="EK114" s="21"/>
      <c r="EL114" s="21"/>
      <c r="EM114" s="21"/>
      <c r="EN114" s="21"/>
      <c r="EO114" s="21"/>
      <c r="ES114" s="9"/>
      <c r="ET114" s="21"/>
      <c r="EU114" s="21"/>
      <c r="EV114" s="21"/>
      <c r="EW114" s="21"/>
      <c r="EX114" s="21"/>
      <c r="FA114" s="9"/>
      <c r="FB114" s="21"/>
      <c r="FC114" s="21"/>
      <c r="FD114" s="21"/>
      <c r="FE114" s="21"/>
      <c r="FF114" s="21"/>
    </row>
    <row r="115" spans="6:162" x14ac:dyDescent="0.25">
      <c r="F115" s="9"/>
      <c r="G115" s="21">
        <v>0.671234</v>
      </c>
      <c r="H115" s="21">
        <v>6.0727700000000002</v>
      </c>
      <c r="I115" s="24">
        <v>-5.3802499999999999E-5</v>
      </c>
      <c r="J115" s="21">
        <v>105</v>
      </c>
      <c r="K115" s="21">
        <v>0.67089799999999999</v>
      </c>
      <c r="L115">
        <f t="shared" si="12"/>
        <v>6.6422839506172837E-2</v>
      </c>
      <c r="M115">
        <f t="shared" si="13"/>
        <v>4.4585268253086417E-2</v>
      </c>
      <c r="N115" s="9"/>
      <c r="O115" s="21">
        <v>0.42877199999999999</v>
      </c>
      <c r="P115" s="21">
        <v>8.6935099999999998</v>
      </c>
      <c r="Q115" s="24">
        <v>-4.8522900000000003E-5</v>
      </c>
      <c r="R115" s="21">
        <v>105</v>
      </c>
      <c r="S115" s="21">
        <v>0.42843599999999998</v>
      </c>
      <c r="T115">
        <f t="shared" si="14"/>
        <v>5.9904814814814814E-2</v>
      </c>
      <c r="U115">
        <f t="shared" si="15"/>
        <v>2.5685507257777778E-2</v>
      </c>
      <c r="X115" s="9"/>
      <c r="Y115" s="21">
        <v>0.671234</v>
      </c>
      <c r="Z115" s="21">
        <v>13.053900000000001</v>
      </c>
      <c r="AA115" s="24">
        <v>-4.9743700000000003E-5</v>
      </c>
      <c r="AB115" s="21">
        <v>105</v>
      </c>
      <c r="AC115" s="21">
        <v>0.67089799999999999</v>
      </c>
      <c r="AD115">
        <f t="shared" si="16"/>
        <v>6.1411975308641981E-2</v>
      </c>
      <c r="AE115">
        <f t="shared" si="17"/>
        <v>4.1221805834320994E-2</v>
      </c>
      <c r="AF115" s="9"/>
      <c r="AG115" s="21">
        <v>0.42877199999999999</v>
      </c>
      <c r="AH115" s="21">
        <v>15.6747</v>
      </c>
      <c r="AI115" s="24">
        <v>-4.6356200000000002E-5</v>
      </c>
      <c r="AJ115" s="21">
        <v>105</v>
      </c>
      <c r="AK115" s="21">
        <v>0.42843599999999998</v>
      </c>
      <c r="AL115">
        <f t="shared" si="18"/>
        <v>5.7229876543209872E-2</v>
      </c>
      <c r="AM115">
        <f t="shared" si="19"/>
        <v>2.4538568625185182E-2</v>
      </c>
      <c r="AP115" s="9"/>
      <c r="AQ115" s="21">
        <v>0.671234</v>
      </c>
      <c r="AR115" s="21">
        <v>19.9771</v>
      </c>
      <c r="AS115" s="24">
        <v>-4.7424299999999999E-5</v>
      </c>
      <c r="AT115" s="21">
        <v>105</v>
      </c>
      <c r="AU115" s="21">
        <v>0.67089799999999999</v>
      </c>
      <c r="AV115">
        <f t="shared" si="20"/>
        <v>5.8548518518518514E-2</v>
      </c>
      <c r="AW115">
        <f t="shared" si="21"/>
        <v>3.9299756279259253E-2</v>
      </c>
      <c r="AX115" s="9"/>
      <c r="AY115" s="21">
        <v>0.42877199999999999</v>
      </c>
      <c r="AZ115" s="21">
        <v>22.597899999999999</v>
      </c>
      <c r="BA115" s="24">
        <v>-4.4677700000000001E-5</v>
      </c>
      <c r="BB115" s="21">
        <v>105</v>
      </c>
      <c r="BC115" s="21">
        <v>0.42840600000000001</v>
      </c>
      <c r="BD115">
        <f t="shared" si="22"/>
        <v>5.5157654320987654E-2</v>
      </c>
      <c r="BE115">
        <f t="shared" si="23"/>
        <v>2.3650057758518517E-2</v>
      </c>
      <c r="BH115" s="9"/>
      <c r="BI115" s="21"/>
      <c r="BJ115" s="21"/>
      <c r="BK115" s="21"/>
      <c r="BL115" s="21"/>
      <c r="BM115" s="21"/>
      <c r="BP115" s="9"/>
      <c r="BQ115" s="21"/>
      <c r="BR115" s="21"/>
      <c r="BS115" s="21"/>
      <c r="BT115" s="21"/>
      <c r="BU115" s="21"/>
      <c r="BZ115" s="9"/>
      <c r="CA115" s="21"/>
      <c r="CB115" s="21"/>
      <c r="CC115" s="21"/>
      <c r="CD115" s="21"/>
      <c r="CE115" s="21"/>
      <c r="CH115" s="9"/>
      <c r="CI115" s="21"/>
      <c r="CJ115" s="21"/>
      <c r="CK115" s="21"/>
      <c r="CL115" s="21"/>
      <c r="CM115" s="21"/>
      <c r="CR115" s="9"/>
      <c r="CS115" s="21"/>
      <c r="CT115" s="21"/>
      <c r="CU115" s="21"/>
      <c r="CV115" s="21"/>
      <c r="CW115" s="21"/>
      <c r="CZ115" s="9"/>
      <c r="DA115" s="21"/>
      <c r="DB115" s="21"/>
      <c r="DC115" s="21"/>
      <c r="DD115" s="21"/>
      <c r="DE115" s="21"/>
      <c r="DJ115" s="9"/>
      <c r="DK115" s="21"/>
      <c r="DL115" s="21"/>
      <c r="DM115" s="21"/>
      <c r="DN115" s="21"/>
      <c r="DO115" s="21"/>
      <c r="DR115" s="9"/>
      <c r="DS115" s="21"/>
      <c r="DT115" s="21"/>
      <c r="DU115" s="21"/>
      <c r="DV115" s="21"/>
      <c r="DW115" s="21"/>
      <c r="EB115" s="9"/>
      <c r="EC115" s="21"/>
      <c r="ED115" s="21"/>
      <c r="EE115" s="21"/>
      <c r="EF115" s="21"/>
      <c r="EG115" s="21"/>
      <c r="EJ115" s="9"/>
      <c r="EK115" s="21"/>
      <c r="EL115" s="21"/>
      <c r="EM115" s="21"/>
      <c r="EN115" s="21"/>
      <c r="EO115" s="21"/>
      <c r="ES115" s="9"/>
      <c r="ET115" s="21"/>
      <c r="EU115" s="21"/>
      <c r="EV115" s="21"/>
      <c r="EW115" s="21"/>
      <c r="EX115" s="21"/>
      <c r="FA115" s="9"/>
      <c r="FB115" s="21"/>
      <c r="FC115" s="21"/>
      <c r="FD115" s="21"/>
      <c r="FE115" s="21"/>
      <c r="FF115" s="21"/>
    </row>
    <row r="116" spans="6:162" x14ac:dyDescent="0.25">
      <c r="F116" s="9"/>
      <c r="G116" s="21">
        <v>0.66619899999999999</v>
      </c>
      <c r="H116" s="21">
        <v>6.0828499999999996</v>
      </c>
      <c r="I116" s="24">
        <v>-5.3955100000000001E-5</v>
      </c>
      <c r="J116" s="21">
        <v>106</v>
      </c>
      <c r="K116" s="21">
        <v>0.66583300000000001</v>
      </c>
      <c r="L116">
        <f t="shared" si="12"/>
        <v>6.6611234567901231E-2</v>
      </c>
      <c r="M116">
        <f t="shared" si="13"/>
        <v>4.4376337857901231E-2</v>
      </c>
      <c r="N116" s="9"/>
      <c r="O116" s="21">
        <v>0.433807</v>
      </c>
      <c r="P116" s="21">
        <v>8.7035900000000002</v>
      </c>
      <c r="Q116" s="24">
        <v>-4.8400899999999999E-5</v>
      </c>
      <c r="R116" s="21">
        <v>106</v>
      </c>
      <c r="S116" s="21">
        <v>0.433533</v>
      </c>
      <c r="T116">
        <f t="shared" si="14"/>
        <v>5.9754197530864195E-2</v>
      </c>
      <c r="U116">
        <f t="shared" si="15"/>
        <v>2.5921789168271602E-2</v>
      </c>
      <c r="X116" s="9"/>
      <c r="Y116" s="21">
        <v>0.66619899999999999</v>
      </c>
      <c r="Z116" s="21">
        <v>13.064</v>
      </c>
      <c r="AA116" s="24">
        <v>-4.9865699999999999E-5</v>
      </c>
      <c r="AB116" s="21">
        <v>106</v>
      </c>
      <c r="AC116" s="21">
        <v>0.66589399999999999</v>
      </c>
      <c r="AD116">
        <f t="shared" si="16"/>
        <v>6.1562592592592578E-2</v>
      </c>
      <c r="AE116">
        <f t="shared" si="17"/>
        <v>4.1012937622592581E-2</v>
      </c>
      <c r="AF116" s="9"/>
      <c r="AG116" s="21">
        <v>0.433807</v>
      </c>
      <c r="AH116" s="21">
        <v>15.684799999999999</v>
      </c>
      <c r="AI116" s="24">
        <v>-4.6234099999999998E-5</v>
      </c>
      <c r="AJ116" s="21">
        <v>106</v>
      </c>
      <c r="AK116" s="21">
        <v>0.433502</v>
      </c>
      <c r="AL116">
        <f t="shared" si="18"/>
        <v>5.7079135802469129E-2</v>
      </c>
      <c r="AM116">
        <f t="shared" si="19"/>
        <v>2.4761328665061727E-2</v>
      </c>
      <c r="AP116" s="9"/>
      <c r="AQ116" s="21">
        <v>0.66619899999999999</v>
      </c>
      <c r="AR116" s="21">
        <v>19.987200000000001</v>
      </c>
      <c r="AS116" s="24">
        <v>-4.7515899999999997E-5</v>
      </c>
      <c r="AT116" s="21">
        <v>106</v>
      </c>
      <c r="AU116" s="21">
        <v>0.66583300000000001</v>
      </c>
      <c r="AV116">
        <f t="shared" si="20"/>
        <v>5.8661604938271592E-2</v>
      </c>
      <c r="AW116">
        <f t="shared" si="21"/>
        <v>3.9080302548271592E-2</v>
      </c>
      <c r="AX116" s="9"/>
      <c r="AY116" s="21">
        <v>0.433807</v>
      </c>
      <c r="AZ116" s="21">
        <v>22.607900000000001</v>
      </c>
      <c r="BA116" s="24">
        <v>-4.4586199999999997E-5</v>
      </c>
      <c r="BB116" s="21">
        <v>106</v>
      </c>
      <c r="BC116" s="21">
        <v>0.43347200000000002</v>
      </c>
      <c r="BD116">
        <f t="shared" si="22"/>
        <v>5.5044691358024686E-2</v>
      </c>
      <c r="BE116">
        <f t="shared" si="23"/>
        <v>2.3878772423950614E-2</v>
      </c>
      <c r="BH116" s="9"/>
      <c r="BI116" s="21"/>
      <c r="BJ116" s="21"/>
      <c r="BK116" s="21"/>
      <c r="BL116" s="21"/>
      <c r="BM116" s="21"/>
      <c r="BP116" s="9"/>
      <c r="BQ116" s="21"/>
      <c r="BR116" s="21"/>
      <c r="BS116" s="21"/>
      <c r="BT116" s="21"/>
      <c r="BU116" s="21"/>
      <c r="BZ116" s="9"/>
      <c r="CA116" s="21"/>
      <c r="CB116" s="21"/>
      <c r="CC116" s="21"/>
      <c r="CD116" s="21"/>
      <c r="CE116" s="21"/>
      <c r="CH116" s="9"/>
      <c r="CI116" s="21"/>
      <c r="CJ116" s="21"/>
      <c r="CK116" s="21"/>
      <c r="CL116" s="21"/>
      <c r="CM116" s="21"/>
      <c r="CR116" s="9"/>
      <c r="CS116" s="21"/>
      <c r="CT116" s="21"/>
      <c r="CU116" s="21"/>
      <c r="CV116" s="21"/>
      <c r="CW116" s="21"/>
      <c r="CZ116" s="9"/>
      <c r="DA116" s="21"/>
      <c r="DB116" s="21"/>
      <c r="DC116" s="21"/>
      <c r="DD116" s="21"/>
      <c r="DE116" s="21"/>
      <c r="DJ116" s="9"/>
      <c r="DK116" s="21"/>
      <c r="DL116" s="21"/>
      <c r="DM116" s="21"/>
      <c r="DN116" s="21"/>
      <c r="DO116" s="21"/>
      <c r="DR116" s="9"/>
      <c r="DS116" s="21"/>
      <c r="DT116" s="21"/>
      <c r="DU116" s="21"/>
      <c r="DV116" s="21"/>
      <c r="DW116" s="21"/>
      <c r="EB116" s="9"/>
      <c r="EC116" s="21"/>
      <c r="ED116" s="21"/>
      <c r="EE116" s="21"/>
      <c r="EF116" s="21"/>
      <c r="EG116" s="21"/>
      <c r="EJ116" s="9"/>
      <c r="EK116" s="21"/>
      <c r="EL116" s="21"/>
      <c r="EM116" s="21"/>
      <c r="EN116" s="21"/>
      <c r="EO116" s="21"/>
      <c r="ES116" s="9"/>
      <c r="ET116" s="21"/>
      <c r="EU116" s="21"/>
      <c r="EV116" s="21"/>
      <c r="EW116" s="21"/>
      <c r="EX116" s="21"/>
      <c r="FA116" s="9"/>
      <c r="FB116" s="21"/>
      <c r="FC116" s="21"/>
      <c r="FD116" s="21"/>
      <c r="FE116" s="21"/>
      <c r="FF116" s="21"/>
    </row>
    <row r="117" spans="6:162" x14ac:dyDescent="0.25">
      <c r="F117" s="9"/>
      <c r="G117" s="21">
        <v>0.66116299999999995</v>
      </c>
      <c r="H117" s="21">
        <v>6.0929200000000003</v>
      </c>
      <c r="I117" s="24">
        <v>-5.4168700000000002E-5</v>
      </c>
      <c r="J117" s="21">
        <v>107</v>
      </c>
      <c r="K117" s="21">
        <v>0.66073599999999999</v>
      </c>
      <c r="L117">
        <f t="shared" si="12"/>
        <v>6.6874938271604942E-2</v>
      </c>
      <c r="M117">
        <f t="shared" si="13"/>
        <v>4.4215234812469133E-2</v>
      </c>
      <c r="N117" s="9"/>
      <c r="O117" s="21">
        <v>0.43884299999999998</v>
      </c>
      <c r="P117" s="21">
        <v>8.7136600000000008</v>
      </c>
      <c r="Q117" s="24">
        <v>-4.8309300000000002E-5</v>
      </c>
      <c r="R117" s="21">
        <v>107</v>
      </c>
      <c r="S117" s="21">
        <v>0.43847700000000001</v>
      </c>
      <c r="T117">
        <f t="shared" si="14"/>
        <v>5.964111111111111E-2</v>
      </c>
      <c r="U117">
        <f t="shared" si="15"/>
        <v>2.6173084123333332E-2</v>
      </c>
      <c r="X117" s="9"/>
      <c r="Y117" s="21">
        <v>0.66116299999999995</v>
      </c>
      <c r="Z117" s="21">
        <v>13.0741</v>
      </c>
      <c r="AA117" s="24">
        <v>-5.0048800000000001E-5</v>
      </c>
      <c r="AB117" s="21">
        <v>107</v>
      </c>
      <c r="AC117" s="21">
        <v>0.66082799999999997</v>
      </c>
      <c r="AD117">
        <f t="shared" si="16"/>
        <v>6.1788641975308645E-2</v>
      </c>
      <c r="AE117">
        <f t="shared" si="17"/>
        <v>4.0852363894320988E-2</v>
      </c>
      <c r="AF117" s="9"/>
      <c r="AG117" s="21">
        <v>0.43884299999999998</v>
      </c>
      <c r="AH117" s="21">
        <v>15.694800000000001</v>
      </c>
      <c r="AI117" s="24">
        <v>-4.6142600000000001E-5</v>
      </c>
      <c r="AJ117" s="21">
        <v>107</v>
      </c>
      <c r="AK117" s="21">
        <v>0.43847700000000001</v>
      </c>
      <c r="AL117">
        <f t="shared" si="18"/>
        <v>5.6966172839506175E-2</v>
      </c>
      <c r="AM117">
        <f t="shared" si="19"/>
        <v>2.4999206187407409E-2</v>
      </c>
      <c r="AP117" s="9"/>
      <c r="AQ117" s="21">
        <v>0.66116299999999995</v>
      </c>
      <c r="AR117" s="21">
        <v>19.997299999999999</v>
      </c>
      <c r="AS117" s="24">
        <v>-4.76379E-5</v>
      </c>
      <c r="AT117" s="21">
        <v>107</v>
      </c>
      <c r="AU117" s="21">
        <v>0.66076699999999999</v>
      </c>
      <c r="AV117">
        <f t="shared" si="20"/>
        <v>5.8812222222222217E-2</v>
      </c>
      <c r="AW117">
        <f t="shared" si="21"/>
        <v>3.8884465281111107E-2</v>
      </c>
      <c r="AX117" s="9"/>
      <c r="AY117" s="21">
        <v>0.43884299999999998</v>
      </c>
      <c r="AZ117" s="21">
        <v>22.617999999999999</v>
      </c>
      <c r="BA117" s="24">
        <v>-4.4342000000000003E-5</v>
      </c>
      <c r="BB117" s="21">
        <v>107</v>
      </c>
      <c r="BC117" s="21">
        <v>0.43850699999999998</v>
      </c>
      <c r="BD117">
        <f t="shared" si="22"/>
        <v>5.4743209876543207E-2</v>
      </c>
      <c r="BE117">
        <f t="shared" si="23"/>
        <v>2.4023674451851849E-2</v>
      </c>
      <c r="BH117" s="9"/>
      <c r="BI117" s="21"/>
      <c r="BJ117" s="21"/>
      <c r="BK117" s="21"/>
      <c r="BL117" s="21"/>
      <c r="BM117" s="21"/>
      <c r="BP117" s="9"/>
      <c r="BQ117" s="21"/>
      <c r="BR117" s="21"/>
      <c r="BS117" s="21"/>
      <c r="BT117" s="21"/>
      <c r="BU117" s="21"/>
      <c r="BZ117" s="9"/>
      <c r="CA117" s="21"/>
      <c r="CB117" s="21"/>
      <c r="CC117" s="21"/>
      <c r="CD117" s="21"/>
      <c r="CE117" s="21"/>
      <c r="CH117" s="9"/>
      <c r="CI117" s="21"/>
      <c r="CJ117" s="21"/>
      <c r="CK117" s="21"/>
      <c r="CL117" s="21"/>
      <c r="CM117" s="21"/>
      <c r="CR117" s="9"/>
      <c r="CS117" s="21"/>
      <c r="CT117" s="21"/>
      <c r="CU117" s="21"/>
      <c r="CV117" s="21"/>
      <c r="CW117" s="21"/>
      <c r="CZ117" s="9"/>
      <c r="DA117" s="21"/>
      <c r="DB117" s="21"/>
      <c r="DC117" s="21"/>
      <c r="DD117" s="21"/>
      <c r="DE117" s="21"/>
      <c r="DJ117" s="9"/>
      <c r="DK117" s="21"/>
      <c r="DL117" s="21"/>
      <c r="DM117" s="21"/>
      <c r="DN117" s="21"/>
      <c r="DO117" s="21"/>
      <c r="DR117" s="9"/>
      <c r="DS117" s="21"/>
      <c r="DT117" s="21"/>
      <c r="DU117" s="21"/>
      <c r="DV117" s="21"/>
      <c r="DW117" s="21"/>
      <c r="EB117" s="9"/>
      <c r="EC117" s="21"/>
      <c r="ED117" s="21"/>
      <c r="EE117" s="21"/>
      <c r="EF117" s="21"/>
      <c r="EG117" s="21"/>
      <c r="EJ117" s="9"/>
      <c r="EK117" s="21"/>
      <c r="EL117" s="21"/>
      <c r="EM117" s="21"/>
      <c r="EN117" s="21"/>
      <c r="EO117" s="21"/>
      <c r="ES117" s="9"/>
      <c r="ET117" s="21"/>
      <c r="EU117" s="21"/>
      <c r="EV117" s="21"/>
      <c r="EW117" s="21"/>
      <c r="EX117" s="21"/>
      <c r="FA117" s="9"/>
      <c r="FB117" s="21"/>
      <c r="FC117" s="21"/>
      <c r="FD117" s="21"/>
      <c r="FE117" s="21"/>
      <c r="FF117" s="21"/>
    </row>
    <row r="118" spans="6:162" x14ac:dyDescent="0.25">
      <c r="F118" s="9"/>
      <c r="G118" s="21">
        <v>0.65612800000000004</v>
      </c>
      <c r="H118" s="21">
        <v>6.1029900000000001</v>
      </c>
      <c r="I118" s="24">
        <v>-5.4290799999999999E-5</v>
      </c>
      <c r="J118" s="21">
        <v>108</v>
      </c>
      <c r="K118" s="21">
        <v>0.65573099999999995</v>
      </c>
      <c r="L118">
        <f t="shared" si="12"/>
        <v>6.7025679012345671E-2</v>
      </c>
      <c r="M118">
        <f t="shared" si="13"/>
        <v>4.3977424719012344E-2</v>
      </c>
      <c r="N118" s="9"/>
      <c r="O118" s="21">
        <v>0.44387799999999999</v>
      </c>
      <c r="P118" s="21">
        <v>8.7237299999999998</v>
      </c>
      <c r="Q118" s="24">
        <v>-4.8217799999999998E-5</v>
      </c>
      <c r="R118" s="21">
        <v>108</v>
      </c>
      <c r="S118" s="21">
        <v>0.44369500000000001</v>
      </c>
      <c r="T118">
        <f t="shared" si="14"/>
        <v>5.9528148148148143E-2</v>
      </c>
      <c r="U118">
        <f t="shared" si="15"/>
        <v>2.6423235343703701E-2</v>
      </c>
      <c r="X118" s="9"/>
      <c r="Y118" s="21">
        <v>0.65612800000000004</v>
      </c>
      <c r="Z118" s="21">
        <v>13.084199999999999</v>
      </c>
      <c r="AA118" s="24">
        <v>-5.0201399999999997E-5</v>
      </c>
      <c r="AB118" s="21">
        <v>108</v>
      </c>
      <c r="AC118" s="21">
        <v>0.65576199999999996</v>
      </c>
      <c r="AD118">
        <f t="shared" si="16"/>
        <v>6.1977037037037032E-2</v>
      </c>
      <c r="AE118">
        <f t="shared" si="17"/>
        <v>4.0664869357037038E-2</v>
      </c>
      <c r="AF118" s="9"/>
      <c r="AG118" s="21">
        <v>0.44387799999999999</v>
      </c>
      <c r="AH118" s="21">
        <v>15.7049</v>
      </c>
      <c r="AI118" s="24">
        <v>-4.5929E-5</v>
      </c>
      <c r="AJ118" s="21">
        <v>108</v>
      </c>
      <c r="AK118" s="21">
        <v>0.443573</v>
      </c>
      <c r="AL118">
        <f t="shared" si="18"/>
        <v>5.6702469135802465E-2</v>
      </c>
      <c r="AM118">
        <f t="shared" si="19"/>
        <v>2.5168978595061727E-2</v>
      </c>
      <c r="AP118" s="9"/>
      <c r="AQ118" s="21">
        <v>0.65612800000000004</v>
      </c>
      <c r="AR118" s="21">
        <v>20.007300000000001</v>
      </c>
      <c r="AS118" s="24">
        <v>-4.7851600000000001E-5</v>
      </c>
      <c r="AT118" s="21">
        <v>108</v>
      </c>
      <c r="AU118" s="21">
        <v>0.65582300000000004</v>
      </c>
      <c r="AV118">
        <f t="shared" si="20"/>
        <v>5.9076049382716045E-2</v>
      </c>
      <c r="AW118">
        <f t="shared" si="21"/>
        <v>3.8761450129382716E-2</v>
      </c>
      <c r="AX118" s="9"/>
      <c r="AY118" s="21">
        <v>0.44387799999999999</v>
      </c>
      <c r="AZ118" s="21">
        <v>22.6281</v>
      </c>
      <c r="BA118" s="24">
        <v>-4.4158900000000002E-5</v>
      </c>
      <c r="BB118" s="21">
        <v>108</v>
      </c>
      <c r="BC118" s="21">
        <v>0.443573</v>
      </c>
      <c r="BD118">
        <f t="shared" si="22"/>
        <v>5.4517160493827162E-2</v>
      </c>
      <c r="BE118">
        <f t="shared" si="23"/>
        <v>2.4198968165679013E-2</v>
      </c>
      <c r="BH118" s="9"/>
      <c r="BI118" s="21"/>
      <c r="BJ118" s="21"/>
      <c r="BK118" s="21"/>
      <c r="BL118" s="21"/>
      <c r="BM118" s="21"/>
      <c r="BP118" s="9"/>
      <c r="BQ118" s="21"/>
      <c r="BR118" s="21"/>
      <c r="BS118" s="21"/>
      <c r="BT118" s="21"/>
      <c r="BU118" s="21"/>
      <c r="BZ118" s="9"/>
      <c r="CA118" s="21"/>
      <c r="CB118" s="21"/>
      <c r="CC118" s="21"/>
      <c r="CD118" s="21"/>
      <c r="CE118" s="21"/>
      <c r="CH118" s="9"/>
      <c r="CI118" s="21"/>
      <c r="CJ118" s="21"/>
      <c r="CK118" s="21"/>
      <c r="CL118" s="21"/>
      <c r="CM118" s="21"/>
      <c r="CR118" s="9"/>
      <c r="CS118" s="21"/>
      <c r="CT118" s="21"/>
      <c r="CU118" s="21"/>
      <c r="CV118" s="21"/>
      <c r="CW118" s="21"/>
      <c r="CZ118" s="9"/>
      <c r="DA118" s="21"/>
      <c r="DB118" s="21"/>
      <c r="DC118" s="21"/>
      <c r="DD118" s="21"/>
      <c r="DE118" s="21"/>
      <c r="DJ118" s="9"/>
      <c r="DK118" s="21"/>
      <c r="DL118" s="21"/>
      <c r="DM118" s="21"/>
      <c r="DN118" s="21"/>
      <c r="DO118" s="21"/>
      <c r="DR118" s="9"/>
      <c r="DS118" s="21"/>
      <c r="DT118" s="21"/>
      <c r="DU118" s="21"/>
      <c r="DV118" s="21"/>
      <c r="DW118" s="21"/>
      <c r="EB118" s="9"/>
      <c r="EC118" s="21"/>
      <c r="ED118" s="21"/>
      <c r="EE118" s="21"/>
      <c r="EF118" s="21"/>
      <c r="EG118" s="21"/>
      <c r="EJ118" s="9"/>
      <c r="EK118" s="21"/>
      <c r="EL118" s="21"/>
      <c r="EM118" s="21"/>
      <c r="EN118" s="21"/>
      <c r="EO118" s="21"/>
      <c r="ES118" s="9"/>
      <c r="ET118" s="21"/>
      <c r="EU118" s="21"/>
      <c r="EV118" s="21"/>
      <c r="EW118" s="21"/>
      <c r="EX118" s="21"/>
      <c r="FA118" s="9"/>
      <c r="FB118" s="21"/>
      <c r="FC118" s="21"/>
      <c r="FD118" s="21"/>
      <c r="FE118" s="21"/>
      <c r="FF118" s="21"/>
    </row>
    <row r="119" spans="6:162" x14ac:dyDescent="0.25">
      <c r="F119" s="9"/>
      <c r="G119" s="21">
        <v>0.65109300000000003</v>
      </c>
      <c r="H119" s="21">
        <v>6.1130599999999999</v>
      </c>
      <c r="I119" s="24">
        <v>-5.4565399999999998E-5</v>
      </c>
      <c r="J119" s="21">
        <v>109</v>
      </c>
      <c r="K119" s="21">
        <v>0.65063499999999996</v>
      </c>
      <c r="L119">
        <f t="shared" si="12"/>
        <v>6.7364691358024684E-2</v>
      </c>
      <c r="M119">
        <f t="shared" si="13"/>
        <v>4.3860678990370369E-2</v>
      </c>
      <c r="N119" s="9"/>
      <c r="O119" s="21">
        <v>0.44891399999999998</v>
      </c>
      <c r="P119" s="21">
        <v>8.7338000000000005</v>
      </c>
      <c r="Q119" s="24">
        <v>-4.81262E-5</v>
      </c>
      <c r="R119" s="21">
        <v>109</v>
      </c>
      <c r="S119" s="21">
        <v>0.448517</v>
      </c>
      <c r="T119">
        <f t="shared" si="14"/>
        <v>5.9415061728395058E-2</v>
      </c>
      <c r="U119">
        <f t="shared" si="15"/>
        <v>2.6672253020740739E-2</v>
      </c>
      <c r="X119" s="9"/>
      <c r="Y119" s="21">
        <v>0.65109300000000003</v>
      </c>
      <c r="Z119" s="21">
        <v>13.094200000000001</v>
      </c>
      <c r="AA119" s="24">
        <v>-5.0170899999999998E-5</v>
      </c>
      <c r="AB119" s="21">
        <v>109</v>
      </c>
      <c r="AC119" s="21">
        <v>0.65072600000000003</v>
      </c>
      <c r="AD119">
        <f t="shared" si="16"/>
        <v>6.1939382716049381E-2</v>
      </c>
      <c r="AE119">
        <f t="shared" si="17"/>
        <v>4.032829851074074E-2</v>
      </c>
      <c r="AF119" s="9"/>
      <c r="AG119" s="21">
        <v>0.44891399999999998</v>
      </c>
      <c r="AH119" s="21">
        <v>15.715</v>
      </c>
      <c r="AI119" s="24">
        <v>-4.5776399999999998E-5</v>
      </c>
      <c r="AJ119" s="21">
        <v>109</v>
      </c>
      <c r="AK119" s="21">
        <v>0.44854699999999997</v>
      </c>
      <c r="AL119">
        <f t="shared" si="18"/>
        <v>5.6514074074074064E-2</v>
      </c>
      <c r="AM119">
        <f t="shared" si="19"/>
        <v>2.5369959048888883E-2</v>
      </c>
      <c r="AP119" s="9"/>
      <c r="AQ119" s="21">
        <v>0.65109300000000003</v>
      </c>
      <c r="AR119" s="21">
        <v>20.017399999999999</v>
      </c>
      <c r="AS119" s="24">
        <v>-4.81262E-5</v>
      </c>
      <c r="AT119" s="21">
        <v>109</v>
      </c>
      <c r="AU119" s="21">
        <v>0.65081800000000001</v>
      </c>
      <c r="AV119">
        <f t="shared" si="20"/>
        <v>5.9415061728395058E-2</v>
      </c>
      <c r="AW119">
        <f t="shared" si="21"/>
        <v>3.8684730785925922E-2</v>
      </c>
      <c r="AX119" s="9"/>
      <c r="AY119" s="21">
        <v>0.44891399999999998</v>
      </c>
      <c r="AZ119" s="21">
        <v>22.638200000000001</v>
      </c>
      <c r="BA119" s="24">
        <v>-4.4006299999999999E-5</v>
      </c>
      <c r="BB119" s="21">
        <v>109</v>
      </c>
      <c r="BC119" s="21">
        <v>0.448517</v>
      </c>
      <c r="BD119">
        <f t="shared" si="22"/>
        <v>5.4328765432098761E-2</v>
      </c>
      <c r="BE119">
        <f t="shared" si="23"/>
        <v>2.438894340518518E-2</v>
      </c>
      <c r="BH119" s="9"/>
      <c r="BI119" s="21"/>
      <c r="BJ119" s="21"/>
      <c r="BK119" s="21"/>
      <c r="BL119" s="21"/>
      <c r="BM119" s="21"/>
      <c r="BP119" s="9"/>
      <c r="BQ119" s="21"/>
      <c r="BR119" s="21"/>
      <c r="BS119" s="21"/>
      <c r="BT119" s="21"/>
      <c r="BU119" s="21"/>
      <c r="BZ119" s="9"/>
      <c r="CA119" s="21"/>
      <c r="CB119" s="21"/>
      <c r="CC119" s="21"/>
      <c r="CD119" s="21"/>
      <c r="CE119" s="21"/>
      <c r="CH119" s="9"/>
      <c r="CI119" s="21"/>
      <c r="CJ119" s="21"/>
      <c r="CK119" s="21"/>
      <c r="CL119" s="21"/>
      <c r="CM119" s="21"/>
      <c r="CR119" s="9"/>
      <c r="CS119" s="21"/>
      <c r="CT119" s="21"/>
      <c r="CU119" s="21"/>
      <c r="CV119" s="21"/>
      <c r="CW119" s="21"/>
      <c r="CZ119" s="9"/>
      <c r="DA119" s="21"/>
      <c r="DB119" s="21"/>
      <c r="DC119" s="21"/>
      <c r="DD119" s="21"/>
      <c r="DE119" s="21"/>
      <c r="DJ119" s="9"/>
      <c r="DK119" s="21"/>
      <c r="DL119" s="21"/>
      <c r="DM119" s="21"/>
      <c r="DN119" s="21"/>
      <c r="DO119" s="21"/>
      <c r="DR119" s="9"/>
      <c r="DS119" s="21"/>
      <c r="DT119" s="21"/>
      <c r="DU119" s="21"/>
      <c r="DV119" s="21"/>
      <c r="DW119" s="21"/>
      <c r="EB119" s="9"/>
      <c r="EC119" s="21"/>
      <c r="ED119" s="21"/>
      <c r="EE119" s="21"/>
      <c r="EF119" s="21"/>
      <c r="EG119" s="21"/>
      <c r="EJ119" s="9"/>
      <c r="EK119" s="21"/>
      <c r="EL119" s="21"/>
      <c r="EM119" s="21"/>
      <c r="EN119" s="21"/>
      <c r="EO119" s="21"/>
      <c r="ES119" s="9"/>
      <c r="ET119" s="21"/>
      <c r="EU119" s="21"/>
      <c r="EV119" s="21"/>
      <c r="EW119" s="21"/>
      <c r="EX119" s="21"/>
      <c r="FA119" s="9"/>
      <c r="FB119" s="21"/>
      <c r="FC119" s="21"/>
      <c r="FD119" s="21"/>
      <c r="FE119" s="21"/>
      <c r="FF119" s="21"/>
    </row>
    <row r="120" spans="6:162" x14ac:dyDescent="0.25">
      <c r="F120" s="9"/>
      <c r="G120" s="21">
        <v>0.64605699999999999</v>
      </c>
      <c r="H120" s="21">
        <v>6.1231299999999997</v>
      </c>
      <c r="I120" s="24">
        <v>-5.4718E-5</v>
      </c>
      <c r="J120" s="21">
        <v>110</v>
      </c>
      <c r="K120" s="21">
        <v>0.64575199999999999</v>
      </c>
      <c r="L120">
        <f t="shared" si="12"/>
        <v>6.7553086419753078E-2</v>
      </c>
      <c r="M120">
        <f t="shared" si="13"/>
        <v>4.3643144353086416E-2</v>
      </c>
      <c r="N120" s="9"/>
      <c r="O120" s="21">
        <v>0.45394899999999999</v>
      </c>
      <c r="P120" s="21">
        <v>8.7438699999999994</v>
      </c>
      <c r="Q120" s="24">
        <v>-4.7821000000000002E-5</v>
      </c>
      <c r="R120" s="21">
        <v>110</v>
      </c>
      <c r="S120" s="21">
        <v>0.45370500000000002</v>
      </c>
      <c r="T120">
        <f t="shared" si="14"/>
        <v>5.9038271604938269E-2</v>
      </c>
      <c r="U120">
        <f t="shared" si="15"/>
        <v>2.6800364356790122E-2</v>
      </c>
      <c r="X120" s="9"/>
      <c r="Y120" s="21">
        <v>0.64605699999999999</v>
      </c>
      <c r="Z120" s="21">
        <v>13.1043</v>
      </c>
      <c r="AA120" s="24">
        <v>-5.0353999999999999E-5</v>
      </c>
      <c r="AB120" s="21">
        <v>110</v>
      </c>
      <c r="AC120" s="21">
        <v>0.64569100000000001</v>
      </c>
      <c r="AD120">
        <f t="shared" si="16"/>
        <v>6.2165432098765433E-2</v>
      </c>
      <c r="AE120">
        <f t="shared" si="17"/>
        <v>4.0162412565432098E-2</v>
      </c>
      <c r="AF120" s="9"/>
      <c r="AG120" s="21">
        <v>0.45394899999999999</v>
      </c>
      <c r="AH120" s="21">
        <v>15.725</v>
      </c>
      <c r="AI120" s="24">
        <v>-4.5593300000000003E-5</v>
      </c>
      <c r="AJ120" s="21">
        <v>110</v>
      </c>
      <c r="AK120" s="21">
        <v>0.45361299999999999</v>
      </c>
      <c r="AL120">
        <f t="shared" si="18"/>
        <v>5.6288024691358018E-2</v>
      </c>
      <c r="AM120">
        <f t="shared" si="19"/>
        <v>2.5551892520617282E-2</v>
      </c>
      <c r="AP120" s="9"/>
      <c r="AQ120" s="21">
        <v>0.64605699999999999</v>
      </c>
      <c r="AR120" s="21">
        <v>20.0275</v>
      </c>
      <c r="AS120" s="24">
        <v>-4.8278800000000003E-5</v>
      </c>
      <c r="AT120" s="21">
        <v>110</v>
      </c>
      <c r="AU120" s="21">
        <v>0.64569100000000001</v>
      </c>
      <c r="AV120">
        <f t="shared" si="20"/>
        <v>5.9603456790123459E-2</v>
      </c>
      <c r="AW120">
        <f t="shared" si="21"/>
        <v>3.8507230483456792E-2</v>
      </c>
      <c r="AX120" s="9"/>
      <c r="AY120" s="21">
        <v>0.45394899999999999</v>
      </c>
      <c r="AZ120" s="21">
        <v>22.648199999999999</v>
      </c>
      <c r="BA120" s="24">
        <v>-4.3823199999999997E-5</v>
      </c>
      <c r="BB120" s="21">
        <v>110</v>
      </c>
      <c r="BC120" s="21">
        <v>0.45361299999999999</v>
      </c>
      <c r="BD120">
        <f t="shared" si="22"/>
        <v>5.4102716049382708E-2</v>
      </c>
      <c r="BE120">
        <f t="shared" si="23"/>
        <v>2.4559873847901231E-2</v>
      </c>
      <c r="BH120" s="9"/>
      <c r="BI120" s="21"/>
      <c r="BJ120" s="21"/>
      <c r="BK120" s="21"/>
      <c r="BL120" s="21"/>
      <c r="BM120" s="21"/>
      <c r="BP120" s="9"/>
      <c r="BQ120" s="21"/>
      <c r="BR120" s="21"/>
      <c r="BS120" s="21"/>
      <c r="BT120" s="21"/>
      <c r="BU120" s="21"/>
      <c r="BZ120" s="9"/>
      <c r="CA120" s="21"/>
      <c r="CB120" s="21"/>
      <c r="CC120" s="21"/>
      <c r="CD120" s="21"/>
      <c r="CE120" s="21"/>
      <c r="CH120" s="9"/>
      <c r="CI120" s="21"/>
      <c r="CJ120" s="21"/>
      <c r="CK120" s="21"/>
      <c r="CL120" s="21"/>
      <c r="CM120" s="21"/>
      <c r="CR120" s="9"/>
      <c r="CS120" s="21"/>
      <c r="CT120" s="21"/>
      <c r="CU120" s="21"/>
      <c r="CV120" s="21"/>
      <c r="CW120" s="21"/>
      <c r="CZ120" s="9"/>
      <c r="DA120" s="21"/>
      <c r="DB120" s="21"/>
      <c r="DC120" s="21"/>
      <c r="DD120" s="21"/>
      <c r="DE120" s="21"/>
      <c r="DJ120" s="9"/>
      <c r="DK120" s="21"/>
      <c r="DL120" s="21"/>
      <c r="DM120" s="21"/>
      <c r="DN120" s="21"/>
      <c r="DO120" s="21"/>
      <c r="DR120" s="9"/>
      <c r="DS120" s="21"/>
      <c r="DT120" s="21"/>
      <c r="DU120" s="21"/>
      <c r="DV120" s="21"/>
      <c r="DW120" s="21"/>
      <c r="EB120" s="9"/>
      <c r="EC120" s="21"/>
      <c r="ED120" s="21"/>
      <c r="EE120" s="21"/>
      <c r="EF120" s="21"/>
      <c r="EG120" s="21"/>
      <c r="EJ120" s="9"/>
      <c r="EK120" s="21"/>
      <c r="EL120" s="21"/>
      <c r="EM120" s="21"/>
      <c r="EN120" s="21"/>
      <c r="EO120" s="21"/>
      <c r="ES120" s="9"/>
      <c r="ET120" s="21"/>
      <c r="EU120" s="21"/>
      <c r="EV120" s="21"/>
      <c r="EW120" s="21"/>
      <c r="EX120" s="21"/>
      <c r="FA120" s="9"/>
      <c r="FB120" s="21"/>
      <c r="FC120" s="21"/>
      <c r="FD120" s="21"/>
      <c r="FE120" s="21"/>
      <c r="FF120" s="21"/>
    </row>
    <row r="121" spans="6:162" x14ac:dyDescent="0.25">
      <c r="F121" s="9"/>
      <c r="G121" s="21">
        <v>0.64102199999999998</v>
      </c>
      <c r="H121" s="21">
        <v>6.1332000000000004</v>
      </c>
      <c r="I121" s="24">
        <v>-5.5023199999999999E-5</v>
      </c>
      <c r="J121" s="21">
        <v>111</v>
      </c>
      <c r="K121" s="21">
        <v>0.640656</v>
      </c>
      <c r="L121">
        <f t="shared" si="12"/>
        <v>6.792987654320988E-2</v>
      </c>
      <c r="M121">
        <f t="shared" si="13"/>
        <v>4.3544545321481484E-2</v>
      </c>
      <c r="N121" s="9"/>
      <c r="O121" s="21">
        <v>0.458984</v>
      </c>
      <c r="P121" s="21">
        <v>8.7539400000000001</v>
      </c>
      <c r="Q121" s="24">
        <v>-4.76379E-5</v>
      </c>
      <c r="R121" s="21">
        <v>111</v>
      </c>
      <c r="S121" s="21">
        <v>0.45864899999999997</v>
      </c>
      <c r="T121">
        <f t="shared" si="14"/>
        <v>5.8812222222222217E-2</v>
      </c>
      <c r="U121">
        <f t="shared" si="15"/>
        <v>2.6993869004444442E-2</v>
      </c>
      <c r="X121" s="9"/>
      <c r="Y121" s="21">
        <v>0.64102199999999998</v>
      </c>
      <c r="Z121" s="21">
        <v>13.1144</v>
      </c>
      <c r="AA121" s="24">
        <v>-5.0537100000000001E-5</v>
      </c>
      <c r="AB121" s="21">
        <v>111</v>
      </c>
      <c r="AC121" s="21">
        <v>0.64071699999999998</v>
      </c>
      <c r="AD121">
        <f t="shared" si="16"/>
        <v>6.2391481481481478E-2</v>
      </c>
      <c r="AE121">
        <f t="shared" si="17"/>
        <v>3.9994312242222219E-2</v>
      </c>
      <c r="AF121" s="9"/>
      <c r="AG121" s="21">
        <v>0.458984</v>
      </c>
      <c r="AH121" s="21">
        <v>15.735099999999999</v>
      </c>
      <c r="AI121" s="24">
        <v>-4.5379600000000002E-5</v>
      </c>
      <c r="AJ121" s="21">
        <v>111</v>
      </c>
      <c r="AK121" s="21">
        <v>0.458679</v>
      </c>
      <c r="AL121">
        <f t="shared" si="18"/>
        <v>5.6024197530864198E-2</v>
      </c>
      <c r="AM121">
        <f t="shared" si="19"/>
        <v>2.5714210279506173E-2</v>
      </c>
      <c r="AP121" s="9"/>
      <c r="AQ121" s="21">
        <v>0.64102199999999998</v>
      </c>
      <c r="AR121" s="21">
        <v>20.037600000000001</v>
      </c>
      <c r="AS121" s="24">
        <v>-4.8431399999999998E-5</v>
      </c>
      <c r="AT121" s="21">
        <v>111</v>
      </c>
      <c r="AU121" s="21">
        <v>0.64068599999999998</v>
      </c>
      <c r="AV121">
        <f t="shared" si="20"/>
        <v>5.9791851851851846E-2</v>
      </c>
      <c r="AW121">
        <f t="shared" si="21"/>
        <v>3.8327892457777776E-2</v>
      </c>
      <c r="AX121" s="9"/>
      <c r="AY121" s="21">
        <v>0.458984</v>
      </c>
      <c r="AZ121" s="21">
        <v>22.658300000000001</v>
      </c>
      <c r="BA121" s="24">
        <v>-4.3701200000000001E-5</v>
      </c>
      <c r="BB121" s="21">
        <v>111</v>
      </c>
      <c r="BC121" s="21">
        <v>0.45873999999999998</v>
      </c>
      <c r="BD121">
        <f t="shared" si="22"/>
        <v>5.3952098765432097E-2</v>
      </c>
      <c r="BE121">
        <f t="shared" si="23"/>
        <v>2.4763150099753085E-2</v>
      </c>
      <c r="BH121" s="9"/>
      <c r="BI121" s="21"/>
      <c r="BJ121" s="21"/>
      <c r="BK121" s="21"/>
      <c r="BL121" s="21"/>
      <c r="BM121" s="21"/>
      <c r="BP121" s="9"/>
      <c r="BQ121" s="21"/>
      <c r="BR121" s="21"/>
      <c r="BS121" s="21"/>
      <c r="BT121" s="21"/>
      <c r="BU121" s="21"/>
      <c r="BZ121" s="9"/>
      <c r="CA121" s="21"/>
      <c r="CB121" s="21"/>
      <c r="CC121" s="21"/>
      <c r="CD121" s="21"/>
      <c r="CE121" s="21"/>
      <c r="CH121" s="9"/>
      <c r="CI121" s="21"/>
      <c r="CJ121" s="21"/>
      <c r="CK121" s="21"/>
      <c r="CL121" s="21"/>
      <c r="CM121" s="21"/>
      <c r="CR121" s="9"/>
      <c r="CS121" s="21"/>
      <c r="CT121" s="21"/>
      <c r="CU121" s="21"/>
      <c r="CV121" s="21"/>
      <c r="CW121" s="21"/>
      <c r="CZ121" s="9"/>
      <c r="DA121" s="21"/>
      <c r="DB121" s="21"/>
      <c r="DC121" s="21"/>
      <c r="DD121" s="21"/>
      <c r="DE121" s="21"/>
      <c r="DJ121" s="9"/>
      <c r="DK121" s="21"/>
      <c r="DL121" s="21"/>
      <c r="DM121" s="21"/>
      <c r="DN121" s="21"/>
      <c r="DO121" s="21"/>
      <c r="DR121" s="9"/>
      <c r="DS121" s="21"/>
      <c r="DT121" s="21"/>
      <c r="DU121" s="21"/>
      <c r="DV121" s="21"/>
      <c r="DW121" s="21"/>
      <c r="EB121" s="9"/>
      <c r="EC121" s="21"/>
      <c r="ED121" s="21"/>
      <c r="EE121" s="21"/>
      <c r="EF121" s="21"/>
      <c r="EG121" s="21"/>
      <c r="EJ121" s="9"/>
      <c r="EK121" s="21"/>
      <c r="EL121" s="21"/>
      <c r="EM121" s="21"/>
      <c r="EN121" s="21"/>
      <c r="EO121" s="21"/>
      <c r="ES121" s="9"/>
      <c r="ET121" s="21"/>
      <c r="EU121" s="21"/>
      <c r="EV121" s="21"/>
      <c r="EW121" s="21"/>
      <c r="EX121" s="21"/>
      <c r="FA121" s="9"/>
      <c r="FB121" s="21"/>
      <c r="FC121" s="21"/>
      <c r="FD121" s="21"/>
      <c r="FE121" s="21"/>
      <c r="FF121" s="21"/>
    </row>
    <row r="122" spans="6:162" x14ac:dyDescent="0.25">
      <c r="F122" s="9"/>
      <c r="G122" s="21">
        <v>0.63598600000000005</v>
      </c>
      <c r="H122" s="21">
        <v>6.1432700000000002</v>
      </c>
      <c r="I122" s="24">
        <v>-5.5175800000000001E-5</v>
      </c>
      <c r="J122" s="21">
        <v>112</v>
      </c>
      <c r="K122" s="21">
        <v>0.63565099999999997</v>
      </c>
      <c r="L122">
        <f t="shared" si="12"/>
        <v>6.8118271604938274E-2</v>
      </c>
      <c r="M122">
        <f t="shared" si="13"/>
        <v>4.3322267084938276E-2</v>
      </c>
      <c r="N122" s="9"/>
      <c r="O122" s="21">
        <v>0.46401999999999999</v>
      </c>
      <c r="P122" s="21">
        <v>8.7640100000000007</v>
      </c>
      <c r="Q122" s="24">
        <v>-4.7454799999999998E-5</v>
      </c>
      <c r="R122" s="21">
        <v>112</v>
      </c>
      <c r="S122" s="21">
        <v>0.46368399999999999</v>
      </c>
      <c r="T122">
        <f t="shared" si="14"/>
        <v>5.8586172839506165E-2</v>
      </c>
      <c r="U122">
        <f t="shared" si="15"/>
        <v>2.718515592098765E-2</v>
      </c>
      <c r="X122" s="9"/>
      <c r="Y122" s="21">
        <v>0.63598600000000005</v>
      </c>
      <c r="Z122" s="21">
        <v>13.1244</v>
      </c>
      <c r="AA122" s="24">
        <v>-5.0720200000000003E-5</v>
      </c>
      <c r="AB122" s="21">
        <v>112</v>
      </c>
      <c r="AC122" s="21">
        <v>0.63561999999999996</v>
      </c>
      <c r="AD122">
        <f t="shared" si="16"/>
        <v>6.2617530864197538E-2</v>
      </c>
      <c r="AE122">
        <f t="shared" si="17"/>
        <v>3.9823872984197539E-2</v>
      </c>
      <c r="AF122" s="9"/>
      <c r="AG122" s="21">
        <v>0.46401999999999999</v>
      </c>
      <c r="AH122" s="21">
        <v>15.745200000000001</v>
      </c>
      <c r="AI122" s="24">
        <v>-4.5166000000000001E-5</v>
      </c>
      <c r="AJ122" s="21">
        <v>112</v>
      </c>
      <c r="AK122" s="21">
        <v>0.46368399999999999</v>
      </c>
      <c r="AL122">
        <f t="shared" si="18"/>
        <v>5.5760493827160494E-2</v>
      </c>
      <c r="AM122">
        <f t="shared" si="19"/>
        <v>2.5873984345679012E-2</v>
      </c>
      <c r="AP122" s="9"/>
      <c r="AQ122" s="21">
        <v>0.63598600000000005</v>
      </c>
      <c r="AR122" s="21">
        <v>20.047599999999999</v>
      </c>
      <c r="AS122" s="24">
        <v>-4.8431399999999998E-5</v>
      </c>
      <c r="AT122" s="21">
        <v>112</v>
      </c>
      <c r="AU122" s="21">
        <v>0.63555899999999999</v>
      </c>
      <c r="AV122">
        <f t="shared" si="20"/>
        <v>5.9791851851851846E-2</v>
      </c>
      <c r="AW122">
        <f t="shared" si="21"/>
        <v>3.802678069185185E-2</v>
      </c>
      <c r="AX122" s="9"/>
      <c r="AY122" s="21">
        <v>0.46401999999999999</v>
      </c>
      <c r="AZ122" s="21">
        <v>22.668399999999998</v>
      </c>
      <c r="BA122" s="24">
        <v>-4.3670700000000002E-5</v>
      </c>
      <c r="BB122" s="21">
        <v>112</v>
      </c>
      <c r="BC122" s="21">
        <v>0.46362300000000001</v>
      </c>
      <c r="BD122">
        <f t="shared" si="22"/>
        <v>5.3914444444444445E-2</v>
      </c>
      <c r="BE122">
        <f t="shared" si="23"/>
        <v>2.5017380511111111E-2</v>
      </c>
      <c r="BH122" s="9"/>
      <c r="BI122" s="21"/>
      <c r="BJ122" s="21"/>
      <c r="BK122" s="21"/>
      <c r="BL122" s="21"/>
      <c r="BM122" s="21"/>
      <c r="BP122" s="9"/>
      <c r="BQ122" s="21"/>
      <c r="BR122" s="21"/>
      <c r="BS122" s="21"/>
      <c r="BT122" s="21"/>
      <c r="BU122" s="21"/>
      <c r="BZ122" s="9"/>
      <c r="CA122" s="21"/>
      <c r="CB122" s="21"/>
      <c r="CC122" s="21"/>
      <c r="CD122" s="21"/>
      <c r="CE122" s="21"/>
      <c r="CH122" s="9"/>
      <c r="CI122" s="21"/>
      <c r="CJ122" s="21"/>
      <c r="CK122" s="21"/>
      <c r="CL122" s="21"/>
      <c r="CM122" s="21"/>
      <c r="CR122" s="9"/>
      <c r="CS122" s="21"/>
      <c r="CT122" s="21"/>
      <c r="CU122" s="21"/>
      <c r="CV122" s="21"/>
      <c r="CW122" s="21"/>
      <c r="CZ122" s="9"/>
      <c r="DA122" s="21"/>
      <c r="DB122" s="21"/>
      <c r="DC122" s="21"/>
      <c r="DD122" s="21"/>
      <c r="DE122" s="21"/>
      <c r="DJ122" s="9"/>
      <c r="DK122" s="21"/>
      <c r="DL122" s="21"/>
      <c r="DM122" s="21"/>
      <c r="DN122" s="21"/>
      <c r="DO122" s="21"/>
      <c r="DR122" s="9"/>
      <c r="DS122" s="21"/>
      <c r="DT122" s="21"/>
      <c r="DU122" s="21"/>
      <c r="DV122" s="21"/>
      <c r="DW122" s="21"/>
      <c r="EB122" s="9"/>
      <c r="EC122" s="21"/>
      <c r="ED122" s="21"/>
      <c r="EE122" s="21"/>
      <c r="EF122" s="21"/>
      <c r="EG122" s="21"/>
      <c r="EJ122" s="9"/>
      <c r="EK122" s="21"/>
      <c r="EL122" s="21"/>
      <c r="EM122" s="21"/>
      <c r="EN122" s="21"/>
      <c r="EO122" s="21"/>
      <c r="ES122" s="9"/>
      <c r="ET122" s="21"/>
      <c r="EU122" s="21"/>
      <c r="EV122" s="21"/>
      <c r="EW122" s="21"/>
      <c r="EX122" s="21"/>
      <c r="FA122" s="9"/>
      <c r="FB122" s="21"/>
      <c r="FC122" s="21"/>
      <c r="FD122" s="21"/>
      <c r="FE122" s="21"/>
      <c r="FF122" s="21"/>
    </row>
    <row r="123" spans="6:162" x14ac:dyDescent="0.25">
      <c r="F123" s="9"/>
      <c r="G123" s="21">
        <v>0.63095100000000004</v>
      </c>
      <c r="H123" s="21">
        <v>6.15334</v>
      </c>
      <c r="I123" s="24">
        <v>-5.5389400000000002E-5</v>
      </c>
      <c r="J123" s="21">
        <v>113</v>
      </c>
      <c r="K123" s="21">
        <v>0.63067600000000001</v>
      </c>
      <c r="L123">
        <f t="shared" si="12"/>
        <v>6.8381975308641971E-2</v>
      </c>
      <c r="M123">
        <f t="shared" si="13"/>
        <v>4.314567570296296E-2</v>
      </c>
      <c r="N123" s="9"/>
      <c r="O123" s="21">
        <v>0.469055</v>
      </c>
      <c r="P123" s="21">
        <v>8.7740799999999997</v>
      </c>
      <c r="Q123" s="24">
        <v>-4.7302200000000003E-5</v>
      </c>
      <c r="R123" s="21">
        <v>113</v>
      </c>
      <c r="S123" s="21">
        <v>0.46865800000000002</v>
      </c>
      <c r="T123">
        <f t="shared" si="14"/>
        <v>5.8397777777777771E-2</v>
      </c>
      <c r="U123">
        <f t="shared" si="15"/>
        <v>2.7391769655555551E-2</v>
      </c>
      <c r="X123" s="9"/>
      <c r="Y123" s="21">
        <v>0.63095100000000004</v>
      </c>
      <c r="Z123" s="21">
        <v>13.134499999999999</v>
      </c>
      <c r="AA123" s="24">
        <v>-5.0903299999999998E-5</v>
      </c>
      <c r="AB123" s="21">
        <v>113</v>
      </c>
      <c r="AC123" s="21">
        <v>0.63058499999999995</v>
      </c>
      <c r="AD123">
        <f t="shared" si="16"/>
        <v>6.2843580246913569E-2</v>
      </c>
      <c r="AE123">
        <f t="shared" si="17"/>
        <v>3.9651219800370369E-2</v>
      </c>
      <c r="AF123" s="9"/>
      <c r="AG123" s="21">
        <v>0.469055</v>
      </c>
      <c r="AH123" s="21">
        <v>15.7553</v>
      </c>
      <c r="AI123" s="24">
        <v>-4.5074499999999997E-5</v>
      </c>
      <c r="AJ123" s="21">
        <v>113</v>
      </c>
      <c r="AK123" s="21">
        <v>0.468719</v>
      </c>
      <c r="AL123">
        <f t="shared" si="18"/>
        <v>5.564753086419752E-2</v>
      </c>
      <c r="AM123">
        <f t="shared" si="19"/>
        <v>2.6101752589506168E-2</v>
      </c>
      <c r="AP123" s="9"/>
      <c r="AQ123" s="21">
        <v>0.63095100000000004</v>
      </c>
      <c r="AR123" s="21">
        <v>20.057700000000001</v>
      </c>
      <c r="AS123" s="24">
        <v>-4.8675499999999998E-5</v>
      </c>
      <c r="AT123" s="21">
        <v>113</v>
      </c>
      <c r="AU123" s="21">
        <v>0.63052399999999997</v>
      </c>
      <c r="AV123">
        <f t="shared" si="20"/>
        <v>6.0093209876543201E-2</v>
      </c>
      <c r="AW123">
        <f t="shared" si="21"/>
        <v>3.7915870864814814E-2</v>
      </c>
      <c r="AX123" s="9"/>
      <c r="AY123" s="21">
        <v>0.469055</v>
      </c>
      <c r="AZ123" s="21">
        <v>22.6784</v>
      </c>
      <c r="BA123" s="24">
        <v>-4.3548599999999998E-5</v>
      </c>
      <c r="BB123" s="21">
        <v>113</v>
      </c>
      <c r="BC123" s="21">
        <v>0.46881099999999998</v>
      </c>
      <c r="BD123">
        <f t="shared" si="22"/>
        <v>5.3763703703703702E-2</v>
      </c>
      <c r="BE123">
        <f t="shared" si="23"/>
        <v>2.521813404074074E-2</v>
      </c>
      <c r="BH123" s="9"/>
      <c r="BI123" s="21"/>
      <c r="BJ123" s="21"/>
      <c r="BK123" s="21"/>
      <c r="BL123" s="21"/>
      <c r="BM123" s="21"/>
      <c r="BP123" s="9"/>
      <c r="BQ123" s="21"/>
      <c r="BR123" s="21"/>
      <c r="BS123" s="21"/>
      <c r="BT123" s="21"/>
      <c r="BU123" s="21"/>
      <c r="BZ123" s="9"/>
      <c r="CA123" s="21"/>
      <c r="CB123" s="21"/>
      <c r="CC123" s="21"/>
      <c r="CD123" s="21"/>
      <c r="CE123" s="21"/>
      <c r="CH123" s="9"/>
      <c r="CI123" s="21"/>
      <c r="CJ123" s="21"/>
      <c r="CK123" s="21"/>
      <c r="CL123" s="21"/>
      <c r="CM123" s="21"/>
      <c r="CR123" s="9"/>
      <c r="CS123" s="21"/>
      <c r="CT123" s="21"/>
      <c r="CU123" s="21"/>
      <c r="CV123" s="21"/>
      <c r="CW123" s="21"/>
      <c r="CZ123" s="9"/>
      <c r="DA123" s="21"/>
      <c r="DB123" s="21"/>
      <c r="DC123" s="21"/>
      <c r="DD123" s="21"/>
      <c r="DE123" s="21"/>
      <c r="DJ123" s="9"/>
      <c r="DK123" s="21"/>
      <c r="DL123" s="21"/>
      <c r="DM123" s="21"/>
      <c r="DN123" s="21"/>
      <c r="DO123" s="21"/>
      <c r="DR123" s="9"/>
      <c r="DS123" s="21"/>
      <c r="DT123" s="21"/>
      <c r="DU123" s="21"/>
      <c r="DV123" s="21"/>
      <c r="DW123" s="21"/>
      <c r="EB123" s="9"/>
      <c r="EC123" s="21"/>
      <c r="ED123" s="21"/>
      <c r="EE123" s="21"/>
      <c r="EF123" s="21"/>
      <c r="EG123" s="21"/>
      <c r="EJ123" s="9"/>
      <c r="EK123" s="21"/>
      <c r="EL123" s="21"/>
      <c r="EM123" s="21"/>
      <c r="EN123" s="21"/>
      <c r="EO123" s="21"/>
      <c r="ES123" s="9"/>
      <c r="ET123" s="21"/>
      <c r="EU123" s="21"/>
      <c r="EV123" s="21"/>
      <c r="EW123" s="21"/>
      <c r="EX123" s="21"/>
      <c r="FA123" s="9"/>
      <c r="FB123" s="21"/>
      <c r="FC123" s="21"/>
      <c r="FD123" s="21"/>
      <c r="FE123" s="21"/>
      <c r="FF123" s="21"/>
    </row>
    <row r="124" spans="6:162" x14ac:dyDescent="0.25">
      <c r="F124" s="9"/>
      <c r="G124" s="21">
        <v>0.62591600000000003</v>
      </c>
      <c r="H124" s="21">
        <v>6.1634099999999998</v>
      </c>
      <c r="I124" s="24">
        <v>-5.5633500000000002E-5</v>
      </c>
      <c r="J124" s="21">
        <v>114</v>
      </c>
      <c r="K124" s="21">
        <v>0.62558000000000002</v>
      </c>
      <c r="L124">
        <f t="shared" si="12"/>
        <v>6.8683333333333332E-2</v>
      </c>
      <c r="M124">
        <f t="shared" si="13"/>
        <v>4.298999726666667E-2</v>
      </c>
      <c r="N124" s="9"/>
      <c r="O124" s="21">
        <v>0.47409099999999998</v>
      </c>
      <c r="P124" s="21">
        <v>8.7841500000000003</v>
      </c>
      <c r="Q124" s="24">
        <v>-4.71497E-5</v>
      </c>
      <c r="R124" s="21">
        <v>114</v>
      </c>
      <c r="S124" s="21">
        <v>0.47372399999999998</v>
      </c>
      <c r="T124">
        <f t="shared" si="14"/>
        <v>5.8209506172839501E-2</v>
      </c>
      <c r="U124">
        <f t="shared" si="15"/>
        <v>2.7596602990987651E-2</v>
      </c>
      <c r="X124" s="9"/>
      <c r="Y124" s="21">
        <v>0.62591600000000003</v>
      </c>
      <c r="Z124" s="21">
        <v>13.144600000000001</v>
      </c>
      <c r="AA124" s="24">
        <v>-5.1116899999999998E-5</v>
      </c>
      <c r="AB124" s="21">
        <v>114</v>
      </c>
      <c r="AC124" s="21">
        <v>0.62551900000000005</v>
      </c>
      <c r="AD124">
        <f t="shared" si="16"/>
        <v>6.3107283950617279E-2</v>
      </c>
      <c r="AE124">
        <f t="shared" si="17"/>
        <v>3.9499858741234566E-2</v>
      </c>
      <c r="AF124" s="9"/>
      <c r="AG124" s="21">
        <v>0.47409099999999998</v>
      </c>
      <c r="AH124" s="21">
        <v>15.7653</v>
      </c>
      <c r="AI124" s="24">
        <v>-4.49524E-5</v>
      </c>
      <c r="AJ124" s="21">
        <v>114</v>
      </c>
      <c r="AK124" s="21">
        <v>0.47378500000000001</v>
      </c>
      <c r="AL124">
        <f t="shared" si="18"/>
        <v>5.5496790123456784E-2</v>
      </c>
      <c r="AM124">
        <f t="shared" si="19"/>
        <v>2.631052872641975E-2</v>
      </c>
      <c r="AP124" s="9"/>
      <c r="AQ124" s="21">
        <v>0.62591600000000003</v>
      </c>
      <c r="AR124" s="21">
        <v>20.067799999999998</v>
      </c>
      <c r="AS124" s="24">
        <v>-4.8736599999999997E-5</v>
      </c>
      <c r="AT124" s="21">
        <v>114</v>
      </c>
      <c r="AU124" s="21">
        <v>0.62554900000000002</v>
      </c>
      <c r="AV124">
        <f t="shared" si="20"/>
        <v>6.0168641975308634E-2</v>
      </c>
      <c r="AW124">
        <f t="shared" si="21"/>
        <v>3.7660515710617279E-2</v>
      </c>
      <c r="AX124" s="9"/>
      <c r="AY124" s="21">
        <v>0.47409099999999998</v>
      </c>
      <c r="AZ124" s="21">
        <v>22.688500000000001</v>
      </c>
      <c r="BA124" s="24">
        <v>-4.3457000000000001E-5</v>
      </c>
      <c r="BB124" s="21">
        <v>114</v>
      </c>
      <c r="BC124" s="21">
        <v>0.47372399999999998</v>
      </c>
      <c r="BD124">
        <f t="shared" si="22"/>
        <v>5.3650617283950618E-2</v>
      </c>
      <c r="BE124">
        <f t="shared" si="23"/>
        <v>2.5435274798765433E-2</v>
      </c>
      <c r="BH124" s="9"/>
      <c r="BI124" s="21"/>
      <c r="BJ124" s="21"/>
      <c r="BK124" s="21"/>
      <c r="BL124" s="21"/>
      <c r="BM124" s="21"/>
      <c r="BP124" s="9"/>
      <c r="BQ124" s="21"/>
      <c r="BR124" s="21"/>
      <c r="BS124" s="21"/>
      <c r="BT124" s="21"/>
      <c r="BU124" s="21"/>
      <c r="BZ124" s="9"/>
      <c r="CA124" s="21"/>
      <c r="CB124" s="21"/>
      <c r="CC124" s="21"/>
      <c r="CD124" s="21"/>
      <c r="CE124" s="21"/>
      <c r="CH124" s="9"/>
      <c r="CI124" s="21"/>
      <c r="CJ124" s="21"/>
      <c r="CK124" s="21"/>
      <c r="CL124" s="21"/>
      <c r="CM124" s="21"/>
      <c r="CR124" s="9"/>
      <c r="CS124" s="21"/>
      <c r="CT124" s="21"/>
      <c r="CU124" s="21"/>
      <c r="CV124" s="21"/>
      <c r="CW124" s="21"/>
      <c r="CZ124" s="9"/>
      <c r="DA124" s="21"/>
      <c r="DB124" s="21"/>
      <c r="DC124" s="21"/>
      <c r="DD124" s="21"/>
      <c r="DE124" s="21"/>
      <c r="DJ124" s="9"/>
      <c r="DK124" s="21"/>
      <c r="DL124" s="21"/>
      <c r="DM124" s="21"/>
      <c r="DN124" s="21"/>
      <c r="DO124" s="21"/>
      <c r="DR124" s="9"/>
      <c r="DS124" s="21"/>
      <c r="DT124" s="21"/>
      <c r="DU124" s="21"/>
      <c r="DV124" s="21"/>
      <c r="DW124" s="21"/>
      <c r="EB124" s="9"/>
      <c r="EC124" s="21"/>
      <c r="ED124" s="21"/>
      <c r="EE124" s="21"/>
      <c r="EF124" s="21"/>
      <c r="EG124" s="21"/>
      <c r="EJ124" s="9"/>
      <c r="EK124" s="21"/>
      <c r="EL124" s="21"/>
      <c r="EM124" s="21"/>
      <c r="EN124" s="21"/>
      <c r="EO124" s="21"/>
      <c r="ES124" s="9"/>
      <c r="ET124" s="21"/>
      <c r="EU124" s="21"/>
      <c r="EV124" s="21"/>
      <c r="EW124" s="21"/>
      <c r="EX124" s="21"/>
      <c r="FA124" s="9"/>
      <c r="FB124" s="21"/>
      <c r="FC124" s="21"/>
      <c r="FD124" s="21"/>
      <c r="FE124" s="21"/>
      <c r="FF124" s="21"/>
    </row>
    <row r="125" spans="6:162" x14ac:dyDescent="0.25">
      <c r="F125" s="9"/>
      <c r="G125" s="21">
        <v>0.62087999999999999</v>
      </c>
      <c r="H125" s="21">
        <v>6.1734799999999996</v>
      </c>
      <c r="I125" s="24">
        <v>-5.5725099999999999E-5</v>
      </c>
      <c r="J125" s="21">
        <v>115</v>
      </c>
      <c r="K125" s="21">
        <v>0.62054399999999998</v>
      </c>
      <c r="L125">
        <f t="shared" si="12"/>
        <v>6.879641975308641E-2</v>
      </c>
      <c r="M125">
        <f t="shared" si="13"/>
        <v>4.271432109629629E-2</v>
      </c>
      <c r="N125" s="9"/>
      <c r="O125" s="21">
        <v>0.479126</v>
      </c>
      <c r="P125" s="21">
        <v>8.7942199999999993</v>
      </c>
      <c r="Q125" s="24">
        <v>-4.7058100000000003E-5</v>
      </c>
      <c r="R125" s="21">
        <v>115</v>
      </c>
      <c r="S125" s="21">
        <v>0.47872900000000002</v>
      </c>
      <c r="T125">
        <f t="shared" si="14"/>
        <v>5.8096419753086416E-2</v>
      </c>
      <c r="U125">
        <f t="shared" si="15"/>
        <v>2.7835505210617281E-2</v>
      </c>
      <c r="X125" s="9"/>
      <c r="Y125" s="21">
        <v>0.62087999999999999</v>
      </c>
      <c r="Z125" s="21">
        <v>13.1547</v>
      </c>
      <c r="AA125" s="24">
        <v>-5.1208500000000003E-5</v>
      </c>
      <c r="AB125" s="21">
        <v>115</v>
      </c>
      <c r="AC125" s="21">
        <v>0.62051400000000001</v>
      </c>
      <c r="AD125">
        <f t="shared" si="16"/>
        <v>6.3220370370370371E-2</v>
      </c>
      <c r="AE125">
        <f t="shared" si="17"/>
        <v>3.9252263555555555E-2</v>
      </c>
      <c r="AF125" s="9"/>
      <c r="AG125" s="21">
        <v>0.479126</v>
      </c>
      <c r="AH125" s="21">
        <v>15.775399999999999</v>
      </c>
      <c r="AI125" s="24">
        <v>-4.4891400000000002E-5</v>
      </c>
      <c r="AJ125" s="21">
        <v>115</v>
      </c>
      <c r="AK125" s="21">
        <v>0.47872900000000002</v>
      </c>
      <c r="AL125">
        <f t="shared" si="18"/>
        <v>5.5421481481481481E-2</v>
      </c>
      <c r="AM125">
        <f t="shared" si="19"/>
        <v>2.6553872736296297E-2</v>
      </c>
      <c r="AP125" s="9"/>
      <c r="AQ125" s="21">
        <v>0.62087999999999999</v>
      </c>
      <c r="AR125" s="21">
        <v>20.0778</v>
      </c>
      <c r="AS125" s="24">
        <v>-4.8950199999999998E-5</v>
      </c>
      <c r="AT125" s="21">
        <v>115</v>
      </c>
      <c r="AU125" s="21">
        <v>0.62051400000000001</v>
      </c>
      <c r="AV125">
        <f t="shared" si="20"/>
        <v>6.0432345679012338E-2</v>
      </c>
      <c r="AW125">
        <f t="shared" si="21"/>
        <v>3.7521234785185181E-2</v>
      </c>
      <c r="AX125" s="9"/>
      <c r="AY125" s="21">
        <v>0.479126</v>
      </c>
      <c r="AZ125" s="21">
        <v>22.698599999999999</v>
      </c>
      <c r="BA125" s="24">
        <v>-4.3304399999999998E-5</v>
      </c>
      <c r="BB125" s="21">
        <v>115</v>
      </c>
      <c r="BC125" s="21">
        <v>0.478821</v>
      </c>
      <c r="BD125">
        <f t="shared" si="22"/>
        <v>5.3462222222222217E-2</v>
      </c>
      <c r="BE125">
        <f t="shared" si="23"/>
        <v>2.561514068444444E-2</v>
      </c>
      <c r="BH125" s="9"/>
      <c r="BI125" s="21"/>
      <c r="BJ125" s="21"/>
      <c r="BK125" s="21"/>
      <c r="BL125" s="21"/>
      <c r="BM125" s="21"/>
      <c r="BP125" s="9"/>
      <c r="BQ125" s="21"/>
      <c r="BR125" s="21"/>
      <c r="BS125" s="21"/>
      <c r="BT125" s="21"/>
      <c r="BU125" s="21"/>
      <c r="BZ125" s="9"/>
      <c r="CA125" s="21"/>
      <c r="CB125" s="21"/>
      <c r="CC125" s="21"/>
      <c r="CD125" s="21"/>
      <c r="CE125" s="21"/>
      <c r="CH125" s="9"/>
      <c r="CI125" s="21"/>
      <c r="CJ125" s="21"/>
      <c r="CK125" s="21"/>
      <c r="CL125" s="21"/>
      <c r="CM125" s="21"/>
      <c r="CR125" s="9"/>
      <c r="CS125" s="21"/>
      <c r="CT125" s="21"/>
      <c r="CU125" s="21"/>
      <c r="CV125" s="21"/>
      <c r="CW125" s="21"/>
      <c r="CZ125" s="9"/>
      <c r="DA125" s="21"/>
      <c r="DB125" s="21"/>
      <c r="DC125" s="21"/>
      <c r="DD125" s="21"/>
      <c r="DE125" s="21"/>
      <c r="DJ125" s="9"/>
      <c r="DK125" s="21"/>
      <c r="DL125" s="21"/>
      <c r="DM125" s="21"/>
      <c r="DN125" s="21"/>
      <c r="DO125" s="21"/>
      <c r="DR125" s="9"/>
      <c r="DS125" s="21"/>
      <c r="DT125" s="21"/>
      <c r="DU125" s="21"/>
      <c r="DV125" s="21"/>
      <c r="DW125" s="21"/>
      <c r="EB125" s="9"/>
      <c r="EC125" s="21"/>
      <c r="ED125" s="21"/>
      <c r="EE125" s="21"/>
      <c r="EF125" s="21"/>
      <c r="EG125" s="21"/>
      <c r="EJ125" s="9"/>
      <c r="EK125" s="21"/>
      <c r="EL125" s="21"/>
      <c r="EM125" s="21"/>
      <c r="EN125" s="21"/>
      <c r="EO125" s="21"/>
      <c r="ES125" s="9"/>
      <c r="ET125" s="21"/>
      <c r="EU125" s="21"/>
      <c r="EV125" s="21"/>
      <c r="EW125" s="21"/>
      <c r="EX125" s="21"/>
      <c r="FA125" s="9"/>
      <c r="FB125" s="21"/>
      <c r="FC125" s="21"/>
      <c r="FD125" s="21"/>
      <c r="FE125" s="21"/>
      <c r="FF125" s="21"/>
    </row>
    <row r="126" spans="6:162" x14ac:dyDescent="0.25">
      <c r="F126" s="9"/>
      <c r="G126" s="21">
        <v>0.61584499999999998</v>
      </c>
      <c r="H126" s="21">
        <v>6.1835599999999999</v>
      </c>
      <c r="I126" s="24">
        <v>-5.5908200000000001E-5</v>
      </c>
      <c r="J126" s="21">
        <v>116</v>
      </c>
      <c r="K126" s="21">
        <v>0.615479</v>
      </c>
      <c r="L126">
        <f t="shared" si="12"/>
        <v>6.9022469135802456E-2</v>
      </c>
      <c r="M126">
        <f t="shared" si="13"/>
        <v>4.2507142504938263E-2</v>
      </c>
      <c r="N126" s="9"/>
      <c r="O126" s="21">
        <v>0.48416100000000001</v>
      </c>
      <c r="P126" s="21">
        <v>8.8042999999999996</v>
      </c>
      <c r="Q126" s="24">
        <v>-4.7027599999999997E-5</v>
      </c>
      <c r="R126" s="21">
        <v>116</v>
      </c>
      <c r="S126" s="21">
        <v>0.483765</v>
      </c>
      <c r="T126">
        <f t="shared" si="14"/>
        <v>5.8058765432098758E-2</v>
      </c>
      <c r="U126">
        <f t="shared" si="15"/>
        <v>2.8109789930370367E-2</v>
      </c>
      <c r="X126" s="9"/>
      <c r="Y126" s="21">
        <v>0.61584499999999998</v>
      </c>
      <c r="Z126" s="21">
        <v>13.1647</v>
      </c>
      <c r="AA126" s="24">
        <v>-5.1422099999999997E-5</v>
      </c>
      <c r="AB126" s="21">
        <v>116</v>
      </c>
      <c r="AC126" s="21">
        <v>0.615479</v>
      </c>
      <c r="AD126">
        <f t="shared" si="16"/>
        <v>6.3484074074074068E-2</v>
      </c>
      <c r="AE126">
        <f t="shared" si="17"/>
        <v>3.9096349598148145E-2</v>
      </c>
      <c r="AF126" s="9"/>
      <c r="AG126" s="21">
        <v>0.48416100000000001</v>
      </c>
      <c r="AH126" s="21">
        <v>15.785500000000001</v>
      </c>
      <c r="AI126" s="24">
        <v>-4.4647200000000002E-5</v>
      </c>
      <c r="AJ126" s="21">
        <v>116</v>
      </c>
      <c r="AK126" s="21">
        <v>0.48382599999999998</v>
      </c>
      <c r="AL126">
        <f t="shared" si="18"/>
        <v>5.5120000000000002E-2</v>
      </c>
      <c r="AM126">
        <f t="shared" si="19"/>
        <v>2.6686954320000001E-2</v>
      </c>
      <c r="AP126" s="9"/>
      <c r="AQ126" s="21">
        <v>0.61584499999999998</v>
      </c>
      <c r="AR126" s="21">
        <v>20.087900000000001</v>
      </c>
      <c r="AS126" s="24">
        <v>-4.9072300000000001E-5</v>
      </c>
      <c r="AT126" s="21">
        <v>116</v>
      </c>
      <c r="AU126" s="21">
        <v>0.615479</v>
      </c>
      <c r="AV126">
        <f t="shared" si="20"/>
        <v>6.0583086419753088E-2</v>
      </c>
      <c r="AW126">
        <f t="shared" si="21"/>
        <v>3.7309790856172836E-2</v>
      </c>
      <c r="AX126" s="9"/>
      <c r="AY126" s="21">
        <v>0.48416100000000001</v>
      </c>
      <c r="AZ126" s="21">
        <v>22.7087</v>
      </c>
      <c r="BA126" s="24">
        <v>-4.3182400000000002E-5</v>
      </c>
      <c r="BB126" s="21">
        <v>116</v>
      </c>
      <c r="BC126" s="21">
        <v>0.483765</v>
      </c>
      <c r="BD126">
        <f t="shared" si="22"/>
        <v>5.3311604938271605E-2</v>
      </c>
      <c r="BE126">
        <f t="shared" si="23"/>
        <v>2.581139995851852E-2</v>
      </c>
      <c r="BH126" s="9"/>
      <c r="BI126" s="21"/>
      <c r="BJ126" s="21"/>
      <c r="BK126" s="21"/>
      <c r="BL126" s="21"/>
      <c r="BM126" s="21"/>
      <c r="BP126" s="9"/>
      <c r="BQ126" s="21"/>
      <c r="BR126" s="21"/>
      <c r="BS126" s="21"/>
      <c r="BT126" s="21"/>
      <c r="BU126" s="21"/>
      <c r="BZ126" s="9"/>
      <c r="CA126" s="21"/>
      <c r="CB126" s="21"/>
      <c r="CC126" s="21"/>
      <c r="CD126" s="21"/>
      <c r="CE126" s="21"/>
      <c r="CH126" s="9"/>
      <c r="CI126" s="21"/>
      <c r="CJ126" s="21"/>
      <c r="CK126" s="21"/>
      <c r="CL126" s="21"/>
      <c r="CM126" s="21"/>
      <c r="CR126" s="9"/>
      <c r="CS126" s="21"/>
      <c r="CT126" s="21"/>
      <c r="CU126" s="21"/>
      <c r="CV126" s="21"/>
      <c r="CW126" s="21"/>
      <c r="CZ126" s="9"/>
      <c r="DA126" s="21"/>
      <c r="DB126" s="21"/>
      <c r="DC126" s="21"/>
      <c r="DD126" s="21"/>
      <c r="DE126" s="21"/>
      <c r="DJ126" s="9"/>
      <c r="DK126" s="21"/>
      <c r="DL126" s="21"/>
      <c r="DM126" s="21"/>
      <c r="DN126" s="21"/>
      <c r="DO126" s="21"/>
      <c r="DR126" s="9"/>
      <c r="DS126" s="21"/>
      <c r="DT126" s="21"/>
      <c r="DU126" s="21"/>
      <c r="DV126" s="21"/>
      <c r="DW126" s="21"/>
      <c r="EB126" s="9"/>
      <c r="EC126" s="21"/>
      <c r="ED126" s="21"/>
      <c r="EE126" s="21"/>
      <c r="EF126" s="21"/>
      <c r="EG126" s="21"/>
      <c r="EJ126" s="9"/>
      <c r="EK126" s="21"/>
      <c r="EL126" s="21"/>
      <c r="EM126" s="21"/>
      <c r="EN126" s="21"/>
      <c r="EO126" s="21"/>
      <c r="ES126" s="9"/>
      <c r="ET126" s="21"/>
      <c r="EU126" s="21"/>
      <c r="EV126" s="21"/>
      <c r="EW126" s="21"/>
      <c r="EX126" s="21"/>
      <c r="FA126" s="9"/>
      <c r="FB126" s="21"/>
      <c r="FC126" s="21"/>
      <c r="FD126" s="21"/>
      <c r="FE126" s="21"/>
      <c r="FF126" s="21"/>
    </row>
    <row r="127" spans="6:162" x14ac:dyDescent="0.25">
      <c r="F127" s="9"/>
      <c r="G127" s="21">
        <v>0.61080900000000005</v>
      </c>
      <c r="H127" s="21">
        <v>6.1936299999999997</v>
      </c>
      <c r="I127" s="24">
        <v>-5.6152300000000001E-5</v>
      </c>
      <c r="J127" s="21">
        <v>117</v>
      </c>
      <c r="K127" s="21">
        <v>0.61041299999999998</v>
      </c>
      <c r="L127">
        <f t="shared" si="12"/>
        <v>6.9323827160493831E-2</v>
      </c>
      <c r="M127">
        <f t="shared" si="13"/>
        <v>4.2343617544074078E-2</v>
      </c>
      <c r="N127" s="9"/>
      <c r="O127" s="21">
        <v>0.48919699999999999</v>
      </c>
      <c r="P127" s="21">
        <v>8.8143700000000003</v>
      </c>
      <c r="Q127" s="24">
        <v>-4.6783399999999997E-5</v>
      </c>
      <c r="R127" s="21">
        <v>117</v>
      </c>
      <c r="S127" s="21">
        <v>0.48886099999999999</v>
      </c>
      <c r="T127">
        <f t="shared" si="14"/>
        <v>5.7757283950617272E-2</v>
      </c>
      <c r="U127">
        <f t="shared" si="15"/>
        <v>2.8254690036790119E-2</v>
      </c>
      <c r="X127" s="9"/>
      <c r="Y127" s="21">
        <v>0.61080900000000005</v>
      </c>
      <c r="Z127" s="21">
        <v>13.174799999999999</v>
      </c>
      <c r="AA127" s="24">
        <v>-5.1483200000000002E-5</v>
      </c>
      <c r="AB127" s="21">
        <v>117</v>
      </c>
      <c r="AC127" s="21">
        <v>0.61044299999999996</v>
      </c>
      <c r="AD127">
        <f t="shared" si="16"/>
        <v>6.3559506172839508E-2</v>
      </c>
      <c r="AE127">
        <f t="shared" si="17"/>
        <v>3.8822718405925931E-2</v>
      </c>
      <c r="AF127" s="9"/>
      <c r="AG127" s="21">
        <v>0.48919699999999999</v>
      </c>
      <c r="AH127" s="21">
        <v>15.795500000000001</v>
      </c>
      <c r="AI127" s="24">
        <v>-4.4403100000000002E-5</v>
      </c>
      <c r="AJ127" s="21">
        <v>117</v>
      </c>
      <c r="AK127" s="21">
        <v>0.48889199999999999</v>
      </c>
      <c r="AL127">
        <f t="shared" si="18"/>
        <v>5.4818641975308641E-2</v>
      </c>
      <c r="AM127">
        <f t="shared" si="19"/>
        <v>2.681711519839506E-2</v>
      </c>
      <c r="AP127" s="9"/>
      <c r="AQ127" s="21">
        <v>0.61080900000000005</v>
      </c>
      <c r="AR127" s="21">
        <v>20.097999999999999</v>
      </c>
      <c r="AS127" s="24">
        <v>-4.9377399999999999E-5</v>
      </c>
      <c r="AT127" s="21">
        <v>117</v>
      </c>
      <c r="AU127" s="21">
        <v>0.61047399999999996</v>
      </c>
      <c r="AV127">
        <f t="shared" si="20"/>
        <v>6.0959753086419745E-2</v>
      </c>
      <c r="AW127">
        <f t="shared" si="21"/>
        <v>3.7234765822962958E-2</v>
      </c>
      <c r="AX127" s="9"/>
      <c r="AY127" s="21">
        <v>0.48919699999999999</v>
      </c>
      <c r="AZ127" s="21">
        <v>22.718699999999998</v>
      </c>
      <c r="BA127" s="24">
        <v>-4.2968800000000001E-5</v>
      </c>
      <c r="BB127" s="21">
        <v>117</v>
      </c>
      <c r="BC127" s="21">
        <v>0.48883100000000002</v>
      </c>
      <c r="BD127">
        <f t="shared" si="22"/>
        <v>5.3047901234567901E-2</v>
      </c>
      <c r="BE127">
        <f t="shared" si="23"/>
        <v>2.5950874140246914E-2</v>
      </c>
      <c r="BH127" s="9"/>
      <c r="BI127" s="21"/>
      <c r="BJ127" s="21"/>
      <c r="BK127" s="21"/>
      <c r="BL127" s="21"/>
      <c r="BM127" s="21"/>
      <c r="BP127" s="9"/>
      <c r="BQ127" s="21"/>
      <c r="BR127" s="21"/>
      <c r="BS127" s="21"/>
      <c r="BT127" s="21"/>
      <c r="BU127" s="21"/>
      <c r="BZ127" s="9"/>
      <c r="CA127" s="21"/>
      <c r="CB127" s="21"/>
      <c r="CC127" s="21"/>
      <c r="CD127" s="21"/>
      <c r="CE127" s="21"/>
      <c r="CH127" s="9"/>
      <c r="CI127" s="21"/>
      <c r="CJ127" s="21"/>
      <c r="CK127" s="21"/>
      <c r="CL127" s="21"/>
      <c r="CM127" s="21"/>
      <c r="CR127" s="9"/>
      <c r="CS127" s="21"/>
      <c r="CT127" s="21"/>
      <c r="CU127" s="21"/>
      <c r="CV127" s="21"/>
      <c r="CW127" s="21"/>
      <c r="CZ127" s="9"/>
      <c r="DA127" s="21"/>
      <c r="DB127" s="21"/>
      <c r="DC127" s="21"/>
      <c r="DD127" s="21"/>
      <c r="DE127" s="21"/>
      <c r="DJ127" s="9"/>
      <c r="DK127" s="21"/>
      <c r="DL127" s="21"/>
      <c r="DM127" s="21"/>
      <c r="DN127" s="21"/>
      <c r="DO127" s="21"/>
      <c r="DR127" s="9"/>
      <c r="DS127" s="21"/>
      <c r="DT127" s="21"/>
      <c r="DU127" s="21"/>
      <c r="DV127" s="21"/>
      <c r="DW127" s="21"/>
      <c r="EB127" s="9"/>
      <c r="EC127" s="21"/>
      <c r="ED127" s="21"/>
      <c r="EE127" s="21"/>
      <c r="EF127" s="21"/>
      <c r="EG127" s="21"/>
      <c r="EJ127" s="9"/>
      <c r="EK127" s="21"/>
      <c r="EL127" s="21"/>
      <c r="EM127" s="21"/>
      <c r="EN127" s="21"/>
      <c r="EO127" s="21"/>
      <c r="ES127" s="9"/>
      <c r="ET127" s="21"/>
      <c r="EU127" s="21"/>
      <c r="EV127" s="21"/>
      <c r="EW127" s="21"/>
      <c r="EX127" s="21"/>
      <c r="FA127" s="9"/>
      <c r="FB127" s="21"/>
      <c r="FC127" s="21"/>
      <c r="FD127" s="21"/>
      <c r="FE127" s="21"/>
      <c r="FF127" s="21"/>
    </row>
    <row r="128" spans="6:162" x14ac:dyDescent="0.25">
      <c r="F128" s="9"/>
      <c r="G128" s="21">
        <v>0.60577400000000003</v>
      </c>
      <c r="H128" s="21">
        <v>6.2037000000000004</v>
      </c>
      <c r="I128" s="24">
        <v>-5.6457499999999999E-5</v>
      </c>
      <c r="J128" s="21">
        <v>118</v>
      </c>
      <c r="K128" s="21">
        <v>0.60543800000000003</v>
      </c>
      <c r="L128">
        <f t="shared" si="12"/>
        <v>6.9700617283950606E-2</v>
      </c>
      <c r="M128">
        <f t="shared" si="13"/>
        <v>4.2222821734567893E-2</v>
      </c>
      <c r="N128" s="9"/>
      <c r="O128" s="21">
        <v>0.494232</v>
      </c>
      <c r="P128" s="21">
        <v>8.8244399999999992</v>
      </c>
      <c r="Q128" s="24">
        <v>-4.6844500000000002E-5</v>
      </c>
      <c r="R128" s="21">
        <v>118</v>
      </c>
      <c r="S128" s="21">
        <v>0.49386600000000003</v>
      </c>
      <c r="T128">
        <f t="shared" si="14"/>
        <v>5.7832716049382712E-2</v>
      </c>
      <c r="U128">
        <f t="shared" si="15"/>
        <v>2.8582778918518518E-2</v>
      </c>
      <c r="X128" s="9"/>
      <c r="Y128" s="21">
        <v>0.60577400000000003</v>
      </c>
      <c r="Z128" s="21">
        <v>13.184900000000001</v>
      </c>
      <c r="AA128" s="24">
        <v>-5.1574699999999999E-5</v>
      </c>
      <c r="AB128" s="21">
        <v>118</v>
      </c>
      <c r="AC128" s="21">
        <v>0.60540799999999995</v>
      </c>
      <c r="AD128">
        <f t="shared" si="16"/>
        <v>6.3672469135802462E-2</v>
      </c>
      <c r="AE128">
        <f t="shared" si="17"/>
        <v>3.8571126318271601E-2</v>
      </c>
      <c r="AF128" s="9"/>
      <c r="AG128" s="21">
        <v>0.494232</v>
      </c>
      <c r="AH128" s="21">
        <v>15.8056</v>
      </c>
      <c r="AI128" s="24">
        <v>-4.4250499999999999E-5</v>
      </c>
      <c r="AJ128" s="21">
        <v>118</v>
      </c>
      <c r="AK128" s="21">
        <v>0.49386600000000003</v>
      </c>
      <c r="AL128">
        <f t="shared" si="18"/>
        <v>5.4630246913580247E-2</v>
      </c>
      <c r="AM128">
        <f t="shared" si="19"/>
        <v>2.7000016192592593E-2</v>
      </c>
      <c r="AP128" s="9"/>
      <c r="AQ128" s="21">
        <v>0.60577400000000003</v>
      </c>
      <c r="AR128" s="21">
        <v>20.1081</v>
      </c>
      <c r="AS128" s="24">
        <v>-4.9468999999999997E-5</v>
      </c>
      <c r="AT128" s="21">
        <v>118</v>
      </c>
      <c r="AU128" s="21">
        <v>0.60543800000000003</v>
      </c>
      <c r="AV128">
        <f t="shared" si="20"/>
        <v>6.107283950617283E-2</v>
      </c>
      <c r="AW128">
        <f t="shared" si="21"/>
        <v>3.6996338279012345E-2</v>
      </c>
      <c r="AX128" s="9"/>
      <c r="AY128" s="21">
        <v>0.494232</v>
      </c>
      <c r="AZ128" s="21">
        <v>22.7288</v>
      </c>
      <c r="BA128" s="24">
        <v>-4.2907700000000003E-5</v>
      </c>
      <c r="BB128" s="21">
        <v>118</v>
      </c>
      <c r="BC128" s="21">
        <v>0.49383500000000002</v>
      </c>
      <c r="BD128">
        <f t="shared" si="22"/>
        <v>5.2972469135802475E-2</v>
      </c>
      <c r="BE128">
        <f t="shared" si="23"/>
        <v>2.6180689365925928E-2</v>
      </c>
      <c r="BH128" s="9"/>
      <c r="BI128" s="21"/>
      <c r="BJ128" s="21"/>
      <c r="BK128" s="21"/>
      <c r="BL128" s="21"/>
      <c r="BM128" s="21"/>
      <c r="BP128" s="9"/>
      <c r="BQ128" s="21"/>
      <c r="BR128" s="21"/>
      <c r="BS128" s="21"/>
      <c r="BT128" s="21"/>
      <c r="BU128" s="21"/>
      <c r="BZ128" s="9"/>
      <c r="CA128" s="21"/>
      <c r="CB128" s="21"/>
      <c r="CC128" s="21"/>
      <c r="CD128" s="21"/>
      <c r="CE128" s="21"/>
      <c r="CH128" s="9"/>
      <c r="CI128" s="21"/>
      <c r="CJ128" s="21"/>
      <c r="CK128" s="21"/>
      <c r="CL128" s="21"/>
      <c r="CM128" s="21"/>
      <c r="CR128" s="9"/>
      <c r="CS128" s="21"/>
      <c r="CT128" s="21"/>
      <c r="CU128" s="21"/>
      <c r="CV128" s="21"/>
      <c r="CW128" s="21"/>
      <c r="CZ128" s="9"/>
      <c r="DA128" s="21"/>
      <c r="DB128" s="21"/>
      <c r="DC128" s="21"/>
      <c r="DD128" s="21"/>
      <c r="DE128" s="21"/>
      <c r="DJ128" s="9"/>
      <c r="DK128" s="21"/>
      <c r="DL128" s="21"/>
      <c r="DM128" s="21"/>
      <c r="DN128" s="21"/>
      <c r="DO128" s="21"/>
      <c r="DR128" s="9"/>
      <c r="DS128" s="21"/>
      <c r="DT128" s="21"/>
      <c r="DU128" s="21"/>
      <c r="DV128" s="21"/>
      <c r="DW128" s="21"/>
      <c r="EB128" s="9"/>
      <c r="EC128" s="21"/>
      <c r="ED128" s="21"/>
      <c r="EE128" s="21"/>
      <c r="EF128" s="21"/>
      <c r="EG128" s="21"/>
      <c r="EJ128" s="9"/>
      <c r="EK128" s="21"/>
      <c r="EL128" s="21"/>
      <c r="EM128" s="21"/>
      <c r="EN128" s="21"/>
      <c r="EO128" s="21"/>
      <c r="ES128" s="9"/>
      <c r="ET128" s="21"/>
      <c r="EU128" s="21"/>
      <c r="EV128" s="21"/>
      <c r="EW128" s="21"/>
      <c r="EX128" s="21"/>
      <c r="FA128" s="9"/>
      <c r="FB128" s="21"/>
      <c r="FC128" s="21"/>
      <c r="FD128" s="21"/>
      <c r="FE128" s="21"/>
      <c r="FF128" s="21"/>
    </row>
    <row r="129" spans="6:162" x14ac:dyDescent="0.25">
      <c r="F129" s="9"/>
      <c r="G129" s="21">
        <v>0.60073900000000002</v>
      </c>
      <c r="H129" s="21">
        <v>6.2137700000000002</v>
      </c>
      <c r="I129" s="24">
        <v>-5.6610100000000002E-5</v>
      </c>
      <c r="J129" s="21">
        <v>119</v>
      </c>
      <c r="K129" s="21">
        <v>0.60040300000000002</v>
      </c>
      <c r="L129">
        <f t="shared" si="12"/>
        <v>6.9889012345679014E-2</v>
      </c>
      <c r="M129">
        <f t="shared" si="13"/>
        <v>4.1985055387530869E-2</v>
      </c>
      <c r="N129" s="9"/>
      <c r="O129" s="21">
        <v>0.49926799999999999</v>
      </c>
      <c r="P129" s="21">
        <v>8.8345099999999999</v>
      </c>
      <c r="Q129" s="24">
        <v>-4.6630900000000001E-5</v>
      </c>
      <c r="R129" s="21">
        <v>119</v>
      </c>
      <c r="S129" s="21">
        <v>0.49890099999999998</v>
      </c>
      <c r="T129">
        <f t="shared" si="14"/>
        <v>5.7569012345679009E-2</v>
      </c>
      <c r="U129">
        <f t="shared" si="15"/>
        <v>2.8742365655802467E-2</v>
      </c>
      <c r="X129" s="9"/>
      <c r="Y129" s="21">
        <v>0.60073900000000002</v>
      </c>
      <c r="Z129" s="21">
        <v>13.194900000000001</v>
      </c>
      <c r="AA129" s="24">
        <v>-5.1727300000000002E-5</v>
      </c>
      <c r="AB129" s="21">
        <v>119</v>
      </c>
      <c r="AC129" s="21">
        <v>0.60034200000000004</v>
      </c>
      <c r="AD129">
        <f t="shared" si="16"/>
        <v>6.386086419753087E-2</v>
      </c>
      <c r="AE129">
        <f t="shared" si="17"/>
        <v>3.8363711697160498E-2</v>
      </c>
      <c r="AF129" s="9"/>
      <c r="AG129" s="21">
        <v>0.49926799999999999</v>
      </c>
      <c r="AH129" s="21">
        <v>15.8157</v>
      </c>
      <c r="AI129" s="24">
        <v>-4.4189500000000001E-5</v>
      </c>
      <c r="AJ129" s="21">
        <v>119</v>
      </c>
      <c r="AK129" s="21">
        <v>0.49899300000000002</v>
      </c>
      <c r="AL129">
        <f t="shared" si="18"/>
        <v>5.4554938271604937E-2</v>
      </c>
      <c r="AM129">
        <f t="shared" si="19"/>
        <v>2.7237534920987655E-2</v>
      </c>
      <c r="AP129" s="9"/>
      <c r="AQ129" s="21">
        <v>0.60073900000000002</v>
      </c>
      <c r="AR129" s="21">
        <v>20.118099999999998</v>
      </c>
      <c r="AS129" s="24">
        <v>-4.9652099999999998E-5</v>
      </c>
      <c r="AT129" s="21">
        <v>119</v>
      </c>
      <c r="AU129" s="21">
        <v>0.60040300000000002</v>
      </c>
      <c r="AV129">
        <f t="shared" si="20"/>
        <v>6.1298888888888882E-2</v>
      </c>
      <c r="AW129">
        <f t="shared" si="21"/>
        <v>3.6824633212222221E-2</v>
      </c>
      <c r="AX129" s="9"/>
      <c r="AY129" s="21">
        <v>0.49926799999999999</v>
      </c>
      <c r="AZ129" s="21">
        <v>22.738900000000001</v>
      </c>
      <c r="BA129" s="24">
        <v>-4.2694100000000002E-5</v>
      </c>
      <c r="BB129" s="21">
        <v>119</v>
      </c>
      <c r="BC129" s="21">
        <v>0.49899300000000002</v>
      </c>
      <c r="BD129">
        <f t="shared" si="22"/>
        <v>5.2708765432098764E-2</v>
      </c>
      <c r="BE129">
        <f t="shared" si="23"/>
        <v>2.6315799899753085E-2</v>
      </c>
      <c r="BH129" s="9"/>
      <c r="BI129" s="21"/>
      <c r="BJ129" s="21"/>
      <c r="BK129" s="21"/>
      <c r="BL129" s="21"/>
      <c r="BM129" s="21"/>
      <c r="BP129" s="9"/>
      <c r="BQ129" s="21"/>
      <c r="BR129" s="21"/>
      <c r="BS129" s="21"/>
      <c r="BT129" s="21"/>
      <c r="BU129" s="21"/>
      <c r="BZ129" s="9"/>
      <c r="CA129" s="21"/>
      <c r="CB129" s="21"/>
      <c r="CC129" s="21"/>
      <c r="CD129" s="21"/>
      <c r="CE129" s="21"/>
      <c r="CH129" s="9"/>
      <c r="CI129" s="21"/>
      <c r="CJ129" s="21"/>
      <c r="CK129" s="21"/>
      <c r="CL129" s="21"/>
      <c r="CM129" s="21"/>
      <c r="CR129" s="9"/>
      <c r="CS129" s="21"/>
      <c r="CT129" s="21"/>
      <c r="CU129" s="21"/>
      <c r="CV129" s="21"/>
      <c r="CW129" s="21"/>
      <c r="CZ129" s="9"/>
      <c r="DA129" s="21"/>
      <c r="DB129" s="21"/>
      <c r="DC129" s="21"/>
      <c r="DD129" s="21"/>
      <c r="DE129" s="21"/>
      <c r="DJ129" s="9"/>
      <c r="DK129" s="21"/>
      <c r="DL129" s="21"/>
      <c r="DM129" s="21"/>
      <c r="DN129" s="21"/>
      <c r="DO129" s="21"/>
      <c r="DR129" s="9"/>
      <c r="DS129" s="21"/>
      <c r="DT129" s="21"/>
      <c r="DU129" s="21"/>
      <c r="DV129" s="21"/>
      <c r="DW129" s="21"/>
      <c r="EB129" s="9"/>
      <c r="EC129" s="21"/>
      <c r="ED129" s="21"/>
      <c r="EE129" s="21"/>
      <c r="EF129" s="21"/>
      <c r="EG129" s="21"/>
      <c r="EJ129" s="9"/>
      <c r="EK129" s="21"/>
      <c r="EL129" s="21"/>
      <c r="EM129" s="21"/>
      <c r="EN129" s="21"/>
      <c r="EO129" s="21"/>
      <c r="ES129" s="9"/>
      <c r="ET129" s="21"/>
      <c r="EU129" s="21"/>
      <c r="EV129" s="21"/>
      <c r="EW129" s="21"/>
      <c r="EX129" s="21"/>
      <c r="FA129" s="9"/>
      <c r="FB129" s="21"/>
      <c r="FC129" s="21"/>
      <c r="FD129" s="21"/>
      <c r="FE129" s="21"/>
      <c r="FF129" s="21"/>
    </row>
    <row r="130" spans="6:162" x14ac:dyDescent="0.25">
      <c r="F130" s="9"/>
      <c r="G130" s="21">
        <v>0.59570299999999998</v>
      </c>
      <c r="H130" s="21">
        <v>6.22384</v>
      </c>
      <c r="I130" s="24">
        <v>-5.6762699999999998E-5</v>
      </c>
      <c r="J130" s="21">
        <v>120</v>
      </c>
      <c r="K130" s="21">
        <v>0.59536699999999998</v>
      </c>
      <c r="L130">
        <f t="shared" si="12"/>
        <v>7.0077407407407394E-2</v>
      </c>
      <c r="M130">
        <f t="shared" si="13"/>
        <v>4.1745321824814809E-2</v>
      </c>
      <c r="N130" s="9"/>
      <c r="O130" s="21">
        <v>0.50430299999999995</v>
      </c>
      <c r="P130" s="21">
        <v>8.8445800000000006</v>
      </c>
      <c r="Q130" s="24">
        <v>-4.6508799999999998E-5</v>
      </c>
      <c r="R130" s="21">
        <v>120</v>
      </c>
      <c r="S130" s="21">
        <v>0.50396700000000005</v>
      </c>
      <c r="T130">
        <f t="shared" si="14"/>
        <v>5.7418271604938266E-2</v>
      </c>
      <c r="U130">
        <f t="shared" si="15"/>
        <v>2.895620662518518E-2</v>
      </c>
      <c r="X130" s="9"/>
      <c r="Y130" s="21">
        <v>0.59570299999999998</v>
      </c>
      <c r="Z130" s="21">
        <v>13.205</v>
      </c>
      <c r="AA130" s="24">
        <v>-5.1849399999999999E-5</v>
      </c>
      <c r="AB130" s="21">
        <v>120</v>
      </c>
      <c r="AC130" s="21">
        <v>0.59539799999999998</v>
      </c>
      <c r="AD130">
        <f t="shared" si="16"/>
        <v>6.4011604938271599E-2</v>
      </c>
      <c r="AE130">
        <f t="shared" si="17"/>
        <v>3.8131905096543205E-2</v>
      </c>
      <c r="AF130" s="9"/>
      <c r="AG130" s="21">
        <v>0.50430299999999995</v>
      </c>
      <c r="AH130" s="21">
        <v>15.825799999999999</v>
      </c>
      <c r="AI130" s="24">
        <v>-4.4036899999999998E-5</v>
      </c>
      <c r="AJ130" s="21">
        <v>120</v>
      </c>
      <c r="AK130" s="21">
        <v>0.50402800000000003</v>
      </c>
      <c r="AL130">
        <f t="shared" si="18"/>
        <v>5.4366543209876536E-2</v>
      </c>
      <c r="AM130">
        <f t="shared" si="19"/>
        <v>2.7417210840370364E-2</v>
      </c>
      <c r="AP130" s="9"/>
      <c r="AQ130" s="21">
        <v>0.59570299999999998</v>
      </c>
      <c r="AR130" s="21">
        <v>20.1282</v>
      </c>
      <c r="AS130" s="24">
        <v>-4.9774200000000002E-5</v>
      </c>
      <c r="AT130" s="21">
        <v>120</v>
      </c>
      <c r="AU130" s="21">
        <v>0.59536699999999998</v>
      </c>
      <c r="AV130">
        <f t="shared" si="20"/>
        <v>6.1449629629629632E-2</v>
      </c>
      <c r="AW130">
        <f t="shared" si="21"/>
        <v>3.660572871925926E-2</v>
      </c>
      <c r="AX130" s="9"/>
      <c r="AY130" s="21">
        <v>0.50430299999999995</v>
      </c>
      <c r="AZ130" s="21">
        <v>22.748899999999999</v>
      </c>
      <c r="BA130" s="24">
        <v>-4.2602499999999997E-5</v>
      </c>
      <c r="BB130" s="21">
        <v>120</v>
      </c>
      <c r="BC130" s="21">
        <v>0.50393699999999997</v>
      </c>
      <c r="BD130">
        <f t="shared" si="22"/>
        <v>5.2595679012345672E-2</v>
      </c>
      <c r="BE130">
        <f t="shared" si="23"/>
        <v>2.6524158712962955E-2</v>
      </c>
      <c r="BH130" s="9"/>
      <c r="BI130" s="21"/>
      <c r="BJ130" s="21"/>
      <c r="BK130" s="21"/>
      <c r="BL130" s="21"/>
      <c r="BM130" s="21"/>
      <c r="BP130" s="9"/>
      <c r="BQ130" s="21"/>
      <c r="BR130" s="21"/>
      <c r="BS130" s="21"/>
      <c r="BT130" s="21"/>
      <c r="BU130" s="21"/>
      <c r="BZ130" s="9"/>
      <c r="CA130" s="21"/>
      <c r="CB130" s="21"/>
      <c r="CC130" s="21"/>
      <c r="CD130" s="21"/>
      <c r="CE130" s="21"/>
      <c r="CH130" s="9"/>
      <c r="CI130" s="21"/>
      <c r="CJ130" s="21"/>
      <c r="CK130" s="21"/>
      <c r="CL130" s="21"/>
      <c r="CM130" s="21"/>
      <c r="CR130" s="9"/>
      <c r="CS130" s="21"/>
      <c r="CT130" s="21"/>
      <c r="CU130" s="21"/>
      <c r="CV130" s="21"/>
      <c r="CW130" s="21"/>
      <c r="CZ130" s="9"/>
      <c r="DA130" s="21"/>
      <c r="DB130" s="21"/>
      <c r="DC130" s="21"/>
      <c r="DD130" s="21"/>
      <c r="DE130" s="21"/>
      <c r="DJ130" s="9"/>
      <c r="DK130" s="21"/>
      <c r="DL130" s="21"/>
      <c r="DM130" s="21"/>
      <c r="DN130" s="21"/>
      <c r="DO130" s="21"/>
      <c r="DR130" s="9"/>
      <c r="DS130" s="21"/>
      <c r="DT130" s="21"/>
      <c r="DU130" s="21"/>
      <c r="DV130" s="21"/>
      <c r="DW130" s="21"/>
      <c r="EB130" s="9"/>
      <c r="EC130" s="21"/>
      <c r="ED130" s="21"/>
      <c r="EE130" s="21"/>
      <c r="EF130" s="21"/>
      <c r="EG130" s="21"/>
      <c r="EJ130" s="9"/>
      <c r="EK130" s="21"/>
      <c r="EL130" s="21"/>
      <c r="EM130" s="21"/>
      <c r="EN130" s="21"/>
      <c r="EO130" s="21"/>
      <c r="ES130" s="9"/>
      <c r="ET130" s="21"/>
      <c r="EU130" s="21"/>
      <c r="EV130" s="21"/>
      <c r="EW130" s="21"/>
      <c r="EX130" s="21"/>
      <c r="FA130" s="9"/>
      <c r="FB130" s="21"/>
      <c r="FC130" s="21"/>
      <c r="FD130" s="21"/>
      <c r="FE130" s="21"/>
      <c r="FF130" s="21"/>
    </row>
    <row r="131" spans="6:162" x14ac:dyDescent="0.25">
      <c r="F131" s="9"/>
      <c r="G131" s="21">
        <v>0.59066799999999997</v>
      </c>
      <c r="H131" s="21">
        <v>6.2339099999999998</v>
      </c>
      <c r="I131" s="24">
        <v>-5.7037399999999997E-5</v>
      </c>
      <c r="J131" s="21">
        <v>121</v>
      </c>
      <c r="K131" s="21">
        <v>0.59027099999999999</v>
      </c>
      <c r="L131">
        <f t="shared" si="12"/>
        <v>7.0416543209876531E-2</v>
      </c>
      <c r="M131">
        <f t="shared" si="13"/>
        <v>4.1592798744691351E-2</v>
      </c>
      <c r="N131" s="9"/>
      <c r="O131" s="21">
        <v>0.50933799999999996</v>
      </c>
      <c r="P131" s="21">
        <v>8.8546499999999995</v>
      </c>
      <c r="Q131" s="24">
        <v>-4.6325700000000003E-5</v>
      </c>
      <c r="R131" s="21">
        <v>121</v>
      </c>
      <c r="S131" s="21">
        <v>0.50897199999999998</v>
      </c>
      <c r="T131">
        <f t="shared" si="14"/>
        <v>5.7192222222222221E-2</v>
      </c>
      <c r="U131">
        <f t="shared" si="15"/>
        <v>2.9130172082222218E-2</v>
      </c>
      <c r="X131" s="9"/>
      <c r="Y131" s="21">
        <v>0.59066799999999997</v>
      </c>
      <c r="Z131" s="21">
        <v>13.2151</v>
      </c>
      <c r="AA131" s="24">
        <v>-5.2062999999999999E-5</v>
      </c>
      <c r="AB131" s="21">
        <v>121</v>
      </c>
      <c r="AC131" s="21">
        <v>0.59033199999999997</v>
      </c>
      <c r="AD131">
        <f t="shared" si="16"/>
        <v>6.4275308641975309E-2</v>
      </c>
      <c r="AE131">
        <f t="shared" si="17"/>
        <v>3.7965368004938271E-2</v>
      </c>
      <c r="AF131" s="9"/>
      <c r="AG131" s="21">
        <v>0.50933799999999996</v>
      </c>
      <c r="AH131" s="21">
        <v>15.835800000000001</v>
      </c>
      <c r="AI131" s="24">
        <v>-4.3884300000000003E-5</v>
      </c>
      <c r="AJ131" s="21">
        <v>121</v>
      </c>
      <c r="AK131" s="21">
        <v>0.50897199999999998</v>
      </c>
      <c r="AL131">
        <f t="shared" si="18"/>
        <v>5.4178148148148149E-2</v>
      </c>
      <c r="AM131">
        <f t="shared" si="19"/>
        <v>2.7594989621481481E-2</v>
      </c>
      <c r="AP131" s="9"/>
      <c r="AQ131" s="21">
        <v>0.59066799999999997</v>
      </c>
      <c r="AR131" s="21">
        <v>20.138300000000001</v>
      </c>
      <c r="AS131" s="24">
        <v>-4.9987800000000003E-5</v>
      </c>
      <c r="AT131" s="21">
        <v>121</v>
      </c>
      <c r="AU131" s="21">
        <v>0.59042399999999995</v>
      </c>
      <c r="AV131">
        <f t="shared" si="20"/>
        <v>6.1713333333333328E-2</v>
      </c>
      <c r="AW131">
        <f t="shared" si="21"/>
        <v>3.6452091173333326E-2</v>
      </c>
      <c r="AX131" s="9"/>
      <c r="AY131" s="21">
        <v>0.50933799999999996</v>
      </c>
      <c r="AZ131" s="21">
        <v>22.759</v>
      </c>
      <c r="BA131" s="24">
        <v>-4.2358399999999997E-5</v>
      </c>
      <c r="BB131" s="21">
        <v>121</v>
      </c>
      <c r="BC131" s="21">
        <v>0.50900299999999998</v>
      </c>
      <c r="BD131">
        <f t="shared" si="22"/>
        <v>5.2294320987654318E-2</v>
      </c>
      <c r="BE131">
        <f t="shared" si="23"/>
        <v>2.6635484863209873E-2</v>
      </c>
      <c r="BH131" s="9"/>
      <c r="BI131" s="21"/>
      <c r="BJ131" s="21"/>
      <c r="BK131" s="21"/>
      <c r="BL131" s="21"/>
      <c r="BM131" s="21"/>
      <c r="BP131" s="9"/>
      <c r="BQ131" s="21"/>
      <c r="BR131" s="21"/>
      <c r="BS131" s="21"/>
      <c r="BT131" s="21"/>
      <c r="BU131" s="21"/>
      <c r="BZ131" s="9"/>
      <c r="CA131" s="21"/>
      <c r="CB131" s="21"/>
      <c r="CC131" s="21"/>
      <c r="CD131" s="21"/>
      <c r="CE131" s="21"/>
      <c r="CH131" s="9"/>
      <c r="CI131" s="21"/>
      <c r="CJ131" s="21"/>
      <c r="CK131" s="21"/>
      <c r="CL131" s="21"/>
      <c r="CM131" s="21"/>
      <c r="CR131" s="9"/>
      <c r="CS131" s="21"/>
      <c r="CT131" s="21"/>
      <c r="CU131" s="21"/>
      <c r="CV131" s="21"/>
      <c r="CW131" s="21"/>
      <c r="CZ131" s="9"/>
      <c r="DA131" s="21"/>
      <c r="DB131" s="21"/>
      <c r="DC131" s="21"/>
      <c r="DD131" s="21"/>
      <c r="DE131" s="21"/>
      <c r="DJ131" s="9"/>
      <c r="DK131" s="21"/>
      <c r="DL131" s="21"/>
      <c r="DM131" s="21"/>
      <c r="DN131" s="21"/>
      <c r="DO131" s="21"/>
      <c r="DR131" s="9"/>
      <c r="DS131" s="21"/>
      <c r="DT131" s="21"/>
      <c r="DU131" s="21"/>
      <c r="DV131" s="21"/>
      <c r="DW131" s="21"/>
      <c r="EB131" s="9"/>
      <c r="EC131" s="21"/>
      <c r="ED131" s="21"/>
      <c r="EE131" s="21"/>
      <c r="EF131" s="21"/>
      <c r="EG131" s="21"/>
      <c r="EJ131" s="9"/>
      <c r="EK131" s="21"/>
      <c r="EL131" s="21"/>
      <c r="EM131" s="21"/>
      <c r="EN131" s="21"/>
      <c r="EO131" s="21"/>
      <c r="ES131" s="9"/>
      <c r="ET131" s="21"/>
      <c r="EU131" s="21"/>
      <c r="EV131" s="21"/>
      <c r="EW131" s="21"/>
      <c r="EX131" s="21"/>
      <c r="FA131" s="9"/>
      <c r="FB131" s="21"/>
      <c r="FC131" s="21"/>
      <c r="FD131" s="21"/>
      <c r="FE131" s="21"/>
      <c r="FF131" s="21"/>
    </row>
    <row r="132" spans="6:162" x14ac:dyDescent="0.25">
      <c r="F132" s="9"/>
      <c r="G132" s="21">
        <v>0.58563200000000004</v>
      </c>
      <c r="H132" s="21">
        <v>6.2439799999999996</v>
      </c>
      <c r="I132" s="24">
        <v>-5.7098400000000002E-5</v>
      </c>
      <c r="J132" s="21">
        <v>122</v>
      </c>
      <c r="K132" s="21">
        <v>0.58532700000000004</v>
      </c>
      <c r="L132">
        <f t="shared" si="12"/>
        <v>7.0491851851851847E-2</v>
      </c>
      <c r="M132">
        <f t="shared" si="13"/>
        <v>4.1282284183703701E-2</v>
      </c>
      <c r="N132" s="9"/>
      <c r="O132" s="21">
        <v>0.514374</v>
      </c>
      <c r="P132" s="21">
        <v>8.8647200000000002</v>
      </c>
      <c r="Q132" s="24">
        <v>-4.61731E-5</v>
      </c>
      <c r="R132" s="21">
        <v>122</v>
      </c>
      <c r="S132" s="21">
        <v>0.51397700000000002</v>
      </c>
      <c r="T132">
        <f t="shared" si="14"/>
        <v>5.700382716049382E-2</v>
      </c>
      <c r="U132">
        <f t="shared" si="15"/>
        <v>2.9321286591851847E-2</v>
      </c>
      <c r="X132" s="9"/>
      <c r="Y132" s="21">
        <v>0.58563200000000004</v>
      </c>
      <c r="Z132" s="21">
        <v>13.225199999999999</v>
      </c>
      <c r="AA132" s="24">
        <v>-5.22766E-5</v>
      </c>
      <c r="AB132" s="21">
        <v>122</v>
      </c>
      <c r="AC132" s="21">
        <v>0.58532700000000004</v>
      </c>
      <c r="AD132">
        <f t="shared" si="16"/>
        <v>6.4539012345679006E-2</v>
      </c>
      <c r="AE132">
        <f t="shared" si="17"/>
        <v>3.7796110878024688E-2</v>
      </c>
      <c r="AF132" s="9"/>
      <c r="AG132" s="21">
        <v>0.514374</v>
      </c>
      <c r="AH132" s="21">
        <v>15.8459</v>
      </c>
      <c r="AI132" s="24">
        <v>-4.3670700000000002E-5</v>
      </c>
      <c r="AJ132" s="21">
        <v>122</v>
      </c>
      <c r="AK132" s="21">
        <v>0.51397700000000002</v>
      </c>
      <c r="AL132">
        <f t="shared" si="18"/>
        <v>5.3914444444444445E-2</v>
      </c>
      <c r="AM132">
        <f t="shared" si="19"/>
        <v>2.7732188446666667E-2</v>
      </c>
      <c r="AP132" s="9"/>
      <c r="AQ132" s="21">
        <v>0.58563200000000004</v>
      </c>
      <c r="AR132" s="21">
        <v>20.148299999999999</v>
      </c>
      <c r="AS132" s="24">
        <v>-5.0048800000000001E-5</v>
      </c>
      <c r="AT132" s="21">
        <v>122</v>
      </c>
      <c r="AU132" s="21">
        <v>0.58529699999999996</v>
      </c>
      <c r="AV132">
        <f t="shared" si="20"/>
        <v>6.1788641975308645E-2</v>
      </c>
      <c r="AW132">
        <f t="shared" si="21"/>
        <v>3.6185405977283952E-2</v>
      </c>
      <c r="AX132" s="9"/>
      <c r="AY132" s="21">
        <v>0.514374</v>
      </c>
      <c r="AZ132" s="21">
        <v>22.769100000000002</v>
      </c>
      <c r="BA132" s="24">
        <v>-4.2297399999999999E-5</v>
      </c>
      <c r="BB132" s="21">
        <v>122</v>
      </c>
      <c r="BC132" s="21">
        <v>0.51403799999999999</v>
      </c>
      <c r="BD132">
        <f t="shared" si="22"/>
        <v>5.2219012345679008E-2</v>
      </c>
      <c r="BE132">
        <f t="shared" si="23"/>
        <v>2.6860102256296293E-2</v>
      </c>
      <c r="BH132" s="9"/>
      <c r="BI132" s="21"/>
      <c r="BJ132" s="21"/>
      <c r="BK132" s="21"/>
      <c r="BL132" s="21"/>
      <c r="BM132" s="21"/>
      <c r="BP132" s="9"/>
      <c r="BQ132" s="21"/>
      <c r="BR132" s="21"/>
      <c r="BS132" s="21"/>
      <c r="BT132" s="21"/>
      <c r="BU132" s="21"/>
      <c r="BZ132" s="9"/>
      <c r="CA132" s="21"/>
      <c r="CB132" s="21"/>
      <c r="CC132" s="21"/>
      <c r="CD132" s="21"/>
      <c r="CE132" s="21"/>
      <c r="CH132" s="9"/>
      <c r="CI132" s="21"/>
      <c r="CJ132" s="21"/>
      <c r="CK132" s="21"/>
      <c r="CL132" s="21"/>
      <c r="CM132" s="21"/>
      <c r="CR132" s="9"/>
      <c r="CS132" s="21"/>
      <c r="CT132" s="21"/>
      <c r="CU132" s="21"/>
      <c r="CV132" s="21"/>
      <c r="CW132" s="21"/>
      <c r="CZ132" s="9"/>
      <c r="DA132" s="21"/>
      <c r="DB132" s="21"/>
      <c r="DC132" s="21"/>
      <c r="DD132" s="21"/>
      <c r="DE132" s="21"/>
      <c r="DJ132" s="9"/>
      <c r="DK132" s="21"/>
      <c r="DL132" s="21"/>
      <c r="DM132" s="21"/>
      <c r="DN132" s="21"/>
      <c r="DO132" s="21"/>
      <c r="DR132" s="9"/>
      <c r="DS132" s="21"/>
      <c r="DT132" s="21"/>
      <c r="DU132" s="21"/>
      <c r="DV132" s="21"/>
      <c r="DW132" s="21"/>
      <c r="EB132" s="9"/>
      <c r="EC132" s="21"/>
      <c r="ED132" s="21"/>
      <c r="EE132" s="21"/>
      <c r="EF132" s="21"/>
      <c r="EG132" s="21"/>
      <c r="EJ132" s="9"/>
      <c r="EK132" s="21"/>
      <c r="EL132" s="21"/>
      <c r="EM132" s="21"/>
      <c r="EN132" s="21"/>
      <c r="EO132" s="21"/>
      <c r="ES132" s="9"/>
      <c r="ET132" s="21"/>
      <c r="EU132" s="21"/>
      <c r="EV132" s="21"/>
      <c r="EW132" s="21"/>
      <c r="EX132" s="21"/>
      <c r="FA132" s="9"/>
      <c r="FB132" s="21"/>
      <c r="FC132" s="21"/>
      <c r="FD132" s="21"/>
      <c r="FE132" s="21"/>
      <c r="FF132" s="21"/>
    </row>
    <row r="133" spans="6:162" x14ac:dyDescent="0.25">
      <c r="F133" s="9"/>
      <c r="G133" s="21">
        <v>0.58059700000000003</v>
      </c>
      <c r="H133" s="21">
        <v>6.2540500000000003</v>
      </c>
      <c r="I133" s="24">
        <v>-5.74036E-5</v>
      </c>
      <c r="J133" s="21">
        <v>123</v>
      </c>
      <c r="K133" s="21">
        <v>0.58016999999999996</v>
      </c>
      <c r="L133">
        <f t="shared" si="12"/>
        <v>7.0868641975308636E-2</v>
      </c>
      <c r="M133">
        <f t="shared" si="13"/>
        <v>4.1146120924938273E-2</v>
      </c>
      <c r="N133" s="9"/>
      <c r="O133" s="21">
        <v>0.51940900000000001</v>
      </c>
      <c r="P133" s="21">
        <v>8.8747900000000008</v>
      </c>
      <c r="Q133" s="24">
        <v>-4.5989999999999998E-5</v>
      </c>
      <c r="R133" s="21">
        <v>123</v>
      </c>
      <c r="S133" s="21">
        <v>0.51907300000000001</v>
      </c>
      <c r="T133">
        <f t="shared" si="14"/>
        <v>5.6777777777777774E-2</v>
      </c>
      <c r="U133">
        <f t="shared" si="15"/>
        <v>2.9490888777777776E-2</v>
      </c>
      <c r="X133" s="9"/>
      <c r="Y133" s="21">
        <v>0.58059700000000003</v>
      </c>
      <c r="Z133" s="21">
        <v>13.235200000000001</v>
      </c>
      <c r="AA133" s="24">
        <v>-5.2337599999999998E-5</v>
      </c>
      <c r="AB133" s="21">
        <v>123</v>
      </c>
      <c r="AC133" s="21">
        <v>0.58020000000000005</v>
      </c>
      <c r="AD133">
        <f t="shared" si="16"/>
        <v>6.4614320987654322E-2</v>
      </c>
      <c r="AE133">
        <f t="shared" si="17"/>
        <v>3.7514880922469136E-2</v>
      </c>
      <c r="AF133" s="9"/>
      <c r="AG133" s="21">
        <v>0.51940900000000001</v>
      </c>
      <c r="AH133" s="21">
        <v>15.856</v>
      </c>
      <c r="AI133" s="24">
        <v>-4.3609599999999997E-5</v>
      </c>
      <c r="AJ133" s="21">
        <v>123</v>
      </c>
      <c r="AK133" s="21">
        <v>0.51901200000000003</v>
      </c>
      <c r="AL133">
        <f t="shared" si="18"/>
        <v>5.3839012345679005E-2</v>
      </c>
      <c r="AM133">
        <f t="shared" si="19"/>
        <v>2.7964467563456788E-2</v>
      </c>
      <c r="AP133" s="9"/>
      <c r="AQ133" s="21">
        <v>0.58059700000000003</v>
      </c>
      <c r="AR133" s="21">
        <v>20.1584</v>
      </c>
      <c r="AS133" s="24">
        <v>-5.03235E-5</v>
      </c>
      <c r="AT133" s="21">
        <v>123</v>
      </c>
      <c r="AU133" s="21">
        <v>0.58026100000000003</v>
      </c>
      <c r="AV133">
        <f t="shared" si="20"/>
        <v>6.2127777777777782E-2</v>
      </c>
      <c r="AW133">
        <f t="shared" si="21"/>
        <v>3.6071201394444447E-2</v>
      </c>
      <c r="AX133" s="9"/>
      <c r="AY133" s="21">
        <v>0.51940900000000001</v>
      </c>
      <c r="AZ133" s="21">
        <v>22.7791</v>
      </c>
      <c r="BA133" s="24">
        <v>-4.2205800000000002E-5</v>
      </c>
      <c r="BB133" s="21">
        <v>123</v>
      </c>
      <c r="BC133" s="21">
        <v>0.51898200000000005</v>
      </c>
      <c r="BD133">
        <f t="shared" si="22"/>
        <v>5.2105925925925924E-2</v>
      </c>
      <c r="BE133">
        <f t="shared" si="23"/>
        <v>2.7064286879259259E-2</v>
      </c>
      <c r="BH133" s="9"/>
      <c r="BI133" s="21"/>
      <c r="BJ133" s="21"/>
      <c r="BK133" s="21"/>
      <c r="BL133" s="21"/>
      <c r="BM133" s="21"/>
      <c r="BP133" s="9"/>
      <c r="BQ133" s="21"/>
      <c r="BR133" s="21"/>
      <c r="BS133" s="21"/>
      <c r="BT133" s="21"/>
      <c r="BU133" s="21"/>
      <c r="BZ133" s="9"/>
      <c r="CA133" s="21"/>
      <c r="CB133" s="21"/>
      <c r="CC133" s="21"/>
      <c r="CD133" s="21"/>
      <c r="CE133" s="21"/>
      <c r="CH133" s="9"/>
      <c r="CI133" s="21"/>
      <c r="CJ133" s="21"/>
      <c r="CK133" s="21"/>
      <c r="CL133" s="21"/>
      <c r="CM133" s="21"/>
      <c r="CR133" s="9"/>
      <c r="CS133" s="21"/>
      <c r="CT133" s="21"/>
      <c r="CU133" s="21"/>
      <c r="CV133" s="21"/>
      <c r="CW133" s="21"/>
      <c r="CZ133" s="9"/>
      <c r="DA133" s="21"/>
      <c r="DB133" s="21"/>
      <c r="DC133" s="21"/>
      <c r="DD133" s="21"/>
      <c r="DE133" s="21"/>
      <c r="DJ133" s="9"/>
      <c r="DK133" s="21"/>
      <c r="DL133" s="21"/>
      <c r="DM133" s="21"/>
      <c r="DN133" s="21"/>
      <c r="DO133" s="21"/>
      <c r="DR133" s="9"/>
      <c r="DS133" s="21"/>
      <c r="DT133" s="21"/>
      <c r="DU133" s="21"/>
      <c r="DV133" s="21"/>
      <c r="DW133" s="21"/>
      <c r="EB133" s="9"/>
      <c r="EC133" s="21"/>
      <c r="ED133" s="21"/>
      <c r="EE133" s="21"/>
      <c r="EF133" s="21"/>
      <c r="EG133" s="21"/>
      <c r="EJ133" s="9"/>
      <c r="EK133" s="21"/>
      <c r="EL133" s="21"/>
      <c r="EM133" s="21"/>
      <c r="EN133" s="21"/>
      <c r="EO133" s="21"/>
      <c r="ES133" s="9"/>
      <c r="ET133" s="21"/>
      <c r="EU133" s="21"/>
      <c r="EV133" s="21"/>
      <c r="EW133" s="21"/>
      <c r="EX133" s="21"/>
      <c r="FA133" s="9"/>
      <c r="FB133" s="21"/>
      <c r="FC133" s="21"/>
      <c r="FD133" s="21"/>
      <c r="FE133" s="21"/>
      <c r="FF133" s="21"/>
    </row>
    <row r="134" spans="6:162" x14ac:dyDescent="0.25">
      <c r="F134" s="9"/>
      <c r="G134" s="21">
        <v>0.57556200000000002</v>
      </c>
      <c r="H134" s="21">
        <v>6.2641200000000001</v>
      </c>
      <c r="I134" s="24">
        <v>-5.7525599999999997E-5</v>
      </c>
      <c r="J134" s="21">
        <v>124</v>
      </c>
      <c r="K134" s="21">
        <v>0.57516500000000004</v>
      </c>
      <c r="L134">
        <f t="shared" si="12"/>
        <v>7.1019259259259254E-2</v>
      </c>
      <c r="M134">
        <f t="shared" si="13"/>
        <v>4.0875986897777779E-2</v>
      </c>
      <c r="N134" s="9"/>
      <c r="O134" s="21">
        <v>0.52444500000000005</v>
      </c>
      <c r="P134" s="21">
        <v>8.8848599999999998</v>
      </c>
      <c r="Q134" s="24">
        <v>-4.5745799999999998E-5</v>
      </c>
      <c r="R134" s="21">
        <v>124</v>
      </c>
      <c r="S134" s="21">
        <v>0.52401699999999996</v>
      </c>
      <c r="T134">
        <f t="shared" si="14"/>
        <v>5.6476296296296288E-2</v>
      </c>
      <c r="U134">
        <f t="shared" si="15"/>
        <v>2.961871121111111E-2</v>
      </c>
      <c r="X134" s="9"/>
      <c r="Y134" s="21">
        <v>0.57556200000000002</v>
      </c>
      <c r="Z134" s="21">
        <v>13.2453</v>
      </c>
      <c r="AA134" s="24">
        <v>-5.2490200000000001E-5</v>
      </c>
      <c r="AB134" s="21">
        <v>124</v>
      </c>
      <c r="AC134" s="21">
        <v>0.57519500000000001</v>
      </c>
      <c r="AD134">
        <f t="shared" si="16"/>
        <v>6.4802716049382716E-2</v>
      </c>
      <c r="AE134">
        <f t="shared" si="17"/>
        <v>3.7297980854814818E-2</v>
      </c>
      <c r="AF134" s="9"/>
      <c r="AG134" s="21">
        <v>0.52444500000000005</v>
      </c>
      <c r="AH134" s="21">
        <v>15.866</v>
      </c>
      <c r="AI134" s="24">
        <v>-4.3426500000000002E-5</v>
      </c>
      <c r="AJ134" s="21">
        <v>124</v>
      </c>
      <c r="AK134" s="21">
        <v>0.52404799999999996</v>
      </c>
      <c r="AL134">
        <f t="shared" si="18"/>
        <v>5.3612962962962966E-2</v>
      </c>
      <c r="AM134">
        <f t="shared" si="19"/>
        <v>2.8117050361111114E-2</v>
      </c>
      <c r="AP134" s="9"/>
      <c r="AQ134" s="21">
        <v>0.57556200000000002</v>
      </c>
      <c r="AR134" s="21">
        <v>20.168500000000002</v>
      </c>
      <c r="AS134" s="24">
        <v>-5.0445599999999997E-5</v>
      </c>
      <c r="AT134" s="21">
        <v>124</v>
      </c>
      <c r="AU134" s="21">
        <v>0.57519500000000001</v>
      </c>
      <c r="AV134">
        <f t="shared" si="20"/>
        <v>6.2278518518518518E-2</v>
      </c>
      <c r="AW134">
        <f t="shared" si="21"/>
        <v>3.5845148675555556E-2</v>
      </c>
      <c r="AX134" s="9"/>
      <c r="AY134" s="21">
        <v>0.52444500000000005</v>
      </c>
      <c r="AZ134" s="21">
        <v>22.789200000000001</v>
      </c>
      <c r="BA134" s="24">
        <v>-4.2053199999999999E-5</v>
      </c>
      <c r="BB134" s="21">
        <v>124</v>
      </c>
      <c r="BC134" s="21">
        <v>0.52407800000000004</v>
      </c>
      <c r="BD134">
        <f t="shared" si="22"/>
        <v>5.1917530864197529E-2</v>
      </c>
      <c r="BE134">
        <f t="shared" si="23"/>
        <v>2.7227889474074077E-2</v>
      </c>
      <c r="BH134" s="9"/>
      <c r="BI134" s="21"/>
      <c r="BJ134" s="21"/>
      <c r="BK134" s="21"/>
      <c r="BL134" s="21"/>
      <c r="BM134" s="21"/>
      <c r="BP134" s="9"/>
      <c r="BQ134" s="21"/>
      <c r="BR134" s="21"/>
      <c r="BS134" s="21"/>
      <c r="BT134" s="21"/>
      <c r="BU134" s="21"/>
      <c r="BZ134" s="9"/>
      <c r="CA134" s="21"/>
      <c r="CB134" s="21"/>
      <c r="CC134" s="21"/>
      <c r="CD134" s="21"/>
      <c r="CE134" s="21"/>
      <c r="CH134" s="9"/>
      <c r="CI134" s="21"/>
      <c r="CJ134" s="21"/>
      <c r="CK134" s="21"/>
      <c r="CL134" s="21"/>
      <c r="CM134" s="21"/>
      <c r="CR134" s="9"/>
      <c r="CS134" s="21"/>
      <c r="CT134" s="21"/>
      <c r="CU134" s="21"/>
      <c r="CV134" s="21"/>
      <c r="CW134" s="21"/>
      <c r="CZ134" s="9"/>
      <c r="DA134" s="21"/>
      <c r="DB134" s="21"/>
      <c r="DC134" s="21"/>
      <c r="DD134" s="21"/>
      <c r="DE134" s="21"/>
      <c r="DJ134" s="9"/>
      <c r="DK134" s="21"/>
      <c r="DL134" s="21"/>
      <c r="DM134" s="21"/>
      <c r="DN134" s="21"/>
      <c r="DO134" s="21"/>
      <c r="DR134" s="9"/>
      <c r="DS134" s="21"/>
      <c r="DT134" s="21"/>
      <c r="DU134" s="21"/>
      <c r="DV134" s="21"/>
      <c r="DW134" s="21"/>
      <c r="EB134" s="9"/>
      <c r="EC134" s="21"/>
      <c r="ED134" s="21"/>
      <c r="EE134" s="21"/>
      <c r="EF134" s="21"/>
      <c r="EG134" s="21"/>
      <c r="EJ134" s="9"/>
      <c r="EK134" s="21"/>
      <c r="EL134" s="21"/>
      <c r="EM134" s="21"/>
      <c r="EN134" s="21"/>
      <c r="EO134" s="21"/>
      <c r="ES134" s="9"/>
      <c r="ET134" s="21"/>
      <c r="EU134" s="21"/>
      <c r="EV134" s="21"/>
      <c r="EW134" s="21"/>
      <c r="EX134" s="21"/>
      <c r="FA134" s="9"/>
      <c r="FB134" s="21"/>
      <c r="FC134" s="21"/>
      <c r="FD134" s="21"/>
      <c r="FE134" s="21"/>
      <c r="FF134" s="21"/>
    </row>
    <row r="135" spans="6:162" x14ac:dyDescent="0.25">
      <c r="F135" s="9"/>
      <c r="G135" s="21">
        <v>0.57052599999999998</v>
      </c>
      <c r="H135" s="21">
        <v>6.2741899999999999</v>
      </c>
      <c r="I135" s="24">
        <v>-5.7708699999999999E-5</v>
      </c>
      <c r="J135" s="21">
        <v>125</v>
      </c>
      <c r="K135" s="21">
        <v>0.570129</v>
      </c>
      <c r="L135">
        <f t="shared" si="12"/>
        <v>7.12453086419753E-2</v>
      </c>
      <c r="M135">
        <f t="shared" si="13"/>
        <v>4.0647300958271598E-2</v>
      </c>
      <c r="N135" s="9"/>
      <c r="O135" s="21">
        <v>0.52947999999999995</v>
      </c>
      <c r="P135" s="21">
        <v>8.8949300000000004</v>
      </c>
      <c r="Q135" s="24">
        <v>-4.5593300000000003E-5</v>
      </c>
      <c r="R135" s="21">
        <v>125</v>
      </c>
      <c r="S135" s="21">
        <v>0.52911399999999997</v>
      </c>
      <c r="T135">
        <f t="shared" si="14"/>
        <v>5.6288024691358018E-2</v>
      </c>
      <c r="U135">
        <f t="shared" si="15"/>
        <v>2.9803383313580241E-2</v>
      </c>
      <c r="X135" s="9"/>
      <c r="Y135" s="21">
        <v>0.57052599999999998</v>
      </c>
      <c r="Z135" s="21">
        <v>13.2554</v>
      </c>
      <c r="AA135" s="24">
        <v>-5.2673300000000003E-5</v>
      </c>
      <c r="AB135" s="21">
        <v>125</v>
      </c>
      <c r="AC135" s="21">
        <v>0.57018999999999997</v>
      </c>
      <c r="AD135">
        <f t="shared" si="16"/>
        <v>6.5028765432098762E-2</v>
      </c>
      <c r="AE135">
        <f t="shared" si="17"/>
        <v>3.7100601426913578E-2</v>
      </c>
      <c r="AF135" s="9"/>
      <c r="AG135" s="21">
        <v>0.52947999999999995</v>
      </c>
      <c r="AH135" s="21">
        <v>15.876099999999999</v>
      </c>
      <c r="AI135" s="24">
        <v>-4.3304399999999998E-5</v>
      </c>
      <c r="AJ135" s="21">
        <v>125</v>
      </c>
      <c r="AK135" s="21">
        <v>0.52908299999999997</v>
      </c>
      <c r="AL135">
        <f t="shared" si="18"/>
        <v>5.3462222222222217E-2</v>
      </c>
      <c r="AM135">
        <f t="shared" si="19"/>
        <v>2.8307177422222215E-2</v>
      </c>
      <c r="AP135" s="9"/>
      <c r="AQ135" s="21">
        <v>0.57052599999999998</v>
      </c>
      <c r="AR135" s="21">
        <v>20.178599999999999</v>
      </c>
      <c r="AS135" s="24">
        <v>-5.0537100000000001E-5</v>
      </c>
      <c r="AT135" s="21">
        <v>125</v>
      </c>
      <c r="AU135" s="21">
        <v>0.57016</v>
      </c>
      <c r="AV135">
        <f t="shared" si="20"/>
        <v>6.2391481481481478E-2</v>
      </c>
      <c r="AW135">
        <f t="shared" si="21"/>
        <v>3.5595962363703701E-2</v>
      </c>
      <c r="AX135" s="9"/>
      <c r="AY135" s="21">
        <v>0.52947999999999995</v>
      </c>
      <c r="AZ135" s="21">
        <v>22.799299999999999</v>
      </c>
      <c r="BA135" s="24">
        <v>-4.1961700000000002E-5</v>
      </c>
      <c r="BB135" s="21">
        <v>125</v>
      </c>
      <c r="BC135" s="21">
        <v>0.529053</v>
      </c>
      <c r="BD135">
        <f t="shared" si="22"/>
        <v>5.1804567901234562E-2</v>
      </c>
      <c r="BE135">
        <f t="shared" si="23"/>
        <v>2.7429482612345672E-2</v>
      </c>
      <c r="BH135" s="9"/>
      <c r="BI135" s="21"/>
      <c r="BJ135" s="21"/>
      <c r="BK135" s="21"/>
      <c r="BL135" s="21"/>
      <c r="BM135" s="21"/>
      <c r="BP135" s="9"/>
      <c r="BQ135" s="21"/>
      <c r="BR135" s="21"/>
      <c r="BS135" s="21"/>
      <c r="BT135" s="21"/>
      <c r="BU135" s="21"/>
      <c r="BZ135" s="9"/>
      <c r="CA135" s="21"/>
      <c r="CB135" s="21"/>
      <c r="CC135" s="21"/>
      <c r="CD135" s="21"/>
      <c r="CE135" s="21"/>
      <c r="CH135" s="9"/>
      <c r="CI135" s="21"/>
      <c r="CJ135" s="21"/>
      <c r="CK135" s="21"/>
      <c r="CL135" s="21"/>
      <c r="CM135" s="21"/>
      <c r="CR135" s="9"/>
      <c r="CS135" s="21"/>
      <c r="CT135" s="21"/>
      <c r="CU135" s="21"/>
      <c r="CV135" s="21"/>
      <c r="CW135" s="21"/>
      <c r="CZ135" s="9"/>
      <c r="DA135" s="21"/>
      <c r="DB135" s="21"/>
      <c r="DC135" s="21"/>
      <c r="DD135" s="21"/>
      <c r="DE135" s="21"/>
      <c r="DJ135" s="9"/>
      <c r="DK135" s="21"/>
      <c r="DL135" s="21"/>
      <c r="DM135" s="21"/>
      <c r="DN135" s="21"/>
      <c r="DO135" s="21"/>
      <c r="DR135" s="9"/>
      <c r="DS135" s="21"/>
      <c r="DT135" s="21"/>
      <c r="DU135" s="21"/>
      <c r="DV135" s="21"/>
      <c r="DW135" s="21"/>
      <c r="EB135" s="9"/>
      <c r="EC135" s="21"/>
      <c r="ED135" s="21"/>
      <c r="EE135" s="21"/>
      <c r="EF135" s="21"/>
      <c r="EG135" s="21"/>
      <c r="EJ135" s="9"/>
      <c r="EK135" s="21"/>
      <c r="EL135" s="21"/>
      <c r="EM135" s="21"/>
      <c r="EN135" s="21"/>
      <c r="EO135" s="21"/>
      <c r="ES135" s="9"/>
      <c r="ET135" s="21"/>
      <c r="EU135" s="21"/>
      <c r="EV135" s="21"/>
      <c r="EW135" s="21"/>
      <c r="EX135" s="21"/>
      <c r="FA135" s="9"/>
      <c r="FB135" s="21"/>
      <c r="FC135" s="21"/>
      <c r="FD135" s="21"/>
      <c r="FE135" s="21"/>
      <c r="FF135" s="21"/>
    </row>
    <row r="136" spans="6:162" x14ac:dyDescent="0.25">
      <c r="F136" s="9"/>
      <c r="G136" s="21">
        <v>0.56549099999999997</v>
      </c>
      <c r="H136" s="21">
        <v>6.2842700000000002</v>
      </c>
      <c r="I136" s="24">
        <v>-5.7861300000000001E-5</v>
      </c>
      <c r="J136" s="21">
        <v>126</v>
      </c>
      <c r="K136" s="21">
        <v>0.56509399999999999</v>
      </c>
      <c r="L136">
        <f t="shared" si="12"/>
        <v>7.1433703703703694E-2</v>
      </c>
      <c r="M136">
        <f t="shared" si="13"/>
        <v>4.0395116541111102E-2</v>
      </c>
      <c r="N136" s="9"/>
      <c r="O136" s="21">
        <v>0.53451499999999996</v>
      </c>
      <c r="P136" s="21">
        <v>8.9050100000000008</v>
      </c>
      <c r="Q136" s="24">
        <v>-4.5501699999999998E-5</v>
      </c>
      <c r="R136" s="21">
        <v>126</v>
      </c>
      <c r="S136" s="21">
        <v>0.53408800000000001</v>
      </c>
      <c r="T136">
        <f t="shared" si="14"/>
        <v>5.6174938271604927E-2</v>
      </c>
      <c r="U136">
        <f t="shared" si="15"/>
        <v>3.0026347130246905E-2</v>
      </c>
      <c r="X136" s="9"/>
      <c r="Y136" s="21">
        <v>0.56549099999999997</v>
      </c>
      <c r="Z136" s="21">
        <v>13.2654</v>
      </c>
      <c r="AA136" s="24">
        <v>-5.2825899999999998E-5</v>
      </c>
      <c r="AB136" s="21">
        <v>126</v>
      </c>
      <c r="AC136" s="21">
        <v>0.56503300000000001</v>
      </c>
      <c r="AD136">
        <f t="shared" si="16"/>
        <v>6.5217160493827156E-2</v>
      </c>
      <c r="AE136">
        <f t="shared" si="17"/>
        <v>3.6879717304814812E-2</v>
      </c>
      <c r="AF136" s="9"/>
      <c r="AG136" s="21">
        <v>0.53451499999999996</v>
      </c>
      <c r="AH136" s="21">
        <v>15.886200000000001</v>
      </c>
      <c r="AI136" s="24">
        <v>-4.3182400000000002E-5</v>
      </c>
      <c r="AJ136" s="21">
        <v>126</v>
      </c>
      <c r="AK136" s="21">
        <v>0.53411900000000001</v>
      </c>
      <c r="AL136">
        <f t="shared" si="18"/>
        <v>5.3311604938271605E-2</v>
      </c>
      <c r="AM136">
        <f t="shared" si="19"/>
        <v>2.8495852513580246E-2</v>
      </c>
      <c r="AP136" s="9"/>
      <c r="AQ136" s="21">
        <v>0.56549099999999997</v>
      </c>
      <c r="AR136" s="21">
        <v>20.188600000000001</v>
      </c>
      <c r="AS136" s="24">
        <v>-5.0628699999999999E-5</v>
      </c>
      <c r="AT136" s="21">
        <v>126</v>
      </c>
      <c r="AU136" s="21">
        <v>0.56515499999999996</v>
      </c>
      <c r="AV136">
        <f t="shared" si="20"/>
        <v>6.250456790123457E-2</v>
      </c>
      <c r="AW136">
        <f t="shared" si="21"/>
        <v>3.5345770607037037E-2</v>
      </c>
      <c r="AX136" s="9"/>
      <c r="AY136" s="21">
        <v>0.53451499999999996</v>
      </c>
      <c r="AZ136" s="21">
        <v>22.8094</v>
      </c>
      <c r="BA136" s="24">
        <v>-4.1748000000000001E-5</v>
      </c>
      <c r="BB136" s="21">
        <v>126</v>
      </c>
      <c r="BC136" s="21">
        <v>0.53417999999999999</v>
      </c>
      <c r="BD136">
        <f t="shared" si="22"/>
        <v>5.1540740740740734E-2</v>
      </c>
      <c r="BE136">
        <f t="shared" si="23"/>
        <v>2.7549299037037032E-2</v>
      </c>
      <c r="BH136" s="9"/>
      <c r="BI136" s="21"/>
      <c r="BJ136" s="21"/>
      <c r="BK136" s="21"/>
      <c r="BL136" s="21"/>
      <c r="BM136" s="21"/>
      <c r="BP136" s="9"/>
      <c r="BQ136" s="21"/>
      <c r="BR136" s="21"/>
      <c r="BS136" s="21"/>
      <c r="BT136" s="21"/>
      <c r="BU136" s="21"/>
      <c r="BZ136" s="9"/>
      <c r="CA136" s="21"/>
      <c r="CB136" s="21"/>
      <c r="CC136" s="21"/>
      <c r="CD136" s="21"/>
      <c r="CE136" s="21"/>
      <c r="CH136" s="9"/>
      <c r="CI136" s="21"/>
      <c r="CJ136" s="21"/>
      <c r="CK136" s="21"/>
      <c r="CL136" s="21"/>
      <c r="CM136" s="21"/>
      <c r="CR136" s="9"/>
      <c r="CS136" s="21"/>
      <c r="CT136" s="21"/>
      <c r="CU136" s="21"/>
      <c r="CV136" s="21"/>
      <c r="CW136" s="21"/>
      <c r="CZ136" s="9"/>
      <c r="DA136" s="21"/>
      <c r="DB136" s="21"/>
      <c r="DC136" s="21"/>
      <c r="DD136" s="21"/>
      <c r="DE136" s="21"/>
      <c r="DJ136" s="9"/>
      <c r="DK136" s="21"/>
      <c r="DL136" s="21"/>
      <c r="DM136" s="21"/>
      <c r="DN136" s="21"/>
      <c r="DO136" s="21"/>
      <c r="DR136" s="9"/>
      <c r="DS136" s="21"/>
      <c r="DT136" s="21"/>
      <c r="DU136" s="21"/>
      <c r="DV136" s="21"/>
      <c r="DW136" s="21"/>
      <c r="EB136" s="9"/>
      <c r="EC136" s="21"/>
      <c r="ED136" s="21"/>
      <c r="EE136" s="21"/>
      <c r="EF136" s="21"/>
      <c r="EG136" s="21"/>
      <c r="EJ136" s="9"/>
      <c r="EK136" s="21"/>
      <c r="EL136" s="21"/>
      <c r="EM136" s="21"/>
      <c r="EN136" s="21"/>
      <c r="EO136" s="21"/>
      <c r="ET136" s="21"/>
      <c r="EU136" s="21"/>
      <c r="EV136" s="21"/>
      <c r="EW136" s="21"/>
      <c r="EX136" s="21"/>
      <c r="FA136" s="9"/>
      <c r="FB136" s="21"/>
      <c r="FC136" s="21"/>
      <c r="FD136" s="21"/>
      <c r="FE136" s="21"/>
      <c r="FF136" s="21"/>
    </row>
    <row r="137" spans="6:162" x14ac:dyDescent="0.25">
      <c r="F137" s="9"/>
      <c r="G137" s="21">
        <v>0.56045500000000004</v>
      </c>
      <c r="H137" s="21">
        <v>6.29434</v>
      </c>
      <c r="I137" s="24">
        <v>-5.8075000000000002E-5</v>
      </c>
      <c r="J137" s="21">
        <v>127</v>
      </c>
      <c r="K137" s="21">
        <v>0.56018100000000004</v>
      </c>
      <c r="L137">
        <f t="shared" si="12"/>
        <v>7.1697530864197528E-2</v>
      </c>
      <c r="M137">
        <f t="shared" si="13"/>
        <v>4.0183239660493829E-2</v>
      </c>
      <c r="N137" s="9"/>
      <c r="O137" s="21">
        <v>0.539551</v>
      </c>
      <c r="P137" s="21">
        <v>8.9150799999999997</v>
      </c>
      <c r="Q137" s="24">
        <v>-4.5349100000000003E-5</v>
      </c>
      <c r="R137" s="21">
        <v>127</v>
      </c>
      <c r="S137" s="21">
        <v>0.53909300000000004</v>
      </c>
      <c r="T137">
        <f t="shared" si="14"/>
        <v>5.5986543209876546E-2</v>
      </c>
      <c r="U137">
        <f t="shared" si="15"/>
        <v>3.0207595375432102E-2</v>
      </c>
      <c r="X137" s="9"/>
      <c r="Y137" s="21">
        <v>0.56045500000000004</v>
      </c>
      <c r="Z137" s="21">
        <v>13.275499999999999</v>
      </c>
      <c r="AA137" s="24">
        <v>-5.2948000000000002E-5</v>
      </c>
      <c r="AB137" s="21">
        <v>127</v>
      </c>
      <c r="AC137" s="21">
        <v>0.56015000000000004</v>
      </c>
      <c r="AD137">
        <f t="shared" si="16"/>
        <v>6.5367901234567899E-2</v>
      </c>
      <c r="AE137">
        <f t="shared" si="17"/>
        <v>3.6635767086419753E-2</v>
      </c>
      <c r="AF137" s="9"/>
      <c r="AG137" s="21">
        <v>0.539551</v>
      </c>
      <c r="AH137" s="21">
        <v>15.8962</v>
      </c>
      <c r="AI137" s="24">
        <v>-4.3060299999999998E-5</v>
      </c>
      <c r="AJ137" s="21">
        <v>127</v>
      </c>
      <c r="AK137" s="21">
        <v>0.539215</v>
      </c>
      <c r="AL137">
        <f t="shared" si="18"/>
        <v>5.3160864197530855E-2</v>
      </c>
      <c r="AM137">
        <f t="shared" si="19"/>
        <v>2.8682997438641972E-2</v>
      </c>
      <c r="AP137" s="9"/>
      <c r="AQ137" s="21">
        <v>0.56045500000000004</v>
      </c>
      <c r="AR137" s="21">
        <v>20.198699999999999</v>
      </c>
      <c r="AS137" s="24">
        <v>-5.0781300000000001E-5</v>
      </c>
      <c r="AT137" s="21">
        <v>127</v>
      </c>
      <c r="AU137" s="21">
        <v>0.56011999999999995</v>
      </c>
      <c r="AV137">
        <f t="shared" si="20"/>
        <v>6.2692962962962964E-2</v>
      </c>
      <c r="AW137">
        <f t="shared" si="21"/>
        <v>3.513658455740741E-2</v>
      </c>
      <c r="AX137" s="9"/>
      <c r="AY137" s="21">
        <v>0.539551</v>
      </c>
      <c r="AZ137" s="21">
        <v>22.819400000000002</v>
      </c>
      <c r="BA137" s="24">
        <v>-4.1625999999999998E-5</v>
      </c>
      <c r="BB137" s="21">
        <v>127</v>
      </c>
      <c r="BC137" s="21">
        <v>0.53912400000000005</v>
      </c>
      <c r="BD137">
        <f t="shared" si="22"/>
        <v>5.1390123456790116E-2</v>
      </c>
      <c r="BE137">
        <f t="shared" si="23"/>
        <v>2.7727592501234563E-2</v>
      </c>
      <c r="BH137" s="9"/>
      <c r="BI137" s="21"/>
      <c r="BJ137" s="21"/>
      <c r="BK137" s="21"/>
      <c r="BL137" s="21"/>
      <c r="BM137" s="21"/>
      <c r="BP137" s="9"/>
      <c r="BQ137" s="21"/>
      <c r="BR137" s="21"/>
      <c r="BS137" s="21"/>
      <c r="BT137" s="21"/>
      <c r="BU137" s="21"/>
      <c r="BZ137" s="9"/>
      <c r="CA137" s="21"/>
      <c r="CB137" s="21"/>
      <c r="CC137" s="21"/>
      <c r="CD137" s="21"/>
      <c r="CE137" s="21"/>
      <c r="CH137" s="9"/>
      <c r="CI137" s="21"/>
      <c r="CJ137" s="21"/>
      <c r="CK137" s="21"/>
      <c r="CL137" s="21"/>
      <c r="CM137" s="21"/>
      <c r="CR137" s="9"/>
      <c r="CS137" s="21"/>
      <c r="CT137" s="21"/>
      <c r="CU137" s="21"/>
      <c r="CV137" s="21"/>
      <c r="CW137" s="21"/>
      <c r="CZ137" s="9"/>
      <c r="DA137" s="21"/>
      <c r="DB137" s="21"/>
      <c r="DC137" s="21"/>
      <c r="DD137" s="21"/>
      <c r="DE137" s="21"/>
      <c r="DJ137" s="9"/>
      <c r="DK137" s="21"/>
      <c r="DL137" s="21"/>
      <c r="DM137" s="21"/>
      <c r="DN137" s="21"/>
      <c r="DO137" s="21"/>
      <c r="DR137" s="9"/>
      <c r="DS137" s="21"/>
      <c r="DT137" s="21"/>
      <c r="DU137" s="21"/>
      <c r="DV137" s="21"/>
      <c r="DW137" s="21"/>
      <c r="EB137" s="9"/>
      <c r="EC137" s="21"/>
      <c r="ED137" s="21"/>
      <c r="EE137" s="21"/>
      <c r="EF137" s="21"/>
      <c r="EG137" s="21"/>
      <c r="EJ137" s="9"/>
      <c r="EK137" s="21"/>
      <c r="EL137" s="21"/>
      <c r="EM137" s="21"/>
      <c r="EN137" s="21"/>
      <c r="EO137" s="21"/>
      <c r="ET137" s="21"/>
      <c r="EU137" s="21"/>
      <c r="EV137" s="21"/>
      <c r="EW137" s="21"/>
      <c r="EX137" s="21"/>
      <c r="FA137" s="9"/>
      <c r="FB137" s="21"/>
      <c r="FC137" s="21"/>
      <c r="FD137" s="21"/>
      <c r="FE137" s="21"/>
      <c r="FF137" s="21"/>
    </row>
    <row r="138" spans="6:162" x14ac:dyDescent="0.25">
      <c r="F138" s="9"/>
      <c r="G138" s="21">
        <v>0.55542000000000002</v>
      </c>
      <c r="H138" s="21">
        <v>6.3044099999999998</v>
      </c>
      <c r="I138" s="24">
        <v>-5.81665E-5</v>
      </c>
      <c r="J138" s="21">
        <v>128</v>
      </c>
      <c r="K138" s="21">
        <v>0.55502300000000004</v>
      </c>
      <c r="L138">
        <f t="shared" si="12"/>
        <v>7.1810493827160482E-2</v>
      </c>
      <c r="M138">
        <f t="shared" si="13"/>
        <v>3.9884984481481478E-2</v>
      </c>
      <c r="N138" s="9"/>
      <c r="O138" s="21">
        <v>0.54458600000000001</v>
      </c>
      <c r="P138" s="21">
        <v>8.9251500000000004</v>
      </c>
      <c r="Q138" s="24">
        <v>-4.5288099999999998E-5</v>
      </c>
      <c r="R138" s="21">
        <v>128</v>
      </c>
      <c r="S138" s="21">
        <v>0.54422000000000004</v>
      </c>
      <c r="T138">
        <f t="shared" si="14"/>
        <v>5.591123456790123E-2</v>
      </c>
      <c r="U138">
        <f t="shared" si="15"/>
        <v>3.0448475588395061E-2</v>
      </c>
      <c r="X138" s="9"/>
      <c r="Y138" s="21">
        <v>0.55542000000000002</v>
      </c>
      <c r="Z138" s="21">
        <v>13.285600000000001</v>
      </c>
      <c r="AA138" s="24">
        <v>-5.3222700000000001E-5</v>
      </c>
      <c r="AB138" s="21">
        <v>128</v>
      </c>
      <c r="AC138" s="21">
        <v>0.55502300000000004</v>
      </c>
      <c r="AD138">
        <f t="shared" si="16"/>
        <v>6.5707037037037036E-2</v>
      </c>
      <c r="AE138">
        <f t="shared" si="17"/>
        <v>3.649500251111111E-2</v>
      </c>
      <c r="AF138" s="9"/>
      <c r="AG138" s="21">
        <v>0.54458600000000001</v>
      </c>
      <c r="AH138" s="21">
        <v>15.9063</v>
      </c>
      <c r="AI138" s="24">
        <v>-4.2938200000000002E-5</v>
      </c>
      <c r="AJ138" s="21">
        <v>128</v>
      </c>
      <c r="AK138" s="21">
        <v>0.54422000000000004</v>
      </c>
      <c r="AL138">
        <f t="shared" si="18"/>
        <v>5.3010123456790119E-2</v>
      </c>
      <c r="AM138">
        <f t="shared" si="19"/>
        <v>2.8868571092839506E-2</v>
      </c>
      <c r="AP138" s="9"/>
      <c r="AQ138" s="21">
        <v>0.55542000000000002</v>
      </c>
      <c r="AR138" s="21">
        <v>20.2088</v>
      </c>
      <c r="AS138" s="24">
        <v>-5.0842299999999999E-5</v>
      </c>
      <c r="AT138" s="21">
        <v>128</v>
      </c>
      <c r="AU138" s="21">
        <v>0.55502300000000004</v>
      </c>
      <c r="AV138">
        <f t="shared" si="20"/>
        <v>6.2768271604938267E-2</v>
      </c>
      <c r="AW138">
        <f t="shared" si="21"/>
        <v>3.4862753414814811E-2</v>
      </c>
      <c r="AX138" s="9"/>
      <c r="AY138" s="21">
        <v>0.54458600000000001</v>
      </c>
      <c r="AZ138" s="21">
        <v>22.829499999999999</v>
      </c>
      <c r="BA138" s="24">
        <v>-4.1473400000000002E-5</v>
      </c>
      <c r="BB138" s="21">
        <v>128</v>
      </c>
      <c r="BC138" s="21">
        <v>0.54418900000000003</v>
      </c>
      <c r="BD138">
        <f t="shared" si="22"/>
        <v>5.1201728395061728E-2</v>
      </c>
      <c r="BE138">
        <f t="shared" si="23"/>
        <v>2.7883744459753088E-2</v>
      </c>
      <c r="BH138" s="9"/>
      <c r="BI138" s="21"/>
      <c r="BJ138" s="21"/>
      <c r="BK138" s="21"/>
      <c r="BL138" s="21"/>
      <c r="BM138" s="21"/>
      <c r="BP138" s="9"/>
      <c r="BQ138" s="21"/>
      <c r="BR138" s="21"/>
      <c r="BS138" s="21"/>
      <c r="BT138" s="21"/>
      <c r="BU138" s="21"/>
      <c r="BZ138" s="9"/>
      <c r="CA138" s="21"/>
      <c r="CB138" s="21"/>
      <c r="CC138" s="21"/>
      <c r="CD138" s="21"/>
      <c r="CE138" s="21"/>
      <c r="CH138" s="9"/>
      <c r="CI138" s="21"/>
      <c r="CJ138" s="21"/>
      <c r="CK138" s="21"/>
      <c r="CL138" s="21"/>
      <c r="CM138" s="21"/>
      <c r="CR138" s="9"/>
      <c r="CS138" s="21"/>
      <c r="CT138" s="21"/>
      <c r="CU138" s="21"/>
      <c r="CV138" s="21"/>
      <c r="CW138" s="21"/>
      <c r="CZ138" s="9"/>
      <c r="DA138" s="21"/>
      <c r="DB138" s="21"/>
      <c r="DC138" s="21"/>
      <c r="DD138" s="21"/>
      <c r="DE138" s="21"/>
      <c r="DJ138" s="9"/>
      <c r="DK138" s="21"/>
      <c r="DL138" s="21"/>
      <c r="DM138" s="21"/>
      <c r="DN138" s="21"/>
      <c r="DO138" s="21"/>
      <c r="DR138" s="9"/>
      <c r="DS138" s="21"/>
      <c r="DT138" s="21"/>
      <c r="DU138" s="21"/>
      <c r="DV138" s="21"/>
      <c r="DW138" s="21"/>
      <c r="EB138" s="9"/>
      <c r="EC138" s="21"/>
      <c r="ED138" s="21"/>
      <c r="EE138" s="21"/>
      <c r="EF138" s="21"/>
      <c r="EG138" s="21"/>
      <c r="EJ138" s="9"/>
      <c r="EK138" s="21"/>
      <c r="EL138" s="21"/>
      <c r="EM138" s="21"/>
      <c r="EN138" s="21"/>
      <c r="EO138" s="21"/>
      <c r="ET138" s="21"/>
      <c r="EU138" s="21"/>
      <c r="EV138" s="21"/>
      <c r="EW138" s="21"/>
      <c r="EX138" s="21"/>
      <c r="FA138" s="9"/>
      <c r="FB138" s="21"/>
      <c r="FC138" s="21"/>
      <c r="FD138" s="21"/>
      <c r="FE138" s="21"/>
      <c r="FF138" s="21"/>
    </row>
    <row r="139" spans="6:162" x14ac:dyDescent="0.25">
      <c r="F139" s="9"/>
      <c r="G139" s="21">
        <v>0.55038500000000001</v>
      </c>
      <c r="H139" s="21">
        <v>6.3144799999999996</v>
      </c>
      <c r="I139" s="24">
        <v>-5.83801E-5</v>
      </c>
      <c r="J139" s="21">
        <v>129</v>
      </c>
      <c r="K139" s="21">
        <v>0.55007899999999998</v>
      </c>
      <c r="L139">
        <f t="shared" si="12"/>
        <v>7.2074197530864192E-2</v>
      </c>
      <c r="M139">
        <f t="shared" si="13"/>
        <v>3.9668557208024688E-2</v>
      </c>
      <c r="N139" s="9"/>
      <c r="O139" s="21">
        <v>0.54962200000000005</v>
      </c>
      <c r="P139" s="21">
        <v>8.9352199999999993</v>
      </c>
      <c r="Q139" s="24">
        <v>-4.5105000000000003E-5</v>
      </c>
      <c r="R139" s="21">
        <v>129</v>
      </c>
      <c r="S139" s="21">
        <v>0.54934700000000003</v>
      </c>
      <c r="T139">
        <f t="shared" si="14"/>
        <v>5.5685185185185185E-2</v>
      </c>
      <c r="U139">
        <f t="shared" si="15"/>
        <v>3.0605802851851854E-2</v>
      </c>
      <c r="X139" s="9"/>
      <c r="Y139" s="21">
        <v>0.55038500000000001</v>
      </c>
      <c r="Z139" s="21">
        <v>13.2957</v>
      </c>
      <c r="AA139" s="24">
        <v>-5.32532E-5</v>
      </c>
      <c r="AB139" s="21">
        <v>129</v>
      </c>
      <c r="AC139" s="21">
        <v>0.55001800000000001</v>
      </c>
      <c r="AD139">
        <f t="shared" si="16"/>
        <v>6.5744691358024687E-2</v>
      </c>
      <c r="AE139">
        <f t="shared" si="17"/>
        <v>3.6184891953086419E-2</v>
      </c>
      <c r="AF139" s="9"/>
      <c r="AG139" s="21">
        <v>0.54962200000000005</v>
      </c>
      <c r="AH139" s="21">
        <v>15.916399999999999</v>
      </c>
      <c r="AI139" s="24">
        <v>-4.2785599999999999E-5</v>
      </c>
      <c r="AJ139" s="21">
        <v>129</v>
      </c>
      <c r="AK139" s="21">
        <v>0.54928600000000005</v>
      </c>
      <c r="AL139">
        <f t="shared" si="18"/>
        <v>5.2821728395061725E-2</v>
      </c>
      <c r="AM139">
        <f t="shared" si="19"/>
        <v>2.9031984003950618E-2</v>
      </c>
      <c r="AP139" s="9"/>
      <c r="AQ139" s="21">
        <v>0.55038500000000001</v>
      </c>
      <c r="AR139" s="21">
        <v>20.218800000000002</v>
      </c>
      <c r="AS139" s="24">
        <v>-5.0903299999999998E-5</v>
      </c>
      <c r="AT139" s="21">
        <v>129</v>
      </c>
      <c r="AU139" s="21">
        <v>0.55001800000000001</v>
      </c>
      <c r="AV139">
        <f t="shared" si="20"/>
        <v>6.2843580246913569E-2</v>
      </c>
      <c r="AW139">
        <f t="shared" si="21"/>
        <v>3.4588163914197528E-2</v>
      </c>
      <c r="AX139" s="9"/>
      <c r="AY139" s="21">
        <v>0.54962200000000005</v>
      </c>
      <c r="AZ139" s="21">
        <v>22.839600000000001</v>
      </c>
      <c r="BA139" s="24">
        <v>-4.1320799999999999E-5</v>
      </c>
      <c r="BB139" s="21">
        <v>129</v>
      </c>
      <c r="BC139" s="21">
        <v>0.54925500000000005</v>
      </c>
      <c r="BD139">
        <f t="shared" si="22"/>
        <v>5.1013333333333327E-2</v>
      </c>
      <c r="BE139">
        <f t="shared" si="23"/>
        <v>2.8038050293333332E-2</v>
      </c>
      <c r="BH139" s="9"/>
      <c r="BI139" s="21"/>
      <c r="BJ139" s="21"/>
      <c r="BK139" s="21"/>
      <c r="BL139" s="21"/>
      <c r="BM139" s="21"/>
      <c r="BP139" s="9"/>
      <c r="BQ139" s="21"/>
      <c r="BR139" s="21"/>
      <c r="BS139" s="21"/>
      <c r="BT139" s="21"/>
      <c r="BU139" s="21"/>
      <c r="BZ139" s="9"/>
      <c r="CA139" s="21"/>
      <c r="CB139" s="21"/>
      <c r="CC139" s="21"/>
      <c r="CD139" s="21"/>
      <c r="CE139" s="21"/>
      <c r="CH139" s="9"/>
      <c r="CI139" s="21"/>
      <c r="CJ139" s="21"/>
      <c r="CK139" s="21"/>
      <c r="CL139" s="21"/>
      <c r="CM139" s="21"/>
      <c r="CR139" s="9"/>
      <c r="CS139" s="21"/>
      <c r="CT139" s="21"/>
      <c r="CU139" s="21"/>
      <c r="CV139" s="21"/>
      <c r="CW139" s="21"/>
      <c r="CZ139" s="9"/>
      <c r="DA139" s="21"/>
      <c r="DB139" s="21"/>
      <c r="DC139" s="21"/>
      <c r="DD139" s="21"/>
      <c r="DE139" s="21"/>
      <c r="DJ139" s="9"/>
      <c r="DK139" s="21"/>
      <c r="DL139" s="21"/>
      <c r="DM139" s="21"/>
      <c r="DN139" s="21"/>
      <c r="DO139" s="21"/>
      <c r="DR139" s="9"/>
      <c r="DS139" s="21"/>
      <c r="DT139" s="21"/>
      <c r="DU139" s="21"/>
      <c r="DV139" s="21"/>
      <c r="DW139" s="21"/>
      <c r="EB139" s="9"/>
      <c r="EC139" s="21"/>
      <c r="ED139" s="21"/>
      <c r="EE139" s="21"/>
      <c r="EF139" s="21"/>
      <c r="EG139" s="21"/>
      <c r="EJ139" s="9"/>
      <c r="EK139" s="21"/>
      <c r="EL139" s="21"/>
      <c r="EM139" s="21"/>
      <c r="EN139" s="21"/>
      <c r="EO139" s="21"/>
      <c r="ET139" s="21"/>
      <c r="EU139" s="21"/>
      <c r="EV139" s="21"/>
      <c r="EW139" s="21"/>
      <c r="EX139" s="21"/>
      <c r="FA139" s="9"/>
      <c r="FB139" s="21"/>
      <c r="FC139" s="21"/>
      <c r="FD139" s="21"/>
      <c r="FE139" s="21"/>
      <c r="FF139" s="21"/>
    </row>
    <row r="140" spans="6:162" x14ac:dyDescent="0.25">
      <c r="F140" s="9"/>
      <c r="G140" s="21">
        <v>0.54534899999999997</v>
      </c>
      <c r="H140" s="21">
        <v>6.3245500000000003</v>
      </c>
      <c r="I140" s="24">
        <v>-5.86243E-5</v>
      </c>
      <c r="J140" s="21">
        <v>130</v>
      </c>
      <c r="K140" s="21">
        <v>0.54495199999999999</v>
      </c>
      <c r="L140">
        <f t="shared" ref="L140:L203" si="24">-I140/$F$2*1000</f>
        <v>7.2375679012345664E-2</v>
      </c>
      <c r="M140">
        <f t="shared" ref="M140:M203" si="25">L140*G140</f>
        <v>3.9470004173703693E-2</v>
      </c>
      <c r="N140" s="9"/>
      <c r="O140" s="21">
        <v>0.55465699999999996</v>
      </c>
      <c r="P140" s="21">
        <v>8.94529</v>
      </c>
      <c r="Q140" s="24">
        <v>-4.5105000000000003E-5</v>
      </c>
      <c r="R140" s="21">
        <v>130</v>
      </c>
      <c r="S140" s="21">
        <v>0.55423</v>
      </c>
      <c r="T140">
        <f t="shared" ref="T140:T203" si="26">-Q140/$F$2*1000</f>
        <v>5.5685185185185185E-2</v>
      </c>
      <c r="U140">
        <f t="shared" ref="U140:U203" si="27">T140*O140</f>
        <v>3.0886177759259257E-2</v>
      </c>
      <c r="X140" s="9"/>
      <c r="Y140" s="21">
        <v>0.54534899999999997</v>
      </c>
      <c r="Z140" s="21">
        <v>13.3057</v>
      </c>
      <c r="AA140" s="24">
        <v>-5.3527799999999999E-5</v>
      </c>
      <c r="AB140" s="21">
        <v>130</v>
      </c>
      <c r="AC140" s="21">
        <v>0.54501299999999997</v>
      </c>
      <c r="AD140">
        <f t="shared" ref="AD140:AD203" si="28">-AA140/$F$2*1000</f>
        <v>6.60837037037037E-2</v>
      </c>
      <c r="AE140">
        <f t="shared" ref="AE140:AE203" si="29">AD140*Y140</f>
        <v>3.6038681731111105E-2</v>
      </c>
      <c r="AF140" s="9"/>
      <c r="AG140" s="21">
        <v>0.55465699999999996</v>
      </c>
      <c r="AH140" s="21">
        <v>15.926500000000001</v>
      </c>
      <c r="AI140" s="24">
        <v>-4.2571999999999998E-5</v>
      </c>
      <c r="AJ140" s="21">
        <v>130</v>
      </c>
      <c r="AK140" s="21">
        <v>0.55425999999999997</v>
      </c>
      <c r="AL140">
        <f t="shared" ref="AL140:AL203" si="30">-AI140/$F$2*1000</f>
        <v>5.2558024691358021E-2</v>
      </c>
      <c r="AM140">
        <f t="shared" ref="AM140:AM203" si="31">AL140*AG140</f>
        <v>2.9151676301234563E-2</v>
      </c>
      <c r="AP140" s="9"/>
      <c r="AQ140" s="21">
        <v>0.54534899999999997</v>
      </c>
      <c r="AR140" s="21">
        <v>20.228899999999999</v>
      </c>
      <c r="AS140" s="24">
        <v>-5.1086399999999999E-5</v>
      </c>
      <c r="AT140" s="21">
        <v>130</v>
      </c>
      <c r="AU140" s="21">
        <v>0.544983</v>
      </c>
      <c r="AV140">
        <f t="shared" ref="AV140:AV203" si="32">-AS140/$F$2*1000</f>
        <v>6.3069629629629614E-2</v>
      </c>
      <c r="AW140">
        <f t="shared" ref="AW140:AW203" si="33">AV140*AQ140</f>
        <v>3.439495944888888E-2</v>
      </c>
      <c r="AX140" s="9"/>
      <c r="AY140" s="21">
        <v>0.55465699999999996</v>
      </c>
      <c r="AZ140" s="21">
        <v>22.849599999999999</v>
      </c>
      <c r="BA140" s="24">
        <v>-4.1137699999999997E-5</v>
      </c>
      <c r="BB140" s="21">
        <v>130</v>
      </c>
      <c r="BC140" s="21">
        <v>0.55429099999999998</v>
      </c>
      <c r="BD140">
        <f t="shared" ref="BD140:BD203" si="34">-BA140/$F$2*1000</f>
        <v>5.0787283950617275E-2</v>
      </c>
      <c r="BE140">
        <f t="shared" ref="BE140:BE203" si="35">BD140*AY140</f>
        <v>2.8169522554197524E-2</v>
      </c>
      <c r="BH140" s="9"/>
      <c r="BI140" s="21"/>
      <c r="BJ140" s="21"/>
      <c r="BK140" s="21"/>
      <c r="BL140" s="21"/>
      <c r="BM140" s="21"/>
      <c r="BP140" s="9"/>
      <c r="BQ140" s="21"/>
      <c r="BR140" s="21"/>
      <c r="BS140" s="21"/>
      <c r="BT140" s="21"/>
      <c r="BU140" s="21"/>
      <c r="BZ140" s="9"/>
      <c r="CA140" s="21"/>
      <c r="CB140" s="21"/>
      <c r="CC140" s="21"/>
      <c r="CD140" s="21"/>
      <c r="CE140" s="21"/>
      <c r="CH140" s="9"/>
      <c r="CI140" s="21"/>
      <c r="CJ140" s="21"/>
      <c r="CK140" s="21"/>
      <c r="CL140" s="21"/>
      <c r="CM140" s="21"/>
      <c r="CR140" s="9"/>
      <c r="CS140" s="21"/>
      <c r="CT140" s="21"/>
      <c r="CU140" s="21"/>
      <c r="CV140" s="21"/>
      <c r="CW140" s="21"/>
      <c r="CZ140" s="9"/>
      <c r="DA140" s="21"/>
      <c r="DB140" s="21"/>
      <c r="DC140" s="21"/>
      <c r="DD140" s="21"/>
      <c r="DE140" s="21"/>
      <c r="DJ140" s="9"/>
      <c r="DK140" s="21"/>
      <c r="DL140" s="21"/>
      <c r="DM140" s="21"/>
      <c r="DN140" s="21"/>
      <c r="DO140" s="21"/>
      <c r="DR140" s="9"/>
      <c r="DS140" s="21"/>
      <c r="DT140" s="21"/>
      <c r="DU140" s="21"/>
      <c r="DV140" s="21"/>
      <c r="DW140" s="21"/>
      <c r="EB140" s="9"/>
      <c r="EC140" s="21"/>
      <c r="ED140" s="21"/>
      <c r="EE140" s="21"/>
      <c r="EF140" s="21"/>
      <c r="EG140" s="21"/>
      <c r="EJ140" s="9"/>
      <c r="EK140" s="21"/>
      <c r="EL140" s="21"/>
      <c r="EM140" s="21"/>
      <c r="EN140" s="21"/>
      <c r="EO140" s="21"/>
      <c r="ET140" s="21"/>
      <c r="EU140" s="21"/>
      <c r="EV140" s="21"/>
      <c r="EW140" s="21"/>
      <c r="EX140" s="21"/>
      <c r="FA140" s="9"/>
      <c r="FB140" s="21"/>
      <c r="FC140" s="21"/>
      <c r="FD140" s="21"/>
      <c r="FE140" s="21"/>
      <c r="FF140" s="21"/>
    </row>
    <row r="141" spans="6:162" x14ac:dyDescent="0.25">
      <c r="F141" s="9"/>
      <c r="G141" s="21">
        <v>0.54031399999999996</v>
      </c>
      <c r="H141" s="21">
        <v>6.3346200000000001</v>
      </c>
      <c r="I141" s="24">
        <v>-5.8776900000000003E-5</v>
      </c>
      <c r="J141" s="21">
        <v>131</v>
      </c>
      <c r="K141" s="21">
        <v>0.53997799999999996</v>
      </c>
      <c r="L141">
        <f t="shared" si="24"/>
        <v>7.2564074074074073E-2</v>
      </c>
      <c r="M141">
        <f t="shared" si="25"/>
        <v>3.9207385119259253E-2</v>
      </c>
      <c r="N141" s="9"/>
      <c r="O141" s="21">
        <v>0.55969199999999997</v>
      </c>
      <c r="P141" s="21">
        <v>8.9553600000000007</v>
      </c>
      <c r="Q141" s="24">
        <v>-4.4982899999999999E-5</v>
      </c>
      <c r="R141" s="21">
        <v>131</v>
      </c>
      <c r="S141" s="21">
        <v>0.55932599999999999</v>
      </c>
      <c r="T141">
        <f t="shared" si="26"/>
        <v>5.5534444444444435E-2</v>
      </c>
      <c r="U141">
        <f t="shared" si="27"/>
        <v>3.1082184279999994E-2</v>
      </c>
      <c r="X141" s="9"/>
      <c r="Y141" s="21">
        <v>0.54031399999999996</v>
      </c>
      <c r="Z141" s="21">
        <v>13.315799999999999</v>
      </c>
      <c r="AA141" s="24">
        <v>-5.3619399999999997E-5</v>
      </c>
      <c r="AB141" s="21">
        <v>131</v>
      </c>
      <c r="AC141" s="21">
        <v>0.53988599999999998</v>
      </c>
      <c r="AD141">
        <f t="shared" si="28"/>
        <v>6.6196790123456778E-2</v>
      </c>
      <c r="AE141">
        <f t="shared" si="29"/>
        <v>3.5767052458765422E-2</v>
      </c>
      <c r="AF141" s="9"/>
      <c r="AG141" s="21">
        <v>0.55969199999999997</v>
      </c>
      <c r="AH141" s="21">
        <v>15.936500000000001</v>
      </c>
      <c r="AI141" s="24">
        <v>-4.2358399999999997E-5</v>
      </c>
      <c r="AJ141" s="21">
        <v>131</v>
      </c>
      <c r="AK141" s="21">
        <v>0.55938699999999997</v>
      </c>
      <c r="AL141">
        <f t="shared" si="30"/>
        <v>5.2294320987654318E-2</v>
      </c>
      <c r="AM141">
        <f t="shared" si="31"/>
        <v>2.9268713102222219E-2</v>
      </c>
      <c r="AP141" s="9"/>
      <c r="AQ141" s="21">
        <v>0.54031399999999996</v>
      </c>
      <c r="AR141" s="21">
        <v>20.239000000000001</v>
      </c>
      <c r="AS141" s="24">
        <v>-5.1330599999999999E-5</v>
      </c>
      <c r="AT141" s="21">
        <v>131</v>
      </c>
      <c r="AU141" s="21">
        <v>0.53994799999999998</v>
      </c>
      <c r="AV141">
        <f t="shared" si="32"/>
        <v>6.33711111111111E-2</v>
      </c>
      <c r="AW141">
        <f t="shared" si="33"/>
        <v>3.4240298528888879E-2</v>
      </c>
      <c r="AX141" s="9"/>
      <c r="AY141" s="21">
        <v>0.55969199999999997</v>
      </c>
      <c r="AZ141" s="21">
        <v>22.8597</v>
      </c>
      <c r="BA141" s="24">
        <v>-4.10461E-5</v>
      </c>
      <c r="BB141" s="21">
        <v>131</v>
      </c>
      <c r="BC141" s="21">
        <v>0.55932599999999999</v>
      </c>
      <c r="BD141">
        <f t="shared" si="34"/>
        <v>5.067419753086419E-2</v>
      </c>
      <c r="BE141">
        <f t="shared" si="35"/>
        <v>2.8361942964444439E-2</v>
      </c>
      <c r="BH141" s="9"/>
      <c r="BI141" s="21"/>
      <c r="BJ141" s="21"/>
      <c r="BK141" s="21"/>
      <c r="BL141" s="21"/>
      <c r="BM141" s="21"/>
      <c r="BP141" s="9"/>
      <c r="BQ141" s="21"/>
      <c r="BR141" s="21"/>
      <c r="BS141" s="21"/>
      <c r="BT141" s="21"/>
      <c r="BU141" s="21"/>
      <c r="BZ141" s="9"/>
      <c r="CA141" s="21"/>
      <c r="CB141" s="21"/>
      <c r="CC141" s="21"/>
      <c r="CD141" s="21"/>
      <c r="CE141" s="21"/>
      <c r="CH141" s="9"/>
      <c r="CI141" s="21"/>
      <c r="CJ141" s="21"/>
      <c r="CK141" s="21"/>
      <c r="CL141" s="21"/>
      <c r="CM141" s="21"/>
      <c r="CR141" s="9"/>
      <c r="CS141" s="21"/>
      <c r="CT141" s="21"/>
      <c r="CU141" s="21"/>
      <c r="CV141" s="21"/>
      <c r="CW141" s="21"/>
      <c r="CZ141" s="9"/>
      <c r="DA141" s="21"/>
      <c r="DB141" s="21"/>
      <c r="DC141" s="21"/>
      <c r="DD141" s="21"/>
      <c r="DE141" s="21"/>
      <c r="DJ141" s="9"/>
      <c r="DK141" s="21"/>
      <c r="DL141" s="21"/>
      <c r="DM141" s="21"/>
      <c r="DN141" s="21"/>
      <c r="DO141" s="21"/>
      <c r="DR141" s="9"/>
      <c r="DS141" s="21"/>
      <c r="DT141" s="21"/>
      <c r="DU141" s="21"/>
      <c r="DV141" s="21"/>
      <c r="DW141" s="21"/>
      <c r="EB141" s="9"/>
      <c r="EC141" s="21"/>
      <c r="ED141" s="21"/>
      <c r="EE141" s="21"/>
      <c r="EF141" s="21"/>
      <c r="EG141" s="21"/>
      <c r="EJ141" s="9"/>
      <c r="EK141" s="21"/>
      <c r="EL141" s="21"/>
      <c r="EM141" s="21"/>
      <c r="EN141" s="21"/>
      <c r="EO141" s="21"/>
      <c r="ET141" s="21"/>
      <c r="EU141" s="21"/>
      <c r="EV141" s="21"/>
      <c r="EW141" s="21"/>
      <c r="EX141" s="21"/>
      <c r="FA141" s="9"/>
      <c r="FB141" s="21"/>
      <c r="FC141" s="21"/>
      <c r="FD141" s="21"/>
      <c r="FE141" s="21"/>
      <c r="FF141" s="21"/>
    </row>
    <row r="142" spans="6:162" x14ac:dyDescent="0.25">
      <c r="F142" s="9"/>
      <c r="G142" s="21">
        <v>0.53527800000000003</v>
      </c>
      <c r="H142" s="21">
        <v>6.3446899999999999</v>
      </c>
      <c r="I142" s="24">
        <v>-5.8898899999999999E-5</v>
      </c>
      <c r="J142" s="21">
        <v>132</v>
      </c>
      <c r="K142" s="21">
        <v>0.53488199999999997</v>
      </c>
      <c r="L142">
        <f t="shared" si="24"/>
        <v>7.2714691358024691E-2</v>
      </c>
      <c r="M142">
        <f t="shared" si="25"/>
        <v>3.892257456074074E-2</v>
      </c>
      <c r="N142" s="9"/>
      <c r="O142" s="21">
        <v>0.56472800000000001</v>
      </c>
      <c r="P142" s="21">
        <v>8.9654299999999996</v>
      </c>
      <c r="Q142" s="24">
        <v>-4.4830299999999997E-5</v>
      </c>
      <c r="R142" s="21">
        <v>132</v>
      </c>
      <c r="S142" s="21">
        <v>0.56433100000000003</v>
      </c>
      <c r="T142">
        <f t="shared" si="26"/>
        <v>5.5346049382716041E-2</v>
      </c>
      <c r="U142">
        <f t="shared" si="27"/>
        <v>3.1255463775802468E-2</v>
      </c>
      <c r="X142" s="9"/>
      <c r="Y142" s="21">
        <v>0.53527800000000003</v>
      </c>
      <c r="Z142" s="21">
        <v>13.325900000000001</v>
      </c>
      <c r="AA142" s="24">
        <v>-5.3710900000000001E-5</v>
      </c>
      <c r="AB142" s="21">
        <v>132</v>
      </c>
      <c r="AC142" s="21">
        <v>0.53494299999999995</v>
      </c>
      <c r="AD142">
        <f t="shared" si="28"/>
        <v>6.6309753086419759E-2</v>
      </c>
      <c r="AE142">
        <f t="shared" si="29"/>
        <v>3.5494152012592595E-2</v>
      </c>
      <c r="AF142" s="9"/>
      <c r="AG142" s="21">
        <v>0.56472800000000001</v>
      </c>
      <c r="AH142" s="21">
        <v>15.9466</v>
      </c>
      <c r="AI142" s="24">
        <v>-4.2114299999999998E-5</v>
      </c>
      <c r="AJ142" s="21">
        <v>132</v>
      </c>
      <c r="AK142" s="21">
        <v>0.56436200000000003</v>
      </c>
      <c r="AL142">
        <f t="shared" si="30"/>
        <v>5.1992962962962956E-2</v>
      </c>
      <c r="AM142">
        <f t="shared" si="31"/>
        <v>2.9361881988148146E-2</v>
      </c>
      <c r="AP142" s="9"/>
      <c r="AQ142" s="21">
        <v>0.53527800000000003</v>
      </c>
      <c r="AR142" s="21">
        <v>20.248999999999999</v>
      </c>
      <c r="AS142" s="24">
        <v>-5.15442E-5</v>
      </c>
      <c r="AT142" s="21">
        <v>132</v>
      </c>
      <c r="AU142" s="21">
        <v>0.53488199999999997</v>
      </c>
      <c r="AV142">
        <f t="shared" si="32"/>
        <v>6.3634814814814811E-2</v>
      </c>
      <c r="AW142">
        <f t="shared" si="33"/>
        <v>3.4062316404444445E-2</v>
      </c>
      <c r="AX142" s="9"/>
      <c r="AY142" s="21">
        <v>0.56472800000000001</v>
      </c>
      <c r="AZ142" s="21">
        <v>22.869800000000001</v>
      </c>
      <c r="BA142" s="24">
        <v>-4.0893599999999998E-5</v>
      </c>
      <c r="BB142" s="21">
        <v>132</v>
      </c>
      <c r="BC142" s="21">
        <v>0.56436200000000003</v>
      </c>
      <c r="BD142">
        <f t="shared" si="34"/>
        <v>5.048592592592592E-2</v>
      </c>
      <c r="BE142">
        <f t="shared" si="35"/>
        <v>2.8510815976296292E-2</v>
      </c>
      <c r="BH142" s="9"/>
      <c r="BI142" s="21"/>
      <c r="BJ142" s="21"/>
      <c r="BK142" s="21"/>
      <c r="BL142" s="21"/>
      <c r="BM142" s="21"/>
      <c r="BP142" s="9"/>
      <c r="BQ142" s="21"/>
      <c r="BR142" s="21"/>
      <c r="BS142" s="21"/>
      <c r="BT142" s="21"/>
      <c r="BU142" s="21"/>
      <c r="BZ142" s="9"/>
      <c r="CA142" s="21"/>
      <c r="CB142" s="21"/>
      <c r="CC142" s="21"/>
      <c r="CD142" s="21"/>
      <c r="CE142" s="21"/>
      <c r="CH142" s="9"/>
      <c r="CI142" s="21"/>
      <c r="CJ142" s="21"/>
      <c r="CK142" s="21"/>
      <c r="CL142" s="21"/>
      <c r="CM142" s="21"/>
      <c r="CR142" s="9"/>
      <c r="CS142" s="21"/>
      <c r="CT142" s="21"/>
      <c r="CU142" s="21"/>
      <c r="CV142" s="21"/>
      <c r="CW142" s="21"/>
      <c r="CZ142" s="9"/>
      <c r="DA142" s="21"/>
      <c r="DB142" s="21"/>
      <c r="DC142" s="21"/>
      <c r="DD142" s="21"/>
      <c r="DE142" s="21"/>
      <c r="DJ142" s="9"/>
      <c r="DK142" s="21"/>
      <c r="DL142" s="21"/>
      <c r="DM142" s="21"/>
      <c r="DN142" s="21"/>
      <c r="DO142" s="21"/>
      <c r="DR142" s="9"/>
      <c r="DS142" s="21"/>
      <c r="DT142" s="21"/>
      <c r="DU142" s="21"/>
      <c r="DV142" s="21"/>
      <c r="DW142" s="21"/>
      <c r="EB142" s="9"/>
      <c r="EC142" s="21"/>
      <c r="ED142" s="21"/>
      <c r="EE142" s="21"/>
      <c r="EF142" s="21"/>
      <c r="EG142" s="21"/>
      <c r="EJ142" s="9"/>
      <c r="EK142" s="21"/>
      <c r="EL142" s="21"/>
      <c r="EM142" s="21"/>
      <c r="EN142" s="21"/>
      <c r="EO142" s="21"/>
      <c r="ET142" s="21"/>
      <c r="EU142" s="21"/>
      <c r="EV142" s="21"/>
      <c r="EW142" s="21"/>
      <c r="EX142" s="21"/>
      <c r="FA142" s="9"/>
      <c r="FB142" s="21"/>
      <c r="FC142" s="21"/>
      <c r="FD142" s="21"/>
      <c r="FE142" s="21"/>
      <c r="FF142" s="21"/>
    </row>
    <row r="143" spans="6:162" x14ac:dyDescent="0.25">
      <c r="F143" s="9"/>
      <c r="G143" s="21">
        <v>0.53024300000000002</v>
      </c>
      <c r="H143" s="21">
        <v>6.3547599999999997</v>
      </c>
      <c r="I143" s="24">
        <v>-5.9204099999999998E-5</v>
      </c>
      <c r="J143" s="21">
        <v>133</v>
      </c>
      <c r="K143" s="21">
        <v>0.52984600000000004</v>
      </c>
      <c r="L143">
        <f t="shared" si="24"/>
        <v>7.3091481481481466E-2</v>
      </c>
      <c r="M143">
        <f t="shared" si="25"/>
        <v>3.8756246415185179E-2</v>
      </c>
      <c r="N143" s="9"/>
      <c r="O143" s="21">
        <v>0.56976300000000002</v>
      </c>
      <c r="P143" s="21">
        <v>8.9755000000000003</v>
      </c>
      <c r="Q143" s="24">
        <v>-4.47083E-5</v>
      </c>
      <c r="R143" s="21">
        <v>133</v>
      </c>
      <c r="S143" s="21">
        <v>0.56939700000000004</v>
      </c>
      <c r="T143">
        <f t="shared" si="26"/>
        <v>5.5195432098765429E-2</v>
      </c>
      <c r="U143">
        <f t="shared" si="27"/>
        <v>3.1448314978888892E-2</v>
      </c>
      <c r="X143" s="9"/>
      <c r="Y143" s="21">
        <v>0.53024300000000002</v>
      </c>
      <c r="Z143" s="21">
        <v>13.335900000000001</v>
      </c>
      <c r="AA143" s="24">
        <v>-5.37415E-5</v>
      </c>
      <c r="AB143" s="21">
        <v>133</v>
      </c>
      <c r="AC143" s="21">
        <v>0.52981599999999995</v>
      </c>
      <c r="AD143">
        <f t="shared" si="28"/>
        <v>6.6347530864197521E-2</v>
      </c>
      <c r="AE143">
        <f t="shared" si="29"/>
        <v>3.5180313808024687E-2</v>
      </c>
      <c r="AF143" s="9"/>
      <c r="AG143" s="21">
        <v>0.56976300000000002</v>
      </c>
      <c r="AH143" s="21">
        <v>15.9567</v>
      </c>
      <c r="AI143" s="24">
        <v>-4.20227E-5</v>
      </c>
      <c r="AJ143" s="21">
        <v>133</v>
      </c>
      <c r="AK143" s="21">
        <v>0.56939700000000004</v>
      </c>
      <c r="AL143">
        <f t="shared" si="30"/>
        <v>5.1879876543209871E-2</v>
      </c>
      <c r="AM143">
        <f t="shared" si="31"/>
        <v>2.9559234098888887E-2</v>
      </c>
      <c r="AP143" s="9"/>
      <c r="AQ143" s="21">
        <v>0.53024300000000002</v>
      </c>
      <c r="AR143" s="21">
        <v>20.2591</v>
      </c>
      <c r="AS143" s="24">
        <v>-5.1757800000000001E-5</v>
      </c>
      <c r="AT143" s="21">
        <v>133</v>
      </c>
      <c r="AU143" s="21">
        <v>0.52981599999999995</v>
      </c>
      <c r="AV143">
        <f t="shared" si="32"/>
        <v>6.3898518518518521E-2</v>
      </c>
      <c r="AW143">
        <f t="shared" si="33"/>
        <v>3.388174215481482E-2</v>
      </c>
      <c r="AX143" s="9"/>
      <c r="AY143" s="21">
        <v>0.56976300000000002</v>
      </c>
      <c r="AZ143" s="21">
        <v>22.879899999999999</v>
      </c>
      <c r="BA143" s="24">
        <v>-4.0679900000000003E-5</v>
      </c>
      <c r="BB143" s="21">
        <v>133</v>
      </c>
      <c r="BC143" s="21">
        <v>0.56930499999999995</v>
      </c>
      <c r="BD143">
        <f t="shared" si="34"/>
        <v>5.0222098765432099E-2</v>
      </c>
      <c r="BE143">
        <f t="shared" si="35"/>
        <v>2.8614693658888891E-2</v>
      </c>
      <c r="BH143" s="9"/>
      <c r="BI143" s="21"/>
      <c r="BJ143" s="21"/>
      <c r="BK143" s="21"/>
      <c r="BL143" s="21"/>
      <c r="BM143" s="21"/>
      <c r="BP143" s="9"/>
      <c r="BQ143" s="21"/>
      <c r="BR143" s="21"/>
      <c r="BS143" s="21"/>
      <c r="BT143" s="21"/>
      <c r="BU143" s="21"/>
      <c r="BZ143" s="9"/>
      <c r="CA143" s="21"/>
      <c r="CB143" s="21"/>
      <c r="CC143" s="21"/>
      <c r="CD143" s="21"/>
      <c r="CE143" s="21"/>
      <c r="CH143" s="9"/>
      <c r="CI143" s="21"/>
      <c r="CJ143" s="21"/>
      <c r="CK143" s="21"/>
      <c r="CL143" s="21"/>
      <c r="CM143" s="21"/>
      <c r="CR143" s="9"/>
      <c r="CS143" s="21"/>
      <c r="CT143" s="21"/>
      <c r="CU143" s="21"/>
      <c r="CV143" s="21"/>
      <c r="CW143" s="21"/>
      <c r="CZ143" s="9"/>
      <c r="DA143" s="21"/>
      <c r="DB143" s="21"/>
      <c r="DC143" s="21"/>
      <c r="DD143" s="21"/>
      <c r="DE143" s="21"/>
      <c r="DJ143" s="9"/>
      <c r="DK143" s="21"/>
      <c r="DL143" s="21"/>
      <c r="DM143" s="21"/>
      <c r="DN143" s="21"/>
      <c r="DO143" s="21"/>
      <c r="DR143" s="9"/>
      <c r="DS143" s="21"/>
      <c r="DT143" s="21"/>
      <c r="DU143" s="21"/>
      <c r="DV143" s="21"/>
      <c r="DW143" s="21"/>
      <c r="EB143" s="9"/>
      <c r="EC143" s="21"/>
      <c r="ED143" s="21"/>
      <c r="EE143" s="21"/>
      <c r="EF143" s="21"/>
      <c r="EG143" s="21"/>
      <c r="EJ143" s="9"/>
      <c r="EK143" s="21"/>
      <c r="EL143" s="21"/>
      <c r="EM143" s="21"/>
      <c r="EN143" s="21"/>
      <c r="EO143" s="21"/>
      <c r="ET143" s="21"/>
      <c r="EU143" s="21"/>
      <c r="EV143" s="21"/>
      <c r="EW143" s="21"/>
      <c r="EX143" s="21"/>
      <c r="FA143" s="9"/>
      <c r="FB143" s="21"/>
      <c r="FC143" s="21"/>
      <c r="FD143" s="21"/>
      <c r="FE143" s="21"/>
      <c r="FF143" s="21"/>
    </row>
    <row r="144" spans="6:162" x14ac:dyDescent="0.25">
      <c r="F144" s="9"/>
      <c r="G144" s="21">
        <v>0.52520800000000001</v>
      </c>
      <c r="H144" s="21">
        <v>6.3648300000000004</v>
      </c>
      <c r="I144" s="24">
        <v>-5.9478799999999997E-5</v>
      </c>
      <c r="J144" s="21">
        <v>134</v>
      </c>
      <c r="K144" s="21">
        <v>0.52481100000000003</v>
      </c>
      <c r="L144">
        <f t="shared" si="24"/>
        <v>7.3430617283950603E-2</v>
      </c>
      <c r="M144">
        <f t="shared" si="25"/>
        <v>3.8566347642469127E-2</v>
      </c>
      <c r="N144" s="9"/>
      <c r="O144" s="21">
        <v>0.57479899999999995</v>
      </c>
      <c r="P144" s="21">
        <v>8.9855699999999992</v>
      </c>
      <c r="Q144" s="24">
        <v>-4.4555699999999998E-5</v>
      </c>
      <c r="R144" s="21">
        <v>134</v>
      </c>
      <c r="S144" s="21">
        <v>0.57440199999999997</v>
      </c>
      <c r="T144">
        <f t="shared" si="26"/>
        <v>5.5007037037037028E-2</v>
      </c>
      <c r="U144">
        <f t="shared" si="27"/>
        <v>3.1617989881851841E-2</v>
      </c>
      <c r="X144" s="9"/>
      <c r="Y144" s="21">
        <v>0.52520800000000001</v>
      </c>
      <c r="Z144" s="21">
        <v>13.346</v>
      </c>
      <c r="AA144" s="24">
        <v>-5.3924600000000002E-5</v>
      </c>
      <c r="AB144" s="21">
        <v>134</v>
      </c>
      <c r="AC144" s="21">
        <v>0.52481100000000003</v>
      </c>
      <c r="AD144">
        <f t="shared" si="28"/>
        <v>6.657358024691358E-2</v>
      </c>
      <c r="AE144">
        <f t="shared" si="29"/>
        <v>3.496497693432099E-2</v>
      </c>
      <c r="AF144" s="9"/>
      <c r="AG144" s="21">
        <v>0.57479899999999995</v>
      </c>
      <c r="AH144" s="21">
        <v>15.966699999999999</v>
      </c>
      <c r="AI144" s="24">
        <v>-4.1839599999999998E-5</v>
      </c>
      <c r="AJ144" s="21">
        <v>134</v>
      </c>
      <c r="AK144" s="21">
        <v>0.57440199999999997</v>
      </c>
      <c r="AL144">
        <f t="shared" si="30"/>
        <v>5.1653827160493819E-2</v>
      </c>
      <c r="AM144">
        <f t="shared" si="31"/>
        <v>2.9690568198024684E-2</v>
      </c>
      <c r="AP144" s="9"/>
      <c r="AQ144" s="21">
        <v>0.52520800000000001</v>
      </c>
      <c r="AR144" s="21">
        <v>20.269200000000001</v>
      </c>
      <c r="AS144" s="24">
        <v>-5.1879899999999998E-5</v>
      </c>
      <c r="AT144" s="21">
        <v>134</v>
      </c>
      <c r="AU144" s="21">
        <v>0.52487200000000001</v>
      </c>
      <c r="AV144">
        <f t="shared" si="32"/>
        <v>6.404925925925925E-2</v>
      </c>
      <c r="AW144">
        <f t="shared" si="33"/>
        <v>3.3639183357037035E-2</v>
      </c>
      <c r="AX144" s="9"/>
      <c r="AY144" s="21">
        <v>0.57479899999999995</v>
      </c>
      <c r="AZ144" s="21">
        <v>22.889900000000001</v>
      </c>
      <c r="BA144" s="24">
        <v>-4.0466300000000003E-5</v>
      </c>
      <c r="BB144" s="21">
        <v>134</v>
      </c>
      <c r="BC144" s="21">
        <v>0.57446299999999995</v>
      </c>
      <c r="BD144">
        <f t="shared" si="34"/>
        <v>4.9958395061728389E-2</v>
      </c>
      <c r="BE144">
        <f t="shared" si="35"/>
        <v>2.8716035523086415E-2</v>
      </c>
      <c r="BH144" s="9"/>
      <c r="BI144" s="21"/>
      <c r="BJ144" s="21"/>
      <c r="BK144" s="21"/>
      <c r="BL144" s="21"/>
      <c r="BM144" s="21"/>
      <c r="BP144" s="9"/>
      <c r="BQ144" s="21"/>
      <c r="BR144" s="21"/>
      <c r="BS144" s="21"/>
      <c r="BT144" s="21"/>
      <c r="BU144" s="21"/>
      <c r="BZ144" s="9"/>
      <c r="CA144" s="21"/>
      <c r="CB144" s="21"/>
      <c r="CC144" s="21"/>
      <c r="CD144" s="21"/>
      <c r="CE144" s="21"/>
      <c r="CH144" s="9"/>
      <c r="CI144" s="21"/>
      <c r="CJ144" s="21"/>
      <c r="CK144" s="21"/>
      <c r="CL144" s="21"/>
      <c r="CM144" s="21"/>
      <c r="CR144" s="9"/>
      <c r="CS144" s="21"/>
      <c r="CT144" s="21"/>
      <c r="CU144" s="21"/>
      <c r="CV144" s="21"/>
      <c r="CW144" s="21"/>
      <c r="CZ144" s="9"/>
      <c r="DA144" s="21"/>
      <c r="DB144" s="21"/>
      <c r="DC144" s="21"/>
      <c r="DD144" s="21"/>
      <c r="DE144" s="21"/>
      <c r="DJ144" s="9"/>
      <c r="DK144" s="21"/>
      <c r="DL144" s="21"/>
      <c r="DM144" s="21"/>
      <c r="DN144" s="21"/>
      <c r="DO144" s="21"/>
      <c r="DR144" s="9"/>
      <c r="DS144" s="21"/>
      <c r="DT144" s="21"/>
      <c r="DU144" s="21"/>
      <c r="DV144" s="21"/>
      <c r="DW144" s="21"/>
      <c r="EB144" s="9"/>
      <c r="EC144" s="21"/>
      <c r="ED144" s="21"/>
      <c r="EE144" s="21"/>
      <c r="EF144" s="21"/>
      <c r="EG144" s="21"/>
      <c r="EJ144" s="9"/>
      <c r="EK144" s="21"/>
      <c r="EL144" s="21"/>
      <c r="EM144" s="21"/>
      <c r="EN144" s="21"/>
      <c r="EO144" s="21"/>
      <c r="ET144" s="21"/>
      <c r="EU144" s="21"/>
      <c r="EV144" s="21"/>
      <c r="EW144" s="21"/>
      <c r="EX144" s="21"/>
      <c r="FA144" s="9"/>
      <c r="FB144" s="21"/>
      <c r="FC144" s="21"/>
      <c r="FD144" s="21"/>
      <c r="FE144" s="21"/>
      <c r="FF144" s="21"/>
    </row>
    <row r="145" spans="6:162" x14ac:dyDescent="0.25">
      <c r="F145" s="9"/>
      <c r="G145" s="21">
        <v>0.52017199999999997</v>
      </c>
      <c r="H145" s="21">
        <v>6.3749000000000002</v>
      </c>
      <c r="I145" s="24">
        <v>-5.9722899999999997E-5</v>
      </c>
      <c r="J145" s="21">
        <v>135</v>
      </c>
      <c r="K145" s="21">
        <v>0.51977499999999999</v>
      </c>
      <c r="L145">
        <f t="shared" si="24"/>
        <v>7.3731975308641964E-2</v>
      </c>
      <c r="M145">
        <f t="shared" si="25"/>
        <v>3.8353309060246907E-2</v>
      </c>
      <c r="N145" s="9"/>
      <c r="O145" s="21">
        <v>0.57983399999999996</v>
      </c>
      <c r="P145" s="21">
        <v>8.9956399999999999</v>
      </c>
      <c r="Q145" s="24">
        <v>-4.4433600000000001E-5</v>
      </c>
      <c r="R145" s="21">
        <v>135</v>
      </c>
      <c r="S145" s="21">
        <v>0.57943699999999998</v>
      </c>
      <c r="T145">
        <f t="shared" si="26"/>
        <v>5.4856296296296292E-2</v>
      </c>
      <c r="U145">
        <f t="shared" si="27"/>
        <v>3.1807545706666662E-2</v>
      </c>
      <c r="X145" s="9"/>
      <c r="Y145" s="21">
        <v>0.52017199999999997</v>
      </c>
      <c r="Z145" s="21">
        <v>13.3561</v>
      </c>
      <c r="AA145" s="24">
        <v>-5.3955100000000001E-5</v>
      </c>
      <c r="AB145" s="21">
        <v>135</v>
      </c>
      <c r="AC145" s="21">
        <v>0.51983599999999996</v>
      </c>
      <c r="AD145">
        <f t="shared" si="28"/>
        <v>6.6611234567901231E-2</v>
      </c>
      <c r="AE145">
        <f t="shared" si="29"/>
        <v>3.4649299107654317E-2</v>
      </c>
      <c r="AF145" s="9"/>
      <c r="AG145" s="21">
        <v>0.57983399999999996</v>
      </c>
      <c r="AH145" s="21">
        <v>15.976800000000001</v>
      </c>
      <c r="AI145" s="24">
        <v>-4.1748000000000001E-5</v>
      </c>
      <c r="AJ145" s="21">
        <v>135</v>
      </c>
      <c r="AK145" s="21">
        <v>0.57946799999999998</v>
      </c>
      <c r="AL145">
        <f t="shared" si="30"/>
        <v>5.1540740740740734E-2</v>
      </c>
      <c r="AM145">
        <f t="shared" si="31"/>
        <v>2.988507386666666E-2</v>
      </c>
      <c r="AP145" s="9"/>
      <c r="AQ145" s="21">
        <v>0.52017199999999997</v>
      </c>
      <c r="AR145" s="21">
        <v>20.279299999999999</v>
      </c>
      <c r="AS145" s="24">
        <v>-5.2123999999999998E-5</v>
      </c>
      <c r="AT145" s="21">
        <v>135</v>
      </c>
      <c r="AU145" s="21">
        <v>0.51986699999999997</v>
      </c>
      <c r="AV145">
        <f t="shared" si="32"/>
        <v>6.4350617283950598E-2</v>
      </c>
      <c r="AW145">
        <f t="shared" si="33"/>
        <v>3.3473389293827149E-2</v>
      </c>
      <c r="AX145" s="9"/>
      <c r="AY145" s="21">
        <v>0.57983399999999996</v>
      </c>
      <c r="AZ145" s="21">
        <v>22.9</v>
      </c>
      <c r="BA145" s="24">
        <v>-4.0405299999999998E-5</v>
      </c>
      <c r="BB145" s="21">
        <v>135</v>
      </c>
      <c r="BC145" s="21">
        <v>0.579376</v>
      </c>
      <c r="BD145">
        <f t="shared" si="34"/>
        <v>4.988308641975308E-2</v>
      </c>
      <c r="BE145">
        <f t="shared" si="35"/>
        <v>2.8923909531111104E-2</v>
      </c>
      <c r="BH145" s="9"/>
      <c r="BI145" s="21"/>
      <c r="BJ145" s="21"/>
      <c r="BK145" s="21"/>
      <c r="BL145" s="21"/>
      <c r="BM145" s="21"/>
      <c r="BP145" s="9"/>
      <c r="BQ145" s="21"/>
      <c r="BR145" s="21"/>
      <c r="BS145" s="21"/>
      <c r="BT145" s="21"/>
      <c r="BU145" s="21"/>
      <c r="BZ145" s="9"/>
      <c r="CA145" s="21"/>
      <c r="CB145" s="21"/>
      <c r="CC145" s="21"/>
      <c r="CD145" s="21"/>
      <c r="CE145" s="21"/>
      <c r="CH145" s="9"/>
      <c r="CI145" s="21"/>
      <c r="CJ145" s="21"/>
      <c r="CK145" s="21"/>
      <c r="CL145" s="21"/>
      <c r="CM145" s="21"/>
      <c r="CR145" s="9"/>
      <c r="CS145" s="21"/>
      <c r="CT145" s="21"/>
      <c r="CU145" s="21"/>
      <c r="CV145" s="21"/>
      <c r="CW145" s="21"/>
      <c r="CZ145" s="9"/>
      <c r="DA145" s="21"/>
      <c r="DB145" s="21"/>
      <c r="DC145" s="21"/>
      <c r="DD145" s="21"/>
      <c r="DE145" s="21"/>
      <c r="DJ145" s="9"/>
      <c r="DK145" s="21"/>
      <c r="DL145" s="21"/>
      <c r="DM145" s="21"/>
      <c r="DN145" s="21"/>
      <c r="DO145" s="21"/>
      <c r="DR145" s="9"/>
      <c r="DS145" s="21"/>
      <c r="DT145" s="21"/>
      <c r="DU145" s="21"/>
      <c r="DV145" s="21"/>
      <c r="DW145" s="21"/>
      <c r="EB145" s="9"/>
      <c r="EC145" s="21"/>
      <c r="ED145" s="21"/>
      <c r="EE145" s="21"/>
      <c r="EF145" s="21"/>
      <c r="EG145" s="21"/>
      <c r="EJ145" s="9"/>
      <c r="EK145" s="21"/>
      <c r="EL145" s="21"/>
      <c r="EM145" s="21"/>
      <c r="EN145" s="21"/>
      <c r="EO145" s="21"/>
      <c r="ET145" s="21"/>
      <c r="EU145" s="21"/>
      <c r="EV145" s="21"/>
      <c r="EW145" s="21"/>
      <c r="EX145" s="21"/>
      <c r="FA145" s="9"/>
      <c r="FB145" s="21"/>
      <c r="FC145" s="21"/>
      <c r="FD145" s="21"/>
      <c r="FE145" s="21"/>
      <c r="FF145" s="21"/>
    </row>
    <row r="146" spans="6:162" x14ac:dyDescent="0.25">
      <c r="F146" s="9"/>
      <c r="G146" s="21">
        <v>0.51513699999999996</v>
      </c>
      <c r="H146" s="21">
        <v>6.3849799999999997</v>
      </c>
      <c r="I146" s="24">
        <v>-5.9936499999999998E-5</v>
      </c>
      <c r="J146" s="21">
        <v>136</v>
      </c>
      <c r="K146" s="21">
        <v>0.51473999999999998</v>
      </c>
      <c r="L146">
        <f t="shared" si="24"/>
        <v>7.3995679012345675E-2</v>
      </c>
      <c r="M146">
        <f t="shared" si="25"/>
        <v>3.8117912099382707E-2</v>
      </c>
      <c r="N146" s="9"/>
      <c r="O146" s="21">
        <v>0.58486899999999997</v>
      </c>
      <c r="P146" s="21">
        <v>9.0057200000000002</v>
      </c>
      <c r="Q146" s="24">
        <v>-4.4311499999999997E-5</v>
      </c>
      <c r="R146" s="21">
        <v>136</v>
      </c>
      <c r="S146" s="21">
        <v>0.58447300000000002</v>
      </c>
      <c r="T146">
        <f t="shared" si="26"/>
        <v>5.4705555555555549E-2</v>
      </c>
      <c r="U146">
        <f t="shared" si="27"/>
        <v>3.1995583572222215E-2</v>
      </c>
      <c r="X146" s="9"/>
      <c r="Y146" s="21">
        <v>0.51513699999999996</v>
      </c>
      <c r="Z146" s="21">
        <v>13.366099999999999</v>
      </c>
      <c r="AA146" s="24">
        <v>-5.4107699999999997E-5</v>
      </c>
      <c r="AB146" s="21">
        <v>136</v>
      </c>
      <c r="AC146" s="21">
        <v>0.51477099999999998</v>
      </c>
      <c r="AD146">
        <f t="shared" si="28"/>
        <v>6.6799629629629625E-2</v>
      </c>
      <c r="AE146">
        <f t="shared" si="29"/>
        <v>3.4410960808518513E-2</v>
      </c>
      <c r="AF146" s="9"/>
      <c r="AG146" s="21">
        <v>0.58486899999999997</v>
      </c>
      <c r="AH146" s="21">
        <v>15.9869</v>
      </c>
      <c r="AI146" s="24">
        <v>-4.1625999999999998E-5</v>
      </c>
      <c r="AJ146" s="21">
        <v>136</v>
      </c>
      <c r="AK146" s="21">
        <v>0.58456399999999997</v>
      </c>
      <c r="AL146">
        <f t="shared" si="30"/>
        <v>5.1390123456790116E-2</v>
      </c>
      <c r="AM146">
        <f t="shared" si="31"/>
        <v>3.0056490116049377E-2</v>
      </c>
      <c r="AP146" s="9"/>
      <c r="AQ146" s="21">
        <v>0.51513699999999996</v>
      </c>
      <c r="AR146" s="21">
        <v>20.289300000000001</v>
      </c>
      <c r="AS146" s="24">
        <v>-5.2185100000000003E-5</v>
      </c>
      <c r="AT146" s="21">
        <v>136</v>
      </c>
      <c r="AU146" s="21">
        <v>0.51473999999999998</v>
      </c>
      <c r="AV146">
        <f t="shared" si="32"/>
        <v>6.4426049382716052E-2</v>
      </c>
      <c r="AW146">
        <f t="shared" si="33"/>
        <v>3.3188241800864195E-2</v>
      </c>
      <c r="AX146" s="9"/>
      <c r="AY146" s="21">
        <v>0.58486899999999997</v>
      </c>
      <c r="AZ146" s="21">
        <v>22.9101</v>
      </c>
      <c r="BA146" s="24">
        <v>-4.0130599999999998E-5</v>
      </c>
      <c r="BB146" s="21">
        <v>136</v>
      </c>
      <c r="BC146" s="21">
        <v>0.58447300000000002</v>
      </c>
      <c r="BD146">
        <f t="shared" si="34"/>
        <v>4.9543950617283943E-2</v>
      </c>
      <c r="BE146">
        <f t="shared" si="35"/>
        <v>2.8976720853580242E-2</v>
      </c>
      <c r="BH146" s="9"/>
      <c r="BI146" s="21"/>
      <c r="BJ146" s="21"/>
      <c r="BK146" s="21"/>
      <c r="BL146" s="21"/>
      <c r="BM146" s="21"/>
      <c r="BP146" s="9"/>
      <c r="BQ146" s="21"/>
      <c r="BR146" s="21"/>
      <c r="BS146" s="21"/>
      <c r="BT146" s="21"/>
      <c r="BU146" s="21"/>
      <c r="BZ146" s="9"/>
      <c r="CA146" s="21"/>
      <c r="CB146" s="21"/>
      <c r="CC146" s="21"/>
      <c r="CD146" s="21"/>
      <c r="CE146" s="21"/>
      <c r="CH146" s="9"/>
      <c r="CI146" s="21"/>
      <c r="CJ146" s="21"/>
      <c r="CK146" s="21"/>
      <c r="CL146" s="21"/>
      <c r="CM146" s="21"/>
      <c r="CR146" s="9"/>
      <c r="CS146" s="21"/>
      <c r="CT146" s="21"/>
      <c r="CU146" s="21"/>
      <c r="CV146" s="21"/>
      <c r="CW146" s="21"/>
      <c r="CZ146" s="9"/>
      <c r="DA146" s="21"/>
      <c r="DB146" s="21"/>
      <c r="DC146" s="21"/>
      <c r="DD146" s="21"/>
      <c r="DE146" s="21"/>
      <c r="DJ146" s="9"/>
      <c r="DK146" s="21"/>
      <c r="DL146" s="21"/>
      <c r="DM146" s="21"/>
      <c r="DN146" s="21"/>
      <c r="DO146" s="21"/>
      <c r="DR146" s="9"/>
      <c r="DS146" s="21"/>
      <c r="DT146" s="21"/>
      <c r="DU146" s="21"/>
      <c r="DV146" s="21"/>
      <c r="DW146" s="21"/>
      <c r="EB146" s="9"/>
      <c r="EC146" s="21"/>
      <c r="ED146" s="21"/>
      <c r="EE146" s="21"/>
      <c r="EF146" s="21"/>
      <c r="EG146" s="21"/>
      <c r="EJ146" s="9"/>
      <c r="EK146" s="21"/>
      <c r="EL146" s="21"/>
      <c r="EM146" s="21"/>
      <c r="EN146" s="21"/>
      <c r="EO146" s="21"/>
      <c r="ET146" s="21"/>
      <c r="EU146" s="21"/>
      <c r="EV146" s="21"/>
      <c r="EW146" s="21"/>
      <c r="EX146" s="21"/>
      <c r="FA146" s="9"/>
      <c r="FB146" s="21"/>
      <c r="FC146" s="21"/>
      <c r="FD146" s="21"/>
      <c r="FE146" s="21"/>
      <c r="FF146" s="21"/>
    </row>
    <row r="147" spans="6:162" x14ac:dyDescent="0.25">
      <c r="F147" s="9"/>
      <c r="G147" s="21">
        <v>0.51010100000000003</v>
      </c>
      <c r="H147" s="21">
        <v>6.3950500000000003</v>
      </c>
      <c r="I147" s="24">
        <v>-6.0180699999999998E-5</v>
      </c>
      <c r="J147" s="21">
        <v>137</v>
      </c>
      <c r="K147" s="21">
        <v>0.50970499999999996</v>
      </c>
      <c r="L147">
        <f t="shared" si="24"/>
        <v>7.4297160493827161E-2</v>
      </c>
      <c r="M147">
        <f t="shared" si="25"/>
        <v>3.7899055865061732E-2</v>
      </c>
      <c r="N147" s="9"/>
      <c r="O147" s="21">
        <v>0.58990500000000001</v>
      </c>
      <c r="P147" s="21">
        <v>9.0157900000000009</v>
      </c>
      <c r="Q147" s="24">
        <v>-4.4128400000000003E-5</v>
      </c>
      <c r="R147" s="21">
        <v>137</v>
      </c>
      <c r="S147" s="21">
        <v>0.58953900000000004</v>
      </c>
      <c r="T147">
        <f t="shared" si="26"/>
        <v>5.4479506172839511E-2</v>
      </c>
      <c r="U147">
        <f t="shared" si="27"/>
        <v>3.2137733088888891E-2</v>
      </c>
      <c r="X147" s="9"/>
      <c r="Y147" s="21">
        <v>0.51010100000000003</v>
      </c>
      <c r="Z147" s="21">
        <v>13.376200000000001</v>
      </c>
      <c r="AA147" s="24">
        <v>-5.42603E-5</v>
      </c>
      <c r="AB147" s="21">
        <v>137</v>
      </c>
      <c r="AC147" s="21">
        <v>0.50973500000000005</v>
      </c>
      <c r="AD147">
        <f t="shared" si="28"/>
        <v>6.698802469135802E-2</v>
      </c>
      <c r="AE147">
        <f t="shared" si="29"/>
        <v>3.4170658383086416E-2</v>
      </c>
      <c r="AF147" s="9"/>
      <c r="AG147" s="21">
        <v>0.58990500000000001</v>
      </c>
      <c r="AH147" s="21">
        <v>15.997</v>
      </c>
      <c r="AI147" s="24">
        <v>-4.1503900000000001E-5</v>
      </c>
      <c r="AJ147" s="21">
        <v>137</v>
      </c>
      <c r="AK147" s="21">
        <v>0.58956900000000001</v>
      </c>
      <c r="AL147">
        <f t="shared" si="30"/>
        <v>5.1239382716049379E-2</v>
      </c>
      <c r="AM147">
        <f t="shared" si="31"/>
        <v>3.0226368061111109E-2</v>
      </c>
      <c r="AP147" s="9"/>
      <c r="AQ147" s="21">
        <v>0.51010100000000003</v>
      </c>
      <c r="AR147" s="21">
        <v>20.299399999999999</v>
      </c>
      <c r="AS147" s="24">
        <v>-5.22766E-5</v>
      </c>
      <c r="AT147" s="21">
        <v>137</v>
      </c>
      <c r="AU147" s="21">
        <v>0.50973500000000005</v>
      </c>
      <c r="AV147">
        <f t="shared" si="32"/>
        <v>6.4539012345679006E-2</v>
      </c>
      <c r="AW147">
        <f t="shared" si="33"/>
        <v>3.2921414736543211E-2</v>
      </c>
      <c r="AX147" s="9"/>
      <c r="AY147" s="21">
        <v>0.58990500000000001</v>
      </c>
      <c r="AZ147" s="21">
        <v>22.920100000000001</v>
      </c>
      <c r="BA147" s="24">
        <v>-3.9978000000000002E-5</v>
      </c>
      <c r="BB147" s="21">
        <v>137</v>
      </c>
      <c r="BC147" s="21">
        <v>0.58953900000000004</v>
      </c>
      <c r="BD147">
        <f t="shared" si="34"/>
        <v>4.9355555555555555E-2</v>
      </c>
      <c r="BE147">
        <f t="shared" si="35"/>
        <v>2.9115089E-2</v>
      </c>
      <c r="BH147" s="9"/>
      <c r="BI147" s="21"/>
      <c r="BJ147" s="21"/>
      <c r="BK147" s="21"/>
      <c r="BL147" s="21"/>
      <c r="BM147" s="21"/>
      <c r="BP147" s="9"/>
      <c r="BQ147" s="21"/>
      <c r="BR147" s="21"/>
      <c r="BS147" s="21"/>
      <c r="BT147" s="21"/>
      <c r="BU147" s="21"/>
      <c r="BZ147" s="9"/>
      <c r="CA147" s="21"/>
      <c r="CB147" s="21"/>
      <c r="CC147" s="21"/>
      <c r="CD147" s="21"/>
      <c r="CE147" s="21"/>
      <c r="CH147" s="9"/>
      <c r="CI147" s="21"/>
      <c r="CJ147" s="21"/>
      <c r="CK147" s="21"/>
      <c r="CL147" s="21"/>
      <c r="CM147" s="21"/>
      <c r="CR147" s="9"/>
      <c r="CS147" s="21"/>
      <c r="CT147" s="21"/>
      <c r="CU147" s="21"/>
      <c r="CV147" s="21"/>
      <c r="CW147" s="21"/>
      <c r="CZ147" s="9"/>
      <c r="DA147" s="21"/>
      <c r="DB147" s="21"/>
      <c r="DC147" s="21"/>
      <c r="DD147" s="21"/>
      <c r="DE147" s="21"/>
      <c r="DJ147" s="9"/>
      <c r="DK147" s="21"/>
      <c r="DL147" s="21"/>
      <c r="DM147" s="21"/>
      <c r="DN147" s="21"/>
      <c r="DO147" s="21"/>
      <c r="DR147" s="9"/>
      <c r="DS147" s="21"/>
      <c r="DT147" s="21"/>
      <c r="DU147" s="21"/>
      <c r="DV147" s="21"/>
      <c r="DW147" s="21"/>
      <c r="EB147" s="9"/>
      <c r="EC147" s="21"/>
      <c r="ED147" s="21"/>
      <c r="EE147" s="21"/>
      <c r="EF147" s="21"/>
      <c r="EG147" s="21"/>
      <c r="EJ147" s="9"/>
      <c r="EK147" s="21"/>
      <c r="EL147" s="21"/>
      <c r="EM147" s="21"/>
      <c r="EN147" s="21"/>
      <c r="EO147" s="21"/>
      <c r="ET147" s="21"/>
      <c r="EU147" s="21"/>
      <c r="EV147" s="21"/>
      <c r="EW147" s="21"/>
      <c r="EX147" s="21"/>
      <c r="FA147" s="9"/>
      <c r="FB147" s="21"/>
      <c r="FC147" s="21"/>
      <c r="FD147" s="21"/>
      <c r="FE147" s="21"/>
      <c r="FF147" s="21"/>
    </row>
    <row r="148" spans="6:162" x14ac:dyDescent="0.25">
      <c r="F148" s="9"/>
      <c r="G148" s="21">
        <v>0.50506600000000001</v>
      </c>
      <c r="H148" s="21">
        <v>6.4051200000000001</v>
      </c>
      <c r="I148" s="24">
        <v>-6.0394299999999999E-5</v>
      </c>
      <c r="J148" s="21">
        <v>138</v>
      </c>
      <c r="K148" s="21">
        <v>0.50473000000000001</v>
      </c>
      <c r="L148">
        <f t="shared" si="24"/>
        <v>7.4560864197530857E-2</v>
      </c>
      <c r="M148">
        <f t="shared" si="25"/>
        <v>3.7658157436790123E-2</v>
      </c>
      <c r="N148" s="9"/>
      <c r="O148" s="21">
        <v>0.59494000000000002</v>
      </c>
      <c r="P148" s="21">
        <v>9.0258599999999998</v>
      </c>
      <c r="Q148" s="24">
        <v>-4.3914800000000002E-5</v>
      </c>
      <c r="R148" s="21">
        <v>138</v>
      </c>
      <c r="S148" s="21">
        <v>0.59457400000000005</v>
      </c>
      <c r="T148">
        <f t="shared" si="26"/>
        <v>5.42158024691358E-2</v>
      </c>
      <c r="U148">
        <f t="shared" si="27"/>
        <v>3.2255149520987653E-2</v>
      </c>
      <c r="X148" s="9"/>
      <c r="Y148" s="21">
        <v>0.50506600000000001</v>
      </c>
      <c r="Z148" s="21">
        <v>13.3863</v>
      </c>
      <c r="AA148" s="24">
        <v>-5.4412800000000002E-5</v>
      </c>
      <c r="AB148" s="21">
        <v>138</v>
      </c>
      <c r="AC148" s="21">
        <v>0.50476100000000002</v>
      </c>
      <c r="AD148">
        <f t="shared" si="28"/>
        <v>6.717629629629629E-2</v>
      </c>
      <c r="AE148">
        <f t="shared" si="29"/>
        <v>3.3928463265185185E-2</v>
      </c>
      <c r="AF148" s="9"/>
      <c r="AG148" s="21">
        <v>0.59494000000000002</v>
      </c>
      <c r="AH148" s="21">
        <v>16.007000000000001</v>
      </c>
      <c r="AI148" s="24">
        <v>-4.1412399999999997E-5</v>
      </c>
      <c r="AJ148" s="21">
        <v>138</v>
      </c>
      <c r="AK148" s="21">
        <v>0.59460400000000002</v>
      </c>
      <c r="AL148">
        <f t="shared" si="30"/>
        <v>5.1126419753086412E-2</v>
      </c>
      <c r="AM148">
        <f t="shared" si="31"/>
        <v>3.041715216790123E-2</v>
      </c>
      <c r="AP148" s="9"/>
      <c r="AQ148" s="21">
        <v>0.50506600000000001</v>
      </c>
      <c r="AR148" s="21">
        <v>20.3095</v>
      </c>
      <c r="AS148" s="24">
        <v>-5.22766E-5</v>
      </c>
      <c r="AT148" s="21">
        <v>138</v>
      </c>
      <c r="AU148" s="21">
        <v>0.50470000000000004</v>
      </c>
      <c r="AV148">
        <f t="shared" si="32"/>
        <v>6.4539012345679006E-2</v>
      </c>
      <c r="AW148">
        <f t="shared" si="33"/>
        <v>3.2596460809382714E-2</v>
      </c>
      <c r="AX148" s="9"/>
      <c r="AY148" s="21">
        <v>0.59494000000000002</v>
      </c>
      <c r="AZ148" s="21">
        <v>22.930199999999999</v>
      </c>
      <c r="BA148" s="24">
        <v>-3.9886499999999998E-5</v>
      </c>
      <c r="BB148" s="21">
        <v>138</v>
      </c>
      <c r="BC148" s="21">
        <v>0.59451299999999996</v>
      </c>
      <c r="BD148">
        <f t="shared" si="34"/>
        <v>4.9242592592592588E-2</v>
      </c>
      <c r="BE148">
        <f t="shared" si="35"/>
        <v>2.9296388037037036E-2</v>
      </c>
      <c r="BH148" s="9"/>
      <c r="BI148" s="21"/>
      <c r="BJ148" s="21"/>
      <c r="BK148" s="21"/>
      <c r="BL148" s="21"/>
      <c r="BM148" s="21"/>
      <c r="BP148" s="9"/>
      <c r="BQ148" s="21"/>
      <c r="BR148" s="21"/>
      <c r="BS148" s="21"/>
      <c r="BT148" s="21"/>
      <c r="BU148" s="21"/>
      <c r="BZ148" s="9"/>
      <c r="CA148" s="21"/>
      <c r="CB148" s="21"/>
      <c r="CC148" s="21"/>
      <c r="CD148" s="21"/>
      <c r="CE148" s="21"/>
      <c r="CH148" s="9"/>
      <c r="CI148" s="21"/>
      <c r="CJ148" s="21"/>
      <c r="CK148" s="21"/>
      <c r="CL148" s="21"/>
      <c r="CM148" s="21"/>
      <c r="CR148" s="9"/>
      <c r="CS148" s="21"/>
      <c r="CT148" s="21"/>
      <c r="CU148" s="21"/>
      <c r="CV148" s="21"/>
      <c r="CW148" s="21"/>
      <c r="CZ148" s="9"/>
      <c r="DA148" s="21"/>
      <c r="DB148" s="21"/>
      <c r="DC148" s="21"/>
      <c r="DD148" s="21"/>
      <c r="DE148" s="21"/>
      <c r="DJ148" s="9"/>
      <c r="DK148" s="21"/>
      <c r="DL148" s="21"/>
      <c r="DM148" s="21"/>
      <c r="DN148" s="21"/>
      <c r="DO148" s="21"/>
      <c r="DR148" s="9"/>
      <c r="DS148" s="21"/>
      <c r="DT148" s="21"/>
      <c r="DU148" s="21"/>
      <c r="DV148" s="21"/>
      <c r="DW148" s="21"/>
      <c r="EB148" s="9"/>
      <c r="EC148" s="21"/>
      <c r="ED148" s="21"/>
      <c r="EE148" s="21"/>
      <c r="EF148" s="21"/>
      <c r="EG148" s="21"/>
      <c r="EJ148" s="9"/>
      <c r="EK148" s="21"/>
      <c r="EL148" s="21"/>
      <c r="EM148" s="21"/>
      <c r="EN148" s="21"/>
      <c r="EO148" s="21"/>
      <c r="ET148" s="21"/>
      <c r="EU148" s="21"/>
      <c r="EV148" s="21"/>
      <c r="EW148" s="21"/>
      <c r="EX148" s="21"/>
      <c r="FA148" s="9"/>
      <c r="FB148" s="21"/>
      <c r="FC148" s="21"/>
      <c r="FD148" s="21"/>
      <c r="FE148" s="21"/>
      <c r="FF148" s="21"/>
    </row>
    <row r="149" spans="6:162" x14ac:dyDescent="0.25">
      <c r="F149" s="9"/>
      <c r="G149" s="21">
        <v>0.500031</v>
      </c>
      <c r="H149" s="21">
        <v>6.4151899999999999</v>
      </c>
      <c r="I149" s="24">
        <v>-6.0546900000000001E-5</v>
      </c>
      <c r="J149" s="21">
        <v>139</v>
      </c>
      <c r="K149" s="21">
        <v>0.49972499999999997</v>
      </c>
      <c r="L149">
        <f t="shared" si="24"/>
        <v>7.4749259259259251E-2</v>
      </c>
      <c r="M149">
        <f t="shared" si="25"/>
        <v>3.7376946856666662E-2</v>
      </c>
      <c r="N149" s="9"/>
      <c r="O149" s="21">
        <v>0.59997599999999995</v>
      </c>
      <c r="P149" s="21">
        <v>9.0359300000000005</v>
      </c>
      <c r="Q149" s="24">
        <v>-4.3670700000000002E-5</v>
      </c>
      <c r="R149" s="21">
        <v>139</v>
      </c>
      <c r="S149" s="21">
        <v>0.59967000000000004</v>
      </c>
      <c r="T149">
        <f t="shared" si="26"/>
        <v>5.3914444444444445E-2</v>
      </c>
      <c r="U149">
        <f t="shared" si="27"/>
        <v>3.2347372719999996E-2</v>
      </c>
      <c r="X149" s="9"/>
      <c r="Y149" s="21">
        <v>0.500031</v>
      </c>
      <c r="Z149" s="21">
        <v>13.3964</v>
      </c>
      <c r="AA149" s="24">
        <v>-5.4657000000000002E-5</v>
      </c>
      <c r="AB149" s="21">
        <v>139</v>
      </c>
      <c r="AC149" s="21">
        <v>0.499664</v>
      </c>
      <c r="AD149">
        <f t="shared" si="28"/>
        <v>6.7477777777777775E-2</v>
      </c>
      <c r="AE149">
        <f t="shared" si="29"/>
        <v>3.3740980699999999E-2</v>
      </c>
      <c r="AF149" s="9"/>
      <c r="AG149" s="21">
        <v>0.59997599999999995</v>
      </c>
      <c r="AH149" s="21">
        <v>16.017099999999999</v>
      </c>
      <c r="AI149" s="24">
        <v>-4.1229200000000002E-5</v>
      </c>
      <c r="AJ149" s="21">
        <v>139</v>
      </c>
      <c r="AK149" s="21">
        <v>0.59963999999999995</v>
      </c>
      <c r="AL149">
        <f t="shared" si="30"/>
        <v>5.0900246913580242E-2</v>
      </c>
      <c r="AM149">
        <f t="shared" si="31"/>
        <v>3.0538926542222216E-2</v>
      </c>
      <c r="AP149" s="9"/>
      <c r="AQ149" s="21">
        <v>0.500031</v>
      </c>
      <c r="AR149" s="21">
        <v>20.319500000000001</v>
      </c>
      <c r="AS149" s="24">
        <v>-5.2307099999999999E-5</v>
      </c>
      <c r="AT149" s="21">
        <v>139</v>
      </c>
      <c r="AU149" s="21">
        <v>0.49972499999999997</v>
      </c>
      <c r="AV149">
        <f t="shared" si="32"/>
        <v>6.4576666666666671E-2</v>
      </c>
      <c r="AW149">
        <f t="shared" si="33"/>
        <v>3.229033521E-2</v>
      </c>
      <c r="AX149" s="9"/>
      <c r="AY149" s="21">
        <v>0.59997599999999995</v>
      </c>
      <c r="AZ149" s="21">
        <v>22.940300000000001</v>
      </c>
      <c r="BA149" s="24">
        <v>-3.9886499999999998E-5</v>
      </c>
      <c r="BB149" s="21">
        <v>139</v>
      </c>
      <c r="BC149" s="21">
        <v>0.59970100000000004</v>
      </c>
      <c r="BD149">
        <f t="shared" si="34"/>
        <v>4.9242592592592588E-2</v>
      </c>
      <c r="BE149">
        <f t="shared" si="35"/>
        <v>2.9544373733333327E-2</v>
      </c>
      <c r="BH149" s="9"/>
      <c r="BI149" s="21"/>
      <c r="BJ149" s="21"/>
      <c r="BK149" s="21"/>
      <c r="BL149" s="21"/>
      <c r="BM149" s="21"/>
      <c r="BP149" s="9"/>
      <c r="BQ149" s="21"/>
      <c r="BR149" s="21"/>
      <c r="BS149" s="21"/>
      <c r="BT149" s="21"/>
      <c r="BU149" s="21"/>
      <c r="BZ149" s="9"/>
      <c r="CA149" s="21"/>
      <c r="CB149" s="21"/>
      <c r="CC149" s="21"/>
      <c r="CD149" s="21"/>
      <c r="CE149" s="21"/>
      <c r="CH149" s="9"/>
      <c r="CI149" s="21"/>
      <c r="CJ149" s="21"/>
      <c r="CK149" s="21"/>
      <c r="CL149" s="21"/>
      <c r="CM149" s="21"/>
      <c r="CR149" s="9"/>
      <c r="CS149" s="21"/>
      <c r="CT149" s="21"/>
      <c r="CU149" s="21"/>
      <c r="CV149" s="21"/>
      <c r="CW149" s="21"/>
      <c r="CZ149" s="9"/>
      <c r="DA149" s="21"/>
      <c r="DB149" s="21"/>
      <c r="DC149" s="21"/>
      <c r="DD149" s="21"/>
      <c r="DE149" s="21"/>
      <c r="DJ149" s="9"/>
      <c r="DK149" s="21"/>
      <c r="DL149" s="21"/>
      <c r="DM149" s="21"/>
      <c r="DN149" s="21"/>
      <c r="DO149" s="21"/>
      <c r="DR149" s="9"/>
      <c r="DS149" s="21"/>
      <c r="DT149" s="21"/>
      <c r="DU149" s="21"/>
      <c r="DV149" s="21"/>
      <c r="DW149" s="21"/>
      <c r="EB149" s="9"/>
      <c r="EC149" s="21"/>
      <c r="ED149" s="21"/>
      <c r="EE149" s="21"/>
      <c r="EF149" s="21"/>
      <c r="EG149" s="21"/>
      <c r="EJ149" s="9"/>
      <c r="EK149" s="21"/>
      <c r="EL149" s="21"/>
      <c r="EM149" s="21"/>
      <c r="EN149" s="21"/>
      <c r="EO149" s="21"/>
      <c r="ET149" s="21"/>
      <c r="EU149" s="21"/>
      <c r="EV149" s="21"/>
      <c r="EW149" s="21"/>
      <c r="EX149" s="21"/>
      <c r="FA149" s="9"/>
      <c r="FB149" s="21"/>
      <c r="FC149" s="21"/>
      <c r="FD149" s="21"/>
      <c r="FE149" s="21"/>
      <c r="FF149" s="21"/>
    </row>
    <row r="150" spans="6:162" x14ac:dyDescent="0.25">
      <c r="F150" s="9"/>
      <c r="G150" s="21">
        <v>0.49499500000000002</v>
      </c>
      <c r="H150" s="21">
        <v>6.4252599999999997</v>
      </c>
      <c r="I150" s="24">
        <v>-6.0791000000000001E-5</v>
      </c>
      <c r="J150" s="21">
        <v>140</v>
      </c>
      <c r="K150" s="21">
        <v>0.49465900000000002</v>
      </c>
      <c r="L150">
        <f t="shared" si="24"/>
        <v>7.5050617283950627E-2</v>
      </c>
      <c r="M150">
        <f t="shared" si="25"/>
        <v>3.7149680302469144E-2</v>
      </c>
      <c r="N150" s="9"/>
      <c r="O150" s="21">
        <v>0.60501099999999997</v>
      </c>
      <c r="P150" s="21">
        <v>9.0459999999999994</v>
      </c>
      <c r="Q150" s="24">
        <v>-4.34875E-5</v>
      </c>
      <c r="R150" s="21">
        <v>140</v>
      </c>
      <c r="S150" s="21">
        <v>0.60464499999999999</v>
      </c>
      <c r="T150">
        <f t="shared" si="26"/>
        <v>5.3688271604938269E-2</v>
      </c>
      <c r="U150">
        <f t="shared" si="27"/>
        <v>3.2481994891975306E-2</v>
      </c>
      <c r="X150" s="9"/>
      <c r="Y150" s="21">
        <v>0.49499500000000002</v>
      </c>
      <c r="Z150" s="21">
        <v>13.4064</v>
      </c>
      <c r="AA150" s="24">
        <v>-5.4748499999999999E-5</v>
      </c>
      <c r="AB150" s="21">
        <v>140</v>
      </c>
      <c r="AC150" s="21">
        <v>0.49465900000000002</v>
      </c>
      <c r="AD150">
        <f t="shared" si="28"/>
        <v>6.7590740740740743E-2</v>
      </c>
      <c r="AE150">
        <f t="shared" si="29"/>
        <v>3.3457078712962968E-2</v>
      </c>
      <c r="AF150" s="9"/>
      <c r="AG150" s="21">
        <v>0.60501099999999997</v>
      </c>
      <c r="AH150" s="21">
        <v>16.027200000000001</v>
      </c>
      <c r="AI150" s="24">
        <v>-4.10461E-5</v>
      </c>
      <c r="AJ150" s="21">
        <v>140</v>
      </c>
      <c r="AK150" s="21">
        <v>0.60467499999999996</v>
      </c>
      <c r="AL150">
        <f t="shared" si="30"/>
        <v>5.067419753086419E-2</v>
      </c>
      <c r="AM150">
        <f t="shared" si="31"/>
        <v>3.0658446922345674E-2</v>
      </c>
      <c r="AP150" s="9"/>
      <c r="AQ150" s="21">
        <v>0.49499500000000002</v>
      </c>
      <c r="AR150" s="21">
        <v>20.329599999999999</v>
      </c>
      <c r="AS150" s="24">
        <v>-5.2581799999999999E-5</v>
      </c>
      <c r="AT150" s="21">
        <v>140</v>
      </c>
      <c r="AU150" s="21">
        <v>0.49459799999999998</v>
      </c>
      <c r="AV150">
        <f t="shared" si="32"/>
        <v>6.4915802469135808E-2</v>
      </c>
      <c r="AW150">
        <f t="shared" si="33"/>
        <v>3.2132997643209878E-2</v>
      </c>
      <c r="AX150" s="9"/>
      <c r="AY150" s="21">
        <v>0.60501099999999997</v>
      </c>
      <c r="AZ150" s="21">
        <v>22.950399999999998</v>
      </c>
      <c r="BA150" s="24">
        <v>-3.9764400000000002E-5</v>
      </c>
      <c r="BB150" s="21">
        <v>140</v>
      </c>
      <c r="BC150" s="21">
        <v>0.60467499999999996</v>
      </c>
      <c r="BD150">
        <f t="shared" si="34"/>
        <v>4.9091851851851852E-2</v>
      </c>
      <c r="BE150">
        <f t="shared" si="35"/>
        <v>2.970111038074074E-2</v>
      </c>
      <c r="BH150" s="9"/>
      <c r="BI150" s="21"/>
      <c r="BJ150" s="21"/>
      <c r="BK150" s="21"/>
      <c r="BL150" s="21"/>
      <c r="BM150" s="21"/>
      <c r="BP150" s="9"/>
      <c r="BQ150" s="21"/>
      <c r="BR150" s="21"/>
      <c r="BS150" s="21"/>
      <c r="BT150" s="21"/>
      <c r="BU150" s="21"/>
      <c r="BZ150" s="9"/>
      <c r="CA150" s="21"/>
      <c r="CB150" s="21"/>
      <c r="CC150" s="21"/>
      <c r="CD150" s="21"/>
      <c r="CE150" s="21"/>
      <c r="CH150" s="9"/>
      <c r="CI150" s="21"/>
      <c r="CJ150" s="21"/>
      <c r="CK150" s="21"/>
      <c r="CL150" s="21"/>
      <c r="CM150" s="21"/>
      <c r="CR150" s="9"/>
      <c r="CS150" s="21"/>
      <c r="CT150" s="21"/>
      <c r="CU150" s="21"/>
      <c r="CV150" s="21"/>
      <c r="CW150" s="21"/>
      <c r="CZ150" s="9"/>
      <c r="DA150" s="21"/>
      <c r="DB150" s="21"/>
      <c r="DC150" s="21"/>
      <c r="DD150" s="21"/>
      <c r="DE150" s="21"/>
      <c r="DJ150" s="9"/>
      <c r="DK150" s="21"/>
      <c r="DL150" s="21"/>
      <c r="DM150" s="21"/>
      <c r="DN150" s="21"/>
      <c r="DO150" s="21"/>
      <c r="DR150" s="9"/>
      <c r="DS150" s="21"/>
      <c r="DT150" s="21"/>
      <c r="DU150" s="21"/>
      <c r="DV150" s="21"/>
      <c r="DW150" s="21"/>
      <c r="EB150" s="9"/>
      <c r="EC150" s="21"/>
      <c r="ED150" s="21"/>
      <c r="EE150" s="21"/>
      <c r="EF150" s="21"/>
      <c r="EG150" s="21"/>
      <c r="EJ150" s="9"/>
      <c r="EK150" s="21"/>
      <c r="EL150" s="21"/>
      <c r="EM150" s="21"/>
      <c r="EN150" s="21"/>
      <c r="EO150" s="21"/>
      <c r="ET150" s="21"/>
      <c r="EU150" s="21"/>
      <c r="EV150" s="21"/>
      <c r="EW150" s="21"/>
      <c r="EX150" s="21"/>
      <c r="FA150" s="9"/>
      <c r="FB150" s="21"/>
      <c r="FC150" s="21"/>
      <c r="FD150" s="21"/>
      <c r="FE150" s="21"/>
      <c r="FF150" s="21"/>
    </row>
    <row r="151" spans="6:162" x14ac:dyDescent="0.25">
      <c r="F151" s="9"/>
      <c r="G151" s="21">
        <v>0.48996000000000001</v>
      </c>
      <c r="H151" s="21">
        <v>6.4353300000000004</v>
      </c>
      <c r="I151" s="24">
        <v>-6.0974100000000003E-5</v>
      </c>
      <c r="J151" s="21">
        <v>141</v>
      </c>
      <c r="K151" s="21">
        <v>0.48965500000000001</v>
      </c>
      <c r="L151">
        <f t="shared" si="24"/>
        <v>7.5276666666666672E-2</v>
      </c>
      <c r="M151">
        <f t="shared" si="25"/>
        <v>3.6882555600000005E-2</v>
      </c>
      <c r="N151" s="9"/>
      <c r="O151" s="21">
        <v>0.61004599999999998</v>
      </c>
      <c r="P151" s="21">
        <v>9.0560700000000001</v>
      </c>
      <c r="Q151" s="24">
        <v>-4.3396000000000003E-5</v>
      </c>
      <c r="R151" s="21">
        <v>141</v>
      </c>
      <c r="S151" s="21">
        <v>0.60968</v>
      </c>
      <c r="T151">
        <f t="shared" si="26"/>
        <v>5.3575308641975308E-2</v>
      </c>
      <c r="U151">
        <f t="shared" si="27"/>
        <v>3.2683402735802468E-2</v>
      </c>
      <c r="X151" s="9"/>
      <c r="Y151" s="21">
        <v>0.48996000000000001</v>
      </c>
      <c r="Z151" s="21">
        <v>13.416499999999999</v>
      </c>
      <c r="AA151" s="24">
        <v>-5.4870600000000003E-5</v>
      </c>
      <c r="AB151" s="21">
        <v>141</v>
      </c>
      <c r="AC151" s="21">
        <v>0.48965500000000001</v>
      </c>
      <c r="AD151">
        <f t="shared" si="28"/>
        <v>6.7741481481481472E-2</v>
      </c>
      <c r="AE151">
        <f t="shared" si="29"/>
        <v>3.319061626666666E-2</v>
      </c>
      <c r="AF151" s="9"/>
      <c r="AG151" s="21">
        <v>0.61004599999999998</v>
      </c>
      <c r="AH151" s="21">
        <v>16.037199999999999</v>
      </c>
      <c r="AI151" s="24">
        <v>-4.0893599999999998E-5</v>
      </c>
      <c r="AJ151" s="21">
        <v>141</v>
      </c>
      <c r="AK151" s="21">
        <v>0.60961900000000002</v>
      </c>
      <c r="AL151">
        <f t="shared" si="30"/>
        <v>5.048592592592592E-2</v>
      </c>
      <c r="AM151">
        <f t="shared" si="31"/>
        <v>3.0798737167407404E-2</v>
      </c>
      <c r="AP151" s="9"/>
      <c r="AQ151" s="21">
        <v>0.48996000000000001</v>
      </c>
      <c r="AR151" s="21">
        <v>20.339700000000001</v>
      </c>
      <c r="AS151" s="24">
        <v>-5.2581799999999999E-5</v>
      </c>
      <c r="AT151" s="21">
        <v>141</v>
      </c>
      <c r="AU151" s="21">
        <v>0.489624</v>
      </c>
      <c r="AV151">
        <f t="shared" si="32"/>
        <v>6.4915802469135808E-2</v>
      </c>
      <c r="AW151">
        <f t="shared" si="33"/>
        <v>3.1806146577777784E-2</v>
      </c>
      <c r="AX151" s="9"/>
      <c r="AY151" s="21">
        <v>0.61004599999999998</v>
      </c>
      <c r="AZ151" s="21">
        <v>22.9604</v>
      </c>
      <c r="BA151" s="24">
        <v>-3.9703399999999997E-5</v>
      </c>
      <c r="BB151" s="21">
        <v>141</v>
      </c>
      <c r="BC151" s="21">
        <v>0.609711</v>
      </c>
      <c r="BD151">
        <f t="shared" si="34"/>
        <v>4.9016543209876536E-2</v>
      </c>
      <c r="BE151">
        <f t="shared" si="35"/>
        <v>2.9902346119012341E-2</v>
      </c>
      <c r="BH151" s="9"/>
      <c r="BI151" s="21"/>
      <c r="BJ151" s="21"/>
      <c r="BK151" s="21"/>
      <c r="BL151" s="21"/>
      <c r="BM151" s="21"/>
      <c r="BP151" s="9"/>
      <c r="BQ151" s="21"/>
      <c r="BR151" s="21"/>
      <c r="BS151" s="21"/>
      <c r="BT151" s="21"/>
      <c r="BU151" s="21"/>
      <c r="BZ151" s="9"/>
      <c r="CA151" s="21"/>
      <c r="CB151" s="21"/>
      <c r="CC151" s="21"/>
      <c r="CD151" s="21"/>
      <c r="CE151" s="21"/>
      <c r="CH151" s="9"/>
      <c r="CI151" s="21"/>
      <c r="CJ151" s="21"/>
      <c r="CK151" s="21"/>
      <c r="CL151" s="21"/>
      <c r="CM151" s="21"/>
      <c r="CR151" s="9"/>
      <c r="CS151" s="21"/>
      <c r="CT151" s="21"/>
      <c r="CU151" s="21"/>
      <c r="CV151" s="21"/>
      <c r="CW151" s="21"/>
      <c r="CZ151" s="9"/>
      <c r="DA151" s="21"/>
      <c r="DB151" s="21"/>
      <c r="DC151" s="21"/>
      <c r="DD151" s="21"/>
      <c r="DE151" s="21"/>
      <c r="DJ151" s="9"/>
      <c r="DK151" s="21"/>
      <c r="DL151" s="21"/>
      <c r="DM151" s="21"/>
      <c r="DN151" s="21"/>
      <c r="DO151" s="21"/>
      <c r="DR151" s="9"/>
      <c r="DS151" s="21"/>
      <c r="DT151" s="21"/>
      <c r="DU151" s="21"/>
      <c r="DV151" s="21"/>
      <c r="DW151" s="21"/>
      <c r="EB151" s="9"/>
      <c r="EC151" s="21"/>
      <c r="ED151" s="21"/>
      <c r="EE151" s="21"/>
      <c r="EF151" s="21"/>
      <c r="EG151" s="21"/>
      <c r="EJ151" s="9"/>
      <c r="EK151" s="21"/>
      <c r="EL151" s="21"/>
      <c r="EM151" s="21"/>
      <c r="EN151" s="21"/>
      <c r="EO151" s="21"/>
      <c r="ET151" s="21"/>
      <c r="EU151" s="21"/>
      <c r="EV151" s="21"/>
      <c r="EW151" s="21"/>
      <c r="EX151" s="21"/>
      <c r="FA151" s="9"/>
      <c r="FB151" s="21"/>
      <c r="FC151" s="21"/>
      <c r="FD151" s="21"/>
      <c r="FE151" s="21"/>
      <c r="FF151" s="21"/>
    </row>
    <row r="152" spans="6:162" x14ac:dyDescent="0.25">
      <c r="F152" s="9"/>
      <c r="G152" s="21">
        <v>0.48492400000000002</v>
      </c>
      <c r="H152" s="21">
        <v>6.4454000000000002</v>
      </c>
      <c r="I152" s="24">
        <v>-6.1126700000000005E-5</v>
      </c>
      <c r="J152" s="21">
        <v>142</v>
      </c>
      <c r="K152" s="21">
        <v>0.48452800000000001</v>
      </c>
      <c r="L152">
        <f t="shared" si="24"/>
        <v>7.5465061728395066E-2</v>
      </c>
      <c r="M152">
        <f t="shared" si="25"/>
        <v>3.6594819593580248E-2</v>
      </c>
      <c r="N152" s="9"/>
      <c r="O152" s="21">
        <v>0.61508200000000002</v>
      </c>
      <c r="P152" s="21">
        <v>9.0661400000000008</v>
      </c>
      <c r="Q152" s="24">
        <v>-4.3090799999999997E-5</v>
      </c>
      <c r="R152" s="21">
        <v>142</v>
      </c>
      <c r="S152" s="21">
        <v>0.61471600000000004</v>
      </c>
      <c r="T152">
        <f t="shared" si="26"/>
        <v>5.3198518518518513E-2</v>
      </c>
      <c r="U152">
        <f t="shared" si="27"/>
        <v>3.2721451167407406E-2</v>
      </c>
      <c r="X152" s="9"/>
      <c r="Y152" s="21">
        <v>0.48492400000000002</v>
      </c>
      <c r="Z152" s="21">
        <v>13.426600000000001</v>
      </c>
      <c r="AA152" s="24">
        <v>-5.5053699999999998E-5</v>
      </c>
      <c r="AB152" s="21">
        <v>142</v>
      </c>
      <c r="AC152" s="21">
        <v>0.48458899999999999</v>
      </c>
      <c r="AD152">
        <f t="shared" si="28"/>
        <v>6.7967530864197531E-2</v>
      </c>
      <c r="AE152">
        <f t="shared" si="29"/>
        <v>3.2959086936790123E-2</v>
      </c>
      <c r="AF152" s="9"/>
      <c r="AG152" s="21">
        <v>0.61508200000000002</v>
      </c>
      <c r="AH152" s="21">
        <v>16.0473</v>
      </c>
      <c r="AI152" s="24">
        <v>-4.0710400000000002E-5</v>
      </c>
      <c r="AJ152" s="21">
        <v>142</v>
      </c>
      <c r="AK152" s="21">
        <v>0.61480699999999999</v>
      </c>
      <c r="AL152">
        <f t="shared" si="30"/>
        <v>5.0259753086419751E-2</v>
      </c>
      <c r="AM152">
        <f t="shared" si="31"/>
        <v>3.0913869447901234E-2</v>
      </c>
      <c r="AP152" s="9"/>
      <c r="AQ152" s="21">
        <v>0.48492400000000002</v>
      </c>
      <c r="AR152" s="21">
        <v>20.349799999999998</v>
      </c>
      <c r="AS152" s="24">
        <v>-5.2917500000000003E-5</v>
      </c>
      <c r="AT152" s="21">
        <v>142</v>
      </c>
      <c r="AU152" s="21">
        <v>0.48452800000000001</v>
      </c>
      <c r="AV152">
        <f t="shared" si="32"/>
        <v>6.5330246913580248E-2</v>
      </c>
      <c r="AW152">
        <f t="shared" si="33"/>
        <v>3.168020465432099E-2</v>
      </c>
      <c r="AX152" s="9"/>
      <c r="AY152" s="21">
        <v>0.61508200000000002</v>
      </c>
      <c r="AZ152" s="21">
        <v>22.970500000000001</v>
      </c>
      <c r="BA152" s="24">
        <v>-3.9428699999999997E-5</v>
      </c>
      <c r="BB152" s="21">
        <v>142</v>
      </c>
      <c r="BC152" s="21">
        <v>0.61477700000000002</v>
      </c>
      <c r="BD152">
        <f t="shared" si="34"/>
        <v>4.8677407407407398E-2</v>
      </c>
      <c r="BE152">
        <f t="shared" si="35"/>
        <v>2.9940597102962957E-2</v>
      </c>
      <c r="BH152" s="9"/>
      <c r="BI152" s="21"/>
      <c r="BJ152" s="21"/>
      <c r="BK152" s="21"/>
      <c r="BL152" s="21"/>
      <c r="BM152" s="21"/>
      <c r="BP152" s="9"/>
      <c r="BQ152" s="21"/>
      <c r="BR152" s="21"/>
      <c r="BS152" s="21"/>
      <c r="BT152" s="21"/>
      <c r="BU152" s="21"/>
      <c r="BZ152" s="9"/>
      <c r="CA152" s="21"/>
      <c r="CB152" s="21"/>
      <c r="CC152" s="21"/>
      <c r="CD152" s="21"/>
      <c r="CE152" s="21"/>
      <c r="CH152" s="9"/>
      <c r="CI152" s="21"/>
      <c r="CJ152" s="21"/>
      <c r="CK152" s="21"/>
      <c r="CL152" s="21"/>
      <c r="CM152" s="21"/>
      <c r="CR152" s="9"/>
      <c r="CS152" s="21"/>
      <c r="CT152" s="21"/>
      <c r="CU152" s="21"/>
      <c r="CV152" s="21"/>
      <c r="CW152" s="21"/>
      <c r="CZ152" s="9"/>
      <c r="DA152" s="21"/>
      <c r="DB152" s="21"/>
      <c r="DC152" s="21"/>
      <c r="DD152" s="21"/>
      <c r="DE152" s="21"/>
      <c r="DJ152" s="9"/>
      <c r="DK152" s="21"/>
      <c r="DL152" s="21"/>
      <c r="DM152" s="21"/>
      <c r="DN152" s="21"/>
      <c r="DO152" s="21"/>
      <c r="DR152" s="9"/>
      <c r="DS152" s="21"/>
      <c r="DT152" s="21"/>
      <c r="DU152" s="21"/>
      <c r="DV152" s="21"/>
      <c r="DW152" s="21"/>
      <c r="EB152" s="9"/>
      <c r="EC152" s="21"/>
      <c r="ED152" s="21"/>
      <c r="EE152" s="21"/>
      <c r="EF152" s="21"/>
      <c r="EG152" s="21"/>
      <c r="EJ152" s="9"/>
      <c r="EK152" s="21"/>
      <c r="EL152" s="21"/>
      <c r="EM152" s="21"/>
      <c r="EN152" s="21"/>
      <c r="EO152" s="21"/>
      <c r="ET152" s="21"/>
      <c r="EU152" s="21"/>
      <c r="EV152" s="21"/>
      <c r="EW152" s="21"/>
      <c r="EX152" s="21"/>
      <c r="FA152" s="9"/>
      <c r="FB152" s="21"/>
      <c r="FC152" s="21"/>
      <c r="FD152" s="21"/>
      <c r="FE152" s="21"/>
      <c r="FF152" s="21"/>
    </row>
    <row r="153" spans="6:162" x14ac:dyDescent="0.25">
      <c r="F153" s="9"/>
      <c r="G153" s="21">
        <v>0.47988900000000001</v>
      </c>
      <c r="H153" s="21">
        <v>6.45547</v>
      </c>
      <c r="I153" s="24">
        <v>-6.1401400000000005E-5</v>
      </c>
      <c r="J153" s="21">
        <v>143</v>
      </c>
      <c r="K153" s="21">
        <v>0.47949199999999997</v>
      </c>
      <c r="L153">
        <f t="shared" si="24"/>
        <v>7.5804197530864204E-2</v>
      </c>
      <c r="M153">
        <f t="shared" si="25"/>
        <v>3.6377600548888896E-2</v>
      </c>
      <c r="N153" s="9"/>
      <c r="O153" s="21">
        <v>0.62011700000000003</v>
      </c>
      <c r="P153" s="21">
        <v>9.0762099999999997</v>
      </c>
      <c r="Q153" s="24">
        <v>-4.29993E-5</v>
      </c>
      <c r="R153" s="21">
        <v>143</v>
      </c>
      <c r="S153" s="21">
        <v>0.61978100000000003</v>
      </c>
      <c r="T153">
        <f t="shared" si="26"/>
        <v>5.3085555555555552E-2</v>
      </c>
      <c r="U153">
        <f t="shared" si="27"/>
        <v>3.2919255454444442E-2</v>
      </c>
      <c r="X153" s="9"/>
      <c r="Y153" s="21">
        <v>0.47988900000000001</v>
      </c>
      <c r="Z153" s="21">
        <v>13.4366</v>
      </c>
      <c r="AA153" s="24">
        <v>-5.5267299999999999E-5</v>
      </c>
      <c r="AB153" s="21">
        <v>143</v>
      </c>
      <c r="AC153" s="21">
        <v>0.47952299999999998</v>
      </c>
      <c r="AD153">
        <f t="shared" si="28"/>
        <v>6.8231234567901228E-2</v>
      </c>
      <c r="AE153">
        <f t="shared" si="29"/>
        <v>3.2743418925555552E-2</v>
      </c>
      <c r="AF153" s="9"/>
      <c r="AG153" s="21">
        <v>0.62011700000000003</v>
      </c>
      <c r="AH153" s="21">
        <v>16.057400000000001</v>
      </c>
      <c r="AI153" s="24">
        <v>-4.0588399999999999E-5</v>
      </c>
      <c r="AJ153" s="21">
        <v>143</v>
      </c>
      <c r="AK153" s="21">
        <v>0.61978100000000003</v>
      </c>
      <c r="AL153">
        <f t="shared" si="30"/>
        <v>5.0109135802469132E-2</v>
      </c>
      <c r="AM153">
        <f t="shared" si="31"/>
        <v>3.1073526966419754E-2</v>
      </c>
      <c r="AP153" s="9"/>
      <c r="AQ153" s="21">
        <v>0.47988900000000001</v>
      </c>
      <c r="AR153" s="21">
        <v>20.3598</v>
      </c>
      <c r="AS153" s="24">
        <v>-5.30396E-5</v>
      </c>
      <c r="AT153" s="21">
        <v>143</v>
      </c>
      <c r="AU153" s="21">
        <v>0.47961399999999998</v>
      </c>
      <c r="AV153">
        <f t="shared" si="32"/>
        <v>6.5480987654320991E-2</v>
      </c>
      <c r="AW153">
        <f t="shared" si="33"/>
        <v>3.1423605684444446E-2</v>
      </c>
      <c r="AX153" s="9"/>
      <c r="AY153" s="21">
        <v>0.62011700000000003</v>
      </c>
      <c r="AZ153" s="21">
        <v>22.980599999999999</v>
      </c>
      <c r="BA153" s="24">
        <v>-3.9245600000000002E-5</v>
      </c>
      <c r="BB153" s="21">
        <v>143</v>
      </c>
      <c r="BC153" s="21">
        <v>0.61968999999999996</v>
      </c>
      <c r="BD153">
        <f t="shared" si="34"/>
        <v>4.8451358024691353E-2</v>
      </c>
      <c r="BE153">
        <f t="shared" si="35"/>
        <v>3.0045510784197531E-2</v>
      </c>
      <c r="BH153" s="9"/>
      <c r="BI153" s="21"/>
      <c r="BJ153" s="21"/>
      <c r="BK153" s="21"/>
      <c r="BL153" s="21"/>
      <c r="BM153" s="21"/>
      <c r="BP153" s="9"/>
      <c r="BQ153" s="21"/>
      <c r="BR153" s="21"/>
      <c r="BS153" s="21"/>
      <c r="BT153" s="21"/>
      <c r="BU153" s="21"/>
      <c r="BZ153" s="9"/>
      <c r="CA153" s="21"/>
      <c r="CB153" s="21"/>
      <c r="CC153" s="21"/>
      <c r="CD153" s="21"/>
      <c r="CE153" s="21"/>
      <c r="CH153" s="9"/>
      <c r="CI153" s="21"/>
      <c r="CJ153" s="21"/>
      <c r="CK153" s="21"/>
      <c r="CL153" s="21"/>
      <c r="CM153" s="21"/>
      <c r="CR153" s="9"/>
      <c r="CS153" s="21"/>
      <c r="CT153" s="21"/>
      <c r="CU153" s="21"/>
      <c r="CV153" s="21"/>
      <c r="CW153" s="21"/>
      <c r="CZ153" s="9"/>
      <c r="DA153" s="21"/>
      <c r="DB153" s="21"/>
      <c r="DC153" s="21"/>
      <c r="DD153" s="21"/>
      <c r="DE153" s="21"/>
      <c r="DJ153" s="9"/>
      <c r="DK153" s="21"/>
      <c r="DL153" s="21"/>
      <c r="DM153" s="21"/>
      <c r="DN153" s="21"/>
      <c r="DO153" s="21"/>
      <c r="DR153" s="9"/>
      <c r="DS153" s="21"/>
      <c r="DT153" s="21"/>
      <c r="DU153" s="21"/>
      <c r="DV153" s="21"/>
      <c r="DW153" s="21"/>
      <c r="EB153" s="9"/>
      <c r="EC153" s="21"/>
      <c r="ED153" s="21"/>
      <c r="EE153" s="21"/>
      <c r="EF153" s="21"/>
      <c r="EG153" s="21"/>
      <c r="EJ153" s="9"/>
      <c r="EK153" s="21"/>
      <c r="EL153" s="21"/>
      <c r="EM153" s="21"/>
      <c r="EN153" s="21"/>
      <c r="EO153" s="21"/>
      <c r="ET153" s="21"/>
      <c r="EU153" s="21"/>
      <c r="EV153" s="21"/>
      <c r="EW153" s="21"/>
      <c r="EX153" s="21"/>
      <c r="FA153" s="9"/>
      <c r="FB153" s="21"/>
      <c r="FC153" s="21"/>
      <c r="FD153" s="21"/>
      <c r="FE153" s="21"/>
      <c r="FF153" s="21"/>
    </row>
    <row r="154" spans="6:162" x14ac:dyDescent="0.25">
      <c r="F154" s="9"/>
      <c r="G154" s="21">
        <v>0.474854</v>
      </c>
      <c r="H154" s="21">
        <v>6.4655399999999998</v>
      </c>
      <c r="I154" s="24">
        <v>-6.1645500000000005E-5</v>
      </c>
      <c r="J154" s="21">
        <v>144</v>
      </c>
      <c r="K154" s="21">
        <v>0.47454800000000003</v>
      </c>
      <c r="L154">
        <f t="shared" si="24"/>
        <v>7.6105555555555551E-2</v>
      </c>
      <c r="M154">
        <f t="shared" si="25"/>
        <v>3.6139027477777773E-2</v>
      </c>
      <c r="N154" s="9"/>
      <c r="O154" s="21">
        <v>0.62515299999999996</v>
      </c>
      <c r="P154" s="21">
        <v>9.0862800000000004</v>
      </c>
      <c r="Q154" s="24">
        <v>-4.2816199999999998E-5</v>
      </c>
      <c r="R154" s="21">
        <v>144</v>
      </c>
      <c r="S154" s="21">
        <v>0.62478599999999995</v>
      </c>
      <c r="T154">
        <f t="shared" si="26"/>
        <v>5.28595061728395E-2</v>
      </c>
      <c r="U154">
        <f t="shared" si="27"/>
        <v>3.3045278862469128E-2</v>
      </c>
      <c r="X154" s="9"/>
      <c r="Y154" s="21">
        <v>0.474854</v>
      </c>
      <c r="Z154" s="21">
        <v>13.4467</v>
      </c>
      <c r="AA154" s="24">
        <v>-5.54504E-5</v>
      </c>
      <c r="AB154" s="21">
        <v>144</v>
      </c>
      <c r="AC154" s="21">
        <v>0.47448699999999999</v>
      </c>
      <c r="AD154">
        <f t="shared" si="28"/>
        <v>6.8457283950617273E-2</v>
      </c>
      <c r="AE154">
        <f t="shared" si="29"/>
        <v>3.2507215113086414E-2</v>
      </c>
      <c r="AF154" s="9"/>
      <c r="AG154" s="21">
        <v>0.62515299999999996</v>
      </c>
      <c r="AH154" s="21">
        <v>16.067499999999999</v>
      </c>
      <c r="AI154" s="24">
        <v>-4.0374799999999998E-5</v>
      </c>
      <c r="AJ154" s="21">
        <v>144</v>
      </c>
      <c r="AK154" s="21">
        <v>0.62484700000000004</v>
      </c>
      <c r="AL154">
        <f t="shared" si="30"/>
        <v>4.9845432098765428E-2</v>
      </c>
      <c r="AM154">
        <f t="shared" si="31"/>
        <v>3.1161021412839503E-2</v>
      </c>
      <c r="AP154" s="9"/>
      <c r="AQ154" s="21">
        <v>0.474854</v>
      </c>
      <c r="AR154" s="21">
        <v>20.369900000000001</v>
      </c>
      <c r="AS154" s="24">
        <v>-5.3131099999999997E-5</v>
      </c>
      <c r="AT154" s="21">
        <v>144</v>
      </c>
      <c r="AU154" s="21">
        <v>0.47445700000000002</v>
      </c>
      <c r="AV154">
        <f t="shared" si="32"/>
        <v>6.5593950617283944E-2</v>
      </c>
      <c r="AW154">
        <f t="shared" si="33"/>
        <v>3.1147549826419749E-2</v>
      </c>
      <c r="AX154" s="9"/>
      <c r="AY154" s="21">
        <v>0.62515299999999996</v>
      </c>
      <c r="AZ154" s="21">
        <v>22.990600000000001</v>
      </c>
      <c r="BA154" s="24">
        <v>-3.9032000000000002E-5</v>
      </c>
      <c r="BB154" s="21">
        <v>144</v>
      </c>
      <c r="BC154" s="21">
        <v>0.62475599999999998</v>
      </c>
      <c r="BD154">
        <f t="shared" si="34"/>
        <v>4.8187654320987656E-2</v>
      </c>
      <c r="BE154">
        <f t="shared" si="35"/>
        <v>3.0124656661728394E-2</v>
      </c>
      <c r="BH154" s="9"/>
      <c r="BI154" s="21"/>
      <c r="BJ154" s="21"/>
      <c r="BK154" s="21"/>
      <c r="BL154" s="21"/>
      <c r="BM154" s="21"/>
      <c r="BP154" s="9"/>
      <c r="BQ154" s="21"/>
      <c r="BR154" s="21"/>
      <c r="BS154" s="21"/>
      <c r="BT154" s="21"/>
      <c r="BU154" s="21"/>
      <c r="BZ154" s="9"/>
      <c r="CA154" s="21"/>
      <c r="CB154" s="21"/>
      <c r="CC154" s="21"/>
      <c r="CD154" s="21"/>
      <c r="CE154" s="21"/>
      <c r="CH154" s="9"/>
      <c r="CI154" s="21"/>
      <c r="CJ154" s="21"/>
      <c r="CK154" s="21"/>
      <c r="CL154" s="21"/>
      <c r="CM154" s="21"/>
      <c r="CR154" s="9"/>
      <c r="CS154" s="21"/>
      <c r="CT154" s="21"/>
      <c r="CU154" s="21"/>
      <c r="CV154" s="21"/>
      <c r="CW154" s="21"/>
      <c r="CZ154" s="9"/>
      <c r="DA154" s="21"/>
      <c r="DB154" s="21"/>
      <c r="DC154" s="21"/>
      <c r="DD154" s="21"/>
      <c r="DE154" s="21"/>
      <c r="DJ154" s="9"/>
      <c r="DK154" s="21"/>
      <c r="DL154" s="21"/>
      <c r="DM154" s="21"/>
      <c r="DN154" s="21"/>
      <c r="DO154" s="21"/>
      <c r="DR154" s="9"/>
      <c r="DS154" s="21"/>
      <c r="DT154" s="21"/>
      <c r="DU154" s="21"/>
      <c r="DV154" s="21"/>
      <c r="DW154" s="21"/>
      <c r="EB154" s="9"/>
      <c r="EC154" s="21"/>
      <c r="ED154" s="21"/>
      <c r="EE154" s="21"/>
      <c r="EF154" s="21"/>
      <c r="EG154" s="21"/>
      <c r="EJ154" s="9"/>
      <c r="EK154" s="21"/>
      <c r="EL154" s="21"/>
      <c r="EM154" s="21"/>
      <c r="EN154" s="21"/>
      <c r="EO154" s="21"/>
      <c r="ET154" s="21"/>
      <c r="EU154" s="21"/>
      <c r="EV154" s="21"/>
      <c r="EW154" s="21"/>
      <c r="EX154" s="21"/>
      <c r="FA154" s="9"/>
      <c r="FB154" s="21"/>
      <c r="FC154" s="21"/>
      <c r="FD154" s="21"/>
      <c r="FE154" s="21"/>
      <c r="FF154" s="21"/>
    </row>
    <row r="155" spans="6:162" x14ac:dyDescent="0.25">
      <c r="F155" s="9"/>
      <c r="G155" s="21">
        <v>0.46981800000000001</v>
      </c>
      <c r="H155" s="21">
        <v>6.4756099999999996</v>
      </c>
      <c r="I155" s="24">
        <v>-6.1859099999999999E-5</v>
      </c>
      <c r="J155" s="21">
        <v>145</v>
      </c>
      <c r="K155" s="21">
        <v>0.46954299999999999</v>
      </c>
      <c r="L155">
        <f t="shared" si="24"/>
        <v>7.6369259259259262E-2</v>
      </c>
      <c r="M155">
        <f t="shared" si="25"/>
        <v>3.587965264666667E-2</v>
      </c>
      <c r="N155" s="9"/>
      <c r="O155" s="21">
        <v>0.63018799999999997</v>
      </c>
      <c r="P155" s="21">
        <v>9.0963499999999993</v>
      </c>
      <c r="Q155" s="24">
        <v>-4.2633099999999997E-5</v>
      </c>
      <c r="R155" s="21">
        <v>145</v>
      </c>
      <c r="S155" s="21">
        <v>0.62988299999999997</v>
      </c>
      <c r="T155">
        <f t="shared" si="26"/>
        <v>5.2633456790123448E-2</v>
      </c>
      <c r="U155">
        <f t="shared" si="27"/>
        <v>3.3168972867654314E-2</v>
      </c>
      <c r="X155" s="9"/>
      <c r="Y155" s="21">
        <v>0.46981800000000001</v>
      </c>
      <c r="Z155" s="21">
        <v>13.456799999999999</v>
      </c>
      <c r="AA155" s="24">
        <v>-5.5572499999999997E-5</v>
      </c>
      <c r="AB155" s="21">
        <v>145</v>
      </c>
      <c r="AC155" s="21">
        <v>0.46945199999999998</v>
      </c>
      <c r="AD155">
        <f t="shared" si="28"/>
        <v>6.8608024691358016E-2</v>
      </c>
      <c r="AE155">
        <f t="shared" si="29"/>
        <v>3.223328494444444E-2</v>
      </c>
      <c r="AF155" s="9"/>
      <c r="AG155" s="21">
        <v>0.63018799999999997</v>
      </c>
      <c r="AH155" s="21">
        <v>16.077500000000001</v>
      </c>
      <c r="AI155" s="24">
        <v>-4.0222200000000003E-5</v>
      </c>
      <c r="AJ155" s="21">
        <v>145</v>
      </c>
      <c r="AK155" s="21">
        <v>0.62985199999999997</v>
      </c>
      <c r="AL155">
        <f t="shared" si="30"/>
        <v>4.9657037037037034E-2</v>
      </c>
      <c r="AM155">
        <f t="shared" si="31"/>
        <v>3.129326885629629E-2</v>
      </c>
      <c r="AP155" s="9"/>
      <c r="AQ155" s="21">
        <v>0.46981800000000001</v>
      </c>
      <c r="AR155" s="21">
        <v>20.38</v>
      </c>
      <c r="AS155" s="24">
        <v>-5.32532E-5</v>
      </c>
      <c r="AT155" s="21">
        <v>145</v>
      </c>
      <c r="AU155" s="21">
        <v>0.46951300000000001</v>
      </c>
      <c r="AV155">
        <f t="shared" si="32"/>
        <v>6.5744691358024687E-2</v>
      </c>
      <c r="AW155">
        <f t="shared" si="33"/>
        <v>3.0888039404444442E-2</v>
      </c>
      <c r="AX155" s="9"/>
      <c r="AY155" s="21">
        <v>0.63018799999999997</v>
      </c>
      <c r="AZ155" s="21">
        <v>23.000699999999998</v>
      </c>
      <c r="BA155" s="24">
        <v>-3.8757300000000002E-5</v>
      </c>
      <c r="BB155" s="21">
        <v>145</v>
      </c>
      <c r="BC155" s="21">
        <v>0.62988299999999997</v>
      </c>
      <c r="BD155">
        <f t="shared" si="34"/>
        <v>4.7848518518518519E-2</v>
      </c>
      <c r="BE155">
        <f t="shared" si="35"/>
        <v>3.0153562188148148E-2</v>
      </c>
      <c r="BH155" s="9"/>
      <c r="BI155" s="21"/>
      <c r="BJ155" s="21"/>
      <c r="BK155" s="21"/>
      <c r="BL155" s="21"/>
      <c r="BM155" s="21"/>
      <c r="BP155" s="9"/>
      <c r="BQ155" s="21"/>
      <c r="BR155" s="21"/>
      <c r="BS155" s="21"/>
      <c r="BT155" s="21"/>
      <c r="BU155" s="21"/>
      <c r="BZ155" s="9"/>
      <c r="CA155" s="21"/>
      <c r="CB155" s="21"/>
      <c r="CC155" s="21"/>
      <c r="CD155" s="21"/>
      <c r="CE155" s="21"/>
      <c r="CH155" s="9"/>
      <c r="CI155" s="21"/>
      <c r="CJ155" s="21"/>
      <c r="CK155" s="21"/>
      <c r="CL155" s="21"/>
      <c r="CM155" s="21"/>
      <c r="CR155" s="9"/>
      <c r="CS155" s="21"/>
      <c r="CT155" s="21"/>
      <c r="CU155" s="21"/>
      <c r="CV155" s="21"/>
      <c r="CW155" s="21"/>
      <c r="CZ155" s="9"/>
      <c r="DA155" s="21"/>
      <c r="DB155" s="21"/>
      <c r="DC155" s="21"/>
      <c r="DD155" s="21"/>
      <c r="DE155" s="21"/>
      <c r="DJ155" s="9"/>
      <c r="DK155" s="21"/>
      <c r="DL155" s="21"/>
      <c r="DM155" s="21"/>
      <c r="DN155" s="21"/>
      <c r="DO155" s="21"/>
      <c r="DR155" s="9"/>
      <c r="DS155" s="21"/>
      <c r="DT155" s="21"/>
      <c r="DU155" s="21"/>
      <c r="DV155" s="21"/>
      <c r="DW155" s="21"/>
      <c r="EB155" s="9"/>
      <c r="EC155" s="21"/>
      <c r="ED155" s="21"/>
      <c r="EE155" s="21"/>
      <c r="EF155" s="21"/>
      <c r="EG155" s="21"/>
      <c r="EJ155" s="9"/>
      <c r="EK155" s="21"/>
      <c r="EL155" s="21"/>
      <c r="EM155" s="21"/>
      <c r="EN155" s="21"/>
      <c r="EO155" s="21"/>
      <c r="ET155" s="21"/>
      <c r="EU155" s="21"/>
      <c r="EV155" s="21"/>
      <c r="EW155" s="21"/>
      <c r="EX155" s="21"/>
      <c r="FA155" s="9"/>
      <c r="FB155" s="21"/>
      <c r="FC155" s="21"/>
      <c r="FD155" s="21"/>
      <c r="FE155" s="21"/>
      <c r="FF155" s="21"/>
    </row>
    <row r="156" spans="6:162" x14ac:dyDescent="0.25">
      <c r="F156" s="9"/>
      <c r="G156" s="21">
        <v>0.464783</v>
      </c>
      <c r="H156" s="21">
        <v>6.48569</v>
      </c>
      <c r="I156" s="24">
        <v>-6.20422E-5</v>
      </c>
      <c r="J156" s="21">
        <v>146</v>
      </c>
      <c r="K156" s="21">
        <v>0.46438600000000002</v>
      </c>
      <c r="L156">
        <f t="shared" si="24"/>
        <v>7.6595308641975307E-2</v>
      </c>
      <c r="M156">
        <f t="shared" si="25"/>
        <v>3.560019733654321E-2</v>
      </c>
      <c r="N156" s="9"/>
      <c r="O156" s="21">
        <v>0.63522299999999998</v>
      </c>
      <c r="P156" s="21">
        <v>9.1064299999999996</v>
      </c>
      <c r="Q156" s="24">
        <v>-4.2419400000000003E-5</v>
      </c>
      <c r="R156" s="21">
        <v>146</v>
      </c>
      <c r="S156" s="21">
        <v>0.634857</v>
      </c>
      <c r="T156">
        <f t="shared" si="26"/>
        <v>5.2369629629629627E-2</v>
      </c>
      <c r="U156">
        <f t="shared" si="27"/>
        <v>3.326639324222222E-2</v>
      </c>
      <c r="X156" s="9"/>
      <c r="Y156" s="21">
        <v>0.464783</v>
      </c>
      <c r="Z156" s="21">
        <v>13.466900000000001</v>
      </c>
      <c r="AA156" s="24">
        <v>-5.56946E-5</v>
      </c>
      <c r="AB156" s="21">
        <v>146</v>
      </c>
      <c r="AC156" s="21">
        <v>0.46441700000000002</v>
      </c>
      <c r="AD156">
        <f t="shared" si="28"/>
        <v>6.8758765432098759E-2</v>
      </c>
      <c r="AE156">
        <f t="shared" si="29"/>
        <v>3.1957905273827157E-2</v>
      </c>
      <c r="AF156" s="9"/>
      <c r="AG156" s="21">
        <v>0.63522299999999998</v>
      </c>
      <c r="AH156" s="21">
        <v>16.087599999999998</v>
      </c>
      <c r="AI156" s="24">
        <v>-4.0039100000000001E-5</v>
      </c>
      <c r="AJ156" s="21">
        <v>146</v>
      </c>
      <c r="AK156" s="21">
        <v>0.63491799999999998</v>
      </c>
      <c r="AL156">
        <f t="shared" si="30"/>
        <v>4.9430987654320982E-2</v>
      </c>
      <c r="AM156">
        <f t="shared" si="31"/>
        <v>3.1399700270740738E-2</v>
      </c>
      <c r="AP156" s="9"/>
      <c r="AQ156" s="21">
        <v>0.464783</v>
      </c>
      <c r="AR156" s="21">
        <v>20.39</v>
      </c>
      <c r="AS156" s="24">
        <v>-5.3436300000000002E-5</v>
      </c>
      <c r="AT156" s="21">
        <v>146</v>
      </c>
      <c r="AU156" s="21">
        <v>0.464478</v>
      </c>
      <c r="AV156">
        <f t="shared" si="32"/>
        <v>6.5970740740740733E-2</v>
      </c>
      <c r="AW156">
        <f t="shared" si="33"/>
        <v>3.0662078793703699E-2</v>
      </c>
      <c r="AX156" s="9"/>
      <c r="AY156" s="21">
        <v>0.63522299999999998</v>
      </c>
      <c r="AZ156" s="21">
        <v>23.0108</v>
      </c>
      <c r="BA156" s="24">
        <v>-3.86047E-5</v>
      </c>
      <c r="BB156" s="21">
        <v>146</v>
      </c>
      <c r="BC156" s="21">
        <v>0.63482700000000003</v>
      </c>
      <c r="BD156">
        <f t="shared" si="34"/>
        <v>4.7660123456790118E-2</v>
      </c>
      <c r="BE156">
        <f t="shared" si="35"/>
        <v>3.0274806602592588E-2</v>
      </c>
      <c r="BH156" s="9"/>
      <c r="BI156" s="21"/>
      <c r="BJ156" s="21"/>
      <c r="BK156" s="21"/>
      <c r="BL156" s="21"/>
      <c r="BM156" s="21"/>
      <c r="BP156" s="9"/>
      <c r="BQ156" s="21"/>
      <c r="BR156" s="21"/>
      <c r="BS156" s="21"/>
      <c r="BT156" s="21"/>
      <c r="BU156" s="21"/>
      <c r="BZ156" s="9"/>
      <c r="CA156" s="21"/>
      <c r="CB156" s="21"/>
      <c r="CC156" s="21"/>
      <c r="CD156" s="21"/>
      <c r="CE156" s="21"/>
      <c r="CH156" s="9"/>
      <c r="CI156" s="21"/>
      <c r="CJ156" s="21"/>
      <c r="CK156" s="21"/>
      <c r="CL156" s="21"/>
      <c r="CM156" s="21"/>
      <c r="CR156" s="9"/>
      <c r="CS156" s="21"/>
      <c r="CT156" s="21"/>
      <c r="CU156" s="21"/>
      <c r="CV156" s="21"/>
      <c r="CW156" s="21"/>
      <c r="CZ156" s="9"/>
      <c r="DA156" s="21"/>
      <c r="DB156" s="21"/>
      <c r="DC156" s="21"/>
      <c r="DD156" s="21"/>
      <c r="DE156" s="21"/>
      <c r="DJ156" s="9"/>
      <c r="DK156" s="21"/>
      <c r="DL156" s="21"/>
      <c r="DM156" s="21"/>
      <c r="DN156" s="21"/>
      <c r="DO156" s="21"/>
      <c r="DR156" s="9"/>
      <c r="DS156" s="21"/>
      <c r="DT156" s="21"/>
      <c r="DU156" s="21"/>
      <c r="DV156" s="21"/>
      <c r="DW156" s="21"/>
      <c r="EB156" s="9"/>
      <c r="EC156" s="21"/>
      <c r="ED156" s="21"/>
      <c r="EE156" s="21"/>
      <c r="EF156" s="21"/>
      <c r="EG156" s="21"/>
      <c r="EJ156" s="9"/>
      <c r="EK156" s="21"/>
      <c r="EL156" s="21"/>
      <c r="EM156" s="21"/>
      <c r="EN156" s="21"/>
      <c r="EO156" s="21"/>
      <c r="ET156" s="21"/>
      <c r="EU156" s="21"/>
      <c r="EV156" s="21"/>
      <c r="EW156" s="21"/>
      <c r="EX156" s="21"/>
      <c r="FA156" s="9"/>
      <c r="FB156" s="21"/>
      <c r="FC156" s="21"/>
      <c r="FD156" s="21"/>
      <c r="FE156" s="21"/>
      <c r="FF156" s="21"/>
    </row>
    <row r="157" spans="6:162" x14ac:dyDescent="0.25">
      <c r="F157" s="9"/>
      <c r="G157" s="21">
        <v>0.45974700000000002</v>
      </c>
      <c r="H157" s="21">
        <v>6.4957599999999998</v>
      </c>
      <c r="I157" s="24">
        <v>-6.2194799999999996E-5</v>
      </c>
      <c r="J157" s="21">
        <v>147</v>
      </c>
      <c r="K157" s="21">
        <v>0.45935100000000001</v>
      </c>
      <c r="L157">
        <f t="shared" si="24"/>
        <v>7.6783703703703687E-2</v>
      </c>
      <c r="M157">
        <f t="shared" si="25"/>
        <v>3.530107742666666E-2</v>
      </c>
      <c r="N157" s="9"/>
      <c r="O157" s="21">
        <v>0.64025900000000002</v>
      </c>
      <c r="P157" s="21">
        <v>9.1165000000000003</v>
      </c>
      <c r="Q157" s="24">
        <v>-4.2205800000000002E-5</v>
      </c>
      <c r="R157" s="21">
        <v>147</v>
      </c>
      <c r="S157" s="21">
        <v>0.63986200000000004</v>
      </c>
      <c r="T157">
        <f t="shared" si="26"/>
        <v>5.2105925925925924E-2</v>
      </c>
      <c r="U157">
        <f t="shared" si="27"/>
        <v>3.3361288027407406E-2</v>
      </c>
      <c r="X157" s="9"/>
      <c r="Y157" s="21">
        <v>0.45974700000000002</v>
      </c>
      <c r="Z157" s="21">
        <v>13.476900000000001</v>
      </c>
      <c r="AA157" s="24">
        <v>-5.5755599999999999E-5</v>
      </c>
      <c r="AB157" s="21">
        <v>147</v>
      </c>
      <c r="AC157" s="21">
        <v>0.45941199999999999</v>
      </c>
      <c r="AD157">
        <f t="shared" si="28"/>
        <v>6.8834074074074061E-2</v>
      </c>
      <c r="AE157">
        <f t="shared" si="29"/>
        <v>3.1646259053333327E-2</v>
      </c>
      <c r="AF157" s="9"/>
      <c r="AG157" s="21">
        <v>0.64025900000000002</v>
      </c>
      <c r="AH157" s="21">
        <v>16.0977</v>
      </c>
      <c r="AI157" s="24">
        <v>-3.9855999999999999E-5</v>
      </c>
      <c r="AJ157" s="21">
        <v>147</v>
      </c>
      <c r="AK157" s="21">
        <v>0.63989300000000005</v>
      </c>
      <c r="AL157">
        <f t="shared" si="30"/>
        <v>4.9204938271604937E-2</v>
      </c>
      <c r="AM157">
        <f t="shared" si="31"/>
        <v>3.1503904572839504E-2</v>
      </c>
      <c r="AP157" s="9"/>
      <c r="AQ157" s="21">
        <v>0.45974700000000002</v>
      </c>
      <c r="AR157" s="21">
        <v>20.400099999999998</v>
      </c>
      <c r="AS157" s="24">
        <v>-5.3558299999999998E-5</v>
      </c>
      <c r="AT157" s="21">
        <v>147</v>
      </c>
      <c r="AU157" s="21">
        <v>0.45944200000000002</v>
      </c>
      <c r="AV157">
        <f t="shared" si="32"/>
        <v>6.6121358024691351E-2</v>
      </c>
      <c r="AW157">
        <f t="shared" si="33"/>
        <v>3.0399095987777777E-2</v>
      </c>
      <c r="AX157" s="9"/>
      <c r="AY157" s="21">
        <v>0.64025900000000002</v>
      </c>
      <c r="AZ157" s="21">
        <v>23.020900000000001</v>
      </c>
      <c r="BA157" s="24">
        <v>-3.8421599999999998E-5</v>
      </c>
      <c r="BB157" s="21">
        <v>147</v>
      </c>
      <c r="BC157" s="21">
        <v>0.63992300000000002</v>
      </c>
      <c r="BD157">
        <f t="shared" si="34"/>
        <v>4.7434074074074073E-2</v>
      </c>
      <c r="BE157">
        <f t="shared" si="35"/>
        <v>3.0370092832592593E-2</v>
      </c>
      <c r="BH157" s="9"/>
      <c r="BI157" s="21"/>
      <c r="BJ157" s="21"/>
      <c r="BK157" s="21"/>
      <c r="BL157" s="21"/>
      <c r="BM157" s="21"/>
      <c r="BP157" s="9"/>
      <c r="BQ157" s="21"/>
      <c r="BR157" s="21"/>
      <c r="BS157" s="21"/>
      <c r="BT157" s="21"/>
      <c r="BU157" s="21"/>
      <c r="BZ157" s="9"/>
      <c r="CA157" s="21"/>
      <c r="CB157" s="21"/>
      <c r="CC157" s="21"/>
      <c r="CD157" s="21"/>
      <c r="CE157" s="21"/>
      <c r="CH157" s="9"/>
      <c r="CI157" s="21"/>
      <c r="CJ157" s="21"/>
      <c r="CK157" s="21"/>
      <c r="CL157" s="21"/>
      <c r="CM157" s="21"/>
      <c r="CR157" s="9"/>
      <c r="CS157" s="21"/>
      <c r="CT157" s="21"/>
      <c r="CU157" s="21"/>
      <c r="CV157" s="21"/>
      <c r="CW157" s="21"/>
      <c r="CZ157" s="9"/>
      <c r="DA157" s="21"/>
      <c r="DB157" s="21"/>
      <c r="DC157" s="21"/>
      <c r="DD157" s="21"/>
      <c r="DE157" s="21"/>
      <c r="DJ157" s="9"/>
      <c r="DK157" s="21"/>
      <c r="DL157" s="21"/>
      <c r="DM157" s="21"/>
      <c r="DN157" s="21"/>
      <c r="DO157" s="21"/>
      <c r="DR157" s="9"/>
      <c r="DS157" s="21"/>
      <c r="DT157" s="21"/>
      <c r="DU157" s="21"/>
      <c r="DV157" s="21"/>
      <c r="DW157" s="21"/>
      <c r="EB157" s="9"/>
      <c r="EC157" s="21"/>
      <c r="ED157" s="21"/>
      <c r="EE157" s="21"/>
      <c r="EF157" s="21"/>
      <c r="EG157" s="21"/>
      <c r="EJ157" s="9"/>
      <c r="EK157" s="21"/>
      <c r="EL157" s="21"/>
      <c r="EM157" s="21"/>
      <c r="EN157" s="21"/>
      <c r="EO157" s="21"/>
      <c r="ET157" s="21"/>
      <c r="EU157" s="21"/>
      <c r="EV157" s="21"/>
      <c r="EW157" s="21"/>
      <c r="EX157" s="21"/>
      <c r="FA157" s="9"/>
      <c r="FB157" s="21"/>
      <c r="FC157" s="21"/>
      <c r="FD157" s="21"/>
      <c r="FE157" s="21"/>
      <c r="FF157" s="21"/>
    </row>
    <row r="158" spans="6:162" x14ac:dyDescent="0.25">
      <c r="F158" s="9"/>
      <c r="G158" s="21">
        <v>0.45471200000000001</v>
      </c>
      <c r="H158" s="21">
        <v>6.5058299999999996</v>
      </c>
      <c r="I158" s="24">
        <v>-6.2377899999999998E-5</v>
      </c>
      <c r="J158" s="21">
        <v>148</v>
      </c>
      <c r="K158" s="21">
        <v>0.454376</v>
      </c>
      <c r="L158">
        <f t="shared" si="24"/>
        <v>7.7009753086419747E-2</v>
      </c>
      <c r="M158">
        <f t="shared" si="25"/>
        <v>3.5017258845432095E-2</v>
      </c>
      <c r="N158" s="9"/>
      <c r="O158" s="21">
        <v>0.64529400000000003</v>
      </c>
      <c r="P158" s="21">
        <v>9.1265699999999992</v>
      </c>
      <c r="Q158" s="24">
        <v>-4.20227E-5</v>
      </c>
      <c r="R158" s="21">
        <v>148</v>
      </c>
      <c r="S158" s="21">
        <v>0.64492799999999995</v>
      </c>
      <c r="T158">
        <f t="shared" si="26"/>
        <v>5.1879876543209871E-2</v>
      </c>
      <c r="U158">
        <f t="shared" si="27"/>
        <v>3.3477773054074074E-2</v>
      </c>
      <c r="X158" s="9"/>
      <c r="Y158" s="21">
        <v>0.45471200000000001</v>
      </c>
      <c r="Z158" s="21">
        <v>13.487</v>
      </c>
      <c r="AA158" s="24">
        <v>-5.5847200000000003E-5</v>
      </c>
      <c r="AB158" s="21">
        <v>148</v>
      </c>
      <c r="AC158" s="21">
        <v>0.45440700000000001</v>
      </c>
      <c r="AD158">
        <f t="shared" si="28"/>
        <v>6.8947160493827167E-2</v>
      </c>
      <c r="AE158">
        <f t="shared" si="29"/>
        <v>3.1351101242469141E-2</v>
      </c>
      <c r="AF158" s="9"/>
      <c r="AG158" s="21">
        <v>0.64529400000000003</v>
      </c>
      <c r="AH158" s="21">
        <v>16.107700000000001</v>
      </c>
      <c r="AI158" s="24">
        <v>-3.9703399999999997E-5</v>
      </c>
      <c r="AJ158" s="21">
        <v>148</v>
      </c>
      <c r="AK158" s="21">
        <v>0.64495800000000003</v>
      </c>
      <c r="AL158">
        <f t="shared" si="30"/>
        <v>4.9016543209876536E-2</v>
      </c>
      <c r="AM158">
        <f t="shared" si="31"/>
        <v>3.163008123407407E-2</v>
      </c>
      <c r="AP158" s="9"/>
      <c r="AQ158" s="21">
        <v>0.45471200000000001</v>
      </c>
      <c r="AR158" s="21">
        <v>20.4102</v>
      </c>
      <c r="AS158" s="24">
        <v>-5.37415E-5</v>
      </c>
      <c r="AT158" s="21">
        <v>148</v>
      </c>
      <c r="AU158" s="21">
        <v>0.45434600000000003</v>
      </c>
      <c r="AV158">
        <f t="shared" si="32"/>
        <v>6.6347530864197521E-2</v>
      </c>
      <c r="AW158">
        <f t="shared" si="33"/>
        <v>3.0169018454320982E-2</v>
      </c>
      <c r="AX158" s="9"/>
      <c r="AY158" s="21">
        <v>0.64529400000000003</v>
      </c>
      <c r="AZ158" s="21">
        <v>23.030899999999999</v>
      </c>
      <c r="BA158" s="24">
        <v>-3.8238500000000003E-5</v>
      </c>
      <c r="BB158" s="21">
        <v>148</v>
      </c>
      <c r="BC158" s="21">
        <v>0.64483599999999996</v>
      </c>
      <c r="BD158">
        <f t="shared" si="34"/>
        <v>4.7208024691358028E-2</v>
      </c>
      <c r="BE158">
        <f t="shared" si="35"/>
        <v>3.0463055085185188E-2</v>
      </c>
      <c r="BH158" s="9"/>
      <c r="BI158" s="21"/>
      <c r="BJ158" s="21"/>
      <c r="BK158" s="21"/>
      <c r="BL158" s="21"/>
      <c r="BM158" s="21"/>
      <c r="BP158" s="9"/>
      <c r="BQ158" s="21"/>
      <c r="BR158" s="21"/>
      <c r="BS158" s="21"/>
      <c r="BT158" s="21"/>
      <c r="BU158" s="21"/>
      <c r="BZ158" s="9"/>
      <c r="CA158" s="21"/>
      <c r="CB158" s="21"/>
      <c r="CC158" s="21"/>
      <c r="CD158" s="21"/>
      <c r="CE158" s="21"/>
      <c r="CH158" s="9"/>
      <c r="CI158" s="21"/>
      <c r="CJ158" s="21"/>
      <c r="CK158" s="21"/>
      <c r="CL158" s="21"/>
      <c r="CM158" s="21"/>
      <c r="CR158" s="9"/>
      <c r="CS158" s="21"/>
      <c r="CT158" s="21"/>
      <c r="CU158" s="21"/>
      <c r="CV158" s="21"/>
      <c r="CW158" s="21"/>
      <c r="CZ158" s="9"/>
      <c r="DA158" s="21"/>
      <c r="DB158" s="21"/>
      <c r="DC158" s="21"/>
      <c r="DD158" s="21"/>
      <c r="DE158" s="21"/>
      <c r="DJ158" s="9"/>
      <c r="DK158" s="21"/>
      <c r="DL158" s="21"/>
      <c r="DM158" s="21"/>
      <c r="DN158" s="21"/>
      <c r="DO158" s="21"/>
      <c r="DR158" s="9"/>
      <c r="DS158" s="21"/>
      <c r="DT158" s="21"/>
      <c r="DU158" s="21"/>
      <c r="DV158" s="21"/>
      <c r="DW158" s="21"/>
      <c r="EB158" s="9"/>
      <c r="EC158" s="21"/>
      <c r="ED158" s="21"/>
      <c r="EE158" s="21"/>
      <c r="EF158" s="21"/>
      <c r="EG158" s="21"/>
      <c r="EJ158" s="9"/>
      <c r="EK158" s="21"/>
      <c r="EL158" s="21"/>
      <c r="EM158" s="21"/>
      <c r="EN158" s="21"/>
      <c r="EO158" s="21"/>
      <c r="ET158" s="21"/>
      <c r="EU158" s="21"/>
      <c r="EV158" s="21"/>
      <c r="EW158" s="21"/>
      <c r="EX158" s="21"/>
      <c r="FA158" s="9"/>
      <c r="FB158" s="21"/>
      <c r="FC158" s="21"/>
      <c r="FD158" s="21"/>
      <c r="FE158" s="21"/>
      <c r="FF158" s="21"/>
    </row>
    <row r="159" spans="6:162" x14ac:dyDescent="0.25">
      <c r="F159" s="9"/>
      <c r="G159" s="21">
        <v>0.44967699999999999</v>
      </c>
      <c r="H159" s="21">
        <v>6.5159000000000002</v>
      </c>
      <c r="I159" s="24">
        <v>-6.2591599999999999E-5</v>
      </c>
      <c r="J159" s="21">
        <v>149</v>
      </c>
      <c r="K159" s="21">
        <v>0.44937100000000002</v>
      </c>
      <c r="L159">
        <f t="shared" si="24"/>
        <v>7.7273580246913581E-2</v>
      </c>
      <c r="M159">
        <f t="shared" si="25"/>
        <v>3.4748151744691355E-2</v>
      </c>
      <c r="N159" s="9"/>
      <c r="O159" s="21">
        <v>0.65032999999999996</v>
      </c>
      <c r="P159" s="21">
        <v>9.1366399999999999</v>
      </c>
      <c r="Q159" s="24">
        <v>-4.1900600000000003E-5</v>
      </c>
      <c r="R159" s="21">
        <v>149</v>
      </c>
      <c r="S159" s="21">
        <v>0.64996299999999996</v>
      </c>
      <c r="T159">
        <f t="shared" si="26"/>
        <v>5.1729135802469135E-2</v>
      </c>
      <c r="U159">
        <f t="shared" si="27"/>
        <v>3.364100888641975E-2</v>
      </c>
      <c r="X159" s="9"/>
      <c r="Y159" s="21">
        <v>0.44967699999999999</v>
      </c>
      <c r="Z159" s="21">
        <v>13.4971</v>
      </c>
      <c r="AA159" s="24">
        <v>-5.5969199999999999E-5</v>
      </c>
      <c r="AB159" s="21">
        <v>149</v>
      </c>
      <c r="AC159" s="21">
        <v>0.44940200000000002</v>
      </c>
      <c r="AD159">
        <f t="shared" si="28"/>
        <v>6.9097777777777772E-2</v>
      </c>
      <c r="AE159">
        <f t="shared" si="29"/>
        <v>3.1071681417777774E-2</v>
      </c>
      <c r="AF159" s="9"/>
      <c r="AG159" s="21">
        <v>0.65032999999999996</v>
      </c>
      <c r="AH159" s="21">
        <v>16.117799999999999</v>
      </c>
      <c r="AI159" s="24">
        <v>-3.9520300000000002E-5</v>
      </c>
      <c r="AJ159" s="21">
        <v>149</v>
      </c>
      <c r="AK159" s="21">
        <v>0.64993299999999998</v>
      </c>
      <c r="AL159">
        <f t="shared" si="30"/>
        <v>4.879049382716049E-2</v>
      </c>
      <c r="AM159">
        <f t="shared" si="31"/>
        <v>3.1729921850617279E-2</v>
      </c>
      <c r="AP159" s="9"/>
      <c r="AQ159" s="21">
        <v>0.44967699999999999</v>
      </c>
      <c r="AR159" s="21">
        <v>20.420300000000001</v>
      </c>
      <c r="AS159" s="24">
        <v>-5.3894000000000003E-5</v>
      </c>
      <c r="AT159" s="21">
        <v>149</v>
      </c>
      <c r="AU159" s="21">
        <v>0.44921899999999998</v>
      </c>
      <c r="AV159">
        <f t="shared" si="32"/>
        <v>6.6535802469135805E-2</v>
      </c>
      <c r="AW159">
        <f t="shared" si="33"/>
        <v>2.9919620046913582E-2</v>
      </c>
      <c r="AX159" s="9"/>
      <c r="AY159" s="21">
        <v>0.65032999999999996</v>
      </c>
      <c r="AZ159" s="21">
        <v>23.041</v>
      </c>
      <c r="BA159" s="24">
        <v>-3.8177499999999998E-5</v>
      </c>
      <c r="BB159" s="21">
        <v>149</v>
      </c>
      <c r="BC159" s="21">
        <v>0.64996299999999996</v>
      </c>
      <c r="BD159">
        <f t="shared" si="34"/>
        <v>4.7132716049382711E-2</v>
      </c>
      <c r="BE159">
        <f t="shared" si="35"/>
        <v>3.0651819228395057E-2</v>
      </c>
      <c r="BH159" s="9"/>
      <c r="BI159" s="21"/>
      <c r="BJ159" s="21"/>
      <c r="BK159" s="21"/>
      <c r="BL159" s="21"/>
      <c r="BM159" s="21"/>
      <c r="BP159" s="9"/>
      <c r="BQ159" s="21"/>
      <c r="BR159" s="21"/>
      <c r="BS159" s="21"/>
      <c r="BT159" s="21"/>
      <c r="BU159" s="21"/>
      <c r="BZ159" s="9"/>
      <c r="CA159" s="21"/>
      <c r="CB159" s="21"/>
      <c r="CC159" s="21"/>
      <c r="CD159" s="21"/>
      <c r="CE159" s="21"/>
      <c r="CH159" s="9"/>
      <c r="CI159" s="21"/>
      <c r="CJ159" s="21"/>
      <c r="CK159" s="21"/>
      <c r="CL159" s="21"/>
      <c r="CM159" s="21"/>
      <c r="CR159" s="9"/>
      <c r="CS159" s="21"/>
      <c r="CT159" s="21"/>
      <c r="CU159" s="21"/>
      <c r="CV159" s="21"/>
      <c r="CW159" s="21"/>
      <c r="CZ159" s="9"/>
      <c r="DA159" s="21"/>
      <c r="DB159" s="21"/>
      <c r="DC159" s="21"/>
      <c r="DD159" s="21"/>
      <c r="DE159" s="21"/>
      <c r="DJ159" s="9"/>
      <c r="DK159" s="21"/>
      <c r="DL159" s="21"/>
      <c r="DM159" s="21"/>
      <c r="DN159" s="21"/>
      <c r="DO159" s="21"/>
      <c r="DR159" s="9"/>
      <c r="DS159" s="21"/>
      <c r="DT159" s="21"/>
      <c r="DU159" s="21"/>
      <c r="DV159" s="21"/>
      <c r="DW159" s="21"/>
      <c r="EB159" s="9"/>
      <c r="EC159" s="21"/>
      <c r="ED159" s="21"/>
      <c r="EE159" s="21"/>
      <c r="EF159" s="21"/>
      <c r="EG159" s="21"/>
      <c r="EJ159" s="9"/>
      <c r="EK159" s="21"/>
      <c r="EL159" s="21"/>
      <c r="EM159" s="21"/>
      <c r="EN159" s="21"/>
      <c r="EO159" s="21"/>
      <c r="ET159" s="21"/>
      <c r="EU159" s="21"/>
      <c r="EV159" s="21"/>
      <c r="EW159" s="21"/>
      <c r="EX159" s="21"/>
      <c r="FA159" s="9"/>
      <c r="FB159" s="21"/>
      <c r="FC159" s="21"/>
      <c r="FD159" s="21"/>
      <c r="FE159" s="21"/>
      <c r="FF159" s="21"/>
    </row>
    <row r="160" spans="6:162" x14ac:dyDescent="0.25">
      <c r="F160" s="9"/>
      <c r="G160" s="21">
        <v>0.44464100000000001</v>
      </c>
      <c r="H160" s="21">
        <v>6.52597</v>
      </c>
      <c r="I160" s="24">
        <v>-6.2683100000000003E-5</v>
      </c>
      <c r="J160" s="21">
        <v>150</v>
      </c>
      <c r="K160" s="21">
        <v>0.44430500000000001</v>
      </c>
      <c r="L160">
        <f t="shared" si="24"/>
        <v>7.7386543209876549E-2</v>
      </c>
      <c r="M160">
        <f t="shared" si="25"/>
        <v>3.4409229959382719E-2</v>
      </c>
      <c r="N160" s="9"/>
      <c r="O160" s="21">
        <v>0.65536499999999998</v>
      </c>
      <c r="P160" s="21">
        <v>9.1467100000000006</v>
      </c>
      <c r="Q160" s="24">
        <v>-4.17786E-5</v>
      </c>
      <c r="R160" s="21">
        <v>150</v>
      </c>
      <c r="S160" s="21">
        <v>0.65505999999999998</v>
      </c>
      <c r="T160">
        <f t="shared" si="26"/>
        <v>5.1578518518518517E-2</v>
      </c>
      <c r="U160">
        <f t="shared" si="27"/>
        <v>3.3802755788888889E-2</v>
      </c>
      <c r="X160" s="9"/>
      <c r="Y160" s="21">
        <v>0.44464100000000001</v>
      </c>
      <c r="Z160" s="21">
        <v>13.507099999999999</v>
      </c>
      <c r="AA160" s="24">
        <v>-5.6091300000000003E-5</v>
      </c>
      <c r="AB160" s="21">
        <v>150</v>
      </c>
      <c r="AC160" s="21">
        <v>0.44430500000000001</v>
      </c>
      <c r="AD160">
        <f t="shared" si="28"/>
        <v>6.9248518518518515E-2</v>
      </c>
      <c r="AE160">
        <f t="shared" si="29"/>
        <v>3.0790730522592593E-2</v>
      </c>
      <c r="AF160" s="9"/>
      <c r="AG160" s="21">
        <v>0.65536499999999998</v>
      </c>
      <c r="AH160" s="21">
        <v>16.1279</v>
      </c>
      <c r="AI160" s="24">
        <v>-3.93372E-5</v>
      </c>
      <c r="AJ160" s="21">
        <v>150</v>
      </c>
      <c r="AK160" s="21">
        <v>0.65502899999999997</v>
      </c>
      <c r="AL160">
        <f t="shared" si="30"/>
        <v>4.8564444444444438E-2</v>
      </c>
      <c r="AM160">
        <f t="shared" si="31"/>
        <v>3.1827437133333331E-2</v>
      </c>
      <c r="AP160" s="9"/>
      <c r="AQ160" s="21">
        <v>0.44464100000000001</v>
      </c>
      <c r="AR160" s="21">
        <v>20.430299999999999</v>
      </c>
      <c r="AS160" s="24">
        <v>-5.4016099999999999E-5</v>
      </c>
      <c r="AT160" s="21">
        <v>150</v>
      </c>
      <c r="AU160" s="21">
        <v>0.44427499999999998</v>
      </c>
      <c r="AV160">
        <f t="shared" si="32"/>
        <v>6.6686543209876534E-2</v>
      </c>
      <c r="AW160">
        <f t="shared" si="33"/>
        <v>2.9651571259382711E-2</v>
      </c>
      <c r="AX160" s="9"/>
      <c r="AY160" s="21">
        <v>0.65536499999999998</v>
      </c>
      <c r="AZ160" s="21">
        <v>23.051100000000002</v>
      </c>
      <c r="BA160" s="24">
        <v>-3.7994400000000003E-5</v>
      </c>
      <c r="BB160" s="21">
        <v>150</v>
      </c>
      <c r="BC160" s="21">
        <v>0.65505999999999998</v>
      </c>
      <c r="BD160">
        <f t="shared" si="34"/>
        <v>4.6906666666666666E-2</v>
      </c>
      <c r="BE160">
        <f t="shared" si="35"/>
        <v>3.0740987599999998E-2</v>
      </c>
      <c r="BH160" s="9"/>
      <c r="BI160" s="21"/>
      <c r="BJ160" s="21"/>
      <c r="BK160" s="21"/>
      <c r="BL160" s="21"/>
      <c r="BM160" s="21"/>
      <c r="BP160" s="9"/>
      <c r="BQ160" s="21"/>
      <c r="BR160" s="21"/>
      <c r="BS160" s="21"/>
      <c r="BT160" s="21"/>
      <c r="BU160" s="21"/>
      <c r="BZ160" s="9"/>
      <c r="CA160" s="21"/>
      <c r="CB160" s="21"/>
      <c r="CC160" s="21"/>
      <c r="CD160" s="21"/>
      <c r="CE160" s="21"/>
      <c r="CH160" s="9"/>
      <c r="CI160" s="21"/>
      <c r="CJ160" s="21"/>
      <c r="CK160" s="21"/>
      <c r="CL160" s="21"/>
      <c r="CM160" s="21"/>
      <c r="CR160" s="9"/>
      <c r="CS160" s="21"/>
      <c r="CT160" s="21"/>
      <c r="CU160" s="21"/>
      <c r="CV160" s="21"/>
      <c r="CW160" s="21"/>
      <c r="CZ160" s="9"/>
      <c r="DA160" s="21"/>
      <c r="DB160" s="21"/>
      <c r="DC160" s="21"/>
      <c r="DD160" s="21"/>
      <c r="DE160" s="21"/>
      <c r="DJ160" s="9"/>
      <c r="DK160" s="21"/>
      <c r="DL160" s="21"/>
      <c r="DM160" s="21"/>
      <c r="DN160" s="21"/>
      <c r="DO160" s="21"/>
      <c r="DR160" s="9"/>
      <c r="DS160" s="21"/>
      <c r="DT160" s="21"/>
      <c r="DU160" s="21"/>
      <c r="DV160" s="21"/>
      <c r="DW160" s="21"/>
      <c r="EB160" s="9"/>
      <c r="EC160" s="21"/>
      <c r="ED160" s="21"/>
      <c r="EE160" s="21"/>
      <c r="EF160" s="21"/>
      <c r="EG160" s="21"/>
      <c r="EJ160" s="9"/>
      <c r="EK160" s="21"/>
      <c r="EL160" s="21"/>
      <c r="EM160" s="21"/>
      <c r="EN160" s="21"/>
      <c r="EO160" s="21"/>
      <c r="ET160" s="21"/>
      <c r="EU160" s="21"/>
      <c r="EV160" s="21"/>
      <c r="EW160" s="21"/>
      <c r="EX160" s="21"/>
      <c r="FA160" s="9"/>
      <c r="FB160" s="21"/>
      <c r="FC160" s="21"/>
      <c r="FD160" s="21"/>
      <c r="FE160" s="21"/>
      <c r="FF160" s="21"/>
    </row>
    <row r="161" spans="6:162" x14ac:dyDescent="0.25">
      <c r="F161" s="9"/>
      <c r="G161" s="21">
        <v>0.439606</v>
      </c>
      <c r="H161" s="21">
        <v>6.5360399999999998</v>
      </c>
      <c r="I161" s="24">
        <v>-6.2896699999999997E-5</v>
      </c>
      <c r="J161" s="21">
        <v>151</v>
      </c>
      <c r="K161" s="21">
        <v>0.43920900000000002</v>
      </c>
      <c r="L161">
        <f t="shared" si="24"/>
        <v>7.7650246913580245E-2</v>
      </c>
      <c r="M161">
        <f t="shared" si="25"/>
        <v>3.4135514444691359E-2</v>
      </c>
      <c r="N161" s="9"/>
      <c r="O161" s="21">
        <v>0.66039999999999999</v>
      </c>
      <c r="P161" s="21">
        <v>9.1567799999999995</v>
      </c>
      <c r="Q161" s="24">
        <v>-4.1595499999999998E-5</v>
      </c>
      <c r="R161" s="21">
        <v>151</v>
      </c>
      <c r="S161" s="21">
        <v>0.66009499999999999</v>
      </c>
      <c r="T161">
        <f t="shared" si="26"/>
        <v>5.1352469135802464E-2</v>
      </c>
      <c r="U161">
        <f t="shared" si="27"/>
        <v>3.3913170617283946E-2</v>
      </c>
      <c r="X161" s="9"/>
      <c r="Y161" s="21">
        <v>0.439606</v>
      </c>
      <c r="Z161" s="21">
        <v>13.517200000000001</v>
      </c>
      <c r="AA161" s="24">
        <v>-5.61829E-5</v>
      </c>
      <c r="AB161" s="21">
        <v>151</v>
      </c>
      <c r="AC161" s="21">
        <v>0.43924000000000002</v>
      </c>
      <c r="AD161">
        <f t="shared" si="28"/>
        <v>6.9361604938271593E-2</v>
      </c>
      <c r="AE161">
        <f t="shared" si="29"/>
        <v>3.049177770049382E-2</v>
      </c>
      <c r="AF161" s="9"/>
      <c r="AG161" s="21">
        <v>0.66039999999999999</v>
      </c>
      <c r="AH161" s="21">
        <v>16.138000000000002</v>
      </c>
      <c r="AI161" s="24">
        <v>-3.9215100000000003E-5</v>
      </c>
      <c r="AJ161" s="21">
        <v>151</v>
      </c>
      <c r="AK161" s="21">
        <v>0.66006500000000001</v>
      </c>
      <c r="AL161">
        <f t="shared" si="30"/>
        <v>4.8413703703703709E-2</v>
      </c>
      <c r="AM161">
        <f t="shared" si="31"/>
        <v>3.1972409925925926E-2</v>
      </c>
      <c r="AP161" s="9"/>
      <c r="AQ161" s="21">
        <v>0.439606</v>
      </c>
      <c r="AR161" s="21">
        <v>20.4404</v>
      </c>
      <c r="AS161" s="24">
        <v>-5.4168700000000002E-5</v>
      </c>
      <c r="AT161" s="21">
        <v>151</v>
      </c>
      <c r="AU161" s="21">
        <v>0.43926999999999999</v>
      </c>
      <c r="AV161">
        <f t="shared" si="32"/>
        <v>6.6874938271604942E-2</v>
      </c>
      <c r="AW161">
        <f t="shared" si="33"/>
        <v>2.9398624113827161E-2</v>
      </c>
      <c r="AX161" s="9"/>
      <c r="AY161" s="21">
        <v>0.66039999999999999</v>
      </c>
      <c r="AZ161" s="21">
        <v>23.0611</v>
      </c>
      <c r="BA161" s="24">
        <v>-3.7902799999999999E-5</v>
      </c>
      <c r="BB161" s="21">
        <v>151</v>
      </c>
      <c r="BC161" s="21">
        <v>0.66006500000000001</v>
      </c>
      <c r="BD161">
        <f t="shared" si="34"/>
        <v>4.6793580246913574E-2</v>
      </c>
      <c r="BE161">
        <f t="shared" si="35"/>
        <v>3.0902480395061722E-2</v>
      </c>
      <c r="BH161" s="9"/>
      <c r="BI161" s="21"/>
      <c r="BJ161" s="21"/>
      <c r="BK161" s="21"/>
      <c r="BL161" s="21"/>
      <c r="BM161" s="21"/>
      <c r="BP161" s="9"/>
      <c r="BQ161" s="21"/>
      <c r="BR161" s="21"/>
      <c r="BS161" s="21"/>
      <c r="BT161" s="21"/>
      <c r="BU161" s="21"/>
      <c r="BZ161" s="9"/>
      <c r="CA161" s="21"/>
      <c r="CB161" s="21"/>
      <c r="CC161" s="21"/>
      <c r="CD161" s="21"/>
      <c r="CE161" s="21"/>
      <c r="CH161" s="9"/>
      <c r="CI161" s="21"/>
      <c r="CJ161" s="21"/>
      <c r="CK161" s="21"/>
      <c r="CL161" s="21"/>
      <c r="CM161" s="21"/>
      <c r="CR161" s="9"/>
      <c r="CS161" s="21"/>
      <c r="CT161" s="21"/>
      <c r="CU161" s="21"/>
      <c r="CV161" s="21"/>
      <c r="CW161" s="21"/>
      <c r="CZ161" s="9"/>
      <c r="DA161" s="21"/>
      <c r="DB161" s="21"/>
      <c r="DC161" s="21"/>
      <c r="DD161" s="21"/>
      <c r="DE161" s="21"/>
      <c r="DJ161" s="9"/>
      <c r="DK161" s="21"/>
      <c r="DL161" s="21"/>
      <c r="DM161" s="21"/>
      <c r="DN161" s="21"/>
      <c r="DO161" s="21"/>
      <c r="DR161" s="9"/>
      <c r="DS161" s="21"/>
      <c r="DT161" s="21"/>
      <c r="DU161" s="21"/>
      <c r="DV161" s="21"/>
      <c r="DW161" s="21"/>
      <c r="EB161" s="9"/>
      <c r="EC161" s="21"/>
      <c r="ED161" s="21"/>
      <c r="EE161" s="21"/>
      <c r="EF161" s="21"/>
      <c r="EG161" s="21"/>
      <c r="EJ161" s="9"/>
      <c r="EK161" s="21"/>
      <c r="EL161" s="21"/>
      <c r="EM161" s="21"/>
      <c r="EN161" s="21"/>
      <c r="EO161" s="21"/>
      <c r="ET161" s="21"/>
      <c r="EU161" s="21"/>
      <c r="EV161" s="21"/>
      <c r="EW161" s="21"/>
      <c r="EX161" s="21"/>
      <c r="FA161" s="9"/>
      <c r="FB161" s="21"/>
      <c r="FC161" s="21"/>
      <c r="FD161" s="21"/>
      <c r="FE161" s="21"/>
      <c r="FF161" s="21"/>
    </row>
    <row r="162" spans="6:162" x14ac:dyDescent="0.25">
      <c r="F162" s="9"/>
      <c r="G162" s="21">
        <v>0.43457000000000001</v>
      </c>
      <c r="H162" s="21">
        <v>6.5461099999999997</v>
      </c>
      <c r="I162" s="24">
        <v>-6.2957800000000002E-5</v>
      </c>
      <c r="J162" s="21">
        <v>152</v>
      </c>
      <c r="K162" s="21">
        <v>0.43423499999999998</v>
      </c>
      <c r="L162">
        <f t="shared" si="24"/>
        <v>7.7725679012345672E-2</v>
      </c>
      <c r="M162">
        <f t="shared" si="25"/>
        <v>3.3777248328395057E-2</v>
      </c>
      <c r="N162" s="9"/>
      <c r="O162" s="21">
        <v>0.66543600000000003</v>
      </c>
      <c r="P162" s="21">
        <v>9.1668500000000002</v>
      </c>
      <c r="Q162" s="24">
        <v>-4.15344E-5</v>
      </c>
      <c r="R162" s="21">
        <v>152</v>
      </c>
      <c r="S162" s="21">
        <v>0.66510000000000002</v>
      </c>
      <c r="T162">
        <f t="shared" si="26"/>
        <v>5.1277037037037038E-2</v>
      </c>
      <c r="U162">
        <f t="shared" si="27"/>
        <v>3.412158641777778E-2</v>
      </c>
      <c r="X162" s="9"/>
      <c r="Y162" s="21">
        <v>0.43457000000000001</v>
      </c>
      <c r="Z162" s="21">
        <v>13.5273</v>
      </c>
      <c r="AA162" s="24">
        <v>-5.6274399999999998E-5</v>
      </c>
      <c r="AB162" s="21">
        <v>152</v>
      </c>
      <c r="AC162" s="21">
        <v>0.434174</v>
      </c>
      <c r="AD162">
        <f t="shared" si="28"/>
        <v>6.947456790123456E-2</v>
      </c>
      <c r="AE162">
        <f t="shared" si="29"/>
        <v>3.0191562972839505E-2</v>
      </c>
      <c r="AF162" s="9"/>
      <c r="AG162" s="21">
        <v>0.66543600000000003</v>
      </c>
      <c r="AH162" s="21">
        <v>16.148</v>
      </c>
      <c r="AI162" s="24">
        <v>-3.9001500000000003E-5</v>
      </c>
      <c r="AJ162" s="21">
        <v>152</v>
      </c>
      <c r="AK162" s="21">
        <v>0.66503900000000005</v>
      </c>
      <c r="AL162">
        <f t="shared" si="30"/>
        <v>4.8149999999999998E-2</v>
      </c>
      <c r="AM162">
        <f t="shared" si="31"/>
        <v>3.2040743400000002E-2</v>
      </c>
      <c r="AP162" s="9"/>
      <c r="AQ162" s="21">
        <v>0.43457000000000001</v>
      </c>
      <c r="AR162" s="21">
        <v>20.450500000000002</v>
      </c>
      <c r="AS162" s="24">
        <v>-5.4290799999999999E-5</v>
      </c>
      <c r="AT162" s="21">
        <v>152</v>
      </c>
      <c r="AU162" s="21">
        <v>0.43423499999999998</v>
      </c>
      <c r="AV162">
        <f t="shared" si="32"/>
        <v>6.7025679012345671E-2</v>
      </c>
      <c r="AW162">
        <f t="shared" si="33"/>
        <v>2.9127349328395058E-2</v>
      </c>
      <c r="AX162" s="9"/>
      <c r="AY162" s="21">
        <v>0.66543600000000003</v>
      </c>
      <c r="AZ162" s="21">
        <v>23.071200000000001</v>
      </c>
      <c r="BA162" s="24">
        <v>-3.7750200000000003E-5</v>
      </c>
      <c r="BB162" s="21">
        <v>152</v>
      </c>
      <c r="BC162" s="21">
        <v>0.66503900000000005</v>
      </c>
      <c r="BD162">
        <f t="shared" si="34"/>
        <v>4.6605185185185187E-2</v>
      </c>
      <c r="BE162">
        <f t="shared" si="35"/>
        <v>3.1012768008888893E-2</v>
      </c>
      <c r="BH162" s="9"/>
      <c r="BI162" s="21"/>
      <c r="BJ162" s="21"/>
      <c r="BK162" s="21"/>
      <c r="BL162" s="21"/>
      <c r="BM162" s="21"/>
      <c r="BP162" s="9"/>
      <c r="BQ162" s="21"/>
      <c r="BR162" s="21"/>
      <c r="BS162" s="21"/>
      <c r="BT162" s="21"/>
      <c r="BU162" s="21"/>
      <c r="BZ162" s="9"/>
      <c r="CA162" s="21"/>
      <c r="CB162" s="21"/>
      <c r="CC162" s="21"/>
      <c r="CD162" s="21"/>
      <c r="CE162" s="21"/>
      <c r="CH162" s="9"/>
      <c r="CI162" s="21"/>
      <c r="CJ162" s="21"/>
      <c r="CK162" s="21"/>
      <c r="CL162" s="21"/>
      <c r="CM162" s="21"/>
      <c r="CR162" s="9"/>
      <c r="CS162" s="21"/>
      <c r="CT162" s="21"/>
      <c r="CU162" s="21"/>
      <c r="CV162" s="21"/>
      <c r="CW162" s="21"/>
      <c r="CZ162" s="9"/>
      <c r="DA162" s="21"/>
      <c r="DB162" s="21"/>
      <c r="DC162" s="21"/>
      <c r="DD162" s="21"/>
      <c r="DE162" s="21"/>
      <c r="DJ162" s="9"/>
      <c r="DK162" s="21"/>
      <c r="DL162" s="21"/>
      <c r="DM162" s="21"/>
      <c r="DN162" s="21"/>
      <c r="DO162" s="21"/>
      <c r="DR162" s="9"/>
      <c r="DS162" s="21"/>
      <c r="DT162" s="21"/>
      <c r="DU162" s="21"/>
      <c r="DV162" s="21"/>
      <c r="DW162" s="21"/>
      <c r="EB162" s="9"/>
      <c r="EC162" s="21"/>
      <c r="ED162" s="21"/>
      <c r="EE162" s="21"/>
      <c r="EF162" s="21"/>
      <c r="EG162" s="21"/>
      <c r="EJ162" s="9"/>
      <c r="EK162" s="21"/>
      <c r="EL162" s="21"/>
      <c r="EM162" s="21"/>
      <c r="EN162" s="21"/>
      <c r="EO162" s="21"/>
      <c r="ET162" s="21"/>
      <c r="EU162" s="21"/>
      <c r="EV162" s="21"/>
      <c r="EW162" s="21"/>
      <c r="EX162" s="21"/>
      <c r="FA162" s="9"/>
      <c r="FB162" s="21"/>
      <c r="FC162" s="21"/>
      <c r="FD162" s="21"/>
      <c r="FE162" s="21"/>
      <c r="FF162" s="21"/>
    </row>
    <row r="163" spans="6:162" x14ac:dyDescent="0.25">
      <c r="F163" s="9"/>
      <c r="G163" s="21">
        <v>0.429535</v>
      </c>
      <c r="H163" s="21">
        <v>6.5561800000000003</v>
      </c>
      <c r="I163" s="24">
        <v>-6.3171399999999996E-5</v>
      </c>
      <c r="J163" s="21">
        <v>153</v>
      </c>
      <c r="K163" s="21">
        <v>0.429199</v>
      </c>
      <c r="L163">
        <f t="shared" si="24"/>
        <v>7.7989382716049382E-2</v>
      </c>
      <c r="M163">
        <f t="shared" si="25"/>
        <v>3.3499169504938274E-2</v>
      </c>
      <c r="N163" s="9"/>
      <c r="O163" s="21">
        <v>0.67047100000000004</v>
      </c>
      <c r="P163" s="21">
        <v>9.1769200000000009</v>
      </c>
      <c r="Q163" s="24">
        <v>-4.1381799999999997E-5</v>
      </c>
      <c r="R163" s="21">
        <v>153</v>
      </c>
      <c r="S163" s="21">
        <v>0.67010499999999995</v>
      </c>
      <c r="T163">
        <f t="shared" si="26"/>
        <v>5.1088641975308637E-2</v>
      </c>
      <c r="U163">
        <f t="shared" si="27"/>
        <v>3.425345287382716E-2</v>
      </c>
      <c r="X163" s="9"/>
      <c r="Y163" s="21">
        <v>0.429535</v>
      </c>
      <c r="Z163" s="21">
        <v>13.5374</v>
      </c>
      <c r="AA163" s="24">
        <v>-5.6396500000000001E-5</v>
      </c>
      <c r="AB163" s="21">
        <v>153</v>
      </c>
      <c r="AC163" s="21">
        <v>0.429199</v>
      </c>
      <c r="AD163">
        <f t="shared" si="28"/>
        <v>6.9625308641975317E-2</v>
      </c>
      <c r="AE163">
        <f t="shared" si="29"/>
        <v>2.9906506947530869E-2</v>
      </c>
      <c r="AF163" s="9"/>
      <c r="AG163" s="21">
        <v>0.67047100000000004</v>
      </c>
      <c r="AH163" s="21">
        <v>16.158100000000001</v>
      </c>
      <c r="AI163" s="24">
        <v>-3.8909899999999998E-5</v>
      </c>
      <c r="AJ163" s="21">
        <v>153</v>
      </c>
      <c r="AK163" s="21">
        <v>0.67013500000000004</v>
      </c>
      <c r="AL163">
        <f t="shared" si="30"/>
        <v>4.8036913580246907E-2</v>
      </c>
      <c r="AM163">
        <f t="shared" si="31"/>
        <v>3.2207357485061726E-2</v>
      </c>
      <c r="AP163" s="9"/>
      <c r="AQ163" s="21">
        <v>0.429535</v>
      </c>
      <c r="AR163" s="21">
        <v>20.4605</v>
      </c>
      <c r="AS163" s="24">
        <v>-5.44739E-5</v>
      </c>
      <c r="AT163" s="21">
        <v>153</v>
      </c>
      <c r="AU163" s="21">
        <v>0.429199</v>
      </c>
      <c r="AV163">
        <f t="shared" si="32"/>
        <v>6.725172839506173E-2</v>
      </c>
      <c r="AW163">
        <f t="shared" si="33"/>
        <v>2.8886971156172839E-2</v>
      </c>
      <c r="AX163" s="9"/>
      <c r="AY163" s="21">
        <v>0.67047100000000004</v>
      </c>
      <c r="AZ163" s="21">
        <v>23.081299999999999</v>
      </c>
      <c r="BA163" s="24">
        <v>-3.7658699999999999E-5</v>
      </c>
      <c r="BB163" s="21">
        <v>153</v>
      </c>
      <c r="BC163" s="21">
        <v>0.67007399999999995</v>
      </c>
      <c r="BD163">
        <f t="shared" si="34"/>
        <v>4.649222222222222E-2</v>
      </c>
      <c r="BE163">
        <f t="shared" si="35"/>
        <v>3.1171686725555557E-2</v>
      </c>
      <c r="BH163" s="9"/>
      <c r="BI163" s="21"/>
      <c r="BJ163" s="21"/>
      <c r="BK163" s="21"/>
      <c r="BL163" s="21"/>
      <c r="BM163" s="21"/>
      <c r="BP163" s="9"/>
      <c r="BQ163" s="21"/>
      <c r="BR163" s="21"/>
      <c r="BS163" s="21"/>
      <c r="BT163" s="21"/>
      <c r="BU163" s="21"/>
      <c r="BZ163" s="9"/>
      <c r="CA163" s="21"/>
      <c r="CB163" s="21"/>
      <c r="CC163" s="21"/>
      <c r="CD163" s="21"/>
      <c r="CE163" s="21"/>
      <c r="CH163" s="9"/>
      <c r="CI163" s="21"/>
      <c r="CJ163" s="21"/>
      <c r="CK163" s="21"/>
      <c r="CL163" s="21"/>
      <c r="CM163" s="21"/>
      <c r="CR163" s="9"/>
      <c r="CS163" s="21"/>
      <c r="CT163" s="21"/>
      <c r="CU163" s="21"/>
      <c r="CV163" s="21"/>
      <c r="CW163" s="21"/>
      <c r="CZ163" s="9"/>
      <c r="DA163" s="21"/>
      <c r="DB163" s="21"/>
      <c r="DC163" s="21"/>
      <c r="DD163" s="21"/>
      <c r="DE163" s="21"/>
      <c r="DJ163" s="9"/>
      <c r="DK163" s="21"/>
      <c r="DL163" s="21"/>
      <c r="DM163" s="21"/>
      <c r="DN163" s="21"/>
      <c r="DO163" s="21"/>
      <c r="DR163" s="9"/>
      <c r="DS163" s="21"/>
      <c r="DT163" s="21"/>
      <c r="DU163" s="21"/>
      <c r="DV163" s="21"/>
      <c r="DW163" s="21"/>
      <c r="EB163" s="9"/>
      <c r="EC163" s="21"/>
      <c r="ED163" s="21"/>
      <c r="EE163" s="21"/>
      <c r="EF163" s="21"/>
      <c r="EG163" s="21"/>
      <c r="EJ163" s="9"/>
      <c r="EK163" s="21"/>
      <c r="EL163" s="21"/>
      <c r="EM163" s="21"/>
      <c r="EN163" s="21"/>
      <c r="EO163" s="21"/>
      <c r="ET163" s="21"/>
      <c r="EU163" s="21"/>
      <c r="EV163" s="21"/>
      <c r="EW163" s="21"/>
      <c r="EX163" s="21"/>
      <c r="FA163" s="9"/>
      <c r="FB163" s="21"/>
      <c r="FC163" s="21"/>
      <c r="FD163" s="21"/>
      <c r="FE163" s="21"/>
      <c r="FF163" s="21"/>
    </row>
    <row r="164" spans="6:162" x14ac:dyDescent="0.25">
      <c r="F164" s="9"/>
      <c r="G164" s="21">
        <v>0.42449999999999999</v>
      </c>
      <c r="H164" s="21">
        <v>6.5662500000000001</v>
      </c>
      <c r="I164" s="24">
        <v>-6.3324000000000006E-5</v>
      </c>
      <c r="J164" s="21">
        <v>154</v>
      </c>
      <c r="K164" s="21">
        <v>0.424072</v>
      </c>
      <c r="L164">
        <f t="shared" si="24"/>
        <v>7.8177777777777777E-2</v>
      </c>
      <c r="M164">
        <f t="shared" si="25"/>
        <v>3.3186466666666664E-2</v>
      </c>
      <c r="N164" s="9"/>
      <c r="O164" s="21">
        <v>0.67550699999999997</v>
      </c>
      <c r="P164" s="21">
        <v>9.1869899999999998</v>
      </c>
      <c r="Q164" s="24">
        <v>-4.1198700000000002E-5</v>
      </c>
      <c r="R164" s="21">
        <v>154</v>
      </c>
      <c r="S164" s="21">
        <v>0.67513999999999996</v>
      </c>
      <c r="T164">
        <f t="shared" si="26"/>
        <v>5.0862592592592591E-2</v>
      </c>
      <c r="U164">
        <f t="shared" si="27"/>
        <v>3.4358037334444445E-2</v>
      </c>
      <c r="X164" s="9"/>
      <c r="Y164" s="21">
        <v>0.42449999999999999</v>
      </c>
      <c r="Z164" s="21">
        <v>13.5474</v>
      </c>
      <c r="AA164" s="24">
        <v>-5.6518599999999998E-5</v>
      </c>
      <c r="AB164" s="21">
        <v>154</v>
      </c>
      <c r="AC164" s="21">
        <v>0.42413299999999998</v>
      </c>
      <c r="AD164">
        <f t="shared" si="28"/>
        <v>6.9776049382716046E-2</v>
      </c>
      <c r="AE164">
        <f t="shared" si="29"/>
        <v>2.9619932962962961E-2</v>
      </c>
      <c r="AF164" s="9"/>
      <c r="AG164" s="21">
        <v>0.67550699999999997</v>
      </c>
      <c r="AH164" s="21">
        <v>16.168199999999999</v>
      </c>
      <c r="AI164" s="24">
        <v>-3.8818400000000001E-5</v>
      </c>
      <c r="AJ164" s="21">
        <v>154</v>
      </c>
      <c r="AK164" s="21">
        <v>0.67513999999999996</v>
      </c>
      <c r="AL164">
        <f t="shared" si="30"/>
        <v>4.7923950617283946E-2</v>
      </c>
      <c r="AM164">
        <f t="shared" si="31"/>
        <v>3.2372964109629622E-2</v>
      </c>
      <c r="AP164" s="9"/>
      <c r="AQ164" s="21">
        <v>0.42449999999999999</v>
      </c>
      <c r="AR164" s="21">
        <v>20.470600000000001</v>
      </c>
      <c r="AS164" s="24">
        <v>-5.4657000000000002E-5</v>
      </c>
      <c r="AT164" s="21">
        <v>154</v>
      </c>
      <c r="AU164" s="21">
        <v>0.42413299999999998</v>
      </c>
      <c r="AV164">
        <f t="shared" si="32"/>
        <v>6.7477777777777775E-2</v>
      </c>
      <c r="AW164">
        <f t="shared" si="33"/>
        <v>2.8644316666666666E-2</v>
      </c>
      <c r="AX164" s="9"/>
      <c r="AY164" s="21">
        <v>0.67550699999999997</v>
      </c>
      <c r="AZ164" s="21">
        <v>23.0913</v>
      </c>
      <c r="BA164" s="24">
        <v>-3.7323000000000002E-5</v>
      </c>
      <c r="BB164" s="21">
        <v>154</v>
      </c>
      <c r="BC164" s="21">
        <v>0.67504900000000001</v>
      </c>
      <c r="BD164">
        <f t="shared" si="34"/>
        <v>4.607777777777778E-2</v>
      </c>
      <c r="BE164">
        <f t="shared" si="35"/>
        <v>3.1125861433333332E-2</v>
      </c>
      <c r="BH164" s="9"/>
      <c r="BI164" s="21"/>
      <c r="BJ164" s="21"/>
      <c r="BK164" s="21"/>
      <c r="BL164" s="21"/>
      <c r="BM164" s="21"/>
      <c r="BP164" s="9"/>
      <c r="BQ164" s="21"/>
      <c r="BR164" s="21"/>
      <c r="BS164" s="21"/>
      <c r="BT164" s="21"/>
      <c r="BU164" s="21"/>
      <c r="BZ164" s="9"/>
      <c r="CA164" s="21"/>
      <c r="CB164" s="21"/>
      <c r="CC164" s="21"/>
      <c r="CD164" s="21"/>
      <c r="CE164" s="21"/>
      <c r="CH164" s="9"/>
      <c r="CI164" s="21"/>
      <c r="CJ164" s="21"/>
      <c r="CK164" s="21"/>
      <c r="CL164" s="21"/>
      <c r="CM164" s="21"/>
      <c r="CR164" s="9"/>
      <c r="CS164" s="21"/>
      <c r="CT164" s="21"/>
      <c r="CU164" s="21"/>
      <c r="CV164" s="21"/>
      <c r="CW164" s="21"/>
      <c r="CZ164" s="9"/>
      <c r="DA164" s="21"/>
      <c r="DB164" s="21"/>
      <c r="DC164" s="21"/>
      <c r="DD164" s="21"/>
      <c r="DE164" s="21"/>
      <c r="DJ164" s="9"/>
      <c r="DK164" s="21"/>
      <c r="DL164" s="21"/>
      <c r="DM164" s="21"/>
      <c r="DN164" s="21"/>
      <c r="DO164" s="21"/>
      <c r="DR164" s="9"/>
      <c r="DS164" s="21"/>
      <c r="DT164" s="21"/>
      <c r="DU164" s="21"/>
      <c r="DV164" s="21"/>
      <c r="DW164" s="21"/>
      <c r="EB164" s="9"/>
      <c r="EC164" s="21"/>
      <c r="ED164" s="21"/>
      <c r="EE164" s="21"/>
      <c r="EF164" s="21"/>
      <c r="EG164" s="21"/>
      <c r="EJ164" s="9"/>
      <c r="EK164" s="21"/>
      <c r="EL164" s="21"/>
      <c r="EM164" s="21"/>
      <c r="EN164" s="21"/>
      <c r="EO164" s="21"/>
      <c r="ET164" s="21"/>
      <c r="EU164" s="21"/>
      <c r="EV164" s="21"/>
      <c r="EW164" s="21"/>
      <c r="EX164" s="21"/>
      <c r="FA164" s="9"/>
      <c r="FB164" s="21"/>
      <c r="FC164" s="21"/>
      <c r="FD164" s="21"/>
      <c r="FE164" s="21"/>
      <c r="FF164" s="21"/>
    </row>
    <row r="165" spans="6:162" x14ac:dyDescent="0.25">
      <c r="F165" s="9"/>
      <c r="G165" s="21">
        <v>0.419464</v>
      </c>
      <c r="H165" s="21">
        <v>6.5763199999999999</v>
      </c>
      <c r="I165" s="24">
        <v>-6.3476600000000001E-5</v>
      </c>
      <c r="J165" s="21">
        <v>155</v>
      </c>
      <c r="K165" s="21">
        <v>0.419159</v>
      </c>
      <c r="L165">
        <f t="shared" si="24"/>
        <v>7.8366172839506157E-2</v>
      </c>
      <c r="M165">
        <f t="shared" si="25"/>
        <v>3.2871788323950608E-2</v>
      </c>
      <c r="N165" s="9"/>
      <c r="O165" s="21">
        <v>0.68054199999999998</v>
      </c>
      <c r="P165" s="21">
        <v>9.1970600000000005</v>
      </c>
      <c r="Q165" s="24">
        <v>-4.1168200000000003E-5</v>
      </c>
      <c r="R165" s="21">
        <v>155</v>
      </c>
      <c r="S165" s="21">
        <v>0.680145</v>
      </c>
      <c r="T165">
        <f t="shared" si="26"/>
        <v>5.082493827160494E-2</v>
      </c>
      <c r="U165">
        <f t="shared" si="27"/>
        <v>3.4588505141234571E-2</v>
      </c>
      <c r="X165" s="9"/>
      <c r="Y165" s="21">
        <v>0.419464</v>
      </c>
      <c r="Z165" s="21">
        <v>13.557499999999999</v>
      </c>
      <c r="AA165" s="24">
        <v>-5.6793199999999997E-5</v>
      </c>
      <c r="AB165" s="21">
        <v>155</v>
      </c>
      <c r="AC165" s="21">
        <v>0.419128</v>
      </c>
      <c r="AD165">
        <f t="shared" si="28"/>
        <v>7.0115061728395045E-2</v>
      </c>
      <c r="AE165">
        <f t="shared" si="29"/>
        <v>2.9410744252839498E-2</v>
      </c>
      <c r="AF165" s="9"/>
      <c r="AG165" s="21">
        <v>0.68054199999999998</v>
      </c>
      <c r="AH165" s="21">
        <v>16.1782</v>
      </c>
      <c r="AI165" s="24">
        <v>-3.8635299999999999E-5</v>
      </c>
      <c r="AJ165" s="21">
        <v>155</v>
      </c>
      <c r="AK165" s="21">
        <v>0.68011500000000003</v>
      </c>
      <c r="AL165">
        <f t="shared" si="30"/>
        <v>4.7697901234567901E-2</v>
      </c>
      <c r="AM165">
        <f t="shared" si="31"/>
        <v>3.2460425101975304E-2</v>
      </c>
      <c r="AP165" s="9"/>
      <c r="AQ165" s="21">
        <v>0.419464</v>
      </c>
      <c r="AR165" s="21">
        <v>20.480699999999999</v>
      </c>
      <c r="AS165" s="24">
        <v>-5.4748499999999999E-5</v>
      </c>
      <c r="AT165" s="21">
        <v>155</v>
      </c>
      <c r="AU165" s="21">
        <v>0.41909800000000003</v>
      </c>
      <c r="AV165">
        <f t="shared" si="32"/>
        <v>6.7590740740740743E-2</v>
      </c>
      <c r="AW165">
        <f t="shared" si="33"/>
        <v>2.8351882474074074E-2</v>
      </c>
      <c r="AX165" s="9"/>
      <c r="AY165" s="21">
        <v>0.68054199999999998</v>
      </c>
      <c r="AZ165" s="21">
        <v>23.101400000000002</v>
      </c>
      <c r="BA165" s="24">
        <v>-3.7292500000000003E-5</v>
      </c>
      <c r="BB165" s="21">
        <v>155</v>
      </c>
      <c r="BC165" s="21">
        <v>0.68020599999999998</v>
      </c>
      <c r="BD165">
        <f t="shared" si="34"/>
        <v>4.6040123456790129E-2</v>
      </c>
      <c r="BE165">
        <f t="shared" si="35"/>
        <v>3.1332237697530865E-2</v>
      </c>
      <c r="BH165" s="9"/>
      <c r="BI165" s="21"/>
      <c r="BJ165" s="21"/>
      <c r="BK165" s="21"/>
      <c r="BL165" s="21"/>
      <c r="BM165" s="21"/>
      <c r="BP165" s="9"/>
      <c r="BQ165" s="21"/>
      <c r="BR165" s="21"/>
      <c r="BS165" s="21"/>
      <c r="BT165" s="21"/>
      <c r="BU165" s="21"/>
      <c r="BZ165" s="9"/>
      <c r="CA165" s="21"/>
      <c r="CB165" s="21"/>
      <c r="CC165" s="21"/>
      <c r="CD165" s="21"/>
      <c r="CE165" s="21"/>
      <c r="CH165" s="9"/>
      <c r="CI165" s="21"/>
      <c r="CJ165" s="21"/>
      <c r="CK165" s="21"/>
      <c r="CL165" s="21"/>
      <c r="CM165" s="21"/>
      <c r="CR165" s="9"/>
      <c r="CS165" s="21"/>
      <c r="CT165" s="21"/>
      <c r="CU165" s="21"/>
      <c r="CV165" s="21"/>
      <c r="CW165" s="21"/>
      <c r="CZ165" s="9"/>
      <c r="DA165" s="21"/>
      <c r="DB165" s="21"/>
      <c r="DC165" s="21"/>
      <c r="DD165" s="21"/>
      <c r="DE165" s="21"/>
      <c r="DJ165" s="9"/>
      <c r="DK165" s="21"/>
      <c r="DL165" s="21"/>
      <c r="DM165" s="21"/>
      <c r="DN165" s="21"/>
      <c r="DO165" s="21"/>
      <c r="DR165" s="9"/>
      <c r="DS165" s="21"/>
      <c r="DT165" s="21"/>
      <c r="DU165" s="21"/>
      <c r="DV165" s="21"/>
      <c r="DW165" s="21"/>
      <c r="EB165" s="9"/>
      <c r="EC165" s="21"/>
      <c r="ED165" s="21"/>
      <c r="EE165" s="21"/>
      <c r="EF165" s="21"/>
      <c r="EG165" s="21"/>
      <c r="EJ165" s="9"/>
      <c r="EK165" s="21"/>
      <c r="EL165" s="21"/>
      <c r="EM165" s="21"/>
      <c r="EN165" s="21"/>
      <c r="EO165" s="21"/>
      <c r="ET165" s="21"/>
      <c r="EU165" s="21"/>
      <c r="EV165" s="21"/>
      <c r="EW165" s="21"/>
      <c r="EX165" s="21"/>
      <c r="FA165" s="9"/>
      <c r="FB165" s="21"/>
      <c r="FC165" s="21"/>
      <c r="FD165" s="21"/>
      <c r="FE165" s="21"/>
      <c r="FF165" s="21"/>
    </row>
    <row r="166" spans="6:162" x14ac:dyDescent="0.25">
      <c r="F166" s="9"/>
      <c r="G166" s="21">
        <v>0.41442899999999999</v>
      </c>
      <c r="H166" s="21">
        <v>6.5864000000000003</v>
      </c>
      <c r="I166" s="24">
        <v>-6.3751199999999994E-5</v>
      </c>
      <c r="J166" s="21">
        <v>156</v>
      </c>
      <c r="K166" s="21">
        <v>0.41412399999999999</v>
      </c>
      <c r="L166">
        <f t="shared" si="24"/>
        <v>7.870518518518517E-2</v>
      </c>
      <c r="M166">
        <f t="shared" si="25"/>
        <v>3.2617711191111107E-2</v>
      </c>
      <c r="N166" s="9"/>
      <c r="O166" s="21">
        <v>0.68557699999999999</v>
      </c>
      <c r="P166" s="21">
        <v>9.2071400000000008</v>
      </c>
      <c r="Q166" s="24">
        <v>-4.0954600000000003E-5</v>
      </c>
      <c r="R166" s="21">
        <v>156</v>
      </c>
      <c r="S166" s="21">
        <v>0.68527199999999999</v>
      </c>
      <c r="T166">
        <f t="shared" si="26"/>
        <v>5.0561234567901236E-2</v>
      </c>
      <c r="U166">
        <f t="shared" si="27"/>
        <v>3.4663619511358025E-2</v>
      </c>
      <c r="X166" s="9"/>
      <c r="Y166" s="21">
        <v>0.41442899999999999</v>
      </c>
      <c r="Z166" s="21">
        <v>13.567600000000001</v>
      </c>
      <c r="AA166" s="24">
        <v>-5.6884800000000001E-5</v>
      </c>
      <c r="AB166" s="21">
        <v>156</v>
      </c>
      <c r="AC166" s="21">
        <v>0.41406300000000001</v>
      </c>
      <c r="AD166">
        <f t="shared" si="28"/>
        <v>7.0228148148148151E-2</v>
      </c>
      <c r="AE166">
        <f t="shared" si="29"/>
        <v>2.910458120888889E-2</v>
      </c>
      <c r="AF166" s="9"/>
      <c r="AG166" s="21">
        <v>0.68557699999999999</v>
      </c>
      <c r="AH166" s="21">
        <v>16.188300000000002</v>
      </c>
      <c r="AI166" s="24">
        <v>-3.8391099999999999E-5</v>
      </c>
      <c r="AJ166" s="21">
        <v>156</v>
      </c>
      <c r="AK166" s="21">
        <v>0.68527199999999999</v>
      </c>
      <c r="AL166">
        <f t="shared" si="30"/>
        <v>4.7396419753086415E-2</v>
      </c>
      <c r="AM166">
        <f t="shared" si="31"/>
        <v>3.2493895265061724E-2</v>
      </c>
      <c r="AP166" s="9"/>
      <c r="AQ166" s="21">
        <v>0.41442899999999999</v>
      </c>
      <c r="AR166" s="21">
        <v>20.4908</v>
      </c>
      <c r="AS166" s="24">
        <v>-5.4870600000000003E-5</v>
      </c>
      <c r="AT166" s="21">
        <v>156</v>
      </c>
      <c r="AU166" s="21">
        <v>0.41406300000000001</v>
      </c>
      <c r="AV166">
        <f t="shared" si="32"/>
        <v>6.7741481481481472E-2</v>
      </c>
      <c r="AW166">
        <f t="shared" si="33"/>
        <v>2.8074034428888884E-2</v>
      </c>
      <c r="AX166" s="9"/>
      <c r="AY166" s="21">
        <v>0.68557699999999999</v>
      </c>
      <c r="AZ166" s="21">
        <v>23.111499999999999</v>
      </c>
      <c r="BA166" s="24">
        <v>-3.7048300000000002E-5</v>
      </c>
      <c r="BB166" s="21">
        <v>156</v>
      </c>
      <c r="BC166" s="21">
        <v>0.68518100000000004</v>
      </c>
      <c r="BD166">
        <f t="shared" si="34"/>
        <v>4.5738641975308643E-2</v>
      </c>
      <c r="BE166">
        <f t="shared" si="35"/>
        <v>3.1357360949506176E-2</v>
      </c>
      <c r="BH166" s="9"/>
      <c r="BI166" s="21"/>
      <c r="BJ166" s="21"/>
      <c r="BK166" s="21"/>
      <c r="BL166" s="21"/>
      <c r="BM166" s="21"/>
      <c r="BP166" s="9"/>
      <c r="BQ166" s="21"/>
      <c r="BR166" s="21"/>
      <c r="BS166" s="21"/>
      <c r="BT166" s="21"/>
      <c r="BU166" s="21"/>
      <c r="BZ166" s="9"/>
      <c r="CA166" s="21"/>
      <c r="CB166" s="21"/>
      <c r="CC166" s="21"/>
      <c r="CD166" s="21"/>
      <c r="CE166" s="21"/>
      <c r="CH166" s="9"/>
      <c r="CI166" s="21"/>
      <c r="CJ166" s="21"/>
      <c r="CK166" s="21"/>
      <c r="CL166" s="21"/>
      <c r="CM166" s="21"/>
      <c r="CR166" s="9"/>
      <c r="CS166" s="21"/>
      <c r="CT166" s="21"/>
      <c r="CU166" s="21"/>
      <c r="CV166" s="21"/>
      <c r="CW166" s="21"/>
      <c r="CZ166" s="9"/>
      <c r="DA166" s="21"/>
      <c r="DB166" s="21"/>
      <c r="DC166" s="21"/>
      <c r="DD166" s="21"/>
      <c r="DE166" s="21"/>
      <c r="DJ166" s="9"/>
      <c r="DK166" s="21"/>
      <c r="DL166" s="21"/>
      <c r="DM166" s="21"/>
      <c r="DN166" s="21"/>
      <c r="DO166" s="21"/>
      <c r="DR166" s="9"/>
      <c r="DS166" s="21"/>
      <c r="DT166" s="21"/>
      <c r="DU166" s="21"/>
      <c r="DV166" s="21"/>
      <c r="DW166" s="21"/>
      <c r="EB166" s="9"/>
      <c r="EC166" s="21"/>
      <c r="ED166" s="21"/>
      <c r="EE166" s="21"/>
      <c r="EF166" s="21"/>
      <c r="EG166" s="21"/>
      <c r="EJ166" s="9"/>
      <c r="EK166" s="21"/>
      <c r="EL166" s="21"/>
      <c r="EM166" s="21"/>
      <c r="EN166" s="21"/>
      <c r="EO166" s="21"/>
      <c r="ET166" s="21"/>
      <c r="EU166" s="21"/>
      <c r="EV166" s="21"/>
      <c r="EW166" s="21"/>
      <c r="EX166" s="21"/>
      <c r="FA166" s="9"/>
      <c r="FB166" s="21"/>
      <c r="FC166" s="21"/>
      <c r="FD166" s="21"/>
      <c r="FE166" s="21"/>
      <c r="FF166" s="21"/>
    </row>
    <row r="167" spans="6:162" x14ac:dyDescent="0.25">
      <c r="F167" s="9"/>
      <c r="G167" s="21">
        <v>0.40939300000000001</v>
      </c>
      <c r="H167" s="21">
        <v>6.5964700000000001</v>
      </c>
      <c r="I167" s="24">
        <v>-6.3934299999999995E-5</v>
      </c>
      <c r="J167" s="21">
        <v>157</v>
      </c>
      <c r="K167" s="21">
        <v>0.40908800000000001</v>
      </c>
      <c r="L167">
        <f t="shared" si="24"/>
        <v>7.8931234567901229E-2</v>
      </c>
      <c r="M167">
        <f t="shared" si="25"/>
        <v>3.2313894913456785E-2</v>
      </c>
      <c r="N167" s="9"/>
      <c r="O167" s="21">
        <v>0.69061300000000003</v>
      </c>
      <c r="P167" s="21">
        <v>9.2172099999999997</v>
      </c>
      <c r="Q167" s="24">
        <v>-4.0893599999999998E-5</v>
      </c>
      <c r="R167" s="21">
        <v>157</v>
      </c>
      <c r="S167" s="21">
        <v>0.69018599999999997</v>
      </c>
      <c r="T167">
        <f t="shared" si="26"/>
        <v>5.048592592592592E-2</v>
      </c>
      <c r="U167">
        <f t="shared" si="27"/>
        <v>3.4866236761481477E-2</v>
      </c>
      <c r="X167" s="9"/>
      <c r="Y167" s="21">
        <v>0.40939300000000001</v>
      </c>
      <c r="Z167" s="21">
        <v>13.5776</v>
      </c>
      <c r="AA167" s="24">
        <v>-5.7098400000000002E-5</v>
      </c>
      <c r="AB167" s="21">
        <v>157</v>
      </c>
      <c r="AC167" s="21">
        <v>0.40908800000000001</v>
      </c>
      <c r="AD167">
        <f t="shared" si="28"/>
        <v>7.0491851851851847E-2</v>
      </c>
      <c r="AE167">
        <f t="shared" si="29"/>
        <v>2.8858870705185183E-2</v>
      </c>
      <c r="AF167" s="9"/>
      <c r="AG167" s="21">
        <v>0.69061300000000003</v>
      </c>
      <c r="AH167" s="21">
        <v>16.198399999999999</v>
      </c>
      <c r="AI167" s="24">
        <v>-3.8238500000000003E-5</v>
      </c>
      <c r="AJ167" s="21">
        <v>157</v>
      </c>
      <c r="AK167" s="21">
        <v>0.69030800000000003</v>
      </c>
      <c r="AL167">
        <f t="shared" si="30"/>
        <v>4.7208024691358028E-2</v>
      </c>
      <c r="AM167">
        <f t="shared" si="31"/>
        <v>3.2602475556172843E-2</v>
      </c>
      <c r="AP167" s="9"/>
      <c r="AQ167" s="21">
        <v>0.40939300000000001</v>
      </c>
      <c r="AR167" s="21">
        <v>20.500800000000002</v>
      </c>
      <c r="AS167" s="24">
        <v>-5.5084199999999997E-5</v>
      </c>
      <c r="AT167" s="21">
        <v>157</v>
      </c>
      <c r="AU167" s="21">
        <v>0.40908800000000001</v>
      </c>
      <c r="AV167">
        <f t="shared" si="32"/>
        <v>6.8005185185185182E-2</v>
      </c>
      <c r="AW167">
        <f t="shared" si="33"/>
        <v>2.7840846778518519E-2</v>
      </c>
      <c r="AX167" s="9"/>
      <c r="AY167" s="21">
        <v>0.69061300000000003</v>
      </c>
      <c r="AZ167" s="21">
        <v>23.121600000000001</v>
      </c>
      <c r="BA167" s="24">
        <v>-3.6987299999999997E-5</v>
      </c>
      <c r="BB167" s="21">
        <v>157</v>
      </c>
      <c r="BC167" s="21">
        <v>0.69027700000000003</v>
      </c>
      <c r="BD167">
        <f t="shared" si="34"/>
        <v>4.5663333333333327E-2</v>
      </c>
      <c r="BE167">
        <f t="shared" si="35"/>
        <v>3.1535691623333327E-2</v>
      </c>
      <c r="BH167" s="9"/>
      <c r="BI167" s="21"/>
      <c r="BJ167" s="21"/>
      <c r="BK167" s="21"/>
      <c r="BL167" s="21"/>
      <c r="BM167" s="21"/>
      <c r="BP167" s="9"/>
      <c r="BQ167" s="21"/>
      <c r="BR167" s="21"/>
      <c r="BS167" s="21"/>
      <c r="BT167" s="21"/>
      <c r="BU167" s="21"/>
      <c r="BZ167" s="9"/>
      <c r="CA167" s="21"/>
      <c r="CB167" s="21"/>
      <c r="CC167" s="21"/>
      <c r="CD167" s="21"/>
      <c r="CE167" s="21"/>
      <c r="CH167" s="9"/>
      <c r="CI167" s="21"/>
      <c r="CJ167" s="21"/>
      <c r="CK167" s="21"/>
      <c r="CL167" s="21"/>
      <c r="CM167" s="21"/>
      <c r="CR167" s="9"/>
      <c r="CS167" s="21"/>
      <c r="CT167" s="21"/>
      <c r="CU167" s="21"/>
      <c r="CV167" s="21"/>
      <c r="CW167" s="21"/>
      <c r="CZ167" s="9"/>
      <c r="DA167" s="21"/>
      <c r="DB167" s="21"/>
      <c r="DC167" s="21"/>
      <c r="DD167" s="21"/>
      <c r="DE167" s="21"/>
      <c r="DJ167" s="9"/>
      <c r="DK167" s="21"/>
      <c r="DL167" s="21"/>
      <c r="DM167" s="21"/>
      <c r="DN167" s="21"/>
      <c r="DO167" s="21"/>
      <c r="DR167" s="9"/>
      <c r="DS167" s="21"/>
      <c r="DT167" s="21"/>
      <c r="DU167" s="21"/>
      <c r="DV167" s="21"/>
      <c r="DW167" s="21"/>
      <c r="EB167" s="9"/>
      <c r="EC167" s="21"/>
      <c r="ED167" s="21"/>
      <c r="EE167" s="21"/>
      <c r="EF167" s="21"/>
      <c r="EG167" s="21"/>
      <c r="EJ167" s="9"/>
      <c r="EK167" s="21"/>
      <c r="EL167" s="21"/>
      <c r="EM167" s="21"/>
      <c r="EN167" s="21"/>
      <c r="EO167" s="21"/>
      <c r="ET167" s="21"/>
      <c r="EU167" s="21"/>
      <c r="EV167" s="21"/>
      <c r="EW167" s="21"/>
      <c r="EX167" s="21"/>
      <c r="FA167" s="9"/>
      <c r="FB167" s="21"/>
      <c r="FC167" s="21"/>
      <c r="FD167" s="21"/>
      <c r="FE167" s="21"/>
      <c r="FF167" s="21"/>
    </row>
    <row r="168" spans="6:162" x14ac:dyDescent="0.25">
      <c r="F168" s="9"/>
      <c r="G168" s="21">
        <v>0.404358</v>
      </c>
      <c r="H168" s="21">
        <v>6.6065399999999999</v>
      </c>
      <c r="I168" s="24">
        <v>-6.4025900000000006E-5</v>
      </c>
      <c r="J168" s="21">
        <v>158</v>
      </c>
      <c r="K168" s="21">
        <v>0.404053</v>
      </c>
      <c r="L168">
        <f t="shared" si="24"/>
        <v>7.9044320987654321E-2</v>
      </c>
      <c r="M168">
        <f t="shared" si="25"/>
        <v>3.1962203545925924E-2</v>
      </c>
      <c r="N168" s="9"/>
      <c r="O168" s="21">
        <v>0.69564800000000004</v>
      </c>
      <c r="P168" s="21">
        <v>9.2272800000000004</v>
      </c>
      <c r="Q168" s="24">
        <v>-4.0679900000000003E-5</v>
      </c>
      <c r="R168" s="21">
        <v>158</v>
      </c>
      <c r="S168" s="21">
        <v>0.69525099999999995</v>
      </c>
      <c r="T168">
        <f t="shared" si="26"/>
        <v>5.0222098765432099E-2</v>
      </c>
      <c r="U168">
        <f t="shared" si="27"/>
        <v>3.4936902561975312E-2</v>
      </c>
      <c r="X168" s="9"/>
      <c r="Y168" s="21">
        <v>0.404358</v>
      </c>
      <c r="Z168" s="21">
        <v>13.5877</v>
      </c>
      <c r="AA168" s="24">
        <v>-5.7220499999999999E-5</v>
      </c>
      <c r="AB168" s="21">
        <v>158</v>
      </c>
      <c r="AC168" s="21">
        <v>0.40408300000000003</v>
      </c>
      <c r="AD168">
        <f t="shared" si="28"/>
        <v>7.0642592592592576E-2</v>
      </c>
      <c r="AE168">
        <f t="shared" si="29"/>
        <v>2.8564897455555547E-2</v>
      </c>
      <c r="AF168" s="9"/>
      <c r="AG168" s="21">
        <v>0.69564800000000004</v>
      </c>
      <c r="AH168" s="21">
        <v>16.208500000000001</v>
      </c>
      <c r="AI168" s="24">
        <v>-3.8085900000000001E-5</v>
      </c>
      <c r="AJ168" s="21">
        <v>158</v>
      </c>
      <c r="AK168" s="21">
        <v>0.69531299999999996</v>
      </c>
      <c r="AL168">
        <f t="shared" si="30"/>
        <v>4.7019629629629626E-2</v>
      </c>
      <c r="AM168">
        <f t="shared" si="31"/>
        <v>3.270911131259259E-2</v>
      </c>
      <c r="AP168" s="9"/>
      <c r="AQ168" s="21">
        <v>0.404358</v>
      </c>
      <c r="AR168" s="21">
        <v>20.510899999999999</v>
      </c>
      <c r="AS168" s="24">
        <v>-5.5175800000000001E-5</v>
      </c>
      <c r="AT168" s="21">
        <v>158</v>
      </c>
      <c r="AU168" s="21">
        <v>0.404053</v>
      </c>
      <c r="AV168">
        <f t="shared" si="32"/>
        <v>6.8118271604938274E-2</v>
      </c>
      <c r="AW168">
        <f t="shared" si="33"/>
        <v>2.7544168069629629E-2</v>
      </c>
      <c r="AX168" s="9"/>
      <c r="AY168" s="21">
        <v>0.69564800000000004</v>
      </c>
      <c r="AZ168" s="21">
        <v>23.131599999999999</v>
      </c>
      <c r="BA168" s="24">
        <v>-3.6773700000000003E-5</v>
      </c>
      <c r="BB168" s="21">
        <v>158</v>
      </c>
      <c r="BC168" s="21">
        <v>0.69531299999999996</v>
      </c>
      <c r="BD168">
        <f t="shared" si="34"/>
        <v>4.539962962962963E-2</v>
      </c>
      <c r="BE168">
        <f t="shared" si="35"/>
        <v>3.1582161552592594E-2</v>
      </c>
      <c r="BH168" s="9"/>
      <c r="BI168" s="21"/>
      <c r="BJ168" s="21"/>
      <c r="BK168" s="21"/>
      <c r="BL168" s="21"/>
      <c r="BM168" s="21"/>
      <c r="BP168" s="9"/>
      <c r="BQ168" s="21"/>
      <c r="BR168" s="21"/>
      <c r="BS168" s="21"/>
      <c r="BT168" s="21"/>
      <c r="BU168" s="21"/>
      <c r="BZ168" s="9"/>
      <c r="CA168" s="21"/>
      <c r="CB168" s="21"/>
      <c r="CC168" s="21"/>
      <c r="CD168" s="21"/>
      <c r="CE168" s="21"/>
      <c r="CH168" s="9"/>
      <c r="CI168" s="21"/>
      <c r="CJ168" s="21"/>
      <c r="CK168" s="21"/>
      <c r="CL168" s="21"/>
      <c r="CM168" s="21"/>
      <c r="CR168" s="9"/>
      <c r="CS168" s="21"/>
      <c r="CT168" s="21"/>
      <c r="CU168" s="21"/>
      <c r="CV168" s="21"/>
      <c r="CW168" s="21"/>
      <c r="CZ168" s="9"/>
      <c r="DA168" s="21"/>
      <c r="DB168" s="21"/>
      <c r="DC168" s="21"/>
      <c r="DD168" s="21"/>
      <c r="DE168" s="21"/>
      <c r="DJ168" s="9"/>
      <c r="DK168" s="21"/>
      <c r="DL168" s="21"/>
      <c r="DM168" s="21"/>
      <c r="DN168" s="21"/>
      <c r="DO168" s="21"/>
      <c r="DR168" s="9"/>
      <c r="DS168" s="21"/>
      <c r="DT168" s="21"/>
      <c r="DU168" s="21"/>
      <c r="DV168" s="21"/>
      <c r="DW168" s="21"/>
      <c r="EB168" s="9"/>
      <c r="EC168" s="21"/>
      <c r="ED168" s="21"/>
      <c r="EE168" s="21"/>
      <c r="EF168" s="21"/>
      <c r="EG168" s="21"/>
      <c r="EJ168" s="9"/>
      <c r="EK168" s="21"/>
      <c r="EL168" s="21"/>
      <c r="EM168" s="21"/>
      <c r="EN168" s="21"/>
      <c r="EO168" s="21"/>
      <c r="ET168" s="21"/>
      <c r="EU168" s="21"/>
      <c r="EV168" s="21"/>
      <c r="EW168" s="21"/>
      <c r="EX168" s="21"/>
      <c r="FA168" s="9"/>
      <c r="FB168" s="21"/>
      <c r="FC168" s="21"/>
      <c r="FD168" s="21"/>
      <c r="FE168" s="21"/>
      <c r="FF168" s="21"/>
    </row>
    <row r="169" spans="6:162" x14ac:dyDescent="0.25">
      <c r="F169" s="9"/>
      <c r="G169" s="21">
        <v>0.39932299999999998</v>
      </c>
      <c r="H169" s="21">
        <v>6.6166099999999997</v>
      </c>
      <c r="I169" s="24">
        <v>-6.4147900000000003E-5</v>
      </c>
      <c r="J169" s="21">
        <v>159</v>
      </c>
      <c r="K169" s="21">
        <v>0.39898699999999998</v>
      </c>
      <c r="L169">
        <f t="shared" si="24"/>
        <v>7.9194938271604939E-2</v>
      </c>
      <c r="M169">
        <f t="shared" si="25"/>
        <v>3.1624360335432096E-2</v>
      </c>
      <c r="N169" s="9"/>
      <c r="O169" s="21">
        <v>0.70068399999999997</v>
      </c>
      <c r="P169" s="21">
        <v>9.2373499999999993</v>
      </c>
      <c r="Q169" s="24">
        <v>-4.0588399999999999E-5</v>
      </c>
      <c r="R169" s="21">
        <v>159</v>
      </c>
      <c r="S169" s="21">
        <v>0.70028699999999999</v>
      </c>
      <c r="T169">
        <f t="shared" si="26"/>
        <v>5.0109135802469132E-2</v>
      </c>
      <c r="U169">
        <f t="shared" si="27"/>
        <v>3.5110669710617277E-2</v>
      </c>
      <c r="X169" s="9"/>
      <c r="Y169" s="21">
        <v>0.39932299999999998</v>
      </c>
      <c r="Z169" s="21">
        <v>13.597799999999999</v>
      </c>
      <c r="AA169" s="24">
        <v>-5.7495099999999998E-5</v>
      </c>
      <c r="AB169" s="21">
        <v>159</v>
      </c>
      <c r="AC169" s="21">
        <v>0.39895599999999998</v>
      </c>
      <c r="AD169">
        <f t="shared" si="28"/>
        <v>7.0981604938271603E-2</v>
      </c>
      <c r="AE169">
        <f t="shared" si="29"/>
        <v>2.834458742876543E-2</v>
      </c>
      <c r="AF169" s="9"/>
      <c r="AG169" s="21">
        <v>0.70068399999999997</v>
      </c>
      <c r="AH169" s="21">
        <v>16.218499999999999</v>
      </c>
      <c r="AI169" s="24">
        <v>-3.7902799999999999E-5</v>
      </c>
      <c r="AJ169" s="21">
        <v>159</v>
      </c>
      <c r="AK169" s="21">
        <v>0.70028699999999999</v>
      </c>
      <c r="AL169">
        <f t="shared" si="30"/>
        <v>4.6793580246913574E-2</v>
      </c>
      <c r="AM169">
        <f t="shared" si="31"/>
        <v>3.2787512981728391E-2</v>
      </c>
      <c r="AP169" s="9"/>
      <c r="AQ169" s="21">
        <v>0.39932299999999998</v>
      </c>
      <c r="AR169" s="21">
        <v>20.521000000000001</v>
      </c>
      <c r="AS169" s="24">
        <v>-5.5389400000000002E-5</v>
      </c>
      <c r="AT169" s="21">
        <v>159</v>
      </c>
      <c r="AU169" s="21">
        <v>0.39895599999999998</v>
      </c>
      <c r="AV169">
        <f t="shared" si="32"/>
        <v>6.8381975308641971E-2</v>
      </c>
      <c r="AW169">
        <f t="shared" si="33"/>
        <v>2.7306495526172838E-2</v>
      </c>
      <c r="AX169" s="9"/>
      <c r="AY169" s="21">
        <v>0.70068399999999997</v>
      </c>
      <c r="AZ169" s="21">
        <v>23.1417</v>
      </c>
      <c r="BA169" s="24">
        <v>-3.6743199999999997E-5</v>
      </c>
      <c r="BB169" s="21">
        <v>159</v>
      </c>
      <c r="BC169" s="21">
        <v>0.70031699999999997</v>
      </c>
      <c r="BD169">
        <f t="shared" si="34"/>
        <v>4.5361975308641972E-2</v>
      </c>
      <c r="BE169">
        <f t="shared" si="35"/>
        <v>3.1784410307160491E-2</v>
      </c>
      <c r="BH169" s="9"/>
      <c r="BI169" s="21"/>
      <c r="BJ169" s="21"/>
      <c r="BK169" s="21"/>
      <c r="BL169" s="21"/>
      <c r="BM169" s="21"/>
      <c r="BP169" s="9"/>
      <c r="BQ169" s="21"/>
      <c r="BR169" s="21"/>
      <c r="BS169" s="21"/>
      <c r="BT169" s="21"/>
      <c r="BU169" s="21"/>
      <c r="BZ169" s="9"/>
      <c r="CA169" s="21"/>
      <c r="CB169" s="21"/>
      <c r="CC169" s="21"/>
      <c r="CD169" s="21"/>
      <c r="CE169" s="21"/>
      <c r="CH169" s="9"/>
      <c r="CI169" s="21"/>
      <c r="CJ169" s="21"/>
      <c r="CK169" s="21"/>
      <c r="CL169" s="21"/>
      <c r="CM169" s="21"/>
      <c r="CR169" s="9"/>
      <c r="CS169" s="21"/>
      <c r="CT169" s="21"/>
      <c r="CU169" s="21"/>
      <c r="CV169" s="21"/>
      <c r="CW169" s="21"/>
      <c r="CZ169" s="9"/>
      <c r="DA169" s="21"/>
      <c r="DB169" s="21"/>
      <c r="DC169" s="21"/>
      <c r="DD169" s="21"/>
      <c r="DE169" s="21"/>
      <c r="DJ169" s="9"/>
      <c r="DK169" s="21"/>
      <c r="DL169" s="21"/>
      <c r="DM169" s="21"/>
      <c r="DN169" s="21"/>
      <c r="DO169" s="21"/>
      <c r="DR169" s="9"/>
      <c r="DS169" s="21"/>
      <c r="DT169" s="21"/>
      <c r="DU169" s="21"/>
      <c r="DV169" s="21"/>
      <c r="DW169" s="21"/>
      <c r="EB169" s="9"/>
      <c r="EC169" s="21"/>
      <c r="ED169" s="21"/>
      <c r="EE169" s="21"/>
      <c r="EF169" s="21"/>
      <c r="EG169" s="21"/>
      <c r="EJ169" s="9"/>
      <c r="EK169" s="21"/>
      <c r="EL169" s="21"/>
      <c r="EM169" s="21"/>
      <c r="EN169" s="21"/>
      <c r="EO169" s="21"/>
      <c r="ET169" s="21"/>
      <c r="EU169" s="21"/>
      <c r="EV169" s="21"/>
      <c r="EW169" s="21"/>
      <c r="EX169" s="21"/>
      <c r="FA169" s="9"/>
      <c r="FB169" s="21"/>
      <c r="FC169" s="21"/>
      <c r="FD169" s="21"/>
      <c r="FE169" s="21"/>
      <c r="FF169" s="21"/>
    </row>
    <row r="170" spans="6:162" x14ac:dyDescent="0.25">
      <c r="F170" s="9"/>
      <c r="G170" s="21">
        <v>0.394287</v>
      </c>
      <c r="H170" s="21">
        <v>6.6266800000000003</v>
      </c>
      <c r="I170" s="24">
        <v>-6.45142E-5</v>
      </c>
      <c r="J170" s="21">
        <v>160</v>
      </c>
      <c r="K170" s="21">
        <v>0.393951</v>
      </c>
      <c r="L170">
        <f t="shared" si="24"/>
        <v>7.9647160493827154E-2</v>
      </c>
      <c r="M170">
        <f t="shared" si="25"/>
        <v>3.1403839969629629E-2</v>
      </c>
      <c r="N170" s="9"/>
      <c r="O170" s="21">
        <v>0.70571899999999999</v>
      </c>
      <c r="P170" s="21">
        <v>9.24742</v>
      </c>
      <c r="Q170" s="24">
        <v>-4.03137E-5</v>
      </c>
      <c r="R170" s="21">
        <v>160</v>
      </c>
      <c r="S170" s="21">
        <v>0.70538299999999998</v>
      </c>
      <c r="T170">
        <f t="shared" si="26"/>
        <v>4.9770000000000002E-2</v>
      </c>
      <c r="U170">
        <f t="shared" si="27"/>
        <v>3.5123634629999997E-2</v>
      </c>
      <c r="X170" s="9"/>
      <c r="Y170" s="21">
        <v>0.394287</v>
      </c>
      <c r="Z170" s="21">
        <v>13.607900000000001</v>
      </c>
      <c r="AA170" s="24">
        <v>-5.7556200000000003E-5</v>
      </c>
      <c r="AB170" s="21">
        <v>160</v>
      </c>
      <c r="AC170" s="21">
        <v>0.39401199999999997</v>
      </c>
      <c r="AD170">
        <f t="shared" si="28"/>
        <v>7.105703703703703E-2</v>
      </c>
      <c r="AE170">
        <f t="shared" si="29"/>
        <v>2.801686596222222E-2</v>
      </c>
      <c r="AF170" s="9"/>
      <c r="AG170" s="21">
        <v>0.70571899999999999</v>
      </c>
      <c r="AH170" s="21">
        <v>16.2286</v>
      </c>
      <c r="AI170" s="24">
        <v>-3.7780800000000003E-5</v>
      </c>
      <c r="AJ170" s="21">
        <v>160</v>
      </c>
      <c r="AK170" s="21">
        <v>0.70541399999999999</v>
      </c>
      <c r="AL170">
        <f t="shared" si="30"/>
        <v>4.6642962962962962E-2</v>
      </c>
      <c r="AM170">
        <f t="shared" si="31"/>
        <v>3.2916825179259257E-2</v>
      </c>
      <c r="AP170" s="9"/>
      <c r="AQ170" s="21">
        <v>0.394287</v>
      </c>
      <c r="AR170" s="21">
        <v>20.530999999999999</v>
      </c>
      <c r="AS170" s="24">
        <v>-5.5511499999999999E-5</v>
      </c>
      <c r="AT170" s="21">
        <v>160</v>
      </c>
      <c r="AU170" s="21">
        <v>0.393951</v>
      </c>
      <c r="AV170">
        <f t="shared" si="32"/>
        <v>6.8532716049382714E-2</v>
      </c>
      <c r="AW170">
        <f t="shared" si="33"/>
        <v>2.7021559012962961E-2</v>
      </c>
      <c r="AX170" s="9"/>
      <c r="AY170" s="21">
        <v>0.70571899999999999</v>
      </c>
      <c r="AZ170" s="21">
        <v>23.151800000000001</v>
      </c>
      <c r="BA170" s="24">
        <v>-3.6560100000000003E-5</v>
      </c>
      <c r="BB170" s="21">
        <v>160</v>
      </c>
      <c r="BC170" s="21">
        <v>0.70538299999999998</v>
      </c>
      <c r="BD170">
        <f t="shared" si="34"/>
        <v>4.5135925925925927E-2</v>
      </c>
      <c r="BE170">
        <f t="shared" si="35"/>
        <v>3.1853280508518517E-2</v>
      </c>
      <c r="BH170" s="9"/>
      <c r="BI170" s="21"/>
      <c r="BJ170" s="21"/>
      <c r="BK170" s="21"/>
      <c r="BL170" s="21"/>
      <c r="BM170" s="21"/>
      <c r="BP170" s="9"/>
      <c r="BQ170" s="21"/>
      <c r="BR170" s="21"/>
      <c r="BS170" s="21"/>
      <c r="BT170" s="21"/>
      <c r="BU170" s="21"/>
      <c r="BZ170" s="9"/>
      <c r="CA170" s="21"/>
      <c r="CB170" s="21"/>
      <c r="CC170" s="21"/>
      <c r="CD170" s="21"/>
      <c r="CE170" s="21"/>
      <c r="CH170" s="9"/>
      <c r="CI170" s="21"/>
      <c r="CJ170" s="21"/>
      <c r="CK170" s="21"/>
      <c r="CL170" s="21"/>
      <c r="CM170" s="21"/>
      <c r="CR170" s="9"/>
      <c r="CS170" s="21"/>
      <c r="CT170" s="21"/>
      <c r="CU170" s="21"/>
      <c r="CV170" s="21"/>
      <c r="CW170" s="21"/>
      <c r="CZ170" s="9"/>
      <c r="DA170" s="21"/>
      <c r="DB170" s="21"/>
      <c r="DC170" s="21"/>
      <c r="DD170" s="21"/>
      <c r="DE170" s="21"/>
      <c r="DJ170" s="9"/>
      <c r="DK170" s="21"/>
      <c r="DL170" s="21"/>
      <c r="DM170" s="21"/>
      <c r="DN170" s="21"/>
      <c r="DO170" s="21"/>
      <c r="DR170" s="9"/>
      <c r="DS170" s="21"/>
      <c r="DT170" s="21"/>
      <c r="DU170" s="21"/>
      <c r="DV170" s="21"/>
      <c r="DW170" s="21"/>
      <c r="EB170" s="9"/>
      <c r="EC170" s="21"/>
      <c r="ED170" s="21"/>
      <c r="EE170" s="21"/>
      <c r="EF170" s="21"/>
      <c r="EG170" s="21"/>
      <c r="EJ170" s="9"/>
      <c r="EK170" s="21"/>
      <c r="EL170" s="21"/>
      <c r="EM170" s="21"/>
      <c r="EN170" s="21"/>
      <c r="EO170" s="21"/>
      <c r="ET170" s="21"/>
      <c r="EU170" s="21"/>
      <c r="EV170" s="21"/>
      <c r="EW170" s="21"/>
      <c r="EX170" s="21"/>
      <c r="FA170" s="9"/>
      <c r="FB170" s="21"/>
      <c r="FC170" s="21"/>
      <c r="FD170" s="21"/>
      <c r="FE170" s="21"/>
      <c r="FF170" s="21"/>
    </row>
    <row r="171" spans="6:162" x14ac:dyDescent="0.25">
      <c r="F171" s="9"/>
      <c r="G171" s="21">
        <v>0.38925199999999999</v>
      </c>
      <c r="H171" s="21">
        <v>6.6367500000000001</v>
      </c>
      <c r="I171" s="24">
        <v>-6.4544700000000006E-5</v>
      </c>
      <c r="J171" s="21">
        <v>161</v>
      </c>
      <c r="K171" s="21">
        <v>0.38888499999999998</v>
      </c>
      <c r="L171">
        <f t="shared" si="24"/>
        <v>7.9684814814814819E-2</v>
      </c>
      <c r="M171">
        <f t="shared" si="25"/>
        <v>3.1017473536296296E-2</v>
      </c>
      <c r="N171" s="9"/>
      <c r="O171" s="21">
        <v>0.710754</v>
      </c>
      <c r="P171" s="21">
        <v>9.2574900000000007</v>
      </c>
      <c r="Q171" s="24">
        <v>-4.0252700000000002E-5</v>
      </c>
      <c r="R171" s="21">
        <v>161</v>
      </c>
      <c r="S171" s="21">
        <v>0.71041900000000002</v>
      </c>
      <c r="T171">
        <f t="shared" si="26"/>
        <v>4.9694691358024692E-2</v>
      </c>
      <c r="U171">
        <f t="shared" si="27"/>
        <v>3.5320700661481484E-2</v>
      </c>
      <c r="X171" s="9"/>
      <c r="Y171" s="21">
        <v>0.38925199999999999</v>
      </c>
      <c r="Z171" s="21">
        <v>13.617900000000001</v>
      </c>
      <c r="AA171" s="24">
        <v>-5.7769799999999997E-5</v>
      </c>
      <c r="AB171" s="21">
        <v>161</v>
      </c>
      <c r="AC171" s="21">
        <v>0.38897700000000002</v>
      </c>
      <c r="AD171">
        <f t="shared" si="28"/>
        <v>7.132074074074074E-2</v>
      </c>
      <c r="AE171">
        <f t="shared" si="29"/>
        <v>2.7761740974814812E-2</v>
      </c>
      <c r="AF171" s="9"/>
      <c r="AG171" s="21">
        <v>0.710754</v>
      </c>
      <c r="AH171" s="21">
        <v>16.238700000000001</v>
      </c>
      <c r="AI171" s="24">
        <v>-3.7567100000000002E-5</v>
      </c>
      <c r="AJ171" s="21">
        <v>161</v>
      </c>
      <c r="AK171" s="21">
        <v>0.71038800000000002</v>
      </c>
      <c r="AL171">
        <f t="shared" si="30"/>
        <v>4.6379135802469135E-2</v>
      </c>
      <c r="AM171">
        <f t="shared" si="31"/>
        <v>3.2964156288148146E-2</v>
      </c>
      <c r="AP171" s="9"/>
      <c r="AQ171" s="21">
        <v>0.38925199999999999</v>
      </c>
      <c r="AR171" s="21">
        <v>20.5411</v>
      </c>
      <c r="AS171" s="24">
        <v>-5.5633500000000002E-5</v>
      </c>
      <c r="AT171" s="21">
        <v>161</v>
      </c>
      <c r="AU171" s="21">
        <v>0.38891599999999998</v>
      </c>
      <c r="AV171">
        <f t="shared" si="32"/>
        <v>6.8683333333333332E-2</v>
      </c>
      <c r="AW171">
        <f t="shared" si="33"/>
        <v>2.6735124866666665E-2</v>
      </c>
      <c r="AX171" s="9"/>
      <c r="AY171" s="21">
        <v>0.710754</v>
      </c>
      <c r="AZ171" s="21">
        <v>23.161799999999999</v>
      </c>
      <c r="BA171" s="24">
        <v>-3.6224399999999998E-5</v>
      </c>
      <c r="BB171" s="21">
        <v>161</v>
      </c>
      <c r="BC171" s="21">
        <v>0.71041900000000002</v>
      </c>
      <c r="BD171">
        <f t="shared" si="34"/>
        <v>4.4721481481481473E-2</v>
      </c>
      <c r="BE171">
        <f t="shared" si="35"/>
        <v>3.1785971848888886E-2</v>
      </c>
      <c r="BH171" s="9"/>
      <c r="BI171" s="21"/>
      <c r="BJ171" s="21"/>
      <c r="BK171" s="21"/>
      <c r="BL171" s="21"/>
      <c r="BM171" s="21"/>
      <c r="BP171" s="9"/>
      <c r="BQ171" s="21"/>
      <c r="BR171" s="21"/>
      <c r="BS171" s="21"/>
      <c r="BT171" s="21"/>
      <c r="BU171" s="21"/>
      <c r="BZ171" s="9"/>
      <c r="CA171" s="21"/>
      <c r="CB171" s="21"/>
      <c r="CC171" s="21"/>
      <c r="CD171" s="21"/>
      <c r="CE171" s="21"/>
      <c r="CH171" s="9"/>
      <c r="CI171" s="21"/>
      <c r="CJ171" s="21"/>
      <c r="CK171" s="21"/>
      <c r="CL171" s="21"/>
      <c r="CM171" s="21"/>
      <c r="CR171" s="9"/>
      <c r="CS171" s="21"/>
      <c r="CT171" s="21"/>
      <c r="CU171" s="21"/>
      <c r="CV171" s="21"/>
      <c r="CW171" s="21"/>
      <c r="CZ171" s="9"/>
      <c r="DA171" s="21"/>
      <c r="DB171" s="21"/>
      <c r="DC171" s="21"/>
      <c r="DD171" s="21"/>
      <c r="DE171" s="21"/>
      <c r="DJ171" s="9"/>
      <c r="DK171" s="21"/>
      <c r="DL171" s="21"/>
      <c r="DM171" s="21"/>
      <c r="DN171" s="21"/>
      <c r="DO171" s="21"/>
      <c r="DR171" s="9"/>
      <c r="DS171" s="21"/>
      <c r="DT171" s="21"/>
      <c r="DU171" s="21"/>
      <c r="DV171" s="21"/>
      <c r="DW171" s="21"/>
      <c r="EB171" s="9"/>
      <c r="EC171" s="21"/>
      <c r="ED171" s="21"/>
      <c r="EE171" s="21"/>
      <c r="EF171" s="21"/>
      <c r="EG171" s="21"/>
      <c r="EJ171" s="9"/>
      <c r="EK171" s="21"/>
      <c r="EL171" s="21"/>
      <c r="EM171" s="21"/>
      <c r="EN171" s="21"/>
      <c r="EO171" s="21"/>
      <c r="ET171" s="21"/>
      <c r="EU171" s="21"/>
      <c r="EV171" s="21"/>
      <c r="EW171" s="21"/>
      <c r="EX171" s="21"/>
      <c r="FA171" s="9"/>
      <c r="FB171" s="21"/>
      <c r="FC171" s="21"/>
      <c r="FD171" s="21"/>
      <c r="FE171" s="21"/>
      <c r="FF171" s="21"/>
    </row>
    <row r="172" spans="6:162" x14ac:dyDescent="0.25">
      <c r="F172" s="9"/>
      <c r="G172" s="21">
        <v>0.384216</v>
      </c>
      <c r="H172" s="21">
        <v>6.64682</v>
      </c>
      <c r="I172" s="24">
        <v>-6.44836E-5</v>
      </c>
      <c r="J172" s="21">
        <v>162</v>
      </c>
      <c r="K172" s="21">
        <v>0.38381999999999999</v>
      </c>
      <c r="L172">
        <f t="shared" si="24"/>
        <v>7.9609382716049379E-2</v>
      </c>
      <c r="M172">
        <f t="shared" si="25"/>
        <v>3.0587198589629629E-2</v>
      </c>
      <c r="N172" s="9"/>
      <c r="O172" s="21">
        <v>0.71579000000000004</v>
      </c>
      <c r="P172" s="21">
        <v>9.2675599999999996</v>
      </c>
      <c r="Q172" s="24">
        <v>-4.00696E-5</v>
      </c>
      <c r="R172" s="21">
        <v>162</v>
      </c>
      <c r="S172" s="21">
        <v>0.71554600000000002</v>
      </c>
      <c r="T172">
        <f t="shared" si="26"/>
        <v>4.946864197530864E-2</v>
      </c>
      <c r="U172">
        <f t="shared" si="27"/>
        <v>3.5409159239506174E-2</v>
      </c>
      <c r="X172" s="9"/>
      <c r="Y172" s="21">
        <v>0.384216</v>
      </c>
      <c r="Z172" s="21">
        <v>13.628</v>
      </c>
      <c r="AA172" s="24">
        <v>-5.79224E-5</v>
      </c>
      <c r="AB172" s="21">
        <v>162</v>
      </c>
      <c r="AC172" s="21">
        <v>0.383911</v>
      </c>
      <c r="AD172">
        <f t="shared" si="28"/>
        <v>7.1509135802469134E-2</v>
      </c>
      <c r="AE172">
        <f t="shared" si="29"/>
        <v>2.747495412148148E-2</v>
      </c>
      <c r="AF172" s="9"/>
      <c r="AG172" s="21">
        <v>0.71579000000000004</v>
      </c>
      <c r="AH172" s="21">
        <v>16.248699999999999</v>
      </c>
      <c r="AI172" s="24">
        <v>-3.7536600000000002E-5</v>
      </c>
      <c r="AJ172" s="21">
        <v>162</v>
      </c>
      <c r="AK172" s="21">
        <v>0.71548500000000004</v>
      </c>
      <c r="AL172">
        <f t="shared" si="30"/>
        <v>4.6341481481481483E-2</v>
      </c>
      <c r="AM172">
        <f t="shared" si="31"/>
        <v>3.3170769029629635E-2</v>
      </c>
      <c r="AP172" s="9"/>
      <c r="AQ172" s="21">
        <v>0.384216</v>
      </c>
      <c r="AR172" s="21">
        <v>20.551200000000001</v>
      </c>
      <c r="AS172" s="24">
        <v>-5.5877700000000002E-5</v>
      </c>
      <c r="AT172" s="21">
        <v>162</v>
      </c>
      <c r="AU172" s="21">
        <v>0.38394200000000001</v>
      </c>
      <c r="AV172">
        <f t="shared" si="32"/>
        <v>6.8984814814814804E-2</v>
      </c>
      <c r="AW172">
        <f t="shared" si="33"/>
        <v>2.6505069608888886E-2</v>
      </c>
      <c r="AX172" s="9"/>
      <c r="AY172" s="21">
        <v>0.71579000000000004</v>
      </c>
      <c r="AZ172" s="21">
        <v>23.171900000000001</v>
      </c>
      <c r="BA172" s="24">
        <v>-3.6010699999999997E-5</v>
      </c>
      <c r="BB172" s="21">
        <v>162</v>
      </c>
      <c r="BC172" s="21">
        <v>0.71551500000000001</v>
      </c>
      <c r="BD172">
        <f t="shared" si="34"/>
        <v>4.4457654320987645E-2</v>
      </c>
      <c r="BE172">
        <f t="shared" si="35"/>
        <v>3.1822344386419746E-2</v>
      </c>
      <c r="BH172" s="9"/>
      <c r="BI172" s="21"/>
      <c r="BJ172" s="21"/>
      <c r="BK172" s="21"/>
      <c r="BL172" s="21"/>
      <c r="BM172" s="21"/>
      <c r="BP172" s="9"/>
      <c r="BQ172" s="21"/>
      <c r="BR172" s="21"/>
      <c r="BS172" s="21"/>
      <c r="BT172" s="21"/>
      <c r="BU172" s="21"/>
      <c r="BZ172" s="9"/>
      <c r="CA172" s="21"/>
      <c r="CB172" s="21"/>
      <c r="CC172" s="21"/>
      <c r="CD172" s="21"/>
      <c r="CE172" s="21"/>
      <c r="CH172" s="9"/>
      <c r="CI172" s="21"/>
      <c r="CJ172" s="21"/>
      <c r="CK172" s="21"/>
      <c r="CL172" s="21"/>
      <c r="CM172" s="21"/>
      <c r="CR172" s="9"/>
      <c r="CS172" s="21"/>
      <c r="CT172" s="21"/>
      <c r="CU172" s="21"/>
      <c r="CV172" s="21"/>
      <c r="CW172" s="21"/>
      <c r="CZ172" s="9"/>
      <c r="DA172" s="21"/>
      <c r="DB172" s="21"/>
      <c r="DC172" s="21"/>
      <c r="DD172" s="21"/>
      <c r="DE172" s="21"/>
      <c r="DJ172" s="9"/>
      <c r="DK172" s="21"/>
      <c r="DL172" s="21"/>
      <c r="DM172" s="21"/>
      <c r="DN172" s="21"/>
      <c r="DO172" s="21"/>
      <c r="DR172" s="9"/>
      <c r="DS172" s="21"/>
      <c r="DT172" s="21"/>
      <c r="DU172" s="21"/>
      <c r="DV172" s="21"/>
      <c r="DW172" s="21"/>
      <c r="EB172" s="9"/>
      <c r="EC172" s="21"/>
      <c r="ED172" s="21"/>
      <c r="EE172" s="21"/>
      <c r="EF172" s="21"/>
      <c r="EG172" s="21"/>
      <c r="EJ172" s="9"/>
      <c r="EK172" s="21"/>
      <c r="EL172" s="21"/>
      <c r="EM172" s="21"/>
      <c r="EN172" s="21"/>
      <c r="EO172" s="21"/>
      <c r="ET172" s="21"/>
      <c r="EU172" s="21"/>
      <c r="EV172" s="21"/>
      <c r="EW172" s="21"/>
      <c r="EX172" s="21"/>
      <c r="FA172" s="9"/>
      <c r="FB172" s="21"/>
      <c r="FC172" s="21"/>
      <c r="FD172" s="21"/>
      <c r="FE172" s="21"/>
      <c r="FF172" s="21"/>
    </row>
    <row r="173" spans="6:162" x14ac:dyDescent="0.25">
      <c r="F173" s="9"/>
      <c r="G173" s="21">
        <v>0.37918099999999999</v>
      </c>
      <c r="H173" s="21">
        <v>6.6568899999999998</v>
      </c>
      <c r="I173" s="24">
        <v>-6.4636199999999996E-5</v>
      </c>
      <c r="J173" s="21">
        <v>163</v>
      </c>
      <c r="K173" s="21">
        <v>0.37884499999999999</v>
      </c>
      <c r="L173">
        <f t="shared" si="24"/>
        <v>7.9797777777777759E-2</v>
      </c>
      <c r="M173">
        <f t="shared" si="25"/>
        <v>3.0257801175555547E-2</v>
      </c>
      <c r="N173" s="9"/>
      <c r="O173" s="21">
        <v>0.72082500000000005</v>
      </c>
      <c r="P173" s="21">
        <v>9.2776300000000003</v>
      </c>
      <c r="Q173" s="24">
        <v>-3.9855999999999999E-5</v>
      </c>
      <c r="R173" s="21">
        <v>163</v>
      </c>
      <c r="S173" s="21">
        <v>0.72045899999999996</v>
      </c>
      <c r="T173">
        <f t="shared" si="26"/>
        <v>4.9204938271604937E-2</v>
      </c>
      <c r="U173">
        <f t="shared" si="27"/>
        <v>3.5468149629629631E-2</v>
      </c>
      <c r="X173" s="9"/>
      <c r="Y173" s="21">
        <v>0.37918099999999999</v>
      </c>
      <c r="Z173" s="21">
        <v>13.6381</v>
      </c>
      <c r="AA173" s="24">
        <v>-5.8044400000000003E-5</v>
      </c>
      <c r="AB173" s="21">
        <v>163</v>
      </c>
      <c r="AC173" s="21">
        <v>0.37878400000000001</v>
      </c>
      <c r="AD173">
        <f t="shared" si="28"/>
        <v>7.1659753086419753E-2</v>
      </c>
      <c r="AE173">
        <f t="shared" si="29"/>
        <v>2.7172016835061728E-2</v>
      </c>
      <c r="AF173" s="9"/>
      <c r="AG173" s="21">
        <v>0.72082500000000005</v>
      </c>
      <c r="AH173" s="21">
        <v>16.258800000000001</v>
      </c>
      <c r="AI173" s="24">
        <v>-3.7292500000000003E-5</v>
      </c>
      <c r="AJ173" s="21">
        <v>163</v>
      </c>
      <c r="AK173" s="21">
        <v>0.72048999999999996</v>
      </c>
      <c r="AL173">
        <f t="shared" si="30"/>
        <v>4.6040123456790129E-2</v>
      </c>
      <c r="AM173">
        <f t="shared" si="31"/>
        <v>3.3186871990740746E-2</v>
      </c>
      <c r="AP173" s="9"/>
      <c r="AQ173" s="21">
        <v>0.37918099999999999</v>
      </c>
      <c r="AR173" s="21">
        <v>20.561199999999999</v>
      </c>
      <c r="AS173" s="24">
        <v>-5.5969199999999999E-5</v>
      </c>
      <c r="AT173" s="21">
        <v>163</v>
      </c>
      <c r="AU173" s="21">
        <v>0.37881500000000001</v>
      </c>
      <c r="AV173">
        <f t="shared" si="32"/>
        <v>6.9097777777777772E-2</v>
      </c>
      <c r="AW173">
        <f t="shared" si="33"/>
        <v>2.6200564475555552E-2</v>
      </c>
      <c r="AX173" s="9"/>
      <c r="AY173" s="21">
        <v>0.72082500000000005</v>
      </c>
      <c r="AZ173" s="21">
        <v>23.181999999999999</v>
      </c>
      <c r="BA173" s="24">
        <v>-3.5827600000000002E-5</v>
      </c>
      <c r="BB173" s="21">
        <v>163</v>
      </c>
      <c r="BC173" s="21">
        <v>0.72045899999999996</v>
      </c>
      <c r="BD173">
        <f t="shared" si="34"/>
        <v>4.4231604938271607E-2</v>
      </c>
      <c r="BE173">
        <f t="shared" si="35"/>
        <v>3.188324662962963E-2</v>
      </c>
      <c r="BH173" s="9"/>
      <c r="BI173" s="21"/>
      <c r="BJ173" s="21"/>
      <c r="BK173" s="21"/>
      <c r="BL173" s="21"/>
      <c r="BM173" s="21"/>
      <c r="BP173" s="9"/>
      <c r="BQ173" s="21"/>
      <c r="BR173" s="21"/>
      <c r="BS173" s="21"/>
      <c r="BT173" s="21"/>
      <c r="BU173" s="21"/>
      <c r="BZ173" s="9"/>
      <c r="CA173" s="21"/>
      <c r="CB173" s="21"/>
      <c r="CC173" s="21"/>
      <c r="CD173" s="21"/>
      <c r="CE173" s="21"/>
      <c r="CH173" s="9"/>
      <c r="CI173" s="21"/>
      <c r="CJ173" s="21"/>
      <c r="CK173" s="21"/>
      <c r="CL173" s="21"/>
      <c r="CM173" s="21"/>
      <c r="CR173" s="9"/>
      <c r="CS173" s="21"/>
      <c r="CT173" s="21"/>
      <c r="CU173" s="21"/>
      <c r="CV173" s="21"/>
      <c r="CW173" s="21"/>
      <c r="CZ173" s="9"/>
      <c r="DA173" s="21"/>
      <c r="DB173" s="21"/>
      <c r="DC173" s="21"/>
      <c r="DD173" s="21"/>
      <c r="DE173" s="21"/>
      <c r="DJ173" s="9"/>
      <c r="DK173" s="21"/>
      <c r="DL173" s="21"/>
      <c r="DM173" s="21"/>
      <c r="DN173" s="21"/>
      <c r="DO173" s="21"/>
      <c r="DR173" s="9"/>
      <c r="DS173" s="21"/>
      <c r="DT173" s="21"/>
      <c r="DU173" s="21"/>
      <c r="DV173" s="21"/>
      <c r="DW173" s="21"/>
      <c r="EB173" s="9"/>
      <c r="EC173" s="21"/>
      <c r="ED173" s="21"/>
      <c r="EE173" s="21"/>
      <c r="EF173" s="21"/>
      <c r="EG173" s="21"/>
      <c r="EJ173" s="9"/>
      <c r="EK173" s="21"/>
      <c r="EL173" s="21"/>
      <c r="EM173" s="21"/>
      <c r="EN173" s="21"/>
      <c r="EO173" s="21"/>
      <c r="ET173" s="21"/>
      <c r="EU173" s="21"/>
      <c r="EV173" s="21"/>
      <c r="EW173" s="21"/>
      <c r="EX173" s="21"/>
      <c r="FA173" s="9"/>
      <c r="FB173" s="21"/>
      <c r="FC173" s="21"/>
      <c r="FD173" s="21"/>
      <c r="FE173" s="21"/>
      <c r="FF173" s="21"/>
    </row>
    <row r="174" spans="6:162" x14ac:dyDescent="0.25">
      <c r="F174" s="9"/>
      <c r="G174" s="21">
        <v>0.37414599999999998</v>
      </c>
      <c r="H174" s="21">
        <v>6.6669600000000004</v>
      </c>
      <c r="I174" s="24">
        <v>-6.4849899999999997E-5</v>
      </c>
      <c r="J174" s="21">
        <v>164</v>
      </c>
      <c r="K174" s="21">
        <v>0.37380999999999998</v>
      </c>
      <c r="L174">
        <f t="shared" si="24"/>
        <v>8.0061604938271594E-2</v>
      </c>
      <c r="M174">
        <f t="shared" si="25"/>
        <v>2.9954729241234563E-2</v>
      </c>
      <c r="N174" s="9"/>
      <c r="O174" s="21">
        <v>0.72586099999999998</v>
      </c>
      <c r="P174" s="21">
        <v>9.2876999999999992</v>
      </c>
      <c r="Q174" s="24">
        <v>-3.9733900000000003E-5</v>
      </c>
      <c r="R174" s="21">
        <v>164</v>
      </c>
      <c r="S174" s="21">
        <v>0.72552499999999998</v>
      </c>
      <c r="T174">
        <f t="shared" si="26"/>
        <v>4.9054197530864201E-2</v>
      </c>
      <c r="U174">
        <f t="shared" si="27"/>
        <v>3.5606528873950619E-2</v>
      </c>
      <c r="X174" s="9"/>
      <c r="Y174" s="21">
        <v>0.37414599999999998</v>
      </c>
      <c r="Z174" s="21">
        <v>13.648099999999999</v>
      </c>
      <c r="AA174" s="24">
        <v>-5.8075000000000002E-5</v>
      </c>
      <c r="AB174" s="21">
        <v>164</v>
      </c>
      <c r="AC174" s="21">
        <v>0.37377899999999997</v>
      </c>
      <c r="AD174">
        <f t="shared" si="28"/>
        <v>7.1697530864197528E-2</v>
      </c>
      <c r="AE174">
        <f t="shared" si="29"/>
        <v>2.6825344382716047E-2</v>
      </c>
      <c r="AF174" s="9"/>
      <c r="AG174" s="21">
        <v>0.72586099999999998</v>
      </c>
      <c r="AH174" s="21">
        <v>16.268899999999999</v>
      </c>
      <c r="AI174" s="24">
        <v>-3.7170399999999999E-5</v>
      </c>
      <c r="AJ174" s="21">
        <v>164</v>
      </c>
      <c r="AK174" s="21">
        <v>0.72555499999999995</v>
      </c>
      <c r="AL174">
        <f t="shared" si="30"/>
        <v>4.5889382716049379E-2</v>
      </c>
      <c r="AM174">
        <f t="shared" si="31"/>
        <v>3.3309313227654319E-2</v>
      </c>
      <c r="AP174" s="9"/>
      <c r="AQ174" s="21">
        <v>0.37414599999999998</v>
      </c>
      <c r="AR174" s="21">
        <v>20.571300000000001</v>
      </c>
      <c r="AS174" s="24">
        <v>-5.6152300000000001E-5</v>
      </c>
      <c r="AT174" s="21">
        <v>164</v>
      </c>
      <c r="AU174" s="21">
        <v>0.37380999999999998</v>
      </c>
      <c r="AV174">
        <f t="shared" si="32"/>
        <v>6.9323827160493831E-2</v>
      </c>
      <c r="AW174">
        <f t="shared" si="33"/>
        <v>2.5937232636790125E-2</v>
      </c>
      <c r="AX174" s="9"/>
      <c r="AY174" s="21">
        <v>0.72586099999999998</v>
      </c>
      <c r="AZ174" s="21">
        <v>23.1921</v>
      </c>
      <c r="BA174" s="24">
        <v>-3.5675E-5</v>
      </c>
      <c r="BB174" s="21">
        <v>164</v>
      </c>
      <c r="BC174" s="21">
        <v>0.725464</v>
      </c>
      <c r="BD174">
        <f t="shared" si="34"/>
        <v>4.4043209876543206E-2</v>
      </c>
      <c r="BE174">
        <f t="shared" si="35"/>
        <v>3.1969248364197525E-2</v>
      </c>
      <c r="BH174" s="9"/>
      <c r="BI174" s="21"/>
      <c r="BJ174" s="21"/>
      <c r="BK174" s="21"/>
      <c r="BL174" s="21"/>
      <c r="BM174" s="21"/>
      <c r="BP174" s="9"/>
      <c r="BQ174" s="21"/>
      <c r="BR174" s="21"/>
      <c r="BS174" s="21"/>
      <c r="BT174" s="21"/>
      <c r="BU174" s="21"/>
      <c r="BZ174" s="9"/>
      <c r="CA174" s="21"/>
      <c r="CB174" s="21"/>
      <c r="CC174" s="21"/>
      <c r="CD174" s="21"/>
      <c r="CE174" s="21"/>
      <c r="CH174" s="9"/>
      <c r="CI174" s="21"/>
      <c r="CJ174" s="21"/>
      <c r="CK174" s="21"/>
      <c r="CL174" s="21"/>
      <c r="CM174" s="21"/>
      <c r="CR174" s="9"/>
      <c r="CS174" s="21"/>
      <c r="CT174" s="21"/>
      <c r="CU174" s="21"/>
      <c r="CV174" s="21"/>
      <c r="CW174" s="21"/>
      <c r="CZ174" s="9"/>
      <c r="DA174" s="21"/>
      <c r="DB174" s="21"/>
      <c r="DC174" s="21"/>
      <c r="DD174" s="21"/>
      <c r="DE174" s="21"/>
      <c r="DJ174" s="9"/>
      <c r="DK174" s="21"/>
      <c r="DL174" s="21"/>
      <c r="DM174" s="21"/>
      <c r="DN174" s="21"/>
      <c r="DO174" s="21"/>
      <c r="DR174" s="9"/>
      <c r="DS174" s="21"/>
      <c r="DT174" s="21"/>
      <c r="DU174" s="21"/>
      <c r="DV174" s="21"/>
      <c r="DW174" s="21"/>
      <c r="EB174" s="9"/>
      <c r="EC174" s="21"/>
      <c r="ED174" s="21"/>
      <c r="EE174" s="21"/>
      <c r="EF174" s="21"/>
      <c r="EG174" s="21"/>
      <c r="EJ174" s="9"/>
      <c r="EK174" s="21"/>
      <c r="EL174" s="21"/>
      <c r="EM174" s="21"/>
      <c r="EN174" s="21"/>
      <c r="EO174" s="21"/>
      <c r="ET174" s="21"/>
      <c r="EU174" s="21"/>
      <c r="EV174" s="21"/>
      <c r="EW174" s="21"/>
      <c r="EX174" s="21"/>
      <c r="FA174" s="9"/>
      <c r="FB174" s="21"/>
      <c r="FC174" s="21"/>
      <c r="FD174" s="21"/>
      <c r="FE174" s="21"/>
      <c r="FF174" s="21"/>
    </row>
    <row r="175" spans="6:162" x14ac:dyDescent="0.25">
      <c r="F175" s="9"/>
      <c r="G175" s="21">
        <v>0.36910999999999999</v>
      </c>
      <c r="H175" s="21">
        <v>6.6770300000000002</v>
      </c>
      <c r="I175" s="24">
        <v>-6.4788800000000006E-5</v>
      </c>
      <c r="J175" s="21">
        <v>165</v>
      </c>
      <c r="K175" s="21">
        <v>0.36880499999999999</v>
      </c>
      <c r="L175">
        <f t="shared" si="24"/>
        <v>7.9986172839506181E-2</v>
      </c>
      <c r="M175">
        <f t="shared" si="25"/>
        <v>2.9523696256790126E-2</v>
      </c>
      <c r="N175" s="9"/>
      <c r="O175" s="21">
        <v>0.73089599999999999</v>
      </c>
      <c r="P175" s="21">
        <v>9.2977699999999999</v>
      </c>
      <c r="Q175" s="24">
        <v>-3.9398199999999998E-5</v>
      </c>
      <c r="R175" s="21">
        <v>165</v>
      </c>
      <c r="S175" s="21">
        <v>0.73046900000000003</v>
      </c>
      <c r="T175">
        <f t="shared" si="26"/>
        <v>4.8639753086419747E-2</v>
      </c>
      <c r="U175">
        <f t="shared" si="27"/>
        <v>3.5550600971851844E-2</v>
      </c>
      <c r="X175" s="9"/>
      <c r="Y175" s="21">
        <v>0.36910999999999999</v>
      </c>
      <c r="Z175" s="21">
        <v>13.658200000000001</v>
      </c>
      <c r="AA175" s="24">
        <v>-5.8288600000000003E-5</v>
      </c>
      <c r="AB175" s="21">
        <v>165</v>
      </c>
      <c r="AC175" s="21">
        <v>0.36871300000000001</v>
      </c>
      <c r="AD175">
        <f t="shared" si="28"/>
        <v>7.1961234567901239E-2</v>
      </c>
      <c r="AE175">
        <f t="shared" si="29"/>
        <v>2.6561611291358027E-2</v>
      </c>
      <c r="AF175" s="9"/>
      <c r="AG175" s="21">
        <v>0.73089599999999999</v>
      </c>
      <c r="AH175" s="21">
        <v>16.2789</v>
      </c>
      <c r="AI175" s="24">
        <v>-3.68958E-5</v>
      </c>
      <c r="AJ175" s="21">
        <v>165</v>
      </c>
      <c r="AK175" s="21">
        <v>0.73059099999999999</v>
      </c>
      <c r="AL175">
        <f t="shared" si="30"/>
        <v>4.5550370370370366E-2</v>
      </c>
      <c r="AM175">
        <f t="shared" si="31"/>
        <v>3.3292583502222216E-2</v>
      </c>
      <c r="AP175" s="9"/>
      <c r="AQ175" s="21">
        <v>0.36910999999999999</v>
      </c>
      <c r="AR175" s="21">
        <v>20.581399999999999</v>
      </c>
      <c r="AS175" s="24">
        <v>-5.6304899999999997E-5</v>
      </c>
      <c r="AT175" s="21">
        <v>165</v>
      </c>
      <c r="AU175" s="21">
        <v>0.36877399999999999</v>
      </c>
      <c r="AV175">
        <f t="shared" si="32"/>
        <v>6.9512222222222211E-2</v>
      </c>
      <c r="AW175">
        <f t="shared" si="33"/>
        <v>2.5657656344444439E-2</v>
      </c>
      <c r="AX175" s="9"/>
      <c r="AY175" s="21">
        <v>0.73089599999999999</v>
      </c>
      <c r="AZ175" s="21">
        <v>23.202100000000002</v>
      </c>
      <c r="BA175" s="24">
        <v>-3.54309E-5</v>
      </c>
      <c r="BB175" s="21">
        <v>165</v>
      </c>
      <c r="BC175" s="21">
        <v>0.73062099999999996</v>
      </c>
      <c r="BD175">
        <f t="shared" si="34"/>
        <v>4.3741851851851851E-2</v>
      </c>
      <c r="BE175">
        <f t="shared" si="35"/>
        <v>3.197074455111111E-2</v>
      </c>
      <c r="BH175" s="9"/>
      <c r="BI175" s="21"/>
      <c r="BJ175" s="21"/>
      <c r="BK175" s="21"/>
      <c r="BL175" s="21"/>
      <c r="BM175" s="21"/>
      <c r="BP175" s="9"/>
      <c r="BQ175" s="21"/>
      <c r="BR175" s="21"/>
      <c r="BS175" s="21"/>
      <c r="BT175" s="21"/>
      <c r="BU175" s="21"/>
      <c r="BZ175" s="9"/>
      <c r="CA175" s="21"/>
      <c r="CB175" s="21"/>
      <c r="CC175" s="21"/>
      <c r="CD175" s="21"/>
      <c r="CE175" s="21"/>
      <c r="CH175" s="9"/>
      <c r="CI175" s="21"/>
      <c r="CJ175" s="21"/>
      <c r="CK175" s="21"/>
      <c r="CL175" s="21"/>
      <c r="CM175" s="21"/>
      <c r="CR175" s="9"/>
      <c r="CS175" s="21"/>
      <c r="CT175" s="21"/>
      <c r="CU175" s="21"/>
      <c r="CV175" s="21"/>
      <c r="CW175" s="21"/>
      <c r="CZ175" s="9"/>
      <c r="DA175" s="21"/>
      <c r="DB175" s="21"/>
      <c r="DC175" s="21"/>
      <c r="DD175" s="21"/>
      <c r="DE175" s="21"/>
      <c r="DJ175" s="9"/>
      <c r="DK175" s="21"/>
      <c r="DL175" s="21"/>
      <c r="DM175" s="21"/>
      <c r="DN175" s="21"/>
      <c r="DO175" s="21"/>
      <c r="DR175" s="9"/>
      <c r="DS175" s="21"/>
      <c r="DT175" s="21"/>
      <c r="DU175" s="21"/>
      <c r="DV175" s="21"/>
      <c r="DW175" s="21"/>
      <c r="EB175" s="9"/>
      <c r="EC175" s="21"/>
      <c r="ED175" s="21"/>
      <c r="EE175" s="21"/>
      <c r="EF175" s="21"/>
      <c r="EG175" s="21"/>
      <c r="EJ175" s="9"/>
      <c r="EK175" s="21"/>
      <c r="EL175" s="21"/>
      <c r="EM175" s="21"/>
      <c r="EN175" s="21"/>
      <c r="EO175" s="21"/>
      <c r="ET175" s="21"/>
      <c r="EU175" s="21"/>
      <c r="EV175" s="21"/>
      <c r="EW175" s="21"/>
      <c r="EX175" s="21"/>
      <c r="FA175" s="9"/>
      <c r="FB175" s="21"/>
      <c r="FC175" s="21"/>
      <c r="FD175" s="21"/>
      <c r="FE175" s="21"/>
      <c r="FF175" s="21"/>
    </row>
    <row r="176" spans="6:162" x14ac:dyDescent="0.25">
      <c r="F176" s="9"/>
      <c r="G176" s="21">
        <v>0.36407499999999998</v>
      </c>
      <c r="H176" s="21">
        <v>6.6871099999999997</v>
      </c>
      <c r="I176" s="24">
        <v>-6.4453099999999995E-5</v>
      </c>
      <c r="J176" s="21">
        <v>166</v>
      </c>
      <c r="K176" s="21">
        <v>0.36373899999999998</v>
      </c>
      <c r="L176">
        <f t="shared" si="24"/>
        <v>7.9571728395061714E-2</v>
      </c>
      <c r="M176">
        <f t="shared" si="25"/>
        <v>2.8970077015432093E-2</v>
      </c>
      <c r="N176" s="9"/>
      <c r="O176" s="21">
        <v>0.735931</v>
      </c>
      <c r="P176" s="21">
        <v>9.3078500000000002</v>
      </c>
      <c r="Q176" s="24">
        <v>-3.9276100000000002E-5</v>
      </c>
      <c r="R176" s="21">
        <v>166</v>
      </c>
      <c r="S176" s="21">
        <v>0.73559600000000003</v>
      </c>
      <c r="T176">
        <f t="shared" si="26"/>
        <v>4.8489012345679011E-2</v>
      </c>
      <c r="U176">
        <f t="shared" si="27"/>
        <v>3.5684567344567902E-2</v>
      </c>
      <c r="X176" s="9"/>
      <c r="Y176" s="21">
        <v>0.36407499999999998</v>
      </c>
      <c r="Z176" s="21">
        <v>13.6683</v>
      </c>
      <c r="AA176" s="24">
        <v>-5.8471699999999998E-5</v>
      </c>
      <c r="AB176" s="21">
        <v>166</v>
      </c>
      <c r="AC176" s="21">
        <v>0.36373899999999998</v>
      </c>
      <c r="AD176">
        <f t="shared" si="28"/>
        <v>7.2187283950617284E-2</v>
      </c>
      <c r="AE176">
        <f t="shared" si="29"/>
        <v>2.6281585404320986E-2</v>
      </c>
      <c r="AF176" s="9"/>
      <c r="AG176" s="21">
        <v>0.735931</v>
      </c>
      <c r="AH176" s="21">
        <v>16.289000000000001</v>
      </c>
      <c r="AI176" s="24">
        <v>-3.6712599999999998E-5</v>
      </c>
      <c r="AJ176" s="21">
        <v>166</v>
      </c>
      <c r="AK176" s="21">
        <v>0.73556500000000002</v>
      </c>
      <c r="AL176">
        <f t="shared" si="30"/>
        <v>4.532419753086419E-2</v>
      </c>
      <c r="AM176">
        <f t="shared" si="31"/>
        <v>3.3355482013086413E-2</v>
      </c>
      <c r="AP176" s="9"/>
      <c r="AQ176" s="21">
        <v>0.36407499999999998</v>
      </c>
      <c r="AR176" s="21">
        <v>20.5915</v>
      </c>
      <c r="AS176" s="24">
        <v>-5.6396500000000001E-5</v>
      </c>
      <c r="AT176" s="21">
        <v>166</v>
      </c>
      <c r="AU176" s="21">
        <v>0.36383100000000002</v>
      </c>
      <c r="AV176">
        <f t="shared" si="32"/>
        <v>6.9625308641975317E-2</v>
      </c>
      <c r="AW176">
        <f t="shared" si="33"/>
        <v>2.5348834243827164E-2</v>
      </c>
      <c r="AX176" s="9"/>
      <c r="AY176" s="21">
        <v>0.735931</v>
      </c>
      <c r="AZ176" s="21">
        <v>23.212199999999999</v>
      </c>
      <c r="BA176" s="24">
        <v>-3.5308800000000003E-5</v>
      </c>
      <c r="BB176" s="21">
        <v>166</v>
      </c>
      <c r="BC176" s="21">
        <v>0.73559600000000003</v>
      </c>
      <c r="BD176">
        <f t="shared" si="34"/>
        <v>4.3591111111111115E-2</v>
      </c>
      <c r="BE176">
        <f t="shared" si="35"/>
        <v>3.2080049991111116E-2</v>
      </c>
      <c r="BH176" s="9"/>
      <c r="BI176" s="21"/>
      <c r="BJ176" s="21"/>
      <c r="BK176" s="21"/>
      <c r="BL176" s="21"/>
      <c r="BM176" s="21"/>
      <c r="BP176" s="9"/>
      <c r="BQ176" s="21"/>
      <c r="BR176" s="21"/>
      <c r="BS176" s="21"/>
      <c r="BT176" s="21"/>
      <c r="BU176" s="21"/>
      <c r="BZ176" s="9"/>
      <c r="CA176" s="21"/>
      <c r="CB176" s="21"/>
      <c r="CC176" s="21"/>
      <c r="CD176" s="21"/>
      <c r="CE176" s="21"/>
      <c r="CH176" s="9"/>
      <c r="CI176" s="21"/>
      <c r="CJ176" s="21"/>
      <c r="CK176" s="21"/>
      <c r="CL176" s="21"/>
      <c r="CM176" s="21"/>
      <c r="CR176" s="9"/>
      <c r="CS176" s="21"/>
      <c r="CT176" s="21"/>
      <c r="CU176" s="21"/>
      <c r="CV176" s="21"/>
      <c r="CW176" s="21"/>
      <c r="CZ176" s="9"/>
      <c r="DA176" s="21"/>
      <c r="DB176" s="21"/>
      <c r="DC176" s="21"/>
      <c r="DD176" s="21"/>
      <c r="DE176" s="21"/>
      <c r="DJ176" s="9"/>
      <c r="DK176" s="21"/>
      <c r="DL176" s="21"/>
      <c r="DM176" s="21"/>
      <c r="DN176" s="21"/>
      <c r="DO176" s="21"/>
      <c r="DR176" s="9"/>
      <c r="DS176" s="21"/>
      <c r="DT176" s="21"/>
      <c r="DU176" s="21"/>
      <c r="DV176" s="21"/>
      <c r="DW176" s="21"/>
      <c r="EB176" s="9"/>
      <c r="EC176" s="21"/>
      <c r="ED176" s="21"/>
      <c r="EE176" s="21"/>
      <c r="EF176" s="21"/>
      <c r="EG176" s="21"/>
      <c r="EJ176" s="9"/>
      <c r="EK176" s="21"/>
      <c r="EL176" s="21"/>
      <c r="EM176" s="21"/>
      <c r="EN176" s="21"/>
      <c r="EO176" s="21"/>
      <c r="ET176" s="21"/>
      <c r="EU176" s="21"/>
      <c r="EV176" s="21"/>
      <c r="EW176" s="21"/>
      <c r="EX176" s="21"/>
      <c r="FA176" s="9"/>
      <c r="FB176" s="21"/>
      <c r="FC176" s="21"/>
      <c r="FD176" s="21"/>
      <c r="FE176" s="21"/>
      <c r="FF176" s="21"/>
    </row>
    <row r="177" spans="6:162" x14ac:dyDescent="0.25">
      <c r="F177" s="9"/>
      <c r="G177" s="21">
        <v>0.359039</v>
      </c>
      <c r="H177" s="21">
        <v>6.6971800000000004</v>
      </c>
      <c r="I177" s="24">
        <v>-6.4300499999999999E-5</v>
      </c>
      <c r="J177" s="21">
        <v>167</v>
      </c>
      <c r="K177" s="21">
        <v>0.35867300000000002</v>
      </c>
      <c r="L177">
        <f t="shared" si="24"/>
        <v>7.9383333333333334E-2</v>
      </c>
      <c r="M177">
        <f t="shared" si="25"/>
        <v>2.8501712616666668E-2</v>
      </c>
      <c r="N177" s="9"/>
      <c r="O177" s="21">
        <v>0.74096700000000004</v>
      </c>
      <c r="P177" s="21">
        <v>9.3179200000000009</v>
      </c>
      <c r="Q177" s="24">
        <v>-3.9093E-5</v>
      </c>
      <c r="R177" s="21">
        <v>167</v>
      </c>
      <c r="S177" s="21">
        <v>0.74063100000000004</v>
      </c>
      <c r="T177">
        <f t="shared" si="26"/>
        <v>4.8262962962962959E-2</v>
      </c>
      <c r="U177">
        <f t="shared" si="27"/>
        <v>3.5761262877777776E-2</v>
      </c>
      <c r="X177" s="9"/>
      <c r="Y177" s="21">
        <v>0.359039</v>
      </c>
      <c r="Z177" s="21">
        <v>13.6783</v>
      </c>
      <c r="AA177" s="24">
        <v>-5.8685299999999999E-5</v>
      </c>
      <c r="AB177" s="21">
        <v>167</v>
      </c>
      <c r="AC177" s="21">
        <v>0.358734</v>
      </c>
      <c r="AD177">
        <f t="shared" si="28"/>
        <v>7.2450987654320981E-2</v>
      </c>
      <c r="AE177">
        <f t="shared" si="29"/>
        <v>2.601273015641975E-2</v>
      </c>
      <c r="AF177" s="9"/>
      <c r="AG177" s="21">
        <v>0.74096700000000004</v>
      </c>
      <c r="AH177" s="21">
        <v>16.299099999999999</v>
      </c>
      <c r="AI177" s="24">
        <v>-3.6529500000000003E-5</v>
      </c>
      <c r="AJ177" s="21">
        <v>167</v>
      </c>
      <c r="AK177" s="21">
        <v>0.74063100000000004</v>
      </c>
      <c r="AL177">
        <f t="shared" si="30"/>
        <v>4.5098148148148151E-2</v>
      </c>
      <c r="AM177">
        <f t="shared" si="31"/>
        <v>3.3416239538888892E-2</v>
      </c>
      <c r="AP177" s="9"/>
      <c r="AQ177" s="21">
        <v>0.359039</v>
      </c>
      <c r="AR177" s="21">
        <v>20.601500000000001</v>
      </c>
      <c r="AS177" s="24">
        <v>-5.6518599999999998E-5</v>
      </c>
      <c r="AT177" s="21">
        <v>167</v>
      </c>
      <c r="AU177" s="21">
        <v>0.35861199999999999</v>
      </c>
      <c r="AV177">
        <f t="shared" si="32"/>
        <v>6.9776049382716046E-2</v>
      </c>
      <c r="AW177">
        <f t="shared" si="33"/>
        <v>2.5052322994320985E-2</v>
      </c>
      <c r="AX177" s="9"/>
      <c r="AY177" s="21">
        <v>0.74096700000000004</v>
      </c>
      <c r="AZ177" s="21">
        <v>23.222300000000001</v>
      </c>
      <c r="BA177" s="24">
        <v>-3.5095200000000002E-5</v>
      </c>
      <c r="BB177" s="21">
        <v>167</v>
      </c>
      <c r="BC177" s="21">
        <v>0.74066200000000004</v>
      </c>
      <c r="BD177">
        <f t="shared" si="34"/>
        <v>4.3327407407407405E-2</v>
      </c>
      <c r="BE177">
        <f t="shared" si="35"/>
        <v>3.2104179084444441E-2</v>
      </c>
      <c r="BH177" s="9"/>
      <c r="BI177" s="21"/>
      <c r="BJ177" s="21"/>
      <c r="BK177" s="21"/>
      <c r="BL177" s="21"/>
      <c r="BM177" s="21"/>
      <c r="BP177" s="9"/>
      <c r="BQ177" s="21"/>
      <c r="BR177" s="21"/>
      <c r="BS177" s="21"/>
      <c r="BT177" s="21"/>
      <c r="BU177" s="21"/>
      <c r="BZ177" s="9"/>
      <c r="CA177" s="21"/>
      <c r="CB177" s="21"/>
      <c r="CC177" s="21"/>
      <c r="CD177" s="21"/>
      <c r="CE177" s="21"/>
      <c r="CH177" s="9"/>
      <c r="CI177" s="21"/>
      <c r="CJ177" s="21"/>
      <c r="CK177" s="21"/>
      <c r="CL177" s="21"/>
      <c r="CM177" s="21"/>
      <c r="CR177" s="9"/>
      <c r="CS177" s="21"/>
      <c r="CT177" s="21"/>
      <c r="CU177" s="21"/>
      <c r="CV177" s="21"/>
      <c r="CW177" s="21"/>
      <c r="CZ177" s="9"/>
      <c r="DA177" s="21"/>
      <c r="DB177" s="21"/>
      <c r="DC177" s="21"/>
      <c r="DD177" s="21"/>
      <c r="DE177" s="21"/>
      <c r="DJ177" s="9"/>
      <c r="DK177" s="21"/>
      <c r="DL177" s="21"/>
      <c r="DM177" s="21"/>
      <c r="DN177" s="21"/>
      <c r="DO177" s="21"/>
      <c r="DR177" s="9"/>
      <c r="DS177" s="21"/>
      <c r="DT177" s="21"/>
      <c r="DU177" s="21"/>
      <c r="DV177" s="21"/>
      <c r="DW177" s="21"/>
      <c r="EB177" s="9"/>
      <c r="EC177" s="21"/>
      <c r="ED177" s="21"/>
      <c r="EE177" s="21"/>
      <c r="EF177" s="21"/>
      <c r="EG177" s="21"/>
      <c r="EJ177" s="9"/>
      <c r="EK177" s="21"/>
      <c r="EL177" s="21"/>
      <c r="EM177" s="21"/>
      <c r="EN177" s="21"/>
      <c r="EO177" s="21"/>
      <c r="ET177" s="21"/>
      <c r="EU177" s="21"/>
      <c r="EV177" s="21"/>
      <c r="EW177" s="21"/>
      <c r="EX177" s="21"/>
      <c r="FA177" s="9"/>
      <c r="FB177" s="21"/>
      <c r="FC177" s="21"/>
      <c r="FD177" s="21"/>
      <c r="FE177" s="21"/>
      <c r="FF177" s="21"/>
    </row>
    <row r="178" spans="6:162" x14ac:dyDescent="0.25">
      <c r="F178" s="9"/>
      <c r="G178" s="21">
        <v>0.35400399999999999</v>
      </c>
      <c r="H178" s="21">
        <v>6.7072500000000002</v>
      </c>
      <c r="I178" s="24">
        <v>-6.3415499999999996E-5</v>
      </c>
      <c r="J178" s="21">
        <v>168</v>
      </c>
      <c r="K178" s="21">
        <v>0.35372900000000002</v>
      </c>
      <c r="L178">
        <f t="shared" si="24"/>
        <v>7.829074074074073E-2</v>
      </c>
      <c r="M178">
        <f t="shared" si="25"/>
        <v>2.771523538518518E-2</v>
      </c>
      <c r="N178" s="9"/>
      <c r="O178" s="21">
        <v>0.74600200000000005</v>
      </c>
      <c r="P178" s="21">
        <v>9.3279899999999998</v>
      </c>
      <c r="Q178" s="24">
        <v>-3.8940399999999997E-5</v>
      </c>
      <c r="R178" s="21">
        <v>168</v>
      </c>
      <c r="S178" s="21">
        <v>0.74566699999999997</v>
      </c>
      <c r="T178">
        <f t="shared" si="26"/>
        <v>4.8074567901234565E-2</v>
      </c>
      <c r="U178">
        <f t="shared" si="27"/>
        <v>3.5863723803456787E-2</v>
      </c>
      <c r="X178" s="9"/>
      <c r="Y178" s="21">
        <v>0.35400399999999999</v>
      </c>
      <c r="Z178" s="21">
        <v>13.6884</v>
      </c>
      <c r="AA178" s="24">
        <v>-5.8807400000000002E-5</v>
      </c>
      <c r="AB178" s="21">
        <v>168</v>
      </c>
      <c r="AC178" s="21">
        <v>0.35366799999999998</v>
      </c>
      <c r="AD178">
        <f t="shared" si="28"/>
        <v>7.2601728395061724E-2</v>
      </c>
      <c r="AE178">
        <f t="shared" si="29"/>
        <v>2.5701302258765428E-2</v>
      </c>
      <c r="AF178" s="9"/>
      <c r="AG178" s="21">
        <v>0.74600200000000005</v>
      </c>
      <c r="AH178" s="21">
        <v>16.309200000000001</v>
      </c>
      <c r="AI178" s="24">
        <v>-3.6498999999999997E-5</v>
      </c>
      <c r="AJ178" s="21">
        <v>168</v>
      </c>
      <c r="AK178" s="21">
        <v>0.74563599999999997</v>
      </c>
      <c r="AL178">
        <f t="shared" si="30"/>
        <v>4.5060493827160486E-2</v>
      </c>
      <c r="AM178">
        <f t="shared" si="31"/>
        <v>3.3615218516049379E-2</v>
      </c>
      <c r="AP178" s="9"/>
      <c r="AQ178" s="21">
        <v>0.35400399999999999</v>
      </c>
      <c r="AR178" s="21">
        <v>20.611599999999999</v>
      </c>
      <c r="AS178" s="24">
        <v>-5.6762699999999998E-5</v>
      </c>
      <c r="AT178" s="21">
        <v>168</v>
      </c>
      <c r="AU178" s="21">
        <v>0.35369899999999999</v>
      </c>
      <c r="AV178">
        <f t="shared" si="32"/>
        <v>7.0077407407407394E-2</v>
      </c>
      <c r="AW178">
        <f t="shared" si="33"/>
        <v>2.4807682531851845E-2</v>
      </c>
      <c r="AX178" s="9"/>
      <c r="AY178" s="21">
        <v>0.74600200000000005</v>
      </c>
      <c r="AZ178" s="21">
        <v>23.232299999999999</v>
      </c>
      <c r="BA178" s="24">
        <v>-3.5034199999999997E-5</v>
      </c>
      <c r="BB178" s="21">
        <v>168</v>
      </c>
      <c r="BC178" s="21">
        <v>0.74566699999999997</v>
      </c>
      <c r="BD178">
        <f t="shared" si="34"/>
        <v>4.3252098765432088E-2</v>
      </c>
      <c r="BE178">
        <f t="shared" si="35"/>
        <v>3.226615218320987E-2</v>
      </c>
      <c r="BH178" s="9"/>
      <c r="BI178" s="21"/>
      <c r="BJ178" s="21"/>
      <c r="BK178" s="21"/>
      <c r="BL178" s="21"/>
      <c r="BM178" s="21"/>
      <c r="BP178" s="9"/>
      <c r="BQ178" s="21"/>
      <c r="BR178" s="21"/>
      <c r="BS178" s="21"/>
      <c r="BT178" s="21"/>
      <c r="BU178" s="21"/>
      <c r="BZ178" s="9"/>
      <c r="CA178" s="21"/>
      <c r="CB178" s="21"/>
      <c r="CC178" s="21"/>
      <c r="CD178" s="21"/>
      <c r="CE178" s="21"/>
      <c r="CH178" s="9"/>
      <c r="CI178" s="21"/>
      <c r="CJ178" s="21"/>
      <c r="CK178" s="21"/>
      <c r="CL178" s="21"/>
      <c r="CM178" s="21"/>
      <c r="CR178" s="9"/>
      <c r="CS178" s="21"/>
      <c r="CT178" s="21"/>
      <c r="CU178" s="21"/>
      <c r="CV178" s="21"/>
      <c r="CW178" s="21"/>
      <c r="CZ178" s="9"/>
      <c r="DA178" s="21"/>
      <c r="DB178" s="21"/>
      <c r="DC178" s="21"/>
      <c r="DD178" s="21"/>
      <c r="DE178" s="21"/>
      <c r="DJ178" s="9"/>
      <c r="DK178" s="21"/>
      <c r="DL178" s="21"/>
      <c r="DM178" s="21"/>
      <c r="DN178" s="21"/>
      <c r="DO178" s="21"/>
      <c r="DR178" s="9"/>
      <c r="DS178" s="21"/>
      <c r="DT178" s="21"/>
      <c r="DU178" s="21"/>
      <c r="DV178" s="21"/>
      <c r="DW178" s="21"/>
      <c r="EB178" s="9"/>
      <c r="EC178" s="21"/>
      <c r="ED178" s="21"/>
      <c r="EE178" s="21"/>
      <c r="EF178" s="21"/>
      <c r="EG178" s="21"/>
      <c r="EJ178" s="9"/>
      <c r="EK178" s="21"/>
      <c r="EL178" s="21"/>
      <c r="EM178" s="21"/>
      <c r="EN178" s="21"/>
      <c r="EO178" s="21"/>
      <c r="ET178" s="21"/>
      <c r="EU178" s="21"/>
      <c r="EV178" s="21"/>
      <c r="EW178" s="21"/>
      <c r="EX178" s="21"/>
      <c r="FA178" s="9"/>
      <c r="FB178" s="21"/>
      <c r="FC178" s="21"/>
      <c r="FD178" s="21"/>
      <c r="FE178" s="21"/>
      <c r="FF178" s="21"/>
    </row>
    <row r="179" spans="6:162" x14ac:dyDescent="0.25">
      <c r="F179" s="9"/>
      <c r="G179" s="21">
        <v>0.34896899999999997</v>
      </c>
      <c r="H179" s="21">
        <v>6.71732</v>
      </c>
      <c r="I179" s="24">
        <v>-6.3598599999999998E-5</v>
      </c>
      <c r="J179" s="21">
        <v>169</v>
      </c>
      <c r="K179" s="21">
        <v>0.348663</v>
      </c>
      <c r="L179">
        <f t="shared" si="24"/>
        <v>7.8516790123456776E-2</v>
      </c>
      <c r="M179">
        <f t="shared" si="25"/>
        <v>2.7399925732592586E-2</v>
      </c>
      <c r="N179" s="9"/>
      <c r="O179" s="21">
        <v>0.75103799999999998</v>
      </c>
      <c r="P179" s="21">
        <v>9.3380600000000005</v>
      </c>
      <c r="Q179" s="24">
        <v>-3.8787800000000002E-5</v>
      </c>
      <c r="R179" s="21">
        <v>169</v>
      </c>
      <c r="S179" s="21">
        <v>0.75042699999999996</v>
      </c>
      <c r="T179">
        <f t="shared" si="26"/>
        <v>4.7886172839506171E-2</v>
      </c>
      <c r="U179">
        <f t="shared" si="27"/>
        <v>3.5964335477037035E-2</v>
      </c>
      <c r="X179" s="9"/>
      <c r="Y179" s="21">
        <v>0.34896899999999997</v>
      </c>
      <c r="Z179" s="21">
        <v>13.698499999999999</v>
      </c>
      <c r="AA179" s="24">
        <v>-5.91125E-5</v>
      </c>
      <c r="AB179" s="21">
        <v>169</v>
      </c>
      <c r="AC179" s="21">
        <v>0.34863300000000003</v>
      </c>
      <c r="AD179">
        <f t="shared" si="28"/>
        <v>7.2978395061728388E-2</v>
      </c>
      <c r="AE179">
        <f t="shared" si="29"/>
        <v>2.5467197546296293E-2</v>
      </c>
      <c r="AF179" s="9"/>
      <c r="AG179" s="21">
        <v>0.75103799999999998</v>
      </c>
      <c r="AH179" s="21">
        <v>16.319199999999999</v>
      </c>
      <c r="AI179" s="24">
        <v>-3.6315900000000002E-5</v>
      </c>
      <c r="AJ179" s="21">
        <v>169</v>
      </c>
      <c r="AK179" s="21">
        <v>0.75012199999999996</v>
      </c>
      <c r="AL179">
        <f t="shared" si="30"/>
        <v>4.4834444444444441E-2</v>
      </c>
      <c r="AM179">
        <f t="shared" si="31"/>
        <v>3.3672371486666665E-2</v>
      </c>
      <c r="AP179" s="9"/>
      <c r="AQ179" s="21">
        <v>0.34896899999999997</v>
      </c>
      <c r="AR179" s="21">
        <v>20.621700000000001</v>
      </c>
      <c r="AS179" s="24">
        <v>-5.69153E-5</v>
      </c>
      <c r="AT179" s="21">
        <v>169</v>
      </c>
      <c r="AU179" s="21">
        <v>0.34863300000000003</v>
      </c>
      <c r="AV179">
        <f t="shared" si="32"/>
        <v>7.0265802469135802E-2</v>
      </c>
      <c r="AW179">
        <f t="shared" si="33"/>
        <v>2.4520586821851851E-2</v>
      </c>
      <c r="AX179" s="9"/>
      <c r="AY179" s="21">
        <v>0.75103799999999998</v>
      </c>
      <c r="AZ179" s="21">
        <v>23.2424</v>
      </c>
      <c r="BA179" s="24">
        <v>-3.4973099999999999E-5</v>
      </c>
      <c r="BB179" s="21">
        <v>169</v>
      </c>
      <c r="BC179" s="21">
        <v>0.75042699999999996</v>
      </c>
      <c r="BD179">
        <f t="shared" si="34"/>
        <v>4.3176666666666662E-2</v>
      </c>
      <c r="BE179">
        <f t="shared" si="35"/>
        <v>3.2427317379999994E-2</v>
      </c>
      <c r="BH179" s="9"/>
      <c r="BI179" s="21"/>
      <c r="BJ179" s="21"/>
      <c r="BK179" s="21"/>
      <c r="BL179" s="21"/>
      <c r="BM179" s="21"/>
      <c r="BP179" s="9"/>
      <c r="BQ179" s="21"/>
      <c r="BR179" s="21"/>
      <c r="BS179" s="21"/>
      <c r="BT179" s="21"/>
      <c r="BU179" s="21"/>
      <c r="BZ179" s="9"/>
      <c r="CA179" s="21"/>
      <c r="CB179" s="21"/>
      <c r="CC179" s="21"/>
      <c r="CD179" s="21"/>
      <c r="CE179" s="21"/>
      <c r="CH179" s="9"/>
      <c r="CI179" s="21"/>
      <c r="CJ179" s="21"/>
      <c r="CK179" s="21"/>
      <c r="CL179" s="21"/>
      <c r="CM179" s="21"/>
      <c r="CR179" s="9"/>
      <c r="CS179" s="21"/>
      <c r="CT179" s="21"/>
      <c r="CU179" s="21"/>
      <c r="CV179" s="21"/>
      <c r="CW179" s="21"/>
      <c r="CZ179" s="9"/>
      <c r="DA179" s="21"/>
      <c r="DB179" s="21"/>
      <c r="DC179" s="21"/>
      <c r="DD179" s="21"/>
      <c r="DE179" s="21"/>
      <c r="DJ179" s="9"/>
      <c r="DK179" s="21"/>
      <c r="DL179" s="21"/>
      <c r="DM179" s="21"/>
      <c r="DN179" s="21"/>
      <c r="DO179" s="21"/>
      <c r="DR179" s="9"/>
      <c r="DS179" s="21"/>
      <c r="DT179" s="21"/>
      <c r="DU179" s="21"/>
      <c r="DV179" s="21"/>
      <c r="DW179" s="21"/>
      <c r="EB179" s="9"/>
      <c r="EC179" s="21"/>
      <c r="ED179" s="21"/>
      <c r="EE179" s="21"/>
      <c r="EF179" s="21"/>
      <c r="EG179" s="21"/>
      <c r="EJ179" s="9"/>
      <c r="EK179" s="21"/>
      <c r="EL179" s="21"/>
      <c r="EM179" s="21"/>
      <c r="EN179" s="21"/>
      <c r="EO179" s="21"/>
      <c r="ET179" s="21"/>
      <c r="EU179" s="21"/>
      <c r="EV179" s="21"/>
      <c r="EW179" s="21"/>
      <c r="EX179" s="21"/>
      <c r="FA179" s="9"/>
      <c r="FB179" s="21"/>
      <c r="FC179" s="21"/>
      <c r="FD179" s="21"/>
      <c r="FE179" s="21"/>
      <c r="FF179" s="21"/>
    </row>
    <row r="180" spans="6:162" x14ac:dyDescent="0.25">
      <c r="F180" s="9"/>
      <c r="G180" s="21">
        <v>0.34393299999999999</v>
      </c>
      <c r="H180" s="21">
        <v>6.7273899999999998</v>
      </c>
      <c r="I180" s="24">
        <v>-6.3720700000000001E-5</v>
      </c>
      <c r="J180" s="21">
        <v>170</v>
      </c>
      <c r="K180" s="21">
        <v>0.34359699999999999</v>
      </c>
      <c r="L180">
        <f t="shared" si="24"/>
        <v>7.8667530864197532E-2</v>
      </c>
      <c r="M180">
        <f t="shared" si="25"/>
        <v>2.7056359892716049E-2</v>
      </c>
      <c r="N180" s="9"/>
      <c r="O180" s="21">
        <v>0.756073</v>
      </c>
      <c r="P180" s="21">
        <v>9.3481299999999994</v>
      </c>
      <c r="Q180" s="24">
        <v>-3.8665799999999998E-5</v>
      </c>
      <c r="R180" s="21">
        <v>170</v>
      </c>
      <c r="S180" s="21">
        <v>0.75531000000000004</v>
      </c>
      <c r="T180">
        <f t="shared" si="26"/>
        <v>4.7735555555555545E-2</v>
      </c>
      <c r="U180">
        <f t="shared" si="27"/>
        <v>3.609156469555555E-2</v>
      </c>
      <c r="X180" s="9"/>
      <c r="Y180" s="21">
        <v>0.34393299999999999</v>
      </c>
      <c r="Z180" s="21">
        <v>13.708600000000001</v>
      </c>
      <c r="AA180" s="24">
        <v>-5.9265100000000003E-5</v>
      </c>
      <c r="AB180" s="21">
        <v>170</v>
      </c>
      <c r="AC180" s="21">
        <v>0.34362799999999999</v>
      </c>
      <c r="AD180">
        <f t="shared" si="28"/>
        <v>7.3166790123456782E-2</v>
      </c>
      <c r="AE180">
        <f t="shared" si="29"/>
        <v>2.516447362753086E-2</v>
      </c>
      <c r="AF180" s="9"/>
      <c r="AG180" s="21">
        <v>0.756073</v>
      </c>
      <c r="AH180" s="21">
        <v>16.3293</v>
      </c>
      <c r="AI180" s="24">
        <v>-3.6224399999999998E-5</v>
      </c>
      <c r="AJ180" s="21">
        <v>170</v>
      </c>
      <c r="AK180" s="21">
        <v>0.75531000000000004</v>
      </c>
      <c r="AL180">
        <f t="shared" si="30"/>
        <v>4.4721481481481473E-2</v>
      </c>
      <c r="AM180">
        <f t="shared" si="31"/>
        <v>3.381270466814814E-2</v>
      </c>
      <c r="AP180" s="9"/>
      <c r="AQ180" s="21">
        <v>0.34393299999999999</v>
      </c>
      <c r="AR180" s="21">
        <v>20.631699999999999</v>
      </c>
      <c r="AS180" s="24">
        <v>-5.7006799999999998E-5</v>
      </c>
      <c r="AT180" s="21">
        <v>170</v>
      </c>
      <c r="AU180" s="21">
        <v>0.34359699999999999</v>
      </c>
      <c r="AV180">
        <f t="shared" si="32"/>
        <v>7.0378765432098769E-2</v>
      </c>
      <c r="AW180">
        <f t="shared" si="33"/>
        <v>2.4205579931358027E-2</v>
      </c>
      <c r="AX180" s="9"/>
      <c r="AY180" s="21">
        <v>0.756073</v>
      </c>
      <c r="AZ180" s="21">
        <v>23.252500000000001</v>
      </c>
      <c r="BA180" s="24">
        <v>-3.4820600000000003E-5</v>
      </c>
      <c r="BB180" s="21">
        <v>170</v>
      </c>
      <c r="BC180" s="21">
        <v>0.75531000000000004</v>
      </c>
      <c r="BD180">
        <f t="shared" si="34"/>
        <v>4.2988395061728399E-2</v>
      </c>
      <c r="BE180">
        <f t="shared" si="35"/>
        <v>3.2502364819506177E-2</v>
      </c>
      <c r="BH180" s="9"/>
      <c r="BI180" s="21"/>
      <c r="BJ180" s="21"/>
      <c r="BK180" s="21"/>
      <c r="BL180" s="21"/>
      <c r="BM180" s="21"/>
      <c r="BP180" s="9"/>
      <c r="BQ180" s="21"/>
      <c r="BR180" s="21"/>
      <c r="BS180" s="21"/>
      <c r="BT180" s="21"/>
      <c r="BU180" s="21"/>
      <c r="BZ180" s="9"/>
      <c r="CA180" s="21"/>
      <c r="CB180" s="21"/>
      <c r="CC180" s="21"/>
      <c r="CD180" s="21"/>
      <c r="CE180" s="21"/>
      <c r="CH180" s="9"/>
      <c r="CI180" s="21"/>
      <c r="CJ180" s="21"/>
      <c r="CK180" s="21"/>
      <c r="CL180" s="21"/>
      <c r="CM180" s="21"/>
      <c r="CR180" s="9"/>
      <c r="CS180" s="21"/>
      <c r="CT180" s="21"/>
      <c r="CU180" s="21"/>
      <c r="CV180" s="21"/>
      <c r="CW180" s="21"/>
      <c r="CZ180" s="9"/>
      <c r="DA180" s="21"/>
      <c r="DB180" s="21"/>
      <c r="DC180" s="21"/>
      <c r="DD180" s="21"/>
      <c r="DE180" s="21"/>
      <c r="DJ180" s="9"/>
      <c r="DK180" s="21"/>
      <c r="DL180" s="21"/>
      <c r="DM180" s="21"/>
      <c r="DN180" s="21"/>
      <c r="DO180" s="21"/>
      <c r="DR180" s="9"/>
      <c r="DS180" s="21"/>
      <c r="DT180" s="21"/>
      <c r="DU180" s="21"/>
      <c r="DV180" s="21"/>
      <c r="DW180" s="21"/>
      <c r="EB180" s="9"/>
      <c r="EC180" s="21"/>
      <c r="ED180" s="21"/>
      <c r="EE180" s="21"/>
      <c r="EF180" s="21"/>
      <c r="EG180" s="21"/>
      <c r="EJ180" s="9"/>
      <c r="EK180" s="21"/>
      <c r="EL180" s="21"/>
      <c r="EM180" s="21"/>
      <c r="EN180" s="21"/>
      <c r="EO180" s="21"/>
      <c r="ET180" s="21"/>
      <c r="EU180" s="21"/>
      <c r="EV180" s="21"/>
      <c r="EW180" s="21"/>
      <c r="EX180" s="21"/>
      <c r="FA180" s="9"/>
      <c r="FB180" s="21"/>
      <c r="FC180" s="21"/>
      <c r="FD180" s="21"/>
      <c r="FE180" s="21"/>
      <c r="FF180" s="21"/>
    </row>
    <row r="181" spans="6:162" x14ac:dyDescent="0.25">
      <c r="F181" s="9"/>
      <c r="G181" s="21">
        <v>0.33889799999999998</v>
      </c>
      <c r="H181" s="21">
        <v>6.7374599999999996</v>
      </c>
      <c r="I181" s="24">
        <v>-6.3873299999999997E-5</v>
      </c>
      <c r="J181" s="21">
        <v>171</v>
      </c>
      <c r="K181" s="21">
        <v>0.33853100000000003</v>
      </c>
      <c r="L181">
        <f t="shared" si="24"/>
        <v>7.8855925925925913E-2</v>
      </c>
      <c r="M181">
        <f t="shared" si="25"/>
        <v>2.6724115584444437E-2</v>
      </c>
      <c r="N181" s="9"/>
      <c r="O181" s="21">
        <v>0.76110800000000001</v>
      </c>
      <c r="P181" s="21">
        <v>9.3582000000000001</v>
      </c>
      <c r="Q181" s="24">
        <v>-3.8513200000000003E-5</v>
      </c>
      <c r="R181" s="21">
        <v>171</v>
      </c>
      <c r="S181" s="21">
        <v>0.76049800000000001</v>
      </c>
      <c r="T181">
        <f t="shared" si="26"/>
        <v>4.7547160493827165E-2</v>
      </c>
      <c r="U181">
        <f t="shared" si="27"/>
        <v>3.6188524229135807E-2</v>
      </c>
      <c r="X181" s="9"/>
      <c r="Y181" s="21">
        <v>0.33889799999999998</v>
      </c>
      <c r="Z181" s="21">
        <v>13.7186</v>
      </c>
      <c r="AA181" s="24">
        <v>-5.9326200000000001E-5</v>
      </c>
      <c r="AB181" s="21">
        <v>171</v>
      </c>
      <c r="AC181" s="21">
        <v>0.33856199999999997</v>
      </c>
      <c r="AD181">
        <f t="shared" si="28"/>
        <v>7.3242222222222222E-2</v>
      </c>
      <c r="AE181">
        <f t="shared" si="29"/>
        <v>2.4821642626666664E-2</v>
      </c>
      <c r="AF181" s="9"/>
      <c r="AG181" s="21">
        <v>0.76110800000000001</v>
      </c>
      <c r="AH181" s="21">
        <v>16.339400000000001</v>
      </c>
      <c r="AI181" s="24">
        <v>-3.6010699999999997E-5</v>
      </c>
      <c r="AJ181" s="21">
        <v>171</v>
      </c>
      <c r="AK181" s="21">
        <v>0.75927699999999998</v>
      </c>
      <c r="AL181">
        <f t="shared" si="30"/>
        <v>4.4457654320987645E-2</v>
      </c>
      <c r="AM181">
        <f t="shared" si="31"/>
        <v>3.3837076364938268E-2</v>
      </c>
      <c r="AP181" s="9"/>
      <c r="AQ181" s="21">
        <v>0.33889799999999998</v>
      </c>
      <c r="AR181" s="21">
        <v>20.6418</v>
      </c>
      <c r="AS181" s="24">
        <v>-5.7189899999999999E-5</v>
      </c>
      <c r="AT181" s="21">
        <v>171</v>
      </c>
      <c r="AU181" s="21">
        <v>0.33853100000000003</v>
      </c>
      <c r="AV181">
        <f t="shared" si="32"/>
        <v>7.0604814814814815E-2</v>
      </c>
      <c r="AW181">
        <f t="shared" si="33"/>
        <v>2.3927830531111111E-2</v>
      </c>
      <c r="AX181" s="9"/>
      <c r="AY181" s="21">
        <v>0.76110800000000001</v>
      </c>
      <c r="AZ181" s="21">
        <v>23.262599999999999</v>
      </c>
      <c r="BA181" s="24">
        <v>-3.4637500000000002E-5</v>
      </c>
      <c r="BB181" s="21">
        <v>171</v>
      </c>
      <c r="BC181" s="21">
        <v>0.76019300000000001</v>
      </c>
      <c r="BD181">
        <f t="shared" si="34"/>
        <v>4.2762345679012347E-2</v>
      </c>
      <c r="BE181">
        <f t="shared" si="35"/>
        <v>3.2546763395061733E-2</v>
      </c>
      <c r="BH181" s="9"/>
      <c r="BI181" s="21"/>
      <c r="BJ181" s="21"/>
      <c r="BK181" s="21"/>
      <c r="BL181" s="21"/>
      <c r="BM181" s="21"/>
      <c r="BP181" s="9"/>
      <c r="BQ181" s="21"/>
      <c r="BR181" s="21"/>
      <c r="BS181" s="21"/>
      <c r="BT181" s="21"/>
      <c r="BU181" s="21"/>
      <c r="BZ181" s="9"/>
      <c r="CA181" s="21"/>
      <c r="CB181" s="21"/>
      <c r="CC181" s="21"/>
      <c r="CD181" s="21"/>
      <c r="CE181" s="21"/>
      <c r="CH181" s="9"/>
      <c r="CI181" s="21"/>
      <c r="CJ181" s="21"/>
      <c r="CK181" s="21"/>
      <c r="CL181" s="21"/>
      <c r="CM181" s="21"/>
      <c r="CR181" s="9"/>
      <c r="CS181" s="21"/>
      <c r="CT181" s="21"/>
      <c r="CU181" s="21"/>
      <c r="CV181" s="21"/>
      <c r="CW181" s="21"/>
      <c r="CZ181" s="9"/>
      <c r="DA181" s="21"/>
      <c r="DB181" s="21"/>
      <c r="DC181" s="21"/>
      <c r="DD181" s="21"/>
      <c r="DE181" s="21"/>
      <c r="DJ181" s="9"/>
      <c r="DK181" s="21"/>
      <c r="DL181" s="21"/>
      <c r="DM181" s="21"/>
      <c r="DN181" s="21"/>
      <c r="DO181" s="21"/>
      <c r="DR181" s="9"/>
      <c r="DS181" s="21"/>
      <c r="DT181" s="21"/>
      <c r="DU181" s="21"/>
      <c r="DV181" s="21"/>
      <c r="DW181" s="21"/>
      <c r="EB181" s="9"/>
      <c r="EC181" s="21"/>
      <c r="ED181" s="21"/>
      <c r="EE181" s="21"/>
      <c r="EF181" s="21"/>
      <c r="EG181" s="21"/>
      <c r="EJ181" s="9"/>
      <c r="EK181" s="21"/>
      <c r="EL181" s="21"/>
      <c r="EM181" s="21"/>
      <c r="EN181" s="21"/>
      <c r="EO181" s="21"/>
      <c r="ET181" s="21"/>
      <c r="EU181" s="21"/>
      <c r="EV181" s="21"/>
      <c r="EW181" s="21"/>
      <c r="EX181" s="21"/>
      <c r="FA181" s="9"/>
      <c r="FB181" s="21"/>
      <c r="FC181" s="21"/>
      <c r="FD181" s="21"/>
      <c r="FE181" s="21"/>
      <c r="FF181" s="21"/>
    </row>
    <row r="182" spans="6:162" x14ac:dyDescent="0.25">
      <c r="F182" s="9"/>
      <c r="G182" s="21">
        <v>0.33386199999999999</v>
      </c>
      <c r="H182" s="21">
        <v>6.7475300000000002</v>
      </c>
      <c r="I182" s="24">
        <v>-6.4025900000000006E-5</v>
      </c>
      <c r="J182" s="21">
        <v>172</v>
      </c>
      <c r="K182" s="21">
        <v>0.33352700000000002</v>
      </c>
      <c r="L182">
        <f t="shared" si="24"/>
        <v>7.9044320987654321E-2</v>
      </c>
      <c r="M182">
        <f t="shared" si="25"/>
        <v>2.6389895093580248E-2</v>
      </c>
      <c r="N182" s="9"/>
      <c r="O182" s="21">
        <v>0.76614400000000005</v>
      </c>
      <c r="P182" s="21">
        <v>9.3682700000000008</v>
      </c>
      <c r="Q182" s="24">
        <v>-3.8391099999999999E-5</v>
      </c>
      <c r="R182" s="21">
        <v>172</v>
      </c>
      <c r="S182" s="21">
        <v>0.76507599999999998</v>
      </c>
      <c r="T182">
        <f t="shared" si="26"/>
        <v>4.7396419753086415E-2</v>
      </c>
      <c r="U182">
        <f t="shared" si="27"/>
        <v>3.6312482615308637E-2</v>
      </c>
      <c r="X182" s="9"/>
      <c r="Y182" s="21">
        <v>0.33386199999999999</v>
      </c>
      <c r="Z182" s="21">
        <v>13.7287</v>
      </c>
      <c r="AA182" s="24">
        <v>-5.9417699999999999E-5</v>
      </c>
      <c r="AB182" s="21">
        <v>172</v>
      </c>
      <c r="AC182" s="21">
        <v>0.33355699999999999</v>
      </c>
      <c r="AD182">
        <f t="shared" si="28"/>
        <v>7.335518518518519E-2</v>
      </c>
      <c r="AE182">
        <f t="shared" si="29"/>
        <v>2.4490508836296297E-2</v>
      </c>
      <c r="AF182" s="9"/>
      <c r="AG182" s="21">
        <v>0.76614400000000005</v>
      </c>
      <c r="AH182" s="21">
        <v>16.349399999999999</v>
      </c>
      <c r="AI182" s="24">
        <v>-3.5827600000000002E-5</v>
      </c>
      <c r="AJ182" s="21">
        <v>172</v>
      </c>
      <c r="AK182" s="21">
        <v>0.76507599999999998</v>
      </c>
      <c r="AL182">
        <f t="shared" si="30"/>
        <v>4.4231604938271607E-2</v>
      </c>
      <c r="AM182">
        <f t="shared" si="31"/>
        <v>3.3887778733827166E-2</v>
      </c>
      <c r="AP182" s="9"/>
      <c r="AQ182" s="21">
        <v>0.33386199999999999</v>
      </c>
      <c r="AR182" s="21">
        <v>20.651900000000001</v>
      </c>
      <c r="AS182" s="24">
        <v>-5.7281499999999997E-5</v>
      </c>
      <c r="AT182" s="21">
        <v>172</v>
      </c>
      <c r="AU182" s="21">
        <v>0.33355699999999999</v>
      </c>
      <c r="AV182">
        <f t="shared" si="32"/>
        <v>7.0717901234567893E-2</v>
      </c>
      <c r="AW182">
        <f t="shared" si="33"/>
        <v>2.3610019941975306E-2</v>
      </c>
      <c r="AX182" s="9"/>
      <c r="AY182" s="21">
        <v>0.76614400000000005</v>
      </c>
      <c r="AZ182" s="21">
        <v>23.272600000000001</v>
      </c>
      <c r="BA182" s="24">
        <v>-3.4515399999999998E-5</v>
      </c>
      <c r="BB182" s="21">
        <v>172</v>
      </c>
      <c r="BC182" s="21">
        <v>0.76446499999999995</v>
      </c>
      <c r="BD182">
        <f t="shared" si="34"/>
        <v>4.2611604938271597E-2</v>
      </c>
      <c r="BE182">
        <f t="shared" si="35"/>
        <v>3.2646625453827155E-2</v>
      </c>
      <c r="BH182" s="9"/>
      <c r="BI182" s="21"/>
      <c r="BJ182" s="21"/>
      <c r="BK182" s="21"/>
      <c r="BL182" s="21"/>
      <c r="BM182" s="21"/>
      <c r="BP182" s="9"/>
      <c r="BQ182" s="21"/>
      <c r="BR182" s="21"/>
      <c r="BS182" s="21"/>
      <c r="BT182" s="21"/>
      <c r="BU182" s="21"/>
      <c r="BZ182" s="9"/>
      <c r="CA182" s="21"/>
      <c r="CB182" s="21"/>
      <c r="CC182" s="21"/>
      <c r="CD182" s="21"/>
      <c r="CE182" s="21"/>
      <c r="CH182" s="9"/>
      <c r="CI182" s="21"/>
      <c r="CJ182" s="21"/>
      <c r="CK182" s="21"/>
      <c r="CL182" s="21"/>
      <c r="CM182" s="21"/>
      <c r="CR182" s="9"/>
      <c r="CS182" s="21"/>
      <c r="CT182" s="21"/>
      <c r="CU182" s="21"/>
      <c r="CV182" s="21"/>
      <c r="CW182" s="21"/>
      <c r="CZ182" s="9"/>
      <c r="DA182" s="21"/>
      <c r="DB182" s="21"/>
      <c r="DC182" s="21"/>
      <c r="DD182" s="21"/>
      <c r="DE182" s="21"/>
      <c r="DJ182" s="9"/>
      <c r="DK182" s="21"/>
      <c r="DL182" s="21"/>
      <c r="DM182" s="21"/>
      <c r="DN182" s="21"/>
      <c r="DO182" s="21"/>
      <c r="DR182" s="9"/>
      <c r="DS182" s="21"/>
      <c r="DT182" s="21"/>
      <c r="DU182" s="21"/>
      <c r="DV182" s="21"/>
      <c r="DW182" s="21"/>
      <c r="EB182" s="9"/>
      <c r="EC182" s="21"/>
      <c r="ED182" s="21"/>
      <c r="EE182" s="21"/>
      <c r="EF182" s="21"/>
      <c r="EG182" s="21"/>
      <c r="EJ182" s="9"/>
      <c r="EK182" s="21"/>
      <c r="EL182" s="21"/>
      <c r="EM182" s="21"/>
      <c r="EN182" s="21"/>
      <c r="EO182" s="21"/>
      <c r="ET182" s="21"/>
      <c r="EU182" s="21"/>
      <c r="EV182" s="21"/>
      <c r="EW182" s="21"/>
      <c r="EX182" s="21"/>
      <c r="FA182" s="9"/>
      <c r="FB182" s="21"/>
      <c r="FC182" s="21"/>
      <c r="FD182" s="21"/>
      <c r="FE182" s="21"/>
      <c r="FF182" s="21"/>
    </row>
    <row r="183" spans="6:162" x14ac:dyDescent="0.25">
      <c r="F183" s="9"/>
      <c r="G183" s="21">
        <v>0.32882699999999998</v>
      </c>
      <c r="H183" s="21">
        <v>6.7576000000000001</v>
      </c>
      <c r="I183" s="24">
        <v>-6.4086900000000005E-5</v>
      </c>
      <c r="J183" s="21">
        <v>173</v>
      </c>
      <c r="K183" s="21">
        <v>0.32849099999999998</v>
      </c>
      <c r="L183">
        <f t="shared" si="24"/>
        <v>7.9119629629629623E-2</v>
      </c>
      <c r="M183">
        <f t="shared" si="25"/>
        <v>2.601667045222222E-2</v>
      </c>
      <c r="N183" s="9"/>
      <c r="O183" s="21">
        <v>0.77117899999999995</v>
      </c>
      <c r="P183" s="21">
        <v>9.3783399999999997</v>
      </c>
      <c r="Q183" s="24">
        <v>-3.8207999999999997E-5</v>
      </c>
      <c r="R183" s="21">
        <v>173</v>
      </c>
      <c r="S183" s="21">
        <v>0.77056899999999995</v>
      </c>
      <c r="T183">
        <f t="shared" si="26"/>
        <v>4.7170370370370363E-2</v>
      </c>
      <c r="U183">
        <f t="shared" si="27"/>
        <v>3.6376799051851844E-2</v>
      </c>
      <c r="X183" s="9"/>
      <c r="Y183" s="21">
        <v>0.32882699999999998</v>
      </c>
      <c r="Z183" s="21">
        <v>13.738799999999999</v>
      </c>
      <c r="AA183" s="24">
        <v>-5.9570300000000001E-5</v>
      </c>
      <c r="AB183" s="21">
        <v>173</v>
      </c>
      <c r="AC183" s="21">
        <v>0.32843</v>
      </c>
      <c r="AD183">
        <f t="shared" si="28"/>
        <v>7.354358024691357E-2</v>
      </c>
      <c r="AE183">
        <f t="shared" si="29"/>
        <v>2.4183114861851845E-2</v>
      </c>
      <c r="AF183" s="9"/>
      <c r="AG183" s="21">
        <v>0.77117899999999995</v>
      </c>
      <c r="AH183" s="21">
        <v>16.359500000000001</v>
      </c>
      <c r="AI183" s="24">
        <v>-3.5583500000000002E-5</v>
      </c>
      <c r="AJ183" s="21">
        <v>173</v>
      </c>
      <c r="AK183" s="21">
        <v>0.77056899999999995</v>
      </c>
      <c r="AL183">
        <f t="shared" si="30"/>
        <v>4.3930246913580245E-2</v>
      </c>
      <c r="AM183">
        <f t="shared" si="31"/>
        <v>3.3878083884567894E-2</v>
      </c>
      <c r="AP183" s="9"/>
      <c r="AQ183" s="21">
        <v>0.32882699999999998</v>
      </c>
      <c r="AR183" s="21">
        <v>20.661999999999999</v>
      </c>
      <c r="AS183" s="24">
        <v>-5.7342500000000002E-5</v>
      </c>
      <c r="AT183" s="21">
        <v>173</v>
      </c>
      <c r="AU183" s="21">
        <v>0.32843</v>
      </c>
      <c r="AV183">
        <f t="shared" si="32"/>
        <v>7.0793209876543209E-2</v>
      </c>
      <c r="AW183">
        <f t="shared" si="33"/>
        <v>2.3278718824074073E-2</v>
      </c>
      <c r="AX183" s="9"/>
      <c r="AY183" s="21">
        <v>0.77117899999999995</v>
      </c>
      <c r="AZ183" s="21">
        <v>23.282699999999998</v>
      </c>
      <c r="BA183" s="24">
        <v>-3.4423800000000001E-5</v>
      </c>
      <c r="BB183" s="21">
        <v>173</v>
      </c>
      <c r="BC183" s="21">
        <v>0.77026399999999995</v>
      </c>
      <c r="BD183">
        <f t="shared" si="34"/>
        <v>4.2498518518518519E-2</v>
      </c>
      <c r="BE183">
        <f t="shared" si="35"/>
        <v>3.2773965012592589E-2</v>
      </c>
      <c r="BH183" s="9"/>
      <c r="BI183" s="21"/>
      <c r="BJ183" s="21"/>
      <c r="BK183" s="21"/>
      <c r="BL183" s="21"/>
      <c r="BM183" s="21"/>
      <c r="BP183" s="9"/>
      <c r="BQ183" s="21"/>
      <c r="BR183" s="21"/>
      <c r="BS183" s="21"/>
      <c r="BT183" s="21"/>
      <c r="BU183" s="21"/>
      <c r="BZ183" s="9"/>
      <c r="CA183" s="21"/>
      <c r="CB183" s="21"/>
      <c r="CC183" s="21"/>
      <c r="CD183" s="21"/>
      <c r="CE183" s="21"/>
      <c r="CH183" s="9"/>
      <c r="CI183" s="21"/>
      <c r="CJ183" s="21"/>
      <c r="CK183" s="21"/>
      <c r="CL183" s="21"/>
      <c r="CM183" s="21"/>
      <c r="CR183" s="9"/>
      <c r="CS183" s="21"/>
      <c r="CT183" s="21"/>
      <c r="CU183" s="21"/>
      <c r="CV183" s="21"/>
      <c r="CW183" s="21"/>
      <c r="CZ183" s="9"/>
      <c r="DA183" s="21"/>
      <c r="DB183" s="21"/>
      <c r="DC183" s="21"/>
      <c r="DD183" s="21"/>
      <c r="DE183" s="21"/>
      <c r="DJ183" s="9"/>
      <c r="DK183" s="21"/>
      <c r="DL183" s="21"/>
      <c r="DM183" s="21"/>
      <c r="DN183" s="21"/>
      <c r="DO183" s="21"/>
      <c r="DR183" s="9"/>
      <c r="DS183" s="21"/>
      <c r="DT183" s="21"/>
      <c r="DU183" s="21"/>
      <c r="DV183" s="21"/>
      <c r="DW183" s="21"/>
      <c r="EB183" s="9"/>
      <c r="EC183" s="21"/>
      <c r="ED183" s="21"/>
      <c r="EE183" s="21"/>
      <c r="EF183" s="21"/>
      <c r="EG183" s="21"/>
      <c r="EJ183" s="9"/>
      <c r="EK183" s="21"/>
      <c r="EL183" s="21"/>
      <c r="EM183" s="21"/>
      <c r="EN183" s="21"/>
      <c r="EO183" s="21"/>
      <c r="ET183" s="21"/>
      <c r="EU183" s="21"/>
      <c r="EV183" s="21"/>
      <c r="EW183" s="21"/>
      <c r="EX183" s="21"/>
      <c r="FA183" s="9"/>
      <c r="FB183" s="21"/>
      <c r="FC183" s="21"/>
      <c r="FD183" s="21"/>
      <c r="FE183" s="21"/>
      <c r="FF183" s="21"/>
    </row>
    <row r="184" spans="6:162" x14ac:dyDescent="0.25">
      <c r="F184" s="9"/>
      <c r="G184" s="21">
        <v>0.32379200000000002</v>
      </c>
      <c r="H184" s="21">
        <v>6.7676699999999999</v>
      </c>
      <c r="I184" s="24">
        <v>-6.4178500000000002E-5</v>
      </c>
      <c r="J184" s="21">
        <v>174</v>
      </c>
      <c r="K184" s="21">
        <v>0.32339499999999999</v>
      </c>
      <c r="L184">
        <f t="shared" si="24"/>
        <v>7.9232716049382715E-2</v>
      </c>
      <c r="M184">
        <f t="shared" si="25"/>
        <v>2.5654919595061731E-2</v>
      </c>
      <c r="N184" s="9"/>
      <c r="O184" s="21">
        <v>0.77621499999999999</v>
      </c>
      <c r="P184" s="21">
        <v>9.3884100000000004</v>
      </c>
      <c r="Q184" s="24">
        <v>-3.8024900000000002E-5</v>
      </c>
      <c r="R184" s="21">
        <v>174</v>
      </c>
      <c r="S184" s="21">
        <v>0.77545200000000003</v>
      </c>
      <c r="T184">
        <f t="shared" si="26"/>
        <v>4.6944320987654317E-2</v>
      </c>
      <c r="U184">
        <f t="shared" si="27"/>
        <v>3.6438886115432098E-2</v>
      </c>
      <c r="X184" s="9"/>
      <c r="Y184" s="21">
        <v>0.32379200000000002</v>
      </c>
      <c r="Z184" s="21">
        <v>13.748799999999999</v>
      </c>
      <c r="AA184" s="24">
        <v>-5.9661899999999999E-5</v>
      </c>
      <c r="AB184" s="21">
        <v>174</v>
      </c>
      <c r="AC184" s="21">
        <v>0.32342500000000002</v>
      </c>
      <c r="AD184">
        <f t="shared" si="28"/>
        <v>7.3656666666666662E-2</v>
      </c>
      <c r="AE184">
        <f t="shared" si="29"/>
        <v>2.3849439413333333E-2</v>
      </c>
      <c r="AF184" s="9"/>
      <c r="AG184" s="21">
        <v>0.77621499999999999</v>
      </c>
      <c r="AH184" s="21">
        <v>16.369599999999998</v>
      </c>
      <c r="AI184" s="24">
        <v>-3.5491899999999998E-5</v>
      </c>
      <c r="AJ184" s="21">
        <v>174</v>
      </c>
      <c r="AK184" s="21">
        <v>0.77545200000000003</v>
      </c>
      <c r="AL184">
        <f t="shared" si="30"/>
        <v>4.3817160493827154E-2</v>
      </c>
      <c r="AM184">
        <f t="shared" si="31"/>
        <v>3.4011537232716042E-2</v>
      </c>
      <c r="AP184" s="9"/>
      <c r="AQ184" s="21">
        <v>0.32379200000000002</v>
      </c>
      <c r="AR184" s="21">
        <v>20.672000000000001</v>
      </c>
      <c r="AS184" s="24">
        <v>-5.7464599999999999E-5</v>
      </c>
      <c r="AT184" s="21">
        <v>174</v>
      </c>
      <c r="AU184" s="21">
        <v>0.32342500000000002</v>
      </c>
      <c r="AV184">
        <f t="shared" si="32"/>
        <v>7.0943950617283952E-2</v>
      </c>
      <c r="AW184">
        <f t="shared" si="33"/>
        <v>2.2971083658271607E-2</v>
      </c>
      <c r="AX184" s="9"/>
      <c r="AY184" s="21">
        <v>0.77621499999999999</v>
      </c>
      <c r="AZ184" s="21">
        <v>23.2928</v>
      </c>
      <c r="BA184" s="24">
        <v>-3.4301799999999997E-5</v>
      </c>
      <c r="BB184" s="21">
        <v>174</v>
      </c>
      <c r="BC184" s="21">
        <v>0.775146</v>
      </c>
      <c r="BD184">
        <f t="shared" si="34"/>
        <v>4.2347901234567893E-2</v>
      </c>
      <c r="BE184">
        <f t="shared" si="35"/>
        <v>3.2871076156790115E-2</v>
      </c>
      <c r="BH184" s="9"/>
      <c r="BI184" s="21"/>
      <c r="BJ184" s="21"/>
      <c r="BK184" s="21"/>
      <c r="BL184" s="21"/>
      <c r="BM184" s="21"/>
      <c r="BP184" s="9"/>
      <c r="BQ184" s="21"/>
      <c r="BR184" s="21"/>
      <c r="BS184" s="21"/>
      <c r="BT184" s="21"/>
      <c r="BU184" s="21"/>
      <c r="BZ184" s="9"/>
      <c r="CA184" s="21"/>
      <c r="CB184" s="21"/>
      <c r="CC184" s="21"/>
      <c r="CD184" s="21"/>
      <c r="CE184" s="21"/>
      <c r="CH184" s="9"/>
      <c r="CI184" s="21"/>
      <c r="CJ184" s="21"/>
      <c r="CK184" s="21"/>
      <c r="CL184" s="21"/>
      <c r="CM184" s="21"/>
      <c r="CR184" s="9"/>
      <c r="CS184" s="21"/>
      <c r="CT184" s="21"/>
      <c r="CU184" s="21"/>
      <c r="CV184" s="21"/>
      <c r="CW184" s="21"/>
      <c r="CZ184" s="9"/>
      <c r="DA184" s="21"/>
      <c r="DB184" s="21"/>
      <c r="DC184" s="21"/>
      <c r="DD184" s="21"/>
      <c r="DE184" s="21"/>
      <c r="DJ184" s="9"/>
      <c r="DK184" s="21"/>
      <c r="DL184" s="21"/>
      <c r="DM184" s="21"/>
      <c r="DN184" s="21"/>
      <c r="DO184" s="21"/>
      <c r="DR184" s="9"/>
      <c r="DS184" s="21"/>
      <c r="DT184" s="21"/>
      <c r="DU184" s="21"/>
      <c r="DV184" s="21"/>
      <c r="DW184" s="21"/>
      <c r="EB184" s="9"/>
      <c r="EC184" s="21"/>
      <c r="ED184" s="21"/>
      <c r="EE184" s="21"/>
      <c r="EF184" s="21"/>
      <c r="EG184" s="21"/>
      <c r="EJ184" s="9"/>
      <c r="EK184" s="21"/>
      <c r="EL184" s="21"/>
      <c r="EM184" s="21"/>
      <c r="EN184" s="21"/>
      <c r="EO184" s="21"/>
      <c r="ET184" s="21"/>
      <c r="EU184" s="21"/>
      <c r="EV184" s="21"/>
      <c r="EW184" s="21"/>
      <c r="EX184" s="21"/>
      <c r="FA184" s="9"/>
      <c r="FB184" s="21"/>
      <c r="FC184" s="21"/>
      <c r="FD184" s="21"/>
      <c r="FE184" s="21"/>
      <c r="FF184" s="21"/>
    </row>
    <row r="185" spans="6:162" x14ac:dyDescent="0.25">
      <c r="F185" s="9"/>
      <c r="G185" s="21">
        <v>0.31875599999999998</v>
      </c>
      <c r="H185" s="21">
        <v>6.7777399999999997</v>
      </c>
      <c r="I185" s="24">
        <v>-6.4208999999999995E-5</v>
      </c>
      <c r="J185" s="21">
        <v>175</v>
      </c>
      <c r="K185" s="21">
        <v>0.31841999999999998</v>
      </c>
      <c r="L185">
        <f t="shared" si="24"/>
        <v>7.9270370370370366E-2</v>
      </c>
      <c r="M185">
        <f t="shared" si="25"/>
        <v>2.5267906177777775E-2</v>
      </c>
      <c r="N185" s="9"/>
      <c r="O185" s="21">
        <v>0.78125</v>
      </c>
      <c r="P185" s="21">
        <v>9.3984799999999993</v>
      </c>
      <c r="Q185" s="24">
        <v>-3.7811300000000002E-5</v>
      </c>
      <c r="R185" s="21">
        <v>175</v>
      </c>
      <c r="S185" s="21">
        <v>0.78033399999999997</v>
      </c>
      <c r="T185">
        <f t="shared" si="26"/>
        <v>4.6680617283950621E-2</v>
      </c>
      <c r="U185">
        <f t="shared" si="27"/>
        <v>3.6469232253086424E-2</v>
      </c>
      <c r="X185" s="9"/>
      <c r="Y185" s="21">
        <v>0.31875599999999998</v>
      </c>
      <c r="Z185" s="21">
        <v>13.758900000000001</v>
      </c>
      <c r="AA185" s="24">
        <v>-5.9753400000000003E-5</v>
      </c>
      <c r="AB185" s="21">
        <v>175</v>
      </c>
      <c r="AC185" s="21">
        <v>0.31841999999999998</v>
      </c>
      <c r="AD185">
        <f t="shared" si="28"/>
        <v>7.3769629629629629E-2</v>
      </c>
      <c r="AE185">
        <f t="shared" si="29"/>
        <v>2.3514512062222222E-2</v>
      </c>
      <c r="AF185" s="9"/>
      <c r="AG185" s="21">
        <v>0.78125</v>
      </c>
      <c r="AH185" s="21">
        <v>16.3797</v>
      </c>
      <c r="AI185" s="24">
        <v>-3.5217299999999999E-5</v>
      </c>
      <c r="AJ185" s="21">
        <v>175</v>
      </c>
      <c r="AK185" s="21">
        <v>0.78064</v>
      </c>
      <c r="AL185">
        <f t="shared" si="30"/>
        <v>4.3478148148148148E-2</v>
      </c>
      <c r="AM185">
        <f t="shared" si="31"/>
        <v>3.3967303240740737E-2</v>
      </c>
      <c r="AP185" s="9"/>
      <c r="AQ185" s="21">
        <v>0.31875599999999998</v>
      </c>
      <c r="AR185" s="21">
        <v>20.682099999999998</v>
      </c>
      <c r="AS185" s="24">
        <v>-5.7525599999999997E-5</v>
      </c>
      <c r="AT185" s="21">
        <v>175</v>
      </c>
      <c r="AU185" s="21">
        <v>0.31841999999999998</v>
      </c>
      <c r="AV185">
        <f t="shared" si="32"/>
        <v>7.1019259259259254E-2</v>
      </c>
      <c r="AW185">
        <f t="shared" si="33"/>
        <v>2.263781500444444E-2</v>
      </c>
      <c r="AX185" s="9"/>
      <c r="AY185" s="21">
        <v>0.78125</v>
      </c>
      <c r="AZ185" s="21">
        <v>23.302800000000001</v>
      </c>
      <c r="BA185" s="24">
        <v>-3.4088100000000003E-5</v>
      </c>
      <c r="BB185" s="21">
        <v>175</v>
      </c>
      <c r="BC185" s="21">
        <v>0.78002899999999997</v>
      </c>
      <c r="BD185">
        <f t="shared" si="34"/>
        <v>4.2084074074074079E-2</v>
      </c>
      <c r="BE185">
        <f t="shared" si="35"/>
        <v>3.2878182870370372E-2</v>
      </c>
      <c r="BH185" s="9"/>
      <c r="BI185" s="21"/>
      <c r="BJ185" s="21"/>
      <c r="BK185" s="21"/>
      <c r="BL185" s="21"/>
      <c r="BM185" s="21"/>
      <c r="BP185" s="9"/>
      <c r="BQ185" s="21"/>
      <c r="BR185" s="21"/>
      <c r="BS185" s="21"/>
      <c r="BT185" s="21"/>
      <c r="BU185" s="21"/>
      <c r="BZ185" s="9"/>
      <c r="CA185" s="21"/>
      <c r="CB185" s="21"/>
      <c r="CC185" s="21"/>
      <c r="CD185" s="21"/>
      <c r="CE185" s="21"/>
      <c r="CH185" s="9"/>
      <c r="CI185" s="21"/>
      <c r="CJ185" s="21"/>
      <c r="CK185" s="21"/>
      <c r="CL185" s="21"/>
      <c r="CM185" s="21"/>
      <c r="CR185" s="9"/>
      <c r="CS185" s="21"/>
      <c r="CT185" s="21"/>
      <c r="CU185" s="21"/>
      <c r="CV185" s="21"/>
      <c r="CW185" s="21"/>
      <c r="CZ185" s="9"/>
      <c r="DA185" s="21"/>
      <c r="DB185" s="21"/>
      <c r="DC185" s="21"/>
      <c r="DD185" s="21"/>
      <c r="DE185" s="21"/>
      <c r="DJ185" s="9"/>
      <c r="DK185" s="21"/>
      <c r="DL185" s="21"/>
      <c r="DM185" s="21"/>
      <c r="DN185" s="21"/>
      <c r="DO185" s="21"/>
      <c r="DR185" s="9"/>
      <c r="DS185" s="21"/>
      <c r="DT185" s="21"/>
      <c r="DU185" s="21"/>
      <c r="DV185" s="21"/>
      <c r="DW185" s="21"/>
      <c r="EB185" s="9"/>
      <c r="EC185" s="21"/>
      <c r="ED185" s="21"/>
      <c r="EE185" s="21"/>
      <c r="EF185" s="21"/>
      <c r="EG185" s="21"/>
      <c r="EJ185" s="9"/>
      <c r="EK185" s="21"/>
      <c r="EL185" s="21"/>
      <c r="EM185" s="21"/>
      <c r="EN185" s="21"/>
      <c r="EO185" s="21"/>
      <c r="ET185" s="21"/>
      <c r="EU185" s="21"/>
      <c r="EV185" s="21"/>
      <c r="EW185" s="21"/>
      <c r="EX185" s="21"/>
      <c r="FA185" s="9"/>
      <c r="FB185" s="21"/>
      <c r="FC185" s="21"/>
      <c r="FD185" s="21"/>
      <c r="FE185" s="21"/>
      <c r="FF185" s="21"/>
    </row>
    <row r="186" spans="6:162" x14ac:dyDescent="0.25">
      <c r="F186" s="9"/>
      <c r="G186" s="21">
        <v>0.31372100000000003</v>
      </c>
      <c r="H186" s="21">
        <v>6.78782</v>
      </c>
      <c r="I186" s="24">
        <v>-6.42395E-5</v>
      </c>
      <c r="J186" s="21">
        <v>176</v>
      </c>
      <c r="K186" s="21">
        <v>0.31338500000000002</v>
      </c>
      <c r="L186">
        <f t="shared" si="24"/>
        <v>7.9308024691358017E-2</v>
      </c>
      <c r="M186">
        <f t="shared" si="25"/>
        <v>2.4880592814197532E-2</v>
      </c>
      <c r="N186" s="9"/>
      <c r="O186" s="21">
        <v>0.78628500000000001</v>
      </c>
      <c r="P186" s="21">
        <v>9.4085599999999996</v>
      </c>
      <c r="Q186" s="24">
        <v>-3.7658699999999999E-5</v>
      </c>
      <c r="R186" s="21">
        <v>176</v>
      </c>
      <c r="S186" s="21">
        <v>0.78521700000000005</v>
      </c>
      <c r="T186">
        <f t="shared" si="26"/>
        <v>4.649222222222222E-2</v>
      </c>
      <c r="U186">
        <f t="shared" si="27"/>
        <v>3.6556136949999998E-2</v>
      </c>
      <c r="X186" s="9"/>
      <c r="Y186" s="21">
        <v>0.31372100000000003</v>
      </c>
      <c r="Z186" s="21">
        <v>13.769</v>
      </c>
      <c r="AA186" s="24">
        <v>-5.9814500000000001E-5</v>
      </c>
      <c r="AB186" s="21">
        <v>176</v>
      </c>
      <c r="AC186" s="21">
        <v>0.31335400000000002</v>
      </c>
      <c r="AD186">
        <f t="shared" si="28"/>
        <v>7.3845061728395056E-2</v>
      </c>
      <c r="AE186">
        <f t="shared" si="29"/>
        <v>2.3166746610493828E-2</v>
      </c>
      <c r="AF186" s="9"/>
      <c r="AG186" s="21">
        <v>0.78628500000000001</v>
      </c>
      <c r="AH186" s="21">
        <v>16.389700000000001</v>
      </c>
      <c r="AI186" s="24">
        <v>-3.5156200000000001E-5</v>
      </c>
      <c r="AJ186" s="21">
        <v>176</v>
      </c>
      <c r="AK186" s="21">
        <v>0.78552200000000005</v>
      </c>
      <c r="AL186">
        <f t="shared" si="30"/>
        <v>4.3402716049382714E-2</v>
      </c>
      <c r="AM186">
        <f t="shared" si="31"/>
        <v>3.4126904588888889E-2</v>
      </c>
      <c r="AP186" s="9"/>
      <c r="AQ186" s="21">
        <v>0.31372100000000003</v>
      </c>
      <c r="AR186" s="21">
        <v>20.6922</v>
      </c>
      <c r="AS186" s="24">
        <v>-5.76477E-5</v>
      </c>
      <c r="AT186" s="21">
        <v>176</v>
      </c>
      <c r="AU186" s="21">
        <v>0.31338500000000002</v>
      </c>
      <c r="AV186">
        <f t="shared" si="32"/>
        <v>7.1169999999999997E-2</v>
      </c>
      <c r="AW186">
        <f t="shared" si="33"/>
        <v>2.232752357E-2</v>
      </c>
      <c r="AX186" s="9"/>
      <c r="AY186" s="21">
        <v>0.78628500000000001</v>
      </c>
      <c r="AZ186" s="21">
        <v>23.312899999999999</v>
      </c>
      <c r="BA186" s="24">
        <v>-3.3813499999999997E-5</v>
      </c>
      <c r="BB186" s="21">
        <v>176</v>
      </c>
      <c r="BC186" s="21">
        <v>0.78521700000000005</v>
      </c>
      <c r="BD186">
        <f t="shared" si="34"/>
        <v>4.1745061728395053E-2</v>
      </c>
      <c r="BE186">
        <f t="shared" si="35"/>
        <v>3.2823515861111104E-2</v>
      </c>
      <c r="BH186" s="9"/>
      <c r="BI186" s="21"/>
      <c r="BJ186" s="21"/>
      <c r="BK186" s="21"/>
      <c r="BL186" s="21"/>
      <c r="BM186" s="21"/>
      <c r="BP186" s="9"/>
      <c r="BQ186" s="21"/>
      <c r="BR186" s="21"/>
      <c r="BS186" s="21"/>
      <c r="BT186" s="21"/>
      <c r="BU186" s="21"/>
      <c r="BZ186" s="9"/>
      <c r="CA186" s="21"/>
      <c r="CB186" s="21"/>
      <c r="CC186" s="21"/>
      <c r="CD186" s="21"/>
      <c r="CE186" s="21"/>
      <c r="CH186" s="9"/>
      <c r="CI186" s="21"/>
      <c r="CJ186" s="21"/>
      <c r="CK186" s="21"/>
      <c r="CL186" s="21"/>
      <c r="CM186" s="21"/>
      <c r="CR186" s="9"/>
      <c r="CS186" s="21"/>
      <c r="CT186" s="21"/>
      <c r="CU186" s="21"/>
      <c r="CV186" s="21"/>
      <c r="CW186" s="21"/>
      <c r="CZ186" s="9"/>
      <c r="DA186" s="21"/>
      <c r="DB186" s="21"/>
      <c r="DC186" s="21"/>
      <c r="DD186" s="21"/>
      <c r="DE186" s="21"/>
      <c r="DJ186" s="9"/>
      <c r="DK186" s="21"/>
      <c r="DL186" s="21"/>
      <c r="DM186" s="21"/>
      <c r="DN186" s="21"/>
      <c r="DO186" s="21"/>
      <c r="DR186" s="9"/>
      <c r="DS186" s="21"/>
      <c r="DT186" s="21"/>
      <c r="DU186" s="21"/>
      <c r="DV186" s="21"/>
      <c r="DW186" s="21"/>
      <c r="EB186" s="9"/>
      <c r="EC186" s="21"/>
      <c r="ED186" s="21"/>
      <c r="EE186" s="21"/>
      <c r="EF186" s="21"/>
      <c r="EG186" s="21"/>
      <c r="EJ186" s="9"/>
      <c r="EK186" s="21"/>
      <c r="EL186" s="21"/>
      <c r="EM186" s="21"/>
      <c r="EN186" s="21"/>
      <c r="EO186" s="21"/>
      <c r="ET186" s="21"/>
      <c r="EU186" s="21"/>
      <c r="EV186" s="21"/>
      <c r="EW186" s="21"/>
      <c r="EX186" s="21"/>
      <c r="FA186" s="9"/>
      <c r="FB186" s="21"/>
      <c r="FC186" s="21"/>
      <c r="FD186" s="21"/>
      <c r="FE186" s="21"/>
      <c r="FF186" s="21"/>
    </row>
    <row r="187" spans="6:162" x14ac:dyDescent="0.25">
      <c r="F187" s="9"/>
      <c r="G187" s="21">
        <v>0.30868499999999999</v>
      </c>
      <c r="H187" s="21">
        <v>6.7978899999999998</v>
      </c>
      <c r="I187" s="24">
        <v>-6.4300499999999999E-5</v>
      </c>
      <c r="J187" s="21">
        <v>177</v>
      </c>
      <c r="K187" s="21">
        <v>0.30835000000000001</v>
      </c>
      <c r="L187">
        <f t="shared" si="24"/>
        <v>7.9383333333333334E-2</v>
      </c>
      <c r="M187">
        <f t="shared" si="25"/>
        <v>2.450444425E-2</v>
      </c>
      <c r="N187" s="9"/>
      <c r="O187" s="21">
        <v>0.79132100000000005</v>
      </c>
      <c r="P187" s="21">
        <v>9.4186300000000003</v>
      </c>
      <c r="Q187" s="24">
        <v>-3.7536600000000002E-5</v>
      </c>
      <c r="R187" s="21">
        <v>177</v>
      </c>
      <c r="S187" s="21">
        <v>0.79071000000000002</v>
      </c>
      <c r="T187">
        <f t="shared" si="26"/>
        <v>4.6341481481481483E-2</v>
      </c>
      <c r="U187">
        <f t="shared" si="27"/>
        <v>3.6670987467407413E-2</v>
      </c>
      <c r="X187" s="9"/>
      <c r="Y187" s="21">
        <v>0.30868499999999999</v>
      </c>
      <c r="Z187" s="21">
        <v>13.7791</v>
      </c>
      <c r="AA187" s="24">
        <v>-5.9905999999999999E-5</v>
      </c>
      <c r="AB187" s="21">
        <v>177</v>
      </c>
      <c r="AC187" s="21">
        <v>0.30835000000000001</v>
      </c>
      <c r="AD187">
        <f t="shared" si="28"/>
        <v>7.3958024691358024E-2</v>
      </c>
      <c r="AE187">
        <f t="shared" si="29"/>
        <v>2.2829732851851851E-2</v>
      </c>
      <c r="AF187" s="9"/>
      <c r="AG187" s="21">
        <v>0.79132100000000005</v>
      </c>
      <c r="AH187" s="21">
        <v>16.399799999999999</v>
      </c>
      <c r="AI187" s="24">
        <v>-3.4851100000000002E-5</v>
      </c>
      <c r="AJ187" s="21">
        <v>177</v>
      </c>
      <c r="AK187" s="21">
        <v>0.79071000000000002</v>
      </c>
      <c r="AL187">
        <f t="shared" si="30"/>
        <v>4.302604938271605E-2</v>
      </c>
      <c r="AM187">
        <f t="shared" si="31"/>
        <v>3.4047416423580251E-2</v>
      </c>
      <c r="AP187" s="9"/>
      <c r="AQ187" s="21">
        <v>0.30868499999999999</v>
      </c>
      <c r="AR187" s="21">
        <v>20.702200000000001</v>
      </c>
      <c r="AS187" s="24">
        <v>-5.7769799999999997E-5</v>
      </c>
      <c r="AT187" s="21">
        <v>177</v>
      </c>
      <c r="AU187" s="21">
        <v>0.30835000000000001</v>
      </c>
      <c r="AV187">
        <f t="shared" si="32"/>
        <v>7.132074074074074E-2</v>
      </c>
      <c r="AW187">
        <f t="shared" si="33"/>
        <v>2.2015642855555555E-2</v>
      </c>
      <c r="AX187" s="9"/>
      <c r="AY187" s="21">
        <v>0.79132100000000005</v>
      </c>
      <c r="AZ187" s="21">
        <v>23.323</v>
      </c>
      <c r="BA187" s="24">
        <v>-3.3782999999999998E-5</v>
      </c>
      <c r="BB187" s="21">
        <v>177</v>
      </c>
      <c r="BC187" s="21">
        <v>0.79010000000000002</v>
      </c>
      <c r="BD187">
        <f t="shared" si="34"/>
        <v>4.1707407407407401E-2</v>
      </c>
      <c r="BE187">
        <f t="shared" si="35"/>
        <v>3.3003947337037036E-2</v>
      </c>
      <c r="BH187" s="9"/>
      <c r="BI187" s="21"/>
      <c r="BJ187" s="21"/>
      <c r="BK187" s="21"/>
      <c r="BL187" s="21"/>
      <c r="BM187" s="21"/>
      <c r="BP187" s="9"/>
      <c r="BQ187" s="21"/>
      <c r="BR187" s="21"/>
      <c r="BS187" s="21"/>
      <c r="BT187" s="21"/>
      <c r="BU187" s="21"/>
      <c r="BZ187" s="9"/>
      <c r="CA187" s="21"/>
      <c r="CB187" s="21"/>
      <c r="CC187" s="21"/>
      <c r="CD187" s="21"/>
      <c r="CE187" s="21"/>
      <c r="CH187" s="9"/>
      <c r="CI187" s="21"/>
      <c r="CJ187" s="21"/>
      <c r="CK187" s="21"/>
      <c r="CL187" s="21"/>
      <c r="CM187" s="21"/>
      <c r="CR187" s="9"/>
      <c r="CS187" s="21"/>
      <c r="CT187" s="21"/>
      <c r="CU187" s="21"/>
      <c r="CV187" s="21"/>
      <c r="CW187" s="21"/>
      <c r="CZ187" s="9"/>
      <c r="DA187" s="21"/>
      <c r="DB187" s="21"/>
      <c r="DC187" s="21"/>
      <c r="DD187" s="21"/>
      <c r="DE187" s="21"/>
      <c r="DJ187" s="9"/>
      <c r="DK187" s="21"/>
      <c r="DL187" s="21"/>
      <c r="DM187" s="21"/>
      <c r="DN187" s="21"/>
      <c r="DO187" s="21"/>
      <c r="DR187" s="9"/>
      <c r="DS187" s="21"/>
      <c r="DT187" s="21"/>
      <c r="DU187" s="21"/>
      <c r="DV187" s="21"/>
      <c r="DW187" s="21"/>
      <c r="EB187" s="9"/>
      <c r="EC187" s="21"/>
      <c r="ED187" s="21"/>
      <c r="EE187" s="21"/>
      <c r="EF187" s="21"/>
      <c r="EG187" s="21"/>
      <c r="EJ187" s="9"/>
      <c r="EK187" s="21"/>
      <c r="EL187" s="21"/>
      <c r="EM187" s="21"/>
      <c r="EN187" s="21"/>
      <c r="EO187" s="21"/>
      <c r="ET187" s="21"/>
      <c r="EU187" s="21"/>
      <c r="EV187" s="21"/>
      <c r="EW187" s="21"/>
      <c r="EX187" s="21"/>
      <c r="FA187" s="9"/>
      <c r="FB187" s="21"/>
      <c r="FC187" s="21"/>
      <c r="FD187" s="21"/>
      <c r="FE187" s="21"/>
      <c r="FF187" s="21"/>
    </row>
    <row r="188" spans="6:162" x14ac:dyDescent="0.25">
      <c r="F188" s="9"/>
      <c r="G188" s="21">
        <v>0.30364999999999998</v>
      </c>
      <c r="H188" s="21">
        <v>6.8079599999999996</v>
      </c>
      <c r="I188" s="24">
        <v>-6.4422600000000002E-5</v>
      </c>
      <c r="J188" s="21">
        <v>178</v>
      </c>
      <c r="K188" s="21">
        <v>0.30325299999999999</v>
      </c>
      <c r="L188">
        <f t="shared" si="24"/>
        <v>7.9534074074074063E-2</v>
      </c>
      <c r="M188">
        <f t="shared" si="25"/>
        <v>2.4150521592592587E-2</v>
      </c>
      <c r="N188" s="9"/>
      <c r="O188" s="21">
        <v>0.79635599999999995</v>
      </c>
      <c r="P188" s="21">
        <v>9.4286999999999992</v>
      </c>
      <c r="Q188" s="24">
        <v>-3.7384E-5</v>
      </c>
      <c r="R188" s="21">
        <v>178</v>
      </c>
      <c r="S188" s="21">
        <v>0.79528799999999999</v>
      </c>
      <c r="T188">
        <f t="shared" si="26"/>
        <v>4.6153086419753082E-2</v>
      </c>
      <c r="U188">
        <f t="shared" si="27"/>
        <v>3.6754287288888882E-2</v>
      </c>
      <c r="X188" s="9"/>
      <c r="Y188" s="21">
        <v>0.30364999999999998</v>
      </c>
      <c r="Z188" s="21">
        <v>13.789099999999999</v>
      </c>
      <c r="AA188" s="24">
        <v>-5.9997600000000003E-5</v>
      </c>
      <c r="AB188" s="21">
        <v>178</v>
      </c>
      <c r="AC188" s="21">
        <v>0.30331399999999997</v>
      </c>
      <c r="AD188">
        <f t="shared" si="28"/>
        <v>7.4071111111111101E-2</v>
      </c>
      <c r="AE188">
        <f t="shared" si="29"/>
        <v>2.2491692888888883E-2</v>
      </c>
      <c r="AF188" s="9"/>
      <c r="AG188" s="21">
        <v>0.79635599999999995</v>
      </c>
      <c r="AH188" s="21">
        <v>16.4099</v>
      </c>
      <c r="AI188" s="24">
        <v>-3.4759499999999998E-5</v>
      </c>
      <c r="AJ188" s="21">
        <v>178</v>
      </c>
      <c r="AK188" s="21">
        <v>0.79589799999999999</v>
      </c>
      <c r="AL188">
        <f t="shared" si="30"/>
        <v>4.2912962962962958E-2</v>
      </c>
      <c r="AM188">
        <f t="shared" si="31"/>
        <v>3.4173995533333328E-2</v>
      </c>
      <c r="AP188" s="9"/>
      <c r="AQ188" s="21">
        <v>0.30364999999999998</v>
      </c>
      <c r="AR188" s="21">
        <v>20.712299999999999</v>
      </c>
      <c r="AS188" s="24">
        <v>-5.7952899999999999E-5</v>
      </c>
      <c r="AT188" s="21">
        <v>178</v>
      </c>
      <c r="AU188" s="21">
        <v>0.30325299999999999</v>
      </c>
      <c r="AV188">
        <f t="shared" si="32"/>
        <v>7.1546790123456785E-2</v>
      </c>
      <c r="AW188">
        <f t="shared" si="33"/>
        <v>2.1725182820987652E-2</v>
      </c>
      <c r="AX188" s="9"/>
      <c r="AY188" s="21">
        <v>0.79635599999999995</v>
      </c>
      <c r="AZ188" s="21">
        <v>23.333100000000002</v>
      </c>
      <c r="BA188" s="24">
        <v>-3.3630400000000002E-5</v>
      </c>
      <c r="BB188" s="21">
        <v>178</v>
      </c>
      <c r="BC188" s="21">
        <v>0.79620400000000002</v>
      </c>
      <c r="BD188">
        <f t="shared" si="34"/>
        <v>4.1519012345679007E-2</v>
      </c>
      <c r="BE188">
        <f t="shared" si="35"/>
        <v>3.3063914595555549E-2</v>
      </c>
      <c r="BH188" s="9"/>
      <c r="BI188" s="21"/>
      <c r="BJ188" s="21"/>
      <c r="BK188" s="21"/>
      <c r="BL188" s="21"/>
      <c r="BM188" s="21"/>
      <c r="BP188" s="9"/>
      <c r="BQ188" s="21"/>
      <c r="BR188" s="21"/>
      <c r="BS188" s="21"/>
      <c r="BT188" s="21"/>
      <c r="BU188" s="21"/>
      <c r="BZ188" s="9"/>
      <c r="CA188" s="21"/>
      <c r="CB188" s="21"/>
      <c r="CC188" s="21"/>
      <c r="CD188" s="21"/>
      <c r="CE188" s="21"/>
      <c r="CH188" s="9"/>
      <c r="CI188" s="21"/>
      <c r="CJ188" s="21"/>
      <c r="CK188" s="21"/>
      <c r="CL188" s="21"/>
      <c r="CM188" s="21"/>
      <c r="CR188" s="9"/>
      <c r="CS188" s="21"/>
      <c r="CT188" s="21"/>
      <c r="CU188" s="21"/>
      <c r="CV188" s="21"/>
      <c r="CW188" s="21"/>
      <c r="CZ188" s="9"/>
      <c r="DA188" s="21"/>
      <c r="DB188" s="21"/>
      <c r="DC188" s="21"/>
      <c r="DD188" s="21"/>
      <c r="DE188" s="21"/>
      <c r="DJ188" s="9"/>
      <c r="DK188" s="21"/>
      <c r="DL188" s="21"/>
      <c r="DM188" s="21"/>
      <c r="DN188" s="21"/>
      <c r="DO188" s="21"/>
      <c r="DR188" s="9"/>
      <c r="DS188" s="21"/>
      <c r="DT188" s="21"/>
      <c r="DU188" s="21"/>
      <c r="DV188" s="21"/>
      <c r="DW188" s="21"/>
      <c r="EB188" s="9"/>
      <c r="EC188" s="21"/>
      <c r="ED188" s="21"/>
      <c r="EE188" s="21"/>
      <c r="EF188" s="21"/>
      <c r="EG188" s="21"/>
      <c r="EJ188" s="9"/>
      <c r="EK188" s="21"/>
      <c r="EL188" s="21"/>
      <c r="EM188" s="21"/>
      <c r="EN188" s="21"/>
      <c r="EO188" s="21"/>
      <c r="ET188" s="21"/>
      <c r="EU188" s="21"/>
      <c r="EV188" s="21"/>
      <c r="EW188" s="21"/>
      <c r="EX188" s="21"/>
      <c r="FA188" s="9"/>
      <c r="FB188" s="21"/>
      <c r="FC188" s="21"/>
      <c r="FD188" s="21"/>
      <c r="FE188" s="21"/>
      <c r="FF188" s="21"/>
    </row>
    <row r="189" spans="6:162" x14ac:dyDescent="0.25">
      <c r="F189" s="9"/>
      <c r="G189" s="21">
        <v>0.29861500000000002</v>
      </c>
      <c r="H189" s="21">
        <v>6.8180300000000003</v>
      </c>
      <c r="I189" s="24">
        <v>-6.44836E-5</v>
      </c>
      <c r="J189" s="21">
        <v>179</v>
      </c>
      <c r="K189" s="21">
        <v>0.29827900000000002</v>
      </c>
      <c r="L189">
        <f t="shared" si="24"/>
        <v>7.9609382716049379E-2</v>
      </c>
      <c r="M189">
        <f t="shared" si="25"/>
        <v>2.3772555819753086E-2</v>
      </c>
      <c r="N189" s="9"/>
      <c r="O189" s="21">
        <v>0.80139199999999999</v>
      </c>
      <c r="P189" s="21">
        <v>9.4387699999999999</v>
      </c>
      <c r="Q189" s="24">
        <v>-3.7170399999999999E-5</v>
      </c>
      <c r="R189" s="21">
        <v>179</v>
      </c>
      <c r="S189" s="21">
        <v>0.80047599999999997</v>
      </c>
      <c r="T189">
        <f t="shared" si="26"/>
        <v>4.5889382716049379E-2</v>
      </c>
      <c r="U189">
        <f t="shared" si="27"/>
        <v>3.6775384193580243E-2</v>
      </c>
      <c r="X189" s="9"/>
      <c r="Y189" s="21">
        <v>0.29861500000000002</v>
      </c>
      <c r="Z189" s="21">
        <v>13.799200000000001</v>
      </c>
      <c r="AA189" s="24">
        <v>-6.0211199999999997E-5</v>
      </c>
      <c r="AB189" s="21">
        <v>179</v>
      </c>
      <c r="AC189" s="21">
        <v>0.29827900000000002</v>
      </c>
      <c r="AD189">
        <f t="shared" si="28"/>
        <v>7.4334814814814812E-2</v>
      </c>
      <c r="AE189">
        <f t="shared" si="29"/>
        <v>2.2197490725925927E-2</v>
      </c>
      <c r="AF189" s="9"/>
      <c r="AG189" s="21">
        <v>0.80139199999999999</v>
      </c>
      <c r="AH189" s="21">
        <v>16.419899999999998</v>
      </c>
      <c r="AI189" s="24">
        <v>-3.4484899999999999E-5</v>
      </c>
      <c r="AJ189" s="21">
        <v>179</v>
      </c>
      <c r="AK189" s="21">
        <v>0.80078099999999997</v>
      </c>
      <c r="AL189">
        <f t="shared" si="30"/>
        <v>4.2573950617283945E-2</v>
      </c>
      <c r="AM189">
        <f t="shared" si="31"/>
        <v>3.4118423433086416E-2</v>
      </c>
      <c r="AP189" s="9"/>
      <c r="AQ189" s="21">
        <v>0.29861500000000002</v>
      </c>
      <c r="AR189" s="21">
        <v>20.7224</v>
      </c>
      <c r="AS189" s="24">
        <v>-5.8105500000000001E-5</v>
      </c>
      <c r="AT189" s="21">
        <v>179</v>
      </c>
      <c r="AU189" s="21">
        <v>0.29830899999999999</v>
      </c>
      <c r="AV189">
        <f t="shared" si="32"/>
        <v>7.173518518518518E-2</v>
      </c>
      <c r="AW189">
        <f t="shared" si="33"/>
        <v>2.1421202324074073E-2</v>
      </c>
      <c r="AX189" s="9"/>
      <c r="AY189" s="21">
        <v>0.80139199999999999</v>
      </c>
      <c r="AZ189" s="21">
        <v>23.3431</v>
      </c>
      <c r="BA189" s="24">
        <v>-3.3416700000000001E-5</v>
      </c>
      <c r="BB189" s="21">
        <v>179</v>
      </c>
      <c r="BC189" s="21">
        <v>0.80078099999999997</v>
      </c>
      <c r="BD189">
        <f t="shared" si="34"/>
        <v>4.1255185185185186E-2</v>
      </c>
      <c r="BE189">
        <f t="shared" si="35"/>
        <v>3.3061575365925924E-2</v>
      </c>
      <c r="BH189" s="9"/>
      <c r="BI189" s="21"/>
      <c r="BJ189" s="21"/>
      <c r="BK189" s="21"/>
      <c r="BL189" s="21"/>
      <c r="BM189" s="21"/>
      <c r="BP189" s="9"/>
      <c r="BQ189" s="21"/>
      <c r="BR189" s="21"/>
      <c r="BS189" s="21"/>
      <c r="BT189" s="21"/>
      <c r="BU189" s="21"/>
      <c r="BZ189" s="9"/>
      <c r="CA189" s="21"/>
      <c r="CB189" s="21"/>
      <c r="CC189" s="21"/>
      <c r="CD189" s="21"/>
      <c r="CE189" s="21"/>
      <c r="CH189" s="9"/>
      <c r="CI189" s="21"/>
      <c r="CJ189" s="21"/>
      <c r="CK189" s="21"/>
      <c r="CL189" s="21"/>
      <c r="CM189" s="21"/>
      <c r="CR189" s="9"/>
      <c r="CS189" s="21"/>
      <c r="CT189" s="21"/>
      <c r="CU189" s="21"/>
      <c r="CV189" s="21"/>
      <c r="CW189" s="21"/>
      <c r="CZ189" s="9"/>
      <c r="DA189" s="21"/>
      <c r="DB189" s="21"/>
      <c r="DC189" s="21"/>
      <c r="DD189" s="21"/>
      <c r="DE189" s="21"/>
      <c r="DJ189" s="9"/>
      <c r="DK189" s="21"/>
      <c r="DL189" s="21"/>
      <c r="DM189" s="21"/>
      <c r="DN189" s="21"/>
      <c r="DO189" s="21"/>
      <c r="DR189" s="9"/>
      <c r="DS189" s="21"/>
      <c r="DT189" s="21"/>
      <c r="DU189" s="21"/>
      <c r="DV189" s="21"/>
      <c r="DW189" s="21"/>
      <c r="EB189" s="9"/>
      <c r="EC189" s="21"/>
      <c r="ED189" s="21"/>
      <c r="EE189" s="21"/>
      <c r="EF189" s="21"/>
      <c r="EG189" s="21"/>
      <c r="EJ189" s="9"/>
      <c r="EK189" s="21"/>
      <c r="EL189" s="21"/>
      <c r="EM189" s="21"/>
      <c r="EN189" s="21"/>
      <c r="EO189" s="21"/>
      <c r="ET189" s="21"/>
      <c r="EU189" s="21"/>
      <c r="EV189" s="21"/>
      <c r="EW189" s="21"/>
      <c r="EX189" s="21"/>
      <c r="FA189" s="9"/>
      <c r="FB189" s="21"/>
      <c r="FC189" s="21"/>
      <c r="FD189" s="21"/>
      <c r="FE189" s="21"/>
      <c r="FF189" s="21"/>
    </row>
    <row r="190" spans="6:162" x14ac:dyDescent="0.25">
      <c r="F190" s="9"/>
      <c r="G190" s="21">
        <v>0.29357899999999998</v>
      </c>
      <c r="H190" s="21">
        <v>6.8281000000000001</v>
      </c>
      <c r="I190" s="24">
        <v>-6.4605700000000004E-5</v>
      </c>
      <c r="J190" s="21">
        <v>180</v>
      </c>
      <c r="K190" s="21">
        <v>0.29324299999999998</v>
      </c>
      <c r="L190">
        <f t="shared" si="24"/>
        <v>7.9760123456790122E-2</v>
      </c>
      <c r="M190">
        <f t="shared" si="25"/>
        <v>2.3415897284320985E-2</v>
      </c>
      <c r="N190" s="9"/>
      <c r="O190" s="21">
        <v>0.806427</v>
      </c>
      <c r="P190" s="21">
        <v>9.4488400000000006</v>
      </c>
      <c r="Q190" s="24">
        <v>-3.6926299999999999E-5</v>
      </c>
      <c r="R190" s="21">
        <v>180</v>
      </c>
      <c r="S190" s="21">
        <v>0.80535900000000005</v>
      </c>
      <c r="T190">
        <f t="shared" si="26"/>
        <v>4.5588024691358017E-2</v>
      </c>
      <c r="U190">
        <f t="shared" si="27"/>
        <v>3.6763413987777771E-2</v>
      </c>
      <c r="X190" s="9"/>
      <c r="Y190" s="21">
        <v>0.29357899999999998</v>
      </c>
      <c r="Z190" s="21">
        <v>13.8093</v>
      </c>
      <c r="AA190" s="24">
        <v>-6.0333300000000001E-5</v>
      </c>
      <c r="AB190" s="21">
        <v>180</v>
      </c>
      <c r="AC190" s="21">
        <v>0.29330400000000001</v>
      </c>
      <c r="AD190">
        <f t="shared" si="28"/>
        <v>7.4485555555555555E-2</v>
      </c>
      <c r="AE190">
        <f t="shared" si="29"/>
        <v>2.1867394914444442E-2</v>
      </c>
      <c r="AF190" s="9"/>
      <c r="AG190" s="21">
        <v>0.806427</v>
      </c>
      <c r="AH190" s="21">
        <v>16.43</v>
      </c>
      <c r="AI190" s="24">
        <v>-3.4393300000000002E-5</v>
      </c>
      <c r="AJ190" s="21">
        <v>180</v>
      </c>
      <c r="AK190" s="21">
        <v>0.80505400000000005</v>
      </c>
      <c r="AL190">
        <f t="shared" si="30"/>
        <v>4.2460864197530861E-2</v>
      </c>
      <c r="AM190">
        <f t="shared" si="31"/>
        <v>3.4241587332222219E-2</v>
      </c>
      <c r="AP190" s="9"/>
      <c r="AQ190" s="21">
        <v>0.29357899999999998</v>
      </c>
      <c r="AR190" s="21">
        <v>20.732500000000002</v>
      </c>
      <c r="AS190" s="24">
        <v>-5.8258099999999997E-5</v>
      </c>
      <c r="AT190" s="21">
        <v>180</v>
      </c>
      <c r="AU190" s="21">
        <v>0.29324299999999998</v>
      </c>
      <c r="AV190">
        <f t="shared" si="32"/>
        <v>7.1923580246913574E-2</v>
      </c>
      <c r="AW190">
        <f t="shared" si="33"/>
        <v>2.1115252765308637E-2</v>
      </c>
      <c r="AX190" s="9"/>
      <c r="AY190" s="21">
        <v>0.806427</v>
      </c>
      <c r="AZ190" s="21">
        <v>23.353200000000001</v>
      </c>
      <c r="BA190" s="24">
        <v>-3.3264199999999999E-5</v>
      </c>
      <c r="BB190" s="21">
        <v>180</v>
      </c>
      <c r="BC190" s="21">
        <v>0.80596900000000005</v>
      </c>
      <c r="BD190">
        <f t="shared" si="34"/>
        <v>4.106691358024691E-2</v>
      </c>
      <c r="BE190">
        <f t="shared" si="35"/>
        <v>3.3117467917777775E-2</v>
      </c>
      <c r="BH190" s="9"/>
      <c r="BI190" s="21"/>
      <c r="BJ190" s="21"/>
      <c r="BK190" s="21"/>
      <c r="BL190" s="21"/>
      <c r="BM190" s="21"/>
      <c r="BP190" s="9"/>
      <c r="BQ190" s="21"/>
      <c r="BR190" s="21"/>
      <c r="BS190" s="21"/>
      <c r="BT190" s="21"/>
      <c r="BU190" s="21"/>
      <c r="BZ190" s="9"/>
      <c r="CA190" s="21"/>
      <c r="CB190" s="21"/>
      <c r="CC190" s="21"/>
      <c r="CD190" s="21"/>
      <c r="CE190" s="21"/>
      <c r="CH190" s="9"/>
      <c r="CI190" s="21"/>
      <c r="CJ190" s="21"/>
      <c r="CK190" s="21"/>
      <c r="CL190" s="21"/>
      <c r="CM190" s="21"/>
      <c r="CR190" s="9"/>
      <c r="CS190" s="21"/>
      <c r="CT190" s="21"/>
      <c r="CU190" s="21"/>
      <c r="CV190" s="21"/>
      <c r="CW190" s="21"/>
      <c r="CZ190" s="9"/>
      <c r="DA190" s="21"/>
      <c r="DB190" s="21"/>
      <c r="DC190" s="21"/>
      <c r="DD190" s="21"/>
      <c r="DE190" s="21"/>
      <c r="DJ190" s="9"/>
      <c r="DK190" s="21"/>
      <c r="DL190" s="21"/>
      <c r="DM190" s="21"/>
      <c r="DN190" s="21"/>
      <c r="DO190" s="21"/>
      <c r="DR190" s="9"/>
      <c r="DS190" s="21"/>
      <c r="DT190" s="21"/>
      <c r="DU190" s="21"/>
      <c r="DV190" s="21"/>
      <c r="DW190" s="21"/>
      <c r="EB190" s="9"/>
      <c r="EC190" s="21"/>
      <c r="ED190" s="21"/>
      <c r="EE190" s="21"/>
      <c r="EF190" s="21"/>
      <c r="EG190" s="21"/>
      <c r="EJ190" s="9"/>
      <c r="EK190" s="21"/>
      <c r="EL190" s="21"/>
      <c r="EM190" s="21"/>
      <c r="EN190" s="21"/>
      <c r="EO190" s="21"/>
      <c r="ET190" s="21"/>
      <c r="EU190" s="21"/>
      <c r="EV190" s="21"/>
      <c r="EW190" s="21"/>
      <c r="EX190" s="21"/>
      <c r="FA190" s="9"/>
      <c r="FB190" s="21"/>
      <c r="FC190" s="21"/>
      <c r="FD190" s="21"/>
      <c r="FE190" s="21"/>
      <c r="FF190" s="21"/>
    </row>
    <row r="191" spans="6:162" x14ac:dyDescent="0.25">
      <c r="F191" s="9"/>
      <c r="G191" s="21">
        <v>0.28854400000000002</v>
      </c>
      <c r="H191" s="21">
        <v>6.8381699999999999</v>
      </c>
      <c r="I191" s="24">
        <v>-6.4666700000000002E-5</v>
      </c>
      <c r="J191" s="21">
        <v>181</v>
      </c>
      <c r="K191" s="21">
        <v>0.28823900000000002</v>
      </c>
      <c r="L191">
        <f t="shared" si="24"/>
        <v>7.9835432098765424E-2</v>
      </c>
      <c r="M191">
        <f t="shared" si="25"/>
        <v>2.3036034919506173E-2</v>
      </c>
      <c r="N191" s="9"/>
      <c r="O191" s="21">
        <v>0.81146200000000002</v>
      </c>
      <c r="P191" s="21">
        <v>9.4589099999999995</v>
      </c>
      <c r="Q191" s="24">
        <v>-3.6712599999999998E-5</v>
      </c>
      <c r="R191" s="21">
        <v>181</v>
      </c>
      <c r="S191" s="21">
        <v>0.81054700000000002</v>
      </c>
      <c r="T191">
        <f t="shared" si="26"/>
        <v>4.532419753086419E-2</v>
      </c>
      <c r="U191">
        <f t="shared" si="27"/>
        <v>3.6778863976790116E-2</v>
      </c>
      <c r="X191" s="9"/>
      <c r="Y191" s="21">
        <v>0.28854400000000002</v>
      </c>
      <c r="Z191" s="21">
        <v>13.8193</v>
      </c>
      <c r="AA191" s="24">
        <v>-6.0424799999999998E-5</v>
      </c>
      <c r="AB191" s="21">
        <v>181</v>
      </c>
      <c r="AC191" s="21">
        <v>0.28820800000000002</v>
      </c>
      <c r="AD191">
        <f t="shared" si="28"/>
        <v>7.4598518518518508E-2</v>
      </c>
      <c r="AE191">
        <f t="shared" si="29"/>
        <v>2.1524954927407407E-2</v>
      </c>
      <c r="AF191" s="9"/>
      <c r="AG191" s="21">
        <v>0.81146200000000002</v>
      </c>
      <c r="AH191" s="21">
        <v>16.440100000000001</v>
      </c>
      <c r="AI191" s="24">
        <v>-3.42102E-5</v>
      </c>
      <c r="AJ191" s="21">
        <v>181</v>
      </c>
      <c r="AK191" s="21">
        <v>0.81054700000000002</v>
      </c>
      <c r="AL191">
        <f t="shared" si="30"/>
        <v>4.2234814814814808E-2</v>
      </c>
      <c r="AM191">
        <f t="shared" si="31"/>
        <v>3.4271947299259253E-2</v>
      </c>
      <c r="AP191" s="9"/>
      <c r="AQ191" s="21">
        <v>0.28854400000000002</v>
      </c>
      <c r="AR191" s="21">
        <v>20.7425</v>
      </c>
      <c r="AS191" s="24">
        <v>-5.83801E-5</v>
      </c>
      <c r="AT191" s="21">
        <v>181</v>
      </c>
      <c r="AU191" s="21">
        <v>0.28823900000000002</v>
      </c>
      <c r="AV191">
        <f t="shared" si="32"/>
        <v>7.2074197530864192E-2</v>
      </c>
      <c r="AW191">
        <f t="shared" si="33"/>
        <v>2.0796577252345679E-2</v>
      </c>
      <c r="AX191" s="9"/>
      <c r="AY191" s="21">
        <v>0.81146200000000002</v>
      </c>
      <c r="AZ191" s="21">
        <v>23.363299999999999</v>
      </c>
      <c r="BA191" s="24">
        <v>-3.3050499999999998E-5</v>
      </c>
      <c r="BB191" s="21">
        <v>181</v>
      </c>
      <c r="BC191" s="21">
        <v>0.81024200000000002</v>
      </c>
      <c r="BD191">
        <f t="shared" si="34"/>
        <v>4.0803086419753082E-2</v>
      </c>
      <c r="BE191">
        <f t="shared" si="35"/>
        <v>3.3110154112345677E-2</v>
      </c>
      <c r="BH191" s="9"/>
      <c r="BI191" s="21"/>
      <c r="BJ191" s="21"/>
      <c r="BK191" s="21"/>
      <c r="BL191" s="21"/>
      <c r="BM191" s="21"/>
      <c r="BP191" s="9"/>
      <c r="BQ191" s="21"/>
      <c r="BR191" s="21"/>
      <c r="BS191" s="21"/>
      <c r="BT191" s="21"/>
      <c r="BU191" s="21"/>
      <c r="BZ191" s="9"/>
      <c r="CA191" s="21"/>
      <c r="CB191" s="21"/>
      <c r="CC191" s="21"/>
      <c r="CD191" s="21"/>
      <c r="CE191" s="21"/>
      <c r="CH191" s="9"/>
      <c r="CI191" s="21"/>
      <c r="CJ191" s="21"/>
      <c r="CK191" s="21"/>
      <c r="CL191" s="21"/>
      <c r="CM191" s="21"/>
      <c r="CR191" s="9"/>
      <c r="CS191" s="21"/>
      <c r="CT191" s="21"/>
      <c r="CU191" s="21"/>
      <c r="CV191" s="21"/>
      <c r="CW191" s="21"/>
      <c r="CZ191" s="9"/>
      <c r="DA191" s="21"/>
      <c r="DB191" s="21"/>
      <c r="DC191" s="21"/>
      <c r="DD191" s="21"/>
      <c r="DE191" s="21"/>
      <c r="DJ191" s="9"/>
      <c r="DK191" s="21"/>
      <c r="DL191" s="21"/>
      <c r="DM191" s="21"/>
      <c r="DN191" s="21"/>
      <c r="DO191" s="21"/>
      <c r="DR191" s="9"/>
      <c r="DS191" s="21"/>
      <c r="DT191" s="21"/>
      <c r="DU191" s="21"/>
      <c r="DV191" s="21"/>
      <c r="DW191" s="21"/>
      <c r="EB191" s="9"/>
      <c r="EC191" s="21"/>
      <c r="ED191" s="21"/>
      <c r="EE191" s="21"/>
      <c r="EF191" s="21"/>
      <c r="EG191" s="21"/>
      <c r="EJ191" s="9"/>
      <c r="EK191" s="21"/>
      <c r="EL191" s="21"/>
      <c r="EM191" s="21"/>
      <c r="EN191" s="21"/>
      <c r="EO191" s="21"/>
      <c r="ET191" s="21"/>
      <c r="EU191" s="21"/>
      <c r="EV191" s="21"/>
      <c r="EW191" s="21"/>
      <c r="EX191" s="21"/>
      <c r="FA191" s="9"/>
      <c r="FB191" s="21"/>
      <c r="FC191" s="21"/>
      <c r="FD191" s="21"/>
      <c r="FE191" s="21"/>
      <c r="FF191" s="21"/>
    </row>
    <row r="192" spans="6:162" x14ac:dyDescent="0.25">
      <c r="F192" s="9"/>
      <c r="G192" s="21">
        <v>0.28350799999999998</v>
      </c>
      <c r="H192" s="21">
        <v>6.8482399999999997</v>
      </c>
      <c r="I192" s="24">
        <v>-6.4788800000000006E-5</v>
      </c>
      <c r="J192" s="21">
        <v>182</v>
      </c>
      <c r="K192" s="21">
        <v>0.28320299999999998</v>
      </c>
      <c r="L192">
        <f t="shared" si="24"/>
        <v>7.9986172839506181E-2</v>
      </c>
      <c r="M192">
        <f t="shared" si="25"/>
        <v>2.2676719889382718E-2</v>
      </c>
      <c r="N192" s="9"/>
      <c r="O192" s="21">
        <v>0.81649799999999995</v>
      </c>
      <c r="P192" s="21">
        <v>9.4689800000000002</v>
      </c>
      <c r="Q192" s="24">
        <v>-3.6621100000000001E-5</v>
      </c>
      <c r="R192" s="21">
        <v>182</v>
      </c>
      <c r="S192" s="21">
        <v>0.81542999999999999</v>
      </c>
      <c r="T192">
        <f t="shared" si="26"/>
        <v>4.5211234567901236E-2</v>
      </c>
      <c r="U192">
        <f t="shared" si="27"/>
        <v>3.691488260222222E-2</v>
      </c>
      <c r="X192" s="9"/>
      <c r="Y192" s="21">
        <v>0.28350799999999998</v>
      </c>
      <c r="Z192" s="21">
        <v>13.8294</v>
      </c>
      <c r="AA192" s="24">
        <v>-6.0516400000000002E-5</v>
      </c>
      <c r="AB192" s="21">
        <v>182</v>
      </c>
      <c r="AC192" s="21">
        <v>0.28317300000000001</v>
      </c>
      <c r="AD192">
        <f t="shared" si="28"/>
        <v>7.47116049382716E-2</v>
      </c>
      <c r="AE192">
        <f t="shared" si="29"/>
        <v>2.1181337692839503E-2</v>
      </c>
      <c r="AF192" s="9"/>
      <c r="AG192" s="21">
        <v>0.81649799999999995</v>
      </c>
      <c r="AH192" s="21">
        <v>16.450199999999999</v>
      </c>
      <c r="AI192" s="24">
        <v>-3.4057599999999997E-5</v>
      </c>
      <c r="AJ192" s="21">
        <v>182</v>
      </c>
      <c r="AK192" s="21">
        <v>0.81573499999999999</v>
      </c>
      <c r="AL192">
        <f t="shared" si="30"/>
        <v>4.2046419753086414E-2</v>
      </c>
      <c r="AM192">
        <f t="shared" si="31"/>
        <v>3.4330817635555552E-2</v>
      </c>
      <c r="AP192" s="9"/>
      <c r="AQ192" s="21">
        <v>0.28350799999999998</v>
      </c>
      <c r="AR192" s="21">
        <v>20.752600000000001</v>
      </c>
      <c r="AS192" s="24">
        <v>-5.8410599999999999E-5</v>
      </c>
      <c r="AT192" s="21">
        <v>182</v>
      </c>
      <c r="AU192" s="21">
        <v>0.28320299999999998</v>
      </c>
      <c r="AV192">
        <f t="shared" si="32"/>
        <v>7.2111851851851844E-2</v>
      </c>
      <c r="AW192">
        <f t="shared" si="33"/>
        <v>2.0444286894814812E-2</v>
      </c>
      <c r="AX192" s="9"/>
      <c r="AY192" s="21">
        <v>0.81649799999999995</v>
      </c>
      <c r="AZ192" s="21">
        <v>23.3733</v>
      </c>
      <c r="BA192" s="24">
        <v>-3.2897900000000002E-5</v>
      </c>
      <c r="BB192" s="21">
        <v>182</v>
      </c>
      <c r="BC192" s="21">
        <v>0.81573499999999999</v>
      </c>
      <c r="BD192">
        <f t="shared" si="34"/>
        <v>4.0614691358024688E-2</v>
      </c>
      <c r="BE192">
        <f t="shared" si="35"/>
        <v>3.3161814264444436E-2</v>
      </c>
      <c r="BH192" s="9"/>
      <c r="BI192" s="21"/>
      <c r="BJ192" s="21"/>
      <c r="BK192" s="21"/>
      <c r="BL192" s="21"/>
      <c r="BM192" s="21"/>
      <c r="BP192" s="9"/>
      <c r="BQ192" s="21"/>
      <c r="BR192" s="21"/>
      <c r="BS192" s="21"/>
      <c r="BT192" s="21"/>
      <c r="BU192" s="21"/>
      <c r="BZ192" s="9"/>
      <c r="CA192" s="21"/>
      <c r="CB192" s="21"/>
      <c r="CC192" s="21"/>
      <c r="CD192" s="21"/>
      <c r="CE192" s="21"/>
      <c r="CH192" s="9"/>
      <c r="CI192" s="21"/>
      <c r="CJ192" s="21"/>
      <c r="CK192" s="21"/>
      <c r="CL192" s="21"/>
      <c r="CM192" s="21"/>
      <c r="CR192" s="9"/>
      <c r="CS192" s="21"/>
      <c r="CT192" s="21"/>
      <c r="CU192" s="21"/>
      <c r="CV192" s="21"/>
      <c r="CW192" s="21"/>
      <c r="CZ192" s="9"/>
      <c r="DA192" s="21"/>
      <c r="DB192" s="21"/>
      <c r="DC192" s="21"/>
      <c r="DD192" s="21"/>
      <c r="DE192" s="21"/>
      <c r="DJ192" s="9"/>
      <c r="DK192" s="21"/>
      <c r="DL192" s="21"/>
      <c r="DM192" s="21"/>
      <c r="DN192" s="21"/>
      <c r="DO192" s="21"/>
      <c r="DR192" s="9"/>
      <c r="DS192" s="21"/>
      <c r="DT192" s="21"/>
      <c r="DU192" s="21"/>
      <c r="DV192" s="21"/>
      <c r="DW192" s="21"/>
      <c r="EB192" s="9"/>
      <c r="EC192" s="21"/>
      <c r="ED192" s="21"/>
      <c r="EE192" s="21"/>
      <c r="EF192" s="21"/>
      <c r="EG192" s="21"/>
      <c r="EJ192" s="9"/>
      <c r="EK192" s="21"/>
      <c r="EL192" s="21"/>
      <c r="EM192" s="21"/>
      <c r="EN192" s="21"/>
      <c r="EO192" s="21"/>
      <c r="ET192" s="21"/>
      <c r="EU192" s="21"/>
      <c r="EV192" s="21"/>
      <c r="EW192" s="21"/>
      <c r="EX192" s="21"/>
      <c r="FA192" s="9"/>
      <c r="FB192" s="21"/>
      <c r="FC192" s="21"/>
      <c r="FD192" s="21"/>
      <c r="FE192" s="21"/>
      <c r="FF192" s="21"/>
    </row>
    <row r="193" spans="6:162" x14ac:dyDescent="0.25">
      <c r="F193" s="9"/>
      <c r="G193" s="21">
        <v>0.27847300000000003</v>
      </c>
      <c r="H193" s="21">
        <v>6.8583100000000004</v>
      </c>
      <c r="I193" s="24">
        <v>-6.4971899999999994E-5</v>
      </c>
      <c r="J193" s="21">
        <v>183</v>
      </c>
      <c r="K193" s="21">
        <v>0.278198</v>
      </c>
      <c r="L193">
        <f t="shared" si="24"/>
        <v>8.0212222222222213E-2</v>
      </c>
      <c r="M193">
        <f t="shared" si="25"/>
        <v>2.2336938158888889E-2</v>
      </c>
      <c r="N193" s="9"/>
      <c r="O193" s="21">
        <v>0.82153299999999996</v>
      </c>
      <c r="P193" s="21">
        <v>9.4790500000000009</v>
      </c>
      <c r="Q193" s="24">
        <v>-3.6498999999999997E-5</v>
      </c>
      <c r="R193" s="21">
        <v>183</v>
      </c>
      <c r="S193" s="21">
        <v>0.82061799999999996</v>
      </c>
      <c r="T193">
        <f t="shared" si="26"/>
        <v>4.5060493827160486E-2</v>
      </c>
      <c r="U193">
        <f t="shared" si="27"/>
        <v>3.7018682675308633E-2</v>
      </c>
      <c r="X193" s="9"/>
      <c r="Y193" s="21">
        <v>0.27847300000000003</v>
      </c>
      <c r="Z193" s="21">
        <v>13.839499999999999</v>
      </c>
      <c r="AA193" s="24">
        <v>-6.0699499999999997E-5</v>
      </c>
      <c r="AB193" s="21">
        <v>183</v>
      </c>
      <c r="AC193" s="21">
        <v>0.27816800000000003</v>
      </c>
      <c r="AD193">
        <f t="shared" si="28"/>
        <v>7.4937654320987646E-2</v>
      </c>
      <c r="AE193">
        <f t="shared" si="29"/>
        <v>2.0868113411728395E-2</v>
      </c>
      <c r="AF193" s="9"/>
      <c r="AG193" s="21">
        <v>0.82153299999999996</v>
      </c>
      <c r="AH193" s="21">
        <v>16.4602</v>
      </c>
      <c r="AI193" s="24">
        <v>-3.3935500000000001E-5</v>
      </c>
      <c r="AJ193" s="21">
        <v>183</v>
      </c>
      <c r="AK193" s="21">
        <v>0.82092299999999996</v>
      </c>
      <c r="AL193">
        <f t="shared" si="30"/>
        <v>4.1895679012345678E-2</v>
      </c>
      <c r="AM193">
        <f t="shared" si="31"/>
        <v>3.4418682866049377E-2</v>
      </c>
      <c r="AP193" s="9"/>
      <c r="AQ193" s="21">
        <v>0.27847300000000003</v>
      </c>
      <c r="AR193" s="21">
        <v>20.762699999999999</v>
      </c>
      <c r="AS193" s="24">
        <v>-5.8563200000000002E-5</v>
      </c>
      <c r="AT193" s="21">
        <v>183</v>
      </c>
      <c r="AU193" s="21">
        <v>0.27813700000000002</v>
      </c>
      <c r="AV193">
        <f t="shared" si="32"/>
        <v>7.2300246913580252E-2</v>
      </c>
      <c r="AW193">
        <f t="shared" si="33"/>
        <v>2.0133666658765436E-2</v>
      </c>
      <c r="AX193" s="9"/>
      <c r="AY193" s="21">
        <v>0.82153299999999996</v>
      </c>
      <c r="AZ193" s="21">
        <v>23.383400000000002</v>
      </c>
      <c r="BA193" s="24">
        <v>-3.2592799999999997E-5</v>
      </c>
      <c r="BB193" s="21">
        <v>183</v>
      </c>
      <c r="BC193" s="21">
        <v>0.82122799999999996</v>
      </c>
      <c r="BD193">
        <f t="shared" si="34"/>
        <v>4.0238024691358017E-2</v>
      </c>
      <c r="BE193">
        <f t="shared" si="35"/>
        <v>3.3056865138765421E-2</v>
      </c>
      <c r="BH193" s="9"/>
      <c r="BI193" s="21"/>
      <c r="BJ193" s="21"/>
      <c r="BK193" s="21"/>
      <c r="BL193" s="21"/>
      <c r="BM193" s="21"/>
      <c r="BP193" s="9"/>
      <c r="BQ193" s="21"/>
      <c r="BR193" s="21"/>
      <c r="BS193" s="21"/>
      <c r="BT193" s="21"/>
      <c r="BU193" s="21"/>
      <c r="BZ193" s="9"/>
      <c r="CA193" s="21"/>
      <c r="CB193" s="21"/>
      <c r="CC193" s="21"/>
      <c r="CD193" s="21"/>
      <c r="CE193" s="21"/>
      <c r="CH193" s="9"/>
      <c r="CI193" s="21"/>
      <c r="CJ193" s="21"/>
      <c r="CK193" s="21"/>
      <c r="CL193" s="21"/>
      <c r="CM193" s="21"/>
      <c r="CR193" s="9"/>
      <c r="CS193" s="21"/>
      <c r="CT193" s="21"/>
      <c r="CU193" s="21"/>
      <c r="CV193" s="21"/>
      <c r="CW193" s="21"/>
      <c r="CZ193" s="9"/>
      <c r="DA193" s="21"/>
      <c r="DB193" s="21"/>
      <c r="DC193" s="21"/>
      <c r="DD193" s="21"/>
      <c r="DE193" s="21"/>
      <c r="DJ193" s="9"/>
      <c r="DK193" s="21"/>
      <c r="DL193" s="21"/>
      <c r="DM193" s="21"/>
      <c r="DN193" s="21"/>
      <c r="DO193" s="21"/>
      <c r="DR193" s="9"/>
      <c r="DS193" s="21"/>
      <c r="DT193" s="21"/>
      <c r="DU193" s="21"/>
      <c r="DV193" s="21"/>
      <c r="DW193" s="21"/>
      <c r="EB193" s="9"/>
      <c r="EC193" s="21"/>
      <c r="ED193" s="21"/>
      <c r="EE193" s="21"/>
      <c r="EF193" s="21"/>
      <c r="EG193" s="21"/>
      <c r="EJ193" s="9"/>
      <c r="EK193" s="21"/>
      <c r="EL193" s="21"/>
      <c r="EM193" s="21"/>
      <c r="EN193" s="21"/>
      <c r="EO193" s="21"/>
      <c r="ET193" s="21"/>
      <c r="EU193" s="21"/>
      <c r="EV193" s="21"/>
      <c r="EW193" s="21"/>
      <c r="EX193" s="21"/>
      <c r="FA193" s="9"/>
      <c r="FB193" s="21"/>
      <c r="FC193" s="21"/>
      <c r="FD193" s="21"/>
      <c r="FE193" s="21"/>
      <c r="FF193" s="21"/>
    </row>
    <row r="194" spans="6:162" x14ac:dyDescent="0.25">
      <c r="F194" s="9"/>
      <c r="G194" s="21">
        <v>0.27343800000000001</v>
      </c>
      <c r="H194" s="21">
        <v>6.8683800000000002</v>
      </c>
      <c r="I194" s="24">
        <v>-6.5216100000000001E-5</v>
      </c>
      <c r="J194" s="21">
        <v>184</v>
      </c>
      <c r="K194" s="21">
        <v>0.27316299999999999</v>
      </c>
      <c r="L194">
        <f t="shared" si="24"/>
        <v>8.0513703703703698E-2</v>
      </c>
      <c r="M194">
        <f t="shared" si="25"/>
        <v>2.2015506113333333E-2</v>
      </c>
      <c r="N194" s="9"/>
      <c r="O194" s="21">
        <v>0.826569</v>
      </c>
      <c r="P194" s="21">
        <v>9.4891199999999998</v>
      </c>
      <c r="Q194" s="24">
        <v>-3.6315900000000002E-5</v>
      </c>
      <c r="R194" s="21">
        <v>184</v>
      </c>
      <c r="S194" s="21">
        <v>0.82550000000000001</v>
      </c>
      <c r="T194">
        <f t="shared" si="26"/>
        <v>4.4834444444444441E-2</v>
      </c>
      <c r="U194">
        <f t="shared" si="27"/>
        <v>3.7058761909999995E-2</v>
      </c>
      <c r="X194" s="9"/>
      <c r="Y194" s="21">
        <v>0.27343800000000001</v>
      </c>
      <c r="Z194" s="21">
        <v>13.849600000000001</v>
      </c>
      <c r="AA194" s="24">
        <v>-6.08215E-5</v>
      </c>
      <c r="AB194" s="21">
        <v>184</v>
      </c>
      <c r="AC194" s="21">
        <v>0.27319300000000002</v>
      </c>
      <c r="AD194">
        <f t="shared" si="28"/>
        <v>7.5088271604938264E-2</v>
      </c>
      <c r="AE194">
        <f t="shared" si="29"/>
        <v>2.0531986811111111E-2</v>
      </c>
      <c r="AF194" s="9"/>
      <c r="AG194" s="21">
        <v>0.826569</v>
      </c>
      <c r="AH194" s="21">
        <v>16.470300000000002</v>
      </c>
      <c r="AI194" s="24">
        <v>-3.3782999999999998E-5</v>
      </c>
      <c r="AJ194" s="21">
        <v>184</v>
      </c>
      <c r="AK194" s="21">
        <v>0.82580600000000004</v>
      </c>
      <c r="AL194">
        <f t="shared" si="30"/>
        <v>4.1707407407407401E-2</v>
      </c>
      <c r="AM194">
        <f t="shared" si="31"/>
        <v>3.4474050033333328E-2</v>
      </c>
      <c r="AP194" s="9"/>
      <c r="AQ194" s="21">
        <v>0.27343800000000001</v>
      </c>
      <c r="AR194" s="21">
        <v>20.7727</v>
      </c>
      <c r="AS194" s="24">
        <v>-5.86243E-5</v>
      </c>
      <c r="AT194" s="21">
        <v>184</v>
      </c>
      <c r="AU194" s="21">
        <v>0.27310200000000001</v>
      </c>
      <c r="AV194">
        <f t="shared" si="32"/>
        <v>7.2375679012345664E-2</v>
      </c>
      <c r="AW194">
        <f t="shared" si="33"/>
        <v>1.9790260917777774E-2</v>
      </c>
      <c r="AX194" s="9"/>
      <c r="AY194" s="21">
        <v>0.826569</v>
      </c>
      <c r="AZ194" s="21">
        <v>23.3935</v>
      </c>
      <c r="BA194" s="24">
        <v>-3.2440200000000002E-5</v>
      </c>
      <c r="BB194" s="21">
        <v>184</v>
      </c>
      <c r="BC194" s="21">
        <v>0.82519500000000001</v>
      </c>
      <c r="BD194">
        <f t="shared" si="34"/>
        <v>4.0049629629629629E-2</v>
      </c>
      <c r="BE194">
        <f t="shared" si="35"/>
        <v>3.310378231333333E-2</v>
      </c>
      <c r="BH194" s="9"/>
      <c r="BI194" s="21"/>
      <c r="BJ194" s="21"/>
      <c r="BK194" s="21"/>
      <c r="BL194" s="21"/>
      <c r="BM194" s="21"/>
      <c r="BP194" s="9"/>
      <c r="BQ194" s="21"/>
      <c r="BR194" s="21"/>
      <c r="BS194" s="21"/>
      <c r="BT194" s="21"/>
      <c r="BU194" s="21"/>
      <c r="BZ194" s="9"/>
      <c r="CA194" s="21"/>
      <c r="CB194" s="21"/>
      <c r="CC194" s="21"/>
      <c r="CD194" s="21"/>
      <c r="CE194" s="21"/>
      <c r="CH194" s="9"/>
      <c r="CI194" s="21"/>
      <c r="CJ194" s="21"/>
      <c r="CK194" s="21"/>
      <c r="CL194" s="21"/>
      <c r="CM194" s="21"/>
      <c r="CR194" s="9"/>
      <c r="CS194" s="21"/>
      <c r="CT194" s="21"/>
      <c r="CU194" s="21"/>
      <c r="CV194" s="21"/>
      <c r="CW194" s="21"/>
      <c r="CZ194" s="9"/>
      <c r="DA194" s="21"/>
      <c r="DB194" s="21"/>
      <c r="DC194" s="21"/>
      <c r="DD194" s="21"/>
      <c r="DE194" s="21"/>
      <c r="DJ194" s="9"/>
      <c r="DK194" s="21"/>
      <c r="DL194" s="21"/>
      <c r="DM194" s="21"/>
      <c r="DN194" s="21"/>
      <c r="DO194" s="21"/>
      <c r="DR194" s="9"/>
      <c r="DS194" s="21"/>
      <c r="DT194" s="21"/>
      <c r="DU194" s="21"/>
      <c r="DV194" s="21"/>
      <c r="DW194" s="21"/>
      <c r="EB194" s="9"/>
      <c r="EC194" s="21"/>
      <c r="ED194" s="21"/>
      <c r="EE194" s="21"/>
      <c r="EF194" s="21"/>
      <c r="EG194" s="21"/>
      <c r="EJ194" s="9"/>
      <c r="EK194" s="21"/>
      <c r="EL194" s="21"/>
      <c r="EM194" s="21"/>
      <c r="EN194" s="21"/>
      <c r="EO194" s="21"/>
      <c r="ET194" s="21"/>
      <c r="EU194" s="21"/>
      <c r="EV194" s="21"/>
      <c r="EW194" s="21"/>
      <c r="EX194" s="21"/>
      <c r="FA194" s="9"/>
      <c r="FB194" s="21"/>
      <c r="FC194" s="21"/>
      <c r="FD194" s="21"/>
      <c r="FE194" s="21"/>
      <c r="FF194" s="21"/>
    </row>
    <row r="195" spans="6:162" x14ac:dyDescent="0.25">
      <c r="F195" s="9"/>
      <c r="G195" s="21">
        <v>0.26840199999999997</v>
      </c>
      <c r="H195" s="21">
        <v>6.87845</v>
      </c>
      <c r="I195" s="24">
        <v>-6.5399200000000002E-5</v>
      </c>
      <c r="J195" s="21">
        <v>185</v>
      </c>
      <c r="K195" s="21">
        <v>0.268036</v>
      </c>
      <c r="L195">
        <f t="shared" si="24"/>
        <v>8.0739753086419744E-2</v>
      </c>
      <c r="M195">
        <f t="shared" si="25"/>
        <v>2.167071120790123E-2</v>
      </c>
      <c r="N195" s="9"/>
      <c r="O195" s="21">
        <v>0.83160400000000001</v>
      </c>
      <c r="P195" s="21">
        <v>9.4991900000000005</v>
      </c>
      <c r="Q195" s="24">
        <v>-3.6071800000000002E-5</v>
      </c>
      <c r="R195" s="21">
        <v>185</v>
      </c>
      <c r="S195" s="21">
        <v>0.83129900000000001</v>
      </c>
      <c r="T195">
        <f t="shared" si="26"/>
        <v>4.4533086419753093E-2</v>
      </c>
      <c r="U195">
        <f t="shared" si="27"/>
        <v>3.7033892799012348E-2</v>
      </c>
      <c r="X195" s="9"/>
      <c r="Y195" s="21">
        <v>0.26840199999999997</v>
      </c>
      <c r="Z195" s="21">
        <v>13.8596</v>
      </c>
      <c r="AA195" s="24">
        <v>-6.1004600000000002E-5</v>
      </c>
      <c r="AB195" s="21">
        <v>185</v>
      </c>
      <c r="AC195" s="21">
        <v>0.26806600000000003</v>
      </c>
      <c r="AD195">
        <f t="shared" si="28"/>
        <v>7.5314320987654323E-2</v>
      </c>
      <c r="AE195">
        <f t="shared" si="29"/>
        <v>2.0214514381728395E-2</v>
      </c>
      <c r="AF195" s="9"/>
      <c r="AG195" s="21">
        <v>0.83160400000000001</v>
      </c>
      <c r="AH195" s="21">
        <v>16.480399999999999</v>
      </c>
      <c r="AI195" s="24">
        <v>-3.3508299999999999E-5</v>
      </c>
      <c r="AJ195" s="21">
        <v>185</v>
      </c>
      <c r="AK195" s="21">
        <v>0.83038299999999998</v>
      </c>
      <c r="AL195">
        <f t="shared" si="30"/>
        <v>4.1368271604938271E-2</v>
      </c>
      <c r="AM195">
        <f t="shared" si="31"/>
        <v>3.4402020139753089E-2</v>
      </c>
      <c r="AP195" s="9"/>
      <c r="AQ195" s="21">
        <v>0.26840199999999997</v>
      </c>
      <c r="AR195" s="21">
        <v>20.782800000000002</v>
      </c>
      <c r="AS195" s="24">
        <v>-5.8746299999999997E-5</v>
      </c>
      <c r="AT195" s="21">
        <v>185</v>
      </c>
      <c r="AU195" s="21">
        <v>0.26809699999999997</v>
      </c>
      <c r="AV195">
        <f t="shared" si="32"/>
        <v>7.2526296296296283E-2</v>
      </c>
      <c r="AW195">
        <f t="shared" si="33"/>
        <v>1.9466202978518515E-2</v>
      </c>
      <c r="AX195" s="9"/>
      <c r="AY195" s="21">
        <v>0.83160400000000001</v>
      </c>
      <c r="AZ195" s="21">
        <v>23.403600000000001</v>
      </c>
      <c r="BA195" s="24">
        <v>-3.2165500000000002E-5</v>
      </c>
      <c r="BB195" s="21">
        <v>185</v>
      </c>
      <c r="BC195" s="21">
        <v>0.83099400000000001</v>
      </c>
      <c r="BD195">
        <f t="shared" si="34"/>
        <v>3.9710493827160499E-2</v>
      </c>
      <c r="BE195">
        <f t="shared" si="35"/>
        <v>3.3023405508641981E-2</v>
      </c>
      <c r="BH195" s="9"/>
      <c r="BI195" s="21"/>
      <c r="BJ195" s="21"/>
      <c r="BK195" s="21"/>
      <c r="BL195" s="21"/>
      <c r="BM195" s="21"/>
      <c r="BP195" s="9"/>
      <c r="BQ195" s="21"/>
      <c r="BR195" s="21"/>
      <c r="BS195" s="21"/>
      <c r="BT195" s="21"/>
      <c r="BU195" s="21"/>
      <c r="BZ195" s="9"/>
      <c r="CA195" s="21"/>
      <c r="CB195" s="21"/>
      <c r="CC195" s="21"/>
      <c r="CD195" s="21"/>
      <c r="CE195" s="21"/>
      <c r="CH195" s="9"/>
      <c r="CI195" s="21"/>
      <c r="CJ195" s="21"/>
      <c r="CK195" s="21"/>
      <c r="CL195" s="21"/>
      <c r="CM195" s="21"/>
      <c r="CR195" s="9"/>
      <c r="CS195" s="21"/>
      <c r="CT195" s="21"/>
      <c r="CU195" s="21"/>
      <c r="CV195" s="21"/>
      <c r="CW195" s="21"/>
      <c r="CZ195" s="9"/>
      <c r="DA195" s="21"/>
      <c r="DB195" s="21"/>
      <c r="DC195" s="21"/>
      <c r="DD195" s="21"/>
      <c r="DE195" s="21"/>
      <c r="DJ195" s="9"/>
      <c r="DK195" s="21"/>
      <c r="DL195" s="21"/>
      <c r="DM195" s="21"/>
      <c r="DN195" s="21"/>
      <c r="DO195" s="21"/>
      <c r="DR195" s="9"/>
      <c r="DS195" s="21"/>
      <c r="DT195" s="21"/>
      <c r="DU195" s="21"/>
      <c r="DV195" s="21"/>
      <c r="DW195" s="21"/>
      <c r="EB195" s="9"/>
      <c r="EC195" s="21"/>
      <c r="ED195" s="21"/>
      <c r="EE195" s="21"/>
      <c r="EF195" s="21"/>
      <c r="EG195" s="21"/>
      <c r="EJ195" s="9"/>
      <c r="EK195" s="21"/>
      <c r="EL195" s="21"/>
      <c r="EM195" s="21"/>
      <c r="EN195" s="21"/>
      <c r="EO195" s="21"/>
      <c r="ET195" s="21"/>
      <c r="EU195" s="21"/>
      <c r="EV195" s="21"/>
      <c r="EW195" s="21"/>
      <c r="EX195" s="21"/>
      <c r="FA195" s="9"/>
      <c r="FB195" s="21"/>
      <c r="FC195" s="21"/>
      <c r="FD195" s="21"/>
      <c r="FE195" s="21"/>
      <c r="FF195" s="21"/>
    </row>
    <row r="196" spans="6:162" x14ac:dyDescent="0.25">
      <c r="F196" s="9"/>
      <c r="G196" s="21">
        <v>0.26336700000000002</v>
      </c>
      <c r="H196" s="21">
        <v>6.8885300000000003</v>
      </c>
      <c r="I196" s="24">
        <v>-6.5429699999999995E-5</v>
      </c>
      <c r="J196" s="21">
        <v>186</v>
      </c>
      <c r="K196" s="21">
        <v>0.26296999999999998</v>
      </c>
      <c r="L196">
        <f t="shared" si="24"/>
        <v>8.0777407407407395E-2</v>
      </c>
      <c r="M196">
        <f t="shared" si="25"/>
        <v>2.1274103456666665E-2</v>
      </c>
      <c r="N196" s="9"/>
      <c r="O196" s="21">
        <v>0.83663900000000002</v>
      </c>
      <c r="P196" s="21">
        <v>9.5092700000000008</v>
      </c>
      <c r="Q196" s="24">
        <v>-3.5980199999999998E-5</v>
      </c>
      <c r="R196" s="21">
        <v>186</v>
      </c>
      <c r="S196" s="21">
        <v>0.83587599999999995</v>
      </c>
      <c r="T196">
        <f t="shared" si="26"/>
        <v>4.4419999999999994E-2</v>
      </c>
      <c r="U196">
        <f t="shared" si="27"/>
        <v>3.7163504379999997E-2</v>
      </c>
      <c r="X196" s="9"/>
      <c r="Y196" s="21">
        <v>0.26336700000000002</v>
      </c>
      <c r="Z196" s="21">
        <v>13.8697</v>
      </c>
      <c r="AA196" s="24">
        <v>-6.1157199999999998E-5</v>
      </c>
      <c r="AB196" s="21">
        <v>186</v>
      </c>
      <c r="AC196" s="21">
        <v>0.26303100000000001</v>
      </c>
      <c r="AD196">
        <f t="shared" si="28"/>
        <v>7.5502716049382704E-2</v>
      </c>
      <c r="AE196">
        <f t="shared" si="29"/>
        <v>1.9884923817777775E-2</v>
      </c>
      <c r="AF196" s="9"/>
      <c r="AG196" s="21">
        <v>0.83663900000000002</v>
      </c>
      <c r="AH196" s="21">
        <v>16.490400000000001</v>
      </c>
      <c r="AI196" s="24">
        <v>-3.3355700000000003E-5</v>
      </c>
      <c r="AJ196" s="21">
        <v>186</v>
      </c>
      <c r="AK196" s="21">
        <v>0.83587599999999995</v>
      </c>
      <c r="AL196">
        <f t="shared" si="30"/>
        <v>4.1179876543209877E-2</v>
      </c>
      <c r="AM196">
        <f t="shared" si="31"/>
        <v>3.4452690731234567E-2</v>
      </c>
      <c r="AP196" s="9"/>
      <c r="AQ196" s="21">
        <v>0.26336700000000002</v>
      </c>
      <c r="AR196" s="21">
        <v>20.792899999999999</v>
      </c>
      <c r="AS196" s="24">
        <v>-5.88684E-5</v>
      </c>
      <c r="AT196" s="21">
        <v>186</v>
      </c>
      <c r="AU196" s="21">
        <v>0.26306200000000002</v>
      </c>
      <c r="AV196">
        <f t="shared" si="32"/>
        <v>7.267703703703704E-2</v>
      </c>
      <c r="AW196">
        <f t="shared" si="33"/>
        <v>1.9140733213333334E-2</v>
      </c>
      <c r="AX196" s="9"/>
      <c r="AY196" s="21">
        <v>0.83663900000000002</v>
      </c>
      <c r="AZ196" s="21">
        <v>23.413599999999999</v>
      </c>
      <c r="BA196" s="24">
        <v>-3.2043499999999999E-5</v>
      </c>
      <c r="BB196" s="21">
        <v>186</v>
      </c>
      <c r="BC196" s="21">
        <v>0.83587599999999995</v>
      </c>
      <c r="BD196">
        <f t="shared" si="34"/>
        <v>3.9559876543209874E-2</v>
      </c>
      <c r="BE196">
        <f t="shared" si="35"/>
        <v>3.3097335551234563E-2</v>
      </c>
      <c r="BH196" s="9"/>
      <c r="BI196" s="21"/>
      <c r="BJ196" s="21"/>
      <c r="BK196" s="21"/>
      <c r="BL196" s="21"/>
      <c r="BM196" s="21"/>
      <c r="BP196" s="9"/>
      <c r="BQ196" s="21"/>
      <c r="BR196" s="21"/>
      <c r="BS196" s="21"/>
      <c r="BT196" s="21"/>
      <c r="BU196" s="21"/>
      <c r="BZ196" s="9"/>
      <c r="CA196" s="21"/>
      <c r="CB196" s="21"/>
      <c r="CC196" s="21"/>
      <c r="CD196" s="21"/>
      <c r="CE196" s="21"/>
      <c r="CH196" s="9"/>
      <c r="CI196" s="21"/>
      <c r="CJ196" s="21"/>
      <c r="CK196" s="21"/>
      <c r="CL196" s="21"/>
      <c r="CM196" s="21"/>
      <c r="CR196" s="9"/>
      <c r="CS196" s="21"/>
      <c r="CT196" s="21"/>
      <c r="CU196" s="21"/>
      <c r="CV196" s="21"/>
      <c r="CW196" s="21"/>
      <c r="CZ196" s="9"/>
      <c r="DA196" s="21"/>
      <c r="DB196" s="21"/>
      <c r="DC196" s="21"/>
      <c r="DD196" s="21"/>
      <c r="DE196" s="21"/>
      <c r="DJ196" s="9"/>
      <c r="DK196" s="21"/>
      <c r="DL196" s="21"/>
      <c r="DM196" s="21"/>
      <c r="DN196" s="21"/>
      <c r="DO196" s="21"/>
      <c r="DR196" s="9"/>
      <c r="DS196" s="21"/>
      <c r="DT196" s="21"/>
      <c r="DU196" s="21"/>
      <c r="DV196" s="21"/>
      <c r="DW196" s="21"/>
      <c r="EB196" s="9"/>
      <c r="EC196" s="21"/>
      <c r="ED196" s="21"/>
      <c r="EE196" s="21"/>
      <c r="EF196" s="21"/>
      <c r="EG196" s="21"/>
      <c r="EJ196" s="9"/>
      <c r="EK196" s="21"/>
      <c r="EL196" s="21"/>
      <c r="EM196" s="21"/>
      <c r="EN196" s="21"/>
      <c r="EO196" s="21"/>
      <c r="ET196" s="21"/>
      <c r="EU196" s="21"/>
      <c r="EV196" s="21"/>
      <c r="EW196" s="21"/>
      <c r="EX196" s="21"/>
      <c r="FA196" s="9"/>
      <c r="FB196" s="21"/>
      <c r="FC196" s="21"/>
      <c r="FD196" s="21"/>
      <c r="FE196" s="21"/>
      <c r="FF196" s="21"/>
    </row>
    <row r="197" spans="6:162" x14ac:dyDescent="0.25">
      <c r="F197" s="9"/>
      <c r="G197" s="21">
        <v>0.25833099999999998</v>
      </c>
      <c r="H197" s="21">
        <v>6.8986000000000001</v>
      </c>
      <c r="I197" s="24">
        <v>-6.5551799999999998E-5</v>
      </c>
      <c r="J197" s="21">
        <v>187</v>
      </c>
      <c r="K197" s="21">
        <v>0.25793500000000003</v>
      </c>
      <c r="L197">
        <f t="shared" si="24"/>
        <v>8.0928148148148138E-2</v>
      </c>
      <c r="M197">
        <f t="shared" si="25"/>
        <v>2.0906249439259256E-2</v>
      </c>
      <c r="N197" s="9"/>
      <c r="O197" s="21">
        <v>0.84167499999999995</v>
      </c>
      <c r="P197" s="21">
        <v>9.5193399999999997</v>
      </c>
      <c r="Q197" s="24">
        <v>-3.5797100000000003E-5</v>
      </c>
      <c r="R197" s="21">
        <v>187</v>
      </c>
      <c r="S197" s="21">
        <v>0.84106400000000003</v>
      </c>
      <c r="T197">
        <f t="shared" si="26"/>
        <v>4.4193950617283956E-2</v>
      </c>
      <c r="U197">
        <f t="shared" si="27"/>
        <v>3.719694338580247E-2</v>
      </c>
      <c r="X197" s="9"/>
      <c r="Y197" s="21">
        <v>0.25833099999999998</v>
      </c>
      <c r="Z197" s="21">
        <v>13.879799999999999</v>
      </c>
      <c r="AA197" s="24">
        <v>-6.13403E-5</v>
      </c>
      <c r="AB197" s="21">
        <v>187</v>
      </c>
      <c r="AC197" s="21">
        <v>0.257965</v>
      </c>
      <c r="AD197">
        <f t="shared" si="28"/>
        <v>7.5728765432098763E-2</v>
      </c>
      <c r="AE197">
        <f t="shared" si="29"/>
        <v>1.9563087702839505E-2</v>
      </c>
      <c r="AF197" s="9"/>
      <c r="AG197" s="21">
        <v>0.84167499999999995</v>
      </c>
      <c r="AH197" s="21">
        <v>16.500499999999999</v>
      </c>
      <c r="AI197" s="24">
        <v>-3.3111600000000003E-5</v>
      </c>
      <c r="AJ197" s="21">
        <v>187</v>
      </c>
      <c r="AK197" s="21">
        <v>0.84106400000000003</v>
      </c>
      <c r="AL197">
        <f t="shared" si="30"/>
        <v>4.0878518518518515E-2</v>
      </c>
      <c r="AM197">
        <f t="shared" si="31"/>
        <v>3.440642707407407E-2</v>
      </c>
      <c r="AP197" s="9"/>
      <c r="AQ197" s="21">
        <v>0.25833099999999998</v>
      </c>
      <c r="AR197" s="21">
        <v>20.803000000000001</v>
      </c>
      <c r="AS197" s="24">
        <v>-5.9021000000000003E-5</v>
      </c>
      <c r="AT197" s="21">
        <v>187</v>
      </c>
      <c r="AU197" s="21">
        <v>0.257996</v>
      </c>
      <c r="AV197">
        <f t="shared" si="32"/>
        <v>7.2865432098765434E-2</v>
      </c>
      <c r="AW197">
        <f t="shared" si="33"/>
        <v>1.8823399939506172E-2</v>
      </c>
      <c r="AX197" s="9"/>
      <c r="AY197" s="21">
        <v>0.84167499999999995</v>
      </c>
      <c r="AZ197" s="21">
        <v>23.4237</v>
      </c>
      <c r="BA197" s="24">
        <v>-3.1738300000000001E-5</v>
      </c>
      <c r="BB197" s="21">
        <v>187</v>
      </c>
      <c r="BC197" s="21">
        <v>0.84045400000000003</v>
      </c>
      <c r="BD197">
        <f t="shared" si="34"/>
        <v>3.9183086419753078E-2</v>
      </c>
      <c r="BE197">
        <f t="shared" si="35"/>
        <v>3.2979424262345673E-2</v>
      </c>
      <c r="BH197" s="9"/>
      <c r="BI197" s="21"/>
      <c r="BJ197" s="21"/>
      <c r="BK197" s="21"/>
      <c r="BL197" s="21"/>
      <c r="BM197" s="21"/>
      <c r="BP197" s="9"/>
      <c r="BQ197" s="21"/>
      <c r="BR197" s="21"/>
      <c r="BS197" s="21"/>
      <c r="BT197" s="21"/>
      <c r="BU197" s="21"/>
      <c r="BZ197" s="9"/>
      <c r="CA197" s="21"/>
      <c r="CB197" s="21"/>
      <c r="CC197" s="21"/>
      <c r="CD197" s="21"/>
      <c r="CE197" s="21"/>
      <c r="CH197" s="9"/>
      <c r="CI197" s="21"/>
      <c r="CJ197" s="21"/>
      <c r="CK197" s="21"/>
      <c r="CL197" s="21"/>
      <c r="CM197" s="21"/>
      <c r="CR197" s="9"/>
      <c r="CS197" s="21"/>
      <c r="CT197" s="21"/>
      <c r="CU197" s="21"/>
      <c r="CV197" s="21"/>
      <c r="CW197" s="21"/>
      <c r="CZ197" s="9"/>
      <c r="DA197" s="21"/>
      <c r="DB197" s="21"/>
      <c r="DC197" s="21"/>
      <c r="DD197" s="21"/>
      <c r="DE197" s="21"/>
      <c r="DJ197" s="9"/>
      <c r="DK197" s="21"/>
      <c r="DL197" s="21"/>
      <c r="DM197" s="21"/>
      <c r="DN197" s="21"/>
      <c r="DO197" s="21"/>
      <c r="DR197" s="9"/>
      <c r="DS197" s="21"/>
      <c r="DT197" s="21"/>
      <c r="DU197" s="21"/>
      <c r="DV197" s="21"/>
      <c r="DW197" s="21"/>
      <c r="EB197" s="9"/>
      <c r="EC197" s="21"/>
      <c r="ED197" s="21"/>
      <c r="EE197" s="21"/>
      <c r="EF197" s="21"/>
      <c r="EG197" s="21"/>
      <c r="EJ197" s="9"/>
      <c r="EK197" s="21"/>
      <c r="EL197" s="21"/>
      <c r="EM197" s="21"/>
      <c r="EN197" s="21"/>
      <c r="EO197" s="21"/>
      <c r="ET197" s="21"/>
      <c r="EU197" s="21"/>
      <c r="EV197" s="21"/>
      <c r="EW197" s="21"/>
      <c r="EX197" s="21"/>
      <c r="FA197" s="9"/>
      <c r="FB197" s="21"/>
      <c r="FC197" s="21"/>
      <c r="FD197" s="21"/>
      <c r="FE197" s="21"/>
      <c r="FF197" s="21"/>
    </row>
    <row r="198" spans="6:162" x14ac:dyDescent="0.25">
      <c r="F198" s="9"/>
      <c r="G198" s="21">
        <v>0.25329600000000002</v>
      </c>
      <c r="H198" s="21">
        <v>6.9086699999999999</v>
      </c>
      <c r="I198" s="24">
        <v>-6.5612799999999996E-5</v>
      </c>
      <c r="J198" s="21">
        <v>188</v>
      </c>
      <c r="K198" s="21">
        <v>0.25296000000000002</v>
      </c>
      <c r="L198">
        <f t="shared" si="24"/>
        <v>8.1003456790123454E-2</v>
      </c>
      <c r="M198">
        <f t="shared" si="25"/>
        <v>2.0517851591111112E-2</v>
      </c>
      <c r="N198" s="9"/>
      <c r="O198" s="21">
        <v>0.84670999999999996</v>
      </c>
      <c r="P198" s="21">
        <v>9.5294100000000004</v>
      </c>
      <c r="Q198" s="24">
        <v>-3.5614000000000002E-5</v>
      </c>
      <c r="R198" s="21">
        <v>188</v>
      </c>
      <c r="S198" s="21">
        <v>0.84655800000000003</v>
      </c>
      <c r="T198">
        <f t="shared" si="26"/>
        <v>4.3967901234567897E-2</v>
      </c>
      <c r="U198">
        <f t="shared" si="27"/>
        <v>3.7228061654320979E-2</v>
      </c>
      <c r="X198" s="9"/>
      <c r="Y198" s="21">
        <v>0.25329600000000002</v>
      </c>
      <c r="Z198" s="21">
        <v>13.889799999999999</v>
      </c>
      <c r="AA198" s="24">
        <v>-6.1492899999999995E-5</v>
      </c>
      <c r="AB198" s="21">
        <v>188</v>
      </c>
      <c r="AC198" s="21">
        <v>0.25289899999999998</v>
      </c>
      <c r="AD198">
        <f t="shared" si="28"/>
        <v>7.5917160493827143E-2</v>
      </c>
      <c r="AE198">
        <f t="shared" si="29"/>
        <v>1.9229513084444441E-2</v>
      </c>
      <c r="AF198" s="9"/>
      <c r="AG198" s="21">
        <v>0.84670999999999996</v>
      </c>
      <c r="AH198" s="21">
        <v>16.5106</v>
      </c>
      <c r="AI198" s="24">
        <v>-3.2897900000000002E-5</v>
      </c>
      <c r="AJ198" s="21">
        <v>188</v>
      </c>
      <c r="AK198" s="21">
        <v>0.846252</v>
      </c>
      <c r="AL198">
        <f t="shared" si="30"/>
        <v>4.0614691358024688E-2</v>
      </c>
      <c r="AM198">
        <f t="shared" si="31"/>
        <v>3.4388865319753083E-2</v>
      </c>
      <c r="AP198" s="9"/>
      <c r="AQ198" s="21">
        <v>0.25329600000000002</v>
      </c>
      <c r="AR198" s="21">
        <v>20.812999999999999</v>
      </c>
      <c r="AS198" s="24">
        <v>-5.91125E-5</v>
      </c>
      <c r="AT198" s="21">
        <v>188</v>
      </c>
      <c r="AU198" s="21">
        <v>0.25299100000000002</v>
      </c>
      <c r="AV198">
        <f t="shared" si="32"/>
        <v>7.2978395061728388E-2</v>
      </c>
      <c r="AW198">
        <f t="shared" si="33"/>
        <v>1.8485135555555556E-2</v>
      </c>
      <c r="AX198" s="9"/>
      <c r="AY198" s="21">
        <v>0.84670999999999996</v>
      </c>
      <c r="AZ198" s="21">
        <v>23.433800000000002</v>
      </c>
      <c r="BA198" s="24">
        <v>-3.1585699999999998E-5</v>
      </c>
      <c r="BB198" s="21">
        <v>188</v>
      </c>
      <c r="BC198" s="21">
        <v>0.845947</v>
      </c>
      <c r="BD198">
        <f t="shared" si="34"/>
        <v>3.8994691358024691E-2</v>
      </c>
      <c r="BE198">
        <f t="shared" si="35"/>
        <v>3.3017195119753082E-2</v>
      </c>
      <c r="BH198" s="9"/>
      <c r="BI198" s="21"/>
      <c r="BJ198" s="21"/>
      <c r="BK198" s="21"/>
      <c r="BL198" s="21"/>
      <c r="BM198" s="21"/>
      <c r="BP198" s="9"/>
      <c r="BQ198" s="21"/>
      <c r="BR198" s="21"/>
      <c r="BS198" s="21"/>
      <c r="BT198" s="21"/>
      <c r="BU198" s="21"/>
      <c r="BZ198" s="9"/>
      <c r="CA198" s="21"/>
      <c r="CB198" s="21"/>
      <c r="CC198" s="21"/>
      <c r="CD198" s="21"/>
      <c r="CE198" s="21"/>
      <c r="CH198" s="9"/>
      <c r="CI198" s="21"/>
      <c r="CJ198" s="21"/>
      <c r="CK198" s="21"/>
      <c r="CL198" s="21"/>
      <c r="CM198" s="21"/>
      <c r="CR198" s="9"/>
      <c r="CS198" s="21"/>
      <c r="CT198" s="21"/>
      <c r="CU198" s="21"/>
      <c r="CV198" s="21"/>
      <c r="CW198" s="21"/>
      <c r="CZ198" s="9"/>
      <c r="DA198" s="21"/>
      <c r="DB198" s="21"/>
      <c r="DC198" s="21"/>
      <c r="DD198" s="21"/>
      <c r="DE198" s="21"/>
      <c r="DJ198" s="9"/>
      <c r="DK198" s="21"/>
      <c r="DL198" s="21"/>
      <c r="DM198" s="21"/>
      <c r="DN198" s="21"/>
      <c r="DO198" s="21"/>
      <c r="DR198" s="9"/>
      <c r="DS198" s="21"/>
      <c r="DT198" s="21"/>
      <c r="DU198" s="21"/>
      <c r="DV198" s="21"/>
      <c r="DW198" s="21"/>
      <c r="EB198" s="9"/>
      <c r="EC198" s="21"/>
      <c r="ED198" s="21"/>
      <c r="EE198" s="21"/>
      <c r="EF198" s="21"/>
      <c r="EG198" s="21"/>
      <c r="EJ198" s="9"/>
      <c r="EK198" s="21"/>
      <c r="EL198" s="21"/>
      <c r="EM198" s="21"/>
      <c r="EN198" s="21"/>
      <c r="EO198" s="21"/>
      <c r="ET198" s="21"/>
      <c r="EU198" s="21"/>
      <c r="EV198" s="21"/>
      <c r="EW198" s="21"/>
      <c r="EX198" s="21"/>
      <c r="FA198" s="9"/>
      <c r="FB198" s="21"/>
      <c r="FC198" s="21"/>
      <c r="FD198" s="21"/>
      <c r="FE198" s="21"/>
      <c r="FF198" s="21"/>
    </row>
    <row r="199" spans="6:162" x14ac:dyDescent="0.25">
      <c r="F199" s="9"/>
      <c r="G199" s="21">
        <v>0.24826000000000001</v>
      </c>
      <c r="H199" s="21">
        <v>6.9187399999999997</v>
      </c>
      <c r="I199" s="24">
        <v>-6.5765400000000006E-5</v>
      </c>
      <c r="J199" s="21">
        <v>189</v>
      </c>
      <c r="K199" s="21">
        <v>0.24795500000000001</v>
      </c>
      <c r="L199">
        <f t="shared" si="24"/>
        <v>8.1191851851851848E-2</v>
      </c>
      <c r="M199">
        <f t="shared" si="25"/>
        <v>2.015668914074074E-2</v>
      </c>
      <c r="N199" s="9"/>
      <c r="O199" s="21">
        <v>0.851746</v>
      </c>
      <c r="P199" s="21">
        <v>9.5394799999999993</v>
      </c>
      <c r="Q199" s="24">
        <v>-3.5400400000000001E-5</v>
      </c>
      <c r="R199" s="21">
        <v>189</v>
      </c>
      <c r="S199" s="21">
        <v>0.85082999999999998</v>
      </c>
      <c r="T199">
        <f t="shared" si="26"/>
        <v>4.37041975308642E-2</v>
      </c>
      <c r="U199">
        <f t="shared" si="27"/>
        <v>3.7224875430123462E-2</v>
      </c>
      <c r="X199" s="9"/>
      <c r="Y199" s="21">
        <v>0.24826000000000001</v>
      </c>
      <c r="Z199" s="21">
        <v>13.899900000000001</v>
      </c>
      <c r="AA199" s="24">
        <v>-6.1645500000000005E-5</v>
      </c>
      <c r="AB199" s="21">
        <v>189</v>
      </c>
      <c r="AC199" s="21">
        <v>0.24798600000000001</v>
      </c>
      <c r="AD199">
        <f t="shared" si="28"/>
        <v>7.6105555555555551E-2</v>
      </c>
      <c r="AE199">
        <f t="shared" si="29"/>
        <v>1.8893965222222222E-2</v>
      </c>
      <c r="AF199" s="9"/>
      <c r="AG199" s="21">
        <v>0.851746</v>
      </c>
      <c r="AH199" s="21">
        <v>16.520700000000001</v>
      </c>
      <c r="AI199" s="24">
        <v>-3.2714800000000001E-5</v>
      </c>
      <c r="AJ199" s="21">
        <v>189</v>
      </c>
      <c r="AK199" s="21">
        <v>0.85113499999999997</v>
      </c>
      <c r="AL199">
        <f t="shared" si="30"/>
        <v>4.0388641975308642E-2</v>
      </c>
      <c r="AM199">
        <f t="shared" si="31"/>
        <v>3.4400864247901237E-2</v>
      </c>
      <c r="AP199" s="9"/>
      <c r="AQ199" s="21">
        <v>0.24826000000000001</v>
      </c>
      <c r="AR199" s="21">
        <v>20.8231</v>
      </c>
      <c r="AS199" s="24">
        <v>-5.9295700000000002E-5</v>
      </c>
      <c r="AT199" s="21">
        <v>189</v>
      </c>
      <c r="AU199" s="21">
        <v>0.24795500000000001</v>
      </c>
      <c r="AV199">
        <f t="shared" si="32"/>
        <v>7.3204567901234571E-2</v>
      </c>
      <c r="AW199">
        <f t="shared" si="33"/>
        <v>1.8173766027160497E-2</v>
      </c>
      <c r="AX199" s="9"/>
      <c r="AY199" s="21">
        <v>0.851746</v>
      </c>
      <c r="AZ199" s="21">
        <v>23.4438</v>
      </c>
      <c r="BA199" s="24">
        <v>-3.1433100000000002E-5</v>
      </c>
      <c r="BB199" s="21">
        <v>189</v>
      </c>
      <c r="BC199" s="21">
        <v>0.85082999999999998</v>
      </c>
      <c r="BD199">
        <f t="shared" si="34"/>
        <v>3.8806296296296297E-2</v>
      </c>
      <c r="BE199">
        <f t="shared" si="35"/>
        <v>3.3053107645185188E-2</v>
      </c>
      <c r="BH199" s="9"/>
      <c r="BI199" s="21"/>
      <c r="BJ199" s="21"/>
      <c r="BK199" s="21"/>
      <c r="BL199" s="21"/>
      <c r="BM199" s="21"/>
      <c r="BP199" s="9"/>
      <c r="BQ199" s="21"/>
      <c r="BR199" s="21"/>
      <c r="BS199" s="21"/>
      <c r="BT199" s="21"/>
      <c r="BU199" s="21"/>
      <c r="BZ199" s="9"/>
      <c r="CA199" s="21"/>
      <c r="CB199" s="21"/>
      <c r="CC199" s="21"/>
      <c r="CD199" s="21"/>
      <c r="CE199" s="21"/>
      <c r="CH199" s="9"/>
      <c r="CI199" s="21"/>
      <c r="CJ199" s="21"/>
      <c r="CK199" s="21"/>
      <c r="CL199" s="21"/>
      <c r="CM199" s="21"/>
      <c r="CR199" s="9"/>
      <c r="CS199" s="21"/>
      <c r="CT199" s="21"/>
      <c r="CU199" s="21"/>
      <c r="CV199" s="21"/>
      <c r="CW199" s="21"/>
      <c r="CZ199" s="9"/>
      <c r="DA199" s="21"/>
      <c r="DB199" s="21"/>
      <c r="DC199" s="21"/>
      <c r="DD199" s="21"/>
      <c r="DE199" s="21"/>
      <c r="DJ199" s="9"/>
      <c r="DK199" s="21"/>
      <c r="DL199" s="21"/>
      <c r="DM199" s="21"/>
      <c r="DN199" s="21"/>
      <c r="DO199" s="21"/>
      <c r="DR199" s="9"/>
      <c r="DS199" s="21"/>
      <c r="DT199" s="21"/>
      <c r="DU199" s="21"/>
      <c r="DV199" s="21"/>
      <c r="DW199" s="21"/>
      <c r="EB199" s="9"/>
      <c r="EC199" s="21"/>
      <c r="ED199" s="21"/>
      <c r="EE199" s="21"/>
      <c r="EF199" s="21"/>
      <c r="EG199" s="21"/>
      <c r="EJ199" s="9"/>
      <c r="EK199" s="21"/>
      <c r="EL199" s="21"/>
      <c r="EM199" s="21"/>
      <c r="EN199" s="21"/>
      <c r="EO199" s="21"/>
      <c r="ET199" s="21"/>
      <c r="EU199" s="21"/>
      <c r="EV199" s="21"/>
      <c r="EW199" s="21"/>
      <c r="EX199" s="21"/>
      <c r="FA199" s="9"/>
      <c r="FB199" s="21"/>
      <c r="FC199" s="21"/>
      <c r="FD199" s="21"/>
      <c r="FE199" s="21"/>
      <c r="FF199" s="21"/>
    </row>
    <row r="200" spans="6:162" x14ac:dyDescent="0.25">
      <c r="F200" s="9"/>
      <c r="G200" s="21">
        <v>0.243225</v>
      </c>
      <c r="H200" s="21">
        <v>6.9288100000000004</v>
      </c>
      <c r="I200" s="24">
        <v>-6.5826400000000004E-5</v>
      </c>
      <c r="J200" s="21">
        <v>190</v>
      </c>
      <c r="K200" s="21">
        <v>0.242981</v>
      </c>
      <c r="L200">
        <f t="shared" si="24"/>
        <v>8.1267160493827165E-2</v>
      </c>
      <c r="M200">
        <f t="shared" si="25"/>
        <v>1.9766205111111112E-2</v>
      </c>
      <c r="N200" s="9"/>
      <c r="O200" s="21">
        <v>0.85678100000000001</v>
      </c>
      <c r="P200" s="21">
        <v>9.54955</v>
      </c>
      <c r="Q200" s="24">
        <v>-3.5247799999999998E-5</v>
      </c>
      <c r="R200" s="21">
        <v>190</v>
      </c>
      <c r="S200" s="21">
        <v>0.85510299999999995</v>
      </c>
      <c r="T200">
        <f t="shared" si="26"/>
        <v>4.3515802469135799E-2</v>
      </c>
      <c r="U200">
        <f t="shared" si="27"/>
        <v>3.728351275530864E-2</v>
      </c>
      <c r="X200" s="9"/>
      <c r="Y200" s="21">
        <v>0.243225</v>
      </c>
      <c r="Z200" s="21">
        <v>13.91</v>
      </c>
      <c r="AA200" s="24">
        <v>-6.1828600000000006E-5</v>
      </c>
      <c r="AB200" s="21">
        <v>190</v>
      </c>
      <c r="AC200" s="21">
        <v>0.24288899999999999</v>
      </c>
      <c r="AD200">
        <f t="shared" si="28"/>
        <v>7.6331604938271611E-2</v>
      </c>
      <c r="AE200">
        <f t="shared" si="29"/>
        <v>1.8565754611111113E-2</v>
      </c>
      <c r="AF200" s="9"/>
      <c r="AG200" s="21">
        <v>0.85678100000000001</v>
      </c>
      <c r="AH200" s="21">
        <v>16.5307</v>
      </c>
      <c r="AI200" s="24">
        <v>-3.25012E-5</v>
      </c>
      <c r="AJ200" s="21">
        <v>190</v>
      </c>
      <c r="AK200" s="21">
        <v>0.85601799999999995</v>
      </c>
      <c r="AL200">
        <f t="shared" si="30"/>
        <v>4.0124938271604932E-2</v>
      </c>
      <c r="AM200">
        <f t="shared" si="31"/>
        <v>3.4378284737283944E-2</v>
      </c>
      <c r="AP200" s="9"/>
      <c r="AQ200" s="21">
        <v>0.243225</v>
      </c>
      <c r="AR200" s="21">
        <v>20.833200000000001</v>
      </c>
      <c r="AS200" s="24">
        <v>-5.9539800000000002E-5</v>
      </c>
      <c r="AT200" s="21">
        <v>190</v>
      </c>
      <c r="AU200" s="21">
        <v>0.24288899999999999</v>
      </c>
      <c r="AV200">
        <f t="shared" si="32"/>
        <v>7.3505925925925919E-2</v>
      </c>
      <c r="AW200">
        <f t="shared" si="33"/>
        <v>1.7878478833333333E-2</v>
      </c>
      <c r="AX200" s="9"/>
      <c r="AY200" s="21">
        <v>0.85678100000000001</v>
      </c>
      <c r="AZ200" s="21">
        <v>23.453900000000001</v>
      </c>
      <c r="BA200" s="24">
        <v>-3.1066899999999999E-5</v>
      </c>
      <c r="BB200" s="21">
        <v>190</v>
      </c>
      <c r="BC200" s="21">
        <v>0.85601799999999995</v>
      </c>
      <c r="BD200">
        <f t="shared" si="34"/>
        <v>3.8354197530864199E-2</v>
      </c>
      <c r="BE200">
        <f t="shared" si="35"/>
        <v>3.2861147714691362E-2</v>
      </c>
      <c r="BH200" s="9"/>
      <c r="BI200" s="21"/>
      <c r="BJ200" s="21"/>
      <c r="BK200" s="21"/>
      <c r="BL200" s="21"/>
      <c r="BM200" s="21"/>
      <c r="BP200" s="9"/>
      <c r="BQ200" s="21"/>
      <c r="BR200" s="21"/>
      <c r="BS200" s="21"/>
      <c r="BT200" s="21"/>
      <c r="BU200" s="21"/>
      <c r="BZ200" s="9"/>
      <c r="CA200" s="21"/>
      <c r="CB200" s="21"/>
      <c r="CC200" s="21"/>
      <c r="CD200" s="21"/>
      <c r="CE200" s="21"/>
      <c r="CH200" s="9"/>
      <c r="CI200" s="21"/>
      <c r="CJ200" s="21"/>
      <c r="CK200" s="21"/>
      <c r="CL200" s="21"/>
      <c r="CM200" s="21"/>
      <c r="CR200" s="9"/>
      <c r="CS200" s="21"/>
      <c r="CT200" s="21"/>
      <c r="CU200" s="21"/>
      <c r="CV200" s="21"/>
      <c r="CW200" s="21"/>
      <c r="CZ200" s="9"/>
      <c r="DA200" s="21"/>
      <c r="DB200" s="21"/>
      <c r="DC200" s="21"/>
      <c r="DD200" s="21"/>
      <c r="DE200" s="21"/>
      <c r="DJ200" s="9"/>
      <c r="DK200" s="21"/>
      <c r="DL200" s="21"/>
      <c r="DM200" s="21"/>
      <c r="DN200" s="21"/>
      <c r="DO200" s="21"/>
      <c r="DR200" s="9"/>
      <c r="DS200" s="21"/>
      <c r="DT200" s="21"/>
      <c r="DU200" s="21"/>
      <c r="DV200" s="21"/>
      <c r="DW200" s="21"/>
      <c r="EB200" s="9"/>
      <c r="EC200" s="21"/>
      <c r="ED200" s="21"/>
      <c r="EE200" s="21"/>
      <c r="EF200" s="21"/>
      <c r="EG200" s="21"/>
      <c r="EJ200" s="9"/>
      <c r="EK200" s="21"/>
      <c r="EL200" s="21"/>
      <c r="EM200" s="21"/>
      <c r="EN200" s="21"/>
      <c r="EO200" s="21"/>
      <c r="ET200" s="21"/>
      <c r="EU200" s="21"/>
      <c r="EV200" s="21"/>
      <c r="EW200" s="21"/>
      <c r="EX200" s="21"/>
      <c r="FA200" s="9"/>
      <c r="FB200" s="21"/>
      <c r="FC200" s="21"/>
      <c r="FD200" s="21"/>
      <c r="FE200" s="21"/>
      <c r="FF200" s="21"/>
    </row>
    <row r="201" spans="6:162" x14ac:dyDescent="0.25">
      <c r="F201" s="9"/>
      <c r="G201" s="21">
        <v>0.23819000000000001</v>
      </c>
      <c r="H201" s="21">
        <v>6.9388800000000002</v>
      </c>
      <c r="I201" s="24">
        <v>-6.5918000000000001E-5</v>
      </c>
      <c r="J201" s="21">
        <v>191</v>
      </c>
      <c r="K201" s="21">
        <v>0.23797599999999999</v>
      </c>
      <c r="L201">
        <f t="shared" si="24"/>
        <v>8.1380246913580256E-2</v>
      </c>
      <c r="M201">
        <f t="shared" si="25"/>
        <v>1.9383961012345682E-2</v>
      </c>
      <c r="N201" s="9"/>
      <c r="O201" s="21">
        <v>0.86181600000000003</v>
      </c>
      <c r="P201" s="21">
        <v>9.5596200000000007</v>
      </c>
      <c r="Q201" s="24">
        <v>-3.5034199999999997E-5</v>
      </c>
      <c r="R201" s="21">
        <v>191</v>
      </c>
      <c r="S201" s="21">
        <v>0.86090100000000003</v>
      </c>
      <c r="T201">
        <f t="shared" si="26"/>
        <v>4.3252098765432088E-2</v>
      </c>
      <c r="U201">
        <f t="shared" si="27"/>
        <v>3.7275350749629621E-2</v>
      </c>
      <c r="X201" s="9"/>
      <c r="Y201" s="21">
        <v>0.23819000000000001</v>
      </c>
      <c r="Z201" s="21">
        <v>13.9201</v>
      </c>
      <c r="AA201" s="24">
        <v>-6.2011699999999994E-5</v>
      </c>
      <c r="AB201" s="21">
        <v>191</v>
      </c>
      <c r="AC201" s="21">
        <v>0.23794599999999999</v>
      </c>
      <c r="AD201">
        <f t="shared" si="28"/>
        <v>7.6557654320987642E-2</v>
      </c>
      <c r="AE201">
        <f t="shared" si="29"/>
        <v>1.8235267682716046E-2</v>
      </c>
      <c r="AF201" s="9"/>
      <c r="AG201" s="21">
        <v>0.86181600000000003</v>
      </c>
      <c r="AH201" s="21">
        <v>16.540800000000001</v>
      </c>
      <c r="AI201" s="24">
        <v>-3.2287599999999999E-5</v>
      </c>
      <c r="AJ201" s="21">
        <v>191</v>
      </c>
      <c r="AK201" s="21">
        <v>0.86029100000000003</v>
      </c>
      <c r="AL201">
        <f t="shared" si="30"/>
        <v>3.9861234567901235E-2</v>
      </c>
      <c r="AM201">
        <f t="shared" si="31"/>
        <v>3.4353049730370372E-2</v>
      </c>
      <c r="AP201" s="9"/>
      <c r="AQ201" s="21">
        <v>0.23819000000000001</v>
      </c>
      <c r="AR201" s="21">
        <v>20.8432</v>
      </c>
      <c r="AS201" s="24">
        <v>-5.9570300000000001E-5</v>
      </c>
      <c r="AT201" s="21">
        <v>191</v>
      </c>
      <c r="AU201" s="21">
        <v>0.23794599999999999</v>
      </c>
      <c r="AV201">
        <f t="shared" si="32"/>
        <v>7.354358024691357E-2</v>
      </c>
      <c r="AW201">
        <f t="shared" si="33"/>
        <v>1.7517345379012346E-2</v>
      </c>
      <c r="AX201" s="9"/>
      <c r="AY201" s="21">
        <v>0.86181600000000003</v>
      </c>
      <c r="AZ201" s="21">
        <v>23.463999999999999</v>
      </c>
      <c r="BA201" s="24">
        <v>-3.0853299999999998E-5</v>
      </c>
      <c r="BB201" s="21">
        <v>191</v>
      </c>
      <c r="BC201" s="21">
        <v>0.86090100000000003</v>
      </c>
      <c r="BD201">
        <f t="shared" si="34"/>
        <v>3.8090493827160489E-2</v>
      </c>
      <c r="BE201">
        <f t="shared" si="35"/>
        <v>3.2826997028148147E-2</v>
      </c>
      <c r="BH201" s="9"/>
      <c r="BI201" s="21"/>
      <c r="BJ201" s="21"/>
      <c r="BK201" s="21"/>
      <c r="BL201" s="21"/>
      <c r="BM201" s="21"/>
      <c r="BP201" s="9"/>
      <c r="BQ201" s="21"/>
      <c r="BR201" s="21"/>
      <c r="BS201" s="21"/>
      <c r="BT201" s="21"/>
      <c r="BU201" s="21"/>
      <c r="BZ201" s="9"/>
      <c r="CA201" s="21"/>
      <c r="CB201" s="21"/>
      <c r="CC201" s="21"/>
      <c r="CD201" s="21"/>
      <c r="CE201" s="21"/>
      <c r="CH201" s="9"/>
      <c r="CI201" s="21"/>
      <c r="CJ201" s="21"/>
      <c r="CK201" s="21"/>
      <c r="CL201" s="21"/>
      <c r="CM201" s="21"/>
      <c r="CR201" s="9"/>
      <c r="CS201" s="21"/>
      <c r="CT201" s="21"/>
      <c r="CU201" s="21"/>
      <c r="CV201" s="21"/>
      <c r="CW201" s="21"/>
      <c r="CZ201" s="9"/>
      <c r="DA201" s="21"/>
      <c r="DB201" s="21"/>
      <c r="DC201" s="21"/>
      <c r="DD201" s="21"/>
      <c r="DE201" s="21"/>
      <c r="DJ201" s="9"/>
      <c r="DK201" s="21"/>
      <c r="DL201" s="21"/>
      <c r="DM201" s="21"/>
      <c r="DN201" s="21"/>
      <c r="DO201" s="21"/>
      <c r="DR201" s="9"/>
      <c r="DS201" s="21"/>
      <c r="DT201" s="21"/>
      <c r="DU201" s="21"/>
      <c r="DV201" s="21"/>
      <c r="DW201" s="21"/>
      <c r="EB201" s="9"/>
      <c r="EC201" s="21"/>
      <c r="ED201" s="21"/>
      <c r="EE201" s="21"/>
      <c r="EF201" s="21"/>
      <c r="EG201" s="21"/>
      <c r="EJ201" s="9"/>
      <c r="EK201" s="21"/>
      <c r="EL201" s="21"/>
      <c r="EM201" s="21"/>
      <c r="EN201" s="21"/>
      <c r="EO201" s="21"/>
      <c r="ET201" s="21"/>
      <c r="EU201" s="21"/>
      <c r="EV201" s="21"/>
      <c r="EW201" s="21"/>
      <c r="EX201" s="21"/>
      <c r="FA201" s="9"/>
      <c r="FB201" s="21"/>
      <c r="FC201" s="21"/>
      <c r="FD201" s="21"/>
      <c r="FE201" s="21"/>
      <c r="FF201" s="21"/>
    </row>
    <row r="202" spans="6:162" x14ac:dyDescent="0.25">
      <c r="F202" s="9"/>
      <c r="G202" s="21">
        <v>0.233154</v>
      </c>
      <c r="H202" s="21">
        <v>6.94895</v>
      </c>
      <c r="I202" s="24">
        <v>-6.6101100000000003E-5</v>
      </c>
      <c r="J202" s="21">
        <v>192</v>
      </c>
      <c r="K202" s="21">
        <v>0.232849</v>
      </c>
      <c r="L202">
        <f t="shared" si="24"/>
        <v>8.1606296296296302E-2</v>
      </c>
      <c r="M202">
        <f t="shared" si="25"/>
        <v>1.9026834406666669E-2</v>
      </c>
      <c r="N202" s="9"/>
      <c r="O202" s="21">
        <v>0.86685199999999996</v>
      </c>
      <c r="P202" s="21">
        <v>9.5696899999999996</v>
      </c>
      <c r="Q202" s="24">
        <v>-3.4789999999999997E-5</v>
      </c>
      <c r="R202" s="21">
        <v>192</v>
      </c>
      <c r="S202" s="21">
        <v>0.866089</v>
      </c>
      <c r="T202">
        <f t="shared" si="26"/>
        <v>4.295061728395061E-2</v>
      </c>
      <c r="U202">
        <f t="shared" si="27"/>
        <v>3.7231828493827154E-2</v>
      </c>
      <c r="X202" s="9"/>
      <c r="Y202" s="21">
        <v>0.233154</v>
      </c>
      <c r="Z202" s="21">
        <v>13.930099999999999</v>
      </c>
      <c r="AA202" s="24">
        <v>-6.2194799999999996E-5</v>
      </c>
      <c r="AB202" s="21">
        <v>192</v>
      </c>
      <c r="AC202" s="21">
        <v>0.232819</v>
      </c>
      <c r="AD202">
        <f t="shared" si="28"/>
        <v>7.6783703703703687E-2</v>
      </c>
      <c r="AE202">
        <f t="shared" si="29"/>
        <v>1.790242765333333E-2</v>
      </c>
      <c r="AF202" s="9"/>
      <c r="AG202" s="21">
        <v>0.86685199999999996</v>
      </c>
      <c r="AH202" s="21">
        <v>16.550899999999999</v>
      </c>
      <c r="AI202" s="24">
        <v>-3.1982400000000001E-5</v>
      </c>
      <c r="AJ202" s="21">
        <v>192</v>
      </c>
      <c r="AK202" s="21">
        <v>0.865784</v>
      </c>
      <c r="AL202">
        <f t="shared" si="30"/>
        <v>3.948444444444444E-2</v>
      </c>
      <c r="AM202">
        <f t="shared" si="31"/>
        <v>3.4227169635555547E-2</v>
      </c>
      <c r="AP202" s="9"/>
      <c r="AQ202" s="21">
        <v>0.233154</v>
      </c>
      <c r="AR202" s="21">
        <v>20.853300000000001</v>
      </c>
      <c r="AS202" s="24">
        <v>-5.9692399999999998E-5</v>
      </c>
      <c r="AT202" s="21">
        <v>192</v>
      </c>
      <c r="AU202" s="21">
        <v>0.23288</v>
      </c>
      <c r="AV202">
        <f t="shared" si="32"/>
        <v>7.3694320987654313E-2</v>
      </c>
      <c r="AW202">
        <f t="shared" si="33"/>
        <v>1.7182125715555555E-2</v>
      </c>
      <c r="AX202" s="9"/>
      <c r="AY202" s="21">
        <v>0.86685199999999996</v>
      </c>
      <c r="AZ202" s="21">
        <v>23.474</v>
      </c>
      <c r="BA202" s="24">
        <v>-3.0670200000000003E-5</v>
      </c>
      <c r="BB202" s="21">
        <v>192</v>
      </c>
      <c r="BC202" s="21">
        <v>0.866089</v>
      </c>
      <c r="BD202">
        <f t="shared" si="34"/>
        <v>3.7864444444444444E-2</v>
      </c>
      <c r="BE202">
        <f t="shared" si="35"/>
        <v>3.2822869395555551E-2</v>
      </c>
      <c r="BH202" s="9"/>
      <c r="BI202" s="21"/>
      <c r="BJ202" s="21"/>
      <c r="BK202" s="21"/>
      <c r="BL202" s="21"/>
      <c r="BM202" s="21"/>
      <c r="BP202" s="9"/>
      <c r="BQ202" s="21"/>
      <c r="BR202" s="21"/>
      <c r="BS202" s="21"/>
      <c r="BT202" s="21"/>
      <c r="BU202" s="21"/>
      <c r="BZ202" s="9"/>
      <c r="CA202" s="21"/>
      <c r="CB202" s="21"/>
      <c r="CC202" s="21"/>
      <c r="CD202" s="21"/>
      <c r="CE202" s="21"/>
      <c r="CH202" s="9"/>
      <c r="CI202" s="21"/>
      <c r="CJ202" s="21"/>
      <c r="CK202" s="21"/>
      <c r="CL202" s="21"/>
      <c r="CM202" s="21"/>
      <c r="CR202" s="9"/>
      <c r="CS202" s="21"/>
      <c r="CT202" s="21"/>
      <c r="CU202" s="21"/>
      <c r="CV202" s="21"/>
      <c r="CW202" s="21"/>
      <c r="CZ202" s="9"/>
      <c r="DA202" s="21"/>
      <c r="DB202" s="21"/>
      <c r="DC202" s="21"/>
      <c r="DD202" s="21"/>
      <c r="DE202" s="21"/>
      <c r="DJ202" s="9"/>
      <c r="DK202" s="21"/>
      <c r="DL202" s="21"/>
      <c r="DM202" s="21"/>
      <c r="DN202" s="21"/>
      <c r="DO202" s="21"/>
      <c r="DR202" s="9"/>
      <c r="DS202" s="21"/>
      <c r="DT202" s="21"/>
      <c r="DU202" s="21"/>
      <c r="DV202" s="21"/>
      <c r="DW202" s="21"/>
      <c r="EB202" s="9"/>
      <c r="EC202" s="21"/>
      <c r="ED202" s="21"/>
      <c r="EE202" s="21"/>
      <c r="EF202" s="21"/>
      <c r="EG202" s="21"/>
      <c r="EJ202" s="9"/>
      <c r="EK202" s="21"/>
      <c r="EL202" s="21"/>
      <c r="EM202" s="21"/>
      <c r="EN202" s="21"/>
      <c r="EO202" s="21"/>
      <c r="ET202" s="21"/>
      <c r="EU202" s="21"/>
      <c r="EV202" s="21"/>
      <c r="EW202" s="21"/>
      <c r="EX202" s="21"/>
      <c r="FA202" s="9"/>
      <c r="FB202" s="21"/>
      <c r="FC202" s="21"/>
      <c r="FD202" s="21"/>
      <c r="FE202" s="21"/>
      <c r="FF202" s="21"/>
    </row>
    <row r="203" spans="6:162" x14ac:dyDescent="0.25">
      <c r="F203" s="9"/>
      <c r="G203" s="21">
        <v>0.22811899999999999</v>
      </c>
      <c r="H203" s="21">
        <v>6.9590199999999998</v>
      </c>
      <c r="I203" s="24">
        <v>-6.6070599999999997E-5</v>
      </c>
      <c r="J203" s="21">
        <v>193</v>
      </c>
      <c r="K203" s="21">
        <v>0.22784399999999999</v>
      </c>
      <c r="L203">
        <f t="shared" si="24"/>
        <v>8.1568641975308637E-2</v>
      </c>
      <c r="M203">
        <f t="shared" si="25"/>
        <v>1.860735703876543E-2</v>
      </c>
      <c r="N203" s="9"/>
      <c r="O203" s="21">
        <v>0.87188699999999997</v>
      </c>
      <c r="P203" s="21">
        <v>9.5797600000000003</v>
      </c>
      <c r="Q203" s="24">
        <v>-3.4423800000000001E-5</v>
      </c>
      <c r="R203" s="21">
        <v>193</v>
      </c>
      <c r="S203" s="21">
        <v>0.87066699999999997</v>
      </c>
      <c r="T203">
        <f t="shared" si="26"/>
        <v>4.2498518518518519E-2</v>
      </c>
      <c r="U203">
        <f t="shared" si="27"/>
        <v>3.7053905815555552E-2</v>
      </c>
      <c r="X203" s="9"/>
      <c r="Y203" s="21">
        <v>0.22811899999999999</v>
      </c>
      <c r="Z203" s="21">
        <v>13.940200000000001</v>
      </c>
      <c r="AA203" s="24">
        <v>-6.2286399999999994E-5</v>
      </c>
      <c r="AB203" s="21">
        <v>193</v>
      </c>
      <c r="AC203" s="21">
        <v>0.22781399999999999</v>
      </c>
      <c r="AD203">
        <f t="shared" si="28"/>
        <v>7.6896790123456779E-2</v>
      </c>
      <c r="AE203">
        <f t="shared" si="29"/>
        <v>1.7541618866172837E-2</v>
      </c>
      <c r="AF203" s="9"/>
      <c r="AG203" s="21">
        <v>0.87188699999999997</v>
      </c>
      <c r="AH203" s="21">
        <v>16.5609</v>
      </c>
      <c r="AI203" s="24">
        <v>-3.17688E-5</v>
      </c>
      <c r="AJ203" s="21">
        <v>193</v>
      </c>
      <c r="AK203" s="21">
        <v>0.87036100000000005</v>
      </c>
      <c r="AL203">
        <f t="shared" si="30"/>
        <v>3.9220740740740737E-2</v>
      </c>
      <c r="AM203">
        <f t="shared" si="31"/>
        <v>3.4196053982222217E-2</v>
      </c>
      <c r="AP203" s="9"/>
      <c r="AQ203" s="21">
        <v>0.22811899999999999</v>
      </c>
      <c r="AR203" s="21">
        <v>20.863399999999999</v>
      </c>
      <c r="AS203" s="24">
        <v>-5.98755E-5</v>
      </c>
      <c r="AT203" s="21">
        <v>193</v>
      </c>
      <c r="AU203" s="21">
        <v>0.22781399999999999</v>
      </c>
      <c r="AV203">
        <f t="shared" si="32"/>
        <v>7.3920370370370372E-2</v>
      </c>
      <c r="AW203">
        <f t="shared" si="33"/>
        <v>1.6862640968518517E-2</v>
      </c>
      <c r="AX203" s="9"/>
      <c r="AY203" s="21">
        <v>0.87188699999999997</v>
      </c>
      <c r="AZ203" s="21">
        <v>23.484100000000002</v>
      </c>
      <c r="BA203" s="24">
        <v>-3.0395500000000001E-5</v>
      </c>
      <c r="BB203" s="21">
        <v>193</v>
      </c>
      <c r="BC203" s="21">
        <v>0.87127699999999997</v>
      </c>
      <c r="BD203">
        <f t="shared" si="34"/>
        <v>3.7525308641975313E-2</v>
      </c>
      <c r="BE203">
        <f t="shared" si="35"/>
        <v>3.2717828775925932E-2</v>
      </c>
      <c r="BH203" s="9"/>
      <c r="BI203" s="21"/>
      <c r="BJ203" s="21"/>
      <c r="BK203" s="21"/>
      <c r="BL203" s="21"/>
      <c r="BM203" s="21"/>
      <c r="BP203" s="9"/>
      <c r="BQ203" s="21"/>
      <c r="BR203" s="21"/>
      <c r="BS203" s="21"/>
      <c r="BT203" s="21"/>
      <c r="BU203" s="21"/>
      <c r="BZ203" s="9"/>
      <c r="CA203" s="21"/>
      <c r="CB203" s="21"/>
      <c r="CC203" s="21"/>
      <c r="CD203" s="21"/>
      <c r="CE203" s="21"/>
      <c r="CH203" s="9"/>
      <c r="CI203" s="21"/>
      <c r="CJ203" s="21"/>
      <c r="CK203" s="21"/>
      <c r="CL203" s="21"/>
      <c r="CM203" s="21"/>
      <c r="CR203" s="9"/>
      <c r="CS203" s="21"/>
      <c r="CT203" s="21"/>
      <c r="CU203" s="21"/>
      <c r="CV203" s="21"/>
      <c r="CW203" s="21"/>
      <c r="CZ203" s="9"/>
      <c r="DA203" s="21"/>
      <c r="DB203" s="21"/>
      <c r="DC203" s="21"/>
      <c r="DD203" s="21"/>
      <c r="DE203" s="21"/>
      <c r="DJ203" s="9"/>
      <c r="DK203" s="21"/>
      <c r="DL203" s="21"/>
      <c r="DM203" s="21"/>
      <c r="DN203" s="21"/>
      <c r="DO203" s="21"/>
      <c r="DR203" s="9"/>
      <c r="DS203" s="21"/>
      <c r="DT203" s="21"/>
      <c r="DU203" s="21"/>
      <c r="DV203" s="21"/>
      <c r="DW203" s="21"/>
      <c r="EB203" s="9"/>
      <c r="EC203" s="21"/>
      <c r="ED203" s="21"/>
      <c r="EE203" s="21"/>
      <c r="EF203" s="21"/>
      <c r="EG203" s="21"/>
      <c r="EJ203" s="9"/>
      <c r="EK203" s="21"/>
      <c r="EL203" s="21"/>
      <c r="EM203" s="21"/>
      <c r="EN203" s="21"/>
      <c r="EO203" s="21"/>
      <c r="ET203" s="21"/>
      <c r="EU203" s="21"/>
      <c r="EV203" s="21"/>
      <c r="EW203" s="21"/>
      <c r="EX203" s="21"/>
      <c r="FA203" s="9"/>
      <c r="FB203" s="21"/>
      <c r="FC203" s="21"/>
      <c r="FD203" s="21"/>
      <c r="FE203" s="21"/>
      <c r="FF203" s="21"/>
    </row>
    <row r="204" spans="6:162" x14ac:dyDescent="0.25">
      <c r="F204" s="9"/>
      <c r="G204" s="21">
        <v>0.223083</v>
      </c>
      <c r="H204" s="21">
        <v>6.9690899999999996</v>
      </c>
      <c r="I204" s="24">
        <v>-6.6192599999999994E-5</v>
      </c>
      <c r="J204" s="21">
        <v>194</v>
      </c>
      <c r="K204" s="21">
        <v>0.222717</v>
      </c>
      <c r="L204">
        <f t="shared" ref="L204:L267" si="36">-I204/$F$2*1000</f>
        <v>8.1719259259259255E-2</v>
      </c>
      <c r="M204">
        <f t="shared" ref="M204:M267" si="37">L204*G204</f>
        <v>1.8230177513333334E-2</v>
      </c>
      <c r="N204" s="9"/>
      <c r="O204" s="21">
        <v>0.87692300000000001</v>
      </c>
      <c r="P204" s="21">
        <v>9.5898299999999992</v>
      </c>
      <c r="Q204" s="24">
        <v>-3.4301799999999997E-5</v>
      </c>
      <c r="R204" s="21">
        <v>194</v>
      </c>
      <c r="S204" s="21">
        <v>0.87554900000000002</v>
      </c>
      <c r="T204">
        <f t="shared" ref="T204:T267" si="38">-Q204/$F$2*1000</f>
        <v>4.2347901234567893E-2</v>
      </c>
      <c r="U204">
        <f t="shared" ref="U204:U267" si="39">T204*O204</f>
        <v>3.713584859432098E-2</v>
      </c>
      <c r="X204" s="9"/>
      <c r="Y204" s="21">
        <v>0.223083</v>
      </c>
      <c r="Z204" s="21">
        <v>13.9503</v>
      </c>
      <c r="AA204" s="24">
        <v>-6.2286399999999994E-5</v>
      </c>
      <c r="AB204" s="21">
        <v>194</v>
      </c>
      <c r="AC204" s="21">
        <v>0.222717</v>
      </c>
      <c r="AD204">
        <f t="shared" ref="AD204:AD267" si="40">-AA204/$F$2*1000</f>
        <v>7.6896790123456779E-2</v>
      </c>
      <c r="AE204">
        <f t="shared" ref="AE204:AE267" si="41">AD204*Y204</f>
        <v>1.7154366631111109E-2</v>
      </c>
      <c r="AF204" s="9"/>
      <c r="AG204" s="21">
        <v>0.87692300000000001</v>
      </c>
      <c r="AH204" s="21">
        <v>16.571000000000002</v>
      </c>
      <c r="AI204" s="24">
        <v>-3.15247E-5</v>
      </c>
      <c r="AJ204" s="21">
        <v>194</v>
      </c>
      <c r="AK204" s="21">
        <v>0.87616000000000005</v>
      </c>
      <c r="AL204">
        <f t="shared" ref="AL204:AL267" si="42">-AI204/$F$2*1000</f>
        <v>3.8919382716049382E-2</v>
      </c>
      <c r="AM204">
        <f t="shared" ref="AM204:AM267" si="43">AL204*AG204</f>
        <v>3.4129301849506175E-2</v>
      </c>
      <c r="AP204" s="9"/>
      <c r="AQ204" s="21">
        <v>0.223083</v>
      </c>
      <c r="AR204" s="21">
        <v>20.8735</v>
      </c>
      <c r="AS204" s="24">
        <v>-6.00891E-5</v>
      </c>
      <c r="AT204" s="21">
        <v>194</v>
      </c>
      <c r="AU204" s="21">
        <v>0.222748</v>
      </c>
      <c r="AV204">
        <f t="shared" ref="AV204:AV267" si="44">-AS204/$F$2*1000</f>
        <v>7.4184074074074069E-2</v>
      </c>
      <c r="AW204">
        <f t="shared" ref="AW204:AW267" si="45">AV204*AQ204</f>
        <v>1.6549205796666664E-2</v>
      </c>
      <c r="AX204" s="9"/>
      <c r="AY204" s="21">
        <v>0.87692300000000001</v>
      </c>
      <c r="AZ204" s="21">
        <v>23.494199999999999</v>
      </c>
      <c r="BA204" s="24">
        <v>-3.0212399999999999E-5</v>
      </c>
      <c r="BB204" s="21">
        <v>194</v>
      </c>
      <c r="BC204" s="21">
        <v>0.87585400000000002</v>
      </c>
      <c r="BD204">
        <f t="shared" ref="BD204:BD267" si="46">-BA204/$F$2*1000</f>
        <v>3.7299259259259254E-2</v>
      </c>
      <c r="BE204">
        <f t="shared" ref="BE204:BE267" si="47">BD204*AY204</f>
        <v>3.2708578327407402E-2</v>
      </c>
      <c r="BH204" s="9"/>
      <c r="BI204" s="21"/>
      <c r="BJ204" s="21"/>
      <c r="BK204" s="21"/>
      <c r="BL204" s="21"/>
      <c r="BM204" s="21"/>
      <c r="BP204" s="9"/>
      <c r="BQ204" s="21"/>
      <c r="BR204" s="21"/>
      <c r="BS204" s="21"/>
      <c r="BT204" s="21"/>
      <c r="BU204" s="21"/>
      <c r="BZ204" s="9"/>
      <c r="CA204" s="21"/>
      <c r="CB204" s="21"/>
      <c r="CC204" s="21"/>
      <c r="CD204" s="21"/>
      <c r="CE204" s="21"/>
      <c r="CH204" s="9"/>
      <c r="CI204" s="21"/>
      <c r="CJ204" s="21"/>
      <c r="CK204" s="21"/>
      <c r="CL204" s="21"/>
      <c r="CM204" s="21"/>
      <c r="CR204" s="9"/>
      <c r="CS204" s="21"/>
      <c r="CT204" s="21"/>
      <c r="CU204" s="21"/>
      <c r="CV204" s="21"/>
      <c r="CW204" s="21"/>
      <c r="CZ204" s="9"/>
      <c r="DA204" s="21"/>
      <c r="DB204" s="21"/>
      <c r="DC204" s="21"/>
      <c r="DD204" s="21"/>
      <c r="DE204" s="21"/>
      <c r="DJ204" s="9"/>
      <c r="DK204" s="21"/>
      <c r="DL204" s="21"/>
      <c r="DM204" s="21"/>
      <c r="DN204" s="21"/>
      <c r="DO204" s="21"/>
      <c r="DR204" s="9"/>
      <c r="DS204" s="21"/>
      <c r="DT204" s="21"/>
      <c r="DU204" s="21"/>
      <c r="DV204" s="21"/>
      <c r="DW204" s="21"/>
      <c r="EB204" s="9"/>
      <c r="EC204" s="21"/>
      <c r="ED204" s="21"/>
      <c r="EE204" s="21"/>
      <c r="EF204" s="21"/>
      <c r="EG204" s="21"/>
      <c r="EJ204" s="9"/>
      <c r="EK204" s="21"/>
      <c r="EL204" s="21"/>
      <c r="EM204" s="21"/>
      <c r="EN204" s="21"/>
      <c r="EO204" s="21"/>
      <c r="ET204" s="21"/>
      <c r="EU204" s="21"/>
      <c r="EV204" s="21"/>
      <c r="EW204" s="21"/>
      <c r="EX204" s="21"/>
      <c r="FA204" s="9"/>
      <c r="FB204" s="21"/>
      <c r="FC204" s="21"/>
      <c r="FD204" s="21"/>
      <c r="FE204" s="21"/>
      <c r="FF204" s="21"/>
    </row>
    <row r="205" spans="6:162" x14ac:dyDescent="0.25">
      <c r="F205" s="9"/>
      <c r="G205" s="21">
        <v>0.21804799999999999</v>
      </c>
      <c r="H205" s="21">
        <v>6.9791600000000003</v>
      </c>
      <c r="I205" s="24">
        <v>-6.6345200000000003E-5</v>
      </c>
      <c r="J205" s="21">
        <v>195</v>
      </c>
      <c r="K205" s="21">
        <v>0.21771199999999999</v>
      </c>
      <c r="L205">
        <f t="shared" si="36"/>
        <v>8.190765432098765E-2</v>
      </c>
      <c r="M205">
        <f t="shared" si="37"/>
        <v>1.7859800209382715E-2</v>
      </c>
      <c r="N205" s="9"/>
      <c r="O205" s="21">
        <v>0.88195800000000002</v>
      </c>
      <c r="P205" s="21">
        <v>9.5998999999999999</v>
      </c>
      <c r="Q205" s="24">
        <v>-3.3996599999999999E-5</v>
      </c>
      <c r="R205" s="21">
        <v>195</v>
      </c>
      <c r="S205" s="21">
        <v>0.88104199999999999</v>
      </c>
      <c r="T205">
        <f t="shared" si="38"/>
        <v>4.1971111111111105E-2</v>
      </c>
      <c r="U205">
        <f t="shared" si="39"/>
        <v>3.7016757213333328E-2</v>
      </c>
      <c r="X205" s="9"/>
      <c r="Y205" s="21">
        <v>0.21804799999999999</v>
      </c>
      <c r="Z205" s="21">
        <v>13.9603</v>
      </c>
      <c r="AA205" s="24">
        <v>-6.2377899999999998E-5</v>
      </c>
      <c r="AB205" s="21">
        <v>195</v>
      </c>
      <c r="AC205" s="21">
        <v>0.21771199999999999</v>
      </c>
      <c r="AD205">
        <f t="shared" si="40"/>
        <v>7.7009753086419747E-2</v>
      </c>
      <c r="AE205">
        <f t="shared" si="41"/>
        <v>1.6791822640987653E-2</v>
      </c>
      <c r="AF205" s="9"/>
      <c r="AG205" s="21">
        <v>0.88195800000000002</v>
      </c>
      <c r="AH205" s="21">
        <v>16.581099999999999</v>
      </c>
      <c r="AI205" s="24">
        <v>-3.1372099999999997E-5</v>
      </c>
      <c r="AJ205" s="21">
        <v>195</v>
      </c>
      <c r="AK205" s="21">
        <v>0.88043199999999999</v>
      </c>
      <c r="AL205">
        <f t="shared" si="42"/>
        <v>3.8730987654320981E-2</v>
      </c>
      <c r="AM205">
        <f t="shared" si="43"/>
        <v>3.4159104409629625E-2</v>
      </c>
      <c r="AP205" s="9"/>
      <c r="AQ205" s="21">
        <v>0.21804799999999999</v>
      </c>
      <c r="AR205" s="21">
        <v>20.883500000000002</v>
      </c>
      <c r="AS205" s="24">
        <v>-6.0272200000000002E-5</v>
      </c>
      <c r="AT205" s="21">
        <v>195</v>
      </c>
      <c r="AU205" s="21">
        <v>0.21771199999999999</v>
      </c>
      <c r="AV205">
        <f t="shared" si="44"/>
        <v>7.4410123456790114E-2</v>
      </c>
      <c r="AW205">
        <f t="shared" si="45"/>
        <v>1.6224978599506171E-2</v>
      </c>
      <c r="AX205" s="9"/>
      <c r="AY205" s="21">
        <v>0.88195800000000002</v>
      </c>
      <c r="AZ205" s="21">
        <v>23.504300000000001</v>
      </c>
      <c r="BA205" s="24">
        <v>-2.9968299999999999E-5</v>
      </c>
      <c r="BB205" s="21">
        <v>195</v>
      </c>
      <c r="BC205" s="21">
        <v>0.88104199999999999</v>
      </c>
      <c r="BD205">
        <f t="shared" si="46"/>
        <v>3.6997901234567893E-2</v>
      </c>
      <c r="BE205">
        <f t="shared" si="47"/>
        <v>3.2630594977037033E-2</v>
      </c>
      <c r="BH205" s="9"/>
      <c r="BI205" s="21"/>
      <c r="BJ205" s="21"/>
      <c r="BK205" s="21"/>
      <c r="BL205" s="21"/>
      <c r="BM205" s="21"/>
      <c r="BP205" s="9"/>
      <c r="BQ205" s="21"/>
      <c r="BR205" s="21"/>
      <c r="BS205" s="21"/>
      <c r="BT205" s="21"/>
      <c r="BU205" s="21"/>
      <c r="BZ205" s="9"/>
      <c r="CA205" s="21"/>
      <c r="CB205" s="21"/>
      <c r="CC205" s="21"/>
      <c r="CD205" s="21"/>
      <c r="CE205" s="21"/>
      <c r="CH205" s="9"/>
      <c r="CI205" s="21"/>
      <c r="CJ205" s="21"/>
      <c r="CK205" s="21"/>
      <c r="CL205" s="21"/>
      <c r="CM205" s="21"/>
      <c r="CR205" s="9"/>
      <c r="CS205" s="21"/>
      <c r="CT205" s="21"/>
      <c r="CU205" s="21"/>
      <c r="CV205" s="21"/>
      <c r="CW205" s="21"/>
      <c r="CZ205" s="9"/>
      <c r="DA205" s="21"/>
      <c r="DB205" s="21"/>
      <c r="DC205" s="21"/>
      <c r="DD205" s="21"/>
      <c r="DE205" s="21"/>
      <c r="DJ205" s="9"/>
      <c r="DK205" s="21"/>
      <c r="DL205" s="21"/>
      <c r="DM205" s="21"/>
      <c r="DN205" s="21"/>
      <c r="DO205" s="21"/>
      <c r="DR205" s="9"/>
      <c r="DS205" s="21"/>
      <c r="DT205" s="21"/>
      <c r="DU205" s="21"/>
      <c r="DV205" s="21"/>
      <c r="DW205" s="21"/>
      <c r="EB205" s="9"/>
      <c r="EC205" s="21"/>
      <c r="ED205" s="21"/>
      <c r="EE205" s="21"/>
      <c r="EF205" s="21"/>
      <c r="EG205" s="21"/>
      <c r="EJ205" s="9"/>
      <c r="EK205" s="21"/>
      <c r="EL205" s="21"/>
      <c r="EM205" s="21"/>
      <c r="EN205" s="21"/>
      <c r="EO205" s="21"/>
      <c r="ET205" s="21"/>
      <c r="EU205" s="21"/>
      <c r="EV205" s="21"/>
      <c r="EW205" s="21"/>
      <c r="EX205" s="21"/>
      <c r="FA205" s="9"/>
      <c r="FB205" s="21"/>
      <c r="FC205" s="21"/>
      <c r="FD205" s="21"/>
      <c r="FE205" s="21"/>
      <c r="FF205" s="21"/>
    </row>
    <row r="206" spans="6:162" x14ac:dyDescent="0.25">
      <c r="F206" s="9"/>
      <c r="G206" s="21">
        <v>0.21301300000000001</v>
      </c>
      <c r="H206" s="21">
        <v>6.9892399999999997</v>
      </c>
      <c r="I206" s="24">
        <v>-6.6436800000000001E-5</v>
      </c>
      <c r="J206" s="21">
        <v>196</v>
      </c>
      <c r="K206" s="21">
        <v>0.21270800000000001</v>
      </c>
      <c r="L206">
        <f t="shared" si="36"/>
        <v>8.2020740740740741E-2</v>
      </c>
      <c r="M206">
        <f t="shared" si="37"/>
        <v>1.7471484047407407E-2</v>
      </c>
      <c r="N206" s="9"/>
      <c r="O206" s="21">
        <v>0.88699300000000003</v>
      </c>
      <c r="P206" s="21">
        <v>9.6099800000000002</v>
      </c>
      <c r="Q206" s="24">
        <v>-3.37219E-5</v>
      </c>
      <c r="R206" s="21">
        <v>196</v>
      </c>
      <c r="S206" s="21">
        <v>0.88622999999999996</v>
      </c>
      <c r="T206">
        <f t="shared" si="38"/>
        <v>4.1631975308641968E-2</v>
      </c>
      <c r="U206">
        <f t="shared" si="39"/>
        <v>3.6927270674938263E-2</v>
      </c>
      <c r="X206" s="9"/>
      <c r="Y206" s="21">
        <v>0.21301300000000001</v>
      </c>
      <c r="Z206" s="21">
        <v>13.9704</v>
      </c>
      <c r="AA206" s="24">
        <v>-6.2408400000000004E-5</v>
      </c>
      <c r="AB206" s="21">
        <v>196</v>
      </c>
      <c r="AC206" s="21">
        <v>0.21270800000000001</v>
      </c>
      <c r="AD206">
        <f t="shared" si="40"/>
        <v>7.7047407407407412E-2</v>
      </c>
      <c r="AE206">
        <f t="shared" si="41"/>
        <v>1.6412099394074075E-2</v>
      </c>
      <c r="AF206" s="9"/>
      <c r="AG206" s="21">
        <v>0.88699300000000003</v>
      </c>
      <c r="AH206" s="21">
        <v>16.591100000000001</v>
      </c>
      <c r="AI206" s="24">
        <v>-3.1097399999999998E-5</v>
      </c>
      <c r="AJ206" s="21">
        <v>196</v>
      </c>
      <c r="AK206" s="21">
        <v>0.88653599999999999</v>
      </c>
      <c r="AL206">
        <f t="shared" si="42"/>
        <v>3.8391851851851844E-2</v>
      </c>
      <c r="AM206">
        <f t="shared" si="43"/>
        <v>3.4053303849629624E-2</v>
      </c>
      <c r="AP206" s="9"/>
      <c r="AQ206" s="21">
        <v>0.21301300000000001</v>
      </c>
      <c r="AR206" s="21">
        <v>20.893599999999999</v>
      </c>
      <c r="AS206" s="24">
        <v>-6.0424799999999998E-5</v>
      </c>
      <c r="AT206" s="21">
        <v>196</v>
      </c>
      <c r="AU206" s="21">
        <v>0.21276900000000001</v>
      </c>
      <c r="AV206">
        <f t="shared" si="44"/>
        <v>7.4598518518518508E-2</v>
      </c>
      <c r="AW206">
        <f t="shared" si="45"/>
        <v>1.5890454225185185E-2</v>
      </c>
      <c r="AX206" s="9"/>
      <c r="AY206" s="21">
        <v>0.88699300000000003</v>
      </c>
      <c r="AZ206" s="21">
        <v>23.514299999999999</v>
      </c>
      <c r="BA206" s="24">
        <v>-2.9785200000000001E-5</v>
      </c>
      <c r="BB206" s="21">
        <v>196</v>
      </c>
      <c r="BC206" s="21">
        <v>0.88653599999999999</v>
      </c>
      <c r="BD206">
        <f t="shared" si="46"/>
        <v>3.6771851851851854E-2</v>
      </c>
      <c r="BE206">
        <f t="shared" si="47"/>
        <v>3.2616375189629634E-2</v>
      </c>
      <c r="BH206" s="9"/>
      <c r="BI206" s="21"/>
      <c r="BJ206" s="21"/>
      <c r="BK206" s="21"/>
      <c r="BL206" s="21"/>
      <c r="BM206" s="21"/>
      <c r="BP206" s="9"/>
      <c r="BQ206" s="21"/>
      <c r="BR206" s="21"/>
      <c r="BS206" s="21"/>
      <c r="BT206" s="21"/>
      <c r="BU206" s="21"/>
      <c r="BZ206" s="9"/>
      <c r="CA206" s="21"/>
      <c r="CB206" s="21"/>
      <c r="CC206" s="21"/>
      <c r="CD206" s="21"/>
      <c r="CE206" s="21"/>
      <c r="CH206" s="9"/>
      <c r="CI206" s="21"/>
      <c r="CJ206" s="21"/>
      <c r="CK206" s="21"/>
      <c r="CL206" s="21"/>
      <c r="CM206" s="21"/>
      <c r="CR206" s="9"/>
      <c r="CS206" s="21"/>
      <c r="CT206" s="21"/>
      <c r="CU206" s="21"/>
      <c r="CV206" s="21"/>
      <c r="CW206" s="21"/>
      <c r="CZ206" s="9"/>
      <c r="DA206" s="21"/>
      <c r="DB206" s="21"/>
      <c r="DC206" s="21"/>
      <c r="DD206" s="21"/>
      <c r="DE206" s="21"/>
      <c r="DJ206" s="9"/>
      <c r="DK206" s="21"/>
      <c r="DL206" s="21"/>
      <c r="DM206" s="21"/>
      <c r="DN206" s="21"/>
      <c r="DO206" s="21"/>
      <c r="DR206" s="9"/>
      <c r="DS206" s="21"/>
      <c r="DT206" s="21"/>
      <c r="DU206" s="21"/>
      <c r="DV206" s="21"/>
      <c r="DW206" s="21"/>
      <c r="EB206" s="9"/>
      <c r="EC206" s="21"/>
      <c r="ED206" s="21"/>
      <c r="EE206" s="21"/>
      <c r="EF206" s="21"/>
      <c r="EG206" s="21"/>
      <c r="EJ206" s="9"/>
      <c r="EK206" s="21"/>
      <c r="EL206" s="21"/>
      <c r="EM206" s="21"/>
      <c r="EN206" s="21"/>
      <c r="EO206" s="21"/>
      <c r="ET206" s="21"/>
      <c r="EU206" s="21"/>
      <c r="EV206" s="21"/>
      <c r="EW206" s="21"/>
      <c r="EX206" s="21"/>
      <c r="FA206" s="9"/>
      <c r="FB206" s="21"/>
      <c r="FC206" s="21"/>
      <c r="FD206" s="21"/>
      <c r="FE206" s="21"/>
      <c r="FF206" s="21"/>
    </row>
    <row r="207" spans="6:162" x14ac:dyDescent="0.25">
      <c r="F207" s="9"/>
      <c r="G207" s="21">
        <v>0.207977</v>
      </c>
      <c r="H207" s="21">
        <v>6.9993100000000004</v>
      </c>
      <c r="I207" s="24">
        <v>-6.6650399999999995E-5</v>
      </c>
      <c r="J207" s="21">
        <v>197</v>
      </c>
      <c r="K207" s="21">
        <v>0.207703</v>
      </c>
      <c r="L207">
        <f t="shared" si="36"/>
        <v>8.2284444444444438E-2</v>
      </c>
      <c r="M207">
        <f t="shared" si="37"/>
        <v>1.711327190222222E-2</v>
      </c>
      <c r="N207" s="9"/>
      <c r="O207" s="21">
        <v>0.89202899999999996</v>
      </c>
      <c r="P207" s="21">
        <v>9.6200500000000009</v>
      </c>
      <c r="Q207" s="24">
        <v>-3.3508299999999999E-5</v>
      </c>
      <c r="R207" s="21">
        <v>197</v>
      </c>
      <c r="S207" s="21">
        <v>0.89050300000000004</v>
      </c>
      <c r="T207">
        <f t="shared" si="38"/>
        <v>4.1368271604938271E-2</v>
      </c>
      <c r="U207">
        <f t="shared" si="39"/>
        <v>3.6901697951481481E-2</v>
      </c>
      <c r="X207" s="9"/>
      <c r="Y207" s="21">
        <v>0.207977</v>
      </c>
      <c r="Z207" s="21">
        <v>13.980499999999999</v>
      </c>
      <c r="AA207" s="24">
        <v>-6.2530499999999994E-5</v>
      </c>
      <c r="AB207" s="21">
        <v>197</v>
      </c>
      <c r="AC207" s="21">
        <v>0.207733</v>
      </c>
      <c r="AD207">
        <f t="shared" si="40"/>
        <v>7.7198148148148127E-2</v>
      </c>
      <c r="AE207">
        <f t="shared" si="41"/>
        <v>1.6055439257407402E-2</v>
      </c>
      <c r="AF207" s="9"/>
      <c r="AG207" s="21">
        <v>0.89202899999999996</v>
      </c>
      <c r="AH207" s="21">
        <v>16.601199999999999</v>
      </c>
      <c r="AI207" s="24">
        <v>-3.0883799999999997E-5</v>
      </c>
      <c r="AJ207" s="21">
        <v>197</v>
      </c>
      <c r="AK207" s="21">
        <v>0.89141800000000004</v>
      </c>
      <c r="AL207">
        <f t="shared" si="42"/>
        <v>3.812814814814814E-2</v>
      </c>
      <c r="AM207">
        <f t="shared" si="43"/>
        <v>3.4011413864444437E-2</v>
      </c>
      <c r="AP207" s="9"/>
      <c r="AQ207" s="21">
        <v>0.207977</v>
      </c>
      <c r="AR207" s="21">
        <v>20.903700000000001</v>
      </c>
      <c r="AS207" s="24">
        <v>-6.0638399999999999E-5</v>
      </c>
      <c r="AT207" s="21">
        <v>197</v>
      </c>
      <c r="AU207" s="21">
        <v>0.20764199999999999</v>
      </c>
      <c r="AV207">
        <f t="shared" si="44"/>
        <v>7.4862222222222219E-2</v>
      </c>
      <c r="AW207">
        <f t="shared" si="45"/>
        <v>1.556962039111111E-2</v>
      </c>
      <c r="AX207" s="9"/>
      <c r="AY207" s="21">
        <v>0.89202899999999996</v>
      </c>
      <c r="AZ207" s="21">
        <v>23.5244</v>
      </c>
      <c r="BA207" s="24">
        <v>-2.95715E-5</v>
      </c>
      <c r="BB207" s="21">
        <v>197</v>
      </c>
      <c r="BC207" s="21">
        <v>0.89172399999999996</v>
      </c>
      <c r="BD207">
        <f t="shared" si="46"/>
        <v>3.6508024691358026E-2</v>
      </c>
      <c r="BE207">
        <f t="shared" si="47"/>
        <v>3.256621675740741E-2</v>
      </c>
      <c r="BH207" s="9"/>
      <c r="BI207" s="21"/>
      <c r="BJ207" s="21"/>
      <c r="BK207" s="21"/>
      <c r="BL207" s="21"/>
      <c r="BM207" s="21"/>
      <c r="BP207" s="9"/>
      <c r="BQ207" s="21"/>
      <c r="BR207" s="21"/>
      <c r="BS207" s="21"/>
      <c r="BT207" s="21"/>
      <c r="BU207" s="21"/>
      <c r="BZ207" s="9"/>
      <c r="CA207" s="21"/>
      <c r="CB207" s="21"/>
      <c r="CC207" s="21"/>
      <c r="CD207" s="21"/>
      <c r="CE207" s="21"/>
      <c r="CH207" s="9"/>
      <c r="CI207" s="21"/>
      <c r="CJ207" s="21"/>
      <c r="CK207" s="21"/>
      <c r="CL207" s="21"/>
      <c r="CM207" s="21"/>
      <c r="CR207" s="9"/>
      <c r="CS207" s="21"/>
      <c r="CT207" s="21"/>
      <c r="CU207" s="21"/>
      <c r="CV207" s="21"/>
      <c r="CW207" s="21"/>
      <c r="CZ207" s="9"/>
      <c r="DA207" s="21"/>
      <c r="DB207" s="21"/>
      <c r="DC207" s="21"/>
      <c r="DD207" s="21"/>
      <c r="DE207" s="21"/>
      <c r="DJ207" s="9"/>
      <c r="DK207" s="21"/>
      <c r="DL207" s="21"/>
      <c r="DM207" s="21"/>
      <c r="DN207" s="21"/>
      <c r="DO207" s="21"/>
      <c r="DR207" s="9"/>
      <c r="DS207" s="21"/>
      <c r="DT207" s="21"/>
      <c r="DU207" s="21"/>
      <c r="DV207" s="21"/>
      <c r="DW207" s="21"/>
      <c r="EB207" s="9"/>
      <c r="EC207" s="21"/>
      <c r="ED207" s="21"/>
      <c r="EE207" s="21"/>
      <c r="EF207" s="21"/>
      <c r="EG207" s="21"/>
      <c r="EJ207" s="9"/>
      <c r="EK207" s="21"/>
      <c r="EL207" s="21"/>
      <c r="EM207" s="21"/>
      <c r="EN207" s="21"/>
      <c r="EO207" s="21"/>
      <c r="ET207" s="21"/>
      <c r="EU207" s="21"/>
      <c r="EV207" s="21"/>
      <c r="EW207" s="21"/>
      <c r="EX207" s="21"/>
      <c r="FA207" s="9"/>
      <c r="FB207" s="21"/>
      <c r="FC207" s="21"/>
      <c r="FD207" s="21"/>
      <c r="FE207" s="21"/>
      <c r="FF207" s="21"/>
    </row>
    <row r="208" spans="6:162" x14ac:dyDescent="0.25">
      <c r="F208" s="9"/>
      <c r="G208" s="21">
        <v>0.20294200000000001</v>
      </c>
      <c r="H208" s="21">
        <v>7.0093800000000002</v>
      </c>
      <c r="I208" s="24">
        <v>-6.69556E-5</v>
      </c>
      <c r="J208" s="21">
        <v>198</v>
      </c>
      <c r="K208" s="21">
        <v>0.20266700000000001</v>
      </c>
      <c r="L208">
        <f t="shared" si="36"/>
        <v>8.2661234567901226E-2</v>
      </c>
      <c r="M208">
        <f t="shared" si="37"/>
        <v>1.6775436265679011E-2</v>
      </c>
      <c r="N208" s="9"/>
      <c r="O208" s="21">
        <v>0.89706399999999997</v>
      </c>
      <c r="P208" s="21">
        <v>9.6301199999999998</v>
      </c>
      <c r="Q208" s="24">
        <v>-3.32336E-5</v>
      </c>
      <c r="R208" s="21">
        <v>198</v>
      </c>
      <c r="S208" s="21">
        <v>0.89569100000000001</v>
      </c>
      <c r="T208">
        <f t="shared" si="38"/>
        <v>4.1029135802469134E-2</v>
      </c>
      <c r="U208">
        <f t="shared" si="39"/>
        <v>3.6805760679506173E-2</v>
      </c>
      <c r="X208" s="9"/>
      <c r="Y208" s="21">
        <v>0.20294200000000001</v>
      </c>
      <c r="Z208" s="21">
        <v>13.990600000000001</v>
      </c>
      <c r="AA208" s="24">
        <v>-6.2744100000000001E-5</v>
      </c>
      <c r="AB208" s="21">
        <v>198</v>
      </c>
      <c r="AC208" s="21">
        <v>0.20263700000000001</v>
      </c>
      <c r="AD208">
        <f t="shared" si="40"/>
        <v>7.7461851851851837E-2</v>
      </c>
      <c r="AE208">
        <f t="shared" si="41"/>
        <v>1.5720263138518518E-2</v>
      </c>
      <c r="AF208" s="9"/>
      <c r="AG208" s="21">
        <v>0.89706399999999997</v>
      </c>
      <c r="AH208" s="21">
        <v>16.6113</v>
      </c>
      <c r="AI208" s="24">
        <v>-3.0700700000000002E-5</v>
      </c>
      <c r="AJ208" s="21">
        <v>198</v>
      </c>
      <c r="AK208" s="21">
        <v>0.89569100000000001</v>
      </c>
      <c r="AL208">
        <f t="shared" si="42"/>
        <v>3.7902098765432102E-2</v>
      </c>
      <c r="AM208">
        <f t="shared" si="43"/>
        <v>3.4000608326913581E-2</v>
      </c>
      <c r="AP208" s="9"/>
      <c r="AQ208" s="21">
        <v>0.20294200000000001</v>
      </c>
      <c r="AR208" s="21">
        <v>20.913699999999999</v>
      </c>
      <c r="AS208" s="24">
        <v>-6.0760500000000002E-5</v>
      </c>
      <c r="AT208" s="21">
        <v>198</v>
      </c>
      <c r="AU208" s="21">
        <v>0.20266700000000001</v>
      </c>
      <c r="AV208">
        <f t="shared" si="44"/>
        <v>7.5012962962962962E-2</v>
      </c>
      <c r="AW208">
        <f t="shared" si="45"/>
        <v>1.522328072962963E-2</v>
      </c>
      <c r="AX208" s="9"/>
      <c r="AY208" s="21">
        <v>0.89706399999999997</v>
      </c>
      <c r="AZ208" s="21">
        <v>23.534500000000001</v>
      </c>
      <c r="BA208" s="24">
        <v>-2.9357899999999999E-5</v>
      </c>
      <c r="BB208" s="21">
        <v>198</v>
      </c>
      <c r="BC208" s="21">
        <v>0.89599600000000001</v>
      </c>
      <c r="BD208">
        <f t="shared" si="46"/>
        <v>3.6244320987654316E-2</v>
      </c>
      <c r="BE208">
        <f t="shared" si="47"/>
        <v>3.2513475562469127E-2</v>
      </c>
      <c r="BH208" s="9"/>
      <c r="BI208" s="21"/>
      <c r="BJ208" s="21"/>
      <c r="BK208" s="21"/>
      <c r="BL208" s="21"/>
      <c r="BM208" s="21"/>
      <c r="BP208" s="9"/>
      <c r="BQ208" s="21"/>
      <c r="BR208" s="21"/>
      <c r="BS208" s="21"/>
      <c r="BT208" s="21"/>
      <c r="BU208" s="21"/>
      <c r="BZ208" s="9"/>
      <c r="CA208" s="21"/>
      <c r="CB208" s="21"/>
      <c r="CC208" s="21"/>
      <c r="CD208" s="21"/>
      <c r="CE208" s="21"/>
      <c r="CH208" s="9"/>
      <c r="CI208" s="21"/>
      <c r="CJ208" s="21"/>
      <c r="CK208" s="21"/>
      <c r="CL208" s="21"/>
      <c r="CM208" s="21"/>
      <c r="CR208" s="9"/>
      <c r="CS208" s="21"/>
      <c r="CT208" s="21"/>
      <c r="CU208" s="21"/>
      <c r="CV208" s="21"/>
      <c r="CW208" s="21"/>
      <c r="CZ208" s="9"/>
      <c r="DA208" s="21"/>
      <c r="DB208" s="21"/>
      <c r="DC208" s="21"/>
      <c r="DD208" s="21"/>
      <c r="DE208" s="21"/>
      <c r="DJ208" s="9"/>
      <c r="DK208" s="21"/>
      <c r="DL208" s="21"/>
      <c r="DM208" s="21"/>
      <c r="DN208" s="21"/>
      <c r="DO208" s="21"/>
      <c r="DR208" s="9"/>
      <c r="DS208" s="21"/>
      <c r="DT208" s="21"/>
      <c r="DU208" s="21"/>
      <c r="DV208" s="21"/>
      <c r="DW208" s="21"/>
      <c r="EB208" s="9"/>
      <c r="EC208" s="21"/>
      <c r="ED208" s="21"/>
      <c r="EE208" s="21"/>
      <c r="EF208" s="21"/>
      <c r="EG208" s="21"/>
      <c r="EJ208" s="9"/>
      <c r="EK208" s="21"/>
      <c r="EL208" s="21"/>
      <c r="EM208" s="21"/>
      <c r="EN208" s="21"/>
      <c r="EO208" s="21"/>
      <c r="ET208" s="21"/>
      <c r="EU208" s="21"/>
      <c r="EV208" s="21"/>
      <c r="EW208" s="21"/>
      <c r="EX208" s="21"/>
      <c r="FA208" s="9"/>
      <c r="FB208" s="21"/>
      <c r="FC208" s="21"/>
      <c r="FD208" s="21"/>
      <c r="FE208" s="21"/>
      <c r="FF208" s="21"/>
    </row>
    <row r="209" spans="6:162" x14ac:dyDescent="0.25">
      <c r="F209" s="9"/>
      <c r="G209" s="21">
        <v>0.197906</v>
      </c>
      <c r="H209" s="21">
        <v>7.01945</v>
      </c>
      <c r="I209" s="24">
        <v>-6.7016599999999998E-5</v>
      </c>
      <c r="J209" s="21">
        <v>199</v>
      </c>
      <c r="K209" s="21">
        <v>0.197632</v>
      </c>
      <c r="L209">
        <f t="shared" si="36"/>
        <v>8.2736543209876542E-2</v>
      </c>
      <c r="M209">
        <f t="shared" si="37"/>
        <v>1.6374058320493826E-2</v>
      </c>
      <c r="N209" s="9"/>
      <c r="O209" s="21">
        <v>0.90210000000000001</v>
      </c>
      <c r="P209" s="21">
        <v>9.6401900000000005</v>
      </c>
      <c r="Q209" s="24">
        <v>-3.3019999999999999E-5</v>
      </c>
      <c r="R209" s="21">
        <v>199</v>
      </c>
      <c r="S209" s="21">
        <v>0.90118399999999999</v>
      </c>
      <c r="T209">
        <f t="shared" si="38"/>
        <v>4.0765432098765424E-2</v>
      </c>
      <c r="U209">
        <f t="shared" si="39"/>
        <v>3.677449629629629E-2</v>
      </c>
      <c r="X209" s="9"/>
      <c r="Y209" s="21">
        <v>0.197906</v>
      </c>
      <c r="Z209" s="21">
        <v>14.0006</v>
      </c>
      <c r="AA209" s="24">
        <v>-6.2957800000000002E-5</v>
      </c>
      <c r="AB209" s="21">
        <v>199</v>
      </c>
      <c r="AC209" s="21">
        <v>0.197662</v>
      </c>
      <c r="AD209">
        <f t="shared" si="40"/>
        <v>7.7725679012345672E-2</v>
      </c>
      <c r="AE209">
        <f t="shared" si="41"/>
        <v>1.5382378230617283E-2</v>
      </c>
      <c r="AF209" s="9"/>
      <c r="AG209" s="21">
        <v>0.90210000000000001</v>
      </c>
      <c r="AH209" s="21">
        <v>16.621400000000001</v>
      </c>
      <c r="AI209" s="24">
        <v>-3.0456499999999999E-5</v>
      </c>
      <c r="AJ209" s="21">
        <v>199</v>
      </c>
      <c r="AK209" s="21">
        <v>0.90087899999999999</v>
      </c>
      <c r="AL209">
        <f t="shared" si="42"/>
        <v>3.7600617283950609E-2</v>
      </c>
      <c r="AM209">
        <f t="shared" si="43"/>
        <v>3.3919516851851843E-2</v>
      </c>
      <c r="AP209" s="9"/>
      <c r="AQ209" s="21">
        <v>0.197906</v>
      </c>
      <c r="AR209" s="21">
        <v>20.9238</v>
      </c>
      <c r="AS209" s="24">
        <v>-6.0913099999999998E-5</v>
      </c>
      <c r="AT209" s="21">
        <v>199</v>
      </c>
      <c r="AU209" s="21">
        <v>0.197632</v>
      </c>
      <c r="AV209">
        <f t="shared" si="44"/>
        <v>7.5201358024691356E-2</v>
      </c>
      <c r="AW209">
        <f t="shared" si="45"/>
        <v>1.4882799961234568E-2</v>
      </c>
      <c r="AX209" s="9"/>
      <c r="AY209" s="21">
        <v>0.90210000000000001</v>
      </c>
      <c r="AZ209" s="21">
        <v>23.544499999999999</v>
      </c>
      <c r="BA209" s="24">
        <v>-2.9113799999999999E-5</v>
      </c>
      <c r="BB209" s="21">
        <v>199</v>
      </c>
      <c r="BC209" s="21">
        <v>0.90118399999999999</v>
      </c>
      <c r="BD209">
        <f t="shared" si="46"/>
        <v>3.5942962962962961E-2</v>
      </c>
      <c r="BE209">
        <f t="shared" si="47"/>
        <v>3.2424146888888887E-2</v>
      </c>
      <c r="BH209" s="9"/>
      <c r="BI209" s="21"/>
      <c r="BJ209" s="21"/>
      <c r="BK209" s="21"/>
      <c r="BL209" s="21"/>
      <c r="BM209" s="21"/>
      <c r="BP209" s="9"/>
      <c r="BQ209" s="21"/>
      <c r="BR209" s="21"/>
      <c r="BS209" s="21"/>
      <c r="BT209" s="21"/>
      <c r="BU209" s="21"/>
      <c r="BZ209" s="9"/>
      <c r="CA209" s="21"/>
      <c r="CB209" s="21"/>
      <c r="CC209" s="21"/>
      <c r="CD209" s="21"/>
      <c r="CE209" s="21"/>
      <c r="CH209" s="9"/>
      <c r="CI209" s="21"/>
      <c r="CJ209" s="21"/>
      <c r="CK209" s="21"/>
      <c r="CL209" s="21"/>
      <c r="CM209" s="21"/>
      <c r="CR209" s="9"/>
      <c r="CS209" s="21"/>
      <c r="CT209" s="21"/>
      <c r="CU209" s="21"/>
      <c r="CV209" s="21"/>
      <c r="CW209" s="21"/>
      <c r="CZ209" s="9"/>
      <c r="DA209" s="21"/>
      <c r="DB209" s="21"/>
      <c r="DC209" s="21"/>
      <c r="DD209" s="21"/>
      <c r="DE209" s="21"/>
      <c r="DJ209" s="9"/>
      <c r="DK209" s="21"/>
      <c r="DL209" s="21"/>
      <c r="DM209" s="21"/>
      <c r="DN209" s="21"/>
      <c r="DO209" s="21"/>
      <c r="DR209" s="9"/>
      <c r="DS209" s="21"/>
      <c r="DT209" s="21"/>
      <c r="DU209" s="21"/>
      <c r="DV209" s="21"/>
      <c r="DW209" s="21"/>
      <c r="EB209" s="9"/>
      <c r="EC209" s="21"/>
      <c r="ED209" s="21"/>
      <c r="EE209" s="21"/>
      <c r="EF209" s="21"/>
      <c r="EG209" s="21"/>
      <c r="EJ209" s="9"/>
      <c r="EK209" s="21"/>
      <c r="EL209" s="21"/>
      <c r="EM209" s="21"/>
      <c r="EN209" s="21"/>
      <c r="EO209" s="21"/>
      <c r="ET209" s="21"/>
      <c r="EU209" s="21"/>
      <c r="EV209" s="21"/>
      <c r="EW209" s="21"/>
      <c r="EX209" s="21"/>
      <c r="FA209" s="9"/>
      <c r="FB209" s="21"/>
      <c r="FC209" s="21"/>
      <c r="FD209" s="21"/>
      <c r="FE209" s="21"/>
      <c r="FF209" s="21"/>
    </row>
    <row r="210" spans="6:162" x14ac:dyDescent="0.25">
      <c r="F210" s="9"/>
      <c r="G210" s="21">
        <v>0.19287099999999999</v>
      </c>
      <c r="H210" s="21">
        <v>7.0295199999999998</v>
      </c>
      <c r="I210" s="24">
        <v>-6.7108199999999996E-5</v>
      </c>
      <c r="J210" s="21">
        <v>200</v>
      </c>
      <c r="K210" s="21">
        <v>0.19253500000000001</v>
      </c>
      <c r="L210">
        <f t="shared" si="36"/>
        <v>8.284962962962962E-2</v>
      </c>
      <c r="M210">
        <f t="shared" si="37"/>
        <v>1.5979290916296292E-2</v>
      </c>
      <c r="N210" s="9"/>
      <c r="O210" s="21">
        <v>0.90713500000000002</v>
      </c>
      <c r="P210" s="21">
        <v>9.6502599999999994</v>
      </c>
      <c r="Q210" s="24">
        <v>-3.2928500000000002E-5</v>
      </c>
      <c r="R210" s="21">
        <v>200</v>
      </c>
      <c r="S210" s="21">
        <v>0.90606699999999996</v>
      </c>
      <c r="T210">
        <f t="shared" si="38"/>
        <v>4.065246913580247E-2</v>
      </c>
      <c r="U210">
        <f t="shared" si="39"/>
        <v>3.6877277589506173E-2</v>
      </c>
      <c r="X210" s="9"/>
      <c r="Y210" s="21">
        <v>0.19287099999999999</v>
      </c>
      <c r="Z210" s="21">
        <v>14.0107</v>
      </c>
      <c r="AA210" s="24">
        <v>-6.3140900000000004E-5</v>
      </c>
      <c r="AB210" s="21">
        <v>200</v>
      </c>
      <c r="AC210" s="21">
        <v>0.19256599999999999</v>
      </c>
      <c r="AD210">
        <f t="shared" si="40"/>
        <v>7.7951728395061731E-2</v>
      </c>
      <c r="AE210">
        <f t="shared" si="41"/>
        <v>1.503462780728395E-2</v>
      </c>
      <c r="AF210" s="9"/>
      <c r="AG210" s="21">
        <v>0.90713500000000002</v>
      </c>
      <c r="AH210" s="21">
        <v>16.631399999999999</v>
      </c>
      <c r="AI210" s="24">
        <v>-3.0212399999999999E-5</v>
      </c>
      <c r="AJ210" s="21">
        <v>200</v>
      </c>
      <c r="AK210" s="21">
        <v>0.90667699999999996</v>
      </c>
      <c r="AL210">
        <f t="shared" si="42"/>
        <v>3.7299259259259254E-2</v>
      </c>
      <c r="AM210">
        <f t="shared" si="43"/>
        <v>3.3835463548148141E-2</v>
      </c>
      <c r="AP210" s="9"/>
      <c r="AQ210" s="21">
        <v>0.19287099999999999</v>
      </c>
      <c r="AR210" s="21">
        <v>20.933900000000001</v>
      </c>
      <c r="AS210" s="24">
        <v>-6.10962E-5</v>
      </c>
      <c r="AT210" s="21">
        <v>200</v>
      </c>
      <c r="AU210" s="21">
        <v>0.19253500000000001</v>
      </c>
      <c r="AV210">
        <f t="shared" si="44"/>
        <v>7.5427407407407401E-2</v>
      </c>
      <c r="AW210">
        <f t="shared" si="45"/>
        <v>1.4547759494074072E-2</v>
      </c>
      <c r="AX210" s="9"/>
      <c r="AY210" s="21">
        <v>0.90713500000000002</v>
      </c>
      <c r="AZ210" s="21">
        <v>23.554600000000001</v>
      </c>
      <c r="BA210" s="24">
        <v>-2.8869599999999999E-5</v>
      </c>
      <c r="BB210" s="21">
        <v>200</v>
      </c>
      <c r="BC210" s="21">
        <v>0.90637199999999996</v>
      </c>
      <c r="BD210">
        <f t="shared" si="46"/>
        <v>3.5641481481481475E-2</v>
      </c>
      <c r="BE210">
        <f t="shared" si="47"/>
        <v>3.2331635303703699E-2</v>
      </c>
      <c r="BH210" s="9"/>
      <c r="BI210" s="21"/>
      <c r="BJ210" s="21"/>
      <c r="BK210" s="21"/>
      <c r="BL210" s="21"/>
      <c r="BM210" s="21"/>
      <c r="BP210" s="9"/>
      <c r="BQ210" s="21"/>
      <c r="BR210" s="21"/>
      <c r="BS210" s="21"/>
      <c r="BT210" s="21"/>
      <c r="BU210" s="21"/>
      <c r="BZ210" s="9"/>
      <c r="CA210" s="21"/>
      <c r="CB210" s="21"/>
      <c r="CC210" s="21"/>
      <c r="CD210" s="21"/>
      <c r="CE210" s="21"/>
      <c r="CH210" s="9"/>
      <c r="CI210" s="21"/>
      <c r="CJ210" s="21"/>
      <c r="CK210" s="21"/>
      <c r="CL210" s="21"/>
      <c r="CM210" s="21"/>
      <c r="CR210" s="9"/>
      <c r="CS210" s="21"/>
      <c r="CT210" s="21"/>
      <c r="CU210" s="21"/>
      <c r="CV210" s="21"/>
      <c r="CW210" s="21"/>
      <c r="CZ210" s="9"/>
      <c r="DA210" s="21"/>
      <c r="DB210" s="21"/>
      <c r="DC210" s="21"/>
      <c r="DD210" s="21"/>
      <c r="DE210" s="21"/>
      <c r="DJ210" s="9"/>
      <c r="DK210" s="21"/>
      <c r="DL210" s="21"/>
      <c r="DM210" s="21"/>
      <c r="DN210" s="21"/>
      <c r="DO210" s="21"/>
      <c r="DR210" s="9"/>
      <c r="DS210" s="21"/>
      <c r="DT210" s="21"/>
      <c r="DU210" s="21"/>
      <c r="DV210" s="21"/>
      <c r="DW210" s="21"/>
      <c r="EB210" s="9"/>
      <c r="EC210" s="21"/>
      <c r="ED210" s="21"/>
      <c r="EE210" s="21"/>
      <c r="EF210" s="21"/>
      <c r="EG210" s="21"/>
      <c r="EJ210" s="9"/>
      <c r="EK210" s="21"/>
      <c r="EL210" s="21"/>
      <c r="EM210" s="21"/>
      <c r="EN210" s="21"/>
      <c r="EO210" s="21"/>
      <c r="ET210" s="21"/>
      <c r="EU210" s="21"/>
      <c r="EV210" s="21"/>
      <c r="EW210" s="21"/>
      <c r="EX210" s="21"/>
      <c r="FA210" s="9"/>
      <c r="FB210" s="21"/>
      <c r="FC210" s="21"/>
      <c r="FD210" s="21"/>
      <c r="FE210" s="21"/>
      <c r="FF210" s="21"/>
    </row>
    <row r="211" spans="6:162" x14ac:dyDescent="0.25">
      <c r="F211" s="9"/>
      <c r="G211" s="21">
        <v>0.187836</v>
      </c>
      <c r="H211" s="21">
        <v>7.0395899999999996</v>
      </c>
      <c r="I211" s="24">
        <v>-6.7291299999999997E-5</v>
      </c>
      <c r="J211" s="21">
        <v>201</v>
      </c>
      <c r="K211" s="21">
        <v>0.187469</v>
      </c>
      <c r="L211">
        <f t="shared" si="36"/>
        <v>8.3075679012345666E-2</v>
      </c>
      <c r="M211">
        <f t="shared" si="37"/>
        <v>1.560460324296296E-2</v>
      </c>
      <c r="N211" s="9"/>
      <c r="O211" s="21">
        <v>0.91217000000000004</v>
      </c>
      <c r="P211" s="21">
        <v>9.6603300000000001</v>
      </c>
      <c r="Q211" s="24">
        <v>-3.2714800000000001E-5</v>
      </c>
      <c r="R211" s="21">
        <v>201</v>
      </c>
      <c r="S211" s="21">
        <v>0.91217000000000004</v>
      </c>
      <c r="T211">
        <f t="shared" si="38"/>
        <v>4.0388641975308642E-2</v>
      </c>
      <c r="U211">
        <f t="shared" si="39"/>
        <v>3.6841307550617285E-2</v>
      </c>
      <c r="X211" s="9"/>
      <c r="Y211" s="21">
        <v>0.187836</v>
      </c>
      <c r="Z211" s="21">
        <v>14.020799999999999</v>
      </c>
      <c r="AA211" s="24">
        <v>-6.3354499999999998E-5</v>
      </c>
      <c r="AB211" s="21">
        <v>201</v>
      </c>
      <c r="AC211" s="21">
        <v>0.18759200000000001</v>
      </c>
      <c r="AD211">
        <f t="shared" si="40"/>
        <v>7.8215432098765428E-2</v>
      </c>
      <c r="AE211">
        <f t="shared" si="41"/>
        <v>1.4691673903703703E-2</v>
      </c>
      <c r="AF211" s="9"/>
      <c r="AG211" s="21">
        <v>0.91217000000000004</v>
      </c>
      <c r="AH211" s="21">
        <v>16.641500000000001</v>
      </c>
      <c r="AI211" s="24">
        <v>-3.00598E-5</v>
      </c>
      <c r="AJ211" s="21">
        <v>201</v>
      </c>
      <c r="AK211" s="21">
        <v>0.91156000000000004</v>
      </c>
      <c r="AL211">
        <f t="shared" si="42"/>
        <v>3.711086419753086E-2</v>
      </c>
      <c r="AM211">
        <f t="shared" si="43"/>
        <v>3.3851416995061723E-2</v>
      </c>
      <c r="AP211" s="9"/>
      <c r="AQ211" s="21">
        <v>0.187836</v>
      </c>
      <c r="AR211" s="21">
        <v>20.943899999999999</v>
      </c>
      <c r="AS211" s="24">
        <v>-6.13403E-5</v>
      </c>
      <c r="AT211" s="21">
        <v>201</v>
      </c>
      <c r="AU211" s="21">
        <v>0.187531</v>
      </c>
      <c r="AV211">
        <f t="shared" si="44"/>
        <v>7.5728765432098763E-2</v>
      </c>
      <c r="AW211">
        <f t="shared" si="45"/>
        <v>1.4224588383703704E-2</v>
      </c>
      <c r="AX211" s="9"/>
      <c r="AY211" s="21">
        <v>0.91217000000000004</v>
      </c>
      <c r="AZ211" s="21">
        <v>23.564699999999998</v>
      </c>
      <c r="BA211" s="24">
        <v>-2.8625499999999999E-5</v>
      </c>
      <c r="BB211" s="21">
        <v>201</v>
      </c>
      <c r="BC211" s="21">
        <v>0.91156000000000004</v>
      </c>
      <c r="BD211">
        <f t="shared" si="46"/>
        <v>3.5340123456790114E-2</v>
      </c>
      <c r="BE211">
        <f t="shared" si="47"/>
        <v>3.2236200413580239E-2</v>
      </c>
      <c r="BH211" s="9"/>
      <c r="BI211" s="21"/>
      <c r="BJ211" s="21"/>
      <c r="BK211" s="21"/>
      <c r="BL211" s="21"/>
      <c r="BM211" s="21"/>
      <c r="BP211" s="9"/>
      <c r="BQ211" s="21"/>
      <c r="BR211" s="21"/>
      <c r="BS211" s="21"/>
      <c r="BT211" s="21"/>
      <c r="BU211" s="21"/>
      <c r="BZ211" s="9"/>
      <c r="CA211" s="21"/>
      <c r="CB211" s="21"/>
      <c r="CC211" s="21"/>
      <c r="CD211" s="21"/>
      <c r="CE211" s="21"/>
      <c r="CH211" s="9"/>
      <c r="CI211" s="21"/>
      <c r="CJ211" s="21"/>
      <c r="CK211" s="21"/>
      <c r="CL211" s="21"/>
      <c r="CM211" s="21"/>
      <c r="CR211" s="9"/>
      <c r="CS211" s="21"/>
      <c r="CT211" s="21"/>
      <c r="CU211" s="21"/>
      <c r="CV211" s="21"/>
      <c r="CW211" s="21"/>
      <c r="CZ211" s="9"/>
      <c r="DA211" s="21"/>
      <c r="DB211" s="21"/>
      <c r="DC211" s="21"/>
      <c r="DD211" s="21"/>
      <c r="DE211" s="21"/>
      <c r="DJ211" s="9"/>
      <c r="DK211" s="21"/>
      <c r="DL211" s="21"/>
      <c r="DM211" s="21"/>
      <c r="DN211" s="21"/>
      <c r="DO211" s="21"/>
      <c r="DR211" s="9"/>
      <c r="DS211" s="21"/>
      <c r="DT211" s="21"/>
      <c r="DU211" s="21"/>
      <c r="DV211" s="21"/>
      <c r="DW211" s="21"/>
      <c r="EB211" s="9"/>
      <c r="EC211" s="21"/>
      <c r="ED211" s="21"/>
      <c r="EE211" s="21"/>
      <c r="EF211" s="21"/>
      <c r="EG211" s="21"/>
      <c r="EJ211" s="9"/>
      <c r="EK211" s="21"/>
      <c r="EL211" s="21"/>
      <c r="EM211" s="21"/>
      <c r="EN211" s="21"/>
      <c r="EO211" s="21"/>
      <c r="ET211" s="21"/>
      <c r="EU211" s="21"/>
      <c r="EV211" s="21"/>
      <c r="EW211" s="21"/>
      <c r="EX211" s="21"/>
      <c r="FA211" s="9"/>
      <c r="FB211" s="21"/>
      <c r="FC211" s="21"/>
      <c r="FD211" s="21"/>
      <c r="FE211" s="21"/>
      <c r="FF211" s="21"/>
    </row>
    <row r="212" spans="6:162" x14ac:dyDescent="0.25">
      <c r="F212" s="9"/>
      <c r="G212" s="21">
        <v>0.18279999999999999</v>
      </c>
      <c r="H212" s="21">
        <v>7.0496600000000003</v>
      </c>
      <c r="I212" s="24">
        <v>-6.74438E-5</v>
      </c>
      <c r="J212" s="21">
        <v>202</v>
      </c>
      <c r="K212" s="21">
        <v>0.18249499999999999</v>
      </c>
      <c r="L212">
        <f t="shared" si="36"/>
        <v>8.3263950617283936E-2</v>
      </c>
      <c r="M212">
        <f t="shared" si="37"/>
        <v>1.5220650172839502E-2</v>
      </c>
      <c r="N212" s="9"/>
      <c r="O212" s="21">
        <v>0.91720599999999997</v>
      </c>
      <c r="P212" s="21">
        <v>9.6704000000000008</v>
      </c>
      <c r="Q212" s="24">
        <v>-3.2470700000000001E-5</v>
      </c>
      <c r="R212" s="21">
        <v>202</v>
      </c>
      <c r="S212" s="21">
        <v>0.91705300000000001</v>
      </c>
      <c r="T212">
        <f t="shared" si="38"/>
        <v>4.0087283950617281E-2</v>
      </c>
      <c r="U212">
        <f t="shared" si="39"/>
        <v>3.676829736320987E-2</v>
      </c>
      <c r="X212" s="9"/>
      <c r="Y212" s="21">
        <v>0.18279999999999999</v>
      </c>
      <c r="Z212" s="21">
        <v>14.030799999999999</v>
      </c>
      <c r="AA212" s="24">
        <v>-6.3507099999999994E-5</v>
      </c>
      <c r="AB212" s="21">
        <v>202</v>
      </c>
      <c r="AC212" s="21">
        <v>0.182556</v>
      </c>
      <c r="AD212">
        <f t="shared" si="40"/>
        <v>7.8403827160493808E-2</v>
      </c>
      <c r="AE212">
        <f t="shared" si="41"/>
        <v>1.4332219604938268E-2</v>
      </c>
      <c r="AF212" s="9"/>
      <c r="AG212" s="21">
        <v>0.91720599999999997</v>
      </c>
      <c r="AH212" s="21">
        <v>16.651599999999998</v>
      </c>
      <c r="AI212" s="24">
        <v>-2.9754600000000001E-5</v>
      </c>
      <c r="AJ212" s="21">
        <v>202</v>
      </c>
      <c r="AK212" s="21">
        <v>0.91705300000000001</v>
      </c>
      <c r="AL212">
        <f t="shared" si="42"/>
        <v>3.6734074074074072E-2</v>
      </c>
      <c r="AM212">
        <f t="shared" si="43"/>
        <v>3.3692713145185182E-2</v>
      </c>
      <c r="AP212" s="9"/>
      <c r="AQ212" s="21">
        <v>0.18279999999999999</v>
      </c>
      <c r="AR212" s="21">
        <v>20.954000000000001</v>
      </c>
      <c r="AS212" s="24">
        <v>-6.13403E-5</v>
      </c>
      <c r="AT212" s="21">
        <v>202</v>
      </c>
      <c r="AU212" s="21">
        <v>0.18246499999999999</v>
      </c>
      <c r="AV212">
        <f t="shared" si="44"/>
        <v>7.5728765432098763E-2</v>
      </c>
      <c r="AW212">
        <f t="shared" si="45"/>
        <v>1.3843218320987652E-2</v>
      </c>
      <c r="AX212" s="9"/>
      <c r="AY212" s="21">
        <v>0.91720599999999997</v>
      </c>
      <c r="AZ212" s="21">
        <v>23.5748</v>
      </c>
      <c r="BA212" s="24">
        <v>-2.8442400000000001E-5</v>
      </c>
      <c r="BB212" s="21">
        <v>202</v>
      </c>
      <c r="BC212" s="21">
        <v>0.91674800000000001</v>
      </c>
      <c r="BD212">
        <f t="shared" si="46"/>
        <v>3.5114074074074075E-2</v>
      </c>
      <c r="BE212">
        <f t="shared" si="47"/>
        <v>3.2206839425185187E-2</v>
      </c>
      <c r="BH212" s="9"/>
      <c r="BI212" s="21"/>
      <c r="BJ212" s="21"/>
      <c r="BK212" s="21"/>
      <c r="BL212" s="21"/>
      <c r="BM212" s="21"/>
      <c r="BP212" s="9"/>
      <c r="BQ212" s="21"/>
      <c r="BR212" s="21"/>
      <c r="BS212" s="21"/>
      <c r="BT212" s="21"/>
      <c r="BU212" s="21"/>
      <c r="BZ212" s="9"/>
      <c r="CA212" s="21"/>
      <c r="CB212" s="21"/>
      <c r="CC212" s="21"/>
      <c r="CD212" s="21"/>
      <c r="CE212" s="21"/>
      <c r="CH212" s="9"/>
      <c r="CI212" s="21"/>
      <c r="CJ212" s="21"/>
      <c r="CK212" s="21"/>
      <c r="CL212" s="21"/>
      <c r="CM212" s="21"/>
      <c r="CR212" s="9"/>
      <c r="CS212" s="21"/>
      <c r="CT212" s="21"/>
      <c r="CU212" s="21"/>
      <c r="CV212" s="21"/>
      <c r="CW212" s="21"/>
      <c r="CZ212" s="9"/>
      <c r="DA212" s="21"/>
      <c r="DB212" s="21"/>
      <c r="DC212" s="21"/>
      <c r="DD212" s="21"/>
      <c r="DE212" s="21"/>
      <c r="DJ212" s="9"/>
      <c r="DK212" s="21"/>
      <c r="DL212" s="21"/>
      <c r="DM212" s="21"/>
      <c r="DN212" s="21"/>
      <c r="DO212" s="21"/>
      <c r="DR212" s="9"/>
      <c r="DS212" s="21"/>
      <c r="DT212" s="21"/>
      <c r="DU212" s="21"/>
      <c r="DV212" s="21"/>
      <c r="DW212" s="21"/>
      <c r="EB212" s="9"/>
      <c r="EC212" s="21"/>
      <c r="ED212" s="21"/>
      <c r="EE212" s="21"/>
      <c r="EF212" s="21"/>
      <c r="EG212" s="21"/>
      <c r="EJ212" s="9"/>
      <c r="EK212" s="21"/>
      <c r="EL212" s="21"/>
      <c r="EM212" s="21"/>
      <c r="EN212" s="21"/>
      <c r="EO212" s="21"/>
      <c r="ET212" s="21"/>
      <c r="EU212" s="21"/>
      <c r="EV212" s="21"/>
      <c r="EW212" s="21"/>
      <c r="EX212" s="21"/>
      <c r="FA212" s="9"/>
      <c r="FB212" s="21"/>
      <c r="FC212" s="21"/>
      <c r="FD212" s="21"/>
      <c r="FE212" s="21"/>
      <c r="FF212" s="21"/>
    </row>
    <row r="213" spans="6:162" x14ac:dyDescent="0.25">
      <c r="F213" s="9"/>
      <c r="G213" s="21">
        <v>0.17776500000000001</v>
      </c>
      <c r="H213" s="21">
        <v>7.0597300000000001</v>
      </c>
      <c r="I213" s="24">
        <v>-6.7626999999999995E-5</v>
      </c>
      <c r="J213" s="21">
        <v>203</v>
      </c>
      <c r="K213" s="21">
        <v>0.17749000000000001</v>
      </c>
      <c r="L213">
        <f t="shared" si="36"/>
        <v>8.3490123456790105E-2</v>
      </c>
      <c r="M213">
        <f t="shared" si="37"/>
        <v>1.4841621796296294E-2</v>
      </c>
      <c r="N213" s="9"/>
      <c r="O213" s="21">
        <v>0.92224099999999998</v>
      </c>
      <c r="P213" s="21">
        <v>9.6804699999999997</v>
      </c>
      <c r="Q213" s="24">
        <v>-3.22571E-5</v>
      </c>
      <c r="R213" s="21">
        <v>203</v>
      </c>
      <c r="S213" s="21">
        <v>0.92132599999999998</v>
      </c>
      <c r="T213">
        <f t="shared" si="38"/>
        <v>3.9823580246913577E-2</v>
      </c>
      <c r="U213">
        <f t="shared" si="39"/>
        <v>3.6726938470493825E-2</v>
      </c>
      <c r="X213" s="9"/>
      <c r="Y213" s="21">
        <v>0.17776500000000001</v>
      </c>
      <c r="Z213" s="21">
        <v>14.040900000000001</v>
      </c>
      <c r="AA213" s="24">
        <v>-6.3720700000000001E-5</v>
      </c>
      <c r="AB213" s="21">
        <v>203</v>
      </c>
      <c r="AC213" s="21">
        <v>0.17749000000000001</v>
      </c>
      <c r="AD213">
        <f t="shared" si="40"/>
        <v>7.8667530864197532E-2</v>
      </c>
      <c r="AE213">
        <f t="shared" si="41"/>
        <v>1.3984333624074075E-2</v>
      </c>
      <c r="AF213" s="9"/>
      <c r="AG213" s="21">
        <v>0.92224099999999998</v>
      </c>
      <c r="AH213" s="21">
        <v>16.6616</v>
      </c>
      <c r="AI213" s="24">
        <v>-2.95715E-5</v>
      </c>
      <c r="AJ213" s="21">
        <v>203</v>
      </c>
      <c r="AK213" s="21">
        <v>0.92132599999999998</v>
      </c>
      <c r="AL213">
        <f t="shared" si="42"/>
        <v>3.6508024691358026E-2</v>
      </c>
      <c r="AM213">
        <f t="shared" si="43"/>
        <v>3.3669197199382717E-2</v>
      </c>
      <c r="AP213" s="9"/>
      <c r="AQ213" s="21">
        <v>0.17776500000000001</v>
      </c>
      <c r="AR213" s="21">
        <v>20.964099999999998</v>
      </c>
      <c r="AS213" s="24">
        <v>-6.1401400000000005E-5</v>
      </c>
      <c r="AT213" s="21">
        <v>203</v>
      </c>
      <c r="AU213" s="21">
        <v>0.17746000000000001</v>
      </c>
      <c r="AV213">
        <f t="shared" si="44"/>
        <v>7.5804197530864204E-2</v>
      </c>
      <c r="AW213">
        <f t="shared" si="45"/>
        <v>1.3475333174074075E-2</v>
      </c>
      <c r="AX213" s="9"/>
      <c r="AY213" s="21">
        <v>0.92224099999999998</v>
      </c>
      <c r="AZ213" s="21">
        <v>23.584800000000001</v>
      </c>
      <c r="BA213" s="24">
        <v>-2.8289800000000001E-5</v>
      </c>
      <c r="BB213" s="21">
        <v>203</v>
      </c>
      <c r="BC213" s="21">
        <v>0.92132599999999998</v>
      </c>
      <c r="BD213">
        <f t="shared" si="46"/>
        <v>3.4925679012345681E-2</v>
      </c>
      <c r="BE213">
        <f t="shared" si="47"/>
        <v>3.2209893138024692E-2</v>
      </c>
      <c r="BH213" s="9"/>
      <c r="BI213" s="21"/>
      <c r="BJ213" s="21"/>
      <c r="BK213" s="21"/>
      <c r="BL213" s="21"/>
      <c r="BM213" s="21"/>
      <c r="BP213" s="9"/>
      <c r="BQ213" s="21"/>
      <c r="BR213" s="21"/>
      <c r="BS213" s="21"/>
      <c r="BT213" s="21"/>
      <c r="BU213" s="21"/>
      <c r="BZ213" s="9"/>
      <c r="CA213" s="21"/>
      <c r="CB213" s="21"/>
      <c r="CC213" s="21"/>
      <c r="CD213" s="21"/>
      <c r="CE213" s="21"/>
      <c r="CH213" s="9"/>
      <c r="CI213" s="21"/>
      <c r="CJ213" s="21"/>
      <c r="CK213" s="21"/>
      <c r="CL213" s="21"/>
      <c r="CM213" s="21"/>
      <c r="CR213" s="9"/>
      <c r="CS213" s="21"/>
      <c r="CT213" s="21"/>
      <c r="CU213" s="21"/>
      <c r="CV213" s="21"/>
      <c r="CW213" s="21"/>
      <c r="CZ213" s="9"/>
      <c r="DA213" s="21"/>
      <c r="DB213" s="21"/>
      <c r="DC213" s="21"/>
      <c r="DD213" s="21"/>
      <c r="DE213" s="21"/>
      <c r="DJ213" s="9"/>
      <c r="DK213" s="21"/>
      <c r="DL213" s="21"/>
      <c r="DM213" s="21"/>
      <c r="DN213" s="21"/>
      <c r="DO213" s="21"/>
      <c r="DR213" s="9"/>
      <c r="DS213" s="21"/>
      <c r="DT213" s="21"/>
      <c r="DU213" s="21"/>
      <c r="DV213" s="21"/>
      <c r="DW213" s="21"/>
      <c r="EB213" s="9"/>
      <c r="EC213" s="21"/>
      <c r="ED213" s="21"/>
      <c r="EE213" s="21"/>
      <c r="EF213" s="21"/>
      <c r="EG213" s="21"/>
      <c r="EJ213" s="9"/>
      <c r="EK213" s="21"/>
      <c r="EL213" s="21"/>
      <c r="EM213" s="21"/>
      <c r="EN213" s="21"/>
      <c r="EO213" s="21"/>
      <c r="ET213" s="21"/>
      <c r="EU213" s="21"/>
      <c r="EV213" s="21"/>
      <c r="EW213" s="21"/>
      <c r="EX213" s="21"/>
      <c r="FA213" s="9"/>
      <c r="FB213" s="21"/>
      <c r="FC213" s="21"/>
      <c r="FD213" s="21"/>
      <c r="FE213" s="21"/>
      <c r="FF213" s="21"/>
    </row>
    <row r="214" spans="6:162" x14ac:dyDescent="0.25">
      <c r="F214" s="9"/>
      <c r="G214" s="21">
        <v>0.17272899999999999</v>
      </c>
      <c r="H214" s="21">
        <v>7.0697999999999999</v>
      </c>
      <c r="I214" s="24">
        <v>-6.7657500000000001E-5</v>
      </c>
      <c r="J214" s="21">
        <v>204</v>
      </c>
      <c r="K214" s="21">
        <v>0.172455</v>
      </c>
      <c r="L214">
        <f t="shared" si="36"/>
        <v>8.352777777777777E-2</v>
      </c>
      <c r="M214">
        <f t="shared" si="37"/>
        <v>1.4427669527777775E-2</v>
      </c>
      <c r="N214" s="9"/>
      <c r="O214" s="21">
        <v>0.92727700000000002</v>
      </c>
      <c r="P214" s="21">
        <v>9.6905400000000004</v>
      </c>
      <c r="Q214" s="24">
        <v>-3.1921400000000002E-5</v>
      </c>
      <c r="R214" s="21">
        <v>204</v>
      </c>
      <c r="S214" s="21">
        <v>0.92590300000000003</v>
      </c>
      <c r="T214">
        <f t="shared" si="38"/>
        <v>3.9409135802469138E-2</v>
      </c>
      <c r="U214">
        <f t="shared" si="39"/>
        <v>3.6543185219506176E-2</v>
      </c>
      <c r="X214" s="9"/>
      <c r="Y214" s="21">
        <v>0.17272899999999999</v>
      </c>
      <c r="Z214" s="21">
        <v>14.051</v>
      </c>
      <c r="AA214" s="24">
        <v>-6.3842800000000005E-5</v>
      </c>
      <c r="AB214" s="21">
        <v>204</v>
      </c>
      <c r="AC214" s="21">
        <v>0.17242399999999999</v>
      </c>
      <c r="AD214">
        <f t="shared" si="40"/>
        <v>7.8818271604938275E-2</v>
      </c>
      <c r="AE214">
        <f t="shared" si="41"/>
        <v>1.3614201236049383E-2</v>
      </c>
      <c r="AF214" s="9"/>
      <c r="AG214" s="21">
        <v>0.92727700000000002</v>
      </c>
      <c r="AH214" s="21">
        <v>16.671700000000001</v>
      </c>
      <c r="AI214" s="24">
        <v>-2.9174800000000001E-5</v>
      </c>
      <c r="AJ214" s="21">
        <v>204</v>
      </c>
      <c r="AK214" s="21">
        <v>0.92681899999999995</v>
      </c>
      <c r="AL214">
        <f t="shared" si="42"/>
        <v>3.6018271604938271E-2</v>
      </c>
      <c r="AM214">
        <f t="shared" si="43"/>
        <v>3.3398914839012347E-2</v>
      </c>
      <c r="AP214" s="9"/>
      <c r="AQ214" s="21">
        <v>0.17272899999999999</v>
      </c>
      <c r="AR214" s="21">
        <v>20.9742</v>
      </c>
      <c r="AS214" s="24">
        <v>-6.1523400000000001E-5</v>
      </c>
      <c r="AT214" s="21">
        <v>204</v>
      </c>
      <c r="AU214" s="21">
        <v>0.17236299999999999</v>
      </c>
      <c r="AV214">
        <f t="shared" si="44"/>
        <v>7.5954814814814808E-2</v>
      </c>
      <c r="AW214">
        <f t="shared" si="45"/>
        <v>1.3119599208148147E-2</v>
      </c>
      <c r="AX214" s="9"/>
      <c r="AY214" s="21">
        <v>0.92727700000000002</v>
      </c>
      <c r="AZ214" s="21">
        <v>23.594899999999999</v>
      </c>
      <c r="BA214" s="24">
        <v>-2.8015099999999999E-5</v>
      </c>
      <c r="BB214" s="21">
        <v>204</v>
      </c>
      <c r="BC214" s="21">
        <v>0.92681899999999995</v>
      </c>
      <c r="BD214">
        <f t="shared" si="46"/>
        <v>3.4586543209876537E-2</v>
      </c>
      <c r="BE214">
        <f t="shared" si="47"/>
        <v>3.2071306028024688E-2</v>
      </c>
      <c r="BH214" s="9"/>
      <c r="BI214" s="21"/>
      <c r="BJ214" s="21"/>
      <c r="BK214" s="21"/>
      <c r="BL214" s="21"/>
      <c r="BM214" s="21"/>
      <c r="BP214" s="9"/>
      <c r="BQ214" s="21"/>
      <c r="BR214" s="21"/>
      <c r="BS214" s="21"/>
      <c r="BT214" s="21"/>
      <c r="BU214" s="21"/>
      <c r="BZ214" s="9"/>
      <c r="CA214" s="21"/>
      <c r="CB214" s="21"/>
      <c r="CC214" s="21"/>
      <c r="CD214" s="21"/>
      <c r="CE214" s="21"/>
      <c r="CH214" s="9"/>
      <c r="CI214" s="21"/>
      <c r="CJ214" s="21"/>
      <c r="CK214" s="21"/>
      <c r="CL214" s="21"/>
      <c r="CM214" s="21"/>
      <c r="CR214" s="9"/>
      <c r="CS214" s="21"/>
      <c r="CT214" s="21"/>
      <c r="CU214" s="21"/>
      <c r="CV214" s="21"/>
      <c r="CW214" s="21"/>
      <c r="CZ214" s="9"/>
      <c r="DA214" s="21"/>
      <c r="DB214" s="21"/>
      <c r="DC214" s="21"/>
      <c r="DD214" s="21"/>
      <c r="DE214" s="21"/>
      <c r="DJ214" s="9"/>
      <c r="DK214" s="21"/>
      <c r="DL214" s="21"/>
      <c r="DM214" s="21"/>
      <c r="DN214" s="21"/>
      <c r="DO214" s="21"/>
      <c r="DR214" s="9"/>
      <c r="DS214" s="21"/>
      <c r="DT214" s="21"/>
      <c r="DU214" s="21"/>
      <c r="DV214" s="21"/>
      <c r="DW214" s="21"/>
      <c r="EB214" s="9"/>
      <c r="EC214" s="21"/>
      <c r="ED214" s="21"/>
      <c r="EE214" s="21"/>
      <c r="EF214" s="21"/>
      <c r="EG214" s="21"/>
      <c r="EJ214" s="9"/>
      <c r="EK214" s="21"/>
      <c r="EL214" s="21"/>
      <c r="EM214" s="21"/>
      <c r="EN214" s="21"/>
      <c r="EO214" s="21"/>
      <c r="ET214" s="21"/>
      <c r="EU214" s="21"/>
      <c r="EV214" s="21"/>
      <c r="EW214" s="21"/>
      <c r="EX214" s="21"/>
      <c r="FA214" s="9"/>
      <c r="FB214" s="21"/>
      <c r="FC214" s="21"/>
      <c r="FD214" s="21"/>
      <c r="FE214" s="21"/>
      <c r="FF214" s="21"/>
    </row>
    <row r="215" spans="6:162" x14ac:dyDescent="0.25">
      <c r="F215" s="9"/>
      <c r="G215" s="21">
        <v>0.16769400000000001</v>
      </c>
      <c r="H215" s="21">
        <v>7.0798699999999997</v>
      </c>
      <c r="I215" s="24">
        <v>-6.7901600000000001E-5</v>
      </c>
      <c r="J215" s="21">
        <v>205</v>
      </c>
      <c r="K215" s="21">
        <v>0.16735800000000001</v>
      </c>
      <c r="L215">
        <f t="shared" si="36"/>
        <v>8.3829135802469132E-2</v>
      </c>
      <c r="M215">
        <f t="shared" si="37"/>
        <v>1.4057643099259259E-2</v>
      </c>
      <c r="N215" s="9"/>
      <c r="O215" s="21">
        <v>0.93231200000000003</v>
      </c>
      <c r="P215" s="21">
        <v>9.7006099999999993</v>
      </c>
      <c r="Q215" s="24">
        <v>-3.15247E-5</v>
      </c>
      <c r="R215" s="21">
        <v>205</v>
      </c>
      <c r="S215" s="21">
        <v>0.931396</v>
      </c>
      <c r="T215">
        <f t="shared" si="38"/>
        <v>3.8919382716049382E-2</v>
      </c>
      <c r="U215">
        <f t="shared" si="39"/>
        <v>3.6285007538765429E-2</v>
      </c>
      <c r="X215" s="9"/>
      <c r="Y215" s="21">
        <v>0.16769400000000001</v>
      </c>
      <c r="Z215" s="21">
        <v>14.061</v>
      </c>
      <c r="AA215" s="24">
        <v>-6.3842800000000005E-5</v>
      </c>
      <c r="AB215" s="21">
        <v>205</v>
      </c>
      <c r="AC215" s="21">
        <v>0.16741900000000001</v>
      </c>
      <c r="AD215">
        <f t="shared" si="40"/>
        <v>7.8818271604938275E-2</v>
      </c>
      <c r="AE215">
        <f t="shared" si="41"/>
        <v>1.321735123851852E-2</v>
      </c>
      <c r="AF215" s="9"/>
      <c r="AG215" s="21">
        <v>0.93231200000000003</v>
      </c>
      <c r="AH215" s="21">
        <v>16.681799999999999</v>
      </c>
      <c r="AI215" s="24">
        <v>-2.9022200000000001E-5</v>
      </c>
      <c r="AJ215" s="21">
        <v>205</v>
      </c>
      <c r="AK215" s="21">
        <v>0.930786</v>
      </c>
      <c r="AL215">
        <f t="shared" si="42"/>
        <v>3.5829876543209876E-2</v>
      </c>
      <c r="AM215">
        <f t="shared" si="43"/>
        <v>3.340462385975309E-2</v>
      </c>
      <c r="AP215" s="9"/>
      <c r="AQ215" s="21">
        <v>0.16769400000000001</v>
      </c>
      <c r="AR215" s="21">
        <v>20.984200000000001</v>
      </c>
      <c r="AS215" s="24">
        <v>-6.1645500000000005E-5</v>
      </c>
      <c r="AT215" s="21">
        <v>205</v>
      </c>
      <c r="AU215" s="21">
        <v>0.167328</v>
      </c>
      <c r="AV215">
        <f t="shared" si="44"/>
        <v>7.6105555555555551E-2</v>
      </c>
      <c r="AW215">
        <f t="shared" si="45"/>
        <v>1.2762445033333333E-2</v>
      </c>
      <c r="AX215" s="9"/>
      <c r="AY215" s="21">
        <v>0.93231200000000003</v>
      </c>
      <c r="AZ215" s="21">
        <v>23.605</v>
      </c>
      <c r="BA215" s="24">
        <v>-2.7801500000000001E-5</v>
      </c>
      <c r="BB215" s="21">
        <v>205</v>
      </c>
      <c r="BC215" s="21">
        <v>0.931396</v>
      </c>
      <c r="BD215">
        <f t="shared" si="46"/>
        <v>3.4322839506172841E-2</v>
      </c>
      <c r="BE215">
        <f t="shared" si="47"/>
        <v>3.1999595145679016E-2</v>
      </c>
      <c r="BH215" s="9"/>
      <c r="BI215" s="21"/>
      <c r="BJ215" s="21"/>
      <c r="BK215" s="21"/>
      <c r="BL215" s="21"/>
      <c r="BM215" s="21"/>
      <c r="BP215" s="9"/>
      <c r="BQ215" s="21"/>
      <c r="BR215" s="21"/>
      <c r="BS215" s="21"/>
      <c r="BT215" s="21"/>
      <c r="BU215" s="21"/>
      <c r="BZ215" s="9"/>
      <c r="CA215" s="21"/>
      <c r="CB215" s="21"/>
      <c r="CC215" s="21"/>
      <c r="CD215" s="21"/>
      <c r="CE215" s="21"/>
      <c r="CH215" s="9"/>
      <c r="CI215" s="21"/>
      <c r="CJ215" s="21"/>
      <c r="CK215" s="21"/>
      <c r="CL215" s="21"/>
      <c r="CM215" s="21"/>
      <c r="CR215" s="9"/>
      <c r="CS215" s="21"/>
      <c r="CT215" s="21"/>
      <c r="CU215" s="21"/>
      <c r="CV215" s="21"/>
      <c r="CW215" s="21"/>
      <c r="CZ215" s="9"/>
      <c r="DA215" s="21"/>
      <c r="DB215" s="21"/>
      <c r="DC215" s="21"/>
      <c r="DD215" s="21"/>
      <c r="DE215" s="21"/>
      <c r="DJ215" s="9"/>
      <c r="DK215" s="21"/>
      <c r="DL215" s="21"/>
      <c r="DM215" s="21"/>
      <c r="DN215" s="21"/>
      <c r="DO215" s="21"/>
      <c r="DR215" s="9"/>
      <c r="DS215" s="21"/>
      <c r="DT215" s="21"/>
      <c r="DU215" s="21"/>
      <c r="DV215" s="21"/>
      <c r="DW215" s="21"/>
      <c r="EB215" s="9"/>
      <c r="EC215" s="21"/>
      <c r="ED215" s="21"/>
      <c r="EE215" s="21"/>
      <c r="EF215" s="21"/>
      <c r="EG215" s="21"/>
      <c r="EJ215" s="9"/>
      <c r="EK215" s="21"/>
      <c r="EL215" s="21"/>
      <c r="EM215" s="21"/>
      <c r="EN215" s="21"/>
      <c r="EO215" s="21"/>
      <c r="ET215" s="21"/>
      <c r="EU215" s="21"/>
      <c r="EV215" s="21"/>
      <c r="EW215" s="21"/>
      <c r="EX215" s="21"/>
      <c r="FA215" s="9"/>
      <c r="FB215" s="21"/>
      <c r="FC215" s="21"/>
      <c r="FD215" s="21"/>
      <c r="FE215" s="21"/>
      <c r="FF215" s="21"/>
    </row>
    <row r="216" spans="6:162" x14ac:dyDescent="0.25">
      <c r="F216" s="9"/>
      <c r="G216" s="21">
        <v>0.162659</v>
      </c>
      <c r="H216" s="21">
        <v>7.08995</v>
      </c>
      <c r="I216" s="24">
        <v>-6.7993199999999998E-5</v>
      </c>
      <c r="J216" s="21">
        <v>206</v>
      </c>
      <c r="K216" s="21">
        <v>0.162384</v>
      </c>
      <c r="L216">
        <f t="shared" si="36"/>
        <v>8.394222222222221E-2</v>
      </c>
      <c r="M216">
        <f t="shared" si="37"/>
        <v>1.3653957924444442E-2</v>
      </c>
      <c r="N216" s="9"/>
      <c r="O216" s="21">
        <v>0.93734700000000004</v>
      </c>
      <c r="P216" s="21">
        <v>9.7106899999999996</v>
      </c>
      <c r="Q216" s="24">
        <v>-3.1219500000000002E-5</v>
      </c>
      <c r="R216" s="21">
        <v>206</v>
      </c>
      <c r="S216" s="21">
        <v>0.93658399999999997</v>
      </c>
      <c r="T216">
        <f t="shared" si="38"/>
        <v>3.8542592592592587E-2</v>
      </c>
      <c r="U216">
        <f t="shared" si="39"/>
        <v>3.6127783538888882E-2</v>
      </c>
      <c r="X216" s="9"/>
      <c r="Y216" s="21">
        <v>0.162659</v>
      </c>
      <c r="Z216" s="21">
        <v>14.071099999999999</v>
      </c>
      <c r="AA216" s="24">
        <v>-6.3995400000000001E-5</v>
      </c>
      <c r="AB216" s="21">
        <v>206</v>
      </c>
      <c r="AC216" s="21">
        <v>0.162415</v>
      </c>
      <c r="AD216">
        <f t="shared" si="40"/>
        <v>7.9006666666666669E-2</v>
      </c>
      <c r="AE216">
        <f t="shared" si="41"/>
        <v>1.2851145393333334E-2</v>
      </c>
      <c r="AF216" s="9"/>
      <c r="AG216" s="21">
        <v>0.93734700000000004</v>
      </c>
      <c r="AH216" s="21">
        <v>16.6919</v>
      </c>
      <c r="AI216" s="24">
        <v>-2.8717E-5</v>
      </c>
      <c r="AJ216" s="21">
        <v>206</v>
      </c>
      <c r="AK216" s="21">
        <v>0.93658399999999997</v>
      </c>
      <c r="AL216">
        <f t="shared" si="42"/>
        <v>3.5453086419753081E-2</v>
      </c>
      <c r="AM216">
        <f t="shared" si="43"/>
        <v>3.3231844196296295E-2</v>
      </c>
      <c r="AP216" s="9"/>
      <c r="AQ216" s="21">
        <v>0.162659</v>
      </c>
      <c r="AR216" s="21">
        <v>20.994299999999999</v>
      </c>
      <c r="AS216" s="24">
        <v>-6.1706500000000003E-5</v>
      </c>
      <c r="AT216" s="21">
        <v>206</v>
      </c>
      <c r="AU216" s="21">
        <v>0.162323</v>
      </c>
      <c r="AV216">
        <f t="shared" si="44"/>
        <v>7.6180864197530854E-2</v>
      </c>
      <c r="AW216">
        <f t="shared" si="45"/>
        <v>1.2391503189506171E-2</v>
      </c>
      <c r="AX216" s="9"/>
      <c r="AY216" s="21">
        <v>0.93734700000000004</v>
      </c>
      <c r="AZ216" s="21">
        <v>23.614999999999998</v>
      </c>
      <c r="BA216" s="24">
        <v>-2.7557400000000001E-5</v>
      </c>
      <c r="BB216" s="21">
        <v>206</v>
      </c>
      <c r="BC216" s="21">
        <v>0.93658399999999997</v>
      </c>
      <c r="BD216">
        <f t="shared" si="46"/>
        <v>3.4021481481481479E-2</v>
      </c>
      <c r="BE216">
        <f t="shared" si="47"/>
        <v>3.1889933602222219E-2</v>
      </c>
      <c r="BH216" s="9"/>
      <c r="BI216" s="21"/>
      <c r="BJ216" s="21"/>
      <c r="BK216" s="21"/>
      <c r="BL216" s="21"/>
      <c r="BM216" s="21"/>
      <c r="BP216" s="9"/>
      <c r="BQ216" s="21"/>
      <c r="BR216" s="21"/>
      <c r="BS216" s="21"/>
      <c r="BT216" s="21"/>
      <c r="BU216" s="21"/>
      <c r="BZ216" s="9"/>
      <c r="CA216" s="21"/>
      <c r="CB216" s="21"/>
      <c r="CC216" s="21"/>
      <c r="CD216" s="21"/>
      <c r="CE216" s="21"/>
      <c r="CH216" s="9"/>
      <c r="CI216" s="21"/>
      <c r="CJ216" s="21"/>
      <c r="CK216" s="21"/>
      <c r="CL216" s="21"/>
      <c r="CM216" s="21"/>
      <c r="CR216" s="9"/>
      <c r="CS216" s="21"/>
      <c r="CT216" s="21"/>
      <c r="CU216" s="21"/>
      <c r="CV216" s="21"/>
      <c r="CW216" s="21"/>
      <c r="CZ216" s="9"/>
      <c r="DA216" s="21"/>
      <c r="DB216" s="21"/>
      <c r="DC216" s="21"/>
      <c r="DD216" s="21"/>
      <c r="DE216" s="21"/>
      <c r="DJ216" s="9"/>
      <c r="DK216" s="21"/>
      <c r="DL216" s="21"/>
      <c r="DM216" s="21"/>
      <c r="DN216" s="21"/>
      <c r="DO216" s="21"/>
      <c r="DR216" s="9"/>
      <c r="DS216" s="21"/>
      <c r="DT216" s="21"/>
      <c r="DU216" s="21"/>
      <c r="DV216" s="21"/>
      <c r="DW216" s="21"/>
      <c r="EB216" s="9"/>
      <c r="EC216" s="21"/>
      <c r="ED216" s="21"/>
      <c r="EE216" s="21"/>
      <c r="EF216" s="21"/>
      <c r="EG216" s="21"/>
      <c r="EJ216" s="9"/>
      <c r="EK216" s="21"/>
      <c r="EL216" s="21"/>
      <c r="EM216" s="21"/>
      <c r="EN216" s="21"/>
      <c r="EO216" s="21"/>
      <c r="ET216" s="21"/>
      <c r="EU216" s="21"/>
      <c r="EV216" s="21"/>
      <c r="EW216" s="21"/>
      <c r="EX216" s="21"/>
      <c r="FA216" s="9"/>
      <c r="FB216" s="21"/>
      <c r="FC216" s="21"/>
      <c r="FD216" s="21"/>
      <c r="FE216" s="21"/>
      <c r="FF216" s="21"/>
    </row>
    <row r="217" spans="6:162" x14ac:dyDescent="0.25">
      <c r="F217" s="9"/>
      <c r="G217" s="21">
        <v>0.15762300000000001</v>
      </c>
      <c r="H217" s="21">
        <v>7.1000199999999998</v>
      </c>
      <c r="I217" s="24">
        <v>-6.8206800000000006E-5</v>
      </c>
      <c r="J217" s="21">
        <v>207</v>
      </c>
      <c r="K217" s="21">
        <v>0.15728800000000001</v>
      </c>
      <c r="L217">
        <f t="shared" si="36"/>
        <v>8.420592592592592E-2</v>
      </c>
      <c r="M217">
        <f t="shared" si="37"/>
        <v>1.3272790662222223E-2</v>
      </c>
      <c r="N217" s="9"/>
      <c r="O217" s="21">
        <v>0.94238299999999997</v>
      </c>
      <c r="P217" s="21">
        <v>9.7207600000000003</v>
      </c>
      <c r="Q217" s="24">
        <v>-3.0883799999999997E-5</v>
      </c>
      <c r="R217" s="21">
        <v>207</v>
      </c>
      <c r="S217" s="21">
        <v>0.94177200000000005</v>
      </c>
      <c r="T217">
        <f t="shared" si="38"/>
        <v>3.812814814814814E-2</v>
      </c>
      <c r="U217">
        <f t="shared" si="39"/>
        <v>3.593131863629629E-2</v>
      </c>
      <c r="X217" s="9"/>
      <c r="Y217" s="21">
        <v>0.15762300000000001</v>
      </c>
      <c r="Z217" s="21">
        <v>14.081200000000001</v>
      </c>
      <c r="AA217" s="24">
        <v>-6.4147900000000003E-5</v>
      </c>
      <c r="AB217" s="21">
        <v>207</v>
      </c>
      <c r="AC217" s="21">
        <v>0.15737899999999999</v>
      </c>
      <c r="AD217">
        <f t="shared" si="40"/>
        <v>7.9194938271604939E-2</v>
      </c>
      <c r="AE217">
        <f t="shared" si="41"/>
        <v>1.2482943755185187E-2</v>
      </c>
      <c r="AF217" s="9"/>
      <c r="AG217" s="21">
        <v>0.94238299999999997</v>
      </c>
      <c r="AH217" s="21">
        <v>16.701899999999998</v>
      </c>
      <c r="AI217" s="24">
        <v>-2.83508E-5</v>
      </c>
      <c r="AJ217" s="21">
        <v>207</v>
      </c>
      <c r="AK217" s="21">
        <v>0.94146700000000005</v>
      </c>
      <c r="AL217">
        <f t="shared" si="42"/>
        <v>3.5000987654320984E-2</v>
      </c>
      <c r="AM217">
        <f t="shared" si="43"/>
        <v>3.2984335748641971E-2</v>
      </c>
      <c r="AP217" s="9"/>
      <c r="AQ217" s="21">
        <v>0.15762300000000001</v>
      </c>
      <c r="AR217" s="21">
        <v>21.0044</v>
      </c>
      <c r="AS217" s="24">
        <v>-6.1981200000000002E-5</v>
      </c>
      <c r="AT217" s="21">
        <v>207</v>
      </c>
      <c r="AU217" s="21">
        <v>0.15731800000000001</v>
      </c>
      <c r="AV217">
        <f t="shared" si="44"/>
        <v>7.6519999999999991E-2</v>
      </c>
      <c r="AW217">
        <f t="shared" si="45"/>
        <v>1.206131196E-2</v>
      </c>
      <c r="AX217" s="9"/>
      <c r="AY217" s="21">
        <v>0.94238299999999997</v>
      </c>
      <c r="AZ217" s="21">
        <v>23.6251</v>
      </c>
      <c r="BA217" s="24">
        <v>-2.7313200000000001E-5</v>
      </c>
      <c r="BB217" s="21">
        <v>207</v>
      </c>
      <c r="BC217" s="21">
        <v>0.94177200000000005</v>
      </c>
      <c r="BD217">
        <f t="shared" si="46"/>
        <v>3.372E-2</v>
      </c>
      <c r="BE217">
        <f t="shared" si="47"/>
        <v>3.1777154760000002E-2</v>
      </c>
      <c r="BH217" s="9"/>
      <c r="BI217" s="21"/>
      <c r="BJ217" s="21"/>
      <c r="BK217" s="21"/>
      <c r="BL217" s="21"/>
      <c r="BM217" s="21"/>
      <c r="BP217" s="9"/>
      <c r="BQ217" s="21"/>
      <c r="BR217" s="21"/>
      <c r="BS217" s="21"/>
      <c r="BT217" s="21"/>
      <c r="BU217" s="21"/>
      <c r="BZ217" s="9"/>
      <c r="CA217" s="21"/>
      <c r="CB217" s="21"/>
      <c r="CC217" s="21"/>
      <c r="CD217" s="21"/>
      <c r="CE217" s="21"/>
      <c r="CH217" s="9"/>
      <c r="CI217" s="21"/>
      <c r="CJ217" s="21"/>
      <c r="CK217" s="21"/>
      <c r="CL217" s="21"/>
      <c r="CM217" s="21"/>
      <c r="CR217" s="9"/>
      <c r="CS217" s="21"/>
      <c r="CT217" s="21"/>
      <c r="CU217" s="21"/>
      <c r="CV217" s="21"/>
      <c r="CW217" s="21"/>
      <c r="CZ217" s="9"/>
      <c r="DA217" s="21"/>
      <c r="DB217" s="21"/>
      <c r="DC217" s="21"/>
      <c r="DD217" s="21"/>
      <c r="DE217" s="21"/>
      <c r="DJ217" s="9"/>
      <c r="DK217" s="21"/>
      <c r="DL217" s="21"/>
      <c r="DM217" s="21"/>
      <c r="DN217" s="21"/>
      <c r="DO217" s="21"/>
      <c r="DR217" s="9"/>
      <c r="DS217" s="21"/>
      <c r="DT217" s="21"/>
      <c r="DU217" s="21"/>
      <c r="DV217" s="21"/>
      <c r="DW217" s="21"/>
      <c r="EB217" s="9"/>
      <c r="EC217" s="21"/>
      <c r="ED217" s="21"/>
      <c r="EE217" s="21"/>
      <c r="EF217" s="21"/>
      <c r="EG217" s="21"/>
      <c r="EJ217" s="9"/>
      <c r="EK217" s="21"/>
      <c r="EL217" s="21"/>
      <c r="EM217" s="21"/>
      <c r="EN217" s="21"/>
      <c r="EO217" s="21"/>
      <c r="ET217" s="21"/>
      <c r="EU217" s="21"/>
      <c r="EV217" s="21"/>
      <c r="EW217" s="21"/>
      <c r="EX217" s="21"/>
      <c r="FA217" s="9"/>
      <c r="FB217" s="21"/>
      <c r="FC217" s="21"/>
      <c r="FD217" s="21"/>
      <c r="FE217" s="21"/>
      <c r="FF217" s="21"/>
    </row>
    <row r="218" spans="6:162" x14ac:dyDescent="0.25">
      <c r="F218" s="9"/>
      <c r="G218" s="21">
        <v>0.152588</v>
      </c>
      <c r="H218" s="21">
        <v>7.1100899999999996</v>
      </c>
      <c r="I218" s="24">
        <v>-6.8298299999999996E-5</v>
      </c>
      <c r="J218" s="21">
        <v>208</v>
      </c>
      <c r="K218" s="21">
        <v>0.152313</v>
      </c>
      <c r="L218">
        <f t="shared" si="36"/>
        <v>8.4318888888888874E-2</v>
      </c>
      <c r="M218">
        <f t="shared" si="37"/>
        <v>1.2866050617777776E-2</v>
      </c>
      <c r="N218" s="9"/>
      <c r="O218" s="21">
        <v>0.94741799999999998</v>
      </c>
      <c r="P218" s="21">
        <v>9.7308299999999992</v>
      </c>
      <c r="Q218" s="24">
        <v>-3.0578599999999999E-5</v>
      </c>
      <c r="R218" s="21">
        <v>208</v>
      </c>
      <c r="S218" s="21">
        <v>0.94604500000000002</v>
      </c>
      <c r="T218">
        <f t="shared" si="38"/>
        <v>3.7751358024691352E-2</v>
      </c>
      <c r="U218">
        <f t="shared" si="39"/>
        <v>3.5766316117037032E-2</v>
      </c>
      <c r="X218" s="9"/>
      <c r="Y218" s="21">
        <v>0.152588</v>
      </c>
      <c r="Z218" s="21">
        <v>14.0913</v>
      </c>
      <c r="AA218" s="24">
        <v>-6.4270000000000006E-5</v>
      </c>
      <c r="AB218" s="21">
        <v>208</v>
      </c>
      <c r="AC218" s="21">
        <v>0.152313</v>
      </c>
      <c r="AD218">
        <f t="shared" si="40"/>
        <v>7.9345679012345682E-2</v>
      </c>
      <c r="AE218">
        <f t="shared" si="41"/>
        <v>1.2107198469135803E-2</v>
      </c>
      <c r="AF218" s="9"/>
      <c r="AG218" s="21">
        <v>0.94741799999999998</v>
      </c>
      <c r="AH218" s="21">
        <v>16.712</v>
      </c>
      <c r="AI218" s="24">
        <v>-2.8045700000000002E-5</v>
      </c>
      <c r="AJ218" s="21">
        <v>208</v>
      </c>
      <c r="AK218" s="21">
        <v>0.94665500000000002</v>
      </c>
      <c r="AL218">
        <f t="shared" si="42"/>
        <v>3.462432098765432E-2</v>
      </c>
      <c r="AM218">
        <f t="shared" si="43"/>
        <v>3.2803704941481479E-2</v>
      </c>
      <c r="AP218" s="9"/>
      <c r="AQ218" s="21">
        <v>0.152588</v>
      </c>
      <c r="AR218" s="21">
        <v>21.014399999999998</v>
      </c>
      <c r="AS218" s="24">
        <v>-6.20728E-5</v>
      </c>
      <c r="AT218" s="21">
        <v>208</v>
      </c>
      <c r="AU218" s="21">
        <v>0.152252</v>
      </c>
      <c r="AV218">
        <f t="shared" si="44"/>
        <v>7.6633086419753083E-2</v>
      </c>
      <c r="AW218">
        <f t="shared" si="45"/>
        <v>1.1693289390617284E-2</v>
      </c>
      <c r="AX218" s="9"/>
      <c r="AY218" s="21">
        <v>0.94741799999999998</v>
      </c>
      <c r="AZ218" s="21">
        <v>23.635200000000001</v>
      </c>
      <c r="BA218" s="24">
        <v>-2.7038599999999999E-5</v>
      </c>
      <c r="BB218" s="21">
        <v>208</v>
      </c>
      <c r="BC218" s="21">
        <v>0.94665500000000002</v>
      </c>
      <c r="BD218">
        <f t="shared" si="46"/>
        <v>3.3380987654320987E-2</v>
      </c>
      <c r="BE218">
        <f t="shared" si="47"/>
        <v>3.1625748561481482E-2</v>
      </c>
      <c r="BH218" s="9"/>
      <c r="BI218" s="21"/>
      <c r="BJ218" s="21"/>
      <c r="BK218" s="21"/>
      <c r="BL218" s="21"/>
      <c r="BM218" s="21"/>
      <c r="BP218" s="9"/>
      <c r="BQ218" s="21"/>
      <c r="BR218" s="21"/>
      <c r="BS218" s="21"/>
      <c r="BT218" s="21"/>
      <c r="BU218" s="21"/>
      <c r="BZ218" s="9"/>
      <c r="CA218" s="21"/>
      <c r="CB218" s="21"/>
      <c r="CC218" s="21"/>
      <c r="CD218" s="21"/>
      <c r="CE218" s="21"/>
      <c r="CH218" s="9"/>
      <c r="CI218" s="21"/>
      <c r="CJ218" s="21"/>
      <c r="CK218" s="21"/>
      <c r="CL218" s="21"/>
      <c r="CM218" s="21"/>
      <c r="CR218" s="9"/>
      <c r="CS218" s="21"/>
      <c r="CT218" s="21"/>
      <c r="CU218" s="21"/>
      <c r="CV218" s="21"/>
      <c r="CW218" s="21"/>
      <c r="CZ218" s="9"/>
      <c r="DA218" s="21"/>
      <c r="DB218" s="21"/>
      <c r="DC218" s="21"/>
      <c r="DD218" s="21"/>
      <c r="DE218" s="21"/>
      <c r="DJ218" s="9"/>
      <c r="DK218" s="21"/>
      <c r="DL218" s="21"/>
      <c r="DM218" s="21"/>
      <c r="DN218" s="21"/>
      <c r="DO218" s="21"/>
      <c r="DR218" s="9"/>
      <c r="DS218" s="21"/>
      <c r="DT218" s="21"/>
      <c r="DU218" s="21"/>
      <c r="DV218" s="21"/>
      <c r="DW218" s="21"/>
      <c r="EB218" s="9"/>
      <c r="EC218" s="21"/>
      <c r="ED218" s="21"/>
      <c r="EE218" s="21"/>
      <c r="EF218" s="21"/>
      <c r="EG218" s="21"/>
      <c r="EJ218" s="9"/>
      <c r="EK218" s="21"/>
      <c r="EL218" s="21"/>
      <c r="EM218" s="21"/>
      <c r="EN218" s="21"/>
      <c r="EO218" s="21"/>
      <c r="ET218" s="21"/>
      <c r="EU218" s="21"/>
      <c r="EV218" s="21"/>
      <c r="EW218" s="21"/>
      <c r="EX218" s="21"/>
      <c r="FA218" s="9"/>
      <c r="FB218" s="21"/>
      <c r="FC218" s="21"/>
      <c r="FD218" s="21"/>
      <c r="FE218" s="21"/>
      <c r="FF218" s="21"/>
    </row>
    <row r="219" spans="6:162" x14ac:dyDescent="0.25">
      <c r="F219" s="9"/>
      <c r="G219" s="21">
        <v>0.14755199999999999</v>
      </c>
      <c r="H219" s="21">
        <v>7.1201600000000003</v>
      </c>
      <c r="I219" s="24">
        <v>-6.8450900000000006E-5</v>
      </c>
      <c r="J219" s="21">
        <v>209</v>
      </c>
      <c r="K219" s="21">
        <v>0.14724699999999999</v>
      </c>
      <c r="L219">
        <f t="shared" si="36"/>
        <v>8.4507283950617282E-2</v>
      </c>
      <c r="M219">
        <f t="shared" si="37"/>
        <v>1.2469218761481481E-2</v>
      </c>
      <c r="N219" s="9"/>
      <c r="O219" s="21">
        <v>0.95245400000000002</v>
      </c>
      <c r="P219" s="21">
        <v>9.7408999999999999</v>
      </c>
      <c r="Q219" s="24">
        <v>-3.0334499999999999E-5</v>
      </c>
      <c r="R219" s="21">
        <v>209</v>
      </c>
      <c r="S219" s="21">
        <v>0.95184299999999999</v>
      </c>
      <c r="T219">
        <f t="shared" si="38"/>
        <v>3.7449999999999997E-2</v>
      </c>
      <c r="U219">
        <f t="shared" si="39"/>
        <v>3.56694023E-2</v>
      </c>
      <c r="X219" s="9"/>
      <c r="Y219" s="21">
        <v>0.14755199999999999</v>
      </c>
      <c r="Z219" s="21">
        <v>14.1013</v>
      </c>
      <c r="AA219" s="24">
        <v>-6.44836E-5</v>
      </c>
      <c r="AB219" s="21">
        <v>209</v>
      </c>
      <c r="AC219" s="21">
        <v>0.14727799999999999</v>
      </c>
      <c r="AD219">
        <f t="shared" si="40"/>
        <v>7.9609382716049379E-2</v>
      </c>
      <c r="AE219">
        <f t="shared" si="41"/>
        <v>1.1746523638518518E-2</v>
      </c>
      <c r="AF219" s="9"/>
      <c r="AG219" s="21">
        <v>0.95245400000000002</v>
      </c>
      <c r="AH219" s="21">
        <v>16.722100000000001</v>
      </c>
      <c r="AI219" s="24">
        <v>-2.7770999999999999E-5</v>
      </c>
      <c r="AJ219" s="21">
        <v>209</v>
      </c>
      <c r="AK219" s="21">
        <v>0.95184299999999999</v>
      </c>
      <c r="AL219">
        <f t="shared" si="42"/>
        <v>3.4285185185185182E-2</v>
      </c>
      <c r="AM219">
        <f t="shared" si="43"/>
        <v>3.2655061770370371E-2</v>
      </c>
      <c r="AP219" s="9"/>
      <c r="AQ219" s="21">
        <v>0.14755199999999999</v>
      </c>
      <c r="AR219" s="21">
        <v>21.0245</v>
      </c>
      <c r="AS219" s="24">
        <v>-6.2286399999999994E-5</v>
      </c>
      <c r="AT219" s="21">
        <v>209</v>
      </c>
      <c r="AU219" s="21">
        <v>0.14721699999999999</v>
      </c>
      <c r="AV219">
        <f t="shared" si="44"/>
        <v>7.6896790123456779E-2</v>
      </c>
      <c r="AW219">
        <f t="shared" si="45"/>
        <v>1.1346275176296293E-2</v>
      </c>
      <c r="AX219" s="9"/>
      <c r="AY219" s="21">
        <v>0.95245400000000002</v>
      </c>
      <c r="AZ219" s="21">
        <v>23.645299999999999</v>
      </c>
      <c r="BA219" s="24">
        <v>-2.67639E-5</v>
      </c>
      <c r="BB219" s="21">
        <v>209</v>
      </c>
      <c r="BC219" s="21">
        <v>0.95153799999999999</v>
      </c>
      <c r="BD219">
        <f t="shared" si="46"/>
        <v>3.304185185185185E-2</v>
      </c>
      <c r="BE219">
        <f t="shared" si="47"/>
        <v>3.1470843963703705E-2</v>
      </c>
      <c r="BH219" s="9"/>
      <c r="BI219" s="21"/>
      <c r="BJ219" s="21"/>
      <c r="BK219" s="21"/>
      <c r="BL219" s="21"/>
      <c r="BM219" s="21"/>
      <c r="BP219" s="9"/>
      <c r="BQ219" s="21"/>
      <c r="BR219" s="21"/>
      <c r="BS219" s="21"/>
      <c r="BT219" s="21"/>
      <c r="BU219" s="21"/>
      <c r="BZ219" s="9"/>
      <c r="CA219" s="21"/>
      <c r="CB219" s="21"/>
      <c r="CC219" s="21"/>
      <c r="CD219" s="21"/>
      <c r="CE219" s="21"/>
      <c r="CH219" s="9"/>
      <c r="CI219" s="21"/>
      <c r="CJ219" s="21"/>
      <c r="CK219" s="21"/>
      <c r="CL219" s="21"/>
      <c r="CM219" s="21"/>
      <c r="CR219" s="9"/>
      <c r="CS219" s="21"/>
      <c r="CT219" s="21"/>
      <c r="CU219" s="21"/>
      <c r="CV219" s="21"/>
      <c r="CW219" s="21"/>
      <c r="CZ219" s="9"/>
      <c r="DA219" s="21"/>
      <c r="DB219" s="21"/>
      <c r="DC219" s="21"/>
      <c r="DD219" s="21"/>
      <c r="DE219" s="21"/>
      <c r="DJ219" s="9"/>
      <c r="DK219" s="21"/>
      <c r="DL219" s="21"/>
      <c r="DM219" s="21"/>
      <c r="DN219" s="21"/>
      <c r="DO219" s="21"/>
      <c r="DR219" s="9"/>
      <c r="DS219" s="21"/>
      <c r="DT219" s="21"/>
      <c r="DU219" s="21"/>
      <c r="DV219" s="21"/>
      <c r="DW219" s="21"/>
      <c r="EB219" s="9"/>
      <c r="EC219" s="21"/>
      <c r="ED219" s="21"/>
      <c r="EE219" s="21"/>
      <c r="EF219" s="21"/>
      <c r="EG219" s="21"/>
      <c r="EJ219" s="9"/>
      <c r="EK219" s="21"/>
      <c r="EL219" s="21"/>
      <c r="EM219" s="21"/>
      <c r="EN219" s="21"/>
      <c r="EO219" s="21"/>
      <c r="ET219" s="21"/>
      <c r="EU219" s="21"/>
      <c r="EV219" s="21"/>
      <c r="EW219" s="21"/>
      <c r="EX219" s="21"/>
      <c r="FA219" s="9"/>
      <c r="FB219" s="21"/>
      <c r="FC219" s="21"/>
      <c r="FD219" s="21"/>
      <c r="FE219" s="21"/>
      <c r="FF219" s="21"/>
    </row>
    <row r="220" spans="6:162" x14ac:dyDescent="0.25">
      <c r="F220" s="9"/>
      <c r="G220" s="21">
        <v>0.142517</v>
      </c>
      <c r="H220" s="21">
        <v>7.1302300000000001</v>
      </c>
      <c r="I220" s="24">
        <v>-6.8542500000000003E-5</v>
      </c>
      <c r="J220" s="21">
        <v>210</v>
      </c>
      <c r="K220" s="21">
        <v>0.142181</v>
      </c>
      <c r="L220">
        <f t="shared" si="36"/>
        <v>8.4620370370370374E-2</v>
      </c>
      <c r="M220">
        <f t="shared" si="37"/>
        <v>1.2059841324074075E-2</v>
      </c>
      <c r="N220" s="9"/>
      <c r="O220" s="21">
        <v>0.95748900000000003</v>
      </c>
      <c r="P220" s="21">
        <v>9.7509700000000006</v>
      </c>
      <c r="Q220" s="24">
        <v>-2.9968299999999999E-5</v>
      </c>
      <c r="R220" s="21">
        <v>210</v>
      </c>
      <c r="S220" s="21">
        <v>0.95672599999999997</v>
      </c>
      <c r="T220">
        <f t="shared" si="38"/>
        <v>3.6997901234567893E-2</v>
      </c>
      <c r="U220">
        <f t="shared" si="39"/>
        <v>3.5425083455185177E-2</v>
      </c>
      <c r="X220" s="9"/>
      <c r="Y220" s="21">
        <v>0.142517</v>
      </c>
      <c r="Z220" s="21">
        <v>14.1114</v>
      </c>
      <c r="AA220" s="24">
        <v>-6.4605700000000004E-5</v>
      </c>
      <c r="AB220" s="21">
        <v>210</v>
      </c>
      <c r="AC220" s="21">
        <v>0.142181</v>
      </c>
      <c r="AD220">
        <f t="shared" si="40"/>
        <v>7.9760123456790122E-2</v>
      </c>
      <c r="AE220">
        <f t="shared" si="41"/>
        <v>1.1367173514691358E-2</v>
      </c>
      <c r="AF220" s="9"/>
      <c r="AG220" s="21">
        <v>0.95748900000000003</v>
      </c>
      <c r="AH220" s="21">
        <v>16.732099999999999</v>
      </c>
      <c r="AI220" s="24">
        <v>-2.7465800000000001E-5</v>
      </c>
      <c r="AJ220" s="21">
        <v>210</v>
      </c>
      <c r="AK220" s="21">
        <v>0.95703099999999997</v>
      </c>
      <c r="AL220">
        <f t="shared" si="42"/>
        <v>3.3908395061728394E-2</v>
      </c>
      <c r="AM220">
        <f t="shared" si="43"/>
        <v>3.2466915279259261E-2</v>
      </c>
      <c r="AP220" s="9"/>
      <c r="AQ220" s="21">
        <v>0.142517</v>
      </c>
      <c r="AR220" s="21">
        <v>21.034600000000001</v>
      </c>
      <c r="AS220" s="24">
        <v>-6.23169E-5</v>
      </c>
      <c r="AT220" s="21">
        <v>210</v>
      </c>
      <c r="AU220" s="21">
        <v>0.14221200000000001</v>
      </c>
      <c r="AV220">
        <f t="shared" si="44"/>
        <v>7.6934444444444444E-2</v>
      </c>
      <c r="AW220">
        <f t="shared" si="45"/>
        <v>1.0964466218888889E-2</v>
      </c>
      <c r="AX220" s="9"/>
      <c r="AY220" s="21">
        <v>0.95748900000000003</v>
      </c>
      <c r="AZ220" s="21">
        <v>23.6553</v>
      </c>
      <c r="BA220" s="24">
        <v>-2.65198E-5</v>
      </c>
      <c r="BB220" s="21">
        <v>210</v>
      </c>
      <c r="BC220" s="21">
        <v>0.95672599999999997</v>
      </c>
      <c r="BD220">
        <f t="shared" si="46"/>
        <v>3.2740493827160495E-2</v>
      </c>
      <c r="BE220">
        <f t="shared" si="47"/>
        <v>3.1348662694074075E-2</v>
      </c>
      <c r="BH220" s="9"/>
      <c r="BI220" s="21"/>
      <c r="BJ220" s="21"/>
      <c r="BK220" s="21"/>
      <c r="BL220" s="21"/>
      <c r="BM220" s="21"/>
      <c r="BP220" s="9"/>
      <c r="BQ220" s="21"/>
      <c r="BR220" s="21"/>
      <c r="BS220" s="21"/>
      <c r="BT220" s="21"/>
      <c r="BU220" s="21"/>
      <c r="BZ220" s="9"/>
      <c r="CA220" s="21"/>
      <c r="CB220" s="21"/>
      <c r="CC220" s="21"/>
      <c r="CD220" s="21"/>
      <c r="CE220" s="21"/>
      <c r="CH220" s="9"/>
      <c r="CI220" s="21"/>
      <c r="CJ220" s="21"/>
      <c r="CK220" s="21"/>
      <c r="CL220" s="21"/>
      <c r="CM220" s="21"/>
      <c r="CR220" s="9"/>
      <c r="CS220" s="21"/>
      <c r="CT220" s="21"/>
      <c r="CU220" s="21"/>
      <c r="CV220" s="21"/>
      <c r="CW220" s="21"/>
      <c r="CZ220" s="9"/>
      <c r="DA220" s="21"/>
      <c r="DB220" s="21"/>
      <c r="DC220" s="21"/>
      <c r="DD220" s="21"/>
      <c r="DE220" s="21"/>
      <c r="DJ220" s="9"/>
      <c r="DK220" s="21"/>
      <c r="DL220" s="21"/>
      <c r="DM220" s="21"/>
      <c r="DN220" s="21"/>
      <c r="DO220" s="21"/>
      <c r="DR220" s="9"/>
      <c r="DS220" s="21"/>
      <c r="DT220" s="21"/>
      <c r="DU220" s="21"/>
      <c r="DV220" s="21"/>
      <c r="DW220" s="21"/>
      <c r="EB220" s="9"/>
      <c r="EC220" s="21"/>
      <c r="ED220" s="21"/>
      <c r="EE220" s="21"/>
      <c r="EF220" s="21"/>
      <c r="EG220" s="21"/>
      <c r="EJ220" s="9"/>
      <c r="EK220" s="21"/>
      <c r="EL220" s="21"/>
      <c r="EM220" s="21"/>
      <c r="EN220" s="21"/>
      <c r="EO220" s="21"/>
      <c r="ET220" s="21"/>
      <c r="EU220" s="21"/>
      <c r="EV220" s="21"/>
      <c r="EW220" s="21"/>
      <c r="EX220" s="21"/>
      <c r="FA220" s="9"/>
      <c r="FB220" s="21"/>
      <c r="FC220" s="21"/>
      <c r="FD220" s="21"/>
      <c r="FE220" s="21"/>
      <c r="FF220" s="21"/>
    </row>
    <row r="221" spans="6:162" x14ac:dyDescent="0.25">
      <c r="F221" s="9"/>
      <c r="G221" s="21">
        <v>0.13748199999999999</v>
      </c>
      <c r="H221" s="21">
        <v>7.1402999999999999</v>
      </c>
      <c r="I221" s="24">
        <v>-6.8847699999999995E-5</v>
      </c>
      <c r="J221" s="21">
        <v>211</v>
      </c>
      <c r="K221" s="21">
        <v>0.13717699999999999</v>
      </c>
      <c r="L221">
        <f t="shared" si="36"/>
        <v>8.4997160493827148E-2</v>
      </c>
      <c r="M221">
        <f t="shared" si="37"/>
        <v>1.1685579619012343E-2</v>
      </c>
      <c r="N221" s="9"/>
      <c r="O221" s="21">
        <v>0.96252400000000005</v>
      </c>
      <c r="P221" s="21">
        <v>9.7610399999999995</v>
      </c>
      <c r="Q221" s="24">
        <v>-2.95715E-5</v>
      </c>
      <c r="R221" s="21">
        <v>211</v>
      </c>
      <c r="S221" s="21">
        <v>0.96191400000000005</v>
      </c>
      <c r="T221">
        <f t="shared" si="38"/>
        <v>3.6508024691358026E-2</v>
      </c>
      <c r="U221">
        <f t="shared" si="39"/>
        <v>3.5139849958024695E-2</v>
      </c>
      <c r="X221" s="9"/>
      <c r="Y221" s="21">
        <v>0.13748199999999999</v>
      </c>
      <c r="Z221" s="21">
        <v>14.121499999999999</v>
      </c>
      <c r="AA221" s="24">
        <v>-6.4788800000000006E-5</v>
      </c>
      <c r="AB221" s="21">
        <v>211</v>
      </c>
      <c r="AC221" s="21">
        <v>0.13717699999999999</v>
      </c>
      <c r="AD221">
        <f t="shared" si="40"/>
        <v>7.9986172839506181E-2</v>
      </c>
      <c r="AE221">
        <f t="shared" si="41"/>
        <v>1.0996659014320988E-2</v>
      </c>
      <c r="AF221" s="9"/>
      <c r="AG221" s="21">
        <v>0.96252400000000005</v>
      </c>
      <c r="AH221" s="21">
        <v>16.7422</v>
      </c>
      <c r="AI221" s="24">
        <v>-2.7221700000000001E-5</v>
      </c>
      <c r="AJ221" s="21">
        <v>211</v>
      </c>
      <c r="AK221" s="21">
        <v>0.96191400000000005</v>
      </c>
      <c r="AL221">
        <f t="shared" si="42"/>
        <v>3.3607037037037039E-2</v>
      </c>
      <c r="AM221">
        <f t="shared" si="43"/>
        <v>3.2347579717037042E-2</v>
      </c>
      <c r="AP221" s="9"/>
      <c r="AQ221" s="21">
        <v>0.13748199999999999</v>
      </c>
      <c r="AR221" s="21">
        <v>21.044699999999999</v>
      </c>
      <c r="AS221" s="24">
        <v>-6.2530499999999994E-5</v>
      </c>
      <c r="AT221" s="21">
        <v>211</v>
      </c>
      <c r="AU221" s="21">
        <v>0.137207</v>
      </c>
      <c r="AV221">
        <f t="shared" si="44"/>
        <v>7.7198148148148127E-2</v>
      </c>
      <c r="AW221">
        <f t="shared" si="45"/>
        <v>1.06133558037037E-2</v>
      </c>
      <c r="AX221" s="9"/>
      <c r="AY221" s="21">
        <v>0.96252400000000005</v>
      </c>
      <c r="AZ221" s="21">
        <v>23.665400000000002</v>
      </c>
      <c r="BA221" s="24">
        <v>-2.62756E-5</v>
      </c>
      <c r="BB221" s="21">
        <v>211</v>
      </c>
      <c r="BC221" s="21">
        <v>0.96221900000000005</v>
      </c>
      <c r="BD221">
        <f t="shared" si="46"/>
        <v>3.2439012345679009E-2</v>
      </c>
      <c r="BE221">
        <f t="shared" si="47"/>
        <v>3.1223327919012344E-2</v>
      </c>
      <c r="BH221" s="9"/>
      <c r="BI221" s="21"/>
      <c r="BJ221" s="21"/>
      <c r="BK221" s="21"/>
      <c r="BL221" s="21"/>
      <c r="BM221" s="21"/>
      <c r="BP221" s="9"/>
      <c r="BQ221" s="21"/>
      <c r="BR221" s="21"/>
      <c r="BS221" s="21"/>
      <c r="BT221" s="21"/>
      <c r="BU221" s="21"/>
      <c r="BZ221" s="9"/>
      <c r="CA221" s="21"/>
      <c r="CB221" s="21"/>
      <c r="CC221" s="21"/>
      <c r="CD221" s="21"/>
      <c r="CE221" s="21"/>
      <c r="CH221" s="9"/>
      <c r="CI221" s="21"/>
      <c r="CJ221" s="21"/>
      <c r="CK221" s="21"/>
      <c r="CL221" s="21"/>
      <c r="CM221" s="21"/>
      <c r="CR221" s="9"/>
      <c r="CS221" s="21"/>
      <c r="CT221" s="21"/>
      <c r="CU221" s="21"/>
      <c r="CV221" s="21"/>
      <c r="CW221" s="21"/>
      <c r="CZ221" s="9"/>
      <c r="DA221" s="21"/>
      <c r="DB221" s="21"/>
      <c r="DC221" s="21"/>
      <c r="DD221" s="21"/>
      <c r="DE221" s="21"/>
      <c r="DJ221" s="9"/>
      <c r="DK221" s="21"/>
      <c r="DL221" s="21"/>
      <c r="DM221" s="21"/>
      <c r="DN221" s="21"/>
      <c r="DO221" s="21"/>
      <c r="DR221" s="9"/>
      <c r="DS221" s="21"/>
      <c r="DT221" s="21"/>
      <c r="DU221" s="21"/>
      <c r="DV221" s="21"/>
      <c r="DW221" s="21"/>
      <c r="EB221" s="9"/>
      <c r="EC221" s="21"/>
      <c r="ED221" s="21"/>
      <c r="EE221" s="21"/>
      <c r="EF221" s="21"/>
      <c r="EG221" s="21"/>
      <c r="EJ221" s="9"/>
      <c r="EK221" s="21"/>
      <c r="EL221" s="21"/>
      <c r="EM221" s="21"/>
      <c r="EN221" s="21"/>
      <c r="EO221" s="21"/>
      <c r="ET221" s="21"/>
      <c r="EU221" s="21"/>
      <c r="EV221" s="21"/>
      <c r="EW221" s="21"/>
      <c r="EX221" s="21"/>
      <c r="FA221" s="9"/>
      <c r="FB221" s="21"/>
      <c r="FC221" s="21"/>
      <c r="FD221" s="21"/>
      <c r="FE221" s="21"/>
      <c r="FF221" s="21"/>
    </row>
    <row r="222" spans="6:162" x14ac:dyDescent="0.25">
      <c r="F222" s="9"/>
      <c r="G222" s="21">
        <v>0.13244600000000001</v>
      </c>
      <c r="H222" s="21">
        <v>7.1503699999999997</v>
      </c>
      <c r="I222" s="24">
        <v>-6.8939199999999999E-5</v>
      </c>
      <c r="J222" s="21">
        <v>212</v>
      </c>
      <c r="K222" s="21">
        <v>0.13214100000000001</v>
      </c>
      <c r="L222">
        <f t="shared" si="36"/>
        <v>8.5110123456790129E-2</v>
      </c>
      <c r="M222">
        <f t="shared" si="37"/>
        <v>1.1272495411358026E-2</v>
      </c>
      <c r="N222" s="9"/>
      <c r="O222" s="21">
        <v>0.96755999999999998</v>
      </c>
      <c r="P222" s="21">
        <v>9.7711100000000002</v>
      </c>
      <c r="Q222" s="24">
        <v>-2.9266400000000002E-5</v>
      </c>
      <c r="R222" s="21">
        <v>212</v>
      </c>
      <c r="S222" s="21">
        <v>0.96679700000000002</v>
      </c>
      <c r="T222">
        <f t="shared" si="38"/>
        <v>3.6131358024691355E-2</v>
      </c>
      <c r="U222">
        <f t="shared" si="39"/>
        <v>3.4959256770370366E-2</v>
      </c>
      <c r="X222" s="9"/>
      <c r="Y222" s="21">
        <v>0.13244600000000001</v>
      </c>
      <c r="Z222" s="21">
        <v>14.131500000000001</v>
      </c>
      <c r="AA222" s="24">
        <v>-6.4819299999999998E-5</v>
      </c>
      <c r="AB222" s="21">
        <v>212</v>
      </c>
      <c r="AC222" s="21">
        <v>0.13214100000000001</v>
      </c>
      <c r="AD222">
        <f t="shared" si="40"/>
        <v>8.0023827160493818E-2</v>
      </c>
      <c r="AE222">
        <f t="shared" si="41"/>
        <v>1.0598835812098764E-2</v>
      </c>
      <c r="AF222" s="9"/>
      <c r="AG222" s="21">
        <v>0.96755999999999998</v>
      </c>
      <c r="AH222" s="21">
        <v>16.752300000000002</v>
      </c>
      <c r="AI222" s="24">
        <v>-2.69775E-5</v>
      </c>
      <c r="AJ222" s="21">
        <v>212</v>
      </c>
      <c r="AK222" s="21">
        <v>0.96679700000000002</v>
      </c>
      <c r="AL222">
        <f t="shared" si="42"/>
        <v>3.3305555555555554E-2</v>
      </c>
      <c r="AM222">
        <f t="shared" si="43"/>
        <v>3.2225123333333328E-2</v>
      </c>
      <c r="AP222" s="9"/>
      <c r="AQ222" s="21">
        <v>0.13244600000000001</v>
      </c>
      <c r="AR222" s="21">
        <v>21.0547</v>
      </c>
      <c r="AS222" s="24">
        <v>-6.2591599999999999E-5</v>
      </c>
      <c r="AT222" s="21">
        <v>212</v>
      </c>
      <c r="AU222" s="21">
        <v>0.13211100000000001</v>
      </c>
      <c r="AV222">
        <f t="shared" si="44"/>
        <v>7.7273580246913581E-2</v>
      </c>
      <c r="AW222">
        <f t="shared" si="45"/>
        <v>1.0234576609382717E-2</v>
      </c>
      <c r="AX222" s="9"/>
      <c r="AY222" s="21">
        <v>0.96755999999999998</v>
      </c>
      <c r="AZ222" s="21">
        <v>23.6755</v>
      </c>
      <c r="BA222" s="24">
        <v>-2.5970500000000001E-5</v>
      </c>
      <c r="BB222" s="21">
        <v>212</v>
      </c>
      <c r="BC222" s="21">
        <v>0.96649200000000002</v>
      </c>
      <c r="BD222">
        <f t="shared" si="46"/>
        <v>3.2062345679012345E-2</v>
      </c>
      <c r="BE222">
        <f t="shared" si="47"/>
        <v>3.1022243185185185E-2</v>
      </c>
      <c r="BH222" s="9"/>
      <c r="BI222" s="21"/>
      <c r="BJ222" s="21"/>
      <c r="BK222" s="21"/>
      <c r="BL222" s="21"/>
      <c r="BM222" s="21"/>
      <c r="BP222" s="9"/>
      <c r="BQ222" s="21"/>
      <c r="BR222" s="21"/>
      <c r="BS222" s="21"/>
      <c r="BT222" s="21"/>
      <c r="BU222" s="21"/>
      <c r="BZ222" s="9"/>
      <c r="CA222" s="21"/>
      <c r="CB222" s="21"/>
      <c r="CC222" s="21"/>
      <c r="CD222" s="21"/>
      <c r="CE222" s="21"/>
      <c r="CH222" s="9"/>
      <c r="CI222" s="21"/>
      <c r="CJ222" s="21"/>
      <c r="CK222" s="21"/>
      <c r="CL222" s="21"/>
      <c r="CM222" s="21"/>
      <c r="CR222" s="9"/>
      <c r="CS222" s="21"/>
      <c r="CT222" s="21"/>
      <c r="CU222" s="21"/>
      <c r="CV222" s="21"/>
      <c r="CW222" s="21"/>
      <c r="CZ222" s="9"/>
      <c r="DA222" s="21"/>
      <c r="DB222" s="21"/>
      <c r="DC222" s="21"/>
      <c r="DD222" s="21"/>
      <c r="DE222" s="21"/>
      <c r="DJ222" s="9"/>
      <c r="DK222" s="21"/>
      <c r="DL222" s="21"/>
      <c r="DM222" s="21"/>
      <c r="DN222" s="21"/>
      <c r="DO222" s="21"/>
      <c r="DR222" s="9"/>
      <c r="DS222" s="21"/>
      <c r="DT222" s="21"/>
      <c r="DU222" s="21"/>
      <c r="DV222" s="21"/>
      <c r="DW222" s="21"/>
      <c r="EB222" s="9"/>
      <c r="EC222" s="21"/>
      <c r="ED222" s="21"/>
      <c r="EE222" s="21"/>
      <c r="EF222" s="21"/>
      <c r="EG222" s="21"/>
      <c r="EJ222" s="9"/>
      <c r="EK222" s="21"/>
      <c r="EL222" s="21"/>
      <c r="EM222" s="21"/>
      <c r="EN222" s="21"/>
      <c r="EO222" s="21"/>
      <c r="ET222" s="21"/>
      <c r="EU222" s="21"/>
      <c r="EV222" s="21"/>
      <c r="EW222" s="21"/>
      <c r="EX222" s="21"/>
      <c r="FA222" s="9"/>
      <c r="FB222" s="21"/>
      <c r="FC222" s="21"/>
      <c r="FD222" s="21"/>
      <c r="FE222" s="21"/>
      <c r="FF222" s="21"/>
    </row>
    <row r="223" spans="6:162" x14ac:dyDescent="0.25">
      <c r="F223" s="9"/>
      <c r="G223" s="21">
        <v>0.127411</v>
      </c>
      <c r="H223" s="21">
        <v>7.1604400000000004</v>
      </c>
      <c r="I223" s="24">
        <v>-6.9183299999999999E-5</v>
      </c>
      <c r="J223" s="21">
        <v>213</v>
      </c>
      <c r="K223" s="21">
        <v>0.12707499999999999</v>
      </c>
      <c r="L223">
        <f t="shared" si="36"/>
        <v>8.5411481481481477E-2</v>
      </c>
      <c r="M223">
        <f t="shared" si="37"/>
        <v>1.0882362267037036E-2</v>
      </c>
      <c r="N223" s="9"/>
      <c r="O223" s="21">
        <v>0.97259499999999999</v>
      </c>
      <c r="P223" s="21">
        <v>9.7811800000000009</v>
      </c>
      <c r="Q223" s="24">
        <v>-2.8930700000000001E-5</v>
      </c>
      <c r="R223" s="21">
        <v>213</v>
      </c>
      <c r="S223" s="21">
        <v>0.97167999999999999</v>
      </c>
      <c r="T223">
        <f t="shared" si="38"/>
        <v>3.5716913580246909E-2</v>
      </c>
      <c r="U223">
        <f t="shared" si="39"/>
        <v>3.4738091563580244E-2</v>
      </c>
      <c r="X223" s="9"/>
      <c r="Y223" s="21">
        <v>0.127411</v>
      </c>
      <c r="Z223" s="21">
        <v>14.1416</v>
      </c>
      <c r="AA223" s="24">
        <v>-6.4880400000000003E-5</v>
      </c>
      <c r="AB223" s="21">
        <v>213</v>
      </c>
      <c r="AC223" s="21">
        <v>0.127136</v>
      </c>
      <c r="AD223">
        <f t="shared" si="40"/>
        <v>8.0099259259259259E-2</v>
      </c>
      <c r="AE223">
        <f t="shared" si="41"/>
        <v>1.0205526721481482E-2</v>
      </c>
      <c r="AF223" s="9"/>
      <c r="AG223" s="21">
        <v>0.97259499999999999</v>
      </c>
      <c r="AH223" s="21">
        <v>16.7624</v>
      </c>
      <c r="AI223" s="24">
        <v>-2.66113E-5</v>
      </c>
      <c r="AJ223" s="21">
        <v>213</v>
      </c>
      <c r="AK223" s="21">
        <v>0.97137499999999999</v>
      </c>
      <c r="AL223">
        <f t="shared" si="42"/>
        <v>3.2853456790123456E-2</v>
      </c>
      <c r="AM223">
        <f t="shared" si="43"/>
        <v>3.1953107806790122E-2</v>
      </c>
      <c r="AP223" s="9"/>
      <c r="AQ223" s="21">
        <v>0.127411</v>
      </c>
      <c r="AR223" s="21">
        <v>21.064800000000002</v>
      </c>
      <c r="AS223" s="24">
        <v>-6.2652599999999997E-5</v>
      </c>
      <c r="AT223" s="21">
        <v>213</v>
      </c>
      <c r="AU223" s="21">
        <v>0.12704499999999999</v>
      </c>
      <c r="AV223">
        <f t="shared" si="44"/>
        <v>7.7348888888888884E-2</v>
      </c>
      <c r="AW223">
        <f t="shared" si="45"/>
        <v>9.8550992822222221E-3</v>
      </c>
      <c r="AX223" s="9"/>
      <c r="AY223" s="21">
        <v>0.97259499999999999</v>
      </c>
      <c r="AZ223" s="21">
        <v>23.685500000000001</v>
      </c>
      <c r="BA223" s="24">
        <v>-2.57568E-5</v>
      </c>
      <c r="BB223" s="21">
        <v>213</v>
      </c>
      <c r="BC223" s="21">
        <v>0.97137499999999999</v>
      </c>
      <c r="BD223">
        <f t="shared" si="46"/>
        <v>3.1798518518518518E-2</v>
      </c>
      <c r="BE223">
        <f t="shared" si="47"/>
        <v>3.0927080118518517E-2</v>
      </c>
      <c r="BH223" s="9"/>
      <c r="BI223" s="21"/>
      <c r="BJ223" s="21"/>
      <c r="BK223" s="21"/>
      <c r="BL223" s="21"/>
      <c r="BM223" s="21"/>
      <c r="BP223" s="9"/>
      <c r="BQ223" s="21"/>
      <c r="BR223" s="21"/>
      <c r="BS223" s="21"/>
      <c r="BT223" s="21"/>
      <c r="BU223" s="21"/>
      <c r="BZ223" s="9"/>
      <c r="CA223" s="21"/>
      <c r="CB223" s="21"/>
      <c r="CC223" s="21"/>
      <c r="CD223" s="21"/>
      <c r="CE223" s="21"/>
      <c r="CH223" s="9"/>
      <c r="CI223" s="21"/>
      <c r="CJ223" s="21"/>
      <c r="CK223" s="21"/>
      <c r="CL223" s="21"/>
      <c r="CM223" s="21"/>
      <c r="CR223" s="9"/>
      <c r="CS223" s="21"/>
      <c r="CT223" s="21"/>
      <c r="CU223" s="21"/>
      <c r="CV223" s="21"/>
      <c r="CW223" s="21"/>
      <c r="CZ223" s="9"/>
      <c r="DA223" s="21"/>
      <c r="DB223" s="21"/>
      <c r="DC223" s="21"/>
      <c r="DD223" s="21"/>
      <c r="DE223" s="21"/>
      <c r="DJ223" s="9"/>
      <c r="DK223" s="21"/>
      <c r="DL223" s="21"/>
      <c r="DM223" s="21"/>
      <c r="DN223" s="21"/>
      <c r="DO223" s="21"/>
      <c r="DR223" s="9"/>
      <c r="DS223" s="21"/>
      <c r="DT223" s="21"/>
      <c r="DU223" s="21"/>
      <c r="DV223" s="21"/>
      <c r="DW223" s="21"/>
      <c r="EB223" s="9"/>
      <c r="EC223" s="21"/>
      <c r="ED223" s="21"/>
      <c r="EE223" s="21"/>
      <c r="EF223" s="21"/>
      <c r="EG223" s="21"/>
      <c r="EJ223" s="9"/>
      <c r="EK223" s="21"/>
      <c r="EL223" s="21"/>
      <c r="EM223" s="21"/>
      <c r="EN223" s="21"/>
      <c r="EO223" s="21"/>
      <c r="ET223" s="21"/>
      <c r="EU223" s="21"/>
      <c r="EV223" s="21"/>
      <c r="EW223" s="21"/>
      <c r="EX223" s="21"/>
      <c r="FA223" s="9"/>
      <c r="FB223" s="21"/>
      <c r="FC223" s="21"/>
      <c r="FD223" s="21"/>
      <c r="FE223" s="21"/>
      <c r="FF223" s="21"/>
    </row>
    <row r="224" spans="6:162" x14ac:dyDescent="0.25">
      <c r="F224" s="9"/>
      <c r="G224" s="21">
        <v>0.122375</v>
      </c>
      <c r="H224" s="21">
        <v>7.1705100000000002</v>
      </c>
      <c r="I224" s="24">
        <v>-6.9274899999999996E-5</v>
      </c>
      <c r="J224" s="21">
        <v>214</v>
      </c>
      <c r="K224" s="21">
        <v>0.122101</v>
      </c>
      <c r="L224">
        <f t="shared" si="36"/>
        <v>8.5524567901234555E-2</v>
      </c>
      <c r="M224">
        <f t="shared" si="37"/>
        <v>1.0466068996913578E-2</v>
      </c>
      <c r="N224" s="9"/>
      <c r="O224" s="21">
        <v>0.97763100000000003</v>
      </c>
      <c r="P224" s="21">
        <v>9.7912499999999998</v>
      </c>
      <c r="Q224" s="24">
        <v>-2.8503399999999999E-5</v>
      </c>
      <c r="R224" s="21">
        <v>214</v>
      </c>
      <c r="S224" s="21">
        <v>0.97656299999999996</v>
      </c>
      <c r="T224">
        <f t="shared" si="38"/>
        <v>3.5189382716049385E-2</v>
      </c>
      <c r="U224">
        <f t="shared" si="39"/>
        <v>3.4402231414074079E-2</v>
      </c>
      <c r="X224" s="9"/>
      <c r="Y224" s="21">
        <v>0.122375</v>
      </c>
      <c r="Z224" s="21">
        <v>14.1517</v>
      </c>
      <c r="AA224" s="24">
        <v>-6.4971899999999994E-5</v>
      </c>
      <c r="AB224" s="21">
        <v>214</v>
      </c>
      <c r="AC224" s="21">
        <v>0.122101</v>
      </c>
      <c r="AD224">
        <f t="shared" si="40"/>
        <v>8.0212222222222213E-2</v>
      </c>
      <c r="AE224">
        <f t="shared" si="41"/>
        <v>9.8159706944444432E-3</v>
      </c>
      <c r="AF224" s="9"/>
      <c r="AG224" s="21">
        <v>0.97763100000000003</v>
      </c>
      <c r="AH224" s="21">
        <v>16.772400000000001</v>
      </c>
      <c r="AI224" s="24">
        <v>-2.6184099999999999E-5</v>
      </c>
      <c r="AJ224" s="21">
        <v>214</v>
      </c>
      <c r="AK224" s="21">
        <v>0.97686799999999996</v>
      </c>
      <c r="AL224">
        <f t="shared" si="42"/>
        <v>3.2326049382716042E-2</v>
      </c>
      <c r="AM224">
        <f t="shared" si="43"/>
        <v>3.1602947984074065E-2</v>
      </c>
      <c r="AP224" s="9"/>
      <c r="AQ224" s="21">
        <v>0.122375</v>
      </c>
      <c r="AR224" s="21">
        <v>21.0749</v>
      </c>
      <c r="AS224" s="24">
        <v>-6.2652599999999997E-5</v>
      </c>
      <c r="AT224" s="21">
        <v>214</v>
      </c>
      <c r="AU224" s="21">
        <v>0.12207</v>
      </c>
      <c r="AV224">
        <f t="shared" si="44"/>
        <v>7.7348888888888884E-2</v>
      </c>
      <c r="AW224">
        <f t="shared" si="45"/>
        <v>9.4655702777777777E-3</v>
      </c>
      <c r="AX224" s="9"/>
      <c r="AY224" s="21">
        <v>0.97763100000000003</v>
      </c>
      <c r="AZ224" s="21">
        <v>23.695599999999999</v>
      </c>
      <c r="BA224" s="24">
        <v>-2.5329599999999999E-5</v>
      </c>
      <c r="BB224" s="21">
        <v>214</v>
      </c>
      <c r="BC224" s="21">
        <v>0.97656299999999996</v>
      </c>
      <c r="BD224">
        <f t="shared" si="46"/>
        <v>3.1271111111111111E-2</v>
      </c>
      <c r="BE224">
        <f t="shared" si="47"/>
        <v>3.0571607626666667E-2</v>
      </c>
      <c r="BH224" s="9"/>
      <c r="BI224" s="21"/>
      <c r="BJ224" s="21"/>
      <c r="BK224" s="21"/>
      <c r="BL224" s="21"/>
      <c r="BM224" s="21"/>
      <c r="BP224" s="9"/>
      <c r="BQ224" s="21"/>
      <c r="BR224" s="21"/>
      <c r="BS224" s="21"/>
      <c r="BT224" s="21"/>
      <c r="BU224" s="21"/>
      <c r="BZ224" s="9"/>
      <c r="CA224" s="21"/>
      <c r="CB224" s="21"/>
      <c r="CC224" s="21"/>
      <c r="CD224" s="21"/>
      <c r="CE224" s="21"/>
      <c r="CH224" s="9"/>
      <c r="CI224" s="21"/>
      <c r="CJ224" s="21"/>
      <c r="CK224" s="21"/>
      <c r="CL224" s="21"/>
      <c r="CM224" s="21"/>
      <c r="CR224" s="9"/>
      <c r="CS224" s="21"/>
      <c r="CT224" s="21"/>
      <c r="CU224" s="21"/>
      <c r="CV224" s="21"/>
      <c r="CW224" s="21"/>
      <c r="CZ224" s="9"/>
      <c r="DA224" s="21"/>
      <c r="DB224" s="21"/>
      <c r="DC224" s="21"/>
      <c r="DD224" s="21"/>
      <c r="DE224" s="21"/>
      <c r="DJ224" s="9"/>
      <c r="DK224" s="21"/>
      <c r="DL224" s="21"/>
      <c r="DM224" s="21"/>
      <c r="DN224" s="21"/>
      <c r="DO224" s="21"/>
      <c r="DR224" s="9"/>
      <c r="DS224" s="21"/>
      <c r="DT224" s="21"/>
      <c r="DU224" s="21"/>
      <c r="DV224" s="21"/>
      <c r="DW224" s="21"/>
      <c r="EB224" s="9"/>
      <c r="EC224" s="21"/>
      <c r="ED224" s="21"/>
      <c r="EE224" s="21"/>
      <c r="EF224" s="21"/>
      <c r="EG224" s="21"/>
      <c r="EJ224" s="9"/>
      <c r="EK224" s="21"/>
      <c r="EL224" s="21"/>
      <c r="EM224" s="21"/>
      <c r="EN224" s="21"/>
      <c r="EO224" s="21"/>
      <c r="ET224" s="21"/>
      <c r="EU224" s="21"/>
      <c r="EV224" s="21"/>
      <c r="EW224" s="21"/>
      <c r="EX224" s="21"/>
      <c r="FA224" s="9"/>
      <c r="FB224" s="21"/>
      <c r="FC224" s="21"/>
      <c r="FD224" s="21"/>
      <c r="FE224" s="21"/>
      <c r="FF224" s="21"/>
    </row>
    <row r="225" spans="6:162" x14ac:dyDescent="0.25">
      <c r="F225" s="9"/>
      <c r="G225" s="21">
        <v>0.11734</v>
      </c>
      <c r="H225" s="21">
        <v>7.18058</v>
      </c>
      <c r="I225" s="24">
        <v>-6.9397E-5</v>
      </c>
      <c r="J225" s="21">
        <v>215</v>
      </c>
      <c r="K225" s="21">
        <v>0.117065</v>
      </c>
      <c r="L225">
        <f t="shared" si="36"/>
        <v>8.5675308641975312E-2</v>
      </c>
      <c r="M225">
        <f t="shared" si="37"/>
        <v>1.0053140716049383E-2</v>
      </c>
      <c r="N225" s="9"/>
      <c r="O225" s="21">
        <v>0.98266600000000004</v>
      </c>
      <c r="P225" s="21">
        <v>9.8013200000000005</v>
      </c>
      <c r="Q225" s="24">
        <v>-2.82288E-5</v>
      </c>
      <c r="R225" s="21">
        <v>215</v>
      </c>
      <c r="S225" s="21">
        <v>0.98175000000000001</v>
      </c>
      <c r="T225">
        <f t="shared" si="38"/>
        <v>3.4850370370370365E-2</v>
      </c>
      <c r="U225">
        <f t="shared" si="39"/>
        <v>3.4246274050370368E-2</v>
      </c>
      <c r="X225" s="9"/>
      <c r="Y225" s="21">
        <v>0.11734</v>
      </c>
      <c r="Z225" s="21">
        <v>14.161799999999999</v>
      </c>
      <c r="AA225" s="24">
        <v>-6.5032999999999999E-5</v>
      </c>
      <c r="AB225" s="21">
        <v>215</v>
      </c>
      <c r="AC225" s="21">
        <v>0.117065</v>
      </c>
      <c r="AD225">
        <f t="shared" si="40"/>
        <v>8.0287654320987653E-2</v>
      </c>
      <c r="AE225">
        <f t="shared" si="41"/>
        <v>9.4209533580246908E-3</v>
      </c>
      <c r="AF225" s="9"/>
      <c r="AG225" s="21">
        <v>0.98266600000000004</v>
      </c>
      <c r="AH225" s="21">
        <v>16.782499999999999</v>
      </c>
      <c r="AI225" s="24">
        <v>-2.5726300000000001E-5</v>
      </c>
      <c r="AJ225" s="21">
        <v>215</v>
      </c>
      <c r="AK225" s="21">
        <v>0.98205600000000004</v>
      </c>
      <c r="AL225">
        <f t="shared" si="42"/>
        <v>3.1760864197530866E-2</v>
      </c>
      <c r="AM225">
        <f t="shared" si="43"/>
        <v>3.1210321377530867E-2</v>
      </c>
      <c r="AP225" s="9"/>
      <c r="AQ225" s="21">
        <v>0.11734</v>
      </c>
      <c r="AR225" s="21">
        <v>21.084900000000001</v>
      </c>
      <c r="AS225" s="24">
        <v>-6.2805200000000006E-5</v>
      </c>
      <c r="AT225" s="21">
        <v>215</v>
      </c>
      <c r="AU225" s="21">
        <v>0.117065</v>
      </c>
      <c r="AV225">
        <f t="shared" si="44"/>
        <v>7.7537283950617292E-2</v>
      </c>
      <c r="AW225">
        <f t="shared" si="45"/>
        <v>9.0982248987654338E-3</v>
      </c>
      <c r="AX225" s="9"/>
      <c r="AY225" s="21">
        <v>0.98266600000000004</v>
      </c>
      <c r="AZ225" s="21">
        <v>23.7057</v>
      </c>
      <c r="BA225" s="24">
        <v>-2.5116000000000001E-5</v>
      </c>
      <c r="BB225" s="21">
        <v>215</v>
      </c>
      <c r="BC225" s="21">
        <v>0.98175000000000001</v>
      </c>
      <c r="BD225">
        <f t="shared" si="46"/>
        <v>3.1007407407407407E-2</v>
      </c>
      <c r="BE225">
        <f t="shared" si="47"/>
        <v>3.046992500740741E-2</v>
      </c>
      <c r="BH225" s="9"/>
      <c r="BI225" s="21"/>
      <c r="BJ225" s="21"/>
      <c r="BK225" s="21"/>
      <c r="BL225" s="21"/>
      <c r="BM225" s="21"/>
      <c r="BP225" s="9"/>
      <c r="BQ225" s="21"/>
      <c r="BR225" s="21"/>
      <c r="BS225" s="21"/>
      <c r="BT225" s="21"/>
      <c r="BU225" s="21"/>
      <c r="BZ225" s="9"/>
      <c r="CA225" s="21"/>
      <c r="CB225" s="21"/>
      <c r="CC225" s="21"/>
      <c r="CD225" s="21"/>
      <c r="CE225" s="21"/>
      <c r="CH225" s="9"/>
      <c r="CI225" s="21"/>
      <c r="CJ225" s="21"/>
      <c r="CK225" s="21"/>
      <c r="CL225" s="21"/>
      <c r="CM225" s="21"/>
      <c r="CR225" s="9"/>
      <c r="CS225" s="21"/>
      <c r="CT225" s="21"/>
      <c r="CU225" s="21"/>
      <c r="CV225" s="21"/>
      <c r="CW225" s="21"/>
      <c r="CZ225" s="9"/>
      <c r="DA225" s="21"/>
      <c r="DB225" s="21"/>
      <c r="DC225" s="21"/>
      <c r="DD225" s="21"/>
      <c r="DE225" s="21"/>
      <c r="DJ225" s="9"/>
      <c r="DK225" s="21"/>
      <c r="DL225" s="21"/>
      <c r="DM225" s="21"/>
      <c r="DN225" s="21"/>
      <c r="DO225" s="21"/>
      <c r="DR225" s="9"/>
      <c r="DS225" s="21"/>
      <c r="DT225" s="21"/>
      <c r="DU225" s="21"/>
      <c r="DV225" s="21"/>
      <c r="DW225" s="21"/>
      <c r="EB225" s="9"/>
      <c r="EC225" s="21"/>
      <c r="ED225" s="21"/>
      <c r="EE225" s="21"/>
      <c r="EF225" s="21"/>
      <c r="EG225" s="21"/>
      <c r="EJ225" s="9"/>
      <c r="EK225" s="21"/>
      <c r="EL225" s="21"/>
      <c r="EM225" s="21"/>
      <c r="EN225" s="21"/>
      <c r="EO225" s="21"/>
      <c r="ET225" s="21"/>
      <c r="EU225" s="21"/>
      <c r="EV225" s="21"/>
      <c r="EW225" s="21"/>
      <c r="EX225" s="21"/>
      <c r="FA225" s="9"/>
      <c r="FB225" s="21"/>
      <c r="FC225" s="21"/>
      <c r="FD225" s="21"/>
      <c r="FE225" s="21"/>
      <c r="FF225" s="21"/>
    </row>
    <row r="226" spans="6:162" x14ac:dyDescent="0.25">
      <c r="F226" s="9"/>
      <c r="G226" s="21">
        <v>0.112305</v>
      </c>
      <c r="H226" s="21">
        <v>7.1906600000000003</v>
      </c>
      <c r="I226" s="24">
        <v>-6.9366499999999994E-5</v>
      </c>
      <c r="J226" s="21">
        <v>216</v>
      </c>
      <c r="K226" s="21">
        <v>0.11206099999999999</v>
      </c>
      <c r="L226">
        <f t="shared" si="36"/>
        <v>8.5637654320987647E-2</v>
      </c>
      <c r="M226">
        <f t="shared" si="37"/>
        <v>9.6175367685185174E-3</v>
      </c>
      <c r="N226" s="9"/>
      <c r="O226" s="21">
        <v>0.98770100000000005</v>
      </c>
      <c r="P226" s="21">
        <v>9.8114000000000008</v>
      </c>
      <c r="Q226" s="24">
        <v>-2.78625E-5</v>
      </c>
      <c r="R226" s="21">
        <v>216</v>
      </c>
      <c r="S226" s="21">
        <v>0.98693799999999998</v>
      </c>
      <c r="T226">
        <f t="shared" si="38"/>
        <v>3.4398148148148143E-2</v>
      </c>
      <c r="U226">
        <f t="shared" si="39"/>
        <v>3.3975085324074068E-2</v>
      </c>
      <c r="X226" s="9"/>
      <c r="Y226" s="21">
        <v>0.112305</v>
      </c>
      <c r="Z226" s="21">
        <v>14.171799999999999</v>
      </c>
      <c r="AA226" s="24">
        <v>-6.5154999999999995E-5</v>
      </c>
      <c r="AB226" s="21">
        <v>216</v>
      </c>
      <c r="AC226" s="21">
        <v>0.111969</v>
      </c>
      <c r="AD226">
        <f t="shared" si="40"/>
        <v>8.0438271604938272E-2</v>
      </c>
      <c r="AE226">
        <f t="shared" si="41"/>
        <v>9.0336200925925925E-3</v>
      </c>
      <c r="AF226" s="9"/>
      <c r="AG226" s="21">
        <v>0.98770100000000005</v>
      </c>
      <c r="AH226" s="21">
        <v>16.7926</v>
      </c>
      <c r="AI226" s="24">
        <v>-2.5360100000000001E-5</v>
      </c>
      <c r="AJ226" s="21">
        <v>216</v>
      </c>
      <c r="AK226" s="21">
        <v>0.98693799999999998</v>
      </c>
      <c r="AL226">
        <f t="shared" si="42"/>
        <v>3.1308765432098769E-2</v>
      </c>
      <c r="AM226">
        <f t="shared" si="43"/>
        <v>3.0923698926049386E-2</v>
      </c>
      <c r="AP226" s="9"/>
      <c r="AQ226" s="21">
        <v>0.112305</v>
      </c>
      <c r="AR226" s="21">
        <v>21.094999999999999</v>
      </c>
      <c r="AS226" s="24">
        <v>-6.2896699999999997E-5</v>
      </c>
      <c r="AT226" s="21">
        <v>216</v>
      </c>
      <c r="AU226" s="21">
        <v>0.111969</v>
      </c>
      <c r="AV226">
        <f t="shared" si="44"/>
        <v>7.7650246913580245E-2</v>
      </c>
      <c r="AW226">
        <f t="shared" si="45"/>
        <v>8.7205109796296299E-3</v>
      </c>
      <c r="AX226" s="9"/>
      <c r="AY226" s="21">
        <v>0.98770100000000005</v>
      </c>
      <c r="AZ226" s="21">
        <v>23.715800000000002</v>
      </c>
      <c r="BA226" s="24">
        <v>-2.4780300000000001E-5</v>
      </c>
      <c r="BB226" s="21">
        <v>216</v>
      </c>
      <c r="BC226" s="21">
        <v>0.98693799999999998</v>
      </c>
      <c r="BD226">
        <f t="shared" si="46"/>
        <v>3.0592962962962964E-2</v>
      </c>
      <c r="BE226">
        <f t="shared" si="47"/>
        <v>3.0216700111481483E-2</v>
      </c>
      <c r="BH226" s="9"/>
      <c r="BI226" s="21"/>
      <c r="BJ226" s="21"/>
      <c r="BK226" s="21"/>
      <c r="BL226" s="21"/>
      <c r="BM226" s="21"/>
      <c r="BP226" s="9"/>
      <c r="BQ226" s="21"/>
      <c r="BR226" s="21"/>
      <c r="BS226" s="21"/>
      <c r="BT226" s="21"/>
      <c r="BU226" s="21"/>
      <c r="BZ226" s="9"/>
      <c r="CA226" s="21"/>
      <c r="CB226" s="21"/>
      <c r="CC226" s="21"/>
      <c r="CD226" s="21"/>
      <c r="CE226" s="21"/>
      <c r="CH226" s="9"/>
      <c r="CI226" s="21"/>
      <c r="CJ226" s="21"/>
      <c r="CK226" s="21"/>
      <c r="CL226" s="21"/>
      <c r="CM226" s="21"/>
      <c r="CR226" s="9"/>
      <c r="CS226" s="21"/>
      <c r="CT226" s="21"/>
      <c r="CU226" s="21"/>
      <c r="CV226" s="21"/>
      <c r="CW226" s="21"/>
      <c r="CZ226" s="9"/>
      <c r="DA226" s="21"/>
      <c r="DB226" s="21"/>
      <c r="DC226" s="21"/>
      <c r="DD226" s="21"/>
      <c r="DE226" s="21"/>
      <c r="DJ226" s="9"/>
      <c r="DK226" s="21"/>
      <c r="DL226" s="21"/>
      <c r="DM226" s="21"/>
      <c r="DN226" s="21"/>
      <c r="DO226" s="21"/>
      <c r="DR226" s="9"/>
      <c r="DS226" s="21"/>
      <c r="DT226" s="21"/>
      <c r="DU226" s="21"/>
      <c r="DV226" s="21"/>
      <c r="DW226" s="21"/>
      <c r="EB226" s="9"/>
      <c r="EC226" s="21"/>
      <c r="ED226" s="21"/>
      <c r="EE226" s="21"/>
      <c r="EF226" s="21"/>
      <c r="EG226" s="21"/>
      <c r="EJ226" s="9"/>
      <c r="EK226" s="21"/>
      <c r="EL226" s="21"/>
      <c r="EM226" s="21"/>
      <c r="EN226" s="21"/>
      <c r="EO226" s="21"/>
      <c r="ET226" s="21"/>
      <c r="EU226" s="21"/>
      <c r="EV226" s="21"/>
      <c r="EW226" s="21"/>
      <c r="EX226" s="21"/>
      <c r="FA226" s="9"/>
      <c r="FB226" s="21"/>
      <c r="FC226" s="21"/>
      <c r="FD226" s="21"/>
      <c r="FE226" s="21"/>
      <c r="FF226" s="21"/>
    </row>
    <row r="227" spans="6:162" x14ac:dyDescent="0.25">
      <c r="F227" s="9"/>
      <c r="G227" s="21">
        <v>0.107269</v>
      </c>
      <c r="H227" s="21">
        <v>7.2007300000000001</v>
      </c>
      <c r="I227" s="24">
        <v>-6.9549599999999996E-5</v>
      </c>
      <c r="J227" s="21">
        <v>217</v>
      </c>
      <c r="K227" s="21">
        <v>0.106934</v>
      </c>
      <c r="L227">
        <f t="shared" si="36"/>
        <v>8.5863703703703692E-2</v>
      </c>
      <c r="M227">
        <f t="shared" si="37"/>
        <v>9.2105136325925912E-3</v>
      </c>
      <c r="N227" s="9"/>
      <c r="O227" s="21">
        <v>0.99273699999999998</v>
      </c>
      <c r="P227" s="21">
        <v>9.8214699999999997</v>
      </c>
      <c r="Q227" s="24">
        <v>-2.7526899999999999E-5</v>
      </c>
      <c r="R227" s="21">
        <v>217</v>
      </c>
      <c r="S227" s="21">
        <v>0.99151599999999995</v>
      </c>
      <c r="T227">
        <f t="shared" si="38"/>
        <v>3.3983827160493821E-2</v>
      </c>
      <c r="U227">
        <f t="shared" si="39"/>
        <v>3.3737002623827152E-2</v>
      </c>
      <c r="X227" s="9"/>
      <c r="Y227" s="21">
        <v>0.107269</v>
      </c>
      <c r="Z227" s="21">
        <v>14.181900000000001</v>
      </c>
      <c r="AA227" s="24">
        <v>-6.5185500000000001E-5</v>
      </c>
      <c r="AB227" s="21">
        <v>217</v>
      </c>
      <c r="AC227" s="21">
        <v>0.106964</v>
      </c>
      <c r="AD227">
        <f t="shared" si="40"/>
        <v>8.0475925925925909E-2</v>
      </c>
      <c r="AE227">
        <f t="shared" si="41"/>
        <v>8.6325720981481474E-3</v>
      </c>
      <c r="AF227" s="9"/>
      <c r="AG227" s="21">
        <v>0.99273699999999998</v>
      </c>
      <c r="AH227" s="21">
        <v>16.802600000000002</v>
      </c>
      <c r="AI227" s="24">
        <v>-2.49023E-5</v>
      </c>
      <c r="AJ227" s="21">
        <v>217</v>
      </c>
      <c r="AK227" s="21">
        <v>0.99182099999999995</v>
      </c>
      <c r="AL227">
        <f t="shared" si="42"/>
        <v>3.0743580246913579E-2</v>
      </c>
      <c r="AM227">
        <f t="shared" si="43"/>
        <v>3.0520289623580246E-2</v>
      </c>
      <c r="AP227" s="9"/>
      <c r="AQ227" s="21">
        <v>0.107269</v>
      </c>
      <c r="AR227" s="21">
        <v>21.1051</v>
      </c>
      <c r="AS227" s="24">
        <v>-6.30188E-5</v>
      </c>
      <c r="AT227" s="21">
        <v>217</v>
      </c>
      <c r="AU227" s="21">
        <v>0.106964</v>
      </c>
      <c r="AV227">
        <f t="shared" si="44"/>
        <v>7.7800987654320974E-2</v>
      </c>
      <c r="AW227">
        <f t="shared" si="45"/>
        <v>8.3456341446913572E-3</v>
      </c>
      <c r="AX227" s="9"/>
      <c r="AY227" s="21">
        <v>0.99273699999999998</v>
      </c>
      <c r="AZ227" s="21">
        <v>23.7258</v>
      </c>
      <c r="BA227" s="24">
        <v>-2.4505600000000001E-5</v>
      </c>
      <c r="BB227" s="21">
        <v>217</v>
      </c>
      <c r="BC227" s="21">
        <v>0.99151599999999995</v>
      </c>
      <c r="BD227">
        <f t="shared" si="46"/>
        <v>3.0253827160493827E-2</v>
      </c>
      <c r="BE227">
        <f t="shared" si="47"/>
        <v>3.0034093613827161E-2</v>
      </c>
      <c r="BH227" s="9"/>
      <c r="BI227" s="21"/>
      <c r="BJ227" s="21"/>
      <c r="BK227" s="21"/>
      <c r="BL227" s="21"/>
      <c r="BM227" s="21"/>
      <c r="BP227" s="9"/>
      <c r="BQ227" s="21"/>
      <c r="BR227" s="21"/>
      <c r="BS227" s="21"/>
      <c r="BT227" s="21"/>
      <c r="BU227" s="21"/>
      <c r="BZ227" s="9"/>
      <c r="CA227" s="21"/>
      <c r="CB227" s="21"/>
      <c r="CC227" s="21"/>
      <c r="CD227" s="21"/>
      <c r="CE227" s="21"/>
      <c r="CH227" s="9"/>
      <c r="CI227" s="21"/>
      <c r="CJ227" s="21"/>
      <c r="CK227" s="21"/>
      <c r="CL227" s="21"/>
      <c r="CM227" s="21"/>
      <c r="CR227" s="9"/>
      <c r="CS227" s="21"/>
      <c r="CT227" s="21"/>
      <c r="CU227" s="21"/>
      <c r="CV227" s="21"/>
      <c r="CW227" s="21"/>
      <c r="CZ227" s="9"/>
      <c r="DA227" s="21"/>
      <c r="DB227" s="21"/>
      <c r="DC227" s="21"/>
      <c r="DD227" s="21"/>
      <c r="DE227" s="21"/>
      <c r="DJ227" s="9"/>
      <c r="DK227" s="21"/>
      <c r="DL227" s="21"/>
      <c r="DM227" s="21"/>
      <c r="DN227" s="21"/>
      <c r="DO227" s="21"/>
      <c r="DR227" s="9"/>
      <c r="DS227" s="21"/>
      <c r="DT227" s="21"/>
      <c r="DU227" s="21"/>
      <c r="DV227" s="21"/>
      <c r="DW227" s="21"/>
      <c r="EB227" s="9"/>
      <c r="EC227" s="21"/>
      <c r="ED227" s="21"/>
      <c r="EE227" s="21"/>
      <c r="EF227" s="21"/>
      <c r="EG227" s="21"/>
      <c r="EJ227" s="9"/>
      <c r="EK227" s="21"/>
      <c r="EL227" s="21"/>
      <c r="EM227" s="21"/>
      <c r="EN227" s="21"/>
      <c r="EO227" s="21"/>
      <c r="ET227" s="21"/>
      <c r="EU227" s="21"/>
      <c r="EV227" s="21"/>
      <c r="EW227" s="21"/>
      <c r="EX227" s="21"/>
      <c r="FA227" s="9"/>
      <c r="FB227" s="21"/>
      <c r="FC227" s="21"/>
      <c r="FD227" s="21"/>
      <c r="FE227" s="21"/>
      <c r="FF227" s="21"/>
    </row>
    <row r="228" spans="6:162" x14ac:dyDescent="0.25">
      <c r="F228" s="9"/>
      <c r="G228" s="21">
        <v>0.10223400000000001</v>
      </c>
      <c r="H228" s="21">
        <v>7.2107999999999999</v>
      </c>
      <c r="I228" s="24">
        <v>-6.9580100000000001E-5</v>
      </c>
      <c r="J228" s="21">
        <v>218</v>
      </c>
      <c r="K228" s="21">
        <v>0.10192900000000001</v>
      </c>
      <c r="L228">
        <f t="shared" si="36"/>
        <v>8.5901358024691357E-2</v>
      </c>
      <c r="M228">
        <f t="shared" si="37"/>
        <v>8.7820394362962961E-3</v>
      </c>
      <c r="N228" s="9"/>
      <c r="O228" s="21">
        <v>0.99777199999999999</v>
      </c>
      <c r="P228" s="21">
        <v>9.8315400000000004</v>
      </c>
      <c r="Q228" s="24">
        <v>-2.7099600000000001E-5</v>
      </c>
      <c r="R228" s="21">
        <v>218</v>
      </c>
      <c r="S228" s="21">
        <v>0.99639900000000003</v>
      </c>
      <c r="T228">
        <f t="shared" si="38"/>
        <v>3.3456296296296296E-2</v>
      </c>
      <c r="U228">
        <f t="shared" si="39"/>
        <v>3.3381755668148147E-2</v>
      </c>
      <c r="X228" s="9"/>
      <c r="Y228" s="21">
        <v>0.10223400000000001</v>
      </c>
      <c r="Z228" s="21">
        <v>14.192</v>
      </c>
      <c r="AA228" s="24">
        <v>-6.5399200000000002E-5</v>
      </c>
      <c r="AB228" s="21">
        <v>218</v>
      </c>
      <c r="AC228" s="21">
        <v>0.101898</v>
      </c>
      <c r="AD228">
        <f t="shared" si="40"/>
        <v>8.0739753086419744E-2</v>
      </c>
      <c r="AE228">
        <f t="shared" si="41"/>
        <v>8.254347917037037E-3</v>
      </c>
      <c r="AF228" s="9"/>
      <c r="AG228" s="21">
        <v>0.99777199999999999</v>
      </c>
      <c r="AH228" s="21">
        <v>16.8127</v>
      </c>
      <c r="AI228" s="24">
        <v>-2.4505600000000001E-5</v>
      </c>
      <c r="AJ228" s="21">
        <v>218</v>
      </c>
      <c r="AK228" s="21">
        <v>0.99670400000000003</v>
      </c>
      <c r="AL228">
        <f t="shared" si="42"/>
        <v>3.0253827160493827E-2</v>
      </c>
      <c r="AM228">
        <f t="shared" si="43"/>
        <v>3.0186421633580245E-2</v>
      </c>
      <c r="AP228" s="9"/>
      <c r="AQ228" s="21">
        <v>0.10223400000000001</v>
      </c>
      <c r="AR228" s="21">
        <v>21.115200000000002</v>
      </c>
      <c r="AS228" s="24">
        <v>-6.3049300000000006E-5</v>
      </c>
      <c r="AT228" s="21">
        <v>218</v>
      </c>
      <c r="AU228" s="21">
        <v>0.10195899999999999</v>
      </c>
      <c r="AV228">
        <f t="shared" si="44"/>
        <v>7.7838641975308639E-2</v>
      </c>
      <c r="AW228">
        <f t="shared" si="45"/>
        <v>7.9577557237037033E-3</v>
      </c>
      <c r="AX228" s="9"/>
      <c r="AY228" s="21">
        <v>0.99777199999999999</v>
      </c>
      <c r="AZ228" s="21">
        <v>23.735900000000001</v>
      </c>
      <c r="BA228" s="24">
        <v>-2.41699E-5</v>
      </c>
      <c r="BB228" s="21">
        <v>218</v>
      </c>
      <c r="BC228" s="21">
        <v>0.99700900000000003</v>
      </c>
      <c r="BD228">
        <f t="shared" si="46"/>
        <v>2.9839382716049381E-2</v>
      </c>
      <c r="BE228">
        <f t="shared" si="47"/>
        <v>2.9772900571358021E-2</v>
      </c>
      <c r="BH228" s="9"/>
      <c r="BI228" s="21"/>
      <c r="BJ228" s="21"/>
      <c r="BK228" s="21"/>
      <c r="BL228" s="21"/>
      <c r="BM228" s="21"/>
      <c r="BP228" s="9"/>
      <c r="BQ228" s="21"/>
      <c r="BR228" s="21"/>
      <c r="BS228" s="21"/>
      <c r="BT228" s="21"/>
      <c r="BU228" s="21"/>
      <c r="BZ228" s="9"/>
      <c r="CA228" s="21"/>
      <c r="CB228" s="21"/>
      <c r="CC228" s="21"/>
      <c r="CD228" s="21"/>
      <c r="CE228" s="21"/>
      <c r="CH228" s="9"/>
      <c r="CI228" s="21"/>
      <c r="CJ228" s="21"/>
      <c r="CK228" s="21"/>
      <c r="CL228" s="21"/>
      <c r="CM228" s="21"/>
      <c r="CR228" s="9"/>
      <c r="CS228" s="21"/>
      <c r="CT228" s="21"/>
      <c r="CU228" s="21"/>
      <c r="CV228" s="21"/>
      <c r="CW228" s="21"/>
      <c r="CZ228" s="9"/>
      <c r="DA228" s="21"/>
      <c r="DB228" s="21"/>
      <c r="DC228" s="21"/>
      <c r="DD228" s="21"/>
      <c r="DE228" s="21"/>
      <c r="DJ228" s="9"/>
      <c r="DK228" s="21"/>
      <c r="DL228" s="21"/>
      <c r="DM228" s="21"/>
      <c r="DN228" s="21"/>
      <c r="DO228" s="21"/>
      <c r="DR228" s="9"/>
      <c r="DS228" s="21"/>
      <c r="DT228" s="21"/>
      <c r="DU228" s="21"/>
      <c r="DV228" s="21"/>
      <c r="DW228" s="21"/>
      <c r="EB228" s="9"/>
      <c r="EC228" s="21"/>
      <c r="ED228" s="21"/>
      <c r="EE228" s="21"/>
      <c r="EF228" s="21"/>
      <c r="EG228" s="21"/>
      <c r="EJ228" s="9"/>
      <c r="EK228" s="21"/>
      <c r="EL228" s="21"/>
      <c r="EM228" s="21"/>
      <c r="EN228" s="21"/>
      <c r="EO228" s="21"/>
      <c r="ET228" s="21"/>
      <c r="EU228" s="21"/>
      <c r="EV228" s="21"/>
      <c r="EW228" s="21"/>
      <c r="EX228" s="21"/>
      <c r="FA228" s="9"/>
      <c r="FB228" s="21"/>
      <c r="FC228" s="21"/>
      <c r="FD228" s="21"/>
      <c r="FE228" s="21"/>
      <c r="FF228" s="21"/>
    </row>
    <row r="229" spans="6:162" x14ac:dyDescent="0.25">
      <c r="F229" s="9"/>
      <c r="G229" s="21">
        <v>9.7198499999999993E-2</v>
      </c>
      <c r="H229" s="21">
        <v>7.2208699999999997</v>
      </c>
      <c r="I229" s="24">
        <v>-6.9702099999999998E-5</v>
      </c>
      <c r="J229" s="21">
        <v>219</v>
      </c>
      <c r="K229" s="21">
        <v>9.6893300000000002E-2</v>
      </c>
      <c r="L229">
        <f t="shared" si="36"/>
        <v>8.6051975308641962E-2</v>
      </c>
      <c r="M229">
        <f t="shared" si="37"/>
        <v>8.3641229220370351E-3</v>
      </c>
      <c r="N229" s="9"/>
      <c r="O229" s="21">
        <v>1.00281</v>
      </c>
      <c r="P229" s="21">
        <v>9.8416099999999993</v>
      </c>
      <c r="Q229" s="24">
        <v>-2.6702900000000001E-5</v>
      </c>
      <c r="R229" s="21">
        <v>219</v>
      </c>
      <c r="S229" s="21">
        <v>1.0012799999999999</v>
      </c>
      <c r="T229">
        <f t="shared" si="38"/>
        <v>3.2966543209876548E-2</v>
      </c>
      <c r="U229">
        <f t="shared" si="39"/>
        <v>3.30591791962963E-2</v>
      </c>
      <c r="X229" s="9"/>
      <c r="Y229" s="21">
        <v>9.7198499999999993E-2</v>
      </c>
      <c r="Z229" s="21">
        <v>14.202</v>
      </c>
      <c r="AA229" s="24">
        <v>-6.5490700000000006E-5</v>
      </c>
      <c r="AB229" s="21">
        <v>219</v>
      </c>
      <c r="AC229" s="21">
        <v>9.6893300000000002E-2</v>
      </c>
      <c r="AD229">
        <f t="shared" si="40"/>
        <v>8.0852716049382711E-2</v>
      </c>
      <c r="AE229">
        <f t="shared" si="41"/>
        <v>7.8587627209259249E-3</v>
      </c>
      <c r="AF229" s="9"/>
      <c r="AG229" s="21">
        <v>1.00281</v>
      </c>
      <c r="AH229" s="21">
        <v>16.822800000000001</v>
      </c>
      <c r="AI229" s="24">
        <v>-2.4383500000000001E-5</v>
      </c>
      <c r="AJ229" s="21">
        <v>219</v>
      </c>
      <c r="AK229" s="21">
        <v>1.0018899999999999</v>
      </c>
      <c r="AL229">
        <f t="shared" si="42"/>
        <v>3.0103086419753088E-2</v>
      </c>
      <c r="AM229">
        <f t="shared" si="43"/>
        <v>3.0187676092592593E-2</v>
      </c>
      <c r="AP229" s="9"/>
      <c r="AQ229" s="21">
        <v>9.7198499999999993E-2</v>
      </c>
      <c r="AR229" s="21">
        <v>21.1252</v>
      </c>
      <c r="AS229" s="24">
        <v>-6.32629E-5</v>
      </c>
      <c r="AT229" s="21">
        <v>219</v>
      </c>
      <c r="AU229" s="21">
        <v>9.6862799999999999E-2</v>
      </c>
      <c r="AV229">
        <f t="shared" si="44"/>
        <v>7.810234567901235E-2</v>
      </c>
      <c r="AW229">
        <f t="shared" si="45"/>
        <v>7.591430846481481E-3</v>
      </c>
      <c r="AX229" s="9"/>
      <c r="AY229" s="21">
        <v>1.00281</v>
      </c>
      <c r="AZ229" s="21">
        <v>23.745999999999999</v>
      </c>
      <c r="BA229" s="24">
        <v>-2.3864699999999999E-5</v>
      </c>
      <c r="BB229" s="21">
        <v>219</v>
      </c>
      <c r="BC229" s="21">
        <v>1.0022</v>
      </c>
      <c r="BD229">
        <f t="shared" si="46"/>
        <v>2.9462592592592589E-2</v>
      </c>
      <c r="BE229">
        <f t="shared" si="47"/>
        <v>2.9545382477777774E-2</v>
      </c>
      <c r="BH229" s="9"/>
      <c r="BI229" s="21"/>
      <c r="BJ229" s="21"/>
      <c r="BK229" s="21"/>
      <c r="BL229" s="21"/>
      <c r="BM229" s="21"/>
      <c r="BP229" s="9"/>
      <c r="BQ229" s="21"/>
      <c r="BR229" s="21"/>
      <c r="BS229" s="21"/>
      <c r="BT229" s="21"/>
      <c r="BU229" s="21"/>
      <c r="BZ229" s="9"/>
      <c r="CA229" s="21"/>
      <c r="CB229" s="21"/>
      <c r="CC229" s="21"/>
      <c r="CD229" s="21"/>
      <c r="CE229" s="21"/>
      <c r="CH229" s="9"/>
      <c r="CI229" s="21"/>
      <c r="CJ229" s="21"/>
      <c r="CK229" s="21"/>
      <c r="CL229" s="21"/>
      <c r="CM229" s="21"/>
      <c r="CR229" s="9"/>
      <c r="CS229" s="21"/>
      <c r="CT229" s="21"/>
      <c r="CU229" s="21"/>
      <c r="CV229" s="21"/>
      <c r="CW229" s="21"/>
      <c r="CZ229" s="9"/>
      <c r="DA229" s="21"/>
      <c r="DB229" s="21"/>
      <c r="DC229" s="21"/>
      <c r="DD229" s="21"/>
      <c r="DE229" s="21"/>
      <c r="DJ229" s="9"/>
      <c r="DK229" s="21"/>
      <c r="DL229" s="21"/>
      <c r="DM229" s="21"/>
      <c r="DN229" s="21"/>
      <c r="DO229" s="21"/>
      <c r="DR229" s="9"/>
      <c r="DS229" s="21"/>
      <c r="DT229" s="21"/>
      <c r="DU229" s="21"/>
      <c r="DV229" s="21"/>
      <c r="DW229" s="21"/>
      <c r="EB229" s="9"/>
      <c r="EC229" s="21"/>
      <c r="ED229" s="21"/>
      <c r="EE229" s="21"/>
      <c r="EF229" s="21"/>
      <c r="EG229" s="21"/>
      <c r="EJ229" s="9"/>
      <c r="EK229" s="21"/>
      <c r="EL229" s="21"/>
      <c r="EM229" s="21"/>
      <c r="EN229" s="21"/>
      <c r="EO229" s="21"/>
      <c r="ET229" s="21"/>
      <c r="EU229" s="21"/>
      <c r="EV229" s="21"/>
      <c r="EW229" s="21"/>
      <c r="EX229" s="21"/>
      <c r="FA229" s="9"/>
      <c r="FB229" s="21"/>
      <c r="FC229" s="21"/>
      <c r="FD229" s="21"/>
      <c r="FE229" s="21"/>
      <c r="FF229" s="21"/>
    </row>
    <row r="230" spans="6:162" x14ac:dyDescent="0.25">
      <c r="F230" s="9"/>
      <c r="G230" s="21">
        <v>9.2163099999999998E-2</v>
      </c>
      <c r="H230" s="21">
        <v>7.2309400000000004</v>
      </c>
      <c r="I230" s="24">
        <v>-6.9763200000000003E-5</v>
      </c>
      <c r="J230" s="21">
        <v>220</v>
      </c>
      <c r="K230" s="21">
        <v>9.1888399999999995E-2</v>
      </c>
      <c r="L230">
        <f t="shared" si="36"/>
        <v>8.6127407407407403E-2</v>
      </c>
      <c r="M230">
        <f t="shared" si="37"/>
        <v>7.9377688616296283E-3</v>
      </c>
      <c r="N230" s="9"/>
      <c r="O230" s="21">
        <v>1.0078400000000001</v>
      </c>
      <c r="P230" s="21">
        <v>9.85168</v>
      </c>
      <c r="Q230" s="24">
        <v>-2.62756E-5</v>
      </c>
      <c r="R230" s="21">
        <v>220</v>
      </c>
      <c r="S230" s="21">
        <v>1.00708</v>
      </c>
      <c r="T230">
        <f t="shared" si="38"/>
        <v>3.2439012345679009E-2</v>
      </c>
      <c r="U230">
        <f t="shared" si="39"/>
        <v>3.2693334202469136E-2</v>
      </c>
      <c r="X230" s="9"/>
      <c r="Y230" s="21">
        <v>9.2163099999999998E-2</v>
      </c>
      <c r="Z230" s="21">
        <v>14.2121</v>
      </c>
      <c r="AA230" s="24">
        <v>-6.57043E-5</v>
      </c>
      <c r="AB230" s="21">
        <v>220</v>
      </c>
      <c r="AC230" s="21">
        <v>9.1949500000000003E-2</v>
      </c>
      <c r="AD230">
        <f t="shared" si="40"/>
        <v>8.1116419753086422E-2</v>
      </c>
      <c r="AE230">
        <f t="shared" si="41"/>
        <v>7.4759407053456789E-3</v>
      </c>
      <c r="AF230" s="9"/>
      <c r="AG230" s="21">
        <v>1.0078400000000001</v>
      </c>
      <c r="AH230" s="21">
        <v>16.832899999999999</v>
      </c>
      <c r="AI230" s="24">
        <v>-2.4047900000000001E-5</v>
      </c>
      <c r="AJ230" s="21">
        <v>220</v>
      </c>
      <c r="AK230" s="21">
        <v>1.00739</v>
      </c>
      <c r="AL230">
        <f t="shared" si="42"/>
        <v>2.9688765432098765E-2</v>
      </c>
      <c r="AM230">
        <f t="shared" si="43"/>
        <v>2.9921525353086422E-2</v>
      </c>
      <c r="AP230" s="9"/>
      <c r="AQ230" s="21">
        <v>9.2163099999999998E-2</v>
      </c>
      <c r="AR230" s="21">
        <v>21.135300000000001</v>
      </c>
      <c r="AS230" s="24">
        <v>-6.3415499999999996E-5</v>
      </c>
      <c r="AT230" s="21">
        <v>220</v>
      </c>
      <c r="AU230" s="21">
        <v>9.1888399999999995E-2</v>
      </c>
      <c r="AV230">
        <f t="shared" si="44"/>
        <v>7.829074074074073E-2</v>
      </c>
      <c r="AW230">
        <f t="shared" si="45"/>
        <v>7.2155173679629616E-3</v>
      </c>
      <c r="AX230" s="9"/>
      <c r="AY230" s="21">
        <v>1.0078400000000001</v>
      </c>
      <c r="AZ230" s="21">
        <v>23.756</v>
      </c>
      <c r="BA230" s="24">
        <v>-2.3529100000000001E-5</v>
      </c>
      <c r="BB230" s="21">
        <v>220</v>
      </c>
      <c r="BC230" s="21">
        <v>1.0067699999999999</v>
      </c>
      <c r="BD230">
        <f t="shared" si="46"/>
        <v>2.904827160493827E-2</v>
      </c>
      <c r="BE230">
        <f t="shared" si="47"/>
        <v>2.9276010054320987E-2</v>
      </c>
      <c r="BH230" s="9"/>
      <c r="BI230" s="21"/>
      <c r="BJ230" s="21"/>
      <c r="BK230" s="21"/>
      <c r="BL230" s="21"/>
      <c r="BM230" s="21"/>
      <c r="BP230" s="9"/>
      <c r="BQ230" s="21"/>
      <c r="BR230" s="21"/>
      <c r="BS230" s="21"/>
      <c r="BT230" s="21"/>
      <c r="BU230" s="21"/>
      <c r="BZ230" s="9"/>
      <c r="CA230" s="21"/>
      <c r="CB230" s="21"/>
      <c r="CC230" s="21"/>
      <c r="CD230" s="21"/>
      <c r="CE230" s="21"/>
      <c r="CH230" s="9"/>
      <c r="CI230" s="21"/>
      <c r="CJ230" s="21"/>
      <c r="CK230" s="21"/>
      <c r="CL230" s="21"/>
      <c r="CM230" s="21"/>
      <c r="CR230" s="9"/>
      <c r="CS230" s="21"/>
      <c r="CT230" s="21"/>
      <c r="CU230" s="21"/>
      <c r="CV230" s="21"/>
      <c r="CW230" s="21"/>
      <c r="CZ230" s="9"/>
      <c r="DA230" s="21"/>
      <c r="DB230" s="21"/>
      <c r="DC230" s="21"/>
      <c r="DD230" s="21"/>
      <c r="DE230" s="21"/>
      <c r="DJ230" s="9"/>
      <c r="DK230" s="21"/>
      <c r="DL230" s="21"/>
      <c r="DM230" s="21"/>
      <c r="DN230" s="21"/>
      <c r="DO230" s="21"/>
      <c r="DR230" s="9"/>
      <c r="DS230" s="21"/>
      <c r="DT230" s="21"/>
      <c r="DU230" s="21"/>
      <c r="DV230" s="21"/>
      <c r="DW230" s="21"/>
      <c r="EB230" s="9"/>
      <c r="EC230" s="21"/>
      <c r="ED230" s="21"/>
      <c r="EE230" s="21"/>
      <c r="EF230" s="21"/>
      <c r="EG230" s="21"/>
      <c r="EJ230" s="9"/>
      <c r="EK230" s="21"/>
      <c r="EL230" s="21"/>
      <c r="EM230" s="21"/>
      <c r="EN230" s="21"/>
      <c r="EO230" s="21"/>
      <c r="ET230" s="21"/>
      <c r="EU230" s="21"/>
      <c r="EV230" s="21"/>
      <c r="EW230" s="21"/>
      <c r="EX230" s="21"/>
      <c r="FA230" s="9"/>
      <c r="FB230" s="21"/>
      <c r="FC230" s="21"/>
      <c r="FD230" s="21"/>
      <c r="FE230" s="21"/>
      <c r="FF230" s="21"/>
    </row>
    <row r="231" spans="6:162" x14ac:dyDescent="0.25">
      <c r="F231" s="9"/>
      <c r="G231" s="21">
        <v>8.7127700000000002E-2</v>
      </c>
      <c r="H231" s="21">
        <v>7.2410100000000002</v>
      </c>
      <c r="I231" s="24">
        <v>-6.9885300000000007E-5</v>
      </c>
      <c r="J231" s="21">
        <v>221</v>
      </c>
      <c r="K231" s="21">
        <v>8.6791999999999994E-2</v>
      </c>
      <c r="L231">
        <f t="shared" si="36"/>
        <v>8.6278148148148145E-2</v>
      </c>
      <c r="M231">
        <f t="shared" si="37"/>
        <v>7.5172166084074071E-3</v>
      </c>
      <c r="N231" s="9"/>
      <c r="O231" s="21">
        <v>1.01288</v>
      </c>
      <c r="P231" s="21">
        <v>9.8617500000000007</v>
      </c>
      <c r="Q231" s="24">
        <v>-2.59094E-5</v>
      </c>
      <c r="R231" s="21">
        <v>221</v>
      </c>
      <c r="S231" s="21">
        <v>1.01196</v>
      </c>
      <c r="T231">
        <f t="shared" si="38"/>
        <v>3.1986913580246912E-2</v>
      </c>
      <c r="U231">
        <f t="shared" si="39"/>
        <v>3.2398905027160495E-2</v>
      </c>
      <c r="X231" s="9"/>
      <c r="Y231" s="21">
        <v>8.7127700000000002E-2</v>
      </c>
      <c r="Z231" s="21">
        <v>14.222200000000001</v>
      </c>
      <c r="AA231" s="24">
        <v>-6.5826400000000004E-5</v>
      </c>
      <c r="AB231" s="21">
        <v>221</v>
      </c>
      <c r="AC231" s="21">
        <v>8.6822499999999997E-2</v>
      </c>
      <c r="AD231">
        <f t="shared" si="40"/>
        <v>8.1267160493827165E-2</v>
      </c>
      <c r="AE231">
        <f t="shared" si="41"/>
        <v>7.0806207793580253E-3</v>
      </c>
      <c r="AF231" s="9"/>
      <c r="AG231" s="21">
        <v>1.01288</v>
      </c>
      <c r="AH231" s="21">
        <v>16.8429</v>
      </c>
      <c r="AI231" s="24">
        <v>-2.37122E-5</v>
      </c>
      <c r="AJ231" s="21">
        <v>221</v>
      </c>
      <c r="AK231" s="21">
        <v>1.01196</v>
      </c>
      <c r="AL231">
        <f t="shared" si="42"/>
        <v>2.9274320987654319E-2</v>
      </c>
      <c r="AM231">
        <f t="shared" si="43"/>
        <v>2.9651374241975306E-2</v>
      </c>
      <c r="AP231" s="9"/>
      <c r="AQ231" s="21">
        <v>8.7127700000000002E-2</v>
      </c>
      <c r="AR231" s="21">
        <v>21.145399999999999</v>
      </c>
      <c r="AS231" s="24">
        <v>-6.3598599999999998E-5</v>
      </c>
      <c r="AT231" s="21">
        <v>221</v>
      </c>
      <c r="AU231" s="21">
        <v>8.6761500000000005E-2</v>
      </c>
      <c r="AV231">
        <f t="shared" si="44"/>
        <v>7.8516790123456776E-2</v>
      </c>
      <c r="AW231">
        <f t="shared" si="45"/>
        <v>6.8409873348395048E-3</v>
      </c>
      <c r="AX231" s="9"/>
      <c r="AY231" s="21">
        <v>1.01288</v>
      </c>
      <c r="AZ231" s="21">
        <v>23.766100000000002</v>
      </c>
      <c r="BA231" s="24">
        <v>-2.3162800000000001E-5</v>
      </c>
      <c r="BB231" s="21">
        <v>221</v>
      </c>
      <c r="BC231" s="21">
        <v>1.01227</v>
      </c>
      <c r="BD231">
        <f t="shared" si="46"/>
        <v>2.8596049382716048E-2</v>
      </c>
      <c r="BE231">
        <f t="shared" si="47"/>
        <v>2.896436649876543E-2</v>
      </c>
      <c r="BH231" s="9"/>
      <c r="BI231" s="21"/>
      <c r="BJ231" s="21"/>
      <c r="BK231" s="21"/>
      <c r="BL231" s="21"/>
      <c r="BM231" s="21"/>
      <c r="BP231" s="9"/>
      <c r="BQ231" s="21"/>
      <c r="BR231" s="21"/>
      <c r="BS231" s="21"/>
      <c r="BT231" s="21"/>
      <c r="BU231" s="21"/>
      <c r="BZ231" s="9"/>
      <c r="CA231" s="21"/>
      <c r="CB231" s="21"/>
      <c r="CC231" s="21"/>
      <c r="CD231" s="21"/>
      <c r="CE231" s="21"/>
      <c r="CH231" s="9"/>
      <c r="CI231" s="21"/>
      <c r="CJ231" s="21"/>
      <c r="CK231" s="21"/>
      <c r="CL231" s="21"/>
      <c r="CM231" s="21"/>
      <c r="CR231" s="9"/>
      <c r="CS231" s="21"/>
      <c r="CT231" s="21"/>
      <c r="CU231" s="21"/>
      <c r="CV231" s="21"/>
      <c r="CW231" s="21"/>
      <c r="CZ231" s="9"/>
      <c r="DA231" s="21"/>
      <c r="DB231" s="21"/>
      <c r="DC231" s="21"/>
      <c r="DD231" s="21"/>
      <c r="DE231" s="21"/>
      <c r="DJ231" s="9"/>
      <c r="DK231" s="21"/>
      <c r="DL231" s="21"/>
      <c r="DM231" s="21"/>
      <c r="DN231" s="21"/>
      <c r="DO231" s="21"/>
      <c r="DR231" s="9"/>
      <c r="DS231" s="21"/>
      <c r="DT231" s="21"/>
      <c r="DU231" s="21"/>
      <c r="DV231" s="21"/>
      <c r="DW231" s="21"/>
      <c r="EB231" s="9"/>
      <c r="EC231" s="21"/>
      <c r="ED231" s="21"/>
      <c r="EE231" s="21"/>
      <c r="EF231" s="21"/>
      <c r="EG231" s="21"/>
      <c r="EJ231" s="9"/>
      <c r="EK231" s="21"/>
      <c r="EL231" s="21"/>
      <c r="EM231" s="21"/>
      <c r="EN231" s="21"/>
      <c r="EO231" s="21"/>
      <c r="ET231" s="21"/>
      <c r="EU231" s="21"/>
      <c r="EV231" s="21"/>
      <c r="EW231" s="21"/>
      <c r="EX231" s="21"/>
      <c r="FA231" s="9"/>
      <c r="FB231" s="21"/>
      <c r="FC231" s="21"/>
      <c r="FD231" s="21"/>
      <c r="FE231" s="21"/>
      <c r="FF231" s="21"/>
    </row>
    <row r="232" spans="6:162" x14ac:dyDescent="0.25">
      <c r="F232" s="9"/>
      <c r="G232" s="21">
        <v>8.2092300000000007E-2</v>
      </c>
      <c r="H232" s="21">
        <v>7.25108</v>
      </c>
      <c r="I232" s="24">
        <v>-6.9976799999999997E-5</v>
      </c>
      <c r="J232" s="21">
        <v>222</v>
      </c>
      <c r="K232" s="21">
        <v>8.1878699999999999E-2</v>
      </c>
      <c r="L232">
        <f t="shared" si="36"/>
        <v>8.6391111111111099E-2</v>
      </c>
      <c r="M232">
        <f t="shared" si="37"/>
        <v>7.0920450106666663E-3</v>
      </c>
      <c r="N232" s="9"/>
      <c r="O232" s="21">
        <v>1.0179100000000001</v>
      </c>
      <c r="P232" s="21">
        <v>9.8718199999999996</v>
      </c>
      <c r="Q232" s="24">
        <v>-2.5451699999999999E-5</v>
      </c>
      <c r="R232" s="21">
        <v>222</v>
      </c>
      <c r="S232" s="21">
        <v>1.01654</v>
      </c>
      <c r="T232">
        <f t="shared" si="38"/>
        <v>3.1421851851851854E-2</v>
      </c>
      <c r="U232">
        <f t="shared" si="39"/>
        <v>3.1984617218518523E-2</v>
      </c>
      <c r="X232" s="9"/>
      <c r="Y232" s="21">
        <v>8.2092300000000007E-2</v>
      </c>
      <c r="Z232" s="21">
        <v>14.2323</v>
      </c>
      <c r="AA232" s="24">
        <v>-6.6039999999999998E-5</v>
      </c>
      <c r="AB232" s="21">
        <v>222</v>
      </c>
      <c r="AC232" s="21">
        <v>8.1787100000000001E-2</v>
      </c>
      <c r="AD232">
        <f t="shared" si="40"/>
        <v>8.1530864197530847E-2</v>
      </c>
      <c r="AE232">
        <f t="shared" si="41"/>
        <v>6.6930561629629619E-3</v>
      </c>
      <c r="AF232" s="9"/>
      <c r="AG232" s="21">
        <v>1.0179100000000001</v>
      </c>
      <c r="AH232" s="21">
        <v>16.853000000000002</v>
      </c>
      <c r="AI232" s="24">
        <v>-2.33459E-5</v>
      </c>
      <c r="AJ232" s="21">
        <v>222</v>
      </c>
      <c r="AK232" s="21">
        <v>1.01715</v>
      </c>
      <c r="AL232">
        <f t="shared" si="42"/>
        <v>2.8822098765432097E-2</v>
      </c>
      <c r="AM232">
        <f t="shared" si="43"/>
        <v>2.9338302554320989E-2</v>
      </c>
      <c r="AP232" s="9"/>
      <c r="AQ232" s="21">
        <v>8.2092300000000007E-2</v>
      </c>
      <c r="AR232" s="21">
        <v>21.1554</v>
      </c>
      <c r="AS232" s="24">
        <v>-6.3690199999999995E-5</v>
      </c>
      <c r="AT232" s="21">
        <v>222</v>
      </c>
      <c r="AU232" s="21">
        <v>8.1878699999999999E-2</v>
      </c>
      <c r="AV232">
        <f t="shared" si="44"/>
        <v>7.8629876543209867E-2</v>
      </c>
      <c r="AW232">
        <f t="shared" si="45"/>
        <v>6.4549074141481482E-3</v>
      </c>
      <c r="AX232" s="9"/>
      <c r="AY232" s="21">
        <v>1.0179100000000001</v>
      </c>
      <c r="AZ232" s="21">
        <v>23.776199999999999</v>
      </c>
      <c r="BA232" s="24">
        <v>-2.2888199999999999E-5</v>
      </c>
      <c r="BB232" s="21">
        <v>222</v>
      </c>
      <c r="BC232" s="21">
        <v>1.01715</v>
      </c>
      <c r="BD232">
        <f t="shared" si="46"/>
        <v>2.8257037037037032E-2</v>
      </c>
      <c r="BE232">
        <f t="shared" si="47"/>
        <v>2.8763120570370369E-2</v>
      </c>
      <c r="BH232" s="9"/>
      <c r="BI232" s="21"/>
      <c r="BJ232" s="21"/>
      <c r="BK232" s="21"/>
      <c r="BL232" s="21"/>
      <c r="BM232" s="21"/>
      <c r="BP232" s="9"/>
      <c r="BQ232" s="21"/>
      <c r="BR232" s="21"/>
      <c r="BS232" s="21"/>
      <c r="BT232" s="21"/>
      <c r="BU232" s="21"/>
      <c r="BZ232" s="9"/>
      <c r="CA232" s="21"/>
      <c r="CB232" s="21"/>
      <c r="CC232" s="21"/>
      <c r="CD232" s="21"/>
      <c r="CE232" s="21"/>
      <c r="CH232" s="9"/>
      <c r="CI232" s="21"/>
      <c r="CJ232" s="21"/>
      <c r="CK232" s="21"/>
      <c r="CL232" s="21"/>
      <c r="CM232" s="21"/>
      <c r="CR232" s="9"/>
      <c r="CS232" s="21"/>
      <c r="CT232" s="21"/>
      <c r="CU232" s="21"/>
      <c r="CV232" s="21"/>
      <c r="CW232" s="21"/>
      <c r="CZ232" s="9"/>
      <c r="DA232" s="21"/>
      <c r="DB232" s="21"/>
      <c r="DC232" s="21"/>
      <c r="DD232" s="21"/>
      <c r="DE232" s="21"/>
      <c r="DJ232" s="9"/>
      <c r="DK232" s="21"/>
      <c r="DL232" s="21"/>
      <c r="DM232" s="21"/>
      <c r="DN232" s="21"/>
      <c r="DO232" s="21"/>
      <c r="DR232" s="9"/>
      <c r="DS232" s="21"/>
      <c r="DT232" s="21"/>
      <c r="DU232" s="21"/>
      <c r="DV232" s="21"/>
      <c r="DW232" s="21"/>
      <c r="EB232" s="9"/>
      <c r="EC232" s="21"/>
      <c r="ED232" s="21"/>
      <c r="EE232" s="21"/>
      <c r="EF232" s="21"/>
      <c r="EG232" s="21"/>
      <c r="EJ232" s="9"/>
      <c r="EK232" s="21"/>
      <c r="EL232" s="21"/>
      <c r="EM232" s="21"/>
      <c r="EN232" s="21"/>
      <c r="EO232" s="21"/>
      <c r="ET232" s="21"/>
      <c r="EU232" s="21"/>
      <c r="EV232" s="21"/>
      <c r="EW232" s="21"/>
      <c r="EX232" s="21"/>
      <c r="FA232" s="9"/>
      <c r="FB232" s="21"/>
      <c r="FC232" s="21"/>
      <c r="FD232" s="21"/>
      <c r="FE232" s="21"/>
      <c r="FF232" s="21"/>
    </row>
    <row r="233" spans="6:162" x14ac:dyDescent="0.25">
      <c r="F233" s="9"/>
      <c r="G233" s="21">
        <v>7.7056899999999998E-2</v>
      </c>
      <c r="H233" s="21">
        <v>7.2611499999999998</v>
      </c>
      <c r="I233" s="24">
        <v>-7.0159899999999999E-5</v>
      </c>
      <c r="J233" s="21">
        <v>223</v>
      </c>
      <c r="K233" s="21">
        <v>7.6812699999999998E-2</v>
      </c>
      <c r="L233">
        <f t="shared" si="36"/>
        <v>8.6617160493827158E-2</v>
      </c>
      <c r="M233">
        <f t="shared" si="37"/>
        <v>6.6744498744567898E-3</v>
      </c>
      <c r="N233" s="9"/>
      <c r="O233" s="21">
        <v>1.02295</v>
      </c>
      <c r="P233" s="21">
        <v>9.8818900000000003</v>
      </c>
      <c r="Q233" s="24">
        <v>-2.5085399999999999E-5</v>
      </c>
      <c r="R233" s="21">
        <v>223</v>
      </c>
      <c r="S233" s="21">
        <v>1.02112</v>
      </c>
      <c r="T233">
        <f t="shared" si="38"/>
        <v>3.0969629629629625E-2</v>
      </c>
      <c r="U233">
        <f t="shared" si="39"/>
        <v>3.1680382629629626E-2</v>
      </c>
      <c r="X233" s="9"/>
      <c r="Y233" s="21">
        <v>7.7056899999999998E-2</v>
      </c>
      <c r="Z233" s="21">
        <v>14.2423</v>
      </c>
      <c r="AA233" s="24">
        <v>-6.6192599999999994E-5</v>
      </c>
      <c r="AB233" s="21">
        <v>223</v>
      </c>
      <c r="AC233" s="21">
        <v>7.6782199999999995E-2</v>
      </c>
      <c r="AD233">
        <f t="shared" si="40"/>
        <v>8.1719259259259255E-2</v>
      </c>
      <c r="AE233">
        <f t="shared" si="41"/>
        <v>6.297032788814814E-3</v>
      </c>
      <c r="AF233" s="9"/>
      <c r="AG233" s="21">
        <v>1.02295</v>
      </c>
      <c r="AH233" s="21">
        <v>16.863099999999999</v>
      </c>
      <c r="AI233" s="24">
        <v>-2.3071300000000001E-5</v>
      </c>
      <c r="AJ233" s="21">
        <v>223</v>
      </c>
      <c r="AK233" s="21">
        <v>1.02173</v>
      </c>
      <c r="AL233">
        <f t="shared" si="42"/>
        <v>2.8483086419753088E-2</v>
      </c>
      <c r="AM233">
        <f t="shared" si="43"/>
        <v>2.9136773253086421E-2</v>
      </c>
      <c r="AP233" s="9"/>
      <c r="AQ233" s="21">
        <v>7.7056899999999998E-2</v>
      </c>
      <c r="AR233" s="21">
        <v>21.165500000000002</v>
      </c>
      <c r="AS233" s="24">
        <v>-6.3812299999999999E-5</v>
      </c>
      <c r="AT233" s="21">
        <v>223</v>
      </c>
      <c r="AU233" s="21">
        <v>7.6721200000000003E-2</v>
      </c>
      <c r="AV233">
        <f t="shared" si="44"/>
        <v>7.878061728395061E-2</v>
      </c>
      <c r="AW233">
        <f t="shared" si="45"/>
        <v>6.0705901479876532E-3</v>
      </c>
      <c r="AX233" s="9"/>
      <c r="AY233" s="21">
        <v>1.02295</v>
      </c>
      <c r="AZ233" s="21">
        <v>23.786200000000001</v>
      </c>
      <c r="BA233" s="24">
        <v>-2.2521999999999999E-5</v>
      </c>
      <c r="BB233" s="21">
        <v>223</v>
      </c>
      <c r="BC233" s="21">
        <v>1.02264</v>
      </c>
      <c r="BD233">
        <f t="shared" si="46"/>
        <v>2.7804938271604934E-2</v>
      </c>
      <c r="BE233">
        <f t="shared" si="47"/>
        <v>2.8443061604938268E-2</v>
      </c>
      <c r="BH233" s="9"/>
      <c r="BI233" s="21"/>
      <c r="BJ233" s="21"/>
      <c r="BK233" s="21"/>
      <c r="BL233" s="21"/>
      <c r="BM233" s="21"/>
      <c r="BP233" s="9"/>
      <c r="BQ233" s="21"/>
      <c r="BR233" s="21"/>
      <c r="BS233" s="21"/>
      <c r="BT233" s="21"/>
      <c r="BU233" s="21"/>
      <c r="BZ233" s="9"/>
      <c r="CA233" s="21"/>
      <c r="CB233" s="21"/>
      <c r="CC233" s="21"/>
      <c r="CD233" s="21"/>
      <c r="CE233" s="21"/>
      <c r="CH233" s="9"/>
      <c r="CI233" s="21"/>
      <c r="CJ233" s="21"/>
      <c r="CK233" s="21"/>
      <c r="CL233" s="21"/>
      <c r="CM233" s="21"/>
      <c r="CR233" s="9"/>
      <c r="CS233" s="21"/>
      <c r="CT233" s="21"/>
      <c r="CU233" s="21"/>
      <c r="CV233" s="21"/>
      <c r="CW233" s="21"/>
      <c r="CZ233" s="9"/>
      <c r="DA233" s="21"/>
      <c r="DB233" s="21"/>
      <c r="DC233" s="21"/>
      <c r="DD233" s="21"/>
      <c r="DE233" s="21"/>
      <c r="DJ233" s="9"/>
      <c r="DK233" s="21"/>
      <c r="DL233" s="21"/>
      <c r="DM233" s="21"/>
      <c r="DN233" s="21"/>
      <c r="DO233" s="21"/>
      <c r="DR233" s="9"/>
      <c r="DS233" s="21"/>
      <c r="DT233" s="21"/>
      <c r="DU233" s="21"/>
      <c r="DV233" s="21"/>
      <c r="DW233" s="21"/>
      <c r="EB233" s="9"/>
      <c r="EC233" s="21"/>
      <c r="ED233" s="21"/>
      <c r="EE233" s="21"/>
      <c r="EF233" s="21"/>
      <c r="EG233" s="21"/>
      <c r="EJ233" s="9"/>
      <c r="EK233" s="21"/>
      <c r="EL233" s="21"/>
      <c r="EM233" s="21"/>
      <c r="EN233" s="21"/>
      <c r="EO233" s="21"/>
      <c r="ET233" s="21"/>
      <c r="EU233" s="21"/>
      <c r="EV233" s="21"/>
      <c r="EW233" s="21"/>
      <c r="EX233" s="21"/>
      <c r="FA233" s="9"/>
      <c r="FB233" s="21"/>
      <c r="FC233" s="21"/>
      <c r="FD233" s="21"/>
      <c r="FE233" s="21"/>
      <c r="FF233" s="21"/>
    </row>
    <row r="234" spans="6:162" x14ac:dyDescent="0.25">
      <c r="F234" s="9"/>
      <c r="G234" s="21">
        <v>7.2021500000000002E-2</v>
      </c>
      <c r="H234" s="21">
        <v>7.2712199999999996</v>
      </c>
      <c r="I234" s="24">
        <v>-7.0220899999999997E-5</v>
      </c>
      <c r="J234" s="21">
        <v>224</v>
      </c>
      <c r="K234" s="21">
        <v>7.1685799999999994E-2</v>
      </c>
      <c r="L234">
        <f t="shared" si="36"/>
        <v>8.6692469135802461E-2</v>
      </c>
      <c r="M234">
        <f t="shared" si="37"/>
        <v>6.2437216658641969E-3</v>
      </c>
      <c r="N234" s="9"/>
      <c r="O234" s="21">
        <v>1.0279799999999999</v>
      </c>
      <c r="P234" s="21">
        <v>9.8919599999999992</v>
      </c>
      <c r="Q234" s="24">
        <v>-2.4627700000000001E-5</v>
      </c>
      <c r="R234" s="21">
        <v>224</v>
      </c>
      <c r="S234" s="21">
        <v>1.02722</v>
      </c>
      <c r="T234">
        <f t="shared" si="38"/>
        <v>3.040456790123457E-2</v>
      </c>
      <c r="U234">
        <f t="shared" si="39"/>
        <v>3.1255287711111107E-2</v>
      </c>
      <c r="X234" s="9"/>
      <c r="Y234" s="21">
        <v>7.2021500000000002E-2</v>
      </c>
      <c r="Z234" s="21">
        <v>14.2524</v>
      </c>
      <c r="AA234" s="24">
        <v>-6.6314699999999997E-5</v>
      </c>
      <c r="AB234" s="21">
        <v>224</v>
      </c>
      <c r="AC234" s="21">
        <v>7.1655300000000005E-2</v>
      </c>
      <c r="AD234">
        <f t="shared" si="40"/>
        <v>8.1869999999999984E-2</v>
      </c>
      <c r="AE234">
        <f t="shared" si="41"/>
        <v>5.8964002049999992E-3</v>
      </c>
      <c r="AF234" s="9"/>
      <c r="AG234" s="21">
        <v>1.0279799999999999</v>
      </c>
      <c r="AH234" s="21">
        <v>16.873100000000001</v>
      </c>
      <c r="AI234" s="24">
        <v>-2.2766099999999999E-5</v>
      </c>
      <c r="AJ234" s="21">
        <v>224</v>
      </c>
      <c r="AK234" s="21">
        <v>1.02722</v>
      </c>
      <c r="AL234">
        <f t="shared" si="42"/>
        <v>2.8106296296296292E-2</v>
      </c>
      <c r="AM234">
        <f t="shared" si="43"/>
        <v>2.8892710466666659E-2</v>
      </c>
      <c r="AP234" s="9"/>
      <c r="AQ234" s="21">
        <v>7.2021500000000002E-2</v>
      </c>
      <c r="AR234" s="21">
        <v>21.175599999999999</v>
      </c>
      <c r="AS234" s="24">
        <v>-6.3873299999999997E-5</v>
      </c>
      <c r="AT234" s="21">
        <v>224</v>
      </c>
      <c r="AU234" s="21">
        <v>7.1746799999999999E-2</v>
      </c>
      <c r="AV234">
        <f t="shared" si="44"/>
        <v>7.8855925925925913E-2</v>
      </c>
      <c r="AW234">
        <f t="shared" si="45"/>
        <v>5.6793220690740734E-3</v>
      </c>
      <c r="AX234" s="9"/>
      <c r="AY234" s="21">
        <v>1.0279799999999999</v>
      </c>
      <c r="AZ234" s="21">
        <v>23.796299999999999</v>
      </c>
      <c r="BA234" s="24">
        <v>-2.20947E-5</v>
      </c>
      <c r="BB234" s="21">
        <v>224</v>
      </c>
      <c r="BC234" s="21">
        <v>1.02722</v>
      </c>
      <c r="BD234">
        <f t="shared" si="46"/>
        <v>2.7277407407407403E-2</v>
      </c>
      <c r="BE234">
        <f t="shared" si="47"/>
        <v>2.8040629266666658E-2</v>
      </c>
      <c r="BH234" s="9"/>
      <c r="BI234" s="21"/>
      <c r="BJ234" s="21"/>
      <c r="BK234" s="21"/>
      <c r="BL234" s="21"/>
      <c r="BM234" s="21"/>
      <c r="BP234" s="9"/>
      <c r="BQ234" s="21"/>
      <c r="BR234" s="21"/>
      <c r="BS234" s="21"/>
      <c r="BT234" s="21"/>
      <c r="BU234" s="21"/>
      <c r="BZ234" s="9"/>
      <c r="CA234" s="21"/>
      <c r="CB234" s="21"/>
      <c r="CC234" s="21"/>
      <c r="CD234" s="21"/>
      <c r="CE234" s="21"/>
      <c r="CH234" s="9"/>
      <c r="CI234" s="21"/>
      <c r="CJ234" s="21"/>
      <c r="CK234" s="21"/>
      <c r="CL234" s="21"/>
      <c r="CM234" s="21"/>
      <c r="CR234" s="9"/>
      <c r="CS234" s="21"/>
      <c r="CT234" s="21"/>
      <c r="CU234" s="21"/>
      <c r="CV234" s="21"/>
      <c r="CW234" s="21"/>
      <c r="CZ234" s="9"/>
      <c r="DA234" s="21"/>
      <c r="DB234" s="21"/>
      <c r="DC234" s="21"/>
      <c r="DD234" s="21"/>
      <c r="DE234" s="21"/>
      <c r="DJ234" s="9"/>
      <c r="DK234" s="21"/>
      <c r="DL234" s="21"/>
      <c r="DM234" s="21"/>
      <c r="DN234" s="21"/>
      <c r="DO234" s="21"/>
      <c r="DR234" s="9"/>
      <c r="DS234" s="21"/>
      <c r="DT234" s="21"/>
      <c r="DU234" s="21"/>
      <c r="DV234" s="21"/>
      <c r="DW234" s="21"/>
      <c r="EB234" s="9"/>
      <c r="EC234" s="21"/>
      <c r="ED234" s="21"/>
      <c r="EE234" s="21"/>
      <c r="EF234" s="21"/>
      <c r="EG234" s="21"/>
      <c r="EJ234" s="9"/>
      <c r="EK234" s="21"/>
      <c r="EL234" s="21"/>
      <c r="EM234" s="21"/>
      <c r="EN234" s="21"/>
      <c r="EO234" s="21"/>
      <c r="ET234" s="21"/>
      <c r="EU234" s="21"/>
      <c r="EV234" s="21"/>
      <c r="EW234" s="21"/>
      <c r="EX234" s="21"/>
      <c r="FA234" s="9"/>
      <c r="FB234" s="21"/>
      <c r="FC234" s="21"/>
      <c r="FD234" s="21"/>
      <c r="FE234" s="21"/>
      <c r="FF234" s="21"/>
    </row>
    <row r="235" spans="6:162" x14ac:dyDescent="0.25">
      <c r="F235" s="9"/>
      <c r="G235" s="21">
        <v>6.6986100000000007E-2</v>
      </c>
      <c r="H235" s="21">
        <v>7.2812900000000003</v>
      </c>
      <c r="I235" s="24">
        <v>-7.0343000000000001E-5</v>
      </c>
      <c r="J235" s="21">
        <v>225</v>
      </c>
      <c r="K235" s="21">
        <v>6.6711400000000004E-2</v>
      </c>
      <c r="L235">
        <f t="shared" si="36"/>
        <v>8.6843209876543204E-2</v>
      </c>
      <c r="M235">
        <f t="shared" si="37"/>
        <v>5.8172879411111109E-3</v>
      </c>
      <c r="N235" s="9"/>
      <c r="O235" s="21">
        <v>1.03302</v>
      </c>
      <c r="P235" s="21">
        <v>9.9020299999999999</v>
      </c>
      <c r="Q235" s="24">
        <v>-2.4292000000000001E-5</v>
      </c>
      <c r="R235" s="21">
        <v>225</v>
      </c>
      <c r="S235" s="21">
        <v>1.0318000000000001</v>
      </c>
      <c r="T235">
        <f t="shared" si="38"/>
        <v>2.9990123456790124E-2</v>
      </c>
      <c r="U235">
        <f t="shared" si="39"/>
        <v>3.0980397333333336E-2</v>
      </c>
      <c r="X235" s="9"/>
      <c r="Y235" s="21">
        <v>6.6986100000000007E-2</v>
      </c>
      <c r="Z235" s="21">
        <v>14.262499999999999</v>
      </c>
      <c r="AA235" s="24">
        <v>-6.62231E-5</v>
      </c>
      <c r="AB235" s="21">
        <v>225</v>
      </c>
      <c r="AC235" s="21">
        <v>6.6650399999999999E-2</v>
      </c>
      <c r="AD235">
        <f t="shared" si="40"/>
        <v>8.1756913580246907E-2</v>
      </c>
      <c r="AE235">
        <f t="shared" si="41"/>
        <v>5.4765767887777778E-3</v>
      </c>
      <c r="AF235" s="9"/>
      <c r="AG235" s="21">
        <v>1.03302</v>
      </c>
      <c r="AH235" s="21">
        <v>16.883199999999999</v>
      </c>
      <c r="AI235" s="24">
        <v>-2.23694E-5</v>
      </c>
      <c r="AJ235" s="21">
        <v>225</v>
      </c>
      <c r="AK235" s="21">
        <v>1.0321</v>
      </c>
      <c r="AL235">
        <f t="shared" si="42"/>
        <v>2.761654320987654E-2</v>
      </c>
      <c r="AM235">
        <f t="shared" si="43"/>
        <v>2.8528441466666665E-2</v>
      </c>
      <c r="AP235" s="9"/>
      <c r="AQ235" s="21">
        <v>6.6986100000000007E-2</v>
      </c>
      <c r="AR235" s="21">
        <v>21.185700000000001</v>
      </c>
      <c r="AS235" s="24">
        <v>-6.4056399999999999E-5</v>
      </c>
      <c r="AT235" s="21">
        <v>225</v>
      </c>
      <c r="AU235" s="21">
        <v>6.6650399999999999E-2</v>
      </c>
      <c r="AV235">
        <f t="shared" si="44"/>
        <v>7.9081975308641958E-2</v>
      </c>
      <c r="AW235">
        <f t="shared" si="45"/>
        <v>5.2973931062222212E-3</v>
      </c>
      <c r="AX235" s="9"/>
      <c r="AY235" s="21">
        <v>1.03302</v>
      </c>
      <c r="AZ235" s="21">
        <v>23.8064</v>
      </c>
      <c r="BA235" s="24">
        <v>-2.1667499999999999E-5</v>
      </c>
      <c r="BB235" s="21">
        <v>225</v>
      </c>
      <c r="BC235" s="21">
        <v>1.0321</v>
      </c>
      <c r="BD235">
        <f t="shared" si="46"/>
        <v>2.6749999999999996E-2</v>
      </c>
      <c r="BE235">
        <f t="shared" si="47"/>
        <v>2.7633284999999997E-2</v>
      </c>
      <c r="BH235" s="9"/>
      <c r="BI235" s="21"/>
      <c r="BJ235" s="21"/>
      <c r="BK235" s="21"/>
      <c r="BL235" s="21"/>
      <c r="BM235" s="21"/>
      <c r="BP235" s="9"/>
      <c r="BQ235" s="21"/>
      <c r="BR235" s="21"/>
      <c r="BS235" s="21"/>
      <c r="BT235" s="21"/>
      <c r="BU235" s="21"/>
      <c r="BZ235" s="9"/>
      <c r="CA235" s="21"/>
      <c r="CB235" s="21"/>
      <c r="CC235" s="21"/>
      <c r="CD235" s="21"/>
      <c r="CE235" s="21"/>
      <c r="CH235" s="9"/>
      <c r="CI235" s="21"/>
      <c r="CJ235" s="21"/>
      <c r="CK235" s="21"/>
      <c r="CL235" s="21"/>
      <c r="CM235" s="21"/>
      <c r="CR235" s="9"/>
      <c r="CS235" s="21"/>
      <c r="CT235" s="21"/>
      <c r="CU235" s="21"/>
      <c r="CV235" s="21"/>
      <c r="CW235" s="21"/>
      <c r="CZ235" s="9"/>
      <c r="DA235" s="21"/>
      <c r="DB235" s="21"/>
      <c r="DC235" s="21"/>
      <c r="DD235" s="21"/>
      <c r="DE235" s="21"/>
      <c r="DJ235" s="9"/>
      <c r="DK235" s="21"/>
      <c r="DL235" s="21"/>
      <c r="DM235" s="21"/>
      <c r="DN235" s="21"/>
      <c r="DO235" s="21"/>
      <c r="DR235" s="9"/>
      <c r="DS235" s="21"/>
      <c r="DT235" s="21"/>
      <c r="DU235" s="21"/>
      <c r="DV235" s="21"/>
      <c r="DW235" s="21"/>
      <c r="EB235" s="9"/>
      <c r="EC235" s="21"/>
      <c r="ED235" s="21"/>
      <c r="EE235" s="21"/>
      <c r="EF235" s="21"/>
      <c r="EG235" s="21"/>
      <c r="EJ235" s="9"/>
      <c r="EK235" s="21"/>
      <c r="EL235" s="21"/>
      <c r="EM235" s="21"/>
      <c r="EN235" s="21"/>
      <c r="EO235" s="21"/>
      <c r="ET235" s="21"/>
      <c r="EU235" s="21"/>
      <c r="EV235" s="21"/>
      <c r="EW235" s="21"/>
      <c r="EX235" s="21"/>
      <c r="FA235" s="9"/>
      <c r="FB235" s="21"/>
      <c r="FC235" s="21"/>
      <c r="FD235" s="21"/>
      <c r="FE235" s="21"/>
      <c r="FF235" s="21"/>
    </row>
    <row r="236" spans="6:162" x14ac:dyDescent="0.25">
      <c r="F236" s="9"/>
      <c r="G236" s="21">
        <v>6.1950699999999997E-2</v>
      </c>
      <c r="H236" s="21">
        <v>7.2913699999999997</v>
      </c>
      <c r="I236" s="24">
        <v>-7.0465100000000004E-5</v>
      </c>
      <c r="J236" s="21">
        <v>226</v>
      </c>
      <c r="K236" s="21">
        <v>6.1615000000000003E-2</v>
      </c>
      <c r="L236">
        <f t="shared" si="36"/>
        <v>8.6993950617283947E-2</v>
      </c>
      <c r="M236">
        <f t="shared" si="37"/>
        <v>5.3893361365061725E-3</v>
      </c>
      <c r="N236" s="9"/>
      <c r="O236" s="21">
        <v>1.03806</v>
      </c>
      <c r="P236" s="21">
        <v>9.9121100000000002</v>
      </c>
      <c r="Q236" s="24">
        <v>-2.3773200000000001E-5</v>
      </c>
      <c r="R236" s="21">
        <v>226</v>
      </c>
      <c r="S236" s="21">
        <v>1.03668</v>
      </c>
      <c r="T236">
        <f t="shared" si="38"/>
        <v>2.9349629629629628E-2</v>
      </c>
      <c r="U236">
        <f t="shared" si="39"/>
        <v>3.046667653333333E-2</v>
      </c>
      <c r="X236" s="9"/>
      <c r="Y236" s="21">
        <v>6.1950699999999997E-2</v>
      </c>
      <c r="Z236" s="21">
        <v>14.272500000000001</v>
      </c>
      <c r="AA236" s="24">
        <v>-6.6497799999999999E-5</v>
      </c>
      <c r="AB236" s="21">
        <v>226</v>
      </c>
      <c r="AC236" s="21">
        <v>6.1676000000000002E-2</v>
      </c>
      <c r="AD236">
        <f t="shared" si="40"/>
        <v>8.2096049382716044E-2</v>
      </c>
      <c r="AE236">
        <f t="shared" si="41"/>
        <v>5.0859077264938267E-3</v>
      </c>
      <c r="AF236" s="9"/>
      <c r="AG236" s="21">
        <v>1.03806</v>
      </c>
      <c r="AH236" s="21">
        <v>16.8933</v>
      </c>
      <c r="AI236" s="24">
        <v>-2.1759E-5</v>
      </c>
      <c r="AJ236" s="21">
        <v>226</v>
      </c>
      <c r="AK236" s="21">
        <v>1.0369900000000001</v>
      </c>
      <c r="AL236">
        <f t="shared" si="42"/>
        <v>2.686296296296296E-2</v>
      </c>
      <c r="AM236">
        <f t="shared" si="43"/>
        <v>2.7885367333333331E-2</v>
      </c>
      <c r="AP236" s="9"/>
      <c r="AQ236" s="21">
        <v>6.1950699999999997E-2</v>
      </c>
      <c r="AR236" s="21">
        <v>21.195699999999999</v>
      </c>
      <c r="AS236" s="24">
        <v>-6.4178500000000002E-5</v>
      </c>
      <c r="AT236" s="21">
        <v>226</v>
      </c>
      <c r="AU236" s="21">
        <v>6.1615000000000003E-2</v>
      </c>
      <c r="AV236">
        <f t="shared" si="44"/>
        <v>7.9232716049382715E-2</v>
      </c>
      <c r="AW236">
        <f t="shared" si="45"/>
        <v>4.9085222221604934E-3</v>
      </c>
      <c r="AX236" s="9"/>
      <c r="AY236" s="21">
        <v>1.03806</v>
      </c>
      <c r="AZ236" s="21">
        <v>23.816500000000001</v>
      </c>
      <c r="BA236" s="24">
        <v>-2.12402E-5</v>
      </c>
      <c r="BB236" s="21">
        <v>226</v>
      </c>
      <c r="BC236" s="21">
        <v>1.03668</v>
      </c>
      <c r="BD236">
        <f t="shared" si="46"/>
        <v>2.6222469135802468E-2</v>
      </c>
      <c r="BE236">
        <f t="shared" si="47"/>
        <v>2.7220496311111109E-2</v>
      </c>
      <c r="BH236" s="9"/>
      <c r="BI236" s="21"/>
      <c r="BJ236" s="21"/>
      <c r="BK236" s="21"/>
      <c r="BL236" s="21"/>
      <c r="BM236" s="21"/>
      <c r="BP236" s="9"/>
      <c r="BQ236" s="21"/>
      <c r="BR236" s="21"/>
      <c r="BS236" s="21"/>
      <c r="BT236" s="21"/>
      <c r="BU236" s="21"/>
      <c r="BZ236" s="9"/>
      <c r="CA236" s="21"/>
      <c r="CB236" s="21"/>
      <c r="CC236" s="21"/>
      <c r="CD236" s="21"/>
      <c r="CE236" s="21"/>
      <c r="CH236" s="9"/>
      <c r="CI236" s="21"/>
      <c r="CJ236" s="21"/>
      <c r="CK236" s="21"/>
      <c r="CL236" s="21"/>
      <c r="CM236" s="21"/>
      <c r="CR236" s="9"/>
      <c r="CS236" s="21"/>
      <c r="CT236" s="21"/>
      <c r="CU236" s="21"/>
      <c r="CV236" s="21"/>
      <c r="CW236" s="21"/>
      <c r="CZ236" s="9"/>
      <c r="DA236" s="21"/>
      <c r="DB236" s="21"/>
      <c r="DC236" s="21"/>
      <c r="DD236" s="21"/>
      <c r="DE236" s="21"/>
      <c r="DJ236" s="9"/>
      <c r="DK236" s="21"/>
      <c r="DL236" s="21"/>
      <c r="DM236" s="21"/>
      <c r="DN236" s="21"/>
      <c r="DO236" s="21"/>
      <c r="DR236" s="9"/>
      <c r="DS236" s="21"/>
      <c r="DT236" s="21"/>
      <c r="DU236" s="21"/>
      <c r="DV236" s="21"/>
      <c r="DW236" s="21"/>
      <c r="EB236" s="9"/>
      <c r="EC236" s="21"/>
      <c r="ED236" s="21"/>
      <c r="EE236" s="21"/>
      <c r="EF236" s="21"/>
      <c r="EG236" s="21"/>
      <c r="EJ236" s="9"/>
      <c r="EK236" s="21"/>
      <c r="EL236" s="21"/>
      <c r="EM236" s="21"/>
      <c r="EN236" s="21"/>
      <c r="EO236" s="21"/>
      <c r="ET236" s="21"/>
      <c r="EU236" s="21"/>
      <c r="EV236" s="21"/>
      <c r="EW236" s="21"/>
      <c r="EX236" s="21"/>
      <c r="FA236" s="9"/>
      <c r="FB236" s="21"/>
      <c r="FC236" s="21"/>
      <c r="FD236" s="21"/>
      <c r="FE236" s="21"/>
      <c r="FF236" s="21"/>
    </row>
    <row r="237" spans="6:162" x14ac:dyDescent="0.25">
      <c r="F237" s="9"/>
      <c r="G237" s="21">
        <v>5.6915300000000002E-2</v>
      </c>
      <c r="H237" s="21">
        <v>7.3014400000000004</v>
      </c>
      <c r="I237" s="24">
        <v>-7.0556599999999995E-5</v>
      </c>
      <c r="J237" s="21">
        <v>227</v>
      </c>
      <c r="K237" s="21">
        <v>5.6610099999999997E-2</v>
      </c>
      <c r="L237">
        <f t="shared" si="36"/>
        <v>8.71069135802469E-2</v>
      </c>
      <c r="M237">
        <f t="shared" si="37"/>
        <v>4.9577161184938268E-3</v>
      </c>
      <c r="N237" s="9"/>
      <c r="O237" s="21">
        <v>1.0430900000000001</v>
      </c>
      <c r="P237" s="21">
        <v>9.9221800000000009</v>
      </c>
      <c r="Q237" s="24">
        <v>-2.3284900000000001E-5</v>
      </c>
      <c r="R237" s="21">
        <v>227</v>
      </c>
      <c r="S237" s="21">
        <v>1.0418700000000001</v>
      </c>
      <c r="T237">
        <f t="shared" si="38"/>
        <v>2.8746790123456791E-2</v>
      </c>
      <c r="U237">
        <f t="shared" si="39"/>
        <v>2.9985489309876545E-2</v>
      </c>
      <c r="X237" s="9"/>
      <c r="Y237" s="21">
        <v>5.6915300000000002E-2</v>
      </c>
      <c r="Z237" s="21">
        <v>14.2826</v>
      </c>
      <c r="AA237" s="24">
        <v>-6.6528300000000005E-5</v>
      </c>
      <c r="AB237" s="21">
        <v>227</v>
      </c>
      <c r="AC237" s="21">
        <v>5.6640599999999999E-2</v>
      </c>
      <c r="AD237">
        <f t="shared" si="40"/>
        <v>8.2133703703703695E-2</v>
      </c>
      <c r="AE237">
        <f t="shared" si="41"/>
        <v>4.6746643864074072E-3</v>
      </c>
      <c r="AF237" s="9"/>
      <c r="AG237" s="21">
        <v>1.0430900000000001</v>
      </c>
      <c r="AH237" s="21">
        <v>16.903300000000002</v>
      </c>
      <c r="AI237" s="24">
        <v>-2.1057099999999999E-5</v>
      </c>
      <c r="AJ237" s="21">
        <v>227</v>
      </c>
      <c r="AK237" s="21">
        <v>1.0424800000000001</v>
      </c>
      <c r="AL237">
        <f t="shared" si="42"/>
        <v>2.5996419753086416E-2</v>
      </c>
      <c r="AM237">
        <f t="shared" si="43"/>
        <v>2.711660548024691E-2</v>
      </c>
      <c r="AP237" s="9"/>
      <c r="AQ237" s="21">
        <v>5.6915300000000002E-2</v>
      </c>
      <c r="AR237" s="21">
        <v>21.2058</v>
      </c>
      <c r="AS237" s="24">
        <v>-6.4178500000000002E-5</v>
      </c>
      <c r="AT237" s="21">
        <v>227</v>
      </c>
      <c r="AU237" s="21">
        <v>5.6610099999999997E-2</v>
      </c>
      <c r="AV237">
        <f t="shared" si="44"/>
        <v>7.9232716049382715E-2</v>
      </c>
      <c r="AW237">
        <f t="shared" si="45"/>
        <v>4.5095538037654322E-3</v>
      </c>
      <c r="AX237" s="9"/>
      <c r="AY237" s="21">
        <v>1.0430900000000001</v>
      </c>
      <c r="AZ237" s="21">
        <v>23.826499999999999</v>
      </c>
      <c r="BA237" s="24">
        <v>-2.07825E-5</v>
      </c>
      <c r="BB237" s="21">
        <v>227</v>
      </c>
      <c r="BC237" s="21">
        <v>1.0421800000000001</v>
      </c>
      <c r="BD237">
        <f t="shared" si="46"/>
        <v>2.5657407407407407E-2</v>
      </c>
      <c r="BE237">
        <f t="shared" si="47"/>
        <v>2.6762985092592593E-2</v>
      </c>
      <c r="BH237" s="9"/>
      <c r="BI237" s="21"/>
      <c r="BJ237" s="21"/>
      <c r="BK237" s="21"/>
      <c r="BL237" s="21"/>
      <c r="BM237" s="21"/>
      <c r="BP237" s="9"/>
      <c r="BQ237" s="21"/>
      <c r="BR237" s="21"/>
      <c r="BS237" s="21"/>
      <c r="BT237" s="21"/>
      <c r="BU237" s="21"/>
      <c r="BZ237" s="9"/>
      <c r="CA237" s="21"/>
      <c r="CB237" s="21"/>
      <c r="CC237" s="21"/>
      <c r="CD237" s="21"/>
      <c r="CE237" s="21"/>
      <c r="CH237" s="9"/>
      <c r="CI237" s="21"/>
      <c r="CJ237" s="21"/>
      <c r="CK237" s="21"/>
      <c r="CL237" s="21"/>
      <c r="CM237" s="21"/>
      <c r="CR237" s="9"/>
      <c r="CS237" s="21"/>
      <c r="CT237" s="21"/>
      <c r="CU237" s="21"/>
      <c r="CV237" s="21"/>
      <c r="CW237" s="21"/>
      <c r="CZ237" s="9"/>
      <c r="DA237" s="21"/>
      <c r="DB237" s="21"/>
      <c r="DC237" s="21"/>
      <c r="DD237" s="21"/>
      <c r="DE237" s="21"/>
      <c r="DJ237" s="9"/>
      <c r="DK237" s="21"/>
      <c r="DL237" s="21"/>
      <c r="DM237" s="21"/>
      <c r="DN237" s="21"/>
      <c r="DO237" s="21"/>
      <c r="DR237" s="9"/>
      <c r="DS237" s="21"/>
      <c r="DT237" s="21"/>
      <c r="DU237" s="21"/>
      <c r="DV237" s="21"/>
      <c r="DW237" s="21"/>
      <c r="EB237" s="9"/>
      <c r="EC237" s="21"/>
      <c r="ED237" s="21"/>
      <c r="EE237" s="21"/>
      <c r="EF237" s="21"/>
      <c r="EG237" s="21"/>
      <c r="EJ237" s="9"/>
      <c r="EK237" s="21"/>
      <c r="EL237" s="21"/>
      <c r="EM237" s="21"/>
      <c r="EN237" s="21"/>
      <c r="EO237" s="21"/>
      <c r="ET237" s="21"/>
      <c r="EU237" s="21"/>
      <c r="EV237" s="21"/>
      <c r="EW237" s="21"/>
      <c r="EX237" s="21"/>
      <c r="FA237" s="9"/>
      <c r="FB237" s="21"/>
      <c r="FC237" s="21"/>
      <c r="FD237" s="21"/>
      <c r="FE237" s="21"/>
      <c r="FF237" s="21"/>
    </row>
    <row r="238" spans="6:162" x14ac:dyDescent="0.25">
      <c r="F238" s="9"/>
      <c r="G238" s="21">
        <v>5.18799E-2</v>
      </c>
      <c r="H238" s="21">
        <v>7.3115100000000002</v>
      </c>
      <c r="I238" s="24">
        <v>-7.0678699999999998E-5</v>
      </c>
      <c r="J238" s="21">
        <v>228</v>
      </c>
      <c r="K238" s="21">
        <v>5.1666299999999998E-2</v>
      </c>
      <c r="L238">
        <f t="shared" si="36"/>
        <v>8.7257654320987643E-2</v>
      </c>
      <c r="M238">
        <f t="shared" si="37"/>
        <v>4.5269183804074065E-3</v>
      </c>
      <c r="N238" s="9"/>
      <c r="O238" s="21">
        <v>1.04813</v>
      </c>
      <c r="P238" s="21">
        <v>9.9322499999999998</v>
      </c>
      <c r="Q238" s="24">
        <v>-2.2674600000000001E-5</v>
      </c>
      <c r="R238" s="21">
        <v>228</v>
      </c>
      <c r="S238" s="21">
        <v>1.0473600000000001</v>
      </c>
      <c r="T238">
        <f t="shared" si="38"/>
        <v>2.7993333333333332E-2</v>
      </c>
      <c r="U238">
        <f t="shared" si="39"/>
        <v>2.9340652466666665E-2</v>
      </c>
      <c r="X238" s="9"/>
      <c r="Y238" s="21">
        <v>5.18799E-2</v>
      </c>
      <c r="Z238" s="21">
        <v>14.2927</v>
      </c>
      <c r="AA238" s="24">
        <v>-6.6650399999999995E-5</v>
      </c>
      <c r="AB238" s="21">
        <v>228</v>
      </c>
      <c r="AC238" s="21">
        <v>5.16357E-2</v>
      </c>
      <c r="AD238">
        <f t="shared" si="40"/>
        <v>8.2284444444444438E-2</v>
      </c>
      <c r="AE238">
        <f t="shared" si="41"/>
        <v>4.2689087493333333E-3</v>
      </c>
      <c r="AF238" s="9"/>
      <c r="AG238" s="21">
        <v>1.04813</v>
      </c>
      <c r="AH238" s="21">
        <v>16.913399999999999</v>
      </c>
      <c r="AI238" s="24">
        <v>-2.0568799999999999E-5</v>
      </c>
      <c r="AJ238" s="21">
        <v>228</v>
      </c>
      <c r="AK238" s="21">
        <v>1.0470600000000001</v>
      </c>
      <c r="AL238">
        <f t="shared" si="42"/>
        <v>2.5393580246913575E-2</v>
      </c>
      <c r="AM238">
        <f t="shared" si="43"/>
        <v>2.6615773264197527E-2</v>
      </c>
      <c r="AP238" s="9"/>
      <c r="AQ238" s="21">
        <v>5.18799E-2</v>
      </c>
      <c r="AR238" s="21">
        <v>21.215900000000001</v>
      </c>
      <c r="AS238" s="24">
        <v>-6.4331099999999998E-5</v>
      </c>
      <c r="AT238" s="21">
        <v>228</v>
      </c>
      <c r="AU238" s="21">
        <v>5.16357E-2</v>
      </c>
      <c r="AV238">
        <f t="shared" si="44"/>
        <v>7.9421111111111095E-2</v>
      </c>
      <c r="AW238">
        <f t="shared" si="45"/>
        <v>4.1203593023333325E-3</v>
      </c>
      <c r="AX238" s="9"/>
      <c r="AY238" s="21">
        <v>1.04813</v>
      </c>
      <c r="AZ238" s="21">
        <v>23.836600000000001</v>
      </c>
      <c r="BA238" s="24">
        <v>-2.03857E-5</v>
      </c>
      <c r="BB238" s="21">
        <v>228</v>
      </c>
      <c r="BC238" s="21">
        <v>1.0467500000000001</v>
      </c>
      <c r="BD238">
        <f t="shared" si="46"/>
        <v>2.516753086419753E-2</v>
      </c>
      <c r="BE238">
        <f t="shared" si="47"/>
        <v>2.6378844124691356E-2</v>
      </c>
      <c r="BH238" s="9"/>
      <c r="BI238" s="21"/>
      <c r="BJ238" s="21"/>
      <c r="BK238" s="21"/>
      <c r="BL238" s="21"/>
      <c r="BM238" s="21"/>
      <c r="BP238" s="9"/>
      <c r="BQ238" s="21"/>
      <c r="BR238" s="21"/>
      <c r="BS238" s="21"/>
      <c r="BT238" s="21"/>
      <c r="BU238" s="21"/>
      <c r="BZ238" s="9"/>
      <c r="CA238" s="21"/>
      <c r="CB238" s="21"/>
      <c r="CC238" s="21"/>
      <c r="CD238" s="21"/>
      <c r="CE238" s="21"/>
      <c r="CH238" s="9"/>
      <c r="CI238" s="21"/>
      <c r="CJ238" s="21"/>
      <c r="CK238" s="21"/>
      <c r="CL238" s="21"/>
      <c r="CM238" s="21"/>
      <c r="CR238" s="9"/>
      <c r="CS238" s="21"/>
      <c r="CT238" s="21"/>
      <c r="CU238" s="21"/>
      <c r="CV238" s="21"/>
      <c r="CW238" s="21"/>
      <c r="CZ238" s="9"/>
      <c r="DA238" s="21"/>
      <c r="DB238" s="21"/>
      <c r="DC238" s="21"/>
      <c r="DD238" s="21"/>
      <c r="DE238" s="21"/>
      <c r="DJ238" s="9"/>
      <c r="DK238" s="21"/>
      <c r="DL238" s="21"/>
      <c r="DM238" s="21"/>
      <c r="DN238" s="21"/>
      <c r="DO238" s="21"/>
      <c r="DR238" s="9"/>
      <c r="DS238" s="21"/>
      <c r="DT238" s="21"/>
      <c r="DU238" s="21"/>
      <c r="DV238" s="21"/>
      <c r="DW238" s="21"/>
      <c r="EB238" s="9"/>
      <c r="EC238" s="21"/>
      <c r="ED238" s="21"/>
      <c r="EE238" s="21"/>
      <c r="EF238" s="21"/>
      <c r="EG238" s="21"/>
      <c r="EJ238" s="9"/>
      <c r="EK238" s="21"/>
      <c r="EL238" s="21"/>
      <c r="EM238" s="21"/>
      <c r="EN238" s="21"/>
      <c r="EO238" s="21"/>
      <c r="ET238" s="21"/>
      <c r="EU238" s="21"/>
      <c r="EV238" s="21"/>
      <c r="EW238" s="21"/>
      <c r="EX238" s="21"/>
      <c r="FA238" s="9"/>
      <c r="FB238" s="21"/>
      <c r="FC238" s="21"/>
      <c r="FD238" s="21"/>
      <c r="FE238" s="21"/>
      <c r="FF238" s="21"/>
    </row>
    <row r="239" spans="6:162" x14ac:dyDescent="0.25">
      <c r="F239" s="9"/>
      <c r="G239" s="21">
        <v>4.6844499999999997E-2</v>
      </c>
      <c r="H239" s="21">
        <v>7.32158</v>
      </c>
      <c r="I239" s="24">
        <v>-7.0770299999999996E-5</v>
      </c>
      <c r="J239" s="21">
        <v>229</v>
      </c>
      <c r="K239" s="21">
        <v>4.6795700000000003E-2</v>
      </c>
      <c r="L239">
        <f t="shared" si="36"/>
        <v>8.7370740740740735E-2</v>
      </c>
      <c r="M239">
        <f t="shared" si="37"/>
        <v>4.0928386646296288E-3</v>
      </c>
      <c r="N239" s="9"/>
      <c r="O239" s="21">
        <v>1.0531600000000001</v>
      </c>
      <c r="P239" s="21">
        <v>9.9423200000000005</v>
      </c>
      <c r="Q239" s="24">
        <v>-2.21252E-5</v>
      </c>
      <c r="R239" s="21">
        <v>229</v>
      </c>
      <c r="S239" s="21">
        <v>1.0519400000000001</v>
      </c>
      <c r="T239">
        <f t="shared" si="38"/>
        <v>2.7315061728395058E-2</v>
      </c>
      <c r="U239">
        <f t="shared" si="39"/>
        <v>2.8767130409876541E-2</v>
      </c>
      <c r="X239" s="9"/>
      <c r="Y239" s="21">
        <v>4.6844499999999997E-2</v>
      </c>
      <c r="Z239" s="21">
        <v>14.3028</v>
      </c>
      <c r="AA239" s="24">
        <v>-6.6741899999999999E-5</v>
      </c>
      <c r="AB239" s="21">
        <v>229</v>
      </c>
      <c r="AC239" s="21">
        <v>4.6762100000000001E-2</v>
      </c>
      <c r="AD239">
        <f t="shared" si="40"/>
        <v>8.2397407407407405E-2</v>
      </c>
      <c r="AE239">
        <f t="shared" si="41"/>
        <v>3.859865351296296E-3</v>
      </c>
      <c r="AF239" s="9"/>
      <c r="AG239" s="21">
        <v>1.0531600000000001</v>
      </c>
      <c r="AH239" s="21">
        <v>16.923500000000001</v>
      </c>
      <c r="AI239" s="24">
        <v>-1.9989000000000001E-5</v>
      </c>
      <c r="AJ239" s="21">
        <v>229</v>
      </c>
      <c r="AK239" s="21">
        <v>1.0519400000000001</v>
      </c>
      <c r="AL239">
        <f t="shared" si="42"/>
        <v>2.4677777777777778E-2</v>
      </c>
      <c r="AM239">
        <f t="shared" si="43"/>
        <v>2.5989648444444447E-2</v>
      </c>
      <c r="AP239" s="9"/>
      <c r="AQ239" s="21">
        <v>4.6844499999999997E-2</v>
      </c>
      <c r="AR239" s="21">
        <v>21.225899999999999</v>
      </c>
      <c r="AS239" s="24">
        <v>-6.4361600000000004E-5</v>
      </c>
      <c r="AT239" s="21">
        <v>229</v>
      </c>
      <c r="AU239" s="21">
        <v>4.6795700000000003E-2</v>
      </c>
      <c r="AV239">
        <f t="shared" si="44"/>
        <v>7.945876543209876E-2</v>
      </c>
      <c r="AW239">
        <f t="shared" si="45"/>
        <v>3.7222061372839503E-3</v>
      </c>
      <c r="AX239" s="9"/>
      <c r="AY239" s="21">
        <v>1.0531600000000001</v>
      </c>
      <c r="AZ239" s="21">
        <v>23.846699999999998</v>
      </c>
      <c r="BA239" s="24">
        <v>-1.9958499999999999E-5</v>
      </c>
      <c r="BB239" s="21">
        <v>229</v>
      </c>
      <c r="BC239" s="21">
        <v>1.0519400000000001</v>
      </c>
      <c r="BD239">
        <f t="shared" si="46"/>
        <v>2.464012345679012E-2</v>
      </c>
      <c r="BE239">
        <f t="shared" si="47"/>
        <v>2.5949992419753085E-2</v>
      </c>
      <c r="BH239" s="9"/>
      <c r="BI239" s="21"/>
      <c r="BJ239" s="21"/>
      <c r="BK239" s="21"/>
      <c r="BL239" s="21"/>
      <c r="BM239" s="21"/>
      <c r="BP239" s="9"/>
      <c r="BQ239" s="21"/>
      <c r="BR239" s="21"/>
      <c r="BS239" s="21"/>
      <c r="BT239" s="21"/>
      <c r="BU239" s="21"/>
      <c r="BZ239" s="9"/>
      <c r="CA239" s="21"/>
      <c r="CB239" s="21"/>
      <c r="CC239" s="21"/>
      <c r="CD239" s="21"/>
      <c r="CE239" s="21"/>
      <c r="CH239" s="9"/>
      <c r="CI239" s="21"/>
      <c r="CJ239" s="21"/>
      <c r="CK239" s="21"/>
      <c r="CL239" s="21"/>
      <c r="CM239" s="21"/>
      <c r="CR239" s="9"/>
      <c r="CS239" s="21"/>
      <c r="CT239" s="21"/>
      <c r="CU239" s="21"/>
      <c r="CV239" s="21"/>
      <c r="CW239" s="21"/>
      <c r="CZ239" s="9"/>
      <c r="DA239" s="21"/>
      <c r="DB239" s="21"/>
      <c r="DC239" s="21"/>
      <c r="DD239" s="21"/>
      <c r="DE239" s="21"/>
      <c r="DJ239" s="9"/>
      <c r="DK239" s="21"/>
      <c r="DL239" s="21"/>
      <c r="DM239" s="21"/>
      <c r="DN239" s="21"/>
      <c r="DO239" s="21"/>
      <c r="DR239" s="9"/>
      <c r="DS239" s="21"/>
      <c r="DT239" s="21"/>
      <c r="DU239" s="21"/>
      <c r="DV239" s="21"/>
      <c r="DW239" s="21"/>
      <c r="EB239" s="9"/>
      <c r="EC239" s="21"/>
      <c r="ED239" s="21"/>
      <c r="EE239" s="21"/>
      <c r="EF239" s="21"/>
      <c r="EG239" s="21"/>
      <c r="EJ239" s="9"/>
      <c r="EK239" s="21"/>
      <c r="EL239" s="21"/>
      <c r="EM239" s="21"/>
      <c r="EN239" s="21"/>
      <c r="EO239" s="21"/>
      <c r="ET239" s="21"/>
      <c r="EU239" s="21"/>
      <c r="EV239" s="21"/>
      <c r="EW239" s="21"/>
      <c r="EX239" s="21"/>
      <c r="FA239" s="9"/>
      <c r="FB239" s="21"/>
      <c r="FC239" s="21"/>
      <c r="FD239" s="21"/>
      <c r="FE239" s="21"/>
      <c r="FF239" s="21"/>
    </row>
    <row r="240" spans="6:162" x14ac:dyDescent="0.25">
      <c r="F240" s="9"/>
      <c r="G240" s="21">
        <v>4.1809100000000002E-2</v>
      </c>
      <c r="H240" s="21">
        <v>7.3316499999999998</v>
      </c>
      <c r="I240" s="24">
        <v>-7.0953399999999997E-5</v>
      </c>
      <c r="J240" s="21">
        <v>230</v>
      </c>
      <c r="K240" s="21">
        <v>4.1744999999999997E-2</v>
      </c>
      <c r="L240">
        <f t="shared" si="36"/>
        <v>8.759679012345678E-2</v>
      </c>
      <c r="M240">
        <f t="shared" si="37"/>
        <v>3.6623429579506171E-3</v>
      </c>
      <c r="N240" s="9"/>
      <c r="O240" s="21">
        <v>1.0582</v>
      </c>
      <c r="P240" s="21">
        <v>9.9523899999999994</v>
      </c>
      <c r="Q240" s="24">
        <v>-2.13623E-5</v>
      </c>
      <c r="R240" s="21">
        <v>230</v>
      </c>
      <c r="S240" s="21">
        <v>1.0577399999999999</v>
      </c>
      <c r="T240">
        <f t="shared" si="38"/>
        <v>2.6373209876543208E-2</v>
      </c>
      <c r="U240">
        <f t="shared" si="39"/>
        <v>2.7908130691358023E-2</v>
      </c>
      <c r="X240" s="9"/>
      <c r="Y240" s="21">
        <v>4.1809100000000002E-2</v>
      </c>
      <c r="Z240" s="21">
        <v>14.312799999999999</v>
      </c>
      <c r="AA240" s="24">
        <v>-6.6986100000000006E-5</v>
      </c>
      <c r="AB240" s="21">
        <v>230</v>
      </c>
      <c r="AC240" s="21">
        <v>4.1751099999999999E-2</v>
      </c>
      <c r="AD240">
        <f t="shared" si="40"/>
        <v>8.2698888888888891E-2</v>
      </c>
      <c r="AE240">
        <f t="shared" si="41"/>
        <v>3.4575661154444448E-3</v>
      </c>
      <c r="AF240" s="9"/>
      <c r="AG240" s="21">
        <v>1.0582</v>
      </c>
      <c r="AH240" s="21">
        <v>16.933599999999998</v>
      </c>
      <c r="AI240" s="24">
        <v>-1.9714399999999999E-5</v>
      </c>
      <c r="AJ240" s="21">
        <v>230</v>
      </c>
      <c r="AK240" s="21">
        <v>1.0571299999999999</v>
      </c>
      <c r="AL240">
        <f t="shared" si="42"/>
        <v>2.4338765432098761E-2</v>
      </c>
      <c r="AM240">
        <f t="shared" si="43"/>
        <v>2.5755281580246911E-2</v>
      </c>
      <c r="AP240" s="9"/>
      <c r="AQ240" s="21">
        <v>4.1809100000000002E-2</v>
      </c>
      <c r="AR240" s="21">
        <v>21.236000000000001</v>
      </c>
      <c r="AS240" s="24">
        <v>-6.4453099999999995E-5</v>
      </c>
      <c r="AT240" s="21">
        <v>230</v>
      </c>
      <c r="AU240" s="21">
        <v>4.1754199999999998E-2</v>
      </c>
      <c r="AV240">
        <f t="shared" si="44"/>
        <v>7.9571728395061714E-2</v>
      </c>
      <c r="AW240">
        <f t="shared" si="45"/>
        <v>3.3268223496419748E-3</v>
      </c>
      <c r="AX240" s="9"/>
      <c r="AY240" s="21">
        <v>1.0582</v>
      </c>
      <c r="AZ240" s="21">
        <v>23.8567</v>
      </c>
      <c r="BA240" s="24">
        <v>-1.9531300000000001E-5</v>
      </c>
      <c r="BB240" s="21">
        <v>230</v>
      </c>
      <c r="BC240" s="21">
        <v>1.0568200000000001</v>
      </c>
      <c r="BD240">
        <f t="shared" si="46"/>
        <v>2.4112716049382716E-2</v>
      </c>
      <c r="BE240">
        <f t="shared" si="47"/>
        <v>2.5516076123456792E-2</v>
      </c>
      <c r="BH240" s="9"/>
      <c r="BI240" s="21"/>
      <c r="BJ240" s="21"/>
      <c r="BK240" s="21"/>
      <c r="BL240" s="21"/>
      <c r="BM240" s="21"/>
      <c r="BP240" s="9"/>
      <c r="BQ240" s="21"/>
      <c r="BR240" s="21"/>
      <c r="BS240" s="21"/>
      <c r="BT240" s="21"/>
      <c r="BU240" s="21"/>
      <c r="BZ240" s="9"/>
      <c r="CA240" s="21"/>
      <c r="CB240" s="21"/>
      <c r="CC240" s="21"/>
      <c r="CD240" s="21"/>
      <c r="CE240" s="21"/>
      <c r="CH240" s="9"/>
      <c r="CI240" s="21"/>
      <c r="CJ240" s="21"/>
      <c r="CK240" s="21"/>
      <c r="CL240" s="21"/>
      <c r="CM240" s="21"/>
      <c r="CR240" s="9"/>
      <c r="CS240" s="21"/>
      <c r="CT240" s="21"/>
      <c r="CU240" s="21"/>
      <c r="CV240" s="21"/>
      <c r="CW240" s="21"/>
      <c r="CZ240" s="9"/>
      <c r="DA240" s="21"/>
      <c r="DB240" s="21"/>
      <c r="DC240" s="21"/>
      <c r="DD240" s="21"/>
      <c r="DE240" s="21"/>
      <c r="DJ240" s="9"/>
      <c r="DK240" s="21"/>
      <c r="DL240" s="21"/>
      <c r="DM240" s="21"/>
      <c r="DN240" s="21"/>
      <c r="DO240" s="21"/>
      <c r="DR240" s="9"/>
      <c r="DS240" s="21"/>
      <c r="DT240" s="21"/>
      <c r="DU240" s="21"/>
      <c r="DV240" s="21"/>
      <c r="DW240" s="21"/>
      <c r="EB240" s="9"/>
      <c r="EC240" s="21"/>
      <c r="ED240" s="21"/>
      <c r="EE240" s="21"/>
      <c r="EF240" s="21"/>
      <c r="EG240" s="21"/>
      <c r="EJ240" s="9"/>
      <c r="EK240" s="21"/>
      <c r="EL240" s="21"/>
      <c r="EM240" s="21"/>
      <c r="EN240" s="21"/>
      <c r="EO240" s="21"/>
      <c r="ET240" s="21"/>
      <c r="EU240" s="21"/>
      <c r="EV240" s="21"/>
      <c r="EW240" s="21"/>
      <c r="EX240" s="21"/>
      <c r="FA240" s="9"/>
      <c r="FB240" s="21"/>
      <c r="FC240" s="21"/>
      <c r="FD240" s="21"/>
      <c r="FE240" s="21"/>
      <c r="FF240" s="21"/>
    </row>
    <row r="241" spans="6:162" x14ac:dyDescent="0.25">
      <c r="F241" s="9"/>
      <c r="G241" s="21">
        <v>3.6773699999999999E-2</v>
      </c>
      <c r="H241" s="21">
        <v>7.3417199999999996</v>
      </c>
      <c r="I241" s="24">
        <v>-7.1106000000000007E-5</v>
      </c>
      <c r="J241" s="21">
        <v>231</v>
      </c>
      <c r="K241" s="21">
        <v>3.6724899999999998E-2</v>
      </c>
      <c r="L241">
        <f t="shared" si="36"/>
        <v>8.7785185185185188E-2</v>
      </c>
      <c r="M241">
        <f t="shared" si="37"/>
        <v>3.2281860644444446E-3</v>
      </c>
      <c r="N241" s="9"/>
      <c r="O241" s="21">
        <v>1.0632299999999999</v>
      </c>
      <c r="P241" s="21">
        <v>9.9624600000000001</v>
      </c>
      <c r="Q241" s="24">
        <v>-2.0843500000000001E-5</v>
      </c>
      <c r="R241" s="21">
        <v>231</v>
      </c>
      <c r="S241" s="21">
        <v>1.0626199999999999</v>
      </c>
      <c r="T241">
        <f t="shared" si="38"/>
        <v>2.5732716049382716E-2</v>
      </c>
      <c r="U241">
        <f t="shared" si="39"/>
        <v>2.7359795685185182E-2</v>
      </c>
      <c r="X241" s="9"/>
      <c r="Y241" s="21">
        <v>3.6773699999999999E-2</v>
      </c>
      <c r="Z241" s="21">
        <v>14.322900000000001</v>
      </c>
      <c r="AA241" s="24">
        <v>-6.7108199999999996E-5</v>
      </c>
      <c r="AB241" s="21">
        <v>231</v>
      </c>
      <c r="AC241" s="21">
        <v>3.66608E-2</v>
      </c>
      <c r="AD241">
        <f t="shared" si="40"/>
        <v>8.284962962962962E-2</v>
      </c>
      <c r="AE241">
        <f t="shared" si="41"/>
        <v>3.0466874251111106E-3</v>
      </c>
      <c r="AF241" s="9"/>
      <c r="AG241" s="21">
        <v>1.0632299999999999</v>
      </c>
      <c r="AH241" s="21">
        <v>16.9436</v>
      </c>
      <c r="AI241" s="24">
        <v>-1.91956E-5</v>
      </c>
      <c r="AJ241" s="21">
        <v>231</v>
      </c>
      <c r="AK241" s="21">
        <v>1.0626199999999999</v>
      </c>
      <c r="AL241">
        <f t="shared" si="42"/>
        <v>2.369827160493827E-2</v>
      </c>
      <c r="AM241">
        <f t="shared" si="43"/>
        <v>2.5196713318518513E-2</v>
      </c>
      <c r="AP241" s="9"/>
      <c r="AQ241" s="21">
        <v>3.6773699999999999E-2</v>
      </c>
      <c r="AR241" s="21">
        <v>21.246099999999998</v>
      </c>
      <c r="AS241" s="24">
        <v>-6.4605700000000004E-5</v>
      </c>
      <c r="AT241" s="21">
        <v>231</v>
      </c>
      <c r="AU241" s="21">
        <v>3.6691300000000003E-2</v>
      </c>
      <c r="AV241">
        <f t="shared" si="44"/>
        <v>7.9760123456790122E-2</v>
      </c>
      <c r="AW241">
        <f t="shared" si="45"/>
        <v>2.9330748519629628E-3</v>
      </c>
      <c r="AX241" s="9"/>
      <c r="AY241" s="21">
        <v>1.0632299999999999</v>
      </c>
      <c r="AZ241" s="21">
        <v>23.866800000000001</v>
      </c>
      <c r="BA241" s="24">
        <v>-1.9043E-5</v>
      </c>
      <c r="BB241" s="21">
        <v>231</v>
      </c>
      <c r="BC241" s="21">
        <v>1.0623199999999999</v>
      </c>
      <c r="BD241">
        <f t="shared" si="46"/>
        <v>2.3509876543209879E-2</v>
      </c>
      <c r="BE241">
        <f t="shared" si="47"/>
        <v>2.4996406037037035E-2</v>
      </c>
      <c r="BH241" s="9"/>
      <c r="BI241" s="21"/>
      <c r="BJ241" s="21"/>
      <c r="BK241" s="21"/>
      <c r="BL241" s="21"/>
      <c r="BM241" s="21"/>
      <c r="BP241" s="9"/>
      <c r="BQ241" s="21"/>
      <c r="BR241" s="21"/>
      <c r="BS241" s="21"/>
      <c r="BT241" s="21"/>
      <c r="BU241" s="21"/>
      <c r="BZ241" s="9"/>
      <c r="CA241" s="21"/>
      <c r="CB241" s="21"/>
      <c r="CC241" s="21"/>
      <c r="CD241" s="21"/>
      <c r="CE241" s="21"/>
      <c r="CH241" s="9"/>
      <c r="CI241" s="21"/>
      <c r="CJ241" s="21"/>
      <c r="CK241" s="21"/>
      <c r="CL241" s="21"/>
      <c r="CM241" s="21"/>
      <c r="CR241" s="9"/>
      <c r="CS241" s="21"/>
      <c r="CT241" s="21"/>
      <c r="CU241" s="21"/>
      <c r="CV241" s="21"/>
      <c r="CW241" s="21"/>
      <c r="CZ241" s="9"/>
      <c r="DA241" s="21"/>
      <c r="DB241" s="21"/>
      <c r="DC241" s="21"/>
      <c r="DD241" s="21"/>
      <c r="DE241" s="21"/>
      <c r="DJ241" s="9"/>
      <c r="DK241" s="21"/>
      <c r="DL241" s="21"/>
      <c r="DM241" s="21"/>
      <c r="DN241" s="21"/>
      <c r="DO241" s="21"/>
      <c r="DR241" s="9"/>
      <c r="DS241" s="21"/>
      <c r="DT241" s="21"/>
      <c r="DU241" s="21"/>
      <c r="DV241" s="21"/>
      <c r="DW241" s="21"/>
      <c r="EB241" s="9"/>
      <c r="EC241" s="21"/>
      <c r="ED241" s="21"/>
      <c r="EE241" s="21"/>
      <c r="EF241" s="21"/>
      <c r="EG241" s="21"/>
      <c r="EJ241" s="9"/>
      <c r="EK241" s="21"/>
      <c r="EL241" s="21"/>
      <c r="EM241" s="21"/>
      <c r="EN241" s="21"/>
      <c r="EO241" s="21"/>
      <c r="ET241" s="21"/>
      <c r="EU241" s="21"/>
      <c r="EV241" s="21"/>
      <c r="EW241" s="21"/>
      <c r="EX241" s="21"/>
      <c r="FA241" s="9"/>
      <c r="FB241" s="21"/>
      <c r="FC241" s="21"/>
      <c r="FD241" s="21"/>
      <c r="FE241" s="21"/>
      <c r="FF241" s="21"/>
    </row>
    <row r="242" spans="6:162" x14ac:dyDescent="0.25">
      <c r="F242" s="9"/>
      <c r="G242" s="21">
        <v>3.1738299999999997E-2</v>
      </c>
      <c r="H242" s="21">
        <v>7.3517900000000003</v>
      </c>
      <c r="I242" s="24">
        <v>-7.1319600000000001E-5</v>
      </c>
      <c r="J242" s="21">
        <v>232</v>
      </c>
      <c r="K242" s="21">
        <v>3.1643699999999997E-2</v>
      </c>
      <c r="L242">
        <f t="shared" si="36"/>
        <v>8.8048888888888885E-2</v>
      </c>
      <c r="M242">
        <f t="shared" si="37"/>
        <v>2.794522050222222E-3</v>
      </c>
      <c r="N242" s="9"/>
      <c r="O242" s="21">
        <v>1.0682700000000001</v>
      </c>
      <c r="P242" s="21">
        <v>9.9725300000000008</v>
      </c>
      <c r="Q242" s="24">
        <v>-2.01721E-5</v>
      </c>
      <c r="R242" s="21">
        <v>232</v>
      </c>
      <c r="S242" s="21">
        <v>1.0671999999999999</v>
      </c>
      <c r="T242">
        <f t="shared" si="38"/>
        <v>2.4903827160493826E-2</v>
      </c>
      <c r="U242">
        <f t="shared" si="39"/>
        <v>2.6604011440740743E-2</v>
      </c>
      <c r="X242" s="9"/>
      <c r="Y242" s="21">
        <v>3.1738299999999997E-2</v>
      </c>
      <c r="Z242" s="21">
        <v>14.333</v>
      </c>
      <c r="AA242" s="24">
        <v>-6.7230200000000006E-5</v>
      </c>
      <c r="AB242" s="21">
        <v>232</v>
      </c>
      <c r="AC242" s="21">
        <v>3.1680300000000002E-2</v>
      </c>
      <c r="AD242">
        <f t="shared" si="40"/>
        <v>8.3000246913580253E-2</v>
      </c>
      <c r="AE242">
        <f t="shared" si="41"/>
        <v>2.6342867366172841E-3</v>
      </c>
      <c r="AF242" s="9"/>
      <c r="AG242" s="21">
        <v>1.0682700000000001</v>
      </c>
      <c r="AH242" s="21">
        <v>16.953700000000001</v>
      </c>
      <c r="AI242" s="24">
        <v>-1.85547E-5</v>
      </c>
      <c r="AJ242" s="21">
        <v>232</v>
      </c>
      <c r="AK242" s="21">
        <v>1.0674999999999999</v>
      </c>
      <c r="AL242">
        <f t="shared" si="42"/>
        <v>2.2907037037037035E-2</v>
      </c>
      <c r="AM242">
        <f t="shared" si="43"/>
        <v>2.4470900455555555E-2</v>
      </c>
      <c r="AP242" s="9"/>
      <c r="AQ242" s="21">
        <v>3.1738299999999997E-2</v>
      </c>
      <c r="AR242" s="21">
        <v>21.2561</v>
      </c>
      <c r="AS242" s="24">
        <v>-6.47583E-5</v>
      </c>
      <c r="AT242" s="21">
        <v>232</v>
      </c>
      <c r="AU242" s="21">
        <v>3.1652800000000002E-2</v>
      </c>
      <c r="AV242">
        <f t="shared" si="44"/>
        <v>7.9948518518518516E-2</v>
      </c>
      <c r="AW242">
        <f t="shared" si="45"/>
        <v>2.537430065296296E-3</v>
      </c>
      <c r="AX242" s="9"/>
      <c r="AY242" s="21">
        <v>1.0682700000000001</v>
      </c>
      <c r="AZ242" s="21">
        <v>23.876899999999999</v>
      </c>
      <c r="BA242" s="24">
        <v>-1.8524200000000001E-5</v>
      </c>
      <c r="BB242" s="21">
        <v>232</v>
      </c>
      <c r="BC242" s="21">
        <v>1.0668899999999999</v>
      </c>
      <c r="BD242">
        <f t="shared" si="46"/>
        <v>2.2869382716049384E-2</v>
      </c>
      <c r="BE242">
        <f t="shared" si="47"/>
        <v>2.4430675474074078E-2</v>
      </c>
      <c r="BH242" s="9"/>
      <c r="BI242" s="21"/>
      <c r="BJ242" s="21"/>
      <c r="BK242" s="21"/>
      <c r="BL242" s="21"/>
      <c r="BM242" s="21"/>
      <c r="BP242" s="9"/>
      <c r="BQ242" s="21"/>
      <c r="BR242" s="21"/>
      <c r="BS242" s="21"/>
      <c r="BT242" s="21"/>
      <c r="BU242" s="21"/>
      <c r="BZ242" s="9"/>
      <c r="CA242" s="21"/>
      <c r="CB242" s="21"/>
      <c r="CC242" s="21"/>
      <c r="CD242" s="21"/>
      <c r="CE242" s="21"/>
      <c r="CH242" s="9"/>
      <c r="CI242" s="21"/>
      <c r="CJ242" s="21"/>
      <c r="CK242" s="21"/>
      <c r="CL242" s="21"/>
      <c r="CM242" s="21"/>
      <c r="CR242" s="9"/>
      <c r="CS242" s="21"/>
      <c r="CT242" s="21"/>
      <c r="CU242" s="21"/>
      <c r="CV242" s="21"/>
      <c r="CW242" s="21"/>
      <c r="CZ242" s="9"/>
      <c r="DA242" s="21"/>
      <c r="DB242" s="21"/>
      <c r="DC242" s="21"/>
      <c r="DD242" s="21"/>
      <c r="DE242" s="21"/>
      <c r="DJ242" s="9"/>
      <c r="DK242" s="21"/>
      <c r="DL242" s="21"/>
      <c r="DM242" s="21"/>
      <c r="DN242" s="21"/>
      <c r="DO242" s="21"/>
      <c r="DR242" s="9"/>
      <c r="DS242" s="21"/>
      <c r="DT242" s="21"/>
      <c r="DU242" s="21"/>
      <c r="DV242" s="21"/>
      <c r="DW242" s="21"/>
      <c r="EB242" s="9"/>
      <c r="EC242" s="21"/>
      <c r="ED242" s="21"/>
      <c r="EE242" s="21"/>
      <c r="EF242" s="21"/>
      <c r="EG242" s="21"/>
      <c r="EJ242" s="9"/>
      <c r="EK242" s="21"/>
      <c r="EL242" s="21"/>
      <c r="EM242" s="21"/>
      <c r="EN242" s="21"/>
      <c r="EO242" s="21"/>
      <c r="ET242" s="21"/>
      <c r="EU242" s="21"/>
      <c r="EV242" s="21"/>
      <c r="EW242" s="21"/>
      <c r="EX242" s="21"/>
      <c r="FA242" s="9"/>
      <c r="FB242" s="21"/>
      <c r="FC242" s="21"/>
      <c r="FD242" s="21"/>
      <c r="FE242" s="21"/>
      <c r="FF242" s="21"/>
    </row>
    <row r="243" spans="6:162" x14ac:dyDescent="0.25">
      <c r="F243" s="9"/>
      <c r="G243" s="21">
        <v>2.6702900000000002E-2</v>
      </c>
      <c r="H243" s="21">
        <v>7.3618600000000001</v>
      </c>
      <c r="I243" s="24">
        <v>-7.1472199999999996E-5</v>
      </c>
      <c r="J243" s="21">
        <v>233</v>
      </c>
      <c r="K243" s="21">
        <v>2.6602199999999999E-2</v>
      </c>
      <c r="L243">
        <f t="shared" si="36"/>
        <v>8.8237283950617279E-2</v>
      </c>
      <c r="M243">
        <f t="shared" si="37"/>
        <v>2.3561913696049383E-3</v>
      </c>
      <c r="N243" s="9"/>
      <c r="O243" s="21">
        <v>1.0732999999999999</v>
      </c>
      <c r="P243" s="21">
        <v>9.9825999999999997</v>
      </c>
      <c r="Q243" s="24">
        <v>-1.96533E-5</v>
      </c>
      <c r="R243" s="21">
        <v>233</v>
      </c>
      <c r="S243" s="21">
        <v>1.0720799999999999</v>
      </c>
      <c r="T243">
        <f t="shared" si="38"/>
        <v>2.4263333333333331E-2</v>
      </c>
      <c r="U243">
        <f t="shared" si="39"/>
        <v>2.6041835666666662E-2</v>
      </c>
      <c r="X243" s="9"/>
      <c r="Y243" s="21">
        <v>2.6702900000000002E-2</v>
      </c>
      <c r="Z243" s="21">
        <v>14.343</v>
      </c>
      <c r="AA243" s="24">
        <v>-6.7321800000000003E-5</v>
      </c>
      <c r="AB243" s="21">
        <v>233</v>
      </c>
      <c r="AC243" s="21">
        <v>2.6599100000000001E-2</v>
      </c>
      <c r="AD243">
        <f t="shared" si="40"/>
        <v>8.3113333333333331E-2</v>
      </c>
      <c r="AE243">
        <f t="shared" si="41"/>
        <v>2.2193670286666666E-3</v>
      </c>
      <c r="AF243" s="9"/>
      <c r="AG243" s="21">
        <v>1.0732999999999999</v>
      </c>
      <c r="AH243" s="21">
        <v>16.963799999999999</v>
      </c>
      <c r="AI243" s="24">
        <v>-1.81885E-5</v>
      </c>
      <c r="AJ243" s="21">
        <v>233</v>
      </c>
      <c r="AK243" s="21">
        <v>1.07239</v>
      </c>
      <c r="AL243">
        <f t="shared" si="42"/>
        <v>2.2454938271604937E-2</v>
      </c>
      <c r="AM243">
        <f t="shared" si="43"/>
        <v>2.4100885246913579E-2</v>
      </c>
      <c r="AP243" s="9"/>
      <c r="AQ243" s="21">
        <v>2.6702900000000002E-2</v>
      </c>
      <c r="AR243" s="21">
        <v>21.266200000000001</v>
      </c>
      <c r="AS243" s="24">
        <v>-6.4819299999999998E-5</v>
      </c>
      <c r="AT243" s="21">
        <v>233</v>
      </c>
      <c r="AU243" s="21">
        <v>2.6611300000000001E-2</v>
      </c>
      <c r="AV243">
        <f t="shared" si="44"/>
        <v>8.0023827160493818E-2</v>
      </c>
      <c r="AW243">
        <f t="shared" si="45"/>
        <v>2.1368682542839503E-3</v>
      </c>
      <c r="AX243" s="9"/>
      <c r="AY243" s="21">
        <v>1.0732999999999999</v>
      </c>
      <c r="AZ243" s="21">
        <v>23.887</v>
      </c>
      <c r="BA243" s="24">
        <v>-1.8035900000000001E-5</v>
      </c>
      <c r="BB243" s="21">
        <v>233</v>
      </c>
      <c r="BC243" s="21">
        <v>1.073</v>
      </c>
      <c r="BD243">
        <f t="shared" si="46"/>
        <v>2.2266543209876546E-2</v>
      </c>
      <c r="BE243">
        <f t="shared" si="47"/>
        <v>2.3898680827160495E-2</v>
      </c>
      <c r="BH243" s="9"/>
      <c r="BI243" s="21"/>
      <c r="BJ243" s="21"/>
      <c r="BK243" s="21"/>
      <c r="BL243" s="21"/>
      <c r="BM243" s="21"/>
      <c r="BP243" s="9"/>
      <c r="BQ243" s="21"/>
      <c r="BR243" s="21"/>
      <c r="BS243" s="21"/>
      <c r="BT243" s="21"/>
      <c r="BU243" s="21"/>
      <c r="BZ243" s="9"/>
      <c r="CA243" s="21"/>
      <c r="CB243" s="21"/>
      <c r="CC243" s="21"/>
      <c r="CD243" s="21"/>
      <c r="CE243" s="21"/>
      <c r="CH243" s="9"/>
      <c r="CI243" s="21"/>
      <c r="CJ243" s="21"/>
      <c r="CK243" s="21"/>
      <c r="CL243" s="21"/>
      <c r="CM243" s="21"/>
      <c r="CR243" s="9"/>
      <c r="CS243" s="21"/>
      <c r="CT243" s="21"/>
      <c r="CU243" s="21"/>
      <c r="CV243" s="21"/>
      <c r="CW243" s="21"/>
      <c r="CZ243" s="9"/>
      <c r="DA243" s="21"/>
      <c r="DB243" s="21"/>
      <c r="DC243" s="21"/>
      <c r="DD243" s="21"/>
      <c r="DE243" s="21"/>
      <c r="DJ243" s="9"/>
      <c r="DK243" s="21"/>
      <c r="DL243" s="21"/>
      <c r="DM243" s="21"/>
      <c r="DN243" s="21"/>
      <c r="DO243" s="21"/>
      <c r="DR243" s="9"/>
      <c r="DS243" s="21"/>
      <c r="DT243" s="21"/>
      <c r="DU243" s="21"/>
      <c r="DV243" s="21"/>
      <c r="DW243" s="21"/>
      <c r="EB243" s="9"/>
      <c r="EC243" s="21"/>
      <c r="ED243" s="21"/>
      <c r="EE243" s="21"/>
      <c r="EF243" s="21"/>
      <c r="EG243" s="21"/>
      <c r="EJ243" s="9"/>
      <c r="EK243" s="21"/>
      <c r="EL243" s="21"/>
      <c r="EM243" s="21"/>
      <c r="EN243" s="21"/>
      <c r="EO243" s="21"/>
      <c r="ET243" s="21"/>
      <c r="EU243" s="21"/>
      <c r="EV243" s="21"/>
      <c r="EW243" s="21"/>
      <c r="EX243" s="21"/>
      <c r="FA243" s="9"/>
      <c r="FB243" s="21"/>
      <c r="FC243" s="21"/>
      <c r="FD243" s="21"/>
      <c r="FE243" s="21"/>
      <c r="FF243" s="21"/>
    </row>
    <row r="244" spans="6:162" x14ac:dyDescent="0.25">
      <c r="F244" s="9"/>
      <c r="G244" s="21">
        <v>2.1667499999999999E-2</v>
      </c>
      <c r="H244" s="21">
        <v>7.3719299999999999</v>
      </c>
      <c r="I244" s="24">
        <v>-7.1594200000000006E-5</v>
      </c>
      <c r="J244" s="21">
        <v>234</v>
      </c>
      <c r="K244" s="21">
        <v>2.1551500000000001E-2</v>
      </c>
      <c r="L244">
        <f t="shared" si="36"/>
        <v>8.8387901234567912E-2</v>
      </c>
      <c r="M244">
        <f t="shared" si="37"/>
        <v>1.9151448500000002E-3</v>
      </c>
      <c r="N244" s="9"/>
      <c r="O244" s="21">
        <v>1.0783400000000001</v>
      </c>
      <c r="P244" s="21">
        <v>9.9926700000000004</v>
      </c>
      <c r="Q244" s="24">
        <v>-1.8829299999999999E-5</v>
      </c>
      <c r="R244" s="21">
        <v>234</v>
      </c>
      <c r="S244" s="21">
        <v>1.07758</v>
      </c>
      <c r="T244">
        <f t="shared" si="38"/>
        <v>2.3246049382716048E-2</v>
      </c>
      <c r="U244">
        <f t="shared" si="39"/>
        <v>2.5067144891358025E-2</v>
      </c>
      <c r="X244" s="9"/>
      <c r="Y244" s="21">
        <v>2.1667499999999999E-2</v>
      </c>
      <c r="Z244" s="21">
        <v>14.3531</v>
      </c>
      <c r="AA244" s="24">
        <v>-6.7535399999999997E-5</v>
      </c>
      <c r="AB244" s="21">
        <v>234</v>
      </c>
      <c r="AC244" s="21">
        <v>2.1533199999999999E-2</v>
      </c>
      <c r="AD244">
        <f t="shared" si="40"/>
        <v>8.3377037037037027E-2</v>
      </c>
      <c r="AE244">
        <f t="shared" si="41"/>
        <v>1.8065719499999998E-3</v>
      </c>
      <c r="AF244" s="9"/>
      <c r="AG244" s="21">
        <v>1.0783400000000001</v>
      </c>
      <c r="AH244" s="21">
        <v>16.973800000000001</v>
      </c>
      <c r="AI244" s="24">
        <v>-1.7761199999999999E-5</v>
      </c>
      <c r="AJ244" s="21">
        <v>234</v>
      </c>
      <c r="AK244" s="21">
        <v>1.0772699999999999</v>
      </c>
      <c r="AL244">
        <f t="shared" si="42"/>
        <v>2.1927407407407402E-2</v>
      </c>
      <c r="AM244">
        <f t="shared" si="43"/>
        <v>2.3645200503703698E-2</v>
      </c>
      <c r="AP244" s="9"/>
      <c r="AQ244" s="21">
        <v>2.1667499999999999E-2</v>
      </c>
      <c r="AR244" s="21">
        <v>21.276299999999999</v>
      </c>
      <c r="AS244" s="24">
        <v>-6.5032999999999999E-5</v>
      </c>
      <c r="AT244" s="21">
        <v>234</v>
      </c>
      <c r="AU244" s="21">
        <v>2.1572899999999999E-2</v>
      </c>
      <c r="AV244">
        <f t="shared" si="44"/>
        <v>8.0287654320987653E-2</v>
      </c>
      <c r="AW244">
        <f t="shared" si="45"/>
        <v>1.7396327499999999E-3</v>
      </c>
      <c r="AX244" s="9"/>
      <c r="AY244" s="21">
        <v>1.0783400000000001</v>
      </c>
      <c r="AZ244" s="21">
        <v>23.896999999999998</v>
      </c>
      <c r="BA244" s="24">
        <v>-1.7608599999999999E-5</v>
      </c>
      <c r="BB244" s="21">
        <v>234</v>
      </c>
      <c r="BC244" s="21">
        <v>1.0772699999999999</v>
      </c>
      <c r="BD244">
        <f t="shared" si="46"/>
        <v>2.1739012345679012E-2</v>
      </c>
      <c r="BE244">
        <f t="shared" si="47"/>
        <v>2.3442046572839506E-2</v>
      </c>
      <c r="BH244" s="9"/>
      <c r="BI244" s="21"/>
      <c r="BJ244" s="21"/>
      <c r="BK244" s="21"/>
      <c r="BL244" s="21"/>
      <c r="BM244" s="21"/>
      <c r="BP244" s="9"/>
      <c r="BQ244" s="21"/>
      <c r="BR244" s="21"/>
      <c r="BS244" s="21"/>
      <c r="BT244" s="21"/>
      <c r="BU244" s="21"/>
      <c r="BZ244" s="9"/>
      <c r="CA244" s="21"/>
      <c r="CB244" s="21"/>
      <c r="CC244" s="21"/>
      <c r="CD244" s="21"/>
      <c r="CE244" s="21"/>
      <c r="CH244" s="9"/>
      <c r="CI244" s="21"/>
      <c r="CJ244" s="21"/>
      <c r="CK244" s="21"/>
      <c r="CL244" s="21"/>
      <c r="CM244" s="21"/>
      <c r="CR244" s="9"/>
      <c r="CS244" s="21"/>
      <c r="CT244" s="21"/>
      <c r="CU244" s="21"/>
      <c r="CV244" s="21"/>
      <c r="CW244" s="21"/>
      <c r="CZ244" s="9"/>
      <c r="DA244" s="21"/>
      <c r="DB244" s="21"/>
      <c r="DC244" s="21"/>
      <c r="DD244" s="21"/>
      <c r="DE244" s="21"/>
      <c r="DJ244" s="9"/>
      <c r="DK244" s="21"/>
      <c r="DL244" s="21"/>
      <c r="DM244" s="21"/>
      <c r="DN244" s="21"/>
      <c r="DO244" s="21"/>
      <c r="DR244" s="9"/>
      <c r="DS244" s="21"/>
      <c r="DT244" s="21"/>
      <c r="DU244" s="21"/>
      <c r="DV244" s="21"/>
      <c r="DW244" s="21"/>
      <c r="EB244" s="9"/>
      <c r="EC244" s="21"/>
      <c r="ED244" s="21"/>
      <c r="EE244" s="21"/>
      <c r="EF244" s="21"/>
      <c r="EG244" s="21"/>
      <c r="EJ244" s="9"/>
      <c r="EK244" s="21"/>
      <c r="EL244" s="21"/>
      <c r="EM244" s="21"/>
      <c r="EN244" s="21"/>
      <c r="EO244" s="21"/>
      <c r="ET244" s="21"/>
      <c r="EU244" s="21"/>
      <c r="EV244" s="21"/>
      <c r="EW244" s="21"/>
      <c r="EX244" s="21"/>
      <c r="FA244" s="9"/>
      <c r="FB244" s="21"/>
      <c r="FC244" s="21"/>
      <c r="FD244" s="21"/>
      <c r="FE244" s="21"/>
      <c r="FF244" s="21"/>
    </row>
    <row r="245" spans="6:162" x14ac:dyDescent="0.25">
      <c r="F245" s="9"/>
      <c r="G245" s="21">
        <v>1.66321E-2</v>
      </c>
      <c r="H245" s="21">
        <v>7.3819999999999997</v>
      </c>
      <c r="I245" s="24">
        <v>-7.1655299999999998E-5</v>
      </c>
      <c r="J245" s="21">
        <v>235</v>
      </c>
      <c r="K245" s="21">
        <v>1.6479500000000001E-2</v>
      </c>
      <c r="L245">
        <f t="shared" si="36"/>
        <v>8.8463333333333324E-2</v>
      </c>
      <c r="M245">
        <f t="shared" si="37"/>
        <v>1.4713310063333331E-3</v>
      </c>
      <c r="N245" s="9"/>
      <c r="O245" s="21">
        <v>1.0833699999999999</v>
      </c>
      <c r="P245" s="21">
        <v>10.002700000000001</v>
      </c>
      <c r="Q245" s="24">
        <v>-1.83411E-5</v>
      </c>
      <c r="R245" s="21">
        <v>235</v>
      </c>
      <c r="S245" s="21">
        <v>1.08246</v>
      </c>
      <c r="T245">
        <f t="shared" si="38"/>
        <v>2.2643333333333331E-2</v>
      </c>
      <c r="U245">
        <f t="shared" si="39"/>
        <v>2.4531108033333329E-2</v>
      </c>
      <c r="X245" s="9"/>
      <c r="Y245" s="21">
        <v>1.66321E-2</v>
      </c>
      <c r="Z245" s="21">
        <v>14.363200000000001</v>
      </c>
      <c r="AA245" s="24">
        <v>-6.7474399999999999E-5</v>
      </c>
      <c r="AB245" s="21">
        <v>235</v>
      </c>
      <c r="AC245" s="21">
        <v>1.6491700000000001E-2</v>
      </c>
      <c r="AD245">
        <f t="shared" si="40"/>
        <v>8.3301728395061725E-2</v>
      </c>
      <c r="AE245">
        <f t="shared" si="41"/>
        <v>1.385482676839506E-3</v>
      </c>
      <c r="AF245" s="9"/>
      <c r="AG245" s="21">
        <v>1.0833699999999999</v>
      </c>
      <c r="AH245" s="21">
        <v>16.983899999999998</v>
      </c>
      <c r="AI245" s="24">
        <v>-1.69983E-5</v>
      </c>
      <c r="AJ245" s="21">
        <v>235</v>
      </c>
      <c r="AK245" s="21">
        <v>1.08246</v>
      </c>
      <c r="AL245">
        <f t="shared" si="42"/>
        <v>2.0985555555555552E-2</v>
      </c>
      <c r="AM245">
        <f t="shared" si="43"/>
        <v>2.2735121322222218E-2</v>
      </c>
      <c r="AP245" s="9"/>
      <c r="AQ245" s="21">
        <v>1.66321E-2</v>
      </c>
      <c r="AR245" s="21">
        <v>21.2864</v>
      </c>
      <c r="AS245" s="24">
        <v>-6.5032999999999999E-5</v>
      </c>
      <c r="AT245" s="21">
        <v>235</v>
      </c>
      <c r="AU245" s="21">
        <v>1.64978E-2</v>
      </c>
      <c r="AV245">
        <f t="shared" si="44"/>
        <v>8.0287654320987653E-2</v>
      </c>
      <c r="AW245">
        <f t="shared" si="45"/>
        <v>1.3353522954320989E-3</v>
      </c>
      <c r="AX245" s="9"/>
      <c r="AY245" s="21">
        <v>1.0833699999999999</v>
      </c>
      <c r="AZ245" s="21">
        <v>23.9071</v>
      </c>
      <c r="BA245" s="24">
        <v>-1.70898E-5</v>
      </c>
      <c r="BB245" s="21">
        <v>235</v>
      </c>
      <c r="BC245" s="21">
        <v>1.08246</v>
      </c>
      <c r="BD245">
        <f t="shared" si="46"/>
        <v>2.1098518518518516E-2</v>
      </c>
      <c r="BE245">
        <f t="shared" si="47"/>
        <v>2.2857502007407403E-2</v>
      </c>
      <c r="BH245" s="9"/>
      <c r="BI245" s="21"/>
      <c r="BJ245" s="21"/>
      <c r="BK245" s="21"/>
      <c r="BL245" s="21"/>
      <c r="BM245" s="21"/>
      <c r="BP245" s="9"/>
      <c r="BQ245" s="21"/>
      <c r="BR245" s="21"/>
      <c r="BS245" s="21"/>
      <c r="BT245" s="21"/>
      <c r="BU245" s="21"/>
      <c r="BZ245" s="9"/>
      <c r="CA245" s="21"/>
      <c r="CB245" s="21"/>
      <c r="CC245" s="21"/>
      <c r="CD245" s="21"/>
      <c r="CE245" s="21"/>
      <c r="CH245" s="9"/>
      <c r="CI245" s="21"/>
      <c r="CJ245" s="21"/>
      <c r="CK245" s="21"/>
      <c r="CL245" s="21"/>
      <c r="CM245" s="21"/>
      <c r="CR245" s="9"/>
      <c r="CS245" s="21"/>
      <c r="CT245" s="21"/>
      <c r="CU245" s="21"/>
      <c r="CV245" s="21"/>
      <c r="CW245" s="21"/>
      <c r="CZ245" s="9"/>
      <c r="DA245" s="21"/>
      <c r="DB245" s="21"/>
      <c r="DC245" s="21"/>
      <c r="DD245" s="21"/>
      <c r="DE245" s="21"/>
      <c r="DJ245" s="9"/>
      <c r="DK245" s="21"/>
      <c r="DL245" s="21"/>
      <c r="DM245" s="21"/>
      <c r="DN245" s="21"/>
      <c r="DO245" s="21"/>
      <c r="DR245" s="9"/>
      <c r="DS245" s="21"/>
      <c r="DT245" s="21"/>
      <c r="DU245" s="21"/>
      <c r="DV245" s="21"/>
      <c r="DW245" s="21"/>
      <c r="EB245" s="9"/>
      <c r="EC245" s="21"/>
      <c r="ED245" s="21"/>
      <c r="EE245" s="21"/>
      <c r="EF245" s="21"/>
      <c r="EG245" s="21"/>
      <c r="EJ245" s="9"/>
      <c r="EK245" s="21"/>
      <c r="EL245" s="21"/>
      <c r="EM245" s="21"/>
      <c r="EN245" s="21"/>
      <c r="EO245" s="21"/>
      <c r="ET245" s="21"/>
      <c r="EU245" s="21"/>
      <c r="EV245" s="21"/>
      <c r="EW245" s="21"/>
      <c r="EX245" s="21"/>
      <c r="FA245" s="9"/>
      <c r="FB245" s="21"/>
      <c r="FC245" s="21"/>
      <c r="FD245" s="21"/>
      <c r="FE245" s="21"/>
      <c r="FF245" s="21"/>
    </row>
    <row r="246" spans="6:162" x14ac:dyDescent="0.25">
      <c r="F246" s="9"/>
      <c r="G246" s="21">
        <v>1.15967E-2</v>
      </c>
      <c r="H246" s="21">
        <v>7.39208</v>
      </c>
      <c r="I246" s="24">
        <v>-7.1746800000000002E-5</v>
      </c>
      <c r="J246" s="21">
        <v>236</v>
      </c>
      <c r="K246" s="21">
        <v>1.14716E-2</v>
      </c>
      <c r="L246">
        <f t="shared" si="36"/>
        <v>8.8576296296296292E-2</v>
      </c>
      <c r="M246">
        <f t="shared" si="37"/>
        <v>1.0271927352592592E-3</v>
      </c>
      <c r="N246" s="9"/>
      <c r="O246" s="21">
        <v>1.0884100000000001</v>
      </c>
      <c r="P246" s="21">
        <v>10.0128</v>
      </c>
      <c r="Q246" s="24">
        <v>-1.7669700000000001E-5</v>
      </c>
      <c r="R246" s="21">
        <v>236</v>
      </c>
      <c r="S246" s="21">
        <v>1.08765</v>
      </c>
      <c r="T246">
        <f t="shared" si="38"/>
        <v>2.1814444444444445E-2</v>
      </c>
      <c r="U246">
        <f t="shared" si="39"/>
        <v>2.374305947777778E-2</v>
      </c>
      <c r="X246" s="9"/>
      <c r="Y246" s="21">
        <v>1.15967E-2</v>
      </c>
      <c r="Z246" s="21">
        <v>14.373200000000001</v>
      </c>
      <c r="AA246" s="24">
        <v>-6.7657500000000001E-5</v>
      </c>
      <c r="AB246" s="21">
        <v>236</v>
      </c>
      <c r="AC246" s="21">
        <v>1.1441E-2</v>
      </c>
      <c r="AD246">
        <f t="shared" si="40"/>
        <v>8.352777777777777E-2</v>
      </c>
      <c r="AE246">
        <f t="shared" si="41"/>
        <v>9.6864658055555543E-4</v>
      </c>
      <c r="AF246" s="9"/>
      <c r="AG246" s="21">
        <v>1.0884100000000001</v>
      </c>
      <c r="AH246" s="21">
        <v>16.994</v>
      </c>
      <c r="AI246" s="24">
        <v>-1.6509999999999999E-5</v>
      </c>
      <c r="AJ246" s="21">
        <v>236</v>
      </c>
      <c r="AK246" s="21">
        <v>1.08734</v>
      </c>
      <c r="AL246">
        <f t="shared" si="42"/>
        <v>2.0382716049382712E-2</v>
      </c>
      <c r="AM246">
        <f t="shared" si="43"/>
        <v>2.2184751975308638E-2</v>
      </c>
      <c r="AP246" s="9"/>
      <c r="AQ246" s="21">
        <v>1.15967E-2</v>
      </c>
      <c r="AR246" s="21">
        <v>21.296399999999998</v>
      </c>
      <c r="AS246" s="24">
        <v>-6.5185500000000001E-5</v>
      </c>
      <c r="AT246" s="21">
        <v>236</v>
      </c>
      <c r="AU246" s="21">
        <v>1.14349E-2</v>
      </c>
      <c r="AV246">
        <f t="shared" si="44"/>
        <v>8.0475925925925909E-2</v>
      </c>
      <c r="AW246">
        <f t="shared" si="45"/>
        <v>9.3325517018518498E-4</v>
      </c>
      <c r="AX246" s="9"/>
      <c r="AY246" s="21">
        <v>1.0884100000000001</v>
      </c>
      <c r="AZ246" s="21">
        <v>23.917200000000001</v>
      </c>
      <c r="BA246" s="24">
        <v>-1.66321E-5</v>
      </c>
      <c r="BB246" s="21">
        <v>236</v>
      </c>
      <c r="BC246" s="21">
        <v>1.08765</v>
      </c>
      <c r="BD246">
        <f t="shared" si="46"/>
        <v>2.0533456790123455E-2</v>
      </c>
      <c r="BE246">
        <f t="shared" si="47"/>
        <v>2.234881970493827E-2</v>
      </c>
      <c r="BH246" s="9"/>
      <c r="BI246" s="21"/>
      <c r="BJ246" s="21"/>
      <c r="BK246" s="21"/>
      <c r="BL246" s="21"/>
      <c r="BM246" s="21"/>
      <c r="BP246" s="9"/>
      <c r="BQ246" s="21"/>
      <c r="BR246" s="21"/>
      <c r="BS246" s="21"/>
      <c r="BT246" s="21"/>
      <c r="BU246" s="21"/>
      <c r="BZ246" s="9"/>
      <c r="CA246" s="21"/>
      <c r="CB246" s="21"/>
      <c r="CC246" s="21"/>
      <c r="CD246" s="21"/>
      <c r="CE246" s="21"/>
      <c r="CH246" s="9"/>
      <c r="CI246" s="21"/>
      <c r="CJ246" s="21"/>
      <c r="CK246" s="21"/>
      <c r="CL246" s="21"/>
      <c r="CM246" s="21"/>
      <c r="CR246" s="9"/>
      <c r="CS246" s="21"/>
      <c r="CT246" s="21"/>
      <c r="CU246" s="21"/>
      <c r="CV246" s="21"/>
      <c r="CW246" s="21"/>
      <c r="CZ246" s="9"/>
      <c r="DA246" s="21"/>
      <c r="DB246" s="21"/>
      <c r="DC246" s="21"/>
      <c r="DD246" s="21"/>
      <c r="DE246" s="21"/>
      <c r="DJ246" s="9"/>
      <c r="DK246" s="21"/>
      <c r="DL246" s="21"/>
      <c r="DM246" s="21"/>
      <c r="DN246" s="21"/>
      <c r="DO246" s="21"/>
      <c r="DR246" s="9"/>
      <c r="DS246" s="21"/>
      <c r="DT246" s="21"/>
      <c r="DU246" s="21"/>
      <c r="DV246" s="21"/>
      <c r="DW246" s="21"/>
      <c r="EB246" s="9"/>
      <c r="EC246" s="21"/>
      <c r="ED246" s="21"/>
      <c r="EE246" s="21"/>
      <c r="EF246" s="21"/>
      <c r="EG246" s="21"/>
      <c r="EJ246" s="9"/>
      <c r="EK246" s="21"/>
      <c r="EL246" s="21"/>
      <c r="EM246" s="21"/>
      <c r="EN246" s="21"/>
      <c r="EO246" s="21"/>
      <c r="ET246" s="21"/>
      <c r="EU246" s="21"/>
      <c r="EV246" s="21"/>
      <c r="EW246" s="21"/>
      <c r="EX246" s="21"/>
      <c r="FA246" s="9"/>
      <c r="FB246" s="21"/>
      <c r="FC246" s="21"/>
      <c r="FD246" s="21"/>
      <c r="FE246" s="21"/>
      <c r="FF246" s="21"/>
    </row>
    <row r="247" spans="6:162" x14ac:dyDescent="0.25">
      <c r="F247" s="9"/>
      <c r="G247" s="21">
        <v>6.5612800000000001E-3</v>
      </c>
      <c r="H247" s="21">
        <v>7.4021499999999998</v>
      </c>
      <c r="I247" s="24">
        <v>-7.1899399999999998E-5</v>
      </c>
      <c r="J247" s="21">
        <v>237</v>
      </c>
      <c r="K247" s="21">
        <v>6.3873300000000001E-3</v>
      </c>
      <c r="L247">
        <f t="shared" si="36"/>
        <v>8.8764691358024686E-2</v>
      </c>
      <c r="M247">
        <f t="shared" si="37"/>
        <v>5.8240999411358018E-4</v>
      </c>
      <c r="N247" s="9"/>
      <c r="O247" s="21">
        <v>1.09344</v>
      </c>
      <c r="P247" s="21">
        <v>10.0229</v>
      </c>
      <c r="Q247" s="24">
        <v>-1.68457E-5</v>
      </c>
      <c r="R247" s="21">
        <v>237</v>
      </c>
      <c r="S247" s="21">
        <v>1.09283</v>
      </c>
      <c r="T247">
        <f t="shared" si="38"/>
        <v>2.0797160493827158E-2</v>
      </c>
      <c r="U247">
        <f t="shared" si="39"/>
        <v>2.2740447170370368E-2</v>
      </c>
      <c r="X247" s="9"/>
      <c r="Y247" s="21">
        <v>6.5612800000000001E-3</v>
      </c>
      <c r="Z247" s="21">
        <v>14.3833</v>
      </c>
      <c r="AA247" s="24">
        <v>-6.7718499999999999E-5</v>
      </c>
      <c r="AB247" s="21">
        <v>237</v>
      </c>
      <c r="AC247" s="21">
        <v>6.3903800000000002E-3</v>
      </c>
      <c r="AD247">
        <f t="shared" si="40"/>
        <v>8.3603086419753073E-2</v>
      </c>
      <c r="AE247">
        <f t="shared" si="41"/>
        <v>5.4854325886419741E-4</v>
      </c>
      <c r="AF247" s="9"/>
      <c r="AG247" s="21">
        <v>1.09344</v>
      </c>
      <c r="AH247" s="21">
        <v>17.004100000000001</v>
      </c>
      <c r="AI247" s="24">
        <v>-1.5838600000000001E-5</v>
      </c>
      <c r="AJ247" s="21">
        <v>237</v>
      </c>
      <c r="AK247" s="21">
        <v>1.09192</v>
      </c>
      <c r="AL247">
        <f t="shared" si="42"/>
        <v>1.9553827160493826E-2</v>
      </c>
      <c r="AM247">
        <f t="shared" si="43"/>
        <v>2.1380936770370368E-2</v>
      </c>
      <c r="AP247" s="9"/>
      <c r="AQ247" s="21">
        <v>6.5612800000000001E-3</v>
      </c>
      <c r="AR247" s="21">
        <v>21.3065</v>
      </c>
      <c r="AS247" s="24">
        <v>-6.5307600000000005E-5</v>
      </c>
      <c r="AT247" s="21">
        <v>237</v>
      </c>
      <c r="AU247" s="21">
        <v>6.3659700000000003E-3</v>
      </c>
      <c r="AV247">
        <f t="shared" si="44"/>
        <v>8.0626666666666666E-2</v>
      </c>
      <c r="AW247">
        <f t="shared" si="45"/>
        <v>5.2901413546666671E-4</v>
      </c>
      <c r="AX247" s="9"/>
      <c r="AY247" s="21">
        <v>1.09344</v>
      </c>
      <c r="AZ247" s="21">
        <v>23.927199999999999</v>
      </c>
      <c r="BA247" s="24">
        <v>-1.59912E-5</v>
      </c>
      <c r="BB247" s="21">
        <v>237</v>
      </c>
      <c r="BC247" s="21">
        <v>1.09253</v>
      </c>
      <c r="BD247">
        <f t="shared" si="46"/>
        <v>1.974222222222222E-2</v>
      </c>
      <c r="BE247">
        <f t="shared" si="47"/>
        <v>2.1586935466666665E-2</v>
      </c>
      <c r="BH247" s="9"/>
      <c r="BI247" s="21"/>
      <c r="BJ247" s="21"/>
      <c r="BK247" s="21"/>
      <c r="BL247" s="21"/>
      <c r="BM247" s="21"/>
      <c r="BP247" s="9"/>
      <c r="BQ247" s="21"/>
      <c r="BR247" s="21"/>
      <c r="BS247" s="21"/>
      <c r="BT247" s="21"/>
      <c r="BU247" s="21"/>
      <c r="BZ247" s="9"/>
      <c r="CA247" s="21"/>
      <c r="CB247" s="21"/>
      <c r="CC247" s="21"/>
      <c r="CD247" s="21"/>
      <c r="CE247" s="21"/>
      <c r="CH247" s="9"/>
      <c r="CI247" s="21"/>
      <c r="CJ247" s="21"/>
      <c r="CK247" s="21"/>
      <c r="CL247" s="21"/>
      <c r="CM247" s="21"/>
      <c r="CR247" s="9"/>
      <c r="CS247" s="21"/>
      <c r="CT247" s="21"/>
      <c r="CU247" s="21"/>
      <c r="CV247" s="21"/>
      <c r="CW247" s="21"/>
      <c r="CZ247" s="9"/>
      <c r="DA247" s="21"/>
      <c r="DB247" s="21"/>
      <c r="DC247" s="21"/>
      <c r="DD247" s="21"/>
      <c r="DE247" s="21"/>
      <c r="DJ247" s="9"/>
      <c r="DK247" s="21"/>
      <c r="DL247" s="21"/>
      <c r="DM247" s="21"/>
      <c r="DN247" s="21"/>
      <c r="DO247" s="21"/>
      <c r="DR247" s="9"/>
      <c r="DS247" s="21"/>
      <c r="DT247" s="21"/>
      <c r="DU247" s="21"/>
      <c r="DV247" s="21"/>
      <c r="DW247" s="21"/>
      <c r="EB247" s="9"/>
      <c r="EC247" s="21"/>
      <c r="ED247" s="21"/>
      <c r="EE247" s="21"/>
      <c r="EF247" s="21"/>
      <c r="EG247" s="21"/>
      <c r="EJ247" s="9"/>
      <c r="EK247" s="21"/>
      <c r="EL247" s="21"/>
      <c r="EM247" s="21"/>
      <c r="EN247" s="21"/>
      <c r="EO247" s="21"/>
      <c r="ET247" s="21"/>
      <c r="EU247" s="21"/>
      <c r="EV247" s="21"/>
      <c r="EW247" s="21"/>
      <c r="EX247" s="21"/>
      <c r="FA247" s="9"/>
      <c r="FB247" s="21"/>
      <c r="FC247" s="21"/>
      <c r="FD247" s="21"/>
      <c r="FE247" s="21"/>
      <c r="FF247" s="21"/>
    </row>
    <row r="248" spans="6:162" x14ac:dyDescent="0.25">
      <c r="F248" s="9"/>
      <c r="G248" s="21">
        <v>1.5258800000000001E-3</v>
      </c>
      <c r="H248" s="21">
        <v>7.4122199999999996</v>
      </c>
      <c r="I248" s="24">
        <v>-7.2051999999999994E-5</v>
      </c>
      <c r="J248" s="21">
        <v>238</v>
      </c>
      <c r="K248" s="21">
        <v>1.3855E-3</v>
      </c>
      <c r="L248">
        <f t="shared" si="36"/>
        <v>8.8953086419753066E-2</v>
      </c>
      <c r="M248">
        <f t="shared" si="37"/>
        <v>1.357317355061728E-4</v>
      </c>
      <c r="N248" s="9"/>
      <c r="O248" s="21">
        <v>1.0984799999999999</v>
      </c>
      <c r="P248" s="21">
        <v>10.032999999999999</v>
      </c>
      <c r="Q248" s="24">
        <v>-1.6204800000000001E-5</v>
      </c>
      <c r="R248" s="21">
        <v>238</v>
      </c>
      <c r="S248" s="21">
        <v>1.09741</v>
      </c>
      <c r="T248">
        <f t="shared" si="38"/>
        <v>2.0005925925925927E-2</v>
      </c>
      <c r="U248">
        <f t="shared" si="39"/>
        <v>2.1976109511111109E-2</v>
      </c>
      <c r="X248" s="9"/>
      <c r="Y248" s="21">
        <v>1.5258800000000001E-3</v>
      </c>
      <c r="Z248" s="21">
        <v>14.3934</v>
      </c>
      <c r="AA248" s="24">
        <v>-6.7993199999999998E-5</v>
      </c>
      <c r="AB248" s="21">
        <v>238</v>
      </c>
      <c r="AC248" s="21">
        <v>1.40076E-3</v>
      </c>
      <c r="AD248">
        <f t="shared" si="40"/>
        <v>8.394222222222221E-2</v>
      </c>
      <c r="AE248">
        <f t="shared" si="41"/>
        <v>1.2808575804444444E-4</v>
      </c>
      <c r="AF248" s="9"/>
      <c r="AG248" s="21">
        <v>1.0984799999999999</v>
      </c>
      <c r="AH248" s="21">
        <v>17.014099999999999</v>
      </c>
      <c r="AI248" s="24">
        <v>-1.52588E-5</v>
      </c>
      <c r="AJ248" s="21">
        <v>238</v>
      </c>
      <c r="AK248" s="21">
        <v>1.09711</v>
      </c>
      <c r="AL248">
        <f t="shared" si="42"/>
        <v>1.8838024691358021E-2</v>
      </c>
      <c r="AM248">
        <f t="shared" si="43"/>
        <v>2.0693193362962957E-2</v>
      </c>
      <c r="AP248" s="9"/>
      <c r="AQ248" s="21">
        <v>1.5258800000000001E-3</v>
      </c>
      <c r="AR248" s="21">
        <v>21.316600000000001</v>
      </c>
      <c r="AS248" s="24">
        <v>-6.5551799999999998E-5</v>
      </c>
      <c r="AT248" s="21">
        <v>238</v>
      </c>
      <c r="AU248" s="21">
        <v>1.37634E-3</v>
      </c>
      <c r="AV248">
        <f t="shared" si="44"/>
        <v>8.0928148148148138E-2</v>
      </c>
      <c r="AW248">
        <f t="shared" si="45"/>
        <v>1.2348664269629629E-4</v>
      </c>
      <c r="AX248" s="9"/>
      <c r="AY248" s="21">
        <v>1.0984799999999999</v>
      </c>
      <c r="AZ248" s="21">
        <v>23.9373</v>
      </c>
      <c r="BA248" s="24">
        <v>-1.53809E-5</v>
      </c>
      <c r="BB248" s="21">
        <v>238</v>
      </c>
      <c r="BC248" s="21">
        <v>1.09802</v>
      </c>
      <c r="BD248">
        <f t="shared" si="46"/>
        <v>1.8988765432098764E-2</v>
      </c>
      <c r="BE248">
        <f t="shared" si="47"/>
        <v>2.085877905185185E-2</v>
      </c>
      <c r="BH248" s="9"/>
      <c r="BI248" s="21"/>
      <c r="BJ248" s="21"/>
      <c r="BK248" s="21"/>
      <c r="BL248" s="21"/>
      <c r="BM248" s="21"/>
      <c r="BP248" s="9"/>
      <c r="BQ248" s="21"/>
      <c r="BR248" s="21"/>
      <c r="BS248" s="21"/>
      <c r="BT248" s="21"/>
      <c r="BU248" s="21"/>
      <c r="BZ248" s="9"/>
      <c r="CA248" s="21"/>
      <c r="CB248" s="21"/>
      <c r="CC248" s="21"/>
      <c r="CD248" s="21"/>
      <c r="CE248" s="21"/>
      <c r="CH248" s="9"/>
      <c r="CI248" s="21"/>
      <c r="CJ248" s="21"/>
      <c r="CK248" s="21"/>
      <c r="CL248" s="21"/>
      <c r="CM248" s="21"/>
      <c r="CR248" s="9"/>
      <c r="CS248" s="21"/>
      <c r="CT248" s="21"/>
      <c r="CU248" s="21"/>
      <c r="CV248" s="21"/>
      <c r="CW248" s="21"/>
      <c r="CZ248" s="9"/>
      <c r="DA248" s="21"/>
      <c r="DB248" s="21"/>
      <c r="DC248" s="21"/>
      <c r="DD248" s="21"/>
      <c r="DE248" s="21"/>
      <c r="DJ248" s="9"/>
      <c r="DK248" s="21"/>
      <c r="DL248" s="21"/>
      <c r="DM248" s="21"/>
      <c r="DN248" s="21"/>
      <c r="DO248" s="21"/>
      <c r="DR248" s="9"/>
      <c r="DS248" s="21"/>
      <c r="DT248" s="21"/>
      <c r="DU248" s="21"/>
      <c r="DV248" s="21"/>
      <c r="DW248" s="21"/>
      <c r="EB248" s="9"/>
      <c r="EC248" s="21"/>
      <c r="ED248" s="21"/>
      <c r="EE248" s="21"/>
      <c r="EF248" s="21"/>
      <c r="EG248" s="21"/>
      <c r="EJ248" s="9"/>
      <c r="EK248" s="21"/>
      <c r="EL248" s="21"/>
      <c r="EM248" s="21"/>
      <c r="EN248" s="21"/>
      <c r="EO248" s="21"/>
      <c r="ET248" s="21"/>
      <c r="EU248" s="21"/>
      <c r="EV248" s="21"/>
      <c r="EW248" s="21"/>
      <c r="EX248" s="21"/>
      <c r="FA248" s="9"/>
      <c r="FB248" s="21"/>
      <c r="FC248" s="21"/>
      <c r="FD248" s="21"/>
      <c r="FE248" s="21"/>
      <c r="FF248" s="21"/>
    </row>
    <row r="249" spans="6:162" x14ac:dyDescent="0.25">
      <c r="F249" s="9"/>
      <c r="G249" s="21">
        <v>-3.5095199999999999E-3</v>
      </c>
      <c r="H249" s="21">
        <v>7.4222900000000003</v>
      </c>
      <c r="I249" s="24">
        <v>-7.1990999999999996E-5</v>
      </c>
      <c r="J249" s="21">
        <v>239</v>
      </c>
      <c r="K249" s="21">
        <v>-3.7383999999999998E-3</v>
      </c>
      <c r="L249">
        <f t="shared" si="36"/>
        <v>8.8877777777777764E-2</v>
      </c>
      <c r="M249">
        <f t="shared" si="37"/>
        <v>-3.119183386666666E-4</v>
      </c>
      <c r="N249" s="9"/>
      <c r="O249" s="21">
        <v>1.1035200000000001</v>
      </c>
      <c r="P249" s="21">
        <v>10.042999999999999</v>
      </c>
      <c r="Q249" s="24">
        <v>-1.5625E-5</v>
      </c>
      <c r="R249" s="21">
        <v>239</v>
      </c>
      <c r="S249" s="21">
        <v>1.10229</v>
      </c>
      <c r="T249">
        <f t="shared" si="38"/>
        <v>1.9290123456790122E-2</v>
      </c>
      <c r="U249">
        <f t="shared" si="39"/>
        <v>2.1287037037037038E-2</v>
      </c>
      <c r="X249" s="9"/>
      <c r="Y249" s="21">
        <v>-3.5095199999999999E-3</v>
      </c>
      <c r="Z249" s="21">
        <v>14.403499999999999</v>
      </c>
      <c r="AA249" s="24">
        <v>-6.8115199999999995E-5</v>
      </c>
      <c r="AB249" s="21">
        <v>239</v>
      </c>
      <c r="AC249" s="21">
        <v>-3.7292499999999999E-3</v>
      </c>
      <c r="AD249">
        <f t="shared" si="40"/>
        <v>8.4092839506172828E-2</v>
      </c>
      <c r="AE249">
        <f t="shared" si="41"/>
        <v>-2.9512550210370364E-4</v>
      </c>
      <c r="AF249" s="9"/>
      <c r="AG249" s="21">
        <v>1.1035200000000001</v>
      </c>
      <c r="AH249" s="21">
        <v>17.0242</v>
      </c>
      <c r="AI249" s="24">
        <v>-1.4739999999999999E-5</v>
      </c>
      <c r="AJ249" s="21">
        <v>239</v>
      </c>
      <c r="AK249" s="21">
        <v>1.1026</v>
      </c>
      <c r="AL249">
        <f t="shared" si="42"/>
        <v>1.8197530864197529E-2</v>
      </c>
      <c r="AM249">
        <f t="shared" si="43"/>
        <v>2.008133925925926E-2</v>
      </c>
      <c r="AP249" s="9"/>
      <c r="AQ249" s="21">
        <v>-3.5095199999999999E-3</v>
      </c>
      <c r="AR249" s="21">
        <v>21.326599999999999</v>
      </c>
      <c r="AS249" s="24">
        <v>-6.5673799999999995E-5</v>
      </c>
      <c r="AT249" s="21">
        <v>239</v>
      </c>
      <c r="AU249" s="21">
        <v>-3.71704E-3</v>
      </c>
      <c r="AV249">
        <f t="shared" si="44"/>
        <v>8.1078765432098757E-2</v>
      </c>
      <c r="AW249">
        <f t="shared" si="45"/>
        <v>-2.8454754885925921E-4</v>
      </c>
      <c r="AX249" s="9"/>
      <c r="AY249" s="21">
        <v>1.1035200000000001</v>
      </c>
      <c r="AZ249" s="21">
        <v>23.947399999999998</v>
      </c>
      <c r="BA249" s="24">
        <v>-1.48315E-5</v>
      </c>
      <c r="BB249" s="21">
        <v>239</v>
      </c>
      <c r="BC249" s="21">
        <v>1.1026</v>
      </c>
      <c r="BD249">
        <f t="shared" si="46"/>
        <v>1.831049382716049E-2</v>
      </c>
      <c r="BE249">
        <f t="shared" si="47"/>
        <v>2.0205996148148143E-2</v>
      </c>
      <c r="BH249" s="9"/>
      <c r="BI249" s="21"/>
      <c r="BJ249" s="21"/>
      <c r="BK249" s="21"/>
      <c r="BL249" s="21"/>
      <c r="BM249" s="21"/>
      <c r="BP249" s="9"/>
      <c r="BQ249" s="21"/>
      <c r="BR249" s="21"/>
      <c r="BS249" s="21"/>
      <c r="BT249" s="21"/>
      <c r="BU249" s="21"/>
      <c r="BZ249" s="9"/>
      <c r="CA249" s="21"/>
      <c r="CB249" s="21"/>
      <c r="CC249" s="21"/>
      <c r="CD249" s="21"/>
      <c r="CE249" s="21"/>
      <c r="CH249" s="9"/>
      <c r="CI249" s="21"/>
      <c r="CJ249" s="21"/>
      <c r="CK249" s="21"/>
      <c r="CL249" s="21"/>
      <c r="CM249" s="21"/>
      <c r="CR249" s="9"/>
      <c r="CS249" s="21"/>
      <c r="CT249" s="21"/>
      <c r="CU249" s="21"/>
      <c r="CV249" s="21"/>
      <c r="CW249" s="21"/>
      <c r="CZ249" s="9"/>
      <c r="DA249" s="21"/>
      <c r="DB249" s="21"/>
      <c r="DC249" s="21"/>
      <c r="DD249" s="21"/>
      <c r="DE249" s="21"/>
      <c r="DJ249" s="9"/>
      <c r="DK249" s="21"/>
      <c r="DL249" s="21"/>
      <c r="DM249" s="21"/>
      <c r="DN249" s="21"/>
      <c r="DO249" s="21"/>
      <c r="DR249" s="9"/>
      <c r="DS249" s="21"/>
      <c r="DT249" s="21"/>
      <c r="DU249" s="21"/>
      <c r="DV249" s="21"/>
      <c r="DW249" s="21"/>
      <c r="EB249" s="9"/>
      <c r="EC249" s="21"/>
      <c r="ED249" s="21"/>
      <c r="EE249" s="21"/>
      <c r="EF249" s="21"/>
      <c r="EG249" s="21"/>
      <c r="EJ249" s="9"/>
      <c r="EK249" s="21"/>
      <c r="EL249" s="21"/>
      <c r="EM249" s="21"/>
      <c r="EN249" s="21"/>
      <c r="EO249" s="21"/>
      <c r="ET249" s="21"/>
      <c r="EU249" s="21"/>
      <c r="EV249" s="21"/>
      <c r="EW249" s="21"/>
      <c r="EX249" s="21"/>
      <c r="FA249" s="9"/>
      <c r="FB249" s="21"/>
      <c r="FC249" s="21"/>
      <c r="FD249" s="21"/>
      <c r="FE249" s="21"/>
      <c r="FF249" s="21"/>
    </row>
    <row r="250" spans="6:162" x14ac:dyDescent="0.25">
      <c r="F250" s="9"/>
      <c r="G250" s="21">
        <v>-8.5449199999999993E-3</v>
      </c>
      <c r="H250" s="21">
        <v>7.4323600000000001</v>
      </c>
      <c r="I250" s="24">
        <v>-7.2174099999999997E-5</v>
      </c>
      <c r="J250" s="21">
        <v>240</v>
      </c>
      <c r="K250" s="21">
        <v>-8.7554899999999995E-3</v>
      </c>
      <c r="L250">
        <f t="shared" si="36"/>
        <v>8.9103827160493823E-2</v>
      </c>
      <c r="M250">
        <f t="shared" si="37"/>
        <v>-7.6138507478024683E-4</v>
      </c>
      <c r="N250" s="9"/>
      <c r="O250" s="21">
        <v>1.1085499999999999</v>
      </c>
      <c r="P250" s="21">
        <v>10.053100000000001</v>
      </c>
      <c r="Q250" s="24">
        <v>-1.48926E-5</v>
      </c>
      <c r="R250" s="21">
        <v>240</v>
      </c>
      <c r="S250" s="21">
        <v>1.10748</v>
      </c>
      <c r="T250">
        <f t="shared" si="38"/>
        <v>1.8385925925925927E-2</v>
      </c>
      <c r="U250">
        <f t="shared" si="39"/>
        <v>2.0381718185185187E-2</v>
      </c>
      <c r="X250" s="9"/>
      <c r="Y250" s="21">
        <v>-8.5449199999999993E-3</v>
      </c>
      <c r="Z250" s="21">
        <v>14.413500000000001</v>
      </c>
      <c r="AA250" s="24">
        <v>-6.8267800000000004E-5</v>
      </c>
      <c r="AB250" s="21">
        <v>240</v>
      </c>
      <c r="AC250" s="21">
        <v>-8.7554899999999995E-3</v>
      </c>
      <c r="AD250">
        <f t="shared" si="40"/>
        <v>8.4281234567901236E-2</v>
      </c>
      <c r="AE250">
        <f t="shared" si="41"/>
        <v>-7.2017640688395057E-4</v>
      </c>
      <c r="AF250" s="9"/>
      <c r="AG250" s="21">
        <v>1.1085499999999999</v>
      </c>
      <c r="AH250" s="21">
        <v>17.034300000000002</v>
      </c>
      <c r="AI250" s="24">
        <v>-1.41602E-5</v>
      </c>
      <c r="AJ250" s="21">
        <v>240</v>
      </c>
      <c r="AK250" s="21">
        <v>1.1077900000000001</v>
      </c>
      <c r="AL250">
        <f t="shared" si="42"/>
        <v>1.7481728395061728E-2</v>
      </c>
      <c r="AM250">
        <f t="shared" si="43"/>
        <v>1.9379370012345676E-2</v>
      </c>
      <c r="AP250" s="9"/>
      <c r="AQ250" s="21">
        <v>-8.5449199999999993E-3</v>
      </c>
      <c r="AR250" s="21">
        <v>21.3367</v>
      </c>
      <c r="AS250" s="24">
        <v>-6.57043E-5</v>
      </c>
      <c r="AT250" s="21">
        <v>240</v>
      </c>
      <c r="AU250" s="21">
        <v>-8.7615999999999996E-3</v>
      </c>
      <c r="AV250">
        <f t="shared" si="44"/>
        <v>8.1116419753086422E-2</v>
      </c>
      <c r="AW250">
        <f t="shared" si="45"/>
        <v>-6.9313331747654318E-4</v>
      </c>
      <c r="AX250" s="9"/>
      <c r="AY250" s="21">
        <v>1.1085499999999999</v>
      </c>
      <c r="AZ250" s="21">
        <v>23.9575</v>
      </c>
      <c r="BA250" s="24">
        <v>-1.43433E-5</v>
      </c>
      <c r="BB250" s="21">
        <v>240</v>
      </c>
      <c r="BC250" s="21">
        <v>1.1071800000000001</v>
      </c>
      <c r="BD250">
        <f t="shared" si="46"/>
        <v>1.7707777777777777E-2</v>
      </c>
      <c r="BE250">
        <f t="shared" si="47"/>
        <v>1.9629957055555553E-2</v>
      </c>
      <c r="BH250" s="9"/>
      <c r="BI250" s="21"/>
      <c r="BJ250" s="21"/>
      <c r="BK250" s="21"/>
      <c r="BL250" s="21"/>
      <c r="BM250" s="21"/>
      <c r="BP250" s="9"/>
      <c r="BQ250" s="21"/>
      <c r="BR250" s="21"/>
      <c r="BS250" s="21"/>
      <c r="BT250" s="21"/>
      <c r="BU250" s="21"/>
      <c r="BZ250" s="9"/>
      <c r="CA250" s="21"/>
      <c r="CB250" s="21"/>
      <c r="CC250" s="21"/>
      <c r="CD250" s="21"/>
      <c r="CE250" s="21"/>
      <c r="CH250" s="9"/>
      <c r="CI250" s="21"/>
      <c r="CJ250" s="21"/>
      <c r="CK250" s="21"/>
      <c r="CL250" s="21"/>
      <c r="CM250" s="21"/>
      <c r="CR250" s="9"/>
      <c r="CS250" s="21"/>
      <c r="CT250" s="21"/>
      <c r="CU250" s="21"/>
      <c r="CV250" s="21"/>
      <c r="CW250" s="21"/>
      <c r="CZ250" s="9"/>
      <c r="DA250" s="21"/>
      <c r="DB250" s="21"/>
      <c r="DC250" s="21"/>
      <c r="DD250" s="21"/>
      <c r="DE250" s="21"/>
      <c r="DJ250" s="9"/>
      <c r="DK250" s="21"/>
      <c r="DL250" s="21"/>
      <c r="DM250" s="21"/>
      <c r="DN250" s="21"/>
      <c r="DO250" s="21"/>
      <c r="DR250" s="9"/>
      <c r="DS250" s="21"/>
      <c r="DT250" s="21"/>
      <c r="DU250" s="21"/>
      <c r="DV250" s="21"/>
      <c r="DW250" s="21"/>
      <c r="EB250" s="9"/>
      <c r="EC250" s="21"/>
      <c r="ED250" s="21"/>
      <c r="EE250" s="21"/>
      <c r="EF250" s="21"/>
      <c r="EG250" s="21"/>
      <c r="EJ250" s="9"/>
      <c r="EK250" s="21"/>
      <c r="EL250" s="21"/>
      <c r="EM250" s="21"/>
      <c r="EN250" s="21"/>
      <c r="EO250" s="21"/>
      <c r="ET250" s="21"/>
      <c r="EU250" s="21"/>
      <c r="EV250" s="21"/>
      <c r="EW250" s="21"/>
      <c r="EX250" s="21"/>
      <c r="FA250" s="9"/>
      <c r="FB250" s="21"/>
      <c r="FC250" s="21"/>
      <c r="FD250" s="21"/>
      <c r="FE250" s="21"/>
      <c r="FF250" s="21"/>
    </row>
    <row r="251" spans="6:162" x14ac:dyDescent="0.25">
      <c r="F251" s="9"/>
      <c r="G251" s="21">
        <v>-1.35803E-2</v>
      </c>
      <c r="H251" s="21">
        <v>7.4424299999999999</v>
      </c>
      <c r="I251" s="24">
        <v>-7.2143600000000005E-5</v>
      </c>
      <c r="J251" s="21">
        <v>241</v>
      </c>
      <c r="K251" s="21">
        <v>-1.3809200000000001E-2</v>
      </c>
      <c r="L251">
        <f t="shared" si="36"/>
        <v>8.9066172839506186E-2</v>
      </c>
      <c r="M251">
        <f t="shared" si="37"/>
        <v>-1.209545347012346E-3</v>
      </c>
      <c r="N251" s="9"/>
      <c r="O251" s="21">
        <v>1.1135900000000001</v>
      </c>
      <c r="P251" s="21">
        <v>10.0632</v>
      </c>
      <c r="Q251" s="24">
        <v>-1.4068599999999999E-5</v>
      </c>
      <c r="R251" s="21">
        <v>241</v>
      </c>
      <c r="S251" s="21">
        <v>1.1129800000000001</v>
      </c>
      <c r="T251">
        <f t="shared" si="38"/>
        <v>1.736864197530864E-2</v>
      </c>
      <c r="U251">
        <f t="shared" si="39"/>
        <v>1.934154601728395E-2</v>
      </c>
      <c r="X251" s="9"/>
      <c r="Y251" s="21">
        <v>-1.35803E-2</v>
      </c>
      <c r="Z251" s="21">
        <v>14.4236</v>
      </c>
      <c r="AA251" s="24">
        <v>-6.84204E-5</v>
      </c>
      <c r="AB251" s="21">
        <v>241</v>
      </c>
      <c r="AC251" s="21">
        <v>-1.3806199999999999E-2</v>
      </c>
      <c r="AD251">
        <f t="shared" si="40"/>
        <v>8.4469629629629617E-2</v>
      </c>
      <c r="AE251">
        <f t="shared" si="41"/>
        <v>-1.147122911259259E-3</v>
      </c>
      <c r="AF251" s="9"/>
      <c r="AG251" s="21">
        <v>1.1135900000000001</v>
      </c>
      <c r="AH251" s="21">
        <v>17.0443</v>
      </c>
      <c r="AI251" s="24">
        <v>-1.34583E-5</v>
      </c>
      <c r="AJ251" s="21">
        <v>241</v>
      </c>
      <c r="AK251" s="21">
        <v>1.1129800000000001</v>
      </c>
      <c r="AL251">
        <f t="shared" si="42"/>
        <v>1.6615185185185181E-2</v>
      </c>
      <c r="AM251">
        <f t="shared" si="43"/>
        <v>1.8502504070370365E-2</v>
      </c>
      <c r="AP251" s="9"/>
      <c r="AQ251" s="21">
        <v>-1.35803E-2</v>
      </c>
      <c r="AR251" s="21">
        <v>21.346800000000002</v>
      </c>
      <c r="AS251" s="24">
        <v>-6.5795899999999998E-5</v>
      </c>
      <c r="AT251" s="21">
        <v>241</v>
      </c>
      <c r="AU251" s="21">
        <v>-1.38031E-2</v>
      </c>
      <c r="AV251">
        <f t="shared" si="44"/>
        <v>8.12295061728395E-2</v>
      </c>
      <c r="AW251">
        <f t="shared" si="45"/>
        <v>-1.1031210626790122E-3</v>
      </c>
      <c r="AX251" s="9"/>
      <c r="AY251" s="21">
        <v>1.1135900000000001</v>
      </c>
      <c r="AZ251" s="21">
        <v>23.967500000000001</v>
      </c>
      <c r="BA251" s="24">
        <v>-1.37329E-5</v>
      </c>
      <c r="BB251" s="21">
        <v>241</v>
      </c>
      <c r="BC251" s="21">
        <v>1.1123700000000001</v>
      </c>
      <c r="BD251">
        <f t="shared" si="46"/>
        <v>1.6954197530864197E-2</v>
      </c>
      <c r="BE251">
        <f t="shared" si="47"/>
        <v>1.8880024828395063E-2</v>
      </c>
      <c r="BH251" s="9"/>
      <c r="BI251" s="21"/>
      <c r="BJ251" s="21"/>
      <c r="BK251" s="21"/>
      <c r="BL251" s="21"/>
      <c r="BM251" s="21"/>
      <c r="BP251" s="9"/>
      <c r="BQ251" s="21"/>
      <c r="BR251" s="21"/>
      <c r="BS251" s="21"/>
      <c r="BT251" s="21"/>
      <c r="BU251" s="21"/>
      <c r="BZ251" s="9"/>
      <c r="CA251" s="21"/>
      <c r="CB251" s="21"/>
      <c r="CC251" s="21"/>
      <c r="CD251" s="21"/>
      <c r="CE251" s="21"/>
      <c r="CH251" s="9"/>
      <c r="CI251" s="21"/>
      <c r="CJ251" s="21"/>
      <c r="CK251" s="21"/>
      <c r="CL251" s="21"/>
      <c r="CM251" s="21"/>
      <c r="CR251" s="9"/>
      <c r="CS251" s="21"/>
      <c r="CT251" s="21"/>
      <c r="CU251" s="21"/>
      <c r="CV251" s="21"/>
      <c r="CW251" s="21"/>
      <c r="CZ251" s="9"/>
      <c r="DA251" s="21"/>
      <c r="DB251" s="21"/>
      <c r="DC251" s="21"/>
      <c r="DD251" s="21"/>
      <c r="DE251" s="21"/>
      <c r="DJ251" s="9"/>
      <c r="DK251" s="21"/>
      <c r="DL251" s="21"/>
      <c r="DM251" s="21"/>
      <c r="DN251" s="21"/>
      <c r="DO251" s="21"/>
      <c r="DR251" s="9"/>
      <c r="DS251" s="21"/>
      <c r="DT251" s="21"/>
      <c r="DU251" s="21"/>
      <c r="DV251" s="21"/>
      <c r="DW251" s="21"/>
      <c r="EB251" s="9"/>
      <c r="EC251" s="21"/>
      <c r="ED251" s="21"/>
      <c r="EE251" s="21"/>
      <c r="EF251" s="21"/>
      <c r="EG251" s="21"/>
      <c r="EJ251" s="9"/>
      <c r="EK251" s="21"/>
      <c r="EL251" s="21"/>
      <c r="EM251" s="21"/>
      <c r="EN251" s="21"/>
      <c r="EO251" s="21"/>
      <c r="ET251" s="21"/>
      <c r="EU251" s="21"/>
      <c r="EV251" s="21"/>
      <c r="EW251" s="21"/>
      <c r="EX251" s="21"/>
      <c r="FA251" s="9"/>
      <c r="FB251" s="21"/>
      <c r="FC251" s="21"/>
      <c r="FD251" s="21"/>
      <c r="FE251" s="21"/>
      <c r="FF251" s="21"/>
    </row>
    <row r="252" spans="6:162" x14ac:dyDescent="0.25">
      <c r="F252" s="9"/>
      <c r="G252" s="21">
        <v>-1.8615699999999999E-2</v>
      </c>
      <c r="H252" s="21">
        <v>7.4524999999999997</v>
      </c>
      <c r="I252" s="24">
        <v>-7.2265600000000001E-5</v>
      </c>
      <c r="J252" s="21">
        <v>242</v>
      </c>
      <c r="K252" s="21">
        <v>-1.88843E-2</v>
      </c>
      <c r="L252">
        <f t="shared" si="36"/>
        <v>8.9216790123456777E-2</v>
      </c>
      <c r="M252">
        <f t="shared" si="37"/>
        <v>-1.6608329999012342E-3</v>
      </c>
      <c r="N252" s="9"/>
      <c r="O252" s="21">
        <v>1.1186199999999999</v>
      </c>
      <c r="P252" s="21">
        <v>10.0732</v>
      </c>
      <c r="Q252" s="24">
        <v>-1.3275099999999999E-5</v>
      </c>
      <c r="R252" s="21">
        <v>242</v>
      </c>
      <c r="S252" s="21">
        <v>1.11755</v>
      </c>
      <c r="T252">
        <f t="shared" si="38"/>
        <v>1.6389012345679008E-2</v>
      </c>
      <c r="U252">
        <f t="shared" si="39"/>
        <v>1.8333076990123452E-2</v>
      </c>
      <c r="X252" s="9"/>
      <c r="Y252" s="21">
        <v>-1.8615699999999999E-2</v>
      </c>
      <c r="Z252" s="21">
        <v>14.4337</v>
      </c>
      <c r="AA252" s="24">
        <v>-6.8481399999999998E-5</v>
      </c>
      <c r="AB252" s="21">
        <v>242</v>
      </c>
      <c r="AC252" s="21">
        <v>-1.8859899999999999E-2</v>
      </c>
      <c r="AD252">
        <f t="shared" si="40"/>
        <v>8.4544938271604919E-2</v>
      </c>
      <c r="AE252">
        <f t="shared" si="41"/>
        <v>-1.5738632073827156E-3</v>
      </c>
      <c r="AF252" s="9"/>
      <c r="AG252" s="21">
        <v>1.1186199999999999</v>
      </c>
      <c r="AH252" s="21">
        <v>17.054400000000001</v>
      </c>
      <c r="AI252" s="24">
        <v>-1.27563E-5</v>
      </c>
      <c r="AJ252" s="21">
        <v>242</v>
      </c>
      <c r="AK252" s="21">
        <v>1.1178600000000001</v>
      </c>
      <c r="AL252">
        <f t="shared" si="42"/>
        <v>1.5748518518518516E-2</v>
      </c>
      <c r="AM252">
        <f t="shared" si="43"/>
        <v>1.761660778518518E-2</v>
      </c>
      <c r="AP252" s="9"/>
      <c r="AQ252" s="21">
        <v>-1.8615699999999999E-2</v>
      </c>
      <c r="AR252" s="21">
        <v>21.3569</v>
      </c>
      <c r="AS252" s="24">
        <v>-6.5826400000000004E-5</v>
      </c>
      <c r="AT252" s="21">
        <v>242</v>
      </c>
      <c r="AU252" s="21">
        <v>-1.8823199999999998E-2</v>
      </c>
      <c r="AV252">
        <f t="shared" si="44"/>
        <v>8.1267160493827165E-2</v>
      </c>
      <c r="AW252">
        <f t="shared" si="45"/>
        <v>-1.5128450796049382E-3</v>
      </c>
      <c r="AX252" s="9"/>
      <c r="AY252" s="21">
        <v>1.1186199999999999</v>
      </c>
      <c r="AZ252" s="21">
        <v>23.977599999999999</v>
      </c>
      <c r="BA252" s="24">
        <v>-1.31226E-5</v>
      </c>
      <c r="BB252" s="21">
        <v>242</v>
      </c>
      <c r="BC252" s="21">
        <v>1.11816</v>
      </c>
      <c r="BD252">
        <f t="shared" si="46"/>
        <v>1.6200740740740738E-2</v>
      </c>
      <c r="BE252">
        <f t="shared" si="47"/>
        <v>1.8122472607407403E-2</v>
      </c>
      <c r="BH252" s="9"/>
      <c r="BI252" s="21"/>
      <c r="BJ252" s="21"/>
      <c r="BK252" s="21"/>
      <c r="BL252" s="21"/>
      <c r="BM252" s="21"/>
      <c r="BP252" s="9"/>
      <c r="BQ252" s="21"/>
      <c r="BR252" s="21"/>
      <c r="BS252" s="21"/>
      <c r="BT252" s="21"/>
      <c r="BU252" s="21"/>
      <c r="BZ252" s="9"/>
      <c r="CA252" s="21"/>
      <c r="CB252" s="21"/>
      <c r="CC252" s="21"/>
      <c r="CD252" s="21"/>
      <c r="CE252" s="21"/>
      <c r="CH252" s="9"/>
      <c r="CI252" s="21"/>
      <c r="CJ252" s="21"/>
      <c r="CK252" s="21"/>
      <c r="CL252" s="21"/>
      <c r="CM252" s="21"/>
      <c r="CR252" s="9"/>
      <c r="CS252" s="21"/>
      <c r="CT252" s="21"/>
      <c r="CU252" s="21"/>
      <c r="CV252" s="21"/>
      <c r="CW252" s="21"/>
      <c r="CZ252" s="9"/>
      <c r="DA252" s="21"/>
      <c r="DB252" s="21"/>
      <c r="DC252" s="21"/>
      <c r="DD252" s="21"/>
      <c r="DE252" s="21"/>
      <c r="DJ252" s="9"/>
      <c r="DK252" s="21"/>
      <c r="DL252" s="21"/>
      <c r="DM252" s="21"/>
      <c r="DN252" s="21"/>
      <c r="DO252" s="21"/>
      <c r="DR252" s="9"/>
      <c r="DS252" s="21"/>
      <c r="DT252" s="21"/>
      <c r="DU252" s="21"/>
      <c r="DV252" s="21"/>
      <c r="DW252" s="21"/>
      <c r="EB252" s="9"/>
      <c r="EC252" s="21"/>
      <c r="ED252" s="21"/>
      <c r="EE252" s="21"/>
      <c r="EF252" s="21"/>
      <c r="EG252" s="21"/>
      <c r="EJ252" s="9"/>
      <c r="EK252" s="21"/>
      <c r="EL252" s="21"/>
      <c r="EM252" s="21"/>
      <c r="EN252" s="21"/>
      <c r="EO252" s="21"/>
      <c r="ET252" s="21"/>
      <c r="EU252" s="21"/>
      <c r="EV252" s="21"/>
      <c r="EW252" s="21"/>
      <c r="EX252" s="21"/>
      <c r="FA252" s="9"/>
      <c r="FB252" s="21"/>
      <c r="FC252" s="21"/>
      <c r="FD252" s="21"/>
      <c r="FE252" s="21"/>
      <c r="FF252" s="21"/>
    </row>
    <row r="253" spans="6:162" x14ac:dyDescent="0.25">
      <c r="F253" s="9"/>
      <c r="G253" s="21">
        <v>-2.3651100000000001E-2</v>
      </c>
      <c r="H253" s="21">
        <v>7.4625700000000004</v>
      </c>
      <c r="I253" s="24">
        <v>-7.2296099999999994E-5</v>
      </c>
      <c r="J253" s="21">
        <v>243</v>
      </c>
      <c r="K253" s="21">
        <v>-2.39014E-2</v>
      </c>
      <c r="L253">
        <f t="shared" si="36"/>
        <v>8.9254444444444428E-2</v>
      </c>
      <c r="M253">
        <f t="shared" si="37"/>
        <v>-2.1109657909999997E-3</v>
      </c>
      <c r="N253" s="9"/>
      <c r="O253" s="21">
        <v>1.1236600000000001</v>
      </c>
      <c r="P253" s="21">
        <v>10.083299999999999</v>
      </c>
      <c r="Q253" s="24">
        <v>-1.25732E-5</v>
      </c>
      <c r="R253" s="21">
        <v>243</v>
      </c>
      <c r="S253" s="21">
        <v>1.1227400000000001</v>
      </c>
      <c r="T253">
        <f t="shared" si="38"/>
        <v>1.5522469135802469E-2</v>
      </c>
      <c r="U253">
        <f t="shared" si="39"/>
        <v>1.7441977669135803E-2</v>
      </c>
      <c r="X253" s="9"/>
      <c r="Y253" s="21">
        <v>-2.3651100000000001E-2</v>
      </c>
      <c r="Z253" s="21">
        <v>14.4437</v>
      </c>
      <c r="AA253" s="24">
        <v>-6.8633999999999994E-5</v>
      </c>
      <c r="AB253" s="21">
        <v>243</v>
      </c>
      <c r="AC253" s="21">
        <v>-2.3895300000000001E-2</v>
      </c>
      <c r="AD253">
        <f t="shared" si="40"/>
        <v>8.4733333333333327E-2</v>
      </c>
      <c r="AE253">
        <f t="shared" si="41"/>
        <v>-2.0040365399999998E-3</v>
      </c>
      <c r="AF253" s="9"/>
      <c r="AG253" s="21">
        <v>1.1236600000000001</v>
      </c>
      <c r="AH253" s="21">
        <v>17.064499999999999</v>
      </c>
      <c r="AI253" s="24">
        <v>-1.18408E-5</v>
      </c>
      <c r="AJ253" s="21">
        <v>243</v>
      </c>
      <c r="AK253" s="21">
        <v>1.1227400000000001</v>
      </c>
      <c r="AL253">
        <f t="shared" si="42"/>
        <v>1.461827160493827E-2</v>
      </c>
      <c r="AM253">
        <f t="shared" si="43"/>
        <v>1.6425967071604937E-2</v>
      </c>
      <c r="AP253" s="9"/>
      <c r="AQ253" s="21">
        <v>-2.3651100000000001E-2</v>
      </c>
      <c r="AR253" s="21">
        <v>21.366900000000001</v>
      </c>
      <c r="AS253" s="24">
        <v>-6.5887499999999996E-5</v>
      </c>
      <c r="AT253" s="21">
        <v>243</v>
      </c>
      <c r="AU253" s="21">
        <v>-2.3922700000000002E-2</v>
      </c>
      <c r="AV253">
        <f t="shared" si="44"/>
        <v>8.1342592592592591E-2</v>
      </c>
      <c r="AW253">
        <f t="shared" si="45"/>
        <v>-1.9238417916666668E-3</v>
      </c>
      <c r="AX253" s="9"/>
      <c r="AY253" s="21">
        <v>1.1236600000000001</v>
      </c>
      <c r="AZ253" s="21">
        <v>23.9877</v>
      </c>
      <c r="BA253" s="24">
        <v>-1.2542699999999999E-5</v>
      </c>
      <c r="BB253" s="21">
        <v>243</v>
      </c>
      <c r="BC253" s="21">
        <v>1.1227400000000001</v>
      </c>
      <c r="BD253">
        <f t="shared" si="46"/>
        <v>1.5484814814814812E-2</v>
      </c>
      <c r="BE253">
        <f t="shared" si="47"/>
        <v>1.7399667014814813E-2</v>
      </c>
      <c r="BH253" s="9"/>
      <c r="BI253" s="21"/>
      <c r="BJ253" s="21"/>
      <c r="BK253" s="21"/>
      <c r="BL253" s="21"/>
      <c r="BM253" s="21"/>
      <c r="BP253" s="9"/>
      <c r="BQ253" s="21"/>
      <c r="BR253" s="21"/>
      <c r="BS253" s="21"/>
      <c r="BT253" s="21"/>
      <c r="BU253" s="21"/>
      <c r="BZ253" s="9"/>
      <c r="CA253" s="21"/>
      <c r="CB253" s="21"/>
      <c r="CC253" s="21"/>
      <c r="CD253" s="21"/>
      <c r="CE253" s="21"/>
      <c r="CH253" s="9"/>
      <c r="CI253" s="21"/>
      <c r="CJ253" s="21"/>
      <c r="CK253" s="21"/>
      <c r="CL253" s="21"/>
      <c r="CM253" s="21"/>
      <c r="CR253" s="9"/>
      <c r="CS253" s="21"/>
      <c r="CT253" s="21"/>
      <c r="CU253" s="21"/>
      <c r="CV253" s="21"/>
      <c r="CW253" s="21"/>
      <c r="CZ253" s="9"/>
      <c r="DA253" s="21"/>
      <c r="DB253" s="21"/>
      <c r="DC253" s="21"/>
      <c r="DD253" s="21"/>
      <c r="DE253" s="21"/>
      <c r="DJ253" s="9"/>
      <c r="DK253" s="21"/>
      <c r="DL253" s="21"/>
      <c r="DM253" s="21"/>
      <c r="DN253" s="21"/>
      <c r="DO253" s="21"/>
      <c r="DR253" s="9"/>
      <c r="DS253" s="21"/>
      <c r="DT253" s="21"/>
      <c r="DU253" s="24"/>
      <c r="DV253" s="21"/>
      <c r="DW253" s="21"/>
      <c r="EB253" s="9"/>
      <c r="EC253" s="21"/>
      <c r="ED253" s="21"/>
      <c r="EE253" s="21"/>
      <c r="EF253" s="21"/>
      <c r="EG253" s="21"/>
      <c r="EJ253" s="9"/>
      <c r="EK253" s="21"/>
      <c r="EL253" s="21"/>
      <c r="EM253" s="24"/>
      <c r="EN253" s="21"/>
      <c r="EO253" s="21"/>
      <c r="ET253" s="21"/>
      <c r="EU253" s="21"/>
      <c r="EV253" s="21"/>
      <c r="EW253" s="21"/>
      <c r="EX253" s="21"/>
      <c r="FA253" s="9"/>
      <c r="FB253" s="21"/>
      <c r="FC253" s="21"/>
      <c r="FD253" s="24"/>
      <c r="FE253" s="21"/>
      <c r="FF253" s="21"/>
    </row>
    <row r="254" spans="6:162" x14ac:dyDescent="0.25">
      <c r="F254" s="9"/>
      <c r="G254" s="21">
        <v>-2.86865E-2</v>
      </c>
      <c r="H254" s="21">
        <v>7.4726400000000002</v>
      </c>
      <c r="I254" s="24">
        <v>-7.2479199999999995E-5</v>
      </c>
      <c r="J254" s="21">
        <v>244</v>
      </c>
      <c r="K254" s="21">
        <v>-2.8982500000000001E-2</v>
      </c>
      <c r="L254">
        <f t="shared" si="36"/>
        <v>8.9480493827160487E-2</v>
      </c>
      <c r="M254">
        <f t="shared" si="37"/>
        <v>-2.5668821861728392E-3</v>
      </c>
      <c r="N254" s="9"/>
      <c r="O254" s="21">
        <v>1.12869</v>
      </c>
      <c r="P254" s="21">
        <v>10.093400000000001</v>
      </c>
      <c r="Q254" s="24">
        <v>-1.17188E-5</v>
      </c>
      <c r="R254" s="21">
        <v>244</v>
      </c>
      <c r="S254" s="21">
        <v>1.1276200000000001</v>
      </c>
      <c r="T254">
        <f t="shared" si="38"/>
        <v>1.4467654320987653E-2</v>
      </c>
      <c r="U254">
        <f t="shared" si="39"/>
        <v>1.6329496755555555E-2</v>
      </c>
      <c r="X254" s="9"/>
      <c r="Y254" s="21">
        <v>-2.86865E-2</v>
      </c>
      <c r="Z254" s="21">
        <v>14.453799999999999</v>
      </c>
      <c r="AA254" s="24">
        <v>-6.8725600000000005E-5</v>
      </c>
      <c r="AB254" s="21">
        <v>244</v>
      </c>
      <c r="AC254" s="21">
        <v>-2.8939800000000002E-2</v>
      </c>
      <c r="AD254">
        <f t="shared" si="40"/>
        <v>8.4846419753086419E-2</v>
      </c>
      <c r="AE254">
        <f t="shared" si="41"/>
        <v>-2.4339468202469136E-3</v>
      </c>
      <c r="AF254" s="9"/>
      <c r="AG254" s="21">
        <v>1.12869</v>
      </c>
      <c r="AH254" s="21">
        <v>17.0746</v>
      </c>
      <c r="AI254" s="24">
        <v>-1.1077899999999999E-5</v>
      </c>
      <c r="AJ254" s="21">
        <v>244</v>
      </c>
      <c r="AK254" s="21">
        <v>1.1282300000000001</v>
      </c>
      <c r="AL254">
        <f t="shared" si="42"/>
        <v>1.3676419753086418E-2</v>
      </c>
      <c r="AM254">
        <f t="shared" si="43"/>
        <v>1.543643821111111E-2</v>
      </c>
      <c r="AP254" s="9"/>
      <c r="AQ254" s="21">
        <v>-2.86865E-2</v>
      </c>
      <c r="AR254" s="21">
        <v>21.376999999999999</v>
      </c>
      <c r="AS254" s="24">
        <v>-6.6131599999999995E-5</v>
      </c>
      <c r="AT254" s="21">
        <v>244</v>
      </c>
      <c r="AU254" s="21">
        <v>-2.89734E-2</v>
      </c>
      <c r="AV254">
        <f t="shared" si="44"/>
        <v>8.1643950617283939E-2</v>
      </c>
      <c r="AW254">
        <f t="shared" si="45"/>
        <v>-2.3420791893827156E-3</v>
      </c>
      <c r="AX254" s="9"/>
      <c r="AY254" s="21">
        <v>1.12869</v>
      </c>
      <c r="AZ254" s="21">
        <v>23.997699999999998</v>
      </c>
      <c r="BA254" s="24">
        <v>-1.19629E-5</v>
      </c>
      <c r="BB254" s="21">
        <v>244</v>
      </c>
      <c r="BC254" s="21">
        <v>1.1276200000000001</v>
      </c>
      <c r="BD254">
        <f t="shared" si="46"/>
        <v>1.4769012345679011E-2</v>
      </c>
      <c r="BE254">
        <f t="shared" si="47"/>
        <v>1.6669636544444442E-2</v>
      </c>
      <c r="BH254" s="9"/>
      <c r="BI254" s="21"/>
      <c r="BJ254" s="21"/>
      <c r="BK254" s="21"/>
      <c r="BL254" s="21"/>
      <c r="BM254" s="21"/>
      <c r="BP254" s="9"/>
      <c r="BQ254" s="21"/>
      <c r="BR254" s="21"/>
      <c r="BS254" s="21"/>
      <c r="BT254" s="21"/>
      <c r="BU254" s="21"/>
      <c r="BZ254" s="9"/>
      <c r="CA254" s="21"/>
      <c r="CB254" s="21"/>
      <c r="CC254" s="21"/>
      <c r="CD254" s="21"/>
      <c r="CE254" s="21"/>
      <c r="CH254" s="9"/>
      <c r="CI254" s="21"/>
      <c r="CJ254" s="21"/>
      <c r="CK254" s="21"/>
      <c r="CL254" s="21"/>
      <c r="CM254" s="21"/>
      <c r="CR254" s="9"/>
      <c r="CS254" s="21"/>
      <c r="CT254" s="21"/>
      <c r="CU254" s="21"/>
      <c r="CV254" s="21"/>
      <c r="CW254" s="21"/>
      <c r="CZ254" s="9"/>
      <c r="DA254" s="21"/>
      <c r="DB254" s="21"/>
      <c r="DC254" s="21"/>
      <c r="DD254" s="21"/>
      <c r="DE254" s="21"/>
      <c r="DJ254" s="9"/>
      <c r="DK254" s="21"/>
      <c r="DL254" s="21"/>
      <c r="DM254" s="21"/>
      <c r="DN254" s="21"/>
      <c r="DO254" s="21"/>
      <c r="EB254" s="9"/>
      <c r="EC254" s="21"/>
      <c r="ED254" s="21"/>
      <c r="EE254" s="21"/>
      <c r="EF254" s="21"/>
      <c r="EG254" s="21"/>
      <c r="ET254" s="21"/>
      <c r="EU254" s="21"/>
      <c r="EV254" s="21"/>
      <c r="EW254" s="21"/>
      <c r="EX254" s="21"/>
    </row>
    <row r="255" spans="6:162" x14ac:dyDescent="0.25">
      <c r="F255" s="9"/>
      <c r="G255" s="21">
        <v>-3.3721899999999999E-2</v>
      </c>
      <c r="H255" s="21">
        <v>7.48271</v>
      </c>
      <c r="I255" s="24">
        <v>-7.2631800000000005E-5</v>
      </c>
      <c r="J255" s="21">
        <v>245</v>
      </c>
      <c r="K255" s="21">
        <v>-3.39905E-2</v>
      </c>
      <c r="L255">
        <f t="shared" si="36"/>
        <v>8.9668888888888881E-2</v>
      </c>
      <c r="M255">
        <f t="shared" si="37"/>
        <v>-3.0238053042222217E-3</v>
      </c>
      <c r="N255" s="9"/>
      <c r="O255" s="21">
        <v>1.1337299999999999</v>
      </c>
      <c r="P255" s="21">
        <v>10.1035</v>
      </c>
      <c r="Q255" s="24">
        <v>-1.0833699999999999E-5</v>
      </c>
      <c r="R255" s="21">
        <v>245</v>
      </c>
      <c r="S255" s="21">
        <v>1.1325099999999999</v>
      </c>
      <c r="T255">
        <f t="shared" si="38"/>
        <v>1.3374938271604936E-2</v>
      </c>
      <c r="U255">
        <f t="shared" si="39"/>
        <v>1.5163568766666663E-2</v>
      </c>
      <c r="X255" s="9"/>
      <c r="Y255" s="21">
        <v>-3.3721899999999999E-2</v>
      </c>
      <c r="Z255" s="21">
        <v>14.463900000000001</v>
      </c>
      <c r="AA255" s="24">
        <v>-6.8817099999999995E-5</v>
      </c>
      <c r="AB255" s="21">
        <v>245</v>
      </c>
      <c r="AC255" s="21">
        <v>-3.4030199999999997E-2</v>
      </c>
      <c r="AD255">
        <f t="shared" si="40"/>
        <v>8.4959382716049373E-2</v>
      </c>
      <c r="AE255">
        <f t="shared" si="41"/>
        <v>-2.8649918080123453E-3</v>
      </c>
      <c r="AF255" s="9"/>
      <c r="AG255" s="21">
        <v>1.1337299999999999</v>
      </c>
      <c r="AH255" s="21">
        <v>17.084599999999998</v>
      </c>
      <c r="AI255" s="24">
        <v>-1.01318E-5</v>
      </c>
      <c r="AJ255" s="21">
        <v>245</v>
      </c>
      <c r="AK255" s="21">
        <v>1.1331199999999999</v>
      </c>
      <c r="AL255">
        <f t="shared" si="42"/>
        <v>1.2508395061728395E-2</v>
      </c>
      <c r="AM255">
        <f t="shared" si="43"/>
        <v>1.4181142733333332E-2</v>
      </c>
      <c r="AP255" s="9"/>
      <c r="AQ255" s="21">
        <v>-3.3721899999999999E-2</v>
      </c>
      <c r="AR255" s="21">
        <v>21.3871</v>
      </c>
      <c r="AS255" s="24">
        <v>-6.6162100000000001E-5</v>
      </c>
      <c r="AT255" s="21">
        <v>245</v>
      </c>
      <c r="AU255" s="21">
        <v>-3.4023999999999999E-2</v>
      </c>
      <c r="AV255">
        <f t="shared" si="44"/>
        <v>8.1681604938271604E-2</v>
      </c>
      <c r="AW255">
        <f t="shared" si="45"/>
        <v>-2.754458913567901E-3</v>
      </c>
      <c r="AX255" s="9"/>
      <c r="AY255" s="21">
        <v>1.1337299999999999</v>
      </c>
      <c r="AZ255" s="21">
        <v>24.0078</v>
      </c>
      <c r="BA255" s="24">
        <v>-1.13525E-5</v>
      </c>
      <c r="BB255" s="21">
        <v>245</v>
      </c>
      <c r="BC255" s="21">
        <v>1.1331199999999999</v>
      </c>
      <c r="BD255">
        <f t="shared" si="46"/>
        <v>1.4015432098765431E-2</v>
      </c>
      <c r="BE255">
        <f t="shared" si="47"/>
        <v>1.5889715833333332E-2</v>
      </c>
      <c r="BH255" s="9"/>
      <c r="BI255" s="21"/>
      <c r="BJ255" s="21"/>
      <c r="BK255" s="21"/>
      <c r="BL255" s="21"/>
      <c r="BM255" s="21"/>
      <c r="BP255" s="9"/>
      <c r="BQ255" s="21"/>
      <c r="BR255" s="21"/>
      <c r="BS255" s="21"/>
      <c r="BT255" s="21"/>
      <c r="BU255" s="21"/>
      <c r="BZ255" s="9"/>
      <c r="CA255" s="21"/>
      <c r="CB255" s="21"/>
      <c r="CC255" s="21"/>
      <c r="CD255" s="21"/>
      <c r="CE255" s="21"/>
      <c r="CH255" s="9"/>
      <c r="CI255" s="21"/>
      <c r="CJ255" s="21"/>
      <c r="CK255" s="21"/>
      <c r="CL255" s="21"/>
      <c r="CM255" s="21"/>
      <c r="CR255" s="9"/>
      <c r="CS255" s="21"/>
      <c r="CT255" s="21"/>
      <c r="CU255" s="21"/>
      <c r="CV255" s="21"/>
      <c r="CW255" s="21"/>
      <c r="CZ255" s="9"/>
      <c r="DA255" s="21"/>
      <c r="DB255" s="21"/>
      <c r="DC255" s="21"/>
      <c r="DD255" s="21"/>
      <c r="DE255" s="21"/>
    </row>
    <row r="256" spans="6:162" x14ac:dyDescent="0.25">
      <c r="F256" s="9"/>
      <c r="G256" s="21">
        <v>-3.8757300000000001E-2</v>
      </c>
      <c r="H256" s="21">
        <v>7.4927900000000003</v>
      </c>
      <c r="I256" s="24">
        <v>-7.2814900000000007E-5</v>
      </c>
      <c r="J256" s="21">
        <v>246</v>
      </c>
      <c r="K256" s="21">
        <v>-3.9050300000000003E-2</v>
      </c>
      <c r="L256">
        <f t="shared" si="36"/>
        <v>8.9894938271604941E-2</v>
      </c>
      <c r="M256">
        <f t="shared" si="37"/>
        <v>-3.4840850910740741E-3</v>
      </c>
      <c r="N256" s="9"/>
      <c r="O256" s="21">
        <v>1.13876</v>
      </c>
      <c r="P256" s="21">
        <v>10.1135</v>
      </c>
      <c r="Q256" s="24">
        <v>-9.91821E-6</v>
      </c>
      <c r="R256" s="21">
        <v>246</v>
      </c>
      <c r="S256" s="21">
        <v>1.1379999999999999</v>
      </c>
      <c r="T256">
        <f t="shared" si="38"/>
        <v>1.2244703703703704E-2</v>
      </c>
      <c r="U256">
        <f t="shared" si="39"/>
        <v>1.3943778789629629E-2</v>
      </c>
      <c r="X256" s="9"/>
      <c r="Y256" s="21">
        <v>-3.8757300000000001E-2</v>
      </c>
      <c r="Z256" s="21">
        <v>14.474</v>
      </c>
      <c r="AA256" s="24">
        <v>-6.9000199999999997E-5</v>
      </c>
      <c r="AB256" s="21">
        <v>246</v>
      </c>
      <c r="AC256" s="21">
        <v>-3.90625E-2</v>
      </c>
      <c r="AD256">
        <f t="shared" si="40"/>
        <v>8.5185432098765418E-2</v>
      </c>
      <c r="AE256">
        <f t="shared" si="41"/>
        <v>-3.3015573474814812E-3</v>
      </c>
      <c r="AF256" s="9"/>
      <c r="AG256" s="21">
        <v>1.13876</v>
      </c>
      <c r="AH256" s="21">
        <v>17.0947</v>
      </c>
      <c r="AI256" s="24">
        <v>-9.4299299999999997E-6</v>
      </c>
      <c r="AJ256" s="21">
        <v>246</v>
      </c>
      <c r="AK256" s="21">
        <v>1.1379999999999999</v>
      </c>
      <c r="AL256">
        <f t="shared" si="42"/>
        <v>1.1641888888888887E-2</v>
      </c>
      <c r="AM256">
        <f t="shared" si="43"/>
        <v>1.325731739111111E-2</v>
      </c>
      <c r="AP256" s="9"/>
      <c r="AQ256" s="21">
        <v>-3.8757300000000001E-2</v>
      </c>
      <c r="AR256" s="21">
        <v>21.397099999999998</v>
      </c>
      <c r="AS256" s="24">
        <v>-6.62231E-5</v>
      </c>
      <c r="AT256" s="21">
        <v>246</v>
      </c>
      <c r="AU256" s="21">
        <v>-3.9031999999999997E-2</v>
      </c>
      <c r="AV256">
        <f t="shared" si="44"/>
        <v>8.1756913580246907E-2</v>
      </c>
      <c r="AW256">
        <f t="shared" si="45"/>
        <v>-3.1686772267037035E-3</v>
      </c>
      <c r="AX256" s="9"/>
      <c r="AY256" s="21">
        <v>1.13876</v>
      </c>
      <c r="AZ256" s="21">
        <v>24.017900000000001</v>
      </c>
      <c r="BA256" s="24">
        <v>-1.0589599999999999E-5</v>
      </c>
      <c r="BB256" s="21">
        <v>246</v>
      </c>
      <c r="BC256" s="21">
        <v>1.1376999999999999</v>
      </c>
      <c r="BD256">
        <f t="shared" si="46"/>
        <v>1.3073580246913579E-2</v>
      </c>
      <c r="BE256">
        <f t="shared" si="47"/>
        <v>1.4887670241975308E-2</v>
      </c>
      <c r="BH256" s="9"/>
      <c r="BI256" s="21"/>
      <c r="BJ256" s="21"/>
      <c r="BK256" s="21"/>
      <c r="BL256" s="21"/>
      <c r="BM256" s="21"/>
      <c r="BP256" s="9"/>
      <c r="BQ256" s="21"/>
      <c r="BR256" s="21"/>
      <c r="BS256" s="21"/>
      <c r="BT256" s="21"/>
      <c r="BU256" s="21"/>
      <c r="BZ256" s="9"/>
      <c r="CA256" s="21"/>
      <c r="CB256" s="21"/>
      <c r="CC256" s="21"/>
      <c r="CD256" s="21"/>
      <c r="CE256" s="21"/>
      <c r="CH256" s="9"/>
      <c r="CI256" s="21"/>
      <c r="CJ256" s="21"/>
      <c r="CK256" s="21"/>
      <c r="CL256" s="21"/>
      <c r="CM256" s="21"/>
      <c r="CR256" s="9"/>
      <c r="CS256" s="21"/>
      <c r="CT256" s="21"/>
      <c r="CU256" s="21"/>
      <c r="CV256" s="21"/>
      <c r="CW256" s="21"/>
      <c r="CZ256" s="9"/>
      <c r="DA256" s="21"/>
      <c r="DB256" s="21"/>
      <c r="DC256" s="21"/>
      <c r="DD256" s="21"/>
      <c r="DE256" s="21"/>
    </row>
    <row r="257" spans="6:109" x14ac:dyDescent="0.25">
      <c r="F257" s="9"/>
      <c r="G257" s="21">
        <v>-4.3792699999999997E-2</v>
      </c>
      <c r="H257" s="21">
        <v>7.5028600000000001</v>
      </c>
      <c r="I257" s="24">
        <v>-7.2875999999999998E-5</v>
      </c>
      <c r="J257" s="21">
        <v>247</v>
      </c>
      <c r="K257" s="21">
        <v>-4.4113199999999998E-2</v>
      </c>
      <c r="L257">
        <f t="shared" si="36"/>
        <v>8.9970370370370367E-2</v>
      </c>
      <c r="M257">
        <f t="shared" si="37"/>
        <v>-3.940045438518518E-3</v>
      </c>
      <c r="N257" s="9"/>
      <c r="O257" s="21">
        <v>1.1437999999999999</v>
      </c>
      <c r="P257" s="21">
        <v>10.1236</v>
      </c>
      <c r="Q257" s="24">
        <v>-9.0942399999999995E-6</v>
      </c>
      <c r="R257" s="21">
        <v>247</v>
      </c>
      <c r="S257" s="21">
        <v>1.1422699999999999</v>
      </c>
      <c r="T257">
        <f t="shared" si="38"/>
        <v>1.1227456790123455E-2</v>
      </c>
      <c r="U257">
        <f t="shared" si="39"/>
        <v>1.2841965076543206E-2</v>
      </c>
      <c r="X257" s="9"/>
      <c r="Y257" s="21">
        <v>-4.3792699999999997E-2</v>
      </c>
      <c r="Z257" s="21">
        <v>14.484</v>
      </c>
      <c r="AA257" s="24">
        <v>-6.9183299999999999E-5</v>
      </c>
      <c r="AB257" s="21">
        <v>247</v>
      </c>
      <c r="AC257" s="21">
        <v>-4.4101000000000001E-2</v>
      </c>
      <c r="AD257">
        <f t="shared" si="40"/>
        <v>8.5411481481481477E-2</v>
      </c>
      <c r="AE257">
        <f t="shared" si="41"/>
        <v>-3.7403993850740735E-3</v>
      </c>
      <c r="AF257" s="9"/>
      <c r="AG257" s="21">
        <v>1.1437999999999999</v>
      </c>
      <c r="AH257" s="21">
        <v>17.104800000000001</v>
      </c>
      <c r="AI257" s="24">
        <v>-8.6059599999999992E-6</v>
      </c>
      <c r="AJ257" s="21">
        <v>247</v>
      </c>
      <c r="AK257" s="21">
        <v>1.1434899999999999</v>
      </c>
      <c r="AL257">
        <f t="shared" si="42"/>
        <v>1.062464197530864E-2</v>
      </c>
      <c r="AM257">
        <f t="shared" si="43"/>
        <v>1.2152465491358021E-2</v>
      </c>
      <c r="AP257" s="9"/>
      <c r="AQ257" s="21">
        <v>-4.3792699999999997E-2</v>
      </c>
      <c r="AR257" s="21">
        <v>21.4072</v>
      </c>
      <c r="AS257" s="24">
        <v>-6.62231E-5</v>
      </c>
      <c r="AT257" s="21">
        <v>247</v>
      </c>
      <c r="AU257" s="21">
        <v>-4.4116200000000001E-2</v>
      </c>
      <c r="AV257">
        <f t="shared" si="44"/>
        <v>8.1756913580246907E-2</v>
      </c>
      <c r="AW257">
        <f t="shared" si="45"/>
        <v>-3.5803559893456786E-3</v>
      </c>
      <c r="AX257" s="9"/>
      <c r="AY257" s="21">
        <v>1.1437999999999999</v>
      </c>
      <c r="AZ257" s="21">
        <v>24.027999999999999</v>
      </c>
      <c r="BA257" s="24">
        <v>-9.73511E-6</v>
      </c>
      <c r="BB257" s="21">
        <v>247</v>
      </c>
      <c r="BC257" s="21">
        <v>1.1428799999999999</v>
      </c>
      <c r="BD257">
        <f t="shared" si="46"/>
        <v>1.2018654320987653E-2</v>
      </c>
      <c r="BE257">
        <f t="shared" si="47"/>
        <v>1.3746936812345676E-2</v>
      </c>
      <c r="BH257" s="9"/>
      <c r="BI257" s="21"/>
      <c r="BJ257" s="21"/>
      <c r="BK257" s="21"/>
      <c r="BL257" s="21"/>
      <c r="BM257" s="21"/>
      <c r="BP257" s="9"/>
      <c r="BQ257" s="21"/>
      <c r="BR257" s="21"/>
      <c r="BS257" s="21"/>
      <c r="BT257" s="21"/>
      <c r="BU257" s="21"/>
      <c r="BZ257" s="9"/>
      <c r="CA257" s="21"/>
      <c r="CB257" s="21"/>
      <c r="CC257" s="21"/>
      <c r="CD257" s="21"/>
      <c r="CE257" s="21"/>
      <c r="CH257" s="9"/>
      <c r="CI257" s="21"/>
      <c r="CJ257" s="21"/>
      <c r="CK257" s="21"/>
      <c r="CL257" s="21"/>
      <c r="CM257" s="21"/>
      <c r="CR257" s="9"/>
      <c r="CS257" s="21"/>
      <c r="CT257" s="21"/>
      <c r="CU257" s="21"/>
      <c r="CV257" s="21"/>
      <c r="CW257" s="21"/>
      <c r="CZ257" s="9"/>
      <c r="DA257" s="21"/>
      <c r="DB257" s="21"/>
      <c r="DC257" s="21"/>
      <c r="DD257" s="21"/>
      <c r="DE257" s="21"/>
    </row>
    <row r="258" spans="6:109" x14ac:dyDescent="0.25">
      <c r="F258" s="9"/>
      <c r="G258" s="21">
        <v>-4.8828099999999999E-2</v>
      </c>
      <c r="H258" s="21">
        <v>7.5129299999999999</v>
      </c>
      <c r="I258" s="24">
        <v>-7.3089600000000006E-5</v>
      </c>
      <c r="J258" s="21">
        <v>248</v>
      </c>
      <c r="K258" s="21">
        <v>-4.9175999999999997E-2</v>
      </c>
      <c r="L258">
        <f t="shared" si="36"/>
        <v>9.0234074074074078E-2</v>
      </c>
      <c r="M258">
        <f t="shared" si="37"/>
        <v>-4.4059583922962968E-3</v>
      </c>
      <c r="N258" s="9"/>
      <c r="O258" s="21">
        <v>1.14883</v>
      </c>
      <c r="P258" s="21">
        <v>10.133699999999999</v>
      </c>
      <c r="Q258" s="24">
        <v>-7.9040499999999993E-6</v>
      </c>
      <c r="R258" s="21">
        <v>248</v>
      </c>
      <c r="S258" s="21">
        <v>1.14777</v>
      </c>
      <c r="T258">
        <f t="shared" si="38"/>
        <v>9.7580864197530856E-3</v>
      </c>
      <c r="U258">
        <f t="shared" si="39"/>
        <v>1.1210382421604938E-2</v>
      </c>
      <c r="X258" s="9"/>
      <c r="Y258" s="21">
        <v>-4.8828099999999999E-2</v>
      </c>
      <c r="Z258" s="21">
        <v>14.4941</v>
      </c>
      <c r="AA258" s="24">
        <v>-6.9244400000000004E-5</v>
      </c>
      <c r="AB258" s="21">
        <v>248</v>
      </c>
      <c r="AC258" s="21">
        <v>-4.9157699999999999E-2</v>
      </c>
      <c r="AD258">
        <f t="shared" si="40"/>
        <v>8.5486913580246904E-2</v>
      </c>
      <c r="AE258">
        <f t="shared" si="41"/>
        <v>-4.1741635649876537E-3</v>
      </c>
      <c r="AF258" s="9"/>
      <c r="AG258" s="21">
        <v>1.14883</v>
      </c>
      <c r="AH258" s="21">
        <v>17.114799999999999</v>
      </c>
      <c r="AI258" s="24">
        <v>-7.8125000000000002E-6</v>
      </c>
      <c r="AJ258" s="21">
        <v>248</v>
      </c>
      <c r="AK258" s="21">
        <v>1.1480699999999999</v>
      </c>
      <c r="AL258">
        <f t="shared" si="42"/>
        <v>9.6450617283950612E-3</v>
      </c>
      <c r="AM258">
        <f t="shared" si="43"/>
        <v>1.1080536265432098E-2</v>
      </c>
      <c r="AP258" s="9"/>
      <c r="AQ258" s="21">
        <v>-4.8828099999999999E-2</v>
      </c>
      <c r="AR258" s="21">
        <v>21.417300000000001</v>
      </c>
      <c r="AS258" s="24">
        <v>-6.6467300000000006E-5</v>
      </c>
      <c r="AT258" s="21">
        <v>248</v>
      </c>
      <c r="AU258" s="21">
        <v>-4.91394E-2</v>
      </c>
      <c r="AV258">
        <f t="shared" si="44"/>
        <v>8.2058395061728406E-2</v>
      </c>
      <c r="AW258">
        <f t="shared" si="45"/>
        <v>-4.0067555199135808E-3</v>
      </c>
      <c r="AX258" s="9"/>
      <c r="AY258" s="21">
        <v>1.14883</v>
      </c>
      <c r="AZ258" s="21">
        <v>24.038</v>
      </c>
      <c r="BA258" s="24">
        <v>-8.9111300000000005E-6</v>
      </c>
      <c r="BB258" s="21">
        <v>248</v>
      </c>
      <c r="BC258" s="21">
        <v>1.14838</v>
      </c>
      <c r="BD258">
        <f t="shared" si="46"/>
        <v>1.1001395061728394E-2</v>
      </c>
      <c r="BE258">
        <f t="shared" si="47"/>
        <v>1.2638732688765432E-2</v>
      </c>
      <c r="BH258" s="9"/>
      <c r="BI258" s="21"/>
      <c r="BJ258" s="21"/>
      <c r="BK258" s="21"/>
      <c r="BL258" s="21"/>
      <c r="BM258" s="21"/>
      <c r="BP258" s="9"/>
      <c r="BQ258" s="21"/>
      <c r="BR258" s="21"/>
      <c r="BS258" s="21"/>
      <c r="BT258" s="21"/>
      <c r="BU258" s="21"/>
      <c r="BZ258" s="9"/>
      <c r="CA258" s="21"/>
      <c r="CB258" s="21"/>
      <c r="CC258" s="21"/>
      <c r="CD258" s="21"/>
      <c r="CE258" s="21"/>
      <c r="CH258" s="9"/>
      <c r="CI258" s="21"/>
      <c r="CJ258" s="21"/>
      <c r="CK258" s="21"/>
      <c r="CL258" s="21"/>
      <c r="CM258" s="21"/>
      <c r="CR258" s="9"/>
      <c r="CS258" s="21"/>
      <c r="CT258" s="21"/>
      <c r="CU258" s="21"/>
      <c r="CV258" s="21"/>
      <c r="CW258" s="21"/>
      <c r="CZ258" s="9"/>
      <c r="DA258" s="21"/>
      <c r="DB258" s="21"/>
      <c r="DC258" s="21"/>
      <c r="DD258" s="21"/>
      <c r="DE258" s="21"/>
    </row>
    <row r="259" spans="6:109" x14ac:dyDescent="0.25">
      <c r="F259" s="9"/>
      <c r="G259" s="21">
        <v>-5.3863500000000002E-2</v>
      </c>
      <c r="H259" s="21">
        <v>7.5229999999999997</v>
      </c>
      <c r="I259" s="24">
        <v>-7.3272699999999994E-5</v>
      </c>
      <c r="J259" s="21">
        <v>249</v>
      </c>
      <c r="K259" s="21">
        <v>-5.4077100000000003E-2</v>
      </c>
      <c r="L259">
        <f t="shared" si="36"/>
        <v>9.0460123456790109E-2</v>
      </c>
      <c r="M259">
        <f t="shared" si="37"/>
        <v>-4.8724988598148142E-3</v>
      </c>
      <c r="N259" s="9"/>
      <c r="O259" s="21">
        <v>1.15387</v>
      </c>
      <c r="P259" s="21">
        <v>10.143700000000001</v>
      </c>
      <c r="Q259" s="24">
        <v>-6.86646E-6</v>
      </c>
      <c r="R259" s="21">
        <v>249</v>
      </c>
      <c r="S259" s="21">
        <v>1.1523399999999999</v>
      </c>
      <c r="T259">
        <f t="shared" si="38"/>
        <v>8.4771111111111106E-3</v>
      </c>
      <c r="U259">
        <f t="shared" si="39"/>
        <v>9.7814841977777768E-3</v>
      </c>
      <c r="X259" s="9"/>
      <c r="Y259" s="21">
        <v>-5.3863500000000002E-2</v>
      </c>
      <c r="Z259" s="21">
        <v>14.504200000000001</v>
      </c>
      <c r="AA259" s="24">
        <v>-6.9397E-5</v>
      </c>
      <c r="AB259" s="21">
        <v>249</v>
      </c>
      <c r="AC259" s="21">
        <v>-5.4107700000000002E-2</v>
      </c>
      <c r="AD259">
        <f t="shared" si="40"/>
        <v>8.5675308641975312E-2</v>
      </c>
      <c r="AE259">
        <f t="shared" si="41"/>
        <v>-4.6147719870370373E-3</v>
      </c>
      <c r="AF259" s="9"/>
      <c r="AG259" s="21">
        <v>1.15387</v>
      </c>
      <c r="AH259" s="21">
        <v>17.1249</v>
      </c>
      <c r="AI259" s="24">
        <v>-7.2326699999999998E-6</v>
      </c>
      <c r="AJ259" s="21">
        <v>249</v>
      </c>
      <c r="AK259" s="21">
        <v>1.1523399999999999</v>
      </c>
      <c r="AL259">
        <f t="shared" si="42"/>
        <v>8.9292222222222221E-3</v>
      </c>
      <c r="AM259">
        <f t="shared" si="43"/>
        <v>1.0303161645555555E-2</v>
      </c>
      <c r="AP259" s="9"/>
      <c r="AQ259" s="21">
        <v>-5.3863500000000002E-2</v>
      </c>
      <c r="AR259" s="21">
        <v>21.427399999999999</v>
      </c>
      <c r="AS259" s="24">
        <v>-6.6619900000000002E-5</v>
      </c>
      <c r="AT259" s="21">
        <v>249</v>
      </c>
      <c r="AU259" s="21">
        <v>-5.4077100000000003E-2</v>
      </c>
      <c r="AV259">
        <f t="shared" si="44"/>
        <v>8.2246790123456787E-2</v>
      </c>
      <c r="AW259">
        <f t="shared" si="45"/>
        <v>-4.4300999798148151E-3</v>
      </c>
      <c r="AX259" s="9"/>
      <c r="AY259" s="21">
        <v>1.15387</v>
      </c>
      <c r="AZ259" s="21">
        <v>24.048100000000002</v>
      </c>
      <c r="BA259" s="24">
        <v>-8.1481900000000003E-6</v>
      </c>
      <c r="BB259" s="21">
        <v>249</v>
      </c>
      <c r="BC259" s="21">
        <v>1.1529499999999999</v>
      </c>
      <c r="BD259">
        <f t="shared" si="46"/>
        <v>1.0059493827160494E-2</v>
      </c>
      <c r="BE259">
        <f t="shared" si="47"/>
        <v>1.1607348142345679E-2</v>
      </c>
      <c r="BH259" s="9"/>
      <c r="BI259" s="21"/>
      <c r="BJ259" s="21"/>
      <c r="BK259" s="21"/>
      <c r="BL259" s="21"/>
      <c r="BM259" s="21"/>
      <c r="BP259" s="9"/>
      <c r="BQ259" s="21"/>
      <c r="BR259" s="21"/>
      <c r="BS259" s="24"/>
      <c r="BT259" s="21"/>
      <c r="BU259" s="21"/>
      <c r="BZ259" s="9"/>
      <c r="CA259" s="21"/>
      <c r="CB259" s="21"/>
      <c r="CC259" s="21"/>
      <c r="CD259" s="21"/>
      <c r="CE259" s="21"/>
      <c r="CH259" s="9"/>
      <c r="CI259" s="21"/>
      <c r="CJ259" s="21"/>
      <c r="CK259" s="24"/>
      <c r="CL259" s="21"/>
      <c r="CM259" s="21"/>
      <c r="CR259" s="9"/>
      <c r="CS259" s="21"/>
      <c r="CT259" s="21"/>
      <c r="CU259" s="21"/>
      <c r="CV259" s="21"/>
      <c r="CW259" s="21"/>
      <c r="CZ259" s="9"/>
      <c r="DA259" s="21"/>
      <c r="DB259" s="21"/>
      <c r="DC259" s="24"/>
      <c r="DD259" s="21"/>
      <c r="DE259" s="21"/>
    </row>
    <row r="260" spans="6:109" x14ac:dyDescent="0.25">
      <c r="F260" s="9"/>
      <c r="G260" s="21">
        <v>-5.8898899999999997E-2</v>
      </c>
      <c r="H260" s="21">
        <v>7.5330700000000004</v>
      </c>
      <c r="I260" s="24">
        <v>-7.3333700000000006E-5</v>
      </c>
      <c r="J260" s="21">
        <v>250</v>
      </c>
      <c r="K260" s="21">
        <v>-5.9143099999999997E-2</v>
      </c>
      <c r="L260">
        <f t="shared" si="36"/>
        <v>9.0535432098765425E-2</v>
      </c>
      <c r="M260">
        <f t="shared" si="37"/>
        <v>-5.3324373616419748E-3</v>
      </c>
      <c r="N260" s="9"/>
      <c r="O260" s="21">
        <v>1.1589100000000001</v>
      </c>
      <c r="P260" s="21">
        <v>10.1538</v>
      </c>
      <c r="Q260" s="24">
        <v>-5.7373000000000001E-6</v>
      </c>
      <c r="R260" s="21">
        <v>250</v>
      </c>
      <c r="S260" s="21">
        <v>1.15784</v>
      </c>
      <c r="T260">
        <f t="shared" si="38"/>
        <v>7.0830864197530862E-3</v>
      </c>
      <c r="U260">
        <f t="shared" si="39"/>
        <v>8.2086596827160505E-3</v>
      </c>
      <c r="X260" s="9"/>
      <c r="Y260" s="21">
        <v>-5.8898899999999997E-2</v>
      </c>
      <c r="Z260" s="21">
        <v>14.514200000000001</v>
      </c>
      <c r="AA260" s="24">
        <v>-6.9518999999999996E-5</v>
      </c>
      <c r="AB260" s="21">
        <v>250</v>
      </c>
      <c r="AC260" s="21">
        <v>-5.91736E-2</v>
      </c>
      <c r="AD260">
        <f t="shared" si="40"/>
        <v>8.5825925925925917E-2</v>
      </c>
      <c r="AE260">
        <f t="shared" si="41"/>
        <v>-5.0550526285185176E-3</v>
      </c>
      <c r="AF260" s="9"/>
      <c r="AG260" s="21">
        <v>1.1589100000000001</v>
      </c>
      <c r="AH260" s="21">
        <v>17.135000000000002</v>
      </c>
      <c r="AI260" s="24">
        <v>-6.2866199999999998E-6</v>
      </c>
      <c r="AJ260" s="21">
        <v>250</v>
      </c>
      <c r="AK260" s="21">
        <v>1.1581399999999999</v>
      </c>
      <c r="AL260">
        <f t="shared" si="42"/>
        <v>7.7612592592592594E-3</v>
      </c>
      <c r="AM260">
        <f t="shared" si="43"/>
        <v>8.9946009681481486E-3</v>
      </c>
      <c r="AP260" s="9"/>
      <c r="AQ260" s="21">
        <v>-5.8898899999999997E-2</v>
      </c>
      <c r="AR260" s="21">
        <v>21.4374</v>
      </c>
      <c r="AS260" s="24">
        <v>-6.6680900000000001E-5</v>
      </c>
      <c r="AT260" s="21">
        <v>250</v>
      </c>
      <c r="AU260" s="21">
        <v>-5.9143099999999997E-2</v>
      </c>
      <c r="AV260">
        <f t="shared" si="44"/>
        <v>8.2322098765432103E-2</v>
      </c>
      <c r="AW260">
        <f t="shared" si="45"/>
        <v>-4.8486810629753086E-3</v>
      </c>
      <c r="AX260" s="9"/>
      <c r="AY260" s="21">
        <v>1.1589100000000001</v>
      </c>
      <c r="AZ260" s="21">
        <v>24.058199999999999</v>
      </c>
      <c r="BA260" s="24">
        <v>-7.3242199999999998E-6</v>
      </c>
      <c r="BB260" s="21">
        <v>250</v>
      </c>
      <c r="BC260" s="21">
        <v>1.1587499999999999</v>
      </c>
      <c r="BD260">
        <f t="shared" si="46"/>
        <v>9.0422469135802448E-3</v>
      </c>
      <c r="BE260">
        <f t="shared" si="47"/>
        <v>1.0479150370617283E-2</v>
      </c>
      <c r="BH260" s="9"/>
      <c r="BI260" s="21"/>
      <c r="BJ260" s="21"/>
      <c r="BK260" s="21"/>
      <c r="BL260" s="21"/>
      <c r="BM260" s="21"/>
      <c r="BZ260" s="9"/>
      <c r="CA260" s="21"/>
      <c r="CB260" s="21"/>
      <c r="CC260" s="21"/>
      <c r="CD260" s="21"/>
      <c r="CE260" s="21"/>
      <c r="CR260" s="9"/>
      <c r="CS260" s="21"/>
      <c r="CT260" s="21"/>
      <c r="CU260" s="21"/>
      <c r="CV260" s="21"/>
      <c r="CW260" s="21"/>
    </row>
    <row r="261" spans="6:109" x14ac:dyDescent="0.25">
      <c r="F261" s="9"/>
      <c r="G261" s="21">
        <v>-6.3934299999999999E-2</v>
      </c>
      <c r="H261" s="21">
        <v>7.5431400000000002</v>
      </c>
      <c r="I261" s="24">
        <v>-7.3486300000000001E-5</v>
      </c>
      <c r="J261" s="21">
        <v>251</v>
      </c>
      <c r="K261" s="21">
        <v>-6.4117400000000005E-2</v>
      </c>
      <c r="L261">
        <f t="shared" si="36"/>
        <v>9.072382716049382E-2</v>
      </c>
      <c r="M261">
        <f t="shared" si="37"/>
        <v>-5.8003643828271603E-3</v>
      </c>
      <c r="N261" s="9"/>
      <c r="O261" s="21">
        <v>1.16394</v>
      </c>
      <c r="P261" s="21">
        <v>10.1639</v>
      </c>
      <c r="Q261" s="24">
        <v>-4.7607400000000003E-6</v>
      </c>
      <c r="R261" s="21">
        <v>251</v>
      </c>
      <c r="S261" s="21">
        <v>1.16333</v>
      </c>
      <c r="T261">
        <f t="shared" si="38"/>
        <v>5.8774567901234568E-3</v>
      </c>
      <c r="U261">
        <f t="shared" si="39"/>
        <v>6.8410070562962963E-3</v>
      </c>
      <c r="X261" s="9"/>
      <c r="Y261" s="21">
        <v>-6.3934299999999999E-2</v>
      </c>
      <c r="Z261" s="21">
        <v>14.5243</v>
      </c>
      <c r="AA261" s="24">
        <v>-6.9610599999999994E-5</v>
      </c>
      <c r="AB261" s="21">
        <v>251</v>
      </c>
      <c r="AC261" s="21">
        <v>-6.4147899999999994E-2</v>
      </c>
      <c r="AD261">
        <f t="shared" si="40"/>
        <v>8.5939012345678994E-2</v>
      </c>
      <c r="AE261">
        <f t="shared" si="41"/>
        <v>-5.4944505970123446E-3</v>
      </c>
      <c r="AF261" s="9"/>
      <c r="AG261" s="21">
        <v>1.16394</v>
      </c>
      <c r="AH261" s="21">
        <v>17.145099999999999</v>
      </c>
      <c r="AI261" s="24">
        <v>-5.2185099999999999E-6</v>
      </c>
      <c r="AJ261" s="21">
        <v>251</v>
      </c>
      <c r="AK261" s="21">
        <v>1.16333</v>
      </c>
      <c r="AL261">
        <f t="shared" si="42"/>
        <v>6.4426049382716047E-3</v>
      </c>
      <c r="AM261">
        <f t="shared" si="43"/>
        <v>7.4988055918518513E-3</v>
      </c>
      <c r="AP261" s="9"/>
      <c r="AQ261" s="21">
        <v>-6.3934299999999999E-2</v>
      </c>
      <c r="AR261" s="21">
        <v>21.447500000000002</v>
      </c>
      <c r="AS261" s="24">
        <v>-6.6803000000000004E-5</v>
      </c>
      <c r="AT261" s="21">
        <v>251</v>
      </c>
      <c r="AU261" s="21">
        <v>-6.4147899999999994E-2</v>
      </c>
      <c r="AV261">
        <f t="shared" si="44"/>
        <v>8.2472839506172832E-2</v>
      </c>
      <c r="AW261">
        <f t="shared" si="45"/>
        <v>-5.2728432628395055E-3</v>
      </c>
      <c r="AX261" s="9"/>
      <c r="AY261" s="21">
        <v>1.16394</v>
      </c>
      <c r="AZ261" s="21">
        <v>24.068200000000001</v>
      </c>
      <c r="BA261" s="24">
        <v>-6.62231E-6</v>
      </c>
      <c r="BB261" s="21">
        <v>251</v>
      </c>
      <c r="BC261" s="21">
        <v>1.16272</v>
      </c>
      <c r="BD261">
        <f t="shared" si="46"/>
        <v>8.175691358024692E-3</v>
      </c>
      <c r="BE261">
        <f t="shared" si="47"/>
        <v>9.5160141992592599E-3</v>
      </c>
      <c r="BH261" s="9"/>
      <c r="BI261" s="21"/>
      <c r="BJ261" s="21"/>
      <c r="BK261" s="21"/>
      <c r="BL261" s="21"/>
      <c r="BM261" s="21"/>
      <c r="BZ261" s="9"/>
      <c r="CA261" s="21"/>
      <c r="CB261" s="21"/>
      <c r="CC261" s="21"/>
      <c r="CD261" s="21"/>
      <c r="CE261" s="21"/>
      <c r="CR261" s="9"/>
      <c r="CS261" s="21"/>
      <c r="CT261" s="21"/>
      <c r="CU261" s="21"/>
      <c r="CV261" s="21"/>
      <c r="CW261" s="21"/>
    </row>
    <row r="262" spans="6:109" x14ac:dyDescent="0.25">
      <c r="F262" s="9"/>
      <c r="G262" s="21">
        <v>-6.8969699999999995E-2</v>
      </c>
      <c r="H262" s="21">
        <v>7.55321</v>
      </c>
      <c r="I262" s="24">
        <v>-7.3669400000000003E-5</v>
      </c>
      <c r="J262" s="21">
        <v>252</v>
      </c>
      <c r="K262" s="21">
        <v>-6.9183300000000003E-2</v>
      </c>
      <c r="L262">
        <f t="shared" si="36"/>
        <v>9.0949876543209865E-2</v>
      </c>
      <c r="M262">
        <f t="shared" si="37"/>
        <v>-6.2727857002222208E-3</v>
      </c>
      <c r="N262" s="9"/>
      <c r="O262" s="21">
        <v>1.1689799999999999</v>
      </c>
      <c r="P262" s="21">
        <v>10.173999999999999</v>
      </c>
      <c r="Q262" s="24">
        <v>-3.5400399999999998E-6</v>
      </c>
      <c r="R262" s="21">
        <v>252</v>
      </c>
      <c r="S262" s="21">
        <v>1.16821</v>
      </c>
      <c r="T262">
        <f t="shared" si="38"/>
        <v>4.3704197530864191E-3</v>
      </c>
      <c r="U262">
        <f t="shared" si="39"/>
        <v>5.1089332829629616E-3</v>
      </c>
      <c r="X262" s="9"/>
      <c r="Y262" s="21">
        <v>-6.8969699999999995E-2</v>
      </c>
      <c r="Z262" s="21">
        <v>14.5344</v>
      </c>
      <c r="AA262" s="24">
        <v>-6.9702099999999998E-5</v>
      </c>
      <c r="AB262" s="21">
        <v>252</v>
      </c>
      <c r="AC262" s="21">
        <v>-6.9244399999999998E-2</v>
      </c>
      <c r="AD262">
        <f t="shared" si="40"/>
        <v>8.6051975308641962E-2</v>
      </c>
      <c r="AE262">
        <f t="shared" si="41"/>
        <v>-5.9349789214444429E-3</v>
      </c>
      <c r="AF262" s="9"/>
      <c r="AG262" s="21">
        <v>1.1689799999999999</v>
      </c>
      <c r="AH262" s="21">
        <v>17.155100000000001</v>
      </c>
      <c r="AI262" s="24">
        <v>-4.1809099999999999E-6</v>
      </c>
      <c r="AJ262" s="21">
        <v>252</v>
      </c>
      <c r="AK262" s="21">
        <v>1.16852</v>
      </c>
      <c r="AL262">
        <f t="shared" si="42"/>
        <v>5.1616172839506168E-3</v>
      </c>
      <c r="AM262">
        <f t="shared" si="43"/>
        <v>6.0338273725925916E-3</v>
      </c>
      <c r="AP262" s="9"/>
      <c r="AQ262" s="21">
        <v>-6.8969699999999995E-2</v>
      </c>
      <c r="AR262" s="21">
        <v>21.457599999999999</v>
      </c>
      <c r="AS262" s="24">
        <v>-6.6833499999999996E-5</v>
      </c>
      <c r="AT262" s="21">
        <v>252</v>
      </c>
      <c r="AU262" s="21">
        <v>-6.9183300000000003E-2</v>
      </c>
      <c r="AV262">
        <f t="shared" si="44"/>
        <v>8.2510493827160483E-2</v>
      </c>
      <c r="AW262">
        <f t="shared" si="45"/>
        <v>-5.6907240061111102E-3</v>
      </c>
      <c r="AX262" s="9"/>
      <c r="AY262" s="21">
        <v>1.1689799999999999</v>
      </c>
      <c r="AZ262" s="21">
        <v>24.078299999999999</v>
      </c>
      <c r="BA262" s="24">
        <v>-5.6152299999999996E-6</v>
      </c>
      <c r="BB262" s="21">
        <v>252</v>
      </c>
      <c r="BC262" s="21">
        <v>1.16791</v>
      </c>
      <c r="BD262">
        <f t="shared" si="46"/>
        <v>6.9323827160493812E-3</v>
      </c>
      <c r="BE262">
        <f t="shared" si="47"/>
        <v>8.1038167474074049E-3</v>
      </c>
      <c r="BH262" s="9"/>
      <c r="BI262" s="21"/>
      <c r="BJ262" s="21"/>
      <c r="BK262" s="21"/>
      <c r="BL262" s="21"/>
      <c r="BM262" s="21"/>
      <c r="BZ262" s="9"/>
      <c r="CA262" s="21"/>
      <c r="CB262" s="21"/>
      <c r="CC262" s="21"/>
      <c r="CD262" s="21"/>
      <c r="CE262" s="21"/>
      <c r="CR262" s="9"/>
      <c r="CS262" s="21"/>
      <c r="CT262" s="21"/>
      <c r="CU262" s="21"/>
      <c r="CV262" s="21"/>
      <c r="CW262" s="21"/>
    </row>
    <row r="263" spans="6:109" x14ac:dyDescent="0.25">
      <c r="F263" s="9"/>
      <c r="G263" s="21">
        <v>-7.4005100000000004E-2</v>
      </c>
      <c r="H263" s="21">
        <v>7.5632799999999998</v>
      </c>
      <c r="I263" s="24">
        <v>-7.3730499999999995E-5</v>
      </c>
      <c r="J263" s="21">
        <v>253</v>
      </c>
      <c r="K263" s="21">
        <v>-7.4249300000000004E-2</v>
      </c>
      <c r="L263">
        <f t="shared" si="36"/>
        <v>9.1025308641975305E-2</v>
      </c>
      <c r="M263">
        <f t="shared" si="37"/>
        <v>-6.7363370685802467E-3</v>
      </c>
      <c r="N263" s="9"/>
      <c r="O263" s="21">
        <v>1.17401</v>
      </c>
      <c r="P263" s="21">
        <v>10.183999999999999</v>
      </c>
      <c r="Q263" s="24">
        <v>-2.5939899999999998E-6</v>
      </c>
      <c r="R263" s="21">
        <v>253</v>
      </c>
      <c r="S263" s="21">
        <v>1.17371</v>
      </c>
      <c r="T263">
        <f t="shared" si="38"/>
        <v>3.2024567901234565E-3</v>
      </c>
      <c r="U263">
        <f t="shared" si="39"/>
        <v>3.759716296172839E-3</v>
      </c>
      <c r="X263" s="9"/>
      <c r="Y263" s="21">
        <v>-7.4005100000000004E-2</v>
      </c>
      <c r="Z263" s="21">
        <v>14.544499999999999</v>
      </c>
      <c r="AA263" s="24">
        <v>-6.9702099999999998E-5</v>
      </c>
      <c r="AB263" s="21">
        <v>253</v>
      </c>
      <c r="AC263" s="21">
        <v>-7.4218800000000001E-2</v>
      </c>
      <c r="AD263">
        <f t="shared" si="40"/>
        <v>8.6051975308641962E-2</v>
      </c>
      <c r="AE263">
        <f t="shared" si="41"/>
        <v>-6.3682850379135798E-3</v>
      </c>
      <c r="AF263" s="9"/>
      <c r="AG263" s="21">
        <v>1.17401</v>
      </c>
      <c r="AH263" s="21">
        <v>17.165199999999999</v>
      </c>
      <c r="AI263" s="24">
        <v>-3.1433099999999999E-6</v>
      </c>
      <c r="AJ263" s="21">
        <v>253</v>
      </c>
      <c r="AK263" s="21">
        <v>1.1734</v>
      </c>
      <c r="AL263">
        <f t="shared" si="42"/>
        <v>3.8806296296296297E-3</v>
      </c>
      <c r="AM263">
        <f t="shared" si="43"/>
        <v>4.5558979914814817E-3</v>
      </c>
      <c r="AP263" s="9"/>
      <c r="AQ263" s="21">
        <v>-7.4005100000000004E-2</v>
      </c>
      <c r="AR263" s="21">
        <v>21.467600000000001</v>
      </c>
      <c r="AS263" s="24">
        <v>-6.69556E-5</v>
      </c>
      <c r="AT263" s="21">
        <v>253</v>
      </c>
      <c r="AU263" s="21">
        <v>-7.4279800000000007E-2</v>
      </c>
      <c r="AV263">
        <f t="shared" si="44"/>
        <v>8.2661234567901226E-2</v>
      </c>
      <c r="AW263">
        <f t="shared" si="45"/>
        <v>-6.1173529303209873E-3</v>
      </c>
      <c r="AX263" s="9"/>
      <c r="AY263" s="21">
        <v>1.17401</v>
      </c>
      <c r="AZ263" s="21">
        <v>24.0884</v>
      </c>
      <c r="BA263" s="24">
        <v>-4.6997099999999999E-6</v>
      </c>
      <c r="BB263" s="21">
        <v>253</v>
      </c>
      <c r="BC263" s="21">
        <v>1.1731</v>
      </c>
      <c r="BD263">
        <f t="shared" si="46"/>
        <v>5.8021111111111103E-3</v>
      </c>
      <c r="BE263">
        <f t="shared" si="47"/>
        <v>6.8117364655555547E-3</v>
      </c>
      <c r="BH263" s="9"/>
      <c r="BI263" s="21"/>
      <c r="BJ263" s="21"/>
      <c r="BK263" s="21"/>
      <c r="BL263" s="21"/>
      <c r="BM263" s="21"/>
      <c r="BZ263" s="9"/>
      <c r="CA263" s="21"/>
      <c r="CB263" s="21"/>
      <c r="CC263" s="21"/>
      <c r="CD263" s="21"/>
      <c r="CE263" s="21"/>
      <c r="CR263" s="9"/>
      <c r="CS263" s="21"/>
      <c r="CT263" s="21"/>
      <c r="CU263" s="21"/>
      <c r="CV263" s="21"/>
      <c r="CW263" s="21"/>
    </row>
    <row r="264" spans="6:109" x14ac:dyDescent="0.25">
      <c r="F264" s="9"/>
      <c r="G264" s="21">
        <v>-7.90405E-2</v>
      </c>
      <c r="H264" s="21">
        <v>7.5733499999999996</v>
      </c>
      <c r="I264" s="24">
        <v>-7.3791500000000007E-5</v>
      </c>
      <c r="J264" s="21">
        <v>254</v>
      </c>
      <c r="K264" s="21">
        <v>-7.9376199999999994E-2</v>
      </c>
      <c r="L264">
        <f t="shared" si="36"/>
        <v>9.1100617283950622E-2</v>
      </c>
      <c r="M264">
        <f t="shared" si="37"/>
        <v>-7.2006383404320988E-3</v>
      </c>
      <c r="N264" s="9"/>
      <c r="O264" s="21">
        <v>1.1790499999999999</v>
      </c>
      <c r="P264" s="21">
        <v>10.194100000000001</v>
      </c>
      <c r="Q264" s="24">
        <v>-1.6174299999999999E-6</v>
      </c>
      <c r="R264" s="21">
        <v>254</v>
      </c>
      <c r="S264" s="21">
        <v>1.17828</v>
      </c>
      <c r="T264">
        <f t="shared" si="38"/>
        <v>1.9968271604938271E-3</v>
      </c>
      <c r="U264">
        <f t="shared" si="39"/>
        <v>2.3543590635802468E-3</v>
      </c>
      <c r="X264" s="9"/>
      <c r="Y264" s="21">
        <v>-7.90405E-2</v>
      </c>
      <c r="Z264" s="21">
        <v>14.554500000000001</v>
      </c>
      <c r="AA264" s="24">
        <v>-6.9763200000000003E-5</v>
      </c>
      <c r="AB264" s="21">
        <v>254</v>
      </c>
      <c r="AC264" s="21">
        <v>-7.9315200000000002E-2</v>
      </c>
      <c r="AD264">
        <f t="shared" si="40"/>
        <v>8.6127407407407403E-2</v>
      </c>
      <c r="AE264">
        <f t="shared" si="41"/>
        <v>-6.8075533451851852E-3</v>
      </c>
      <c r="AF264" s="9"/>
      <c r="AG264" s="21">
        <v>1.1790499999999999</v>
      </c>
      <c r="AH264" s="21">
        <v>17.1753</v>
      </c>
      <c r="AI264" s="24">
        <v>-2.0141599999999999E-6</v>
      </c>
      <c r="AJ264" s="21">
        <v>254</v>
      </c>
      <c r="AK264" s="21">
        <v>1.17859</v>
      </c>
      <c r="AL264">
        <f t="shared" si="42"/>
        <v>2.4866172839506169E-3</v>
      </c>
      <c r="AM264">
        <f t="shared" si="43"/>
        <v>2.9318461086419749E-3</v>
      </c>
      <c r="AP264" s="9"/>
      <c r="AQ264" s="21">
        <v>-7.90405E-2</v>
      </c>
      <c r="AR264" s="21">
        <v>21.477699999999999</v>
      </c>
      <c r="AS264" s="24">
        <v>-6.7138700000000001E-5</v>
      </c>
      <c r="AT264" s="21">
        <v>254</v>
      </c>
      <c r="AU264" s="21">
        <v>-7.92847E-2</v>
      </c>
      <c r="AV264">
        <f t="shared" si="44"/>
        <v>8.2887283950617285E-2</v>
      </c>
      <c r="AW264">
        <f t="shared" si="45"/>
        <v>-6.5514523670987656E-3</v>
      </c>
      <c r="AX264" s="9"/>
      <c r="AY264" s="21">
        <v>1.1790499999999999</v>
      </c>
      <c r="AZ264" s="21">
        <v>24.098400000000002</v>
      </c>
      <c r="BA264" s="24">
        <v>-3.6315899999999998E-6</v>
      </c>
      <c r="BB264" s="21">
        <v>254</v>
      </c>
      <c r="BC264" s="21">
        <v>1.1792</v>
      </c>
      <c r="BD264">
        <f t="shared" si="46"/>
        <v>4.4834444444444444E-3</v>
      </c>
      <c r="BE264">
        <f t="shared" si="47"/>
        <v>5.2862051722222221E-3</v>
      </c>
      <c r="BH264" s="9"/>
      <c r="BI264" s="21"/>
      <c r="BJ264" s="21"/>
      <c r="BK264" s="21"/>
      <c r="BL264" s="21"/>
      <c r="BM264" s="21"/>
      <c r="BZ264" s="9"/>
      <c r="CA264" s="21"/>
      <c r="CB264" s="21"/>
      <c r="CC264" s="21"/>
      <c r="CD264" s="21"/>
      <c r="CE264" s="21"/>
      <c r="CR264" s="9"/>
      <c r="CS264" s="21"/>
      <c r="CT264" s="21"/>
      <c r="CU264" s="21"/>
      <c r="CV264" s="21"/>
      <c r="CW264" s="21"/>
    </row>
    <row r="265" spans="6:109" x14ac:dyDescent="0.25">
      <c r="F265" s="9"/>
      <c r="G265" s="21">
        <v>-8.4075899999999995E-2</v>
      </c>
      <c r="H265" s="21">
        <v>7.5834200000000003</v>
      </c>
      <c r="I265" s="24">
        <v>-7.3913599999999997E-5</v>
      </c>
      <c r="J265" s="21">
        <v>255</v>
      </c>
      <c r="K265" s="21">
        <v>-8.4289600000000006E-2</v>
      </c>
      <c r="L265">
        <f t="shared" si="36"/>
        <v>9.1251358024691351E-2</v>
      </c>
      <c r="M265">
        <f t="shared" si="37"/>
        <v>-7.6720400521481467E-3</v>
      </c>
      <c r="N265" s="9"/>
      <c r="O265" s="21">
        <v>1.18408</v>
      </c>
      <c r="P265" s="21">
        <v>10.2042</v>
      </c>
      <c r="Q265" s="24">
        <v>-2.4414099999999999E-7</v>
      </c>
      <c r="R265" s="21">
        <v>255</v>
      </c>
      <c r="S265" s="21">
        <v>1.18286</v>
      </c>
      <c r="T265">
        <f t="shared" si="38"/>
        <v>3.014086419753086E-4</v>
      </c>
      <c r="U265">
        <f t="shared" si="39"/>
        <v>3.5689194479012344E-4</v>
      </c>
      <c r="X265" s="9"/>
      <c r="Y265" s="21">
        <v>-8.4075899999999995E-2</v>
      </c>
      <c r="Z265" s="21">
        <v>14.5646</v>
      </c>
      <c r="AA265" s="24">
        <v>-6.9824200000000001E-5</v>
      </c>
      <c r="AB265" s="21">
        <v>255</v>
      </c>
      <c r="AC265" s="21">
        <v>-8.4350599999999998E-2</v>
      </c>
      <c r="AD265">
        <f t="shared" si="40"/>
        <v>8.6202716049382705E-2</v>
      </c>
      <c r="AE265">
        <f t="shared" si="41"/>
        <v>-7.2475709342962949E-3</v>
      </c>
      <c r="AF265" s="9"/>
      <c r="AG265" s="21">
        <v>1.18408</v>
      </c>
      <c r="AH265" s="21">
        <v>17.185300000000002</v>
      </c>
      <c r="AI265" s="24">
        <v>-1.0986299999999999E-6</v>
      </c>
      <c r="AJ265" s="21">
        <v>255</v>
      </c>
      <c r="AK265" s="21">
        <v>1.18347</v>
      </c>
      <c r="AL265">
        <f t="shared" si="42"/>
        <v>1.3563333333333333E-3</v>
      </c>
      <c r="AM265">
        <f t="shared" si="43"/>
        <v>1.6060071733333334E-3</v>
      </c>
      <c r="AP265" s="9"/>
      <c r="AQ265" s="21">
        <v>-8.4075899999999995E-2</v>
      </c>
      <c r="AR265" s="21">
        <v>21.4878</v>
      </c>
      <c r="AS265" s="24">
        <v>-6.7291299999999997E-5</v>
      </c>
      <c r="AT265" s="21">
        <v>255</v>
      </c>
      <c r="AU265" s="21">
        <v>-8.4350599999999998E-2</v>
      </c>
      <c r="AV265">
        <f t="shared" si="44"/>
        <v>8.3075679012345666E-2</v>
      </c>
      <c r="AW265">
        <f t="shared" si="45"/>
        <v>-6.9846624810740729E-3</v>
      </c>
      <c r="AX265" s="9"/>
      <c r="AY265" s="21">
        <v>1.18408</v>
      </c>
      <c r="AZ265" s="21">
        <v>24.108499999999999</v>
      </c>
      <c r="BA265" s="24">
        <v>-2.7771000000000001E-6</v>
      </c>
      <c r="BB265" s="21">
        <v>255</v>
      </c>
      <c r="BC265" s="21">
        <v>1.1831700000000001</v>
      </c>
      <c r="BD265">
        <f t="shared" si="46"/>
        <v>3.4285185185185182E-3</v>
      </c>
      <c r="BE265">
        <f t="shared" si="47"/>
        <v>4.059640207407407E-3</v>
      </c>
      <c r="BH265" s="9"/>
      <c r="BI265" s="21"/>
      <c r="BJ265" s="21"/>
      <c r="BK265" s="21"/>
      <c r="BL265" s="21"/>
      <c r="BM265" s="21"/>
      <c r="BZ265" s="9"/>
      <c r="CA265" s="21"/>
      <c r="CB265" s="21"/>
      <c r="CC265" s="21"/>
      <c r="CD265" s="21"/>
      <c r="CE265" s="21"/>
      <c r="CR265" s="9"/>
      <c r="CS265" s="21"/>
      <c r="CT265" s="21"/>
      <c r="CU265" s="21"/>
      <c r="CV265" s="21"/>
      <c r="CW265" s="21"/>
    </row>
    <row r="266" spans="6:109" x14ac:dyDescent="0.25">
      <c r="F266" s="9"/>
      <c r="G266" s="21">
        <v>-8.9111300000000004E-2</v>
      </c>
      <c r="H266" s="21">
        <v>7.5934999999999997</v>
      </c>
      <c r="I266" s="24">
        <v>-7.4005100000000001E-5</v>
      </c>
      <c r="J266" s="21">
        <v>256</v>
      </c>
      <c r="K266" s="21">
        <v>-8.9355500000000004E-2</v>
      </c>
      <c r="L266">
        <f t="shared" si="36"/>
        <v>9.1364320987654318E-2</v>
      </c>
      <c r="M266">
        <f t="shared" si="37"/>
        <v>-8.1415934168271604E-3</v>
      </c>
      <c r="N266" s="9"/>
      <c r="O266" s="21">
        <v>1.18912</v>
      </c>
      <c r="P266" s="21">
        <v>10.2142</v>
      </c>
      <c r="Q266" s="24">
        <v>8.8500999999999996E-7</v>
      </c>
      <c r="R266" s="21">
        <v>256</v>
      </c>
      <c r="S266" s="21">
        <v>1.18866</v>
      </c>
      <c r="T266">
        <f t="shared" si="38"/>
        <v>-1.0926049382716048E-3</v>
      </c>
      <c r="U266">
        <f t="shared" si="39"/>
        <v>-1.2992383841975306E-3</v>
      </c>
      <c r="X266" s="9"/>
      <c r="Y266" s="21">
        <v>-8.9111300000000004E-2</v>
      </c>
      <c r="Z266" s="21">
        <v>14.5747</v>
      </c>
      <c r="AA266" s="24">
        <v>-6.9824200000000001E-5</v>
      </c>
      <c r="AB266" s="21">
        <v>256</v>
      </c>
      <c r="AC266" s="21">
        <v>-8.9355500000000004E-2</v>
      </c>
      <c r="AD266">
        <f t="shared" si="40"/>
        <v>8.6202716049382705E-2</v>
      </c>
      <c r="AE266">
        <f t="shared" si="41"/>
        <v>-7.6816360906913576E-3</v>
      </c>
      <c r="AF266" s="9"/>
      <c r="AG266" s="21">
        <v>1.18912</v>
      </c>
      <c r="AH266" s="21">
        <v>17.195399999999999</v>
      </c>
      <c r="AI266" s="24">
        <v>6.1035200000000001E-8</v>
      </c>
      <c r="AJ266" s="21">
        <v>256</v>
      </c>
      <c r="AK266" s="21">
        <v>1.18774</v>
      </c>
      <c r="AL266">
        <f t="shared" si="42"/>
        <v>-7.5352098765432091E-5</v>
      </c>
      <c r="AM266">
        <f t="shared" si="43"/>
        <v>-8.960268768395061E-5</v>
      </c>
      <c r="AP266" s="9"/>
      <c r="AQ266" s="21">
        <v>-8.9111300000000004E-2</v>
      </c>
      <c r="AR266" s="21">
        <v>21.497900000000001</v>
      </c>
      <c r="AS266" s="24">
        <v>-6.7504900000000005E-5</v>
      </c>
      <c r="AT266" s="21">
        <v>256</v>
      </c>
      <c r="AU266" s="21">
        <v>-8.9385999999999993E-2</v>
      </c>
      <c r="AV266">
        <f t="shared" si="44"/>
        <v>8.333938271604939E-2</v>
      </c>
      <c r="AW266">
        <f t="shared" si="45"/>
        <v>-7.4264807350246922E-3</v>
      </c>
      <c r="AX266" s="9"/>
      <c r="AY266" s="21">
        <v>1.18912</v>
      </c>
      <c r="AZ266" s="21">
        <v>24.118600000000001</v>
      </c>
      <c r="BA266" s="24">
        <v>-1.5564E-6</v>
      </c>
      <c r="BB266" s="21">
        <v>256</v>
      </c>
      <c r="BC266" s="21">
        <v>1.1880500000000001</v>
      </c>
      <c r="BD266">
        <f t="shared" si="46"/>
        <v>1.9214814814814813E-3</v>
      </c>
      <c r="BE266">
        <f t="shared" si="47"/>
        <v>2.2848720592592588E-3</v>
      </c>
      <c r="BH266" s="9"/>
      <c r="BI266" s="21"/>
      <c r="BJ266" s="21"/>
      <c r="BK266" s="21"/>
      <c r="BL266" s="21"/>
      <c r="BM266" s="21"/>
      <c r="BZ266" s="9"/>
      <c r="CA266" s="21"/>
      <c r="CB266" s="21"/>
      <c r="CC266" s="21"/>
      <c r="CD266" s="21"/>
      <c r="CE266" s="21"/>
      <c r="CR266" s="9"/>
      <c r="CS266" s="21"/>
      <c r="CT266" s="21"/>
      <c r="CU266" s="21"/>
      <c r="CV266" s="21"/>
      <c r="CW266" s="21"/>
    </row>
    <row r="267" spans="6:109" x14ac:dyDescent="0.25">
      <c r="F267" s="9"/>
      <c r="G267" s="21">
        <v>-9.41467E-2</v>
      </c>
      <c r="H267" s="21">
        <v>7.6035700000000004</v>
      </c>
      <c r="I267" s="24">
        <v>-7.4127200000000004E-5</v>
      </c>
      <c r="J267" s="21">
        <v>257</v>
      </c>
      <c r="K267" s="21">
        <v>-9.4360399999999997E-2</v>
      </c>
      <c r="L267">
        <f t="shared" si="36"/>
        <v>9.1515061728395061E-2</v>
      </c>
      <c r="M267">
        <f t="shared" si="37"/>
        <v>-8.6158410620246918E-3</v>
      </c>
      <c r="N267" s="9"/>
      <c r="O267" s="21">
        <v>1.19415</v>
      </c>
      <c r="P267" s="21">
        <v>10.224299999999999</v>
      </c>
      <c r="Q267" s="24">
        <v>2.04468E-6</v>
      </c>
      <c r="R267" s="21">
        <v>257</v>
      </c>
      <c r="S267" s="21">
        <v>1.1938500000000001</v>
      </c>
      <c r="T267">
        <f t="shared" si="38"/>
        <v>-2.5242962962962962E-3</v>
      </c>
      <c r="U267">
        <f t="shared" si="39"/>
        <v>-3.0143884222222223E-3</v>
      </c>
      <c r="X267" s="9"/>
      <c r="Y267" s="21">
        <v>-9.41467E-2</v>
      </c>
      <c r="Z267" s="21">
        <v>14.5847</v>
      </c>
      <c r="AA267" s="24">
        <v>-6.9946300000000005E-5</v>
      </c>
      <c r="AB267" s="21">
        <v>257</v>
      </c>
      <c r="AC267" s="21">
        <v>-9.4329800000000005E-2</v>
      </c>
      <c r="AD267">
        <f t="shared" si="40"/>
        <v>8.6353456790123462E-2</v>
      </c>
      <c r="AE267">
        <f t="shared" si="41"/>
        <v>-8.1298929903827165E-3</v>
      </c>
      <c r="AF267" s="9"/>
      <c r="AG267" s="21">
        <v>1.19415</v>
      </c>
      <c r="AH267" s="21">
        <v>17.205500000000001</v>
      </c>
      <c r="AI267" s="24">
        <v>1.46484E-6</v>
      </c>
      <c r="AJ267" s="21">
        <v>257</v>
      </c>
      <c r="AK267" s="21">
        <v>1.19354</v>
      </c>
      <c r="AL267">
        <f t="shared" si="42"/>
        <v>-1.8084444444444443E-3</v>
      </c>
      <c r="AM267">
        <f t="shared" si="43"/>
        <v>-2.1595539333333332E-3</v>
      </c>
      <c r="AP267" s="9"/>
      <c r="AQ267" s="21">
        <v>-9.41467E-2</v>
      </c>
      <c r="AR267" s="21">
        <v>21.507899999999999</v>
      </c>
      <c r="AS267" s="24">
        <v>-6.7688000000000007E-5</v>
      </c>
      <c r="AT267" s="21">
        <v>257</v>
      </c>
      <c r="AU267" s="21">
        <v>-9.43909E-2</v>
      </c>
      <c r="AV267">
        <f t="shared" si="44"/>
        <v>8.3565432098765435E-2</v>
      </c>
      <c r="AW267">
        <f t="shared" si="45"/>
        <v>-7.8674096661728397E-3</v>
      </c>
      <c r="AX267" s="9"/>
      <c r="AY267" s="21">
        <v>1.19415</v>
      </c>
      <c r="AZ267" s="21">
        <v>24.128699999999998</v>
      </c>
      <c r="BA267" s="24">
        <v>-7.3242200000000005E-7</v>
      </c>
      <c r="BB267" s="21">
        <v>257</v>
      </c>
      <c r="BC267" s="21">
        <v>1.1932400000000001</v>
      </c>
      <c r="BD267">
        <f t="shared" si="46"/>
        <v>9.0422469135802467E-4</v>
      </c>
      <c r="BE267">
        <f t="shared" si="47"/>
        <v>1.0797799151851851E-3</v>
      </c>
      <c r="BH267" s="9"/>
      <c r="BI267" s="21"/>
      <c r="BJ267" s="21"/>
      <c r="BK267" s="21"/>
      <c r="BL267" s="21"/>
      <c r="BM267" s="21"/>
      <c r="BZ267" s="9"/>
      <c r="CA267" s="21"/>
      <c r="CB267" s="21"/>
      <c r="CC267" s="21"/>
      <c r="CD267" s="21"/>
      <c r="CE267" s="21"/>
      <c r="CR267" s="9"/>
      <c r="CS267" s="21"/>
      <c r="CT267" s="21"/>
      <c r="CU267" s="21"/>
      <c r="CV267" s="21"/>
      <c r="CW267" s="21"/>
    </row>
    <row r="268" spans="6:109" x14ac:dyDescent="0.25">
      <c r="F268" s="9"/>
      <c r="G268" s="21">
        <v>-9.9182099999999995E-2</v>
      </c>
      <c r="H268" s="21">
        <v>7.6136400000000002</v>
      </c>
      <c r="I268" s="24">
        <v>-7.4249299999999994E-5</v>
      </c>
      <c r="J268" s="21">
        <v>258</v>
      </c>
      <c r="K268" s="21">
        <v>-9.9487300000000001E-2</v>
      </c>
      <c r="L268">
        <f t="shared" ref="L268:L269" si="48">-I268/$F$2*1000</f>
        <v>9.166580246913579E-2</v>
      </c>
      <c r="M268">
        <f t="shared" ref="M268:M269" si="49">L268*G268</f>
        <v>-9.0916067870740729E-3</v>
      </c>
      <c r="N268" s="9"/>
      <c r="O268" s="21">
        <v>1.19919</v>
      </c>
      <c r="P268" s="21">
        <v>10.234400000000001</v>
      </c>
      <c r="Q268" s="24">
        <v>3.5400399999999998E-6</v>
      </c>
      <c r="R268" s="21">
        <v>258</v>
      </c>
      <c r="S268" s="21">
        <v>1.1981200000000001</v>
      </c>
      <c r="T268">
        <f t="shared" ref="T268:T269" si="50">-Q268/$F$2*1000</f>
        <v>-4.3704197530864191E-3</v>
      </c>
      <c r="U268">
        <f t="shared" ref="U268:U269" si="51">T268*O268</f>
        <v>-5.2409636637037026E-3</v>
      </c>
      <c r="X268" s="9"/>
      <c r="Y268" s="21">
        <v>-9.9182099999999995E-2</v>
      </c>
      <c r="Z268" s="21">
        <v>14.594799999999999</v>
      </c>
      <c r="AA268" s="24">
        <v>-7.0007300000000003E-5</v>
      </c>
      <c r="AB268" s="21">
        <v>258</v>
      </c>
      <c r="AC268" s="21">
        <v>-9.9426299999999995E-2</v>
      </c>
      <c r="AD268">
        <f t="shared" ref="AD268:AD269" si="52">-AA268/$F$2*1000</f>
        <v>8.6428765432098764E-2</v>
      </c>
      <c r="AE268">
        <f t="shared" ref="AE268:AE269" si="53">AD268*Y268</f>
        <v>-8.5721864559629626E-3</v>
      </c>
      <c r="AF268" s="9"/>
      <c r="AG268" s="21">
        <v>1.19919</v>
      </c>
      <c r="AH268" s="21">
        <v>17.215599999999998</v>
      </c>
      <c r="AI268" s="24">
        <v>2.5024399999999998E-6</v>
      </c>
      <c r="AJ268" s="21">
        <v>258</v>
      </c>
      <c r="AK268" s="21">
        <v>1.1984300000000001</v>
      </c>
      <c r="AL268">
        <f t="shared" ref="AL268:AL269" si="54">-AI268/$F$2*1000</f>
        <v>-3.0894320987654316E-3</v>
      </c>
      <c r="AM268">
        <f t="shared" ref="AM268:AM269" si="55">AL268*AG268</f>
        <v>-3.7048160785185177E-3</v>
      </c>
      <c r="AP268" s="9"/>
      <c r="AQ268" s="21">
        <v>-9.9182099999999995E-2</v>
      </c>
      <c r="AR268" s="21">
        <v>21.518000000000001</v>
      </c>
      <c r="AS268" s="24">
        <v>-6.7749000000000005E-5</v>
      </c>
      <c r="AT268" s="21">
        <v>258</v>
      </c>
      <c r="AU268" s="21">
        <v>-9.9426299999999995E-2</v>
      </c>
      <c r="AV268">
        <f t="shared" ref="AV268:AV269" si="56">-AS268/$F$2*1000</f>
        <v>8.3640740740740738E-2</v>
      </c>
      <c r="AW268">
        <f t="shared" ref="AW268:AW269" si="57">AV268*AQ268</f>
        <v>-8.2956643122222215E-3</v>
      </c>
      <c r="AX268" s="9"/>
      <c r="AY268" s="21">
        <v>1.19919</v>
      </c>
      <c r="AZ268" s="21">
        <v>24.1387</v>
      </c>
      <c r="BA268" s="24">
        <v>4.2724600000000001E-7</v>
      </c>
      <c r="BB268" s="21">
        <v>258</v>
      </c>
      <c r="BC268" s="21">
        <v>1.1984300000000001</v>
      </c>
      <c r="BD268">
        <f t="shared" ref="BD268:BD269" si="58">-BA268/$F$2*1000</f>
        <v>-5.2746419753086423E-4</v>
      </c>
      <c r="BE268">
        <f t="shared" ref="BE268:BE269" si="59">BD268*AY268</f>
        <v>-6.3252979103703704E-4</v>
      </c>
      <c r="BH268" s="9"/>
      <c r="BI268" s="21"/>
      <c r="BJ268" s="21"/>
      <c r="BK268" s="21"/>
      <c r="BL268" s="21"/>
      <c r="BM268" s="21"/>
      <c r="BZ268" s="9"/>
      <c r="CA268" s="21"/>
      <c r="CB268" s="21"/>
      <c r="CC268" s="21"/>
      <c r="CD268" s="21"/>
      <c r="CE268" s="21"/>
      <c r="CR268" s="9"/>
      <c r="CS268" s="21"/>
      <c r="CT268" s="21"/>
      <c r="CU268" s="21"/>
      <c r="CV268" s="21"/>
      <c r="CW268" s="21"/>
    </row>
    <row r="269" spans="6:109" x14ac:dyDescent="0.25">
      <c r="F269" s="9"/>
      <c r="G269" s="21">
        <v>-0.10421800000000001</v>
      </c>
      <c r="H269" s="21">
        <v>7.62371</v>
      </c>
      <c r="I269" s="24">
        <v>-7.4432399999999996E-5</v>
      </c>
      <c r="J269" s="21">
        <v>259</v>
      </c>
      <c r="K269" s="21">
        <v>-0.10440099999999999</v>
      </c>
      <c r="L269">
        <f t="shared" si="48"/>
        <v>9.1891851851851836E-2</v>
      </c>
      <c r="M269">
        <f t="shared" si="49"/>
        <v>-9.576785016296295E-3</v>
      </c>
      <c r="N269" s="9"/>
      <c r="O269" s="21">
        <v>1.2042200000000001</v>
      </c>
      <c r="P269" s="21">
        <v>10.244400000000001</v>
      </c>
      <c r="Q269" s="24">
        <v>4.7912599999999999E-6</v>
      </c>
      <c r="R269" s="21">
        <v>259</v>
      </c>
      <c r="S269" s="21">
        <v>1.2027000000000001</v>
      </c>
      <c r="T269">
        <f t="shared" si="50"/>
        <v>-5.9151358024691356E-3</v>
      </c>
      <c r="U269">
        <f t="shared" si="51"/>
        <v>-7.1231248360493831E-3</v>
      </c>
      <c r="X269" s="9"/>
      <c r="Y269" s="21">
        <v>-0.10421800000000001</v>
      </c>
      <c r="Z269" s="21">
        <v>14.604900000000001</v>
      </c>
      <c r="AA269" s="24">
        <v>-7.0098900000000001E-5</v>
      </c>
      <c r="AB269" s="21">
        <v>259</v>
      </c>
      <c r="AC269" s="21">
        <v>-0.10440099999999999</v>
      </c>
      <c r="AD269">
        <f t="shared" si="52"/>
        <v>8.6541851851851842E-2</v>
      </c>
      <c r="AE269">
        <f t="shared" si="53"/>
        <v>-9.0192187162962956E-3</v>
      </c>
      <c r="AF269" s="9"/>
      <c r="AG269" s="21">
        <v>1.2042200000000001</v>
      </c>
      <c r="AH269" s="21">
        <v>17.2256</v>
      </c>
      <c r="AI269" s="24">
        <v>3.69263E-6</v>
      </c>
      <c r="AJ269" s="21">
        <v>259</v>
      </c>
      <c r="AK269" s="21">
        <v>1.2033100000000001</v>
      </c>
      <c r="AL269">
        <f t="shared" si="54"/>
        <v>-4.5588024691358021E-3</v>
      </c>
      <c r="AM269">
        <f t="shared" si="55"/>
        <v>-5.4898011093827163E-3</v>
      </c>
      <c r="AP269" s="9"/>
      <c r="AQ269" s="21">
        <v>-0.10421800000000001</v>
      </c>
      <c r="AR269" s="21">
        <v>21.528099999999998</v>
      </c>
      <c r="AS269" s="24">
        <v>-6.7840600000000002E-5</v>
      </c>
      <c r="AT269" s="21">
        <v>259</v>
      </c>
      <c r="AU269" s="21">
        <v>-0.104431</v>
      </c>
      <c r="AV269">
        <f t="shared" si="56"/>
        <v>8.3753827160493816E-2</v>
      </c>
      <c r="AW269">
        <f t="shared" si="57"/>
        <v>-8.7286563590123455E-3</v>
      </c>
      <c r="AX269" s="9"/>
      <c r="AY269" s="21">
        <v>1.2042200000000001</v>
      </c>
      <c r="AZ269" s="21">
        <v>24.148800000000001</v>
      </c>
      <c r="BA269" s="24">
        <v>1.5869100000000001E-6</v>
      </c>
      <c r="BB269" s="21">
        <v>259</v>
      </c>
      <c r="BC269" s="21">
        <v>1.2033100000000001</v>
      </c>
      <c r="BD269">
        <f t="shared" si="58"/>
        <v>-1.9591481481481478E-3</v>
      </c>
      <c r="BE269">
        <f t="shared" si="59"/>
        <v>-2.3592453829629628E-3</v>
      </c>
      <c r="BH269" s="9"/>
      <c r="BI269" s="21"/>
      <c r="BJ269" s="21"/>
      <c r="BK269" s="21"/>
      <c r="BL269" s="21"/>
      <c r="BM269" s="21"/>
      <c r="BZ269" s="9"/>
      <c r="CA269" s="21"/>
      <c r="CB269" s="21"/>
      <c r="CC269" s="21"/>
      <c r="CD269" s="21"/>
      <c r="CE269" s="21"/>
      <c r="CR269" s="9"/>
      <c r="CS269" s="21"/>
      <c r="CT269" s="21"/>
      <c r="CU269" s="21"/>
      <c r="CV269" s="21"/>
      <c r="CW269" s="21"/>
    </row>
    <row r="270" spans="6:109" x14ac:dyDescent="0.25">
      <c r="F270" s="9"/>
      <c r="G270" s="21"/>
      <c r="H270" s="21"/>
      <c r="I270" s="21"/>
      <c r="J270" s="21"/>
      <c r="K270" s="21"/>
      <c r="X270" s="9"/>
      <c r="Y270" s="21"/>
      <c r="Z270" s="21"/>
      <c r="AA270" s="21"/>
      <c r="AB270" s="21"/>
      <c r="AC270" s="21"/>
      <c r="AP270" s="9"/>
      <c r="AQ270" s="21"/>
      <c r="AR270" s="21"/>
      <c r="AS270" s="21"/>
      <c r="AT270" s="21"/>
      <c r="AU270" s="21"/>
      <c r="BH270" s="9"/>
      <c r="BI270" s="21"/>
      <c r="BJ270" s="21"/>
      <c r="BK270" s="21"/>
      <c r="BL270" s="21"/>
      <c r="BM270" s="21"/>
      <c r="BZ270" s="9"/>
      <c r="CA270" s="21"/>
      <c r="CB270" s="21"/>
      <c r="CC270" s="21"/>
      <c r="CD270" s="21"/>
      <c r="CE270" s="21"/>
      <c r="CR270" s="9"/>
      <c r="CS270" s="21"/>
      <c r="CT270" s="21"/>
      <c r="CU270" s="21"/>
      <c r="CV270" s="21"/>
      <c r="CW270" s="21"/>
    </row>
    <row r="271" spans="6:109" x14ac:dyDescent="0.25">
      <c r="F271" s="9"/>
      <c r="G271" s="21"/>
      <c r="H271" s="21"/>
      <c r="I271" s="21"/>
      <c r="J271" s="21"/>
      <c r="K271" s="21"/>
      <c r="X271" s="9"/>
      <c r="Y271" s="21"/>
      <c r="Z271" s="21"/>
      <c r="AA271" s="21"/>
      <c r="AB271" s="21"/>
      <c r="AC271" s="21"/>
      <c r="AP271" s="9"/>
      <c r="AQ271" s="21"/>
      <c r="AR271" s="21"/>
      <c r="AS271" s="21"/>
      <c r="AT271" s="21"/>
      <c r="AU271" s="21"/>
      <c r="BH271" s="9"/>
      <c r="BI271" s="21"/>
      <c r="BJ271" s="21"/>
      <c r="BK271" s="21"/>
      <c r="BL271" s="21"/>
      <c r="BM271" s="21"/>
      <c r="BZ271" s="9"/>
      <c r="CA271" s="21"/>
      <c r="CB271" s="21"/>
      <c r="CC271" s="21"/>
      <c r="CD271" s="21"/>
      <c r="CE271" s="21"/>
      <c r="CR271" s="9"/>
      <c r="CS271" s="21"/>
      <c r="CT271" s="21"/>
      <c r="CU271" s="21"/>
      <c r="CV271" s="21"/>
      <c r="CW271" s="21"/>
    </row>
    <row r="272" spans="6:109" x14ac:dyDescent="0.25">
      <c r="F272" s="9"/>
      <c r="G272" s="21"/>
      <c r="H272" s="21"/>
      <c r="I272" s="21"/>
      <c r="J272" s="21"/>
      <c r="K272" s="21"/>
      <c r="X272" s="9"/>
      <c r="Y272" s="21"/>
      <c r="Z272" s="21"/>
      <c r="AA272" s="21"/>
      <c r="AB272" s="21"/>
      <c r="AC272" s="21"/>
      <c r="AP272" s="9"/>
      <c r="AQ272" s="21"/>
      <c r="AR272" s="21"/>
      <c r="AS272" s="21"/>
      <c r="AT272" s="21"/>
      <c r="AU272" s="21"/>
      <c r="BH272" s="9"/>
      <c r="BI272" s="21"/>
      <c r="BJ272" s="21"/>
      <c r="BK272" s="21"/>
      <c r="BL272" s="21"/>
      <c r="BM272" s="21"/>
      <c r="BZ272" s="9"/>
      <c r="CA272" s="21"/>
      <c r="CB272" s="21"/>
      <c r="CC272" s="21"/>
      <c r="CD272" s="21"/>
      <c r="CE272" s="21"/>
      <c r="CR272" s="9"/>
      <c r="CS272" s="21"/>
      <c r="CT272" s="21"/>
      <c r="CU272" s="21"/>
      <c r="CV272" s="21"/>
      <c r="CW272" s="21"/>
    </row>
    <row r="273" spans="6:101" x14ac:dyDescent="0.25">
      <c r="F273" s="9"/>
      <c r="G273" s="21"/>
      <c r="H273" s="21"/>
      <c r="I273" s="21"/>
      <c r="J273" s="21"/>
      <c r="K273" s="21"/>
      <c r="X273" s="9"/>
      <c r="Y273" s="21"/>
      <c r="Z273" s="21"/>
      <c r="AA273" s="21"/>
      <c r="AB273" s="21"/>
      <c r="AC273" s="21"/>
      <c r="AP273" s="9"/>
      <c r="AQ273" s="21"/>
      <c r="AR273" s="21"/>
      <c r="AS273" s="21"/>
      <c r="AT273" s="21"/>
      <c r="AU273" s="21"/>
      <c r="BH273" s="9"/>
      <c r="BI273" s="21"/>
      <c r="BJ273" s="21"/>
      <c r="BK273" s="21"/>
      <c r="BL273" s="21"/>
      <c r="BM273" s="21"/>
      <c r="BZ273" s="9"/>
      <c r="CA273" s="21"/>
      <c r="CB273" s="21"/>
      <c r="CC273" s="21"/>
      <c r="CD273" s="21"/>
      <c r="CE273" s="21"/>
      <c r="CR273" s="9"/>
      <c r="CS273" s="21"/>
      <c r="CT273" s="21"/>
      <c r="CU273" s="21"/>
      <c r="CV273" s="21"/>
      <c r="CW273" s="21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60960</xdr:colOff>
                    <xdr:row>0</xdr:row>
                    <xdr:rowOff>45720</xdr:rowOff>
                  </from>
                  <to>
                    <xdr:col>4</xdr:col>
                    <xdr:colOff>0</xdr:colOff>
                    <xdr:row>4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A1:L5"/>
  <sheetViews>
    <sheetView workbookViewId="0">
      <selection activeCell="G44" sqref="G44"/>
    </sheetView>
  </sheetViews>
  <sheetFormatPr defaultRowHeight="14.4" x14ac:dyDescent="0.25"/>
  <sheetData>
    <row r="1" spans="1:1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 x14ac:dyDescent="0.25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 x14ac:dyDescent="0.25">
      <c r="A3" t="str" cm="1">
        <f t="array" aca="1" ref="A3" ca="1">IFERROR(INDEX(MID(sheetnames,FIND("]",sheetnames)+1,255),ROWS($A$2:A3)),"")</f>
        <v>20221206T090000</v>
      </c>
      <c r="B3">
        <f ca="1">INDEX(INDIRECT(A3&amp;"!A11"):INDIRECT(A3&amp;"!A21"),MATCH(E3,INDIRECT(A3&amp;"!D11"):INDIRECT(A3&amp;"!D21"),0))</f>
        <v>1.7474185785469314</v>
      </c>
      <c r="C3">
        <f ca="1">INDEX(INDIRECT(A3&amp;"!B11"):INDIRECT(A3&amp;"!B21"),MATCH(E3,INDIRECT(A3&amp;"!D11"):INDIRECT(A3&amp;"!D21"),0))</f>
        <v>17.536286710788719</v>
      </c>
      <c r="D3">
        <f ca="1">INDEX(INDIRECT(A3&amp;"!C11"):INDIRECT(A3&amp;"!C21"),MATCH(E3,INDIRECT(A3&amp;"!D11"):INDIRECT(A3&amp;"!D21"),0))</f>
        <v>0.78706759512231261</v>
      </c>
      <c r="E3">
        <f t="shared" ref="E3" ca="1" si="0">MAX(INDIRECT(A3&amp; "!D11"),INDIRECT(A3 &amp; "!D13"),INDIRECT(A3 &amp; "!D15"),INDIRECT(A3 &amp; "!D17"),INDIRECT(A3 &amp; "!D19"),INDIRECT(A3 &amp; "!D21"))</f>
        <v>24.118295859259259</v>
      </c>
      <c r="G3">
        <f ca="1">INDEX(INDIRECT(A3&amp;"!A12"):INDIRECT(A3&amp;"!A22"),MATCH(J3,INDIRECT(A3&amp;"!D12"):INDIRECT(A3&amp;"!D22"),0))</f>
        <v>1.744495434325376</v>
      </c>
      <c r="H3">
        <f ca="1">INDEX(INDIRECT(A3&amp;"!B12"):INDIRECT(A3&amp;"!B22"),MATCH(J3,INDIRECT(A3&amp;"!D12"):INDIRECT(A3&amp;"!D22"),0))</f>
        <v>17.522906270205745</v>
      </c>
      <c r="I3">
        <f ca="1">INDEX(INDIRECT(A3&amp;"!C12"):INDIRECT(A3&amp;"!C22"),MATCH(J3,INDIRECT(A3&amp;"!D12"):INDIRECT(A3&amp;"!D22"),0))</f>
        <v>0.75408055265452945</v>
      </c>
      <c r="J3">
        <f t="shared" ref="J3" ca="1" si="1">MAX(INDIRECT(A3&amp; "!D12"),INDIRECT(A3 &amp; "!D14"),INDIRECT(A3 &amp; "!D16"),INDIRECT(A3 &amp; "!D18"),INDIRECT(A3 &amp; "!D20"),,INDIRECT(A3 &amp; "!D22"))</f>
        <v>23.051209392592586</v>
      </c>
      <c r="L3">
        <f ca="1">INDEX(INDIRECT(A3&amp;"!E11"):INDIRECT(A3&amp;"!E21"),MATCH(E3,INDIRECT(A3&amp;"!D11"):INDIRECT(A3&amp;"!D21"),0))</f>
        <v>4.4243858392549225</v>
      </c>
    </row>
    <row r="4" spans="1:12" x14ac:dyDescent="0.25">
      <c r="A4" t="str" cm="1">
        <f t="array" aca="1" ref="A4" ca="1">IFERROR(INDEX(MID(sheetnames,FIND("]",sheetnames)+1,255),ROWS($A$2:A4)),"")</f>
        <v>20221207T090000</v>
      </c>
      <c r="B4">
        <f ca="1">INDEX(INDIRECT(A4&amp;"!A11"):INDIRECT(A4&amp;"!A21"),MATCH(E4,INDIRECT(A4&amp;"!D11"):INDIRECT(A4&amp;"!D21"),0))</f>
        <v>1.724055482397006</v>
      </c>
      <c r="C4">
        <f ca="1">INDEX(INDIRECT(A4&amp;"!B11"):INDIRECT(A4&amp;"!B21"),MATCH(E4,INDIRECT(A4&amp;"!D11"):INDIRECT(A4&amp;"!D21"),0))</f>
        <v>17.275907818962288</v>
      </c>
      <c r="D4">
        <f ca="1">INDEX(INDIRECT(A4&amp;"!C11"):INDIRECT(A4&amp;"!C21"),MATCH(E4,INDIRECT(A4&amp;"!D11"):INDIRECT(A4&amp;"!D21"),0))</f>
        <v>0.75119686555295651</v>
      </c>
      <c r="E4">
        <f t="shared" ref="E4:E5" ca="1" si="2">MAX(INDIRECT(A4&amp; "!D11"),INDIRECT(A4 &amp; "!D13"),INDIRECT(A4 &amp; "!D15"),INDIRECT(A4 &amp; "!D17"),INDIRECT(A4 &amp; "!D19"),INDIRECT(A4 &amp; "!D21"))</f>
        <v>22.37411588148148</v>
      </c>
      <c r="G4">
        <f ca="1">INDEX(INDIRECT(A4&amp;"!A12"):INDIRECT(A4&amp;"!A22"),MATCH(J4,INDIRECT(A4&amp;"!D12"):INDIRECT(A4&amp;"!D22"),0))</f>
        <v>1.7212542134130258</v>
      </c>
      <c r="H4">
        <f ca="1">INDEX(INDIRECT(A4&amp;"!B12"):INDIRECT(A4&amp;"!B22"),MATCH(J4,INDIRECT(A4&amp;"!D12"):INDIRECT(A4&amp;"!D22"),0))</f>
        <v>17.10195862072392</v>
      </c>
      <c r="I4">
        <f ca="1">INDEX(INDIRECT(A4&amp;"!C12"):INDIRECT(A4&amp;"!C22"),MATCH(J4,INDIRECT(A4&amp;"!D12"):INDIRECT(A4&amp;"!D22"),0))</f>
        <v>0.71265900366655577</v>
      </c>
      <c r="J4">
        <f t="shared" ref="J4:J5" ca="1" si="3">MAX(INDIRECT(A4&amp; "!D12"),INDIRECT(A4 &amp; "!D14"),INDIRECT(A4 &amp; "!D16"),INDIRECT(A4 &amp; "!D18"),INDIRECT(A4 &amp; "!D20"),,INDIRECT(A4 &amp; "!D22"))</f>
        <v>20.978413624691356</v>
      </c>
      <c r="L4">
        <f ca="1">INDEX(INDIRECT(A4&amp;"!E11"):INDIRECT(A4&amp;"!E21"),MATCH(E4,INDIRECT(A4&amp;"!D11"):INDIRECT(A4&amp;"!D21"),0))</f>
        <v>6.2380219365240386</v>
      </c>
    </row>
    <row r="5" spans="1:12" x14ac:dyDescent="0.25">
      <c r="A5" t="str" cm="1">
        <f t="array" aca="1" ref="A5" ca="1">IFERROR(INDEX(MID(sheetnames,FIND("]",sheetnames)+1,255),ROWS($A$2:A5)),"")</f>
        <v>20221210T210000</v>
      </c>
      <c r="B5">
        <f ca="1">INDEX(INDIRECT(A5&amp;"!A11"):INDIRECT(A5&amp;"!A21"),MATCH(E5,INDIRECT(A5&amp;"!D11"):INDIRECT(A5&amp;"!D21"),0))</f>
        <v>1.1290486962749531</v>
      </c>
      <c r="C5">
        <f ca="1">INDEX(INDIRECT(A5&amp;"!B11"):INDIRECT(A5&amp;"!B21"),MATCH(E5,INDIRECT(A5&amp;"!D11"):INDIRECT(A5&amp;"!D21"),0))</f>
        <v>8.8973946809541765E-2</v>
      </c>
      <c r="D5">
        <f ca="1">INDEX(INDIRECT(A5&amp;"!C11"):INDIRECT(A5&amp;"!C21"),MATCH(E5,INDIRECT(A5&amp;"!D11"):INDIRECT(A5&amp;"!D21"),0))</f>
        <v>0.4695452166863967</v>
      </c>
      <c r="E5">
        <f t="shared" ca="1" si="2"/>
        <v>4.7168596088888883E-2</v>
      </c>
      <c r="G5">
        <f ca="1">INDEX(INDIRECT(A5&amp;"!A12"):INDIRECT(A5&amp;"!A22"),MATCH(J5,INDIRECT(A5&amp;"!D12"):INDIRECT(A5&amp;"!D22"),0))</f>
        <v>1.1841140553034979</v>
      </c>
      <c r="H5">
        <f ca="1">INDEX(INDIRECT(A5&amp;"!B12"):INDIRECT(A5&amp;"!B22"),MATCH(J5,INDIRECT(A5&amp;"!D12"):INDIRECT(A5&amp;"!D22"),0))</f>
        <v>8.0403861717898664E-2</v>
      </c>
      <c r="I5">
        <f ca="1">INDEX(INDIRECT(A5&amp;"!C12"):INDIRECT(A5&amp;"!C22"),MATCH(J5,INDIRECT(A5&amp;"!D12"):INDIRECT(A5&amp;"!D22"),0))</f>
        <v>0.39160333304295086</v>
      </c>
      <c r="J5">
        <f t="shared" ca="1" si="3"/>
        <v>3.728351275530864E-2</v>
      </c>
      <c r="L5">
        <f ca="1">INDEX(INDIRECT(A5&amp;"!E11"):INDIRECT(A5&amp;"!E21"),MATCH(E5,INDIRECT(A5&amp;"!D11"):INDIRECT(A5&amp;"!D21"),0))</f>
        <v>20.956916578462234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NEW</vt:lpstr>
      <vt:lpstr>20221206T090000</vt:lpstr>
      <vt:lpstr>20221207T090000</vt:lpstr>
      <vt:lpstr>20221210T210000</vt:lpstr>
      <vt:lpstr>Sheet2</vt:lpstr>
    </vt:vector>
  </TitlesOfParts>
  <Company>Australian National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Wei Wang</cp:lastModifiedBy>
  <dcterms:created xsi:type="dcterms:W3CDTF">2022-01-08T07:24:35Z</dcterms:created>
  <dcterms:modified xsi:type="dcterms:W3CDTF">2022-12-18T10:41:43Z</dcterms:modified>
</cp:coreProperties>
</file>