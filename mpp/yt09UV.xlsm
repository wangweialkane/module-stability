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mpp/"/>
    </mc:Choice>
  </mc:AlternateContent>
  <xr:revisionPtr revIDLastSave="10" documentId="11_E950D10C50D5D9D039CF6E266A56686B3E5733A6" xr6:coauthVersionLast="47" xr6:coauthVersionMax="47" xr10:uidLastSave="{36AFAD2B-A807-4716-8742-2B375A0059DB}"/>
  <bookViews>
    <workbookView minimized="1" xWindow="1488" yWindow="1500" windowWidth="23040" windowHeight="12204" tabRatio="760" activeTab="3" xr2:uid="{00000000-000D-0000-FFFF-FFFF00000000}"/>
  </bookViews>
  <sheets>
    <sheet name="NEW" sheetId="64" r:id="rId1"/>
    <sheet name="20221210T210000" sheetId="65" r:id="rId2"/>
    <sheet name="20221211T090000" sheetId="67" r:id="rId3"/>
    <sheet name="20221212T210000" sheetId="69" r:id="rId4"/>
    <sheet name="Sheet2" sheetId="63" r:id="rId5"/>
  </sheets>
  <externalReferences>
    <externalReference r:id="rId6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76" i="69" l="1"/>
  <c r="BE376" i="69" s="1"/>
  <c r="AV376" i="69"/>
  <c r="AW376" i="69" s="1"/>
  <c r="AL376" i="69"/>
  <c r="AM376" i="69" s="1"/>
  <c r="AD376" i="69"/>
  <c r="AE376" i="69" s="1"/>
  <c r="T376" i="69"/>
  <c r="U376" i="69" s="1"/>
  <c r="L376" i="69"/>
  <c r="M376" i="69" s="1"/>
  <c r="BD375" i="69"/>
  <c r="BE375" i="69" s="1"/>
  <c r="AV375" i="69"/>
  <c r="AW375" i="69" s="1"/>
  <c r="AL375" i="69"/>
  <c r="AM375" i="69" s="1"/>
  <c r="AD375" i="69"/>
  <c r="AE375" i="69" s="1"/>
  <c r="T375" i="69"/>
  <c r="U375" i="69" s="1"/>
  <c r="L375" i="69"/>
  <c r="M375" i="69" s="1"/>
  <c r="BD374" i="69"/>
  <c r="BE374" i="69" s="1"/>
  <c r="AV374" i="69"/>
  <c r="AW374" i="69" s="1"/>
  <c r="AL374" i="69"/>
  <c r="AM374" i="69" s="1"/>
  <c r="AD374" i="69"/>
  <c r="AE374" i="69" s="1"/>
  <c r="U374" i="69"/>
  <c r="T374" i="69"/>
  <c r="L374" i="69"/>
  <c r="M374" i="69" s="1"/>
  <c r="BD373" i="69"/>
  <c r="BE373" i="69" s="1"/>
  <c r="AV373" i="69"/>
  <c r="AW373" i="69" s="1"/>
  <c r="AL373" i="69"/>
  <c r="AM373" i="69" s="1"/>
  <c r="AD373" i="69"/>
  <c r="AE373" i="69" s="1"/>
  <c r="T373" i="69"/>
  <c r="U373" i="69" s="1"/>
  <c r="L373" i="69"/>
  <c r="M373" i="69" s="1"/>
  <c r="BD372" i="69"/>
  <c r="BE372" i="69" s="1"/>
  <c r="AV372" i="69"/>
  <c r="AW372" i="69" s="1"/>
  <c r="AL372" i="69"/>
  <c r="AM372" i="69" s="1"/>
  <c r="AD372" i="69"/>
  <c r="AE372" i="69" s="1"/>
  <c r="T372" i="69"/>
  <c r="U372" i="69" s="1"/>
  <c r="L372" i="69"/>
  <c r="M372" i="69" s="1"/>
  <c r="BD371" i="69"/>
  <c r="BE371" i="69" s="1"/>
  <c r="AV371" i="69"/>
  <c r="AW371" i="69" s="1"/>
  <c r="AL371" i="69"/>
  <c r="AM371" i="69" s="1"/>
  <c r="AD371" i="69"/>
  <c r="AE371" i="69" s="1"/>
  <c r="U371" i="69"/>
  <c r="T371" i="69"/>
  <c r="L371" i="69"/>
  <c r="M371" i="69" s="1"/>
  <c r="BD370" i="69"/>
  <c r="BE370" i="69" s="1"/>
  <c r="AV370" i="69"/>
  <c r="AW370" i="69" s="1"/>
  <c r="AL370" i="69"/>
  <c r="AM370" i="69" s="1"/>
  <c r="AD370" i="69"/>
  <c r="AE370" i="69" s="1"/>
  <c r="T370" i="69"/>
  <c r="U370" i="69" s="1"/>
  <c r="L370" i="69"/>
  <c r="M370" i="69" s="1"/>
  <c r="BD369" i="69"/>
  <c r="BE369" i="69" s="1"/>
  <c r="AV369" i="69"/>
  <c r="AW369" i="69" s="1"/>
  <c r="AL369" i="69"/>
  <c r="AM369" i="69" s="1"/>
  <c r="AD369" i="69"/>
  <c r="AE369" i="69" s="1"/>
  <c r="T369" i="69"/>
  <c r="U369" i="69" s="1"/>
  <c r="L369" i="69"/>
  <c r="M369" i="69" s="1"/>
  <c r="BD368" i="69"/>
  <c r="BE368" i="69" s="1"/>
  <c r="AV368" i="69"/>
  <c r="AW368" i="69" s="1"/>
  <c r="AL368" i="69"/>
  <c r="AM368" i="69" s="1"/>
  <c r="AD368" i="69"/>
  <c r="AE368" i="69" s="1"/>
  <c r="U368" i="69"/>
  <c r="T368" i="69"/>
  <c r="L368" i="69"/>
  <c r="M368" i="69" s="1"/>
  <c r="BD367" i="69"/>
  <c r="BE367" i="69" s="1"/>
  <c r="AV367" i="69"/>
  <c r="AW367" i="69" s="1"/>
  <c r="AL367" i="69"/>
  <c r="AM367" i="69" s="1"/>
  <c r="AD367" i="69"/>
  <c r="AE367" i="69" s="1"/>
  <c r="T367" i="69"/>
  <c r="U367" i="69" s="1"/>
  <c r="L367" i="69"/>
  <c r="M367" i="69" s="1"/>
  <c r="BD366" i="69"/>
  <c r="BE366" i="69" s="1"/>
  <c r="AV366" i="69"/>
  <c r="AW366" i="69" s="1"/>
  <c r="AL366" i="69"/>
  <c r="AM366" i="69" s="1"/>
  <c r="AD366" i="69"/>
  <c r="AE366" i="69" s="1"/>
  <c r="T366" i="69"/>
  <c r="U366" i="69" s="1"/>
  <c r="L366" i="69"/>
  <c r="M366" i="69" s="1"/>
  <c r="BD365" i="69"/>
  <c r="BE365" i="69" s="1"/>
  <c r="AV365" i="69"/>
  <c r="AW365" i="69" s="1"/>
  <c r="AL365" i="69"/>
  <c r="AM365" i="69" s="1"/>
  <c r="AD365" i="69"/>
  <c r="AE365" i="69" s="1"/>
  <c r="U365" i="69"/>
  <c r="T365" i="69"/>
  <c r="L365" i="69"/>
  <c r="M365" i="69" s="1"/>
  <c r="BD364" i="69"/>
  <c r="BE364" i="69" s="1"/>
  <c r="AV364" i="69"/>
  <c r="AW364" i="69" s="1"/>
  <c r="AL364" i="69"/>
  <c r="AM364" i="69" s="1"/>
  <c r="AD364" i="69"/>
  <c r="AE364" i="69" s="1"/>
  <c r="T364" i="69"/>
  <c r="U364" i="69" s="1"/>
  <c r="L364" i="69"/>
  <c r="M364" i="69" s="1"/>
  <c r="BD363" i="69"/>
  <c r="BE363" i="69" s="1"/>
  <c r="AV363" i="69"/>
  <c r="AW363" i="69" s="1"/>
  <c r="AL363" i="69"/>
  <c r="AM363" i="69" s="1"/>
  <c r="AD363" i="69"/>
  <c r="AE363" i="69" s="1"/>
  <c r="T363" i="69"/>
  <c r="U363" i="69" s="1"/>
  <c r="L363" i="69"/>
  <c r="M363" i="69" s="1"/>
  <c r="BD362" i="69"/>
  <c r="BE362" i="69" s="1"/>
  <c r="AV362" i="69"/>
  <c r="AW362" i="69" s="1"/>
  <c r="AL362" i="69"/>
  <c r="AM362" i="69" s="1"/>
  <c r="AD362" i="69"/>
  <c r="AE362" i="69" s="1"/>
  <c r="U362" i="69"/>
  <c r="T362" i="69"/>
  <c r="L362" i="69"/>
  <c r="M362" i="69" s="1"/>
  <c r="BD361" i="69"/>
  <c r="BE361" i="69" s="1"/>
  <c r="AV361" i="69"/>
  <c r="AW361" i="69" s="1"/>
  <c r="AL361" i="69"/>
  <c r="AM361" i="69" s="1"/>
  <c r="AD361" i="69"/>
  <c r="AE361" i="69" s="1"/>
  <c r="T361" i="69"/>
  <c r="U361" i="69" s="1"/>
  <c r="L361" i="69"/>
  <c r="M361" i="69" s="1"/>
  <c r="BD360" i="69"/>
  <c r="BE360" i="69" s="1"/>
  <c r="AV360" i="69"/>
  <c r="AW360" i="69" s="1"/>
  <c r="AL360" i="69"/>
  <c r="AM360" i="69" s="1"/>
  <c r="AD360" i="69"/>
  <c r="AE360" i="69" s="1"/>
  <c r="T360" i="69"/>
  <c r="U360" i="69" s="1"/>
  <c r="L360" i="69"/>
  <c r="M360" i="69" s="1"/>
  <c r="BD359" i="69"/>
  <c r="BE359" i="69" s="1"/>
  <c r="AV359" i="69"/>
  <c r="AW359" i="69" s="1"/>
  <c r="AL359" i="69"/>
  <c r="AM359" i="69" s="1"/>
  <c r="AD359" i="69"/>
  <c r="AE359" i="69" s="1"/>
  <c r="U359" i="69"/>
  <c r="T359" i="69"/>
  <c r="M359" i="69"/>
  <c r="L359" i="69"/>
  <c r="BD358" i="69"/>
  <c r="BE358" i="69" s="1"/>
  <c r="AV358" i="69"/>
  <c r="AW358" i="69" s="1"/>
  <c r="AL358" i="69"/>
  <c r="AM358" i="69" s="1"/>
  <c r="AD358" i="69"/>
  <c r="AE358" i="69" s="1"/>
  <c r="T358" i="69"/>
  <c r="U358" i="69" s="1"/>
  <c r="L358" i="69"/>
  <c r="M358" i="69" s="1"/>
  <c r="BD357" i="69"/>
  <c r="BE357" i="69" s="1"/>
  <c r="AV357" i="69"/>
  <c r="AW357" i="69" s="1"/>
  <c r="AL357" i="69"/>
  <c r="AM357" i="69" s="1"/>
  <c r="AD357" i="69"/>
  <c r="AE357" i="69" s="1"/>
  <c r="T357" i="69"/>
  <c r="U357" i="69" s="1"/>
  <c r="L357" i="69"/>
  <c r="M357" i="69" s="1"/>
  <c r="BD356" i="69"/>
  <c r="BE356" i="69" s="1"/>
  <c r="AV356" i="69"/>
  <c r="AW356" i="69" s="1"/>
  <c r="AL356" i="69"/>
  <c r="AM356" i="69" s="1"/>
  <c r="AD356" i="69"/>
  <c r="AE356" i="69" s="1"/>
  <c r="U356" i="69"/>
  <c r="T356" i="69"/>
  <c r="L356" i="69"/>
  <c r="M356" i="69" s="1"/>
  <c r="BD355" i="69"/>
  <c r="BE355" i="69" s="1"/>
  <c r="AV355" i="69"/>
  <c r="AW355" i="69" s="1"/>
  <c r="AL355" i="69"/>
  <c r="AM355" i="69" s="1"/>
  <c r="AD355" i="69"/>
  <c r="AE355" i="69" s="1"/>
  <c r="T355" i="69"/>
  <c r="U355" i="69" s="1"/>
  <c r="L355" i="69"/>
  <c r="M355" i="69" s="1"/>
  <c r="BD354" i="69"/>
  <c r="BE354" i="69" s="1"/>
  <c r="AV354" i="69"/>
  <c r="AW354" i="69" s="1"/>
  <c r="AL354" i="69"/>
  <c r="AM354" i="69" s="1"/>
  <c r="AD354" i="69"/>
  <c r="AE354" i="69" s="1"/>
  <c r="T354" i="69"/>
  <c r="U354" i="69" s="1"/>
  <c r="L354" i="69"/>
  <c r="M354" i="69" s="1"/>
  <c r="BD353" i="69"/>
  <c r="BE353" i="69" s="1"/>
  <c r="AV353" i="69"/>
  <c r="AW353" i="69" s="1"/>
  <c r="AL353" i="69"/>
  <c r="AM353" i="69" s="1"/>
  <c r="AD353" i="69"/>
  <c r="AE353" i="69" s="1"/>
  <c r="U353" i="69"/>
  <c r="T353" i="69"/>
  <c r="L353" i="69"/>
  <c r="M353" i="69" s="1"/>
  <c r="BE352" i="69"/>
  <c r="BD352" i="69"/>
  <c r="AV352" i="69"/>
  <c r="AW352" i="69" s="1"/>
  <c r="AL352" i="69"/>
  <c r="AM352" i="69" s="1"/>
  <c r="AD352" i="69"/>
  <c r="AE352" i="69" s="1"/>
  <c r="T352" i="69"/>
  <c r="U352" i="69" s="1"/>
  <c r="L352" i="69"/>
  <c r="M352" i="69" s="1"/>
  <c r="BE351" i="69"/>
  <c r="BD351" i="69"/>
  <c r="AV351" i="69"/>
  <c r="AW351" i="69" s="1"/>
  <c r="AL351" i="69"/>
  <c r="AM351" i="69" s="1"/>
  <c r="AD351" i="69"/>
  <c r="AE351" i="69" s="1"/>
  <c r="T351" i="69"/>
  <c r="U351" i="69" s="1"/>
  <c r="L351" i="69"/>
  <c r="M351" i="69" s="1"/>
  <c r="BE350" i="69"/>
  <c r="BD350" i="69"/>
  <c r="AV350" i="69"/>
  <c r="AW350" i="69" s="1"/>
  <c r="AL350" i="69"/>
  <c r="AM350" i="69" s="1"/>
  <c r="AD350" i="69"/>
  <c r="AE350" i="69" s="1"/>
  <c r="U350" i="69"/>
  <c r="T350" i="69"/>
  <c r="L350" i="69"/>
  <c r="M350" i="69" s="1"/>
  <c r="BE349" i="69"/>
  <c r="BD349" i="69"/>
  <c r="AV349" i="69"/>
  <c r="AW349" i="69" s="1"/>
  <c r="AL349" i="69"/>
  <c r="AM349" i="69" s="1"/>
  <c r="AD349" i="69"/>
  <c r="AE349" i="69" s="1"/>
  <c r="U349" i="69"/>
  <c r="T349" i="69"/>
  <c r="L349" i="69"/>
  <c r="M349" i="69" s="1"/>
  <c r="BE348" i="69"/>
  <c r="BD348" i="69"/>
  <c r="AV348" i="69"/>
  <c r="AW348" i="69" s="1"/>
  <c r="AL348" i="69"/>
  <c r="AM348" i="69" s="1"/>
  <c r="AD348" i="69"/>
  <c r="AE348" i="69" s="1"/>
  <c r="T348" i="69"/>
  <c r="U348" i="69" s="1"/>
  <c r="L348" i="69"/>
  <c r="M348" i="69" s="1"/>
  <c r="BE347" i="69"/>
  <c r="BD347" i="69"/>
  <c r="AV347" i="69"/>
  <c r="AW347" i="69" s="1"/>
  <c r="AL347" i="69"/>
  <c r="AM347" i="69" s="1"/>
  <c r="AD347" i="69"/>
  <c r="AE347" i="69" s="1"/>
  <c r="T347" i="69"/>
  <c r="U347" i="69" s="1"/>
  <c r="L347" i="69"/>
  <c r="M347" i="69" s="1"/>
  <c r="BE346" i="69"/>
  <c r="BD346" i="69"/>
  <c r="AV346" i="69"/>
  <c r="AW346" i="69" s="1"/>
  <c r="AL346" i="69"/>
  <c r="AM346" i="69" s="1"/>
  <c r="AD346" i="69"/>
  <c r="AE346" i="69" s="1"/>
  <c r="U346" i="69"/>
  <c r="T346" i="69"/>
  <c r="L346" i="69"/>
  <c r="M346" i="69" s="1"/>
  <c r="BE345" i="69"/>
  <c r="BD345" i="69"/>
  <c r="AV345" i="69"/>
  <c r="AW345" i="69" s="1"/>
  <c r="AL345" i="69"/>
  <c r="AM345" i="69" s="1"/>
  <c r="AD345" i="69"/>
  <c r="AE345" i="69" s="1"/>
  <c r="U345" i="69"/>
  <c r="T345" i="69"/>
  <c r="L345" i="69"/>
  <c r="M345" i="69" s="1"/>
  <c r="BE344" i="69"/>
  <c r="BD344" i="69"/>
  <c r="AV344" i="69"/>
  <c r="AW344" i="69" s="1"/>
  <c r="AL344" i="69"/>
  <c r="AM344" i="69" s="1"/>
  <c r="AD344" i="69"/>
  <c r="AE344" i="69" s="1"/>
  <c r="T344" i="69"/>
  <c r="U344" i="69" s="1"/>
  <c r="L344" i="69"/>
  <c r="M344" i="69" s="1"/>
  <c r="BE343" i="69"/>
  <c r="BD343" i="69"/>
  <c r="AV343" i="69"/>
  <c r="AW343" i="69" s="1"/>
  <c r="AL343" i="69"/>
  <c r="AM343" i="69" s="1"/>
  <c r="AD343" i="69"/>
  <c r="AE343" i="69" s="1"/>
  <c r="T343" i="69"/>
  <c r="U343" i="69" s="1"/>
  <c r="L343" i="69"/>
  <c r="M343" i="69" s="1"/>
  <c r="BE342" i="69"/>
  <c r="BD342" i="69"/>
  <c r="AV342" i="69"/>
  <c r="AW342" i="69" s="1"/>
  <c r="AL342" i="69"/>
  <c r="AM342" i="69" s="1"/>
  <c r="AD342" i="69"/>
  <c r="AE342" i="69" s="1"/>
  <c r="U342" i="69"/>
  <c r="T342" i="69"/>
  <c r="L342" i="69"/>
  <c r="M342" i="69" s="1"/>
  <c r="BE341" i="69"/>
  <c r="BD341" i="69"/>
  <c r="AV341" i="69"/>
  <c r="AW341" i="69" s="1"/>
  <c r="AL341" i="69"/>
  <c r="AM341" i="69" s="1"/>
  <c r="AD341" i="69"/>
  <c r="AE341" i="69" s="1"/>
  <c r="U341" i="69"/>
  <c r="T341" i="69"/>
  <c r="M341" i="69"/>
  <c r="L341" i="69"/>
  <c r="BE340" i="69"/>
  <c r="BD340" i="69"/>
  <c r="AV340" i="69"/>
  <c r="AW340" i="69" s="1"/>
  <c r="AL340" i="69"/>
  <c r="AM340" i="69" s="1"/>
  <c r="AD340" i="69"/>
  <c r="AE340" i="69" s="1"/>
  <c r="T340" i="69"/>
  <c r="U340" i="69" s="1"/>
  <c r="L340" i="69"/>
  <c r="M340" i="69" s="1"/>
  <c r="BE339" i="69"/>
  <c r="BD339" i="69"/>
  <c r="AV339" i="69"/>
  <c r="AW339" i="69" s="1"/>
  <c r="AL339" i="69"/>
  <c r="AM339" i="69" s="1"/>
  <c r="AD339" i="69"/>
  <c r="AE339" i="69" s="1"/>
  <c r="T339" i="69"/>
  <c r="U339" i="69" s="1"/>
  <c r="L339" i="69"/>
  <c r="M339" i="69" s="1"/>
  <c r="BE338" i="69"/>
  <c r="BD338" i="69"/>
  <c r="AV338" i="69"/>
  <c r="AW338" i="69" s="1"/>
  <c r="AL338" i="69"/>
  <c r="AM338" i="69" s="1"/>
  <c r="AD338" i="69"/>
  <c r="AE338" i="69" s="1"/>
  <c r="U338" i="69"/>
  <c r="T338" i="69"/>
  <c r="L338" i="69"/>
  <c r="M338" i="69" s="1"/>
  <c r="BE337" i="69"/>
  <c r="BD337" i="69"/>
  <c r="AV337" i="69"/>
  <c r="AW337" i="69" s="1"/>
  <c r="AL337" i="69"/>
  <c r="AM337" i="69" s="1"/>
  <c r="AD337" i="69"/>
  <c r="AE337" i="69" s="1"/>
  <c r="U337" i="69"/>
  <c r="T337" i="69"/>
  <c r="L337" i="69"/>
  <c r="M337" i="69" s="1"/>
  <c r="BE336" i="69"/>
  <c r="BD336" i="69"/>
  <c r="AV336" i="69"/>
  <c r="AW336" i="69" s="1"/>
  <c r="AL336" i="69"/>
  <c r="AM336" i="69" s="1"/>
  <c r="AD336" i="69"/>
  <c r="AE336" i="69" s="1"/>
  <c r="T336" i="69"/>
  <c r="U336" i="69" s="1"/>
  <c r="L336" i="69"/>
  <c r="M336" i="69" s="1"/>
  <c r="BE335" i="69"/>
  <c r="BD335" i="69"/>
  <c r="AV335" i="69"/>
  <c r="AW335" i="69" s="1"/>
  <c r="AL335" i="69"/>
  <c r="AM335" i="69" s="1"/>
  <c r="AD335" i="69"/>
  <c r="AE335" i="69" s="1"/>
  <c r="T335" i="69"/>
  <c r="U335" i="69" s="1"/>
  <c r="L335" i="69"/>
  <c r="M335" i="69" s="1"/>
  <c r="BE334" i="69"/>
  <c r="BD334" i="69"/>
  <c r="AV334" i="69"/>
  <c r="AW334" i="69" s="1"/>
  <c r="AL334" i="69"/>
  <c r="AM334" i="69" s="1"/>
  <c r="AD334" i="69"/>
  <c r="AE334" i="69" s="1"/>
  <c r="U334" i="69"/>
  <c r="T334" i="69"/>
  <c r="L334" i="69"/>
  <c r="M334" i="69" s="1"/>
  <c r="BE333" i="69"/>
  <c r="BD333" i="69"/>
  <c r="AV333" i="69"/>
  <c r="AW333" i="69" s="1"/>
  <c r="AL333" i="69"/>
  <c r="AM333" i="69" s="1"/>
  <c r="AD333" i="69"/>
  <c r="AE333" i="69" s="1"/>
  <c r="U333" i="69"/>
  <c r="T333" i="69"/>
  <c r="L333" i="69"/>
  <c r="M333" i="69" s="1"/>
  <c r="BE332" i="69"/>
  <c r="BD332" i="69"/>
  <c r="AV332" i="69"/>
  <c r="AW332" i="69" s="1"/>
  <c r="AL332" i="69"/>
  <c r="AM332" i="69" s="1"/>
  <c r="AD332" i="69"/>
  <c r="AE332" i="69" s="1"/>
  <c r="T332" i="69"/>
  <c r="U332" i="69" s="1"/>
  <c r="L332" i="69"/>
  <c r="M332" i="69" s="1"/>
  <c r="BE331" i="69"/>
  <c r="BD331" i="69"/>
  <c r="AV331" i="69"/>
  <c r="AW331" i="69" s="1"/>
  <c r="AL331" i="69"/>
  <c r="AM331" i="69" s="1"/>
  <c r="AD331" i="69"/>
  <c r="AE331" i="69" s="1"/>
  <c r="T331" i="69"/>
  <c r="U331" i="69" s="1"/>
  <c r="L331" i="69"/>
  <c r="M331" i="69" s="1"/>
  <c r="BE330" i="69"/>
  <c r="BD330" i="69"/>
  <c r="AV330" i="69"/>
  <c r="AW330" i="69" s="1"/>
  <c r="AL330" i="69"/>
  <c r="AM330" i="69" s="1"/>
  <c r="AD330" i="69"/>
  <c r="AE330" i="69" s="1"/>
  <c r="U330" i="69"/>
  <c r="T330" i="69"/>
  <c r="L330" i="69"/>
  <c r="M330" i="69" s="1"/>
  <c r="BE329" i="69"/>
  <c r="BD329" i="69"/>
  <c r="AV329" i="69"/>
  <c r="AW329" i="69" s="1"/>
  <c r="AL329" i="69"/>
  <c r="AM329" i="69" s="1"/>
  <c r="AD329" i="69"/>
  <c r="AE329" i="69" s="1"/>
  <c r="U329" i="69"/>
  <c r="T329" i="69"/>
  <c r="M329" i="69"/>
  <c r="L329" i="69"/>
  <c r="BE328" i="69"/>
  <c r="BD328" i="69"/>
  <c r="AV328" i="69"/>
  <c r="AW328" i="69" s="1"/>
  <c r="AL328" i="69"/>
  <c r="AM328" i="69" s="1"/>
  <c r="AD328" i="69"/>
  <c r="AE328" i="69" s="1"/>
  <c r="T328" i="69"/>
  <c r="U328" i="69" s="1"/>
  <c r="L328" i="69"/>
  <c r="M328" i="69" s="1"/>
  <c r="BE327" i="69"/>
  <c r="BD327" i="69"/>
  <c r="AV327" i="69"/>
  <c r="AW327" i="69" s="1"/>
  <c r="AL327" i="69"/>
  <c r="AM327" i="69" s="1"/>
  <c r="AD327" i="69"/>
  <c r="AE327" i="69" s="1"/>
  <c r="T327" i="69"/>
  <c r="U327" i="69" s="1"/>
  <c r="L327" i="69"/>
  <c r="M327" i="69" s="1"/>
  <c r="BE326" i="69"/>
  <c r="BD326" i="69"/>
  <c r="AV326" i="69"/>
  <c r="AW326" i="69" s="1"/>
  <c r="AL326" i="69"/>
  <c r="AM326" i="69" s="1"/>
  <c r="AD326" i="69"/>
  <c r="AE326" i="69" s="1"/>
  <c r="U326" i="69"/>
  <c r="T326" i="69"/>
  <c r="L326" i="69"/>
  <c r="M326" i="69" s="1"/>
  <c r="BE325" i="69"/>
  <c r="BD325" i="69"/>
  <c r="AV325" i="69"/>
  <c r="AW325" i="69" s="1"/>
  <c r="AL325" i="69"/>
  <c r="AM325" i="69" s="1"/>
  <c r="AD325" i="69"/>
  <c r="AE325" i="69" s="1"/>
  <c r="U325" i="69"/>
  <c r="T325" i="69"/>
  <c r="M325" i="69"/>
  <c r="L325" i="69"/>
  <c r="BE324" i="69"/>
  <c r="BD324" i="69"/>
  <c r="AV324" i="69"/>
  <c r="AW324" i="69" s="1"/>
  <c r="AL324" i="69"/>
  <c r="AM324" i="69" s="1"/>
  <c r="AD324" i="69"/>
  <c r="AE324" i="69" s="1"/>
  <c r="T324" i="69"/>
  <c r="U324" i="69" s="1"/>
  <c r="L324" i="69"/>
  <c r="M324" i="69" s="1"/>
  <c r="BE323" i="69"/>
  <c r="BD323" i="69"/>
  <c r="AV323" i="69"/>
  <c r="AW323" i="69" s="1"/>
  <c r="AL323" i="69"/>
  <c r="AM323" i="69" s="1"/>
  <c r="AD323" i="69"/>
  <c r="AE323" i="69" s="1"/>
  <c r="T323" i="69"/>
  <c r="U323" i="69" s="1"/>
  <c r="L323" i="69"/>
  <c r="M323" i="69" s="1"/>
  <c r="BE322" i="69"/>
  <c r="BD322" i="69"/>
  <c r="AV322" i="69"/>
  <c r="AW322" i="69" s="1"/>
  <c r="AL322" i="69"/>
  <c r="AM322" i="69" s="1"/>
  <c r="AE322" i="69"/>
  <c r="AD322" i="69"/>
  <c r="U322" i="69"/>
  <c r="T322" i="69"/>
  <c r="L322" i="69"/>
  <c r="M322" i="69" s="1"/>
  <c r="BE321" i="69"/>
  <c r="BD321" i="69"/>
  <c r="AV321" i="69"/>
  <c r="AW321" i="69" s="1"/>
  <c r="AL321" i="69"/>
  <c r="AM321" i="69" s="1"/>
  <c r="AE321" i="69"/>
  <c r="AD321" i="69"/>
  <c r="T321" i="69"/>
  <c r="U321" i="69" s="1"/>
  <c r="M321" i="69"/>
  <c r="L321" i="69"/>
  <c r="BE320" i="69"/>
  <c r="BD320" i="69"/>
  <c r="AV320" i="69"/>
  <c r="AW320" i="69" s="1"/>
  <c r="AL320" i="69"/>
  <c r="AM320" i="69" s="1"/>
  <c r="AE320" i="69"/>
  <c r="AD320" i="69"/>
  <c r="U320" i="69"/>
  <c r="T320" i="69"/>
  <c r="L320" i="69"/>
  <c r="M320" i="69" s="1"/>
  <c r="BE319" i="69"/>
  <c r="BD319" i="69"/>
  <c r="AV319" i="69"/>
  <c r="AW319" i="69" s="1"/>
  <c r="AL319" i="69"/>
  <c r="AM319" i="69" s="1"/>
  <c r="AD319" i="69"/>
  <c r="AE319" i="69" s="1"/>
  <c r="U319" i="69"/>
  <c r="T319" i="69"/>
  <c r="M319" i="69"/>
  <c r="L319" i="69"/>
  <c r="BE318" i="69"/>
  <c r="BD318" i="69"/>
  <c r="AV318" i="69"/>
  <c r="AW318" i="69" s="1"/>
  <c r="AL318" i="69"/>
  <c r="AM318" i="69" s="1"/>
  <c r="AD318" i="69"/>
  <c r="AE318" i="69" s="1"/>
  <c r="T318" i="69"/>
  <c r="U318" i="69" s="1"/>
  <c r="M318" i="69"/>
  <c r="L318" i="69"/>
  <c r="BE317" i="69"/>
  <c r="BD317" i="69"/>
  <c r="AV317" i="69"/>
  <c r="AW317" i="69" s="1"/>
  <c r="AL317" i="69"/>
  <c r="AM317" i="69" s="1"/>
  <c r="AE317" i="69"/>
  <c r="AD317" i="69"/>
  <c r="T317" i="69"/>
  <c r="U317" i="69" s="1"/>
  <c r="L317" i="69"/>
  <c r="M317" i="69" s="1"/>
  <c r="BE316" i="69"/>
  <c r="BD316" i="69"/>
  <c r="AV316" i="69"/>
  <c r="AW316" i="69" s="1"/>
  <c r="AL316" i="69"/>
  <c r="AM316" i="69" s="1"/>
  <c r="AD316" i="69"/>
  <c r="AE316" i="69" s="1"/>
  <c r="U316" i="69"/>
  <c r="T316" i="69"/>
  <c r="L316" i="69"/>
  <c r="M316" i="69" s="1"/>
  <c r="BE315" i="69"/>
  <c r="BD315" i="69"/>
  <c r="AV315" i="69"/>
  <c r="AW315" i="69" s="1"/>
  <c r="AL315" i="69"/>
  <c r="AM315" i="69" s="1"/>
  <c r="AE315" i="69"/>
  <c r="AD315" i="69"/>
  <c r="T315" i="69"/>
  <c r="U315" i="69" s="1"/>
  <c r="M315" i="69"/>
  <c r="L315" i="69"/>
  <c r="BD314" i="69"/>
  <c r="BE314" i="69" s="1"/>
  <c r="AV314" i="69"/>
  <c r="AW314" i="69" s="1"/>
  <c r="AL314" i="69"/>
  <c r="AM314" i="69" s="1"/>
  <c r="AE314" i="69"/>
  <c r="AD314" i="69"/>
  <c r="U314" i="69"/>
  <c r="T314" i="69"/>
  <c r="M314" i="69"/>
  <c r="L314" i="69"/>
  <c r="BE313" i="69"/>
  <c r="BD313" i="69"/>
  <c r="AV313" i="69"/>
  <c r="AW313" i="69" s="1"/>
  <c r="AL313" i="69"/>
  <c r="AM313" i="69" s="1"/>
  <c r="AD313" i="69"/>
  <c r="AE313" i="69" s="1"/>
  <c r="U313" i="69"/>
  <c r="T313" i="69"/>
  <c r="M313" i="69"/>
  <c r="L313" i="69"/>
  <c r="BD312" i="69"/>
  <c r="BE312" i="69" s="1"/>
  <c r="AV312" i="69"/>
  <c r="AW312" i="69" s="1"/>
  <c r="AL312" i="69"/>
  <c r="AM312" i="69" s="1"/>
  <c r="AD312" i="69"/>
  <c r="AE312" i="69" s="1"/>
  <c r="T312" i="69"/>
  <c r="U312" i="69" s="1"/>
  <c r="M312" i="69"/>
  <c r="L312" i="69"/>
  <c r="BE311" i="69"/>
  <c r="BD311" i="69"/>
  <c r="AV311" i="69"/>
  <c r="AW311" i="69" s="1"/>
  <c r="AL311" i="69"/>
  <c r="AM311" i="69" s="1"/>
  <c r="AE311" i="69"/>
  <c r="AD311" i="69"/>
  <c r="T311" i="69"/>
  <c r="U311" i="69" s="1"/>
  <c r="L311" i="69"/>
  <c r="M311" i="69" s="1"/>
  <c r="BE310" i="69"/>
  <c r="BD310" i="69"/>
  <c r="AV310" i="69"/>
  <c r="AW310" i="69" s="1"/>
  <c r="AL310" i="69"/>
  <c r="AM310" i="69" s="1"/>
  <c r="AD310" i="69"/>
  <c r="AE310" i="69" s="1"/>
  <c r="U310" i="69"/>
  <c r="T310" i="69"/>
  <c r="L310" i="69"/>
  <c r="M310" i="69" s="1"/>
  <c r="BD309" i="69"/>
  <c r="BE309" i="69" s="1"/>
  <c r="AV309" i="69"/>
  <c r="AW309" i="69" s="1"/>
  <c r="AL309" i="69"/>
  <c r="AM309" i="69" s="1"/>
  <c r="AE309" i="69"/>
  <c r="AD309" i="69"/>
  <c r="U309" i="69"/>
  <c r="T309" i="69"/>
  <c r="L309" i="69"/>
  <c r="M309" i="69" s="1"/>
  <c r="BD308" i="69"/>
  <c r="BE308" i="69" s="1"/>
  <c r="AV308" i="69"/>
  <c r="AW308" i="69" s="1"/>
  <c r="AL308" i="69"/>
  <c r="AM308" i="69" s="1"/>
  <c r="AE308" i="69"/>
  <c r="AD308" i="69"/>
  <c r="U308" i="69"/>
  <c r="T308" i="69"/>
  <c r="L308" i="69"/>
  <c r="M308" i="69" s="1"/>
  <c r="BD307" i="69"/>
  <c r="BE307" i="69" s="1"/>
  <c r="AV307" i="69"/>
  <c r="AW307" i="69" s="1"/>
  <c r="AL307" i="69"/>
  <c r="AM307" i="69" s="1"/>
  <c r="AD307" i="69"/>
  <c r="AE307" i="69" s="1"/>
  <c r="U307" i="69"/>
  <c r="T307" i="69"/>
  <c r="M307" i="69"/>
  <c r="L307" i="69"/>
  <c r="BD306" i="69"/>
  <c r="BE306" i="69" s="1"/>
  <c r="AV306" i="69"/>
  <c r="AW306" i="69" s="1"/>
  <c r="AL306" i="69"/>
  <c r="AM306" i="69" s="1"/>
  <c r="AD306" i="69"/>
  <c r="AE306" i="69" s="1"/>
  <c r="T306" i="69"/>
  <c r="U306" i="69" s="1"/>
  <c r="M306" i="69"/>
  <c r="L306" i="69"/>
  <c r="BE305" i="69"/>
  <c r="BD305" i="69"/>
  <c r="AV305" i="69"/>
  <c r="AW305" i="69" s="1"/>
  <c r="AL305" i="69"/>
  <c r="AM305" i="69" s="1"/>
  <c r="AD305" i="69"/>
  <c r="AE305" i="69" s="1"/>
  <c r="T305" i="69"/>
  <c r="U305" i="69" s="1"/>
  <c r="L305" i="69"/>
  <c r="M305" i="69" s="1"/>
  <c r="BE304" i="69"/>
  <c r="BD304" i="69"/>
  <c r="AV304" i="69"/>
  <c r="AW304" i="69" s="1"/>
  <c r="AL304" i="69"/>
  <c r="AM304" i="69" s="1"/>
  <c r="AE304" i="69"/>
  <c r="AD304" i="69"/>
  <c r="T304" i="69"/>
  <c r="U304" i="69" s="1"/>
  <c r="L304" i="69"/>
  <c r="M304" i="69" s="1"/>
  <c r="BD303" i="69"/>
  <c r="BE303" i="69" s="1"/>
  <c r="AV303" i="69"/>
  <c r="AW303" i="69" s="1"/>
  <c r="AL303" i="69"/>
  <c r="AM303" i="69" s="1"/>
  <c r="AD303" i="69"/>
  <c r="AE303" i="69" s="1"/>
  <c r="U303" i="69"/>
  <c r="T303" i="69"/>
  <c r="M303" i="69"/>
  <c r="L303" i="69"/>
  <c r="BE302" i="69"/>
  <c r="BD302" i="69"/>
  <c r="AV302" i="69"/>
  <c r="AW302" i="69" s="1"/>
  <c r="AM302" i="69"/>
  <c r="AL302" i="69"/>
  <c r="AE302" i="69"/>
  <c r="AD302" i="69"/>
  <c r="T302" i="69"/>
  <c r="U302" i="69" s="1"/>
  <c r="L302" i="69"/>
  <c r="M302" i="69" s="1"/>
  <c r="BD301" i="69"/>
  <c r="BE301" i="69" s="1"/>
  <c r="AV301" i="69"/>
  <c r="AW301" i="69" s="1"/>
  <c r="AL301" i="69"/>
  <c r="AM301" i="69" s="1"/>
  <c r="AD301" i="69"/>
  <c r="AE301" i="69" s="1"/>
  <c r="T301" i="69"/>
  <c r="U301" i="69" s="1"/>
  <c r="M301" i="69"/>
  <c r="L301" i="69"/>
  <c r="BE300" i="69"/>
  <c r="BD300" i="69"/>
  <c r="AV300" i="69"/>
  <c r="AW300" i="69" s="1"/>
  <c r="AL300" i="69"/>
  <c r="AM300" i="69" s="1"/>
  <c r="AE300" i="69"/>
  <c r="AD300" i="69"/>
  <c r="U300" i="69"/>
  <c r="T300" i="69"/>
  <c r="L300" i="69"/>
  <c r="M300" i="69" s="1"/>
  <c r="BD299" i="69"/>
  <c r="BE299" i="69" s="1"/>
  <c r="AV299" i="69"/>
  <c r="AW299" i="69" s="1"/>
  <c r="AM299" i="69"/>
  <c r="AL299" i="69"/>
  <c r="AD299" i="69"/>
  <c r="AE299" i="69" s="1"/>
  <c r="T299" i="69"/>
  <c r="U299" i="69" s="1"/>
  <c r="L299" i="69"/>
  <c r="M299" i="69" s="1"/>
  <c r="BE298" i="69"/>
  <c r="BD298" i="69"/>
  <c r="AV298" i="69"/>
  <c r="AW298" i="69" s="1"/>
  <c r="AL298" i="69"/>
  <c r="AM298" i="69" s="1"/>
  <c r="AD298" i="69"/>
  <c r="AE298" i="69" s="1"/>
  <c r="U298" i="69"/>
  <c r="T298" i="69"/>
  <c r="M298" i="69"/>
  <c r="L298" i="69"/>
  <c r="BD297" i="69"/>
  <c r="BE297" i="69" s="1"/>
  <c r="AV297" i="69"/>
  <c r="AW297" i="69" s="1"/>
  <c r="AM297" i="69"/>
  <c r="AL297" i="69"/>
  <c r="AE297" i="69"/>
  <c r="AD297" i="69"/>
  <c r="T297" i="69"/>
  <c r="U297" i="69" s="1"/>
  <c r="L297" i="69"/>
  <c r="M297" i="69" s="1"/>
  <c r="BD296" i="69"/>
  <c r="BE296" i="69" s="1"/>
  <c r="AV296" i="69"/>
  <c r="AW296" i="69" s="1"/>
  <c r="AL296" i="69"/>
  <c r="AM296" i="69" s="1"/>
  <c r="AD296" i="69"/>
  <c r="AE296" i="69" s="1"/>
  <c r="T296" i="69"/>
  <c r="U296" i="69" s="1"/>
  <c r="M296" i="69"/>
  <c r="L296" i="69"/>
  <c r="BE295" i="69"/>
  <c r="BD295" i="69"/>
  <c r="AV295" i="69"/>
  <c r="AW295" i="69" s="1"/>
  <c r="AM295" i="69"/>
  <c r="AL295" i="69"/>
  <c r="AE295" i="69"/>
  <c r="AD295" i="69"/>
  <c r="U295" i="69"/>
  <c r="T295" i="69"/>
  <c r="L295" i="69"/>
  <c r="M295" i="69" s="1"/>
  <c r="BD294" i="69"/>
  <c r="BE294" i="69" s="1"/>
  <c r="AV294" i="69"/>
  <c r="AW294" i="69" s="1"/>
  <c r="AL294" i="69"/>
  <c r="AM294" i="69" s="1"/>
  <c r="AD294" i="69"/>
  <c r="AE294" i="69" s="1"/>
  <c r="T294" i="69"/>
  <c r="U294" i="69" s="1"/>
  <c r="L294" i="69"/>
  <c r="M294" i="69" s="1"/>
  <c r="BE293" i="69"/>
  <c r="BD293" i="69"/>
  <c r="AV293" i="69"/>
  <c r="AW293" i="69" s="1"/>
  <c r="AL293" i="69"/>
  <c r="AM293" i="69" s="1"/>
  <c r="AE293" i="69"/>
  <c r="AD293" i="69"/>
  <c r="U293" i="69"/>
  <c r="T293" i="69"/>
  <c r="M293" i="69"/>
  <c r="L293" i="69"/>
  <c r="BD292" i="69"/>
  <c r="BE292" i="69" s="1"/>
  <c r="AV292" i="69"/>
  <c r="AW292" i="69" s="1"/>
  <c r="AM292" i="69"/>
  <c r="AL292" i="69"/>
  <c r="AD292" i="69"/>
  <c r="AE292" i="69" s="1"/>
  <c r="T292" i="69"/>
  <c r="U292" i="69" s="1"/>
  <c r="L292" i="69"/>
  <c r="M292" i="69" s="1"/>
  <c r="BD291" i="69"/>
  <c r="BE291" i="69" s="1"/>
  <c r="AW291" i="69"/>
  <c r="AV291" i="69"/>
  <c r="AM291" i="69"/>
  <c r="AL291" i="69"/>
  <c r="AD291" i="69"/>
  <c r="AE291" i="69" s="1"/>
  <c r="T291" i="69"/>
  <c r="U291" i="69" s="1"/>
  <c r="L291" i="69"/>
  <c r="M291" i="69" s="1"/>
  <c r="BD290" i="69"/>
  <c r="BE290" i="69" s="1"/>
  <c r="AV290" i="69"/>
  <c r="AW290" i="69" s="1"/>
  <c r="AM290" i="69"/>
  <c r="AL290" i="69"/>
  <c r="AD290" i="69"/>
  <c r="AE290" i="69" s="1"/>
  <c r="T290" i="69"/>
  <c r="U290" i="69" s="1"/>
  <c r="L290" i="69"/>
  <c r="M290" i="69" s="1"/>
  <c r="BD289" i="69"/>
  <c r="BE289" i="69" s="1"/>
  <c r="AV289" i="69"/>
  <c r="AW289" i="69" s="1"/>
  <c r="AM289" i="69"/>
  <c r="AL289" i="69"/>
  <c r="AD289" i="69"/>
  <c r="AE289" i="69" s="1"/>
  <c r="T289" i="69"/>
  <c r="U289" i="69" s="1"/>
  <c r="L289" i="69"/>
  <c r="M289" i="69" s="1"/>
  <c r="BD288" i="69"/>
  <c r="BE288" i="69" s="1"/>
  <c r="AV288" i="69"/>
  <c r="AW288" i="69" s="1"/>
  <c r="AM288" i="69"/>
  <c r="AL288" i="69"/>
  <c r="AD288" i="69"/>
  <c r="AE288" i="69" s="1"/>
  <c r="T288" i="69"/>
  <c r="U288" i="69" s="1"/>
  <c r="L288" i="69"/>
  <c r="M288" i="69" s="1"/>
  <c r="BD287" i="69"/>
  <c r="BE287" i="69" s="1"/>
  <c r="AV287" i="69"/>
  <c r="AW287" i="69" s="1"/>
  <c r="AM287" i="69"/>
  <c r="AL287" i="69"/>
  <c r="AD287" i="69"/>
  <c r="AE287" i="69" s="1"/>
  <c r="T287" i="69"/>
  <c r="U287" i="69" s="1"/>
  <c r="L287" i="69"/>
  <c r="M287" i="69" s="1"/>
  <c r="BD286" i="69"/>
  <c r="BE286" i="69" s="1"/>
  <c r="AV286" i="69"/>
  <c r="AW286" i="69" s="1"/>
  <c r="AM286" i="69"/>
  <c r="AL286" i="69"/>
  <c r="AD286" i="69"/>
  <c r="AE286" i="69" s="1"/>
  <c r="T286" i="69"/>
  <c r="U286" i="69" s="1"/>
  <c r="L286" i="69"/>
  <c r="M286" i="69" s="1"/>
  <c r="BD285" i="69"/>
  <c r="BE285" i="69" s="1"/>
  <c r="AV285" i="69"/>
  <c r="AW285" i="69" s="1"/>
  <c r="AM285" i="69"/>
  <c r="AL285" i="69"/>
  <c r="AD285" i="69"/>
  <c r="AE285" i="69" s="1"/>
  <c r="T285" i="69"/>
  <c r="U285" i="69" s="1"/>
  <c r="L285" i="69"/>
  <c r="M285" i="69" s="1"/>
  <c r="BD284" i="69"/>
  <c r="BE284" i="69" s="1"/>
  <c r="AV284" i="69"/>
  <c r="AW284" i="69" s="1"/>
  <c r="AM284" i="69"/>
  <c r="AL284" i="69"/>
  <c r="AE284" i="69"/>
  <c r="AD284" i="69"/>
  <c r="T284" i="69"/>
  <c r="U284" i="69" s="1"/>
  <c r="L284" i="69"/>
  <c r="M284" i="69" s="1"/>
  <c r="BD283" i="69"/>
  <c r="BE283" i="69" s="1"/>
  <c r="AV283" i="69"/>
  <c r="AW283" i="69" s="1"/>
  <c r="AM283" i="69"/>
  <c r="AL283" i="69"/>
  <c r="AD283" i="69"/>
  <c r="AE283" i="69" s="1"/>
  <c r="T283" i="69"/>
  <c r="U283" i="69" s="1"/>
  <c r="L283" i="69"/>
  <c r="M283" i="69" s="1"/>
  <c r="BD282" i="69"/>
  <c r="BE282" i="69" s="1"/>
  <c r="AV282" i="69"/>
  <c r="AW282" i="69" s="1"/>
  <c r="AL282" i="69"/>
  <c r="AM282" i="69" s="1"/>
  <c r="AD282" i="69"/>
  <c r="AE282" i="69" s="1"/>
  <c r="T282" i="69"/>
  <c r="U282" i="69" s="1"/>
  <c r="L282" i="69"/>
  <c r="M282" i="69" s="1"/>
  <c r="BD281" i="69"/>
  <c r="BE281" i="69" s="1"/>
  <c r="AV281" i="69"/>
  <c r="AW281" i="69" s="1"/>
  <c r="AM281" i="69"/>
  <c r="AL281" i="69"/>
  <c r="AD281" i="69"/>
  <c r="AE281" i="69" s="1"/>
  <c r="T281" i="69"/>
  <c r="U281" i="69" s="1"/>
  <c r="L281" i="69"/>
  <c r="M281" i="69" s="1"/>
  <c r="BD280" i="69"/>
  <c r="BE280" i="69" s="1"/>
  <c r="AV280" i="69"/>
  <c r="AW280" i="69" s="1"/>
  <c r="AL280" i="69"/>
  <c r="AM280" i="69" s="1"/>
  <c r="AD280" i="69"/>
  <c r="AE280" i="69" s="1"/>
  <c r="T280" i="69"/>
  <c r="U280" i="69" s="1"/>
  <c r="L280" i="69"/>
  <c r="M280" i="69" s="1"/>
  <c r="BD279" i="69"/>
  <c r="BE279" i="69" s="1"/>
  <c r="AV279" i="69"/>
  <c r="AW279" i="69" s="1"/>
  <c r="AL279" i="69"/>
  <c r="AM279" i="69" s="1"/>
  <c r="AD279" i="69"/>
  <c r="AE279" i="69" s="1"/>
  <c r="T279" i="69"/>
  <c r="U279" i="69" s="1"/>
  <c r="L279" i="69"/>
  <c r="M279" i="69" s="1"/>
  <c r="BD278" i="69"/>
  <c r="BE278" i="69" s="1"/>
  <c r="AV278" i="69"/>
  <c r="AW278" i="69" s="1"/>
  <c r="AM278" i="69"/>
  <c r="AL278" i="69"/>
  <c r="AE278" i="69"/>
  <c r="AD278" i="69"/>
  <c r="T278" i="69"/>
  <c r="U278" i="69" s="1"/>
  <c r="L278" i="69"/>
  <c r="M278" i="69" s="1"/>
  <c r="BD277" i="69"/>
  <c r="BE277" i="69" s="1"/>
  <c r="AV277" i="69"/>
  <c r="AW277" i="69" s="1"/>
  <c r="AL277" i="69"/>
  <c r="AM277" i="69" s="1"/>
  <c r="AD277" i="69"/>
  <c r="AE277" i="69" s="1"/>
  <c r="T277" i="69"/>
  <c r="U277" i="69" s="1"/>
  <c r="L277" i="69"/>
  <c r="M277" i="69" s="1"/>
  <c r="BD276" i="69"/>
  <c r="BE276" i="69" s="1"/>
  <c r="AV276" i="69"/>
  <c r="AW276" i="69" s="1"/>
  <c r="AL276" i="69"/>
  <c r="AM276" i="69" s="1"/>
  <c r="AD276" i="69"/>
  <c r="AE276" i="69" s="1"/>
  <c r="T276" i="69"/>
  <c r="U276" i="69" s="1"/>
  <c r="L276" i="69"/>
  <c r="M276" i="69" s="1"/>
  <c r="BD275" i="69"/>
  <c r="BE275" i="69" s="1"/>
  <c r="AV275" i="69"/>
  <c r="AW275" i="69" s="1"/>
  <c r="AM275" i="69"/>
  <c r="AL275" i="69"/>
  <c r="AE275" i="69"/>
  <c r="AD275" i="69"/>
  <c r="T275" i="69"/>
  <c r="U275" i="69" s="1"/>
  <c r="L275" i="69"/>
  <c r="M275" i="69" s="1"/>
  <c r="BD274" i="69"/>
  <c r="BE274" i="69" s="1"/>
  <c r="AV274" i="69"/>
  <c r="AW274" i="69" s="1"/>
  <c r="AL274" i="69"/>
  <c r="AM274" i="69" s="1"/>
  <c r="AD274" i="69"/>
  <c r="AE274" i="69" s="1"/>
  <c r="T274" i="69"/>
  <c r="U274" i="69" s="1"/>
  <c r="L274" i="69"/>
  <c r="M274" i="69" s="1"/>
  <c r="BD273" i="69"/>
  <c r="BE273" i="69" s="1"/>
  <c r="AV273" i="69"/>
  <c r="AW273" i="69" s="1"/>
  <c r="AL273" i="69"/>
  <c r="AM273" i="69" s="1"/>
  <c r="AD273" i="69"/>
  <c r="AE273" i="69" s="1"/>
  <c r="T273" i="69"/>
  <c r="U273" i="69" s="1"/>
  <c r="L273" i="69"/>
  <c r="M273" i="69" s="1"/>
  <c r="BD272" i="69"/>
  <c r="BE272" i="69" s="1"/>
  <c r="AV272" i="69"/>
  <c r="AW272" i="69" s="1"/>
  <c r="AM272" i="69"/>
  <c r="AL272" i="69"/>
  <c r="AD272" i="69"/>
  <c r="AE272" i="69" s="1"/>
  <c r="T272" i="69"/>
  <c r="U272" i="69" s="1"/>
  <c r="L272" i="69"/>
  <c r="M272" i="69" s="1"/>
  <c r="BD271" i="69"/>
  <c r="BE271" i="69" s="1"/>
  <c r="AV271" i="69"/>
  <c r="AW271" i="69" s="1"/>
  <c r="AL271" i="69"/>
  <c r="AM271" i="69" s="1"/>
  <c r="AD271" i="69"/>
  <c r="AE271" i="69" s="1"/>
  <c r="T271" i="69"/>
  <c r="U271" i="69" s="1"/>
  <c r="L271" i="69"/>
  <c r="M271" i="69" s="1"/>
  <c r="BD270" i="69"/>
  <c r="BE270" i="69" s="1"/>
  <c r="AV270" i="69"/>
  <c r="AW270" i="69" s="1"/>
  <c r="AL270" i="69"/>
  <c r="AM270" i="69" s="1"/>
  <c r="AD270" i="69"/>
  <c r="AE270" i="69" s="1"/>
  <c r="T270" i="69"/>
  <c r="U270" i="69" s="1"/>
  <c r="L270" i="69"/>
  <c r="M270" i="69" s="1"/>
  <c r="BD269" i="69"/>
  <c r="BE269" i="69" s="1"/>
  <c r="AV269" i="69"/>
  <c r="AW269" i="69" s="1"/>
  <c r="AM269" i="69"/>
  <c r="AL269" i="69"/>
  <c r="AE269" i="69"/>
  <c r="AD269" i="69"/>
  <c r="T269" i="69"/>
  <c r="U269" i="69" s="1"/>
  <c r="L269" i="69"/>
  <c r="M269" i="69" s="1"/>
  <c r="BD268" i="69"/>
  <c r="BE268" i="69" s="1"/>
  <c r="AV268" i="69"/>
  <c r="AW268" i="69" s="1"/>
  <c r="AL268" i="69"/>
  <c r="AM268" i="69" s="1"/>
  <c r="AD268" i="69"/>
  <c r="AE268" i="69" s="1"/>
  <c r="T268" i="69"/>
  <c r="U268" i="69" s="1"/>
  <c r="L268" i="69"/>
  <c r="M268" i="69" s="1"/>
  <c r="BD267" i="69"/>
  <c r="BE267" i="69" s="1"/>
  <c r="AV267" i="69"/>
  <c r="AW267" i="69" s="1"/>
  <c r="AL267" i="69"/>
  <c r="AM267" i="69" s="1"/>
  <c r="AD267" i="69"/>
  <c r="AE267" i="69" s="1"/>
  <c r="T267" i="69"/>
  <c r="U267" i="69" s="1"/>
  <c r="L267" i="69"/>
  <c r="M267" i="69" s="1"/>
  <c r="BD266" i="69"/>
  <c r="BE266" i="69" s="1"/>
  <c r="AV266" i="69"/>
  <c r="AW266" i="69" s="1"/>
  <c r="AM266" i="69"/>
  <c r="AL266" i="69"/>
  <c r="AE266" i="69"/>
  <c r="AD266" i="69"/>
  <c r="T266" i="69"/>
  <c r="U266" i="69" s="1"/>
  <c r="L266" i="69"/>
  <c r="M266" i="69" s="1"/>
  <c r="BD265" i="69"/>
  <c r="BE265" i="69" s="1"/>
  <c r="AV265" i="69"/>
  <c r="AW265" i="69" s="1"/>
  <c r="AL265" i="69"/>
  <c r="AM265" i="69" s="1"/>
  <c r="AD265" i="69"/>
  <c r="AE265" i="69" s="1"/>
  <c r="T265" i="69"/>
  <c r="U265" i="69" s="1"/>
  <c r="L265" i="69"/>
  <c r="M265" i="69" s="1"/>
  <c r="BD264" i="69"/>
  <c r="BE264" i="69" s="1"/>
  <c r="AV264" i="69"/>
  <c r="AW264" i="69" s="1"/>
  <c r="AL264" i="69"/>
  <c r="AM264" i="69" s="1"/>
  <c r="AD264" i="69"/>
  <c r="AE264" i="69" s="1"/>
  <c r="T264" i="69"/>
  <c r="U264" i="69" s="1"/>
  <c r="L264" i="69"/>
  <c r="M264" i="69" s="1"/>
  <c r="BD263" i="69"/>
  <c r="BE263" i="69" s="1"/>
  <c r="AV263" i="69"/>
  <c r="AW263" i="69" s="1"/>
  <c r="AM263" i="69"/>
  <c r="AL263" i="69"/>
  <c r="AD263" i="69"/>
  <c r="AE263" i="69" s="1"/>
  <c r="T263" i="69"/>
  <c r="U263" i="69" s="1"/>
  <c r="L263" i="69"/>
  <c r="M263" i="69" s="1"/>
  <c r="BD262" i="69"/>
  <c r="BE262" i="69" s="1"/>
  <c r="AV262" i="69"/>
  <c r="AW262" i="69" s="1"/>
  <c r="AL262" i="69"/>
  <c r="AM262" i="69" s="1"/>
  <c r="AD262" i="69"/>
  <c r="AE262" i="69" s="1"/>
  <c r="T262" i="69"/>
  <c r="U262" i="69" s="1"/>
  <c r="L262" i="69"/>
  <c r="M262" i="69" s="1"/>
  <c r="BD261" i="69"/>
  <c r="BE261" i="69" s="1"/>
  <c r="AV261" i="69"/>
  <c r="AW261" i="69" s="1"/>
  <c r="AL261" i="69"/>
  <c r="AM261" i="69" s="1"/>
  <c r="AD261" i="69"/>
  <c r="AE261" i="69" s="1"/>
  <c r="T261" i="69"/>
  <c r="U261" i="69" s="1"/>
  <c r="L261" i="69"/>
  <c r="M261" i="69" s="1"/>
  <c r="BD260" i="69"/>
  <c r="BE260" i="69" s="1"/>
  <c r="AV260" i="69"/>
  <c r="AW260" i="69" s="1"/>
  <c r="AM260" i="69"/>
  <c r="AL260" i="69"/>
  <c r="AE260" i="69"/>
  <c r="AD260" i="69"/>
  <c r="T260" i="69"/>
  <c r="U260" i="69" s="1"/>
  <c r="L260" i="69"/>
  <c r="M260" i="69" s="1"/>
  <c r="BD259" i="69"/>
  <c r="BE259" i="69" s="1"/>
  <c r="AV259" i="69"/>
  <c r="AW259" i="69" s="1"/>
  <c r="AL259" i="69"/>
  <c r="AM259" i="69" s="1"/>
  <c r="AD259" i="69"/>
  <c r="AE259" i="69" s="1"/>
  <c r="T259" i="69"/>
  <c r="U259" i="69" s="1"/>
  <c r="L259" i="69"/>
  <c r="M259" i="69" s="1"/>
  <c r="BD258" i="69"/>
  <c r="BE258" i="69" s="1"/>
  <c r="AW258" i="69"/>
  <c r="AV258" i="69"/>
  <c r="AM258" i="69"/>
  <c r="AL258" i="69"/>
  <c r="AE258" i="69"/>
  <c r="AD258" i="69"/>
  <c r="T258" i="69"/>
  <c r="U258" i="69" s="1"/>
  <c r="L258" i="69"/>
  <c r="M258" i="69" s="1"/>
  <c r="BD257" i="69"/>
  <c r="BE257" i="69" s="1"/>
  <c r="AW257" i="69"/>
  <c r="AV257" i="69"/>
  <c r="AL257" i="69"/>
  <c r="AM257" i="69" s="1"/>
  <c r="AD257" i="69"/>
  <c r="AE257" i="69" s="1"/>
  <c r="T257" i="69"/>
  <c r="U257" i="69" s="1"/>
  <c r="L257" i="69"/>
  <c r="M257" i="69" s="1"/>
  <c r="BD256" i="69"/>
  <c r="BE256" i="69" s="1"/>
  <c r="AV256" i="69"/>
  <c r="AW256" i="69" s="1"/>
  <c r="AM256" i="69"/>
  <c r="AL256" i="69"/>
  <c r="AD256" i="69"/>
  <c r="AE256" i="69" s="1"/>
  <c r="T256" i="69"/>
  <c r="U256" i="69" s="1"/>
  <c r="L256" i="69"/>
  <c r="M256" i="69" s="1"/>
  <c r="BD255" i="69"/>
  <c r="BE255" i="69" s="1"/>
  <c r="AV255" i="69"/>
  <c r="AW255" i="69" s="1"/>
  <c r="AL255" i="69"/>
  <c r="AM255" i="69" s="1"/>
  <c r="AD255" i="69"/>
  <c r="AE255" i="69" s="1"/>
  <c r="T255" i="69"/>
  <c r="U255" i="69" s="1"/>
  <c r="L255" i="69"/>
  <c r="M255" i="69" s="1"/>
  <c r="BD254" i="69"/>
  <c r="BE254" i="69" s="1"/>
  <c r="AW254" i="69"/>
  <c r="AV254" i="69"/>
  <c r="AM254" i="69"/>
  <c r="AL254" i="69"/>
  <c r="AE254" i="69"/>
  <c r="AD254" i="69"/>
  <c r="T254" i="69"/>
  <c r="U254" i="69" s="1"/>
  <c r="L254" i="69"/>
  <c r="M254" i="69" s="1"/>
  <c r="BD253" i="69"/>
  <c r="BE253" i="69" s="1"/>
  <c r="AW253" i="69"/>
  <c r="AV253" i="69"/>
  <c r="AL253" i="69"/>
  <c r="AM253" i="69" s="1"/>
  <c r="AD253" i="69"/>
  <c r="AE253" i="69" s="1"/>
  <c r="T253" i="69"/>
  <c r="U253" i="69" s="1"/>
  <c r="L253" i="69"/>
  <c r="M253" i="69" s="1"/>
  <c r="BD252" i="69"/>
  <c r="BE252" i="69" s="1"/>
  <c r="AV252" i="69"/>
  <c r="AW252" i="69" s="1"/>
  <c r="AL252" i="69"/>
  <c r="AM252" i="69" s="1"/>
  <c r="AD252" i="69"/>
  <c r="AE252" i="69" s="1"/>
  <c r="T252" i="69"/>
  <c r="U252" i="69" s="1"/>
  <c r="L252" i="69"/>
  <c r="M252" i="69" s="1"/>
  <c r="BD251" i="69"/>
  <c r="BE251" i="69" s="1"/>
  <c r="AV251" i="69"/>
  <c r="AW251" i="69" s="1"/>
  <c r="AL251" i="69"/>
  <c r="AM251" i="69" s="1"/>
  <c r="AD251" i="69"/>
  <c r="AE251" i="69" s="1"/>
  <c r="T251" i="69"/>
  <c r="U251" i="69" s="1"/>
  <c r="L251" i="69"/>
  <c r="M251" i="69" s="1"/>
  <c r="BD250" i="69"/>
  <c r="BE250" i="69" s="1"/>
  <c r="AW250" i="69"/>
  <c r="AV250" i="69"/>
  <c r="AM250" i="69"/>
  <c r="AL250" i="69"/>
  <c r="AE250" i="69"/>
  <c r="AD250" i="69"/>
  <c r="T250" i="69"/>
  <c r="U250" i="69" s="1"/>
  <c r="L250" i="69"/>
  <c r="M250" i="69" s="1"/>
  <c r="BD249" i="69"/>
  <c r="BE249" i="69" s="1"/>
  <c r="AW249" i="69"/>
  <c r="AV249" i="69"/>
  <c r="AL249" i="69"/>
  <c r="AM249" i="69" s="1"/>
  <c r="AD249" i="69"/>
  <c r="AE249" i="69" s="1"/>
  <c r="T249" i="69"/>
  <c r="U249" i="69" s="1"/>
  <c r="L249" i="69"/>
  <c r="M249" i="69" s="1"/>
  <c r="BD248" i="69"/>
  <c r="BE248" i="69" s="1"/>
  <c r="AV248" i="69"/>
  <c r="AW248" i="69" s="1"/>
  <c r="AL248" i="69"/>
  <c r="AM248" i="69" s="1"/>
  <c r="AD248" i="69"/>
  <c r="AE248" i="69" s="1"/>
  <c r="T248" i="69"/>
  <c r="U248" i="69" s="1"/>
  <c r="L248" i="69"/>
  <c r="M248" i="69" s="1"/>
  <c r="BD247" i="69"/>
  <c r="BE247" i="69" s="1"/>
  <c r="AV247" i="69"/>
  <c r="AW247" i="69" s="1"/>
  <c r="AL247" i="69"/>
  <c r="AM247" i="69" s="1"/>
  <c r="AD247" i="69"/>
  <c r="AE247" i="69" s="1"/>
  <c r="T247" i="69"/>
  <c r="U247" i="69" s="1"/>
  <c r="L247" i="69"/>
  <c r="M247" i="69" s="1"/>
  <c r="BD246" i="69"/>
  <c r="BE246" i="69" s="1"/>
  <c r="AW246" i="69"/>
  <c r="AV246" i="69"/>
  <c r="AM246" i="69"/>
  <c r="AL246" i="69"/>
  <c r="AE246" i="69"/>
  <c r="AD246" i="69"/>
  <c r="T246" i="69"/>
  <c r="U246" i="69" s="1"/>
  <c r="L246" i="69"/>
  <c r="M246" i="69" s="1"/>
  <c r="BD245" i="69"/>
  <c r="BE245" i="69" s="1"/>
  <c r="AW245" i="69"/>
  <c r="AV245" i="69"/>
  <c r="AL245" i="69"/>
  <c r="AM245" i="69" s="1"/>
  <c r="AD245" i="69"/>
  <c r="AE245" i="69" s="1"/>
  <c r="T245" i="69"/>
  <c r="U245" i="69" s="1"/>
  <c r="L245" i="69"/>
  <c r="M245" i="69" s="1"/>
  <c r="BD244" i="69"/>
  <c r="BE244" i="69" s="1"/>
  <c r="AV244" i="69"/>
  <c r="AW244" i="69" s="1"/>
  <c r="AL244" i="69"/>
  <c r="AM244" i="69" s="1"/>
  <c r="AD244" i="69"/>
  <c r="AE244" i="69" s="1"/>
  <c r="T244" i="69"/>
  <c r="U244" i="69" s="1"/>
  <c r="L244" i="69"/>
  <c r="M244" i="69" s="1"/>
  <c r="BD243" i="69"/>
  <c r="BE243" i="69" s="1"/>
  <c r="AV243" i="69"/>
  <c r="AW243" i="69" s="1"/>
  <c r="AL243" i="69"/>
  <c r="AM243" i="69" s="1"/>
  <c r="AD243" i="69"/>
  <c r="AE243" i="69" s="1"/>
  <c r="T243" i="69"/>
  <c r="U243" i="69" s="1"/>
  <c r="L243" i="69"/>
  <c r="M243" i="69" s="1"/>
  <c r="BD242" i="69"/>
  <c r="BE242" i="69" s="1"/>
  <c r="AW242" i="69"/>
  <c r="AV242" i="69"/>
  <c r="AM242" i="69"/>
  <c r="AL242" i="69"/>
  <c r="AE242" i="69"/>
  <c r="AD242" i="69"/>
  <c r="T242" i="69"/>
  <c r="U242" i="69" s="1"/>
  <c r="L242" i="69"/>
  <c r="M242" i="69" s="1"/>
  <c r="BD241" i="69"/>
  <c r="BE241" i="69" s="1"/>
  <c r="AW241" i="69"/>
  <c r="AV241" i="69"/>
  <c r="AM241" i="69"/>
  <c r="AL241" i="69"/>
  <c r="AD241" i="69"/>
  <c r="AE241" i="69" s="1"/>
  <c r="T241" i="69"/>
  <c r="U241" i="69" s="1"/>
  <c r="M241" i="69"/>
  <c r="L241" i="69"/>
  <c r="BD240" i="69"/>
  <c r="BE240" i="69" s="1"/>
  <c r="AV240" i="69"/>
  <c r="AW240" i="69" s="1"/>
  <c r="AM240" i="69"/>
  <c r="AL240" i="69"/>
  <c r="AE240" i="69"/>
  <c r="AD240" i="69"/>
  <c r="T240" i="69"/>
  <c r="U240" i="69" s="1"/>
  <c r="L240" i="69"/>
  <c r="M240" i="69" s="1"/>
  <c r="BD239" i="69"/>
  <c r="BE239" i="69" s="1"/>
  <c r="AV239" i="69"/>
  <c r="AW239" i="69" s="1"/>
  <c r="AL239" i="69"/>
  <c r="AM239" i="69" s="1"/>
  <c r="AD239" i="69"/>
  <c r="AE239" i="69" s="1"/>
  <c r="U239" i="69"/>
  <c r="T239" i="69"/>
  <c r="M239" i="69"/>
  <c r="L239" i="69"/>
  <c r="BD238" i="69"/>
  <c r="BE238" i="69" s="1"/>
  <c r="AV238" i="69"/>
  <c r="AW238" i="69" s="1"/>
  <c r="AL238" i="69"/>
  <c r="AM238" i="69" s="1"/>
  <c r="AE238" i="69"/>
  <c r="AD238" i="69"/>
  <c r="U238" i="69"/>
  <c r="T238" i="69"/>
  <c r="L238" i="69"/>
  <c r="M238" i="69" s="1"/>
  <c r="BD237" i="69"/>
  <c r="BE237" i="69" s="1"/>
  <c r="AV237" i="69"/>
  <c r="AW237" i="69" s="1"/>
  <c r="AL237" i="69"/>
  <c r="AM237" i="69" s="1"/>
  <c r="AE237" i="69"/>
  <c r="AD237" i="69"/>
  <c r="T237" i="69"/>
  <c r="U237" i="69" s="1"/>
  <c r="L237" i="69"/>
  <c r="M237" i="69" s="1"/>
  <c r="BD236" i="69"/>
  <c r="BE236" i="69" s="1"/>
  <c r="AV236" i="69"/>
  <c r="AW236" i="69" s="1"/>
  <c r="AL236" i="69"/>
  <c r="AM236" i="69" s="1"/>
  <c r="AE236" i="69"/>
  <c r="AD236" i="69"/>
  <c r="T236" i="69"/>
  <c r="U236" i="69" s="1"/>
  <c r="L236" i="69"/>
  <c r="M236" i="69" s="1"/>
  <c r="BD235" i="69"/>
  <c r="BE235" i="69" s="1"/>
  <c r="AV235" i="69"/>
  <c r="AW235" i="69" s="1"/>
  <c r="AL235" i="69"/>
  <c r="AM235" i="69" s="1"/>
  <c r="AE235" i="69"/>
  <c r="AD235" i="69"/>
  <c r="U235" i="69"/>
  <c r="T235" i="69"/>
  <c r="L235" i="69"/>
  <c r="M235" i="69" s="1"/>
  <c r="BD234" i="69"/>
  <c r="BE234" i="69" s="1"/>
  <c r="AV234" i="69"/>
  <c r="AW234" i="69" s="1"/>
  <c r="AL234" i="69"/>
  <c r="AM234" i="69" s="1"/>
  <c r="AE234" i="69"/>
  <c r="AD234" i="69"/>
  <c r="T234" i="69"/>
  <c r="U234" i="69" s="1"/>
  <c r="L234" i="69"/>
  <c r="M234" i="69" s="1"/>
  <c r="BD233" i="69"/>
  <c r="BE233" i="69" s="1"/>
  <c r="AV233" i="69"/>
  <c r="AW233" i="69" s="1"/>
  <c r="AL233" i="69"/>
  <c r="AM233" i="69" s="1"/>
  <c r="AE233" i="69"/>
  <c r="AD233" i="69"/>
  <c r="T233" i="69"/>
  <c r="U233" i="69" s="1"/>
  <c r="L233" i="69"/>
  <c r="M233" i="69" s="1"/>
  <c r="BD232" i="69"/>
  <c r="BE232" i="69" s="1"/>
  <c r="AV232" i="69"/>
  <c r="AW232" i="69" s="1"/>
  <c r="AL232" i="69"/>
  <c r="AM232" i="69" s="1"/>
  <c r="AE232" i="69"/>
  <c r="AD232" i="69"/>
  <c r="U232" i="69"/>
  <c r="T232" i="69"/>
  <c r="L232" i="69"/>
  <c r="M232" i="69" s="1"/>
  <c r="BD231" i="69"/>
  <c r="BE231" i="69" s="1"/>
  <c r="AV231" i="69"/>
  <c r="AW231" i="69" s="1"/>
  <c r="AL231" i="69"/>
  <c r="AM231" i="69" s="1"/>
  <c r="AE231" i="69"/>
  <c r="AD231" i="69"/>
  <c r="T231" i="69"/>
  <c r="U231" i="69" s="1"/>
  <c r="L231" i="69"/>
  <c r="M231" i="69" s="1"/>
  <c r="BD230" i="69"/>
  <c r="BE230" i="69" s="1"/>
  <c r="AV230" i="69"/>
  <c r="AW230" i="69" s="1"/>
  <c r="AL230" i="69"/>
  <c r="AM230" i="69" s="1"/>
  <c r="AE230" i="69"/>
  <c r="AD230" i="69"/>
  <c r="T230" i="69"/>
  <c r="U230" i="69" s="1"/>
  <c r="L230" i="69"/>
  <c r="M230" i="69" s="1"/>
  <c r="BD229" i="69"/>
  <c r="BE229" i="69" s="1"/>
  <c r="AV229" i="69"/>
  <c r="AW229" i="69" s="1"/>
  <c r="AL229" i="69"/>
  <c r="AM229" i="69" s="1"/>
  <c r="AE229" i="69"/>
  <c r="AD229" i="69"/>
  <c r="U229" i="69"/>
  <c r="T229" i="69"/>
  <c r="L229" i="69"/>
  <c r="M229" i="69" s="1"/>
  <c r="BD228" i="69"/>
  <c r="BE228" i="69" s="1"/>
  <c r="AV228" i="69"/>
  <c r="AW228" i="69" s="1"/>
  <c r="AL228" i="69"/>
  <c r="AM228" i="69" s="1"/>
  <c r="AE228" i="69"/>
  <c r="AD228" i="69"/>
  <c r="T228" i="69"/>
  <c r="U228" i="69" s="1"/>
  <c r="L228" i="69"/>
  <c r="M228" i="69" s="1"/>
  <c r="BD227" i="69"/>
  <c r="BE227" i="69" s="1"/>
  <c r="AV227" i="69"/>
  <c r="AW227" i="69" s="1"/>
  <c r="AL227" i="69"/>
  <c r="AM227" i="69" s="1"/>
  <c r="AE227" i="69"/>
  <c r="AD227" i="69"/>
  <c r="T227" i="69"/>
  <c r="U227" i="69" s="1"/>
  <c r="L227" i="69"/>
  <c r="M227" i="69" s="1"/>
  <c r="BD226" i="69"/>
  <c r="BE226" i="69" s="1"/>
  <c r="AV226" i="69"/>
  <c r="AW226" i="69" s="1"/>
  <c r="AL226" i="69"/>
  <c r="AM226" i="69" s="1"/>
  <c r="AE226" i="69"/>
  <c r="AD226" i="69"/>
  <c r="U226" i="69"/>
  <c r="T226" i="69"/>
  <c r="L226" i="69"/>
  <c r="M226" i="69" s="1"/>
  <c r="BD225" i="69"/>
  <c r="BE225" i="69" s="1"/>
  <c r="AV225" i="69"/>
  <c r="AW225" i="69" s="1"/>
  <c r="AL225" i="69"/>
  <c r="AM225" i="69" s="1"/>
  <c r="AE225" i="69"/>
  <c r="AD225" i="69"/>
  <c r="T225" i="69"/>
  <c r="U225" i="69" s="1"/>
  <c r="L225" i="69"/>
  <c r="M225" i="69" s="1"/>
  <c r="BD224" i="69"/>
  <c r="BE224" i="69" s="1"/>
  <c r="AV224" i="69"/>
  <c r="AW224" i="69" s="1"/>
  <c r="AL224" i="69"/>
  <c r="AM224" i="69" s="1"/>
  <c r="AE224" i="69"/>
  <c r="AD224" i="69"/>
  <c r="T224" i="69"/>
  <c r="U224" i="69" s="1"/>
  <c r="L224" i="69"/>
  <c r="M224" i="69" s="1"/>
  <c r="BD223" i="69"/>
  <c r="BE223" i="69" s="1"/>
  <c r="AV223" i="69"/>
  <c r="AW223" i="69" s="1"/>
  <c r="AL223" i="69"/>
  <c r="AM223" i="69" s="1"/>
  <c r="AE223" i="69"/>
  <c r="AD223" i="69"/>
  <c r="U223" i="69"/>
  <c r="T223" i="69"/>
  <c r="L223" i="69"/>
  <c r="M223" i="69" s="1"/>
  <c r="BD222" i="69"/>
  <c r="BE222" i="69" s="1"/>
  <c r="AV222" i="69"/>
  <c r="AW222" i="69" s="1"/>
  <c r="AL222" i="69"/>
  <c r="AM222" i="69" s="1"/>
  <c r="AE222" i="69"/>
  <c r="AD222" i="69"/>
  <c r="T222" i="69"/>
  <c r="U222" i="69" s="1"/>
  <c r="L222" i="69"/>
  <c r="M222" i="69" s="1"/>
  <c r="BD221" i="69"/>
  <c r="BE221" i="69" s="1"/>
  <c r="AV221" i="69"/>
  <c r="AW221" i="69" s="1"/>
  <c r="AL221" i="69"/>
  <c r="AM221" i="69" s="1"/>
  <c r="AE221" i="69"/>
  <c r="AD221" i="69"/>
  <c r="T221" i="69"/>
  <c r="U221" i="69" s="1"/>
  <c r="L221" i="69"/>
  <c r="M221" i="69" s="1"/>
  <c r="BD220" i="69"/>
  <c r="BE220" i="69" s="1"/>
  <c r="AV220" i="69"/>
  <c r="AW220" i="69" s="1"/>
  <c r="AL220" i="69"/>
  <c r="AM220" i="69" s="1"/>
  <c r="AE220" i="69"/>
  <c r="AD220" i="69"/>
  <c r="T220" i="69"/>
  <c r="U220" i="69" s="1"/>
  <c r="L220" i="69"/>
  <c r="M220" i="69" s="1"/>
  <c r="BD219" i="69"/>
  <c r="BE219" i="69" s="1"/>
  <c r="AV219" i="69"/>
  <c r="AW219" i="69" s="1"/>
  <c r="AL219" i="69"/>
  <c r="AM219" i="69" s="1"/>
  <c r="AD219" i="69"/>
  <c r="AE219" i="69" s="1"/>
  <c r="T219" i="69"/>
  <c r="U219" i="69" s="1"/>
  <c r="L219" i="69"/>
  <c r="M219" i="69" s="1"/>
  <c r="BD218" i="69"/>
  <c r="BE218" i="69" s="1"/>
  <c r="AV218" i="69"/>
  <c r="AW218" i="69" s="1"/>
  <c r="AL218" i="69"/>
  <c r="AM218" i="69" s="1"/>
  <c r="AE218" i="69"/>
  <c r="AD218" i="69"/>
  <c r="T218" i="69"/>
  <c r="U218" i="69" s="1"/>
  <c r="L218" i="69"/>
  <c r="M218" i="69" s="1"/>
  <c r="BD217" i="69"/>
  <c r="BE217" i="69" s="1"/>
  <c r="AV217" i="69"/>
  <c r="AW217" i="69" s="1"/>
  <c r="AL217" i="69"/>
  <c r="AM217" i="69" s="1"/>
  <c r="AE217" i="69"/>
  <c r="AD217" i="69"/>
  <c r="T217" i="69"/>
  <c r="U217" i="69" s="1"/>
  <c r="L217" i="69"/>
  <c r="M217" i="69" s="1"/>
  <c r="BD216" i="69"/>
  <c r="BE216" i="69" s="1"/>
  <c r="AV216" i="69"/>
  <c r="AW216" i="69" s="1"/>
  <c r="AL216" i="69"/>
  <c r="AM216" i="69" s="1"/>
  <c r="AD216" i="69"/>
  <c r="AE216" i="69" s="1"/>
  <c r="T216" i="69"/>
  <c r="U216" i="69" s="1"/>
  <c r="L216" i="69"/>
  <c r="M216" i="69" s="1"/>
  <c r="BD215" i="69"/>
  <c r="BE215" i="69" s="1"/>
  <c r="AV215" i="69"/>
  <c r="AW215" i="69" s="1"/>
  <c r="AL215" i="69"/>
  <c r="AM215" i="69" s="1"/>
  <c r="AE215" i="69"/>
  <c r="AD215" i="69"/>
  <c r="T215" i="69"/>
  <c r="U215" i="69" s="1"/>
  <c r="L215" i="69"/>
  <c r="M215" i="69" s="1"/>
  <c r="BD214" i="69"/>
  <c r="BE214" i="69" s="1"/>
  <c r="AV214" i="69"/>
  <c r="AW214" i="69" s="1"/>
  <c r="AL214" i="69"/>
  <c r="AM214" i="69" s="1"/>
  <c r="AE214" i="69"/>
  <c r="AD214" i="69"/>
  <c r="T214" i="69"/>
  <c r="U214" i="69" s="1"/>
  <c r="L214" i="69"/>
  <c r="M214" i="69" s="1"/>
  <c r="BD213" i="69"/>
  <c r="BE213" i="69" s="1"/>
  <c r="AV213" i="69"/>
  <c r="AW213" i="69" s="1"/>
  <c r="AL213" i="69"/>
  <c r="AM213" i="69" s="1"/>
  <c r="AD213" i="69"/>
  <c r="AE213" i="69" s="1"/>
  <c r="T213" i="69"/>
  <c r="U213" i="69" s="1"/>
  <c r="L213" i="69"/>
  <c r="M213" i="69" s="1"/>
  <c r="BD212" i="69"/>
  <c r="BE212" i="69" s="1"/>
  <c r="AV212" i="69"/>
  <c r="AW212" i="69" s="1"/>
  <c r="AL212" i="69"/>
  <c r="AM212" i="69" s="1"/>
  <c r="AE212" i="69"/>
  <c r="AD212" i="69"/>
  <c r="T212" i="69"/>
  <c r="U212" i="69" s="1"/>
  <c r="L212" i="69"/>
  <c r="M212" i="69" s="1"/>
  <c r="BD211" i="69"/>
  <c r="BE211" i="69" s="1"/>
  <c r="AV211" i="69"/>
  <c r="AW211" i="69" s="1"/>
  <c r="AL211" i="69"/>
  <c r="AM211" i="69" s="1"/>
  <c r="AE211" i="69"/>
  <c r="AD211" i="69"/>
  <c r="T211" i="69"/>
  <c r="U211" i="69" s="1"/>
  <c r="L211" i="69"/>
  <c r="M211" i="69" s="1"/>
  <c r="BD210" i="69"/>
  <c r="BE210" i="69" s="1"/>
  <c r="AV210" i="69"/>
  <c r="AW210" i="69" s="1"/>
  <c r="AL210" i="69"/>
  <c r="AM210" i="69" s="1"/>
  <c r="AD210" i="69"/>
  <c r="AE210" i="69" s="1"/>
  <c r="T210" i="69"/>
  <c r="U210" i="69" s="1"/>
  <c r="L210" i="69"/>
  <c r="M210" i="69" s="1"/>
  <c r="BD209" i="69"/>
  <c r="BE209" i="69" s="1"/>
  <c r="AV209" i="69"/>
  <c r="AW209" i="69" s="1"/>
  <c r="AL209" i="69"/>
  <c r="AM209" i="69" s="1"/>
  <c r="AE209" i="69"/>
  <c r="AD209" i="69"/>
  <c r="T209" i="69"/>
  <c r="U209" i="69" s="1"/>
  <c r="L209" i="69"/>
  <c r="M209" i="69" s="1"/>
  <c r="BD208" i="69"/>
  <c r="BE208" i="69" s="1"/>
  <c r="AV208" i="69"/>
  <c r="AW208" i="69" s="1"/>
  <c r="AL208" i="69"/>
  <c r="AM208" i="69" s="1"/>
  <c r="AE208" i="69"/>
  <c r="AD208" i="69"/>
  <c r="T208" i="69"/>
  <c r="U208" i="69" s="1"/>
  <c r="L208" i="69"/>
  <c r="M208" i="69" s="1"/>
  <c r="BD207" i="69"/>
  <c r="BE207" i="69" s="1"/>
  <c r="AV207" i="69"/>
  <c r="AW207" i="69" s="1"/>
  <c r="AL207" i="69"/>
  <c r="AM207" i="69" s="1"/>
  <c r="AD207" i="69"/>
  <c r="AE207" i="69" s="1"/>
  <c r="T207" i="69"/>
  <c r="U207" i="69" s="1"/>
  <c r="L207" i="69"/>
  <c r="M207" i="69" s="1"/>
  <c r="BD206" i="69"/>
  <c r="BE206" i="69" s="1"/>
  <c r="AV206" i="69"/>
  <c r="AW206" i="69" s="1"/>
  <c r="AL206" i="69"/>
  <c r="AM206" i="69" s="1"/>
  <c r="AE206" i="69"/>
  <c r="AD206" i="69"/>
  <c r="T206" i="69"/>
  <c r="U206" i="69" s="1"/>
  <c r="L206" i="69"/>
  <c r="M206" i="69" s="1"/>
  <c r="BD205" i="69"/>
  <c r="BE205" i="69" s="1"/>
  <c r="AV205" i="69"/>
  <c r="AW205" i="69" s="1"/>
  <c r="AL205" i="69"/>
  <c r="AM205" i="69" s="1"/>
  <c r="AE205" i="69"/>
  <c r="AD205" i="69"/>
  <c r="T205" i="69"/>
  <c r="U205" i="69" s="1"/>
  <c r="L205" i="69"/>
  <c r="M205" i="69" s="1"/>
  <c r="BD204" i="69"/>
  <c r="BE204" i="69" s="1"/>
  <c r="AV204" i="69"/>
  <c r="AW204" i="69" s="1"/>
  <c r="AM204" i="69"/>
  <c r="AL204" i="69"/>
  <c r="AE204" i="69"/>
  <c r="AD204" i="69"/>
  <c r="U204" i="69"/>
  <c r="T204" i="69"/>
  <c r="L204" i="69"/>
  <c r="M204" i="69" s="1"/>
  <c r="BD203" i="69"/>
  <c r="BE203" i="69" s="1"/>
  <c r="AV203" i="69"/>
  <c r="AW203" i="69" s="1"/>
  <c r="AM203" i="69"/>
  <c r="AL203" i="69"/>
  <c r="AD203" i="69"/>
  <c r="AE203" i="69" s="1"/>
  <c r="T203" i="69"/>
  <c r="U203" i="69" s="1"/>
  <c r="L203" i="69"/>
  <c r="M203" i="69" s="1"/>
  <c r="BD202" i="69"/>
  <c r="BE202" i="69" s="1"/>
  <c r="AV202" i="69"/>
  <c r="AW202" i="69" s="1"/>
  <c r="AL202" i="69"/>
  <c r="AM202" i="69" s="1"/>
  <c r="AE202" i="69"/>
  <c r="AD202" i="69"/>
  <c r="T202" i="69"/>
  <c r="U202" i="69" s="1"/>
  <c r="L202" i="69"/>
  <c r="M202" i="69" s="1"/>
  <c r="BD201" i="69"/>
  <c r="BE201" i="69" s="1"/>
  <c r="AV201" i="69"/>
  <c r="AW201" i="69" s="1"/>
  <c r="AL201" i="69"/>
  <c r="AM201" i="69" s="1"/>
  <c r="AE201" i="69"/>
  <c r="AD201" i="69"/>
  <c r="T201" i="69"/>
  <c r="U201" i="69" s="1"/>
  <c r="L201" i="69"/>
  <c r="M201" i="69" s="1"/>
  <c r="BD200" i="69"/>
  <c r="BE200" i="69" s="1"/>
  <c r="AV200" i="69"/>
  <c r="AW200" i="69" s="1"/>
  <c r="AM200" i="69"/>
  <c r="AL200" i="69"/>
  <c r="AE200" i="69"/>
  <c r="AD200" i="69"/>
  <c r="T200" i="69"/>
  <c r="U200" i="69" s="1"/>
  <c r="L200" i="69"/>
  <c r="M200" i="69" s="1"/>
  <c r="BD199" i="69"/>
  <c r="BE199" i="69" s="1"/>
  <c r="AV199" i="69"/>
  <c r="AW199" i="69" s="1"/>
  <c r="AM199" i="69"/>
  <c r="AL199" i="69"/>
  <c r="AD199" i="69"/>
  <c r="AE199" i="69" s="1"/>
  <c r="T199" i="69"/>
  <c r="U199" i="69" s="1"/>
  <c r="L199" i="69"/>
  <c r="M199" i="69" s="1"/>
  <c r="BD198" i="69"/>
  <c r="BE198" i="69" s="1"/>
  <c r="AV198" i="69"/>
  <c r="AW198" i="69" s="1"/>
  <c r="AL198" i="69"/>
  <c r="AM198" i="69" s="1"/>
  <c r="AE198" i="69"/>
  <c r="AD198" i="69"/>
  <c r="T198" i="69"/>
  <c r="U198" i="69" s="1"/>
  <c r="L198" i="69"/>
  <c r="M198" i="69" s="1"/>
  <c r="BD197" i="69"/>
  <c r="BE197" i="69" s="1"/>
  <c r="AV197" i="69"/>
  <c r="AW197" i="69" s="1"/>
  <c r="AL197" i="69"/>
  <c r="AM197" i="69" s="1"/>
  <c r="AE197" i="69"/>
  <c r="AD197" i="69"/>
  <c r="T197" i="69"/>
  <c r="U197" i="69" s="1"/>
  <c r="L197" i="69"/>
  <c r="M197" i="69" s="1"/>
  <c r="BD196" i="69"/>
  <c r="BE196" i="69" s="1"/>
  <c r="AV196" i="69"/>
  <c r="AW196" i="69" s="1"/>
  <c r="AM196" i="69"/>
  <c r="AL196" i="69"/>
  <c r="AE196" i="69"/>
  <c r="AD196" i="69"/>
  <c r="U196" i="69"/>
  <c r="T196" i="69"/>
  <c r="L196" i="69"/>
  <c r="M196" i="69" s="1"/>
  <c r="BD195" i="69"/>
  <c r="BE195" i="69" s="1"/>
  <c r="AV195" i="69"/>
  <c r="AW195" i="69" s="1"/>
  <c r="AM195" i="69"/>
  <c r="AL195" i="69"/>
  <c r="AD195" i="69"/>
  <c r="AE195" i="69" s="1"/>
  <c r="T195" i="69"/>
  <c r="U195" i="69" s="1"/>
  <c r="L195" i="69"/>
  <c r="M195" i="69" s="1"/>
  <c r="BD194" i="69"/>
  <c r="BE194" i="69" s="1"/>
  <c r="AV194" i="69"/>
  <c r="AW194" i="69" s="1"/>
  <c r="AL194" i="69"/>
  <c r="AM194" i="69" s="1"/>
  <c r="AE194" i="69"/>
  <c r="AD194" i="69"/>
  <c r="T194" i="69"/>
  <c r="U194" i="69" s="1"/>
  <c r="L194" i="69"/>
  <c r="M194" i="69" s="1"/>
  <c r="BD193" i="69"/>
  <c r="BE193" i="69" s="1"/>
  <c r="AV193" i="69"/>
  <c r="AW193" i="69" s="1"/>
  <c r="AL193" i="69"/>
  <c r="AM193" i="69" s="1"/>
  <c r="AE193" i="69"/>
  <c r="AD193" i="69"/>
  <c r="T193" i="69"/>
  <c r="U193" i="69" s="1"/>
  <c r="L193" i="69"/>
  <c r="M193" i="69" s="1"/>
  <c r="BD192" i="69"/>
  <c r="BE192" i="69" s="1"/>
  <c r="AV192" i="69"/>
  <c r="AW192" i="69" s="1"/>
  <c r="AM192" i="69"/>
  <c r="AL192" i="69"/>
  <c r="AE192" i="69"/>
  <c r="AD192" i="69"/>
  <c r="T192" i="69"/>
  <c r="U192" i="69" s="1"/>
  <c r="L192" i="69"/>
  <c r="M192" i="69" s="1"/>
  <c r="BD191" i="69"/>
  <c r="BE191" i="69" s="1"/>
  <c r="AV191" i="69"/>
  <c r="AW191" i="69" s="1"/>
  <c r="AM191" i="69"/>
  <c r="AL191" i="69"/>
  <c r="AD191" i="69"/>
  <c r="AE191" i="69" s="1"/>
  <c r="T191" i="69"/>
  <c r="U191" i="69" s="1"/>
  <c r="L191" i="69"/>
  <c r="M191" i="69" s="1"/>
  <c r="BD190" i="69"/>
  <c r="BE190" i="69" s="1"/>
  <c r="AV190" i="69"/>
  <c r="AW190" i="69" s="1"/>
  <c r="AL190" i="69"/>
  <c r="AM190" i="69" s="1"/>
  <c r="AE190" i="69"/>
  <c r="AD190" i="69"/>
  <c r="T190" i="69"/>
  <c r="U190" i="69" s="1"/>
  <c r="L190" i="69"/>
  <c r="M190" i="69" s="1"/>
  <c r="BD189" i="69"/>
  <c r="BE189" i="69" s="1"/>
  <c r="AV189" i="69"/>
  <c r="AW189" i="69" s="1"/>
  <c r="AL189" i="69"/>
  <c r="AM189" i="69" s="1"/>
  <c r="AE189" i="69"/>
  <c r="AD189" i="69"/>
  <c r="T189" i="69"/>
  <c r="U189" i="69" s="1"/>
  <c r="L189" i="69"/>
  <c r="M189" i="69" s="1"/>
  <c r="BD188" i="69"/>
  <c r="BE188" i="69" s="1"/>
  <c r="AV188" i="69"/>
  <c r="AW188" i="69" s="1"/>
  <c r="AM188" i="69"/>
  <c r="AL188" i="69"/>
  <c r="AE188" i="69"/>
  <c r="AD188" i="69"/>
  <c r="U188" i="69"/>
  <c r="T188" i="69"/>
  <c r="L188" i="69"/>
  <c r="M188" i="69" s="1"/>
  <c r="BD187" i="69"/>
  <c r="BE187" i="69" s="1"/>
  <c r="AV187" i="69"/>
  <c r="AW187" i="69" s="1"/>
  <c r="AM187" i="69"/>
  <c r="AL187" i="69"/>
  <c r="AD187" i="69"/>
  <c r="AE187" i="69" s="1"/>
  <c r="T187" i="69"/>
  <c r="U187" i="69" s="1"/>
  <c r="L187" i="69"/>
  <c r="M187" i="69" s="1"/>
  <c r="BD186" i="69"/>
  <c r="BE186" i="69" s="1"/>
  <c r="AW186" i="69"/>
  <c r="AV186" i="69"/>
  <c r="AL186" i="69"/>
  <c r="AM186" i="69" s="1"/>
  <c r="AE186" i="69"/>
  <c r="AD186" i="69"/>
  <c r="T186" i="69"/>
  <c r="U186" i="69" s="1"/>
  <c r="L186" i="69"/>
  <c r="M186" i="69" s="1"/>
  <c r="BD185" i="69"/>
  <c r="BE185" i="69" s="1"/>
  <c r="AV185" i="69"/>
  <c r="AW185" i="69" s="1"/>
  <c r="AM185" i="69"/>
  <c r="AL185" i="69"/>
  <c r="AD185" i="69"/>
  <c r="AE185" i="69" s="1"/>
  <c r="U185" i="69"/>
  <c r="T185" i="69"/>
  <c r="L185" i="69"/>
  <c r="M185" i="69" s="1"/>
  <c r="BD184" i="69"/>
  <c r="BE184" i="69" s="1"/>
  <c r="AV184" i="69"/>
  <c r="AW184" i="69" s="1"/>
  <c r="AL184" i="69"/>
  <c r="AM184" i="69" s="1"/>
  <c r="AE184" i="69"/>
  <c r="AD184" i="69"/>
  <c r="T184" i="69"/>
  <c r="U184" i="69" s="1"/>
  <c r="L184" i="69"/>
  <c r="M184" i="69" s="1"/>
  <c r="BD183" i="69"/>
  <c r="BE183" i="69" s="1"/>
  <c r="AV183" i="69"/>
  <c r="AW183" i="69" s="1"/>
  <c r="AL183" i="69"/>
  <c r="AM183" i="69" s="1"/>
  <c r="AD183" i="69"/>
  <c r="AE183" i="69" s="1"/>
  <c r="U183" i="69"/>
  <c r="T183" i="69"/>
  <c r="L183" i="69"/>
  <c r="M183" i="69" s="1"/>
  <c r="BD182" i="69"/>
  <c r="BE182" i="69" s="1"/>
  <c r="AW182" i="69"/>
  <c r="AV182" i="69"/>
  <c r="AL182" i="69"/>
  <c r="AM182" i="69" s="1"/>
  <c r="AD182" i="69"/>
  <c r="AE182" i="69" s="1"/>
  <c r="T182" i="69"/>
  <c r="U182" i="69" s="1"/>
  <c r="L182" i="69"/>
  <c r="M182" i="69" s="1"/>
  <c r="BD181" i="69"/>
  <c r="BE181" i="69" s="1"/>
  <c r="AV181" i="69"/>
  <c r="AW181" i="69" s="1"/>
  <c r="AM181" i="69"/>
  <c r="AL181" i="69"/>
  <c r="AD181" i="69"/>
  <c r="AE181" i="69" s="1"/>
  <c r="T181" i="69"/>
  <c r="U181" i="69" s="1"/>
  <c r="L181" i="69"/>
  <c r="M181" i="69" s="1"/>
  <c r="BD180" i="69"/>
  <c r="BE180" i="69" s="1"/>
  <c r="AW180" i="69"/>
  <c r="AV180" i="69"/>
  <c r="AL180" i="69"/>
  <c r="AM180" i="69" s="1"/>
  <c r="AE180" i="69"/>
  <c r="AD180" i="69"/>
  <c r="T180" i="69"/>
  <c r="U180" i="69" s="1"/>
  <c r="L180" i="69"/>
  <c r="M180" i="69" s="1"/>
  <c r="BD179" i="69"/>
  <c r="BE179" i="69" s="1"/>
  <c r="AV179" i="69"/>
  <c r="AW179" i="69" s="1"/>
  <c r="AM179" i="69"/>
  <c r="AL179" i="69"/>
  <c r="AD179" i="69"/>
  <c r="AE179" i="69" s="1"/>
  <c r="U179" i="69"/>
  <c r="T179" i="69"/>
  <c r="L179" i="69"/>
  <c r="M179" i="69" s="1"/>
  <c r="BD178" i="69"/>
  <c r="BE178" i="69" s="1"/>
  <c r="AV178" i="69"/>
  <c r="AW178" i="69" s="1"/>
  <c r="AL178" i="69"/>
  <c r="AM178" i="69" s="1"/>
  <c r="AE178" i="69"/>
  <c r="AD178" i="69"/>
  <c r="T178" i="69"/>
  <c r="U178" i="69" s="1"/>
  <c r="L178" i="69"/>
  <c r="M178" i="69" s="1"/>
  <c r="BD177" i="69"/>
  <c r="BE177" i="69" s="1"/>
  <c r="AV177" i="69"/>
  <c r="AW177" i="69" s="1"/>
  <c r="AL177" i="69"/>
  <c r="AM177" i="69" s="1"/>
  <c r="AD177" i="69"/>
  <c r="AE177" i="69" s="1"/>
  <c r="U177" i="69"/>
  <c r="T177" i="69"/>
  <c r="L177" i="69"/>
  <c r="M177" i="69" s="1"/>
  <c r="BD176" i="69"/>
  <c r="BE176" i="69" s="1"/>
  <c r="AW176" i="69"/>
  <c r="AV176" i="69"/>
  <c r="AL176" i="69"/>
  <c r="AM176" i="69" s="1"/>
  <c r="AD176" i="69"/>
  <c r="AE176" i="69" s="1"/>
  <c r="T176" i="69"/>
  <c r="U176" i="69" s="1"/>
  <c r="L176" i="69"/>
  <c r="M176" i="69" s="1"/>
  <c r="BD175" i="69"/>
  <c r="BE175" i="69" s="1"/>
  <c r="AV175" i="69"/>
  <c r="AW175" i="69" s="1"/>
  <c r="AM175" i="69"/>
  <c r="AL175" i="69"/>
  <c r="AD175" i="69"/>
  <c r="AE175" i="69" s="1"/>
  <c r="T175" i="69"/>
  <c r="U175" i="69" s="1"/>
  <c r="L175" i="69"/>
  <c r="M175" i="69" s="1"/>
  <c r="BD174" i="69"/>
  <c r="BE174" i="69" s="1"/>
  <c r="AW174" i="69"/>
  <c r="AV174" i="69"/>
  <c r="AL174" i="69"/>
  <c r="AM174" i="69" s="1"/>
  <c r="AE174" i="69"/>
  <c r="AD174" i="69"/>
  <c r="T174" i="69"/>
  <c r="U174" i="69" s="1"/>
  <c r="L174" i="69"/>
  <c r="M174" i="69" s="1"/>
  <c r="BE173" i="69"/>
  <c r="BD173" i="69"/>
  <c r="AW173" i="69"/>
  <c r="AV173" i="69"/>
  <c r="AL173" i="69"/>
  <c r="AM173" i="69" s="1"/>
  <c r="AE173" i="69"/>
  <c r="AD173" i="69"/>
  <c r="T173" i="69"/>
  <c r="U173" i="69" s="1"/>
  <c r="L173" i="69"/>
  <c r="M173" i="69" s="1"/>
  <c r="BD172" i="69"/>
  <c r="BE172" i="69" s="1"/>
  <c r="AV172" i="69"/>
  <c r="AW172" i="69" s="1"/>
  <c r="AM172" i="69"/>
  <c r="AL172" i="69"/>
  <c r="AD172" i="69"/>
  <c r="AE172" i="69" s="1"/>
  <c r="U172" i="69"/>
  <c r="T172" i="69"/>
  <c r="L172" i="69"/>
  <c r="M172" i="69" s="1"/>
  <c r="BE171" i="69"/>
  <c r="BD171" i="69"/>
  <c r="AW171" i="69"/>
  <c r="AV171" i="69"/>
  <c r="AM171" i="69"/>
  <c r="AL171" i="69"/>
  <c r="AD171" i="69"/>
  <c r="AE171" i="69" s="1"/>
  <c r="U171" i="69"/>
  <c r="T171" i="69"/>
  <c r="L171" i="69"/>
  <c r="M171" i="69" s="1"/>
  <c r="BD170" i="69"/>
  <c r="BE170" i="69" s="1"/>
  <c r="AV170" i="69"/>
  <c r="AW170" i="69" s="1"/>
  <c r="AL170" i="69"/>
  <c r="AM170" i="69" s="1"/>
  <c r="AE170" i="69"/>
  <c r="AD170" i="69"/>
  <c r="T170" i="69"/>
  <c r="U170" i="69" s="1"/>
  <c r="L170" i="69"/>
  <c r="M170" i="69" s="1"/>
  <c r="BD169" i="69"/>
  <c r="BE169" i="69" s="1"/>
  <c r="AW169" i="69"/>
  <c r="AV169" i="69"/>
  <c r="AM169" i="69"/>
  <c r="AL169" i="69"/>
  <c r="AE169" i="69"/>
  <c r="AD169" i="69"/>
  <c r="T169" i="69"/>
  <c r="U169" i="69" s="1"/>
  <c r="L169" i="69"/>
  <c r="M169" i="69" s="1"/>
  <c r="BE168" i="69"/>
  <c r="BD168" i="69"/>
  <c r="AV168" i="69"/>
  <c r="AW168" i="69" s="1"/>
  <c r="AL168" i="69"/>
  <c r="AM168" i="69" s="1"/>
  <c r="AD168" i="69"/>
  <c r="AE168" i="69" s="1"/>
  <c r="U168" i="69"/>
  <c r="T168" i="69"/>
  <c r="L168" i="69"/>
  <c r="M168" i="69" s="1"/>
  <c r="BE167" i="69"/>
  <c r="BD167" i="69"/>
  <c r="AV167" i="69"/>
  <c r="AW167" i="69" s="1"/>
  <c r="AL167" i="69"/>
  <c r="AM167" i="69" s="1"/>
  <c r="AD167" i="69"/>
  <c r="AE167" i="69" s="1"/>
  <c r="U167" i="69"/>
  <c r="T167" i="69"/>
  <c r="L167" i="69"/>
  <c r="M167" i="69" s="1"/>
  <c r="BE166" i="69"/>
  <c r="BD166" i="69"/>
  <c r="AV166" i="69"/>
  <c r="AW166" i="69" s="1"/>
  <c r="AL166" i="69"/>
  <c r="AM166" i="69" s="1"/>
  <c r="AD166" i="69"/>
  <c r="AE166" i="69" s="1"/>
  <c r="U166" i="69"/>
  <c r="T166" i="69"/>
  <c r="L166" i="69"/>
  <c r="M166" i="69" s="1"/>
  <c r="BE165" i="69"/>
  <c r="BD165" i="69"/>
  <c r="AV165" i="69"/>
  <c r="AW165" i="69" s="1"/>
  <c r="AL165" i="69"/>
  <c r="AM165" i="69" s="1"/>
  <c r="AD165" i="69"/>
  <c r="AE165" i="69" s="1"/>
  <c r="U165" i="69"/>
  <c r="T165" i="69"/>
  <c r="L165" i="69"/>
  <c r="M165" i="69" s="1"/>
  <c r="BE164" i="69"/>
  <c r="BD164" i="69"/>
  <c r="AV164" i="69"/>
  <c r="AW164" i="69" s="1"/>
  <c r="AL164" i="69"/>
  <c r="AM164" i="69" s="1"/>
  <c r="AD164" i="69"/>
  <c r="AE164" i="69" s="1"/>
  <c r="U164" i="69"/>
  <c r="T164" i="69"/>
  <c r="L164" i="69"/>
  <c r="M164" i="69" s="1"/>
  <c r="BE163" i="69"/>
  <c r="BD163" i="69"/>
  <c r="AV163" i="69"/>
  <c r="AW163" i="69" s="1"/>
  <c r="AL163" i="69"/>
  <c r="AM163" i="69" s="1"/>
  <c r="AD163" i="69"/>
  <c r="AE163" i="69" s="1"/>
  <c r="U163" i="69"/>
  <c r="T163" i="69"/>
  <c r="L163" i="69"/>
  <c r="M163" i="69" s="1"/>
  <c r="BE162" i="69"/>
  <c r="BD162" i="69"/>
  <c r="AV162" i="69"/>
  <c r="AW162" i="69" s="1"/>
  <c r="AL162" i="69"/>
  <c r="AM162" i="69" s="1"/>
  <c r="AD162" i="69"/>
  <c r="AE162" i="69" s="1"/>
  <c r="U162" i="69"/>
  <c r="T162" i="69"/>
  <c r="L162" i="69"/>
  <c r="M162" i="69" s="1"/>
  <c r="BE161" i="69"/>
  <c r="BD161" i="69"/>
  <c r="AV161" i="69"/>
  <c r="AW161" i="69" s="1"/>
  <c r="AL161" i="69"/>
  <c r="AM161" i="69" s="1"/>
  <c r="AD161" i="69"/>
  <c r="AE161" i="69" s="1"/>
  <c r="U161" i="69"/>
  <c r="T161" i="69"/>
  <c r="L161" i="69"/>
  <c r="M161" i="69" s="1"/>
  <c r="BE160" i="69"/>
  <c r="BD160" i="69"/>
  <c r="AV160" i="69"/>
  <c r="AW160" i="69" s="1"/>
  <c r="AL160" i="69"/>
  <c r="AM160" i="69" s="1"/>
  <c r="AD160" i="69"/>
  <c r="AE160" i="69" s="1"/>
  <c r="U160" i="69"/>
  <c r="T160" i="69"/>
  <c r="L160" i="69"/>
  <c r="M160" i="69" s="1"/>
  <c r="BE159" i="69"/>
  <c r="BD159" i="69"/>
  <c r="AV159" i="69"/>
  <c r="AW159" i="69" s="1"/>
  <c r="AL159" i="69"/>
  <c r="AM159" i="69" s="1"/>
  <c r="AD159" i="69"/>
  <c r="AE159" i="69" s="1"/>
  <c r="U159" i="69"/>
  <c r="T159" i="69"/>
  <c r="L159" i="69"/>
  <c r="M159" i="69" s="1"/>
  <c r="BE158" i="69"/>
  <c r="BD158" i="69"/>
  <c r="AV158" i="69"/>
  <c r="AW158" i="69" s="1"/>
  <c r="AL158" i="69"/>
  <c r="AM158" i="69" s="1"/>
  <c r="AD158" i="69"/>
  <c r="AE158" i="69" s="1"/>
  <c r="U158" i="69"/>
  <c r="T158" i="69"/>
  <c r="L158" i="69"/>
  <c r="M158" i="69" s="1"/>
  <c r="BE157" i="69"/>
  <c r="BD157" i="69"/>
  <c r="AV157" i="69"/>
  <c r="AW157" i="69" s="1"/>
  <c r="AL157" i="69"/>
  <c r="AM157" i="69" s="1"/>
  <c r="AD157" i="69"/>
  <c r="AE157" i="69" s="1"/>
  <c r="U157" i="69"/>
  <c r="T157" i="69"/>
  <c r="L157" i="69"/>
  <c r="M157" i="69" s="1"/>
  <c r="BE156" i="69"/>
  <c r="BD156" i="69"/>
  <c r="AV156" i="69"/>
  <c r="AW156" i="69" s="1"/>
  <c r="AL156" i="69"/>
  <c r="AM156" i="69" s="1"/>
  <c r="AD156" i="69"/>
  <c r="AE156" i="69" s="1"/>
  <c r="U156" i="69"/>
  <c r="T156" i="69"/>
  <c r="L156" i="69"/>
  <c r="M156" i="69" s="1"/>
  <c r="BE155" i="69"/>
  <c r="BD155" i="69"/>
  <c r="AV155" i="69"/>
  <c r="AW155" i="69" s="1"/>
  <c r="AL155" i="69"/>
  <c r="AM155" i="69" s="1"/>
  <c r="AD155" i="69"/>
  <c r="AE155" i="69" s="1"/>
  <c r="U155" i="69"/>
  <c r="T155" i="69"/>
  <c r="L155" i="69"/>
  <c r="M155" i="69" s="1"/>
  <c r="BE154" i="69"/>
  <c r="BD154" i="69"/>
  <c r="AV154" i="69"/>
  <c r="AW154" i="69" s="1"/>
  <c r="AL154" i="69"/>
  <c r="AM154" i="69" s="1"/>
  <c r="AD154" i="69"/>
  <c r="AE154" i="69" s="1"/>
  <c r="U154" i="69"/>
  <c r="T154" i="69"/>
  <c r="L154" i="69"/>
  <c r="M154" i="69" s="1"/>
  <c r="BE153" i="69"/>
  <c r="BD153" i="69"/>
  <c r="AV153" i="69"/>
  <c r="AW153" i="69" s="1"/>
  <c r="AL153" i="69"/>
  <c r="AM153" i="69" s="1"/>
  <c r="AD153" i="69"/>
  <c r="AE153" i="69" s="1"/>
  <c r="U153" i="69"/>
  <c r="T153" i="69"/>
  <c r="L153" i="69"/>
  <c r="M153" i="69" s="1"/>
  <c r="BE152" i="69"/>
  <c r="BD152" i="69"/>
  <c r="AV152" i="69"/>
  <c r="AW152" i="69" s="1"/>
  <c r="AL152" i="69"/>
  <c r="AM152" i="69" s="1"/>
  <c r="AD152" i="69"/>
  <c r="AE152" i="69" s="1"/>
  <c r="U152" i="69"/>
  <c r="T152" i="69"/>
  <c r="L152" i="69"/>
  <c r="M152" i="69" s="1"/>
  <c r="BE151" i="69"/>
  <c r="BD151" i="69"/>
  <c r="AV151" i="69"/>
  <c r="AW151" i="69" s="1"/>
  <c r="AL151" i="69"/>
  <c r="AM151" i="69" s="1"/>
  <c r="AD151" i="69"/>
  <c r="AE151" i="69" s="1"/>
  <c r="U151" i="69"/>
  <c r="T151" i="69"/>
  <c r="L151" i="69"/>
  <c r="M151" i="69" s="1"/>
  <c r="BE150" i="69"/>
  <c r="BD150" i="69"/>
  <c r="AV150" i="69"/>
  <c r="AW150" i="69" s="1"/>
  <c r="AL150" i="69"/>
  <c r="AM150" i="69" s="1"/>
  <c r="AD150" i="69"/>
  <c r="AE150" i="69" s="1"/>
  <c r="U150" i="69"/>
  <c r="T150" i="69"/>
  <c r="L150" i="69"/>
  <c r="M150" i="69" s="1"/>
  <c r="BE149" i="69"/>
  <c r="BD149" i="69"/>
  <c r="AV149" i="69"/>
  <c r="AW149" i="69" s="1"/>
  <c r="AL149" i="69"/>
  <c r="AM149" i="69" s="1"/>
  <c r="AE149" i="69"/>
  <c r="AD149" i="69"/>
  <c r="U149" i="69"/>
  <c r="T149" i="69"/>
  <c r="L149" i="69"/>
  <c r="M149" i="69" s="1"/>
  <c r="BE148" i="69"/>
  <c r="BD148" i="69"/>
  <c r="AV148" i="69"/>
  <c r="AW148" i="69" s="1"/>
  <c r="AL148" i="69"/>
  <c r="AM148" i="69" s="1"/>
  <c r="AD148" i="69"/>
  <c r="AE148" i="69" s="1"/>
  <c r="U148" i="69"/>
  <c r="T148" i="69"/>
  <c r="L148" i="69"/>
  <c r="M148" i="69" s="1"/>
  <c r="BE147" i="69"/>
  <c r="BD147" i="69"/>
  <c r="AV147" i="69"/>
  <c r="AW147" i="69" s="1"/>
  <c r="AL147" i="69"/>
  <c r="AM147" i="69" s="1"/>
  <c r="AD147" i="69"/>
  <c r="AE147" i="69" s="1"/>
  <c r="U147" i="69"/>
  <c r="T147" i="69"/>
  <c r="L147" i="69"/>
  <c r="M147" i="69" s="1"/>
  <c r="BE146" i="69"/>
  <c r="BD146" i="69"/>
  <c r="AV146" i="69"/>
  <c r="AW146" i="69" s="1"/>
  <c r="AL146" i="69"/>
  <c r="AM146" i="69" s="1"/>
  <c r="AD146" i="69"/>
  <c r="AE146" i="69" s="1"/>
  <c r="U146" i="69"/>
  <c r="T146" i="69"/>
  <c r="L146" i="69"/>
  <c r="M146" i="69" s="1"/>
  <c r="BE145" i="69"/>
  <c r="BD145" i="69"/>
  <c r="AV145" i="69"/>
  <c r="AW145" i="69" s="1"/>
  <c r="AL145" i="69"/>
  <c r="AM145" i="69" s="1"/>
  <c r="AE145" i="69"/>
  <c r="AD145" i="69"/>
  <c r="U145" i="69"/>
  <c r="T145" i="69"/>
  <c r="L145" i="69"/>
  <c r="M145" i="69" s="1"/>
  <c r="BE144" i="69"/>
  <c r="BD144" i="69"/>
  <c r="AV144" i="69"/>
  <c r="AW144" i="69" s="1"/>
  <c r="AL144" i="69"/>
  <c r="AM144" i="69" s="1"/>
  <c r="AD144" i="69"/>
  <c r="AE144" i="69" s="1"/>
  <c r="U144" i="69"/>
  <c r="T144" i="69"/>
  <c r="L144" i="69"/>
  <c r="M144" i="69" s="1"/>
  <c r="BE143" i="69"/>
  <c r="BD143" i="69"/>
  <c r="AV143" i="69"/>
  <c r="AW143" i="69" s="1"/>
  <c r="AL143" i="69"/>
  <c r="AM143" i="69" s="1"/>
  <c r="AD143" i="69"/>
  <c r="AE143" i="69" s="1"/>
  <c r="U143" i="69"/>
  <c r="T143" i="69"/>
  <c r="L143" i="69"/>
  <c r="M143" i="69" s="1"/>
  <c r="BE142" i="69"/>
  <c r="BD142" i="69"/>
  <c r="AV142" i="69"/>
  <c r="AW142" i="69" s="1"/>
  <c r="AL142" i="69"/>
  <c r="AM142" i="69" s="1"/>
  <c r="AD142" i="69"/>
  <c r="AE142" i="69" s="1"/>
  <c r="U142" i="69"/>
  <c r="T142" i="69"/>
  <c r="L142" i="69"/>
  <c r="M142" i="69" s="1"/>
  <c r="BE141" i="69"/>
  <c r="BD141" i="69"/>
  <c r="AV141" i="69"/>
  <c r="AW141" i="69" s="1"/>
  <c r="AL141" i="69"/>
  <c r="AM141" i="69" s="1"/>
  <c r="AE141" i="69"/>
  <c r="AD141" i="69"/>
  <c r="U141" i="69"/>
  <c r="T141" i="69"/>
  <c r="L141" i="69"/>
  <c r="M141" i="69" s="1"/>
  <c r="BE140" i="69"/>
  <c r="BD140" i="69"/>
  <c r="AV140" i="69"/>
  <c r="AW140" i="69" s="1"/>
  <c r="AL140" i="69"/>
  <c r="AM140" i="69" s="1"/>
  <c r="AD140" i="69"/>
  <c r="AE140" i="69" s="1"/>
  <c r="U140" i="69"/>
  <c r="T140" i="69"/>
  <c r="L140" i="69"/>
  <c r="M140" i="69" s="1"/>
  <c r="BE139" i="69"/>
  <c r="BD139" i="69"/>
  <c r="AV139" i="69"/>
  <c r="AW139" i="69" s="1"/>
  <c r="AL139" i="69"/>
  <c r="AM139" i="69" s="1"/>
  <c r="AE139" i="69"/>
  <c r="AD139" i="69"/>
  <c r="U139" i="69"/>
  <c r="T139" i="69"/>
  <c r="L139" i="69"/>
  <c r="M139" i="69" s="1"/>
  <c r="BE138" i="69"/>
  <c r="BD138" i="69"/>
  <c r="AV138" i="69"/>
  <c r="AW138" i="69" s="1"/>
  <c r="AL138" i="69"/>
  <c r="AM138" i="69" s="1"/>
  <c r="AD138" i="69"/>
  <c r="AE138" i="69" s="1"/>
  <c r="U138" i="69"/>
  <c r="T138" i="69"/>
  <c r="L138" i="69"/>
  <c r="M138" i="69" s="1"/>
  <c r="BE137" i="69"/>
  <c r="BD137" i="69"/>
  <c r="AV137" i="69"/>
  <c r="AW137" i="69" s="1"/>
  <c r="AL137" i="69"/>
  <c r="AM137" i="69" s="1"/>
  <c r="AE137" i="69"/>
  <c r="AD137" i="69"/>
  <c r="U137" i="69"/>
  <c r="T137" i="69"/>
  <c r="L137" i="69"/>
  <c r="M137" i="69" s="1"/>
  <c r="BE136" i="69"/>
  <c r="BD136" i="69"/>
  <c r="AV136" i="69"/>
  <c r="AW136" i="69" s="1"/>
  <c r="AL136" i="69"/>
  <c r="AM136" i="69" s="1"/>
  <c r="AD136" i="69"/>
  <c r="AE136" i="69" s="1"/>
  <c r="U136" i="69"/>
  <c r="T136" i="69"/>
  <c r="L136" i="69"/>
  <c r="M136" i="69" s="1"/>
  <c r="BE135" i="69"/>
  <c r="BD135" i="69"/>
  <c r="AV135" i="69"/>
  <c r="AW135" i="69" s="1"/>
  <c r="AL135" i="69"/>
  <c r="AM135" i="69" s="1"/>
  <c r="AD135" i="69"/>
  <c r="AE135" i="69" s="1"/>
  <c r="U135" i="69"/>
  <c r="T135" i="69"/>
  <c r="L135" i="69"/>
  <c r="M135" i="69" s="1"/>
  <c r="BE134" i="69"/>
  <c r="BD134" i="69"/>
  <c r="AV134" i="69"/>
  <c r="AW134" i="69" s="1"/>
  <c r="AL134" i="69"/>
  <c r="AM134" i="69" s="1"/>
  <c r="AD134" i="69"/>
  <c r="AE134" i="69" s="1"/>
  <c r="U134" i="69"/>
  <c r="T134" i="69"/>
  <c r="L134" i="69"/>
  <c r="M134" i="69" s="1"/>
  <c r="BE133" i="69"/>
  <c r="BD133" i="69"/>
  <c r="AV133" i="69"/>
  <c r="AW133" i="69" s="1"/>
  <c r="AL133" i="69"/>
  <c r="AM133" i="69" s="1"/>
  <c r="AE133" i="69"/>
  <c r="AD133" i="69"/>
  <c r="U133" i="69"/>
  <c r="T133" i="69"/>
  <c r="L133" i="69"/>
  <c r="M133" i="69" s="1"/>
  <c r="BE132" i="69"/>
  <c r="BD132" i="69"/>
  <c r="AV132" i="69"/>
  <c r="AW132" i="69" s="1"/>
  <c r="AL132" i="69"/>
  <c r="AM132" i="69" s="1"/>
  <c r="AD132" i="69"/>
  <c r="AE132" i="69" s="1"/>
  <c r="U132" i="69"/>
  <c r="T132" i="69"/>
  <c r="L132" i="69"/>
  <c r="M132" i="69" s="1"/>
  <c r="BE131" i="69"/>
  <c r="BD131" i="69"/>
  <c r="AV131" i="69"/>
  <c r="AW131" i="69" s="1"/>
  <c r="AL131" i="69"/>
  <c r="AM131" i="69" s="1"/>
  <c r="AE131" i="69"/>
  <c r="AD131" i="69"/>
  <c r="U131" i="69"/>
  <c r="T131" i="69"/>
  <c r="L131" i="69"/>
  <c r="M131" i="69" s="1"/>
  <c r="BE130" i="69"/>
  <c r="BD130" i="69"/>
  <c r="AV130" i="69"/>
  <c r="AW130" i="69" s="1"/>
  <c r="AL130" i="69"/>
  <c r="AM130" i="69" s="1"/>
  <c r="AD130" i="69"/>
  <c r="AE130" i="69" s="1"/>
  <c r="U130" i="69"/>
  <c r="T130" i="69"/>
  <c r="L130" i="69"/>
  <c r="M130" i="69" s="1"/>
  <c r="BE129" i="69"/>
  <c r="BD129" i="69"/>
  <c r="AV129" i="69"/>
  <c r="AW129" i="69" s="1"/>
  <c r="AL129" i="69"/>
  <c r="AM129" i="69" s="1"/>
  <c r="AD129" i="69"/>
  <c r="AE129" i="69" s="1"/>
  <c r="U129" i="69"/>
  <c r="T129" i="69"/>
  <c r="L129" i="69"/>
  <c r="M129" i="69" s="1"/>
  <c r="BE128" i="69"/>
  <c r="BD128" i="69"/>
  <c r="AV128" i="69"/>
  <c r="AW128" i="69" s="1"/>
  <c r="AL128" i="69"/>
  <c r="AM128" i="69" s="1"/>
  <c r="AD128" i="69"/>
  <c r="AE128" i="69" s="1"/>
  <c r="U128" i="69"/>
  <c r="T128" i="69"/>
  <c r="L128" i="69"/>
  <c r="M128" i="69" s="1"/>
  <c r="BE127" i="69"/>
  <c r="BD127" i="69"/>
  <c r="AV127" i="69"/>
  <c r="AW127" i="69" s="1"/>
  <c r="AL127" i="69"/>
  <c r="AM127" i="69" s="1"/>
  <c r="AD127" i="69"/>
  <c r="AE127" i="69" s="1"/>
  <c r="U127" i="69"/>
  <c r="T127" i="69"/>
  <c r="L127" i="69"/>
  <c r="M127" i="69" s="1"/>
  <c r="BE126" i="69"/>
  <c r="BD126" i="69"/>
  <c r="AV126" i="69"/>
  <c r="AW126" i="69" s="1"/>
  <c r="AM126" i="69"/>
  <c r="AL126" i="69"/>
  <c r="AE126" i="69"/>
  <c r="AD126" i="69"/>
  <c r="T126" i="69"/>
  <c r="U126" i="69" s="1"/>
  <c r="L126" i="69"/>
  <c r="M126" i="69" s="1"/>
  <c r="BE125" i="69"/>
  <c r="BD125" i="69"/>
  <c r="AV125" i="69"/>
  <c r="AW125" i="69" s="1"/>
  <c r="AL125" i="69"/>
  <c r="AM125" i="69" s="1"/>
  <c r="AE125" i="69"/>
  <c r="AD125" i="69"/>
  <c r="U125" i="69"/>
  <c r="T125" i="69"/>
  <c r="L125" i="69"/>
  <c r="M125" i="69" s="1"/>
  <c r="BE124" i="69"/>
  <c r="BD124" i="69"/>
  <c r="AV124" i="69"/>
  <c r="AW124" i="69" s="1"/>
  <c r="AL124" i="69"/>
  <c r="AM124" i="69" s="1"/>
  <c r="AD124" i="69"/>
  <c r="AE124" i="69" s="1"/>
  <c r="U124" i="69"/>
  <c r="T124" i="69"/>
  <c r="L124" i="69"/>
  <c r="M124" i="69" s="1"/>
  <c r="BE123" i="69"/>
  <c r="BD123" i="69"/>
  <c r="AV123" i="69"/>
  <c r="AW123" i="69" s="1"/>
  <c r="AM123" i="69"/>
  <c r="AL123" i="69"/>
  <c r="AD123" i="69"/>
  <c r="AE123" i="69" s="1"/>
  <c r="T123" i="69"/>
  <c r="U123" i="69" s="1"/>
  <c r="L123" i="69"/>
  <c r="M123" i="69" s="1"/>
  <c r="BE122" i="69"/>
  <c r="BD122" i="69"/>
  <c r="AV122" i="69"/>
  <c r="AW122" i="69" s="1"/>
  <c r="AM122" i="69"/>
  <c r="AL122" i="69"/>
  <c r="AE122" i="69"/>
  <c r="AD122" i="69"/>
  <c r="T122" i="69"/>
  <c r="U122" i="69" s="1"/>
  <c r="L122" i="69"/>
  <c r="M122" i="69" s="1"/>
  <c r="BD121" i="69"/>
  <c r="BE121" i="69" s="1"/>
  <c r="AV121" i="69"/>
  <c r="AW121" i="69" s="1"/>
  <c r="AM121" i="69"/>
  <c r="AL121" i="69"/>
  <c r="AD121" i="69"/>
  <c r="AE121" i="69" s="1"/>
  <c r="U121" i="69"/>
  <c r="T121" i="69"/>
  <c r="L121" i="69"/>
  <c r="M121" i="69" s="1"/>
  <c r="BE120" i="69"/>
  <c r="BD120" i="69"/>
  <c r="AV120" i="69"/>
  <c r="AW120" i="69" s="1"/>
  <c r="AM120" i="69"/>
  <c r="AL120" i="69"/>
  <c r="AE120" i="69"/>
  <c r="AD120" i="69"/>
  <c r="T120" i="69"/>
  <c r="U120" i="69" s="1"/>
  <c r="M120" i="69"/>
  <c r="L120" i="69"/>
  <c r="BD119" i="69"/>
  <c r="BE119" i="69" s="1"/>
  <c r="AV119" i="69"/>
  <c r="AW119" i="69" s="1"/>
  <c r="AL119" i="69"/>
  <c r="AM119" i="69" s="1"/>
  <c r="AD119" i="69"/>
  <c r="AE119" i="69" s="1"/>
  <c r="T119" i="69"/>
  <c r="U119" i="69" s="1"/>
  <c r="M119" i="69"/>
  <c r="L119" i="69"/>
  <c r="BD118" i="69"/>
  <c r="BE118" i="69" s="1"/>
  <c r="AV118" i="69"/>
  <c r="AW118" i="69" s="1"/>
  <c r="AL118" i="69"/>
  <c r="AM118" i="69" s="1"/>
  <c r="AE118" i="69"/>
  <c r="AD118" i="69"/>
  <c r="U118" i="69"/>
  <c r="T118" i="69"/>
  <c r="L118" i="69"/>
  <c r="M118" i="69" s="1"/>
  <c r="BE117" i="69"/>
  <c r="BD117" i="69"/>
  <c r="AV117" i="69"/>
  <c r="AW117" i="69" s="1"/>
  <c r="AM117" i="69"/>
  <c r="AL117" i="69"/>
  <c r="AD117" i="69"/>
  <c r="AE117" i="69" s="1"/>
  <c r="T117" i="69"/>
  <c r="U117" i="69" s="1"/>
  <c r="L117" i="69"/>
  <c r="M117" i="69" s="1"/>
  <c r="BE116" i="69"/>
  <c r="BD116" i="69"/>
  <c r="AV116" i="69"/>
  <c r="AW116" i="69" s="1"/>
  <c r="AL116" i="69"/>
  <c r="AM116" i="69" s="1"/>
  <c r="AD116" i="69"/>
  <c r="AE116" i="69" s="1"/>
  <c r="U116" i="69"/>
  <c r="T116" i="69"/>
  <c r="M116" i="69"/>
  <c r="L116" i="69"/>
  <c r="BD115" i="69"/>
  <c r="BE115" i="69" s="1"/>
  <c r="AV115" i="69"/>
  <c r="AW115" i="69" s="1"/>
  <c r="AL115" i="69"/>
  <c r="AM115" i="69" s="1"/>
  <c r="AE115" i="69"/>
  <c r="AD115" i="69"/>
  <c r="T115" i="69"/>
  <c r="U115" i="69" s="1"/>
  <c r="L115" i="69"/>
  <c r="M115" i="69" s="1"/>
  <c r="BD114" i="69"/>
  <c r="BE114" i="69" s="1"/>
  <c r="AV114" i="69"/>
  <c r="AW114" i="69" s="1"/>
  <c r="AM114" i="69"/>
  <c r="AL114" i="69"/>
  <c r="AD114" i="69"/>
  <c r="AE114" i="69" s="1"/>
  <c r="T114" i="69"/>
  <c r="U114" i="69" s="1"/>
  <c r="M114" i="69"/>
  <c r="L114" i="69"/>
  <c r="BE113" i="69"/>
  <c r="BD113" i="69"/>
  <c r="AV113" i="69"/>
  <c r="AW113" i="69" s="1"/>
  <c r="AM113" i="69"/>
  <c r="AL113" i="69"/>
  <c r="AD113" i="69"/>
  <c r="AE113" i="69" s="1"/>
  <c r="U113" i="69"/>
  <c r="T113" i="69"/>
  <c r="L113" i="69"/>
  <c r="M113" i="69" s="1"/>
  <c r="BD112" i="69"/>
  <c r="BE112" i="69" s="1"/>
  <c r="AV112" i="69"/>
  <c r="AW112" i="69" s="1"/>
  <c r="AL112" i="69"/>
  <c r="AM112" i="69" s="1"/>
  <c r="AE112" i="69"/>
  <c r="AD112" i="69"/>
  <c r="T112" i="69"/>
  <c r="U112" i="69" s="1"/>
  <c r="L112" i="69"/>
  <c r="M112" i="69" s="1"/>
  <c r="BE111" i="69"/>
  <c r="BD111" i="69"/>
  <c r="AV111" i="69"/>
  <c r="AW111" i="69" s="1"/>
  <c r="AL111" i="69"/>
  <c r="AM111" i="69" s="1"/>
  <c r="AE111" i="69"/>
  <c r="AD111" i="69"/>
  <c r="T111" i="69"/>
  <c r="U111" i="69" s="1"/>
  <c r="M111" i="69"/>
  <c r="L111" i="69"/>
  <c r="BD110" i="69"/>
  <c r="BE110" i="69" s="1"/>
  <c r="AV110" i="69"/>
  <c r="AW110" i="69" s="1"/>
  <c r="AL110" i="69"/>
  <c r="AM110" i="69" s="1"/>
  <c r="AE110" i="69"/>
  <c r="AD110" i="69"/>
  <c r="T110" i="69"/>
  <c r="U110" i="69" s="1"/>
  <c r="M110" i="69"/>
  <c r="L110" i="69"/>
  <c r="BD109" i="69"/>
  <c r="BE109" i="69" s="1"/>
  <c r="AV109" i="69"/>
  <c r="AW109" i="69" s="1"/>
  <c r="AL109" i="69"/>
  <c r="AM109" i="69" s="1"/>
  <c r="AE109" i="69"/>
  <c r="AD109" i="69"/>
  <c r="T109" i="69"/>
  <c r="U109" i="69" s="1"/>
  <c r="M109" i="69"/>
  <c r="L109" i="69"/>
  <c r="BD108" i="69"/>
  <c r="BE108" i="69" s="1"/>
  <c r="AV108" i="69"/>
  <c r="AW108" i="69" s="1"/>
  <c r="AL108" i="69"/>
  <c r="AM108" i="69" s="1"/>
  <c r="AE108" i="69"/>
  <c r="AD108" i="69"/>
  <c r="T108" i="69"/>
  <c r="U108" i="69" s="1"/>
  <c r="M108" i="69"/>
  <c r="L108" i="69"/>
  <c r="BD107" i="69"/>
  <c r="BE107" i="69" s="1"/>
  <c r="AV107" i="69"/>
  <c r="AW107" i="69" s="1"/>
  <c r="AL107" i="69"/>
  <c r="AM107" i="69" s="1"/>
  <c r="AE107" i="69"/>
  <c r="AD107" i="69"/>
  <c r="T107" i="69"/>
  <c r="U107" i="69" s="1"/>
  <c r="M107" i="69"/>
  <c r="L107" i="69"/>
  <c r="BD106" i="69"/>
  <c r="BE106" i="69" s="1"/>
  <c r="AV106" i="69"/>
  <c r="AW106" i="69" s="1"/>
  <c r="AL106" i="69"/>
  <c r="AM106" i="69" s="1"/>
  <c r="AE106" i="69"/>
  <c r="AD106" i="69"/>
  <c r="T106" i="69"/>
  <c r="U106" i="69" s="1"/>
  <c r="M106" i="69"/>
  <c r="L106" i="69"/>
  <c r="BD105" i="69"/>
  <c r="BE105" i="69" s="1"/>
  <c r="AV105" i="69"/>
  <c r="AW105" i="69" s="1"/>
  <c r="AL105" i="69"/>
  <c r="AM105" i="69" s="1"/>
  <c r="AE105" i="69"/>
  <c r="AD105" i="69"/>
  <c r="T105" i="69"/>
  <c r="U105" i="69" s="1"/>
  <c r="M105" i="69"/>
  <c r="L105" i="69"/>
  <c r="BD104" i="69"/>
  <c r="BE104" i="69" s="1"/>
  <c r="AV104" i="69"/>
  <c r="AW104" i="69" s="1"/>
  <c r="AL104" i="69"/>
  <c r="AM104" i="69" s="1"/>
  <c r="AE104" i="69"/>
  <c r="AD104" i="69"/>
  <c r="T104" i="69"/>
  <c r="U104" i="69" s="1"/>
  <c r="M104" i="69"/>
  <c r="L104" i="69"/>
  <c r="BD103" i="69"/>
  <c r="BE103" i="69" s="1"/>
  <c r="AV103" i="69"/>
  <c r="AW103" i="69" s="1"/>
  <c r="AL103" i="69"/>
  <c r="AM103" i="69" s="1"/>
  <c r="AE103" i="69"/>
  <c r="AD103" i="69"/>
  <c r="T103" i="69"/>
  <c r="U103" i="69" s="1"/>
  <c r="M103" i="69"/>
  <c r="L103" i="69"/>
  <c r="BD102" i="69"/>
  <c r="BE102" i="69" s="1"/>
  <c r="AV102" i="69"/>
  <c r="AW102" i="69" s="1"/>
  <c r="AL102" i="69"/>
  <c r="AM102" i="69" s="1"/>
  <c r="AE102" i="69"/>
  <c r="AD102" i="69"/>
  <c r="T102" i="69"/>
  <c r="U102" i="69" s="1"/>
  <c r="M102" i="69"/>
  <c r="L102" i="69"/>
  <c r="BD101" i="69"/>
  <c r="BE101" i="69" s="1"/>
  <c r="AV101" i="69"/>
  <c r="AW101" i="69" s="1"/>
  <c r="AL101" i="69"/>
  <c r="AM101" i="69" s="1"/>
  <c r="AE101" i="69"/>
  <c r="AD101" i="69"/>
  <c r="T101" i="69"/>
  <c r="U101" i="69" s="1"/>
  <c r="M101" i="69"/>
  <c r="L101" i="69"/>
  <c r="BD100" i="69"/>
  <c r="BE100" i="69" s="1"/>
  <c r="AV100" i="69"/>
  <c r="AW100" i="69" s="1"/>
  <c r="AL100" i="69"/>
  <c r="AM100" i="69" s="1"/>
  <c r="AE100" i="69"/>
  <c r="AD100" i="69"/>
  <c r="T100" i="69"/>
  <c r="U100" i="69" s="1"/>
  <c r="M100" i="69"/>
  <c r="L100" i="69"/>
  <c r="BD99" i="69"/>
  <c r="BE99" i="69" s="1"/>
  <c r="AV99" i="69"/>
  <c r="AW99" i="69" s="1"/>
  <c r="AL99" i="69"/>
  <c r="AM99" i="69" s="1"/>
  <c r="AE99" i="69"/>
  <c r="AD99" i="69"/>
  <c r="T99" i="69"/>
  <c r="U99" i="69" s="1"/>
  <c r="M99" i="69"/>
  <c r="L99" i="69"/>
  <c r="BD98" i="69"/>
  <c r="BE98" i="69" s="1"/>
  <c r="AV98" i="69"/>
  <c r="AW98" i="69" s="1"/>
  <c r="AL98" i="69"/>
  <c r="AM98" i="69" s="1"/>
  <c r="AE98" i="69"/>
  <c r="AD98" i="69"/>
  <c r="T98" i="69"/>
  <c r="U98" i="69" s="1"/>
  <c r="M98" i="69"/>
  <c r="L98" i="69"/>
  <c r="BD97" i="69"/>
  <c r="BE97" i="69" s="1"/>
  <c r="AV97" i="69"/>
  <c r="AW97" i="69" s="1"/>
  <c r="AL97" i="69"/>
  <c r="AM97" i="69" s="1"/>
  <c r="AE97" i="69"/>
  <c r="AD97" i="69"/>
  <c r="T97" i="69"/>
  <c r="U97" i="69" s="1"/>
  <c r="M97" i="69"/>
  <c r="L97" i="69"/>
  <c r="BD96" i="69"/>
  <c r="BE96" i="69" s="1"/>
  <c r="AV96" i="69"/>
  <c r="AW96" i="69" s="1"/>
  <c r="AL96" i="69"/>
  <c r="AM96" i="69" s="1"/>
  <c r="AE96" i="69"/>
  <c r="AD96" i="69"/>
  <c r="T96" i="69"/>
  <c r="U96" i="69" s="1"/>
  <c r="M96" i="69"/>
  <c r="L96" i="69"/>
  <c r="BD95" i="69"/>
  <c r="BE95" i="69" s="1"/>
  <c r="AV95" i="69"/>
  <c r="AW95" i="69" s="1"/>
  <c r="AL95" i="69"/>
  <c r="AM95" i="69" s="1"/>
  <c r="AE95" i="69"/>
  <c r="AD95" i="69"/>
  <c r="T95" i="69"/>
  <c r="U95" i="69" s="1"/>
  <c r="M95" i="69"/>
  <c r="L95" i="69"/>
  <c r="BD94" i="69"/>
  <c r="BE94" i="69" s="1"/>
  <c r="AV94" i="69"/>
  <c r="AW94" i="69" s="1"/>
  <c r="AL94" i="69"/>
  <c r="AM94" i="69" s="1"/>
  <c r="AE94" i="69"/>
  <c r="AD94" i="69"/>
  <c r="T94" i="69"/>
  <c r="U94" i="69" s="1"/>
  <c r="M94" i="69"/>
  <c r="L94" i="69"/>
  <c r="BD93" i="69"/>
  <c r="BE93" i="69" s="1"/>
  <c r="AV93" i="69"/>
  <c r="AW93" i="69" s="1"/>
  <c r="AL93" i="69"/>
  <c r="AM93" i="69" s="1"/>
  <c r="AE93" i="69"/>
  <c r="AD93" i="69"/>
  <c r="T93" i="69"/>
  <c r="U93" i="69" s="1"/>
  <c r="M93" i="69"/>
  <c r="L93" i="69"/>
  <c r="BD92" i="69"/>
  <c r="BE92" i="69" s="1"/>
  <c r="AV92" i="69"/>
  <c r="AW92" i="69" s="1"/>
  <c r="AL92" i="69"/>
  <c r="AM92" i="69" s="1"/>
  <c r="AE92" i="69"/>
  <c r="AD92" i="69"/>
  <c r="T92" i="69"/>
  <c r="U92" i="69" s="1"/>
  <c r="M92" i="69"/>
  <c r="L92" i="69"/>
  <c r="BD91" i="69"/>
  <c r="BE91" i="69" s="1"/>
  <c r="AV91" i="69"/>
  <c r="AW91" i="69" s="1"/>
  <c r="AL91" i="69"/>
  <c r="AM91" i="69" s="1"/>
  <c r="AE91" i="69"/>
  <c r="AD91" i="69"/>
  <c r="T91" i="69"/>
  <c r="U91" i="69" s="1"/>
  <c r="M91" i="69"/>
  <c r="L91" i="69"/>
  <c r="BD90" i="69"/>
  <c r="BE90" i="69" s="1"/>
  <c r="AV90" i="69"/>
  <c r="AW90" i="69" s="1"/>
  <c r="AL90" i="69"/>
  <c r="AM90" i="69" s="1"/>
  <c r="AE90" i="69"/>
  <c r="AD90" i="69"/>
  <c r="T90" i="69"/>
  <c r="U90" i="69" s="1"/>
  <c r="M90" i="69"/>
  <c r="L90" i="69"/>
  <c r="BD89" i="69"/>
  <c r="BE89" i="69" s="1"/>
  <c r="AV89" i="69"/>
  <c r="AW89" i="69" s="1"/>
  <c r="AL89" i="69"/>
  <c r="AM89" i="69" s="1"/>
  <c r="AE89" i="69"/>
  <c r="AD89" i="69"/>
  <c r="T89" i="69"/>
  <c r="U89" i="69" s="1"/>
  <c r="M89" i="69"/>
  <c r="L89" i="69"/>
  <c r="BD88" i="69"/>
  <c r="BE88" i="69" s="1"/>
  <c r="AV88" i="69"/>
  <c r="AW88" i="69" s="1"/>
  <c r="AL88" i="69"/>
  <c r="AM88" i="69" s="1"/>
  <c r="AE88" i="69"/>
  <c r="AD88" i="69"/>
  <c r="T88" i="69"/>
  <c r="U88" i="69" s="1"/>
  <c r="M88" i="69"/>
  <c r="L88" i="69"/>
  <c r="BD87" i="69"/>
  <c r="BE87" i="69" s="1"/>
  <c r="AV87" i="69"/>
  <c r="AW87" i="69" s="1"/>
  <c r="AL87" i="69"/>
  <c r="AM87" i="69" s="1"/>
  <c r="AE87" i="69"/>
  <c r="AD87" i="69"/>
  <c r="T87" i="69"/>
  <c r="U87" i="69" s="1"/>
  <c r="M87" i="69"/>
  <c r="L87" i="69"/>
  <c r="BD86" i="69"/>
  <c r="BE86" i="69" s="1"/>
  <c r="AV86" i="69"/>
  <c r="AW86" i="69" s="1"/>
  <c r="AL86" i="69"/>
  <c r="AM86" i="69" s="1"/>
  <c r="AE86" i="69"/>
  <c r="AD86" i="69"/>
  <c r="T86" i="69"/>
  <c r="U86" i="69" s="1"/>
  <c r="M86" i="69"/>
  <c r="L86" i="69"/>
  <c r="BD85" i="69"/>
  <c r="BE85" i="69" s="1"/>
  <c r="AV85" i="69"/>
  <c r="AW85" i="69" s="1"/>
  <c r="AL85" i="69"/>
  <c r="AM85" i="69" s="1"/>
  <c r="AE85" i="69"/>
  <c r="AD85" i="69"/>
  <c r="T85" i="69"/>
  <c r="U85" i="69" s="1"/>
  <c r="M85" i="69"/>
  <c r="L85" i="69"/>
  <c r="BD84" i="69"/>
  <c r="BE84" i="69" s="1"/>
  <c r="AV84" i="69"/>
  <c r="AW84" i="69" s="1"/>
  <c r="AL84" i="69"/>
  <c r="AM84" i="69" s="1"/>
  <c r="AE84" i="69"/>
  <c r="AD84" i="69"/>
  <c r="T84" i="69"/>
  <c r="U84" i="69" s="1"/>
  <c r="M84" i="69"/>
  <c r="L84" i="69"/>
  <c r="BD83" i="69"/>
  <c r="BE83" i="69" s="1"/>
  <c r="AV83" i="69"/>
  <c r="AW83" i="69" s="1"/>
  <c r="AL83" i="69"/>
  <c r="AM83" i="69" s="1"/>
  <c r="AE83" i="69"/>
  <c r="AD83" i="69"/>
  <c r="T83" i="69"/>
  <c r="U83" i="69" s="1"/>
  <c r="M83" i="69"/>
  <c r="L83" i="69"/>
  <c r="BD82" i="69"/>
  <c r="BE82" i="69" s="1"/>
  <c r="AV82" i="69"/>
  <c r="AW82" i="69" s="1"/>
  <c r="AL82" i="69"/>
  <c r="AM82" i="69" s="1"/>
  <c r="AE82" i="69"/>
  <c r="AD82" i="69"/>
  <c r="T82" i="69"/>
  <c r="U82" i="69" s="1"/>
  <c r="M82" i="69"/>
  <c r="L82" i="69"/>
  <c r="BD81" i="69"/>
  <c r="BE81" i="69" s="1"/>
  <c r="AV81" i="69"/>
  <c r="AW81" i="69" s="1"/>
  <c r="AL81" i="69"/>
  <c r="AM81" i="69" s="1"/>
  <c r="AE81" i="69"/>
  <c r="AD81" i="69"/>
  <c r="T81" i="69"/>
  <c r="U81" i="69" s="1"/>
  <c r="M81" i="69"/>
  <c r="L81" i="69"/>
  <c r="BD80" i="69"/>
  <c r="BE80" i="69" s="1"/>
  <c r="AV80" i="69"/>
  <c r="AW80" i="69" s="1"/>
  <c r="AL80" i="69"/>
  <c r="AM80" i="69" s="1"/>
  <c r="AE80" i="69"/>
  <c r="AD80" i="69"/>
  <c r="T80" i="69"/>
  <c r="U80" i="69" s="1"/>
  <c r="M80" i="69"/>
  <c r="L80" i="69"/>
  <c r="BD79" i="69"/>
  <c r="BE79" i="69" s="1"/>
  <c r="AV79" i="69"/>
  <c r="AW79" i="69" s="1"/>
  <c r="AL79" i="69"/>
  <c r="AM79" i="69" s="1"/>
  <c r="AE79" i="69"/>
  <c r="AD79" i="69"/>
  <c r="T79" i="69"/>
  <c r="U79" i="69" s="1"/>
  <c r="M79" i="69"/>
  <c r="L79" i="69"/>
  <c r="BD78" i="69"/>
  <c r="BE78" i="69" s="1"/>
  <c r="AV78" i="69"/>
  <c r="AW78" i="69" s="1"/>
  <c r="AL78" i="69"/>
  <c r="AM78" i="69" s="1"/>
  <c r="AE78" i="69"/>
  <c r="AD78" i="69"/>
  <c r="T78" i="69"/>
  <c r="U78" i="69" s="1"/>
  <c r="M78" i="69"/>
  <c r="L78" i="69"/>
  <c r="BD77" i="69"/>
  <c r="BE77" i="69" s="1"/>
  <c r="AV77" i="69"/>
  <c r="AW77" i="69" s="1"/>
  <c r="AL77" i="69"/>
  <c r="AM77" i="69" s="1"/>
  <c r="AE77" i="69"/>
  <c r="AD77" i="69"/>
  <c r="T77" i="69"/>
  <c r="U77" i="69" s="1"/>
  <c r="M77" i="69"/>
  <c r="L77" i="69"/>
  <c r="BD76" i="69"/>
  <c r="BE76" i="69" s="1"/>
  <c r="AV76" i="69"/>
  <c r="AW76" i="69" s="1"/>
  <c r="AL76" i="69"/>
  <c r="AM76" i="69" s="1"/>
  <c r="AE76" i="69"/>
  <c r="AD76" i="69"/>
  <c r="T76" i="69"/>
  <c r="U76" i="69" s="1"/>
  <c r="M76" i="69"/>
  <c r="L76" i="69"/>
  <c r="BD75" i="69"/>
  <c r="BE75" i="69" s="1"/>
  <c r="AV75" i="69"/>
  <c r="AW75" i="69" s="1"/>
  <c r="AL75" i="69"/>
  <c r="AM75" i="69" s="1"/>
  <c r="AE75" i="69"/>
  <c r="AD75" i="69"/>
  <c r="T75" i="69"/>
  <c r="U75" i="69" s="1"/>
  <c r="M75" i="69"/>
  <c r="L75" i="69"/>
  <c r="BD74" i="69"/>
  <c r="BE74" i="69" s="1"/>
  <c r="AV74" i="69"/>
  <c r="AW74" i="69" s="1"/>
  <c r="AL74" i="69"/>
  <c r="AM74" i="69" s="1"/>
  <c r="AE74" i="69"/>
  <c r="AD74" i="69"/>
  <c r="T74" i="69"/>
  <c r="U74" i="69" s="1"/>
  <c r="M74" i="69"/>
  <c r="L74" i="69"/>
  <c r="BD73" i="69"/>
  <c r="BE73" i="69" s="1"/>
  <c r="AV73" i="69"/>
  <c r="AW73" i="69" s="1"/>
  <c r="AL73" i="69"/>
  <c r="AM73" i="69" s="1"/>
  <c r="AE73" i="69"/>
  <c r="AD73" i="69"/>
  <c r="T73" i="69"/>
  <c r="U73" i="69" s="1"/>
  <c r="M73" i="69"/>
  <c r="L73" i="69"/>
  <c r="BD72" i="69"/>
  <c r="BE72" i="69" s="1"/>
  <c r="AV72" i="69"/>
  <c r="AW72" i="69" s="1"/>
  <c r="AL72" i="69"/>
  <c r="AM72" i="69" s="1"/>
  <c r="AE72" i="69"/>
  <c r="AD72" i="69"/>
  <c r="T72" i="69"/>
  <c r="U72" i="69" s="1"/>
  <c r="M72" i="69"/>
  <c r="L72" i="69"/>
  <c r="BD71" i="69"/>
  <c r="BE71" i="69" s="1"/>
  <c r="AV71" i="69"/>
  <c r="AW71" i="69" s="1"/>
  <c r="AL71" i="69"/>
  <c r="AM71" i="69" s="1"/>
  <c r="AE71" i="69"/>
  <c r="AD71" i="69"/>
  <c r="T71" i="69"/>
  <c r="U71" i="69" s="1"/>
  <c r="M71" i="69"/>
  <c r="L71" i="69"/>
  <c r="BD70" i="69"/>
  <c r="BE70" i="69" s="1"/>
  <c r="AV70" i="69"/>
  <c r="AW70" i="69" s="1"/>
  <c r="AL70" i="69"/>
  <c r="AM70" i="69" s="1"/>
  <c r="AE70" i="69"/>
  <c r="AD70" i="69"/>
  <c r="T70" i="69"/>
  <c r="U70" i="69" s="1"/>
  <c r="M70" i="69"/>
  <c r="L70" i="69"/>
  <c r="BD69" i="69"/>
  <c r="BE69" i="69" s="1"/>
  <c r="AV69" i="69"/>
  <c r="AW69" i="69" s="1"/>
  <c r="AL69" i="69"/>
  <c r="AM69" i="69" s="1"/>
  <c r="AE69" i="69"/>
  <c r="AD69" i="69"/>
  <c r="T69" i="69"/>
  <c r="U69" i="69" s="1"/>
  <c r="M69" i="69"/>
  <c r="L69" i="69"/>
  <c r="BD68" i="69"/>
  <c r="BE68" i="69" s="1"/>
  <c r="AV68" i="69"/>
  <c r="AW68" i="69" s="1"/>
  <c r="AL68" i="69"/>
  <c r="AM68" i="69" s="1"/>
  <c r="AE68" i="69"/>
  <c r="AD68" i="69"/>
  <c r="T68" i="69"/>
  <c r="U68" i="69" s="1"/>
  <c r="M68" i="69"/>
  <c r="L68" i="69"/>
  <c r="BD67" i="69"/>
  <c r="BE67" i="69" s="1"/>
  <c r="AV67" i="69"/>
  <c r="AW67" i="69" s="1"/>
  <c r="AL67" i="69"/>
  <c r="AM67" i="69" s="1"/>
  <c r="AD67" i="69"/>
  <c r="AE67" i="69" s="1"/>
  <c r="T67" i="69"/>
  <c r="U67" i="69" s="1"/>
  <c r="M67" i="69"/>
  <c r="L67" i="69"/>
  <c r="BD66" i="69"/>
  <c r="BE66" i="69" s="1"/>
  <c r="AV66" i="69"/>
  <c r="AW66" i="69" s="1"/>
  <c r="AM66" i="69"/>
  <c r="AL66" i="69"/>
  <c r="AD66" i="69"/>
  <c r="AE66" i="69" s="1"/>
  <c r="T66" i="69"/>
  <c r="U66" i="69" s="1"/>
  <c r="L66" i="69"/>
  <c r="M66" i="69" s="1"/>
  <c r="BD65" i="69"/>
  <c r="BE65" i="69" s="1"/>
  <c r="AV65" i="69"/>
  <c r="AW65" i="69" s="1"/>
  <c r="AM65" i="69"/>
  <c r="AL65" i="69"/>
  <c r="AD65" i="69"/>
  <c r="AE65" i="69" s="1"/>
  <c r="T65" i="69"/>
  <c r="U65" i="69" s="1"/>
  <c r="L65" i="69"/>
  <c r="M65" i="69" s="1"/>
  <c r="BD64" i="69"/>
  <c r="BE64" i="69" s="1"/>
  <c r="AV64" i="69"/>
  <c r="AW64" i="69" s="1"/>
  <c r="AL64" i="69"/>
  <c r="AM64" i="69" s="1"/>
  <c r="AD64" i="69"/>
  <c r="AE64" i="69" s="1"/>
  <c r="T64" i="69"/>
  <c r="U64" i="69" s="1"/>
  <c r="L64" i="69"/>
  <c r="M64" i="69" s="1"/>
  <c r="BD63" i="69"/>
  <c r="BE63" i="69" s="1"/>
  <c r="AV63" i="69"/>
  <c r="AW63" i="69" s="1"/>
  <c r="AL63" i="69"/>
  <c r="AM63" i="69" s="1"/>
  <c r="AD63" i="69"/>
  <c r="AE63" i="69" s="1"/>
  <c r="T63" i="69"/>
  <c r="U63" i="69" s="1"/>
  <c r="L63" i="69"/>
  <c r="M63" i="69" s="1"/>
  <c r="BD62" i="69"/>
  <c r="BE62" i="69" s="1"/>
  <c r="AV62" i="69"/>
  <c r="AW62" i="69" s="1"/>
  <c r="AL62" i="69"/>
  <c r="AM62" i="69" s="1"/>
  <c r="AD62" i="69"/>
  <c r="AE62" i="69" s="1"/>
  <c r="T62" i="69"/>
  <c r="U62" i="69" s="1"/>
  <c r="L62" i="69"/>
  <c r="M62" i="69" s="1"/>
  <c r="BD61" i="69"/>
  <c r="BE61" i="69" s="1"/>
  <c r="AV61" i="69"/>
  <c r="AW61" i="69" s="1"/>
  <c r="AM61" i="69"/>
  <c r="AL61" i="69"/>
  <c r="AD61" i="69"/>
  <c r="AE61" i="69" s="1"/>
  <c r="T61" i="69"/>
  <c r="U61" i="69" s="1"/>
  <c r="L61" i="69"/>
  <c r="M61" i="69" s="1"/>
  <c r="BD60" i="69"/>
  <c r="BE60" i="69" s="1"/>
  <c r="AV60" i="69"/>
  <c r="AW60" i="69" s="1"/>
  <c r="AM60" i="69"/>
  <c r="AL60" i="69"/>
  <c r="AD60" i="69"/>
  <c r="AE60" i="69" s="1"/>
  <c r="T60" i="69"/>
  <c r="U60" i="69" s="1"/>
  <c r="L60" i="69"/>
  <c r="M60" i="69" s="1"/>
  <c r="BD59" i="69"/>
  <c r="BE59" i="69" s="1"/>
  <c r="AV59" i="69"/>
  <c r="AW59" i="69" s="1"/>
  <c r="AL59" i="69"/>
  <c r="AM59" i="69" s="1"/>
  <c r="AD59" i="69"/>
  <c r="AE59" i="69" s="1"/>
  <c r="T59" i="69"/>
  <c r="U59" i="69" s="1"/>
  <c r="L59" i="69"/>
  <c r="M59" i="69" s="1"/>
  <c r="BD58" i="69"/>
  <c r="BE58" i="69" s="1"/>
  <c r="AV58" i="69"/>
  <c r="AW58" i="69" s="1"/>
  <c r="AM58" i="69"/>
  <c r="AL58" i="69"/>
  <c r="AD58" i="69"/>
  <c r="AE58" i="69" s="1"/>
  <c r="T58" i="69"/>
  <c r="U58" i="69" s="1"/>
  <c r="M58" i="69"/>
  <c r="L58" i="69"/>
  <c r="BD57" i="69"/>
  <c r="BE57" i="69" s="1"/>
  <c r="AW57" i="69"/>
  <c r="AV57" i="69"/>
  <c r="AL57" i="69"/>
  <c r="AM57" i="69" s="1"/>
  <c r="AE57" i="69"/>
  <c r="AD57" i="69"/>
  <c r="T57" i="69"/>
  <c r="U57" i="69" s="1"/>
  <c r="M57" i="69"/>
  <c r="L57" i="69"/>
  <c r="BD56" i="69"/>
  <c r="BE56" i="69" s="1"/>
  <c r="AV56" i="69"/>
  <c r="AW56" i="69" s="1"/>
  <c r="AM56" i="69"/>
  <c r="AL56" i="69"/>
  <c r="AD56" i="69"/>
  <c r="AE56" i="69" s="1"/>
  <c r="T56" i="69"/>
  <c r="U56" i="69" s="1"/>
  <c r="L56" i="69"/>
  <c r="M56" i="69" s="1"/>
  <c r="BD55" i="69"/>
  <c r="BE55" i="69" s="1"/>
  <c r="AV55" i="69"/>
  <c r="AW55" i="69" s="1"/>
  <c r="AL55" i="69"/>
  <c r="AM55" i="69" s="1"/>
  <c r="AE55" i="69"/>
  <c r="AD55" i="69"/>
  <c r="T55" i="69"/>
  <c r="U55" i="69" s="1"/>
  <c r="L55" i="69"/>
  <c r="M55" i="69" s="1"/>
  <c r="BD54" i="69"/>
  <c r="BE54" i="69" s="1"/>
  <c r="AV54" i="69"/>
  <c r="AW54" i="69" s="1"/>
  <c r="AL54" i="69"/>
  <c r="AM54" i="69" s="1"/>
  <c r="AD54" i="69"/>
  <c r="AE54" i="69" s="1"/>
  <c r="T54" i="69"/>
  <c r="U54" i="69" s="1"/>
  <c r="M54" i="69"/>
  <c r="L54" i="69"/>
  <c r="BD53" i="69"/>
  <c r="BE53" i="69" s="1"/>
  <c r="AW53" i="69"/>
  <c r="AV53" i="69"/>
  <c r="AL53" i="69"/>
  <c r="AM53" i="69" s="1"/>
  <c r="AD53" i="69"/>
  <c r="AE53" i="69" s="1"/>
  <c r="T53" i="69"/>
  <c r="U53" i="69" s="1"/>
  <c r="L53" i="69"/>
  <c r="M53" i="69" s="1"/>
  <c r="BD52" i="69"/>
  <c r="BE52" i="69" s="1"/>
  <c r="AV52" i="69"/>
  <c r="AW52" i="69" s="1"/>
  <c r="AM52" i="69"/>
  <c r="AL52" i="69"/>
  <c r="AD52" i="69"/>
  <c r="AE52" i="69" s="1"/>
  <c r="T52" i="69"/>
  <c r="U52" i="69" s="1"/>
  <c r="M52" i="69"/>
  <c r="L52" i="69"/>
  <c r="BD51" i="69"/>
  <c r="BE51" i="69" s="1"/>
  <c r="AW51" i="69"/>
  <c r="AV51" i="69"/>
  <c r="AL51" i="69"/>
  <c r="AM51" i="69" s="1"/>
  <c r="AE51" i="69"/>
  <c r="AD51" i="69"/>
  <c r="T51" i="69"/>
  <c r="U51" i="69" s="1"/>
  <c r="M51" i="69"/>
  <c r="L51" i="69"/>
  <c r="BD50" i="69"/>
  <c r="BE50" i="69" s="1"/>
  <c r="AV50" i="69"/>
  <c r="AW50" i="69" s="1"/>
  <c r="AM50" i="69"/>
  <c r="AL50" i="69"/>
  <c r="AD50" i="69"/>
  <c r="AE50" i="69" s="1"/>
  <c r="T50" i="69"/>
  <c r="U50" i="69" s="1"/>
  <c r="L50" i="69"/>
  <c r="M50" i="69" s="1"/>
  <c r="BD49" i="69"/>
  <c r="BE49" i="69" s="1"/>
  <c r="AV49" i="69"/>
  <c r="AW49" i="69" s="1"/>
  <c r="AL49" i="69"/>
  <c r="AM49" i="69" s="1"/>
  <c r="AE49" i="69"/>
  <c r="AD49" i="69"/>
  <c r="T49" i="69"/>
  <c r="U49" i="69" s="1"/>
  <c r="L49" i="69"/>
  <c r="M49" i="69" s="1"/>
  <c r="BD48" i="69"/>
  <c r="BE48" i="69" s="1"/>
  <c r="AV48" i="69"/>
  <c r="AW48" i="69" s="1"/>
  <c r="AL48" i="69"/>
  <c r="AM48" i="69" s="1"/>
  <c r="AD48" i="69"/>
  <c r="AE48" i="69" s="1"/>
  <c r="T48" i="69"/>
  <c r="U48" i="69" s="1"/>
  <c r="M48" i="69"/>
  <c r="L48" i="69"/>
  <c r="BD47" i="69"/>
  <c r="BE47" i="69" s="1"/>
  <c r="AW47" i="69"/>
  <c r="AV47" i="69"/>
  <c r="AL47" i="69"/>
  <c r="AM47" i="69" s="1"/>
  <c r="AD47" i="69"/>
  <c r="AE47" i="69" s="1"/>
  <c r="T47" i="69"/>
  <c r="U47" i="69" s="1"/>
  <c r="L47" i="69"/>
  <c r="M47" i="69" s="1"/>
  <c r="BE46" i="69"/>
  <c r="BD46" i="69"/>
  <c r="AV46" i="69"/>
  <c r="AW46" i="69" s="1"/>
  <c r="AL46" i="69"/>
  <c r="AM46" i="69" s="1"/>
  <c r="AE46" i="69"/>
  <c r="AD46" i="69"/>
  <c r="T46" i="69"/>
  <c r="U46" i="69" s="1"/>
  <c r="L46" i="69"/>
  <c r="M46" i="69" s="1"/>
  <c r="BE45" i="69"/>
  <c r="BD45" i="69"/>
  <c r="AV45" i="69"/>
  <c r="AW45" i="69" s="1"/>
  <c r="AM45" i="69"/>
  <c r="AL45" i="69"/>
  <c r="AD45" i="69"/>
  <c r="AE45" i="69" s="1"/>
  <c r="T45" i="69"/>
  <c r="U45" i="69" s="1"/>
  <c r="M45" i="69"/>
  <c r="L45" i="69"/>
  <c r="BD44" i="69"/>
  <c r="BE44" i="69" s="1"/>
  <c r="AW44" i="69"/>
  <c r="AV44" i="69"/>
  <c r="AL44" i="69"/>
  <c r="AM44" i="69" s="1"/>
  <c r="AD44" i="69"/>
  <c r="AE44" i="69" s="1"/>
  <c r="T44" i="69"/>
  <c r="U44" i="69" s="1"/>
  <c r="L44" i="69"/>
  <c r="M44" i="69" s="1"/>
  <c r="BD43" i="69"/>
  <c r="BE43" i="69" s="1"/>
  <c r="AW43" i="69"/>
  <c r="AV43" i="69"/>
  <c r="AL43" i="69"/>
  <c r="AM43" i="69" s="1"/>
  <c r="AE43" i="69"/>
  <c r="AD43" i="69"/>
  <c r="T43" i="69"/>
  <c r="U43" i="69" s="1"/>
  <c r="M43" i="69"/>
  <c r="L43" i="69"/>
  <c r="BE42" i="69"/>
  <c r="BD42" i="69"/>
  <c r="AV42" i="69"/>
  <c r="AW42" i="69" s="1"/>
  <c r="AM42" i="69"/>
  <c r="AL42" i="69"/>
  <c r="AD42" i="69"/>
  <c r="AE42" i="69" s="1"/>
  <c r="T42" i="69"/>
  <c r="U42" i="69" s="1"/>
  <c r="L42" i="69"/>
  <c r="M42" i="69" s="1"/>
  <c r="BD41" i="69"/>
  <c r="BE41" i="69" s="1"/>
  <c r="AV41" i="69"/>
  <c r="AW41" i="69" s="1"/>
  <c r="AM41" i="69"/>
  <c r="AL41" i="69"/>
  <c r="AD41" i="69"/>
  <c r="AE41" i="69" s="1"/>
  <c r="T41" i="69"/>
  <c r="U41" i="69" s="1"/>
  <c r="L41" i="69"/>
  <c r="M41" i="69" s="1"/>
  <c r="BE40" i="69"/>
  <c r="BD40" i="69"/>
  <c r="AW40" i="69"/>
  <c r="AV40" i="69"/>
  <c r="AL40" i="69"/>
  <c r="AM40" i="69" s="1"/>
  <c r="AE40" i="69"/>
  <c r="AD40" i="69"/>
  <c r="T40" i="69"/>
  <c r="U40" i="69" s="1"/>
  <c r="M40" i="69"/>
  <c r="L40" i="69"/>
  <c r="BD39" i="69"/>
  <c r="BE39" i="69" s="1"/>
  <c r="AV39" i="69"/>
  <c r="AW39" i="69" s="1"/>
  <c r="AL39" i="69"/>
  <c r="AM39" i="69" s="1"/>
  <c r="AE39" i="69"/>
  <c r="AD39" i="69"/>
  <c r="T39" i="69"/>
  <c r="U39" i="69" s="1"/>
  <c r="L39" i="69"/>
  <c r="M39" i="69" s="1"/>
  <c r="BD38" i="69"/>
  <c r="BE38" i="69" s="1"/>
  <c r="AW38" i="69"/>
  <c r="AV38" i="69"/>
  <c r="AM38" i="69"/>
  <c r="AL38" i="69"/>
  <c r="AD38" i="69"/>
  <c r="AE38" i="69" s="1"/>
  <c r="T38" i="69"/>
  <c r="U38" i="69" s="1"/>
  <c r="L38" i="69"/>
  <c r="M38" i="69" s="1"/>
  <c r="BE37" i="69"/>
  <c r="BD37" i="69"/>
  <c r="AV37" i="69"/>
  <c r="AW37" i="69" s="1"/>
  <c r="AL37" i="69"/>
  <c r="AM37" i="69" s="1"/>
  <c r="AD37" i="69"/>
  <c r="AE37" i="69" s="1"/>
  <c r="T37" i="69"/>
  <c r="U37" i="69" s="1"/>
  <c r="M37" i="69"/>
  <c r="L37" i="69"/>
  <c r="BD36" i="69"/>
  <c r="BE36" i="69" s="1"/>
  <c r="AV36" i="69"/>
  <c r="AW36" i="69" s="1"/>
  <c r="AM36" i="69"/>
  <c r="AL36" i="69"/>
  <c r="AE36" i="69"/>
  <c r="AD36" i="69"/>
  <c r="T36" i="69"/>
  <c r="U36" i="69" s="1"/>
  <c r="M36" i="69"/>
  <c r="L36" i="69"/>
  <c r="BD35" i="69"/>
  <c r="BE35" i="69" s="1"/>
  <c r="AW35" i="69"/>
  <c r="AV35" i="69"/>
  <c r="AL35" i="69"/>
  <c r="AM35" i="69" s="1"/>
  <c r="AD35" i="69"/>
  <c r="AE35" i="69" s="1"/>
  <c r="T35" i="69"/>
  <c r="U35" i="69" s="1"/>
  <c r="M35" i="69"/>
  <c r="L35" i="69"/>
  <c r="BD34" i="69"/>
  <c r="BE34" i="69" s="1"/>
  <c r="AW34" i="69"/>
  <c r="AV34" i="69"/>
  <c r="AL34" i="69"/>
  <c r="AM34" i="69" s="1"/>
  <c r="AD34" i="69"/>
  <c r="AE34" i="69" s="1"/>
  <c r="T34" i="69"/>
  <c r="U34" i="69" s="1"/>
  <c r="M34" i="69"/>
  <c r="L34" i="69"/>
  <c r="BD33" i="69"/>
  <c r="BE33" i="69" s="1"/>
  <c r="AW33" i="69"/>
  <c r="AV33" i="69"/>
  <c r="AL33" i="69"/>
  <c r="AM33" i="69" s="1"/>
  <c r="AD33" i="69"/>
  <c r="AE33" i="69" s="1"/>
  <c r="T33" i="69"/>
  <c r="U33" i="69" s="1"/>
  <c r="M33" i="69"/>
  <c r="L33" i="69"/>
  <c r="BD32" i="69"/>
  <c r="BE32" i="69" s="1"/>
  <c r="AW32" i="69"/>
  <c r="AV32" i="69"/>
  <c r="AL32" i="69"/>
  <c r="AM32" i="69" s="1"/>
  <c r="AD32" i="69"/>
  <c r="AE32" i="69" s="1"/>
  <c r="T32" i="69"/>
  <c r="U32" i="69" s="1"/>
  <c r="M32" i="69"/>
  <c r="L32" i="69"/>
  <c r="BD31" i="69"/>
  <c r="BE31" i="69" s="1"/>
  <c r="AW31" i="69"/>
  <c r="AV31" i="69"/>
  <c r="AL31" i="69"/>
  <c r="AM31" i="69" s="1"/>
  <c r="AD31" i="69"/>
  <c r="AE31" i="69" s="1"/>
  <c r="T31" i="69"/>
  <c r="U31" i="69" s="1"/>
  <c r="M31" i="69"/>
  <c r="L31" i="69"/>
  <c r="BD30" i="69"/>
  <c r="BE30" i="69" s="1"/>
  <c r="AW30" i="69"/>
  <c r="AV30" i="69"/>
  <c r="AL30" i="69"/>
  <c r="AM30" i="69" s="1"/>
  <c r="AD30" i="69"/>
  <c r="AE30" i="69" s="1"/>
  <c r="T30" i="69"/>
  <c r="T7" i="69" s="1"/>
  <c r="S7" i="69" s="1"/>
  <c r="M30" i="69"/>
  <c r="L30" i="69"/>
  <c r="BD29" i="69"/>
  <c r="BE29" i="69" s="1"/>
  <c r="AW29" i="69"/>
  <c r="AV29" i="69"/>
  <c r="AL29" i="69"/>
  <c r="AM29" i="69" s="1"/>
  <c r="AD29" i="69"/>
  <c r="AE29" i="69" s="1"/>
  <c r="T29" i="69"/>
  <c r="T6" i="69" s="1"/>
  <c r="M29" i="69"/>
  <c r="L29" i="69"/>
  <c r="BD28" i="69"/>
  <c r="BE28" i="69" s="1"/>
  <c r="AW28" i="69"/>
  <c r="AV28" i="69"/>
  <c r="AL28" i="69"/>
  <c r="AM28" i="69" s="1"/>
  <c r="AD28" i="69"/>
  <c r="AE28" i="69" s="1"/>
  <c r="T28" i="69"/>
  <c r="U28" i="69" s="1"/>
  <c r="M28" i="69"/>
  <c r="L28" i="69"/>
  <c r="BD27" i="69"/>
  <c r="BE27" i="69" s="1"/>
  <c r="AW27" i="69"/>
  <c r="AV27" i="69"/>
  <c r="AL27" i="69"/>
  <c r="AM27" i="69" s="1"/>
  <c r="AD27" i="69"/>
  <c r="AE27" i="69" s="1"/>
  <c r="T27" i="69"/>
  <c r="U27" i="69" s="1"/>
  <c r="M27" i="69"/>
  <c r="L27" i="69"/>
  <c r="BD26" i="69"/>
  <c r="BE26" i="69" s="1"/>
  <c r="AW26" i="69"/>
  <c r="AV26" i="69"/>
  <c r="AL26" i="69"/>
  <c r="AM26" i="69" s="1"/>
  <c r="AD26" i="69"/>
  <c r="AE26" i="69" s="1"/>
  <c r="T26" i="69"/>
  <c r="U26" i="69" s="1"/>
  <c r="M26" i="69"/>
  <c r="L26" i="69"/>
  <c r="BD25" i="69"/>
  <c r="BE25" i="69" s="1"/>
  <c r="AW25" i="69"/>
  <c r="AV25" i="69"/>
  <c r="AL25" i="69"/>
  <c r="AM25" i="69" s="1"/>
  <c r="AD25" i="69"/>
  <c r="AE25" i="69" s="1"/>
  <c r="T25" i="69"/>
  <c r="U25" i="69" s="1"/>
  <c r="M25" i="69"/>
  <c r="L25" i="69"/>
  <c r="BD24" i="69"/>
  <c r="BE24" i="69" s="1"/>
  <c r="AV24" i="69"/>
  <c r="AW24" i="69" s="1"/>
  <c r="AM24" i="69"/>
  <c r="AL24" i="69"/>
  <c r="AE24" i="69"/>
  <c r="AD24" i="69"/>
  <c r="T24" i="69"/>
  <c r="U24" i="69" s="1"/>
  <c r="M24" i="69"/>
  <c r="L24" i="69"/>
  <c r="BD23" i="69"/>
  <c r="BE23" i="69" s="1"/>
  <c r="AV23" i="69"/>
  <c r="AW23" i="69" s="1"/>
  <c r="AM23" i="69"/>
  <c r="AL23" i="69"/>
  <c r="AE23" i="69"/>
  <c r="AD23" i="69"/>
  <c r="T23" i="69"/>
  <c r="U23" i="69" s="1"/>
  <c r="M23" i="69"/>
  <c r="L23" i="69"/>
  <c r="BE22" i="69"/>
  <c r="BD22" i="69"/>
  <c r="AV22" i="69"/>
  <c r="AW22" i="69" s="1"/>
  <c r="AL22" i="69"/>
  <c r="AM22" i="69" s="1"/>
  <c r="AD22" i="69"/>
  <c r="AE22" i="69" s="1"/>
  <c r="U22" i="69"/>
  <c r="T22" i="69"/>
  <c r="L22" i="69"/>
  <c r="M22" i="69" s="1"/>
  <c r="BD21" i="69"/>
  <c r="BE21" i="69" s="1"/>
  <c r="AV21" i="69"/>
  <c r="AW21" i="69" s="1"/>
  <c r="AM21" i="69"/>
  <c r="AL21" i="69"/>
  <c r="AD21" i="69"/>
  <c r="AE21" i="69" s="1"/>
  <c r="U21" i="69"/>
  <c r="T21" i="69"/>
  <c r="L21" i="69"/>
  <c r="M21" i="69" s="1"/>
  <c r="BE20" i="69"/>
  <c r="BD20" i="69"/>
  <c r="AV20" i="69"/>
  <c r="AW20" i="69" s="1"/>
  <c r="AL20" i="69"/>
  <c r="AM20" i="69" s="1"/>
  <c r="AE20" i="69"/>
  <c r="AD20" i="69"/>
  <c r="U20" i="69"/>
  <c r="T20" i="69"/>
  <c r="L20" i="69"/>
  <c r="M20" i="69" s="1"/>
  <c r="BD19" i="69"/>
  <c r="BE19" i="69" s="1"/>
  <c r="AW19" i="69"/>
  <c r="AV19" i="69"/>
  <c r="AM19" i="69"/>
  <c r="AL19" i="69"/>
  <c r="AD19" i="69"/>
  <c r="AE19" i="69" s="1"/>
  <c r="U19" i="69"/>
  <c r="T19" i="69"/>
  <c r="L19" i="69"/>
  <c r="M19" i="69" s="1"/>
  <c r="BD18" i="69"/>
  <c r="BE18" i="69" s="1"/>
  <c r="AW18" i="69"/>
  <c r="AV18" i="69"/>
  <c r="AL18" i="69"/>
  <c r="AM18" i="69" s="1"/>
  <c r="AE18" i="69"/>
  <c r="AD18" i="69"/>
  <c r="T18" i="69"/>
  <c r="U18" i="69" s="1"/>
  <c r="L18" i="69"/>
  <c r="M18" i="69" s="1"/>
  <c r="BD17" i="69"/>
  <c r="BE17" i="69" s="1"/>
  <c r="AW17" i="69"/>
  <c r="AV17" i="69"/>
  <c r="AL17" i="69"/>
  <c r="AM17" i="69" s="1"/>
  <c r="AD17" i="69"/>
  <c r="AE17" i="69" s="1"/>
  <c r="T17" i="69"/>
  <c r="Q3" i="69" s="1"/>
  <c r="M17" i="69"/>
  <c r="L17" i="69"/>
  <c r="BE16" i="69"/>
  <c r="BD16" i="69"/>
  <c r="AW16" i="69"/>
  <c r="AV16" i="69"/>
  <c r="AL16" i="69"/>
  <c r="AM16" i="69" s="1"/>
  <c r="AE16" i="69"/>
  <c r="AD16" i="69"/>
  <c r="T16" i="69"/>
  <c r="U16" i="69" s="1"/>
  <c r="L16" i="69"/>
  <c r="M16" i="69" s="1"/>
  <c r="BD15" i="69"/>
  <c r="BC6" i="69" s="1"/>
  <c r="AW15" i="69"/>
  <c r="AV15" i="69"/>
  <c r="AL15" i="69"/>
  <c r="AM15" i="69" s="1"/>
  <c r="AD15" i="69"/>
  <c r="AE15" i="69" s="1"/>
  <c r="U15" i="69"/>
  <c r="T15" i="69"/>
  <c r="M15" i="69"/>
  <c r="L15" i="69"/>
  <c r="BE14" i="69"/>
  <c r="BD14" i="69"/>
  <c r="AV14" i="69"/>
  <c r="AW14" i="69" s="1"/>
  <c r="AL14" i="69"/>
  <c r="AM14" i="69" s="1"/>
  <c r="AD14" i="69"/>
  <c r="AE14" i="69" s="1"/>
  <c r="U14" i="69"/>
  <c r="T14" i="69"/>
  <c r="L14" i="69"/>
  <c r="M14" i="69" s="1"/>
  <c r="BD13" i="69"/>
  <c r="BE13" i="69" s="1"/>
  <c r="AV13" i="69"/>
  <c r="AU6" i="69" s="1"/>
  <c r="AM13" i="69"/>
  <c r="AL13" i="69"/>
  <c r="AD13" i="69"/>
  <c r="AE13" i="69" s="1"/>
  <c r="U13" i="69"/>
  <c r="T13" i="69"/>
  <c r="L13" i="69"/>
  <c r="M13" i="69" s="1"/>
  <c r="BE12" i="69"/>
  <c r="BD12" i="69"/>
  <c r="AV12" i="69"/>
  <c r="AW12" i="69" s="1"/>
  <c r="AL12" i="69"/>
  <c r="AM12" i="69" s="1"/>
  <c r="AE12" i="69"/>
  <c r="AD12" i="69"/>
  <c r="U12" i="69"/>
  <c r="T12" i="69"/>
  <c r="L12" i="69"/>
  <c r="M12" i="69" s="1"/>
  <c r="FG11" i="69"/>
  <c r="FH11" i="69" s="1"/>
  <c r="FH9" i="69" s="1"/>
  <c r="EZ11" i="69"/>
  <c r="EY11" i="69"/>
  <c r="EQ11" i="69"/>
  <c r="EQ9" i="69" s="1"/>
  <c r="EP11" i="69"/>
  <c r="EH11" i="69"/>
  <c r="EI11" i="69" s="1"/>
  <c r="EI9" i="69" s="1"/>
  <c r="DY11" i="69"/>
  <c r="DX11" i="69"/>
  <c r="DP11" i="69"/>
  <c r="DQ11" i="69" s="1"/>
  <c r="DQ9" i="69" s="1"/>
  <c r="DF11" i="69"/>
  <c r="DG11" i="69" s="1"/>
  <c r="DG9" i="69" s="1"/>
  <c r="CY11" i="69"/>
  <c r="CY9" i="69" s="1"/>
  <c r="CX11" i="69"/>
  <c r="CO11" i="69"/>
  <c r="CO9" i="69" s="1"/>
  <c r="CN11" i="69"/>
  <c r="CF11" i="69"/>
  <c r="CF6" i="69" s="1"/>
  <c r="BW11" i="69"/>
  <c r="BV11" i="69"/>
  <c r="BN11" i="69"/>
  <c r="BO11" i="69" s="1"/>
  <c r="BO9" i="69" s="1"/>
  <c r="BD11" i="69"/>
  <c r="BE11" i="69" s="1"/>
  <c r="AW11" i="69"/>
  <c r="AV11" i="69"/>
  <c r="AM11" i="69"/>
  <c r="AL11" i="69"/>
  <c r="AD11" i="69"/>
  <c r="AA4" i="69" s="1"/>
  <c r="AC4" i="69" s="1"/>
  <c r="U11" i="69"/>
  <c r="T11" i="69"/>
  <c r="L11" i="69"/>
  <c r="M11" i="69" s="1"/>
  <c r="FG9" i="69"/>
  <c r="EZ9" i="69"/>
  <c r="EZ3" i="69" s="1"/>
  <c r="DY9" i="69"/>
  <c r="BW9" i="69"/>
  <c r="BW7" i="69" s="1"/>
  <c r="FG7" i="69"/>
  <c r="FF7" i="69"/>
  <c r="EY7" i="69"/>
  <c r="EX7" i="69"/>
  <c r="EP7" i="69"/>
  <c r="EO7" i="69" s="1"/>
  <c r="EH7" i="69"/>
  <c r="EG7" i="69" s="1"/>
  <c r="DY7" i="69"/>
  <c r="DX7" i="69"/>
  <c r="DW7" i="69"/>
  <c r="DP7" i="69"/>
  <c r="DP9" i="69" s="1"/>
  <c r="DO7" i="69"/>
  <c r="DF7" i="69"/>
  <c r="DE7" i="69" s="1"/>
  <c r="CX7" i="69"/>
  <c r="CW7" i="69" s="1"/>
  <c r="CN7" i="69"/>
  <c r="CM7" i="69" s="1"/>
  <c r="CF7" i="69"/>
  <c r="CE7" i="69"/>
  <c r="BV7" i="69"/>
  <c r="BU7" i="69" s="1"/>
  <c r="BV9" i="69" s="1"/>
  <c r="B18" i="69" s="1"/>
  <c r="BN7" i="69"/>
  <c r="BM7" i="69" s="1"/>
  <c r="BD7" i="69"/>
  <c r="BC7" i="69" s="1"/>
  <c r="AV7" i="69"/>
  <c r="AU7" i="69"/>
  <c r="AL7" i="69"/>
  <c r="AK7" i="69" s="1"/>
  <c r="AD7" i="69"/>
  <c r="AC7" i="69" s="1"/>
  <c r="L7" i="69"/>
  <c r="K7" i="69"/>
  <c r="FG6" i="69"/>
  <c r="FF6" i="69"/>
  <c r="EY6" i="69"/>
  <c r="EY9" i="69" s="1"/>
  <c r="EX6" i="69"/>
  <c r="EP6" i="69"/>
  <c r="EO6" i="69"/>
  <c r="EH6" i="69"/>
  <c r="EH9" i="69" s="1"/>
  <c r="EG6" i="69"/>
  <c r="DX6" i="69"/>
  <c r="DW6" i="69"/>
  <c r="DX9" i="69" s="1"/>
  <c r="DP6" i="69"/>
  <c r="DO6" i="69"/>
  <c r="DF6" i="69"/>
  <c r="DF9" i="69" s="1"/>
  <c r="B22" i="69" s="1"/>
  <c r="DE6" i="69"/>
  <c r="CX6" i="69"/>
  <c r="CX9" i="69" s="1"/>
  <c r="B21" i="69" s="1"/>
  <c r="CW6" i="69"/>
  <c r="CN6" i="69"/>
  <c r="CM6" i="69"/>
  <c r="BV6" i="69"/>
  <c r="BU6" i="69"/>
  <c r="BN6" i="69"/>
  <c r="BN9" i="69" s="1"/>
  <c r="B17" i="69" s="1"/>
  <c r="BM6" i="69"/>
  <c r="BD6" i="69"/>
  <c r="BD9" i="69" s="1"/>
  <c r="B16" i="69" s="1"/>
  <c r="AV6" i="69"/>
  <c r="AL6" i="69"/>
  <c r="AD6" i="69"/>
  <c r="L6" i="69"/>
  <c r="DY5" i="69"/>
  <c r="FF4" i="69"/>
  <c r="FD4" i="69"/>
  <c r="EX4" i="69"/>
  <c r="EV4" i="69"/>
  <c r="EO4" i="69"/>
  <c r="EM4" i="69"/>
  <c r="EE4" i="69"/>
  <c r="EG4" i="69" s="1"/>
  <c r="DW4" i="69"/>
  <c r="DU4" i="69"/>
  <c r="DO4" i="69"/>
  <c r="DM4" i="69"/>
  <c r="DE4" i="69"/>
  <c r="DC4" i="69"/>
  <c r="CU4" i="69"/>
  <c r="CW4" i="69" s="1"/>
  <c r="CM4" i="69"/>
  <c r="CK4" i="69"/>
  <c r="BU4" i="69"/>
  <c r="BS4" i="69"/>
  <c r="BK4" i="69"/>
  <c r="BM4" i="69" s="1"/>
  <c r="FF3" i="69"/>
  <c r="FD3" i="69"/>
  <c r="FD6" i="69" s="1"/>
  <c r="EX3" i="69"/>
  <c r="EV3" i="69"/>
  <c r="EV6" i="69" s="1"/>
  <c r="EO3" i="69"/>
  <c r="EM3" i="69"/>
  <c r="EM6" i="69" s="1"/>
  <c r="EE3" i="69"/>
  <c r="DY3" i="69"/>
  <c r="DX4" i="69" s="1"/>
  <c r="DX2" i="69" s="1"/>
  <c r="DW3" i="69"/>
  <c r="DU3" i="69"/>
  <c r="DU6" i="69" s="1"/>
  <c r="DO3" i="69"/>
  <c r="DM3" i="69"/>
  <c r="DM6" i="69" s="1"/>
  <c r="DE3" i="69"/>
  <c r="DC3" i="69"/>
  <c r="DC6" i="69" s="1"/>
  <c r="A22" i="69" s="1"/>
  <c r="CU3" i="69"/>
  <c r="CM3" i="69"/>
  <c r="CK3" i="69"/>
  <c r="CK6" i="69" s="1"/>
  <c r="A20" i="69" s="1"/>
  <c r="BU3" i="69"/>
  <c r="BS3" i="69"/>
  <c r="BS6" i="69" s="1"/>
  <c r="A18" i="69" s="1"/>
  <c r="BK3" i="69"/>
  <c r="BM3" i="69" s="1"/>
  <c r="AA3" i="69"/>
  <c r="A5" i="63" a="1"/>
  <c r="A5" i="63" l="1"/>
  <c r="CY5" i="69"/>
  <c r="CY7" i="69"/>
  <c r="CY3" i="69"/>
  <c r="S6" i="69"/>
  <c r="T9" i="69" s="1"/>
  <c r="B12" i="69" s="1"/>
  <c r="DQ3" i="69"/>
  <c r="DP4" i="69" s="1"/>
  <c r="DP2" i="69" s="1"/>
  <c r="DM9" i="69" s="1"/>
  <c r="E23" i="69" s="1"/>
  <c r="DQ7" i="69"/>
  <c r="DQ5" i="69"/>
  <c r="DG7" i="69"/>
  <c r="DG5" i="69"/>
  <c r="DG3" i="69"/>
  <c r="DF4" i="69" s="1"/>
  <c r="AV9" i="69"/>
  <c r="B15" i="69" s="1"/>
  <c r="AM9" i="69"/>
  <c r="BO7" i="69"/>
  <c r="BO5" i="69"/>
  <c r="BO3" i="69"/>
  <c r="EI7" i="69"/>
  <c r="EI5" i="69"/>
  <c r="EI3" i="69"/>
  <c r="EY4" i="69"/>
  <c r="EY2" i="69" s="1"/>
  <c r="EV9" i="69" s="1"/>
  <c r="AQ2" i="69"/>
  <c r="EQ7" i="69"/>
  <c r="EQ3" i="69"/>
  <c r="EQ5" i="69"/>
  <c r="M9" i="69"/>
  <c r="CE6" i="69"/>
  <c r="CF9" i="69"/>
  <c r="B19" i="69" s="1"/>
  <c r="S3" i="69"/>
  <c r="O2" i="69"/>
  <c r="AY2" i="69"/>
  <c r="CN9" i="69"/>
  <c r="B20" i="69" s="1"/>
  <c r="EP9" i="69"/>
  <c r="CO3" i="69"/>
  <c r="CN4" i="69" s="1"/>
  <c r="CO5" i="69"/>
  <c r="CO7" i="69"/>
  <c r="FH3" i="69"/>
  <c r="FG4" i="69" s="1"/>
  <c r="FG2" i="69" s="1"/>
  <c r="FH7" i="69"/>
  <c r="FH5" i="69"/>
  <c r="CW3" i="69"/>
  <c r="CU6" i="69" s="1"/>
  <c r="A21" i="69" s="1"/>
  <c r="EZ7" i="69"/>
  <c r="AW13" i="69"/>
  <c r="AW9" i="69" s="1"/>
  <c r="U17" i="69"/>
  <c r="U9" i="69" s="1"/>
  <c r="U29" i="69"/>
  <c r="U30" i="69"/>
  <c r="AC3" i="69"/>
  <c r="AA6" i="69" s="1"/>
  <c r="A13" i="69" s="1"/>
  <c r="AI3" i="69"/>
  <c r="BK6" i="69"/>
  <c r="A17" i="69" s="1"/>
  <c r="I4" i="69"/>
  <c r="K4" i="69" s="1"/>
  <c r="AC6" i="69"/>
  <c r="AD9" i="69" s="1"/>
  <c r="B13" i="69" s="1"/>
  <c r="EZ5" i="69"/>
  <c r="AK6" i="69"/>
  <c r="AG2" i="69" s="1"/>
  <c r="BW3" i="69"/>
  <c r="BV4" i="69" s="1"/>
  <c r="Q4" i="69"/>
  <c r="S4" i="69" s="1"/>
  <c r="AS4" i="69"/>
  <c r="AU4" i="69" s="1"/>
  <c r="AI4" i="69"/>
  <c r="AK4" i="69" s="1"/>
  <c r="I3" i="69"/>
  <c r="AS3" i="69"/>
  <c r="CC3" i="69"/>
  <c r="CC4" i="69"/>
  <c r="CE4" i="69" s="1"/>
  <c r="EG3" i="69"/>
  <c r="EE6" i="69" s="1"/>
  <c r="BW5" i="69"/>
  <c r="K6" i="69"/>
  <c r="L9" i="69" s="1"/>
  <c r="B11" i="69" s="1"/>
  <c r="CG11" i="69"/>
  <c r="CG9" i="69" s="1"/>
  <c r="AE11" i="69"/>
  <c r="AE9" i="69" s="1"/>
  <c r="BE15" i="69"/>
  <c r="BE9" i="69" s="1"/>
  <c r="BA3" i="69"/>
  <c r="BA4" i="69"/>
  <c r="BC4" i="69" s="1"/>
  <c r="U3" i="69" l="1"/>
  <c r="U5" i="69"/>
  <c r="U7" i="69"/>
  <c r="BE3" i="69"/>
  <c r="BE7" i="69"/>
  <c r="BE5" i="69"/>
  <c r="AW3" i="69"/>
  <c r="AW5" i="69"/>
  <c r="AW7" i="69"/>
  <c r="AU3" i="69"/>
  <c r="AS6" i="69" s="1"/>
  <c r="A15" i="69" s="1"/>
  <c r="AQ4" i="69"/>
  <c r="C20" i="69"/>
  <c r="CN2" i="69"/>
  <c r="D20" i="69" s="1"/>
  <c r="M3" i="69"/>
  <c r="M5" i="69"/>
  <c r="M7" i="69"/>
  <c r="BN4" i="69"/>
  <c r="K3" i="69"/>
  <c r="G4" i="69" s="1"/>
  <c r="I6" i="69"/>
  <c r="A11" i="69" s="1"/>
  <c r="BC3" i="69"/>
  <c r="BA6" i="69" s="1"/>
  <c r="A16" i="69" s="1"/>
  <c r="AY4" i="69"/>
  <c r="EP4" i="69"/>
  <c r="EP2" i="69" s="1"/>
  <c r="Y2" i="69"/>
  <c r="AL9" i="69"/>
  <c r="B14" i="69" s="1"/>
  <c r="AM7" i="69"/>
  <c r="AM3" i="69"/>
  <c r="AM5" i="69"/>
  <c r="AK3" i="69"/>
  <c r="AG4" i="69" s="1"/>
  <c r="AE7" i="69"/>
  <c r="AE5" i="69"/>
  <c r="AE3" i="69"/>
  <c r="AD4" i="69" s="1"/>
  <c r="Y4" i="69"/>
  <c r="BV2" i="69"/>
  <c r="D18" i="69" s="1"/>
  <c r="C18" i="69"/>
  <c r="CE3" i="69"/>
  <c r="CC6" i="69"/>
  <c r="A19" i="69" s="1"/>
  <c r="CG5" i="69"/>
  <c r="CG3" i="69"/>
  <c r="CG7" i="69"/>
  <c r="G2" i="69"/>
  <c r="CX4" i="69"/>
  <c r="O4" i="69"/>
  <c r="Q6" i="69"/>
  <c r="A12" i="69" s="1"/>
  <c r="EH4" i="69"/>
  <c r="EH2" i="69" s="1"/>
  <c r="EE9" i="69" s="1"/>
  <c r="E25" i="69" s="1"/>
  <c r="DF2" i="69"/>
  <c r="D22" i="69" s="1"/>
  <c r="C22" i="69"/>
  <c r="E5" i="63"/>
  <c r="J5" i="63"/>
  <c r="AD2" i="69" l="1"/>
  <c r="C13" i="69"/>
  <c r="AI6" i="69"/>
  <c r="A14" i="69" s="1"/>
  <c r="CF4" i="69"/>
  <c r="CF2" i="69" s="1"/>
  <c r="AV4" i="69"/>
  <c r="C17" i="69"/>
  <c r="BN2" i="69"/>
  <c r="C19" i="69"/>
  <c r="AL4" i="69"/>
  <c r="BD4" i="69"/>
  <c r="CX2" i="69"/>
  <c r="C21" i="69"/>
  <c r="L4" i="69"/>
  <c r="T4" i="69"/>
  <c r="G5" i="63"/>
  <c r="H5" i="63"/>
  <c r="I5" i="63"/>
  <c r="B5" i="63"/>
  <c r="C5" i="63"/>
  <c r="D5" i="63"/>
  <c r="L5" i="63"/>
  <c r="BD2" i="69" l="1"/>
  <c r="D16" i="69" s="1"/>
  <c r="C16" i="69"/>
  <c r="C15" i="69"/>
  <c r="AV2" i="69"/>
  <c r="D19" i="69"/>
  <c r="CC9" i="69"/>
  <c r="E19" i="69" s="1"/>
  <c r="C14" i="69"/>
  <c r="AL2" i="69"/>
  <c r="D14" i="69" s="1"/>
  <c r="CU9" i="69"/>
  <c r="E21" i="69" s="1"/>
  <c r="D21" i="69"/>
  <c r="C12" i="69"/>
  <c r="T2" i="69"/>
  <c r="D12" i="69" s="1"/>
  <c r="D17" i="69"/>
  <c r="BK9" i="69"/>
  <c r="E17" i="69" s="1"/>
  <c r="L2" i="69"/>
  <c r="C11" i="69"/>
  <c r="D13" i="69"/>
  <c r="AA9" i="69" l="1"/>
  <c r="E13" i="69" s="1"/>
  <c r="D15" i="69"/>
  <c r="AS9" i="69"/>
  <c r="E15" i="69" s="1"/>
  <c r="D11" i="69"/>
  <c r="I9" i="69"/>
  <c r="E11" i="69" s="1"/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/>
  <c r="BD200" i="67"/>
  <c r="BE200" i="67" s="1"/>
  <c r="BD201" i="67"/>
  <c r="BE201" i="67" s="1"/>
  <c r="BD202" i="67"/>
  <c r="BE202" i="67"/>
  <c r="BD203" i="67"/>
  <c r="BE203" i="67" s="1"/>
  <c r="BD204" i="67"/>
  <c r="BE204" i="67" s="1"/>
  <c r="BD205" i="67"/>
  <c r="BE205" i="67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 s="1"/>
  <c r="BD213" i="67"/>
  <c r="BE213" i="67" s="1"/>
  <c r="BD214" i="67"/>
  <c r="BE214" i="67"/>
  <c r="BD215" i="67"/>
  <c r="BE215" i="67" s="1"/>
  <c r="BD216" i="67"/>
  <c r="BE216" i="67" s="1"/>
  <c r="BD217" i="67"/>
  <c r="BE217" i="67"/>
  <c r="BD218" i="67"/>
  <c r="BE218" i="67" s="1"/>
  <c r="BD219" i="67"/>
  <c r="BE219" i="67" s="1"/>
  <c r="BD220" i="67"/>
  <c r="BE220" i="67"/>
  <c r="BD221" i="67"/>
  <c r="BE221" i="67" s="1"/>
  <c r="BD222" i="67"/>
  <c r="BE222" i="67" s="1"/>
  <c r="BD223" i="67"/>
  <c r="BE223" i="67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 s="1"/>
  <c r="AV184" i="67"/>
  <c r="AW184" i="67" s="1"/>
  <c r="AV185" i="67"/>
  <c r="AW185" i="67"/>
  <c r="AV186" i="67"/>
  <c r="AW186" i="67"/>
  <c r="AV187" i="67"/>
  <c r="AW187" i="67" s="1"/>
  <c r="AV188" i="67"/>
  <c r="AW188" i="67"/>
  <c r="AV189" i="67"/>
  <c r="AW189" i="67" s="1"/>
  <c r="AV190" i="67"/>
  <c r="AW190" i="67" s="1"/>
  <c r="AV191" i="67"/>
  <c r="AW191" i="67"/>
  <c r="AV192" i="67"/>
  <c r="AW192" i="67"/>
  <c r="AV193" i="67"/>
  <c r="AW193" i="67"/>
  <c r="AV194" i="67"/>
  <c r="AW194" i="67"/>
  <c r="AV195" i="67"/>
  <c r="AW195" i="67" s="1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 s="1"/>
  <c r="AV202" i="67"/>
  <c r="AW202" i="67" s="1"/>
  <c r="AV203" i="67"/>
  <c r="AW203" i="67"/>
  <c r="AV204" i="67"/>
  <c r="AW204" i="67"/>
  <c r="AV205" i="67"/>
  <c r="AW205" i="67" s="1"/>
  <c r="AV206" i="67"/>
  <c r="AW206" i="67"/>
  <c r="AV207" i="67"/>
  <c r="AW207" i="67" s="1"/>
  <c r="AV208" i="67"/>
  <c r="AW208" i="67" s="1"/>
  <c r="AV209" i="67"/>
  <c r="AW209" i="67"/>
  <c r="AV210" i="67"/>
  <c r="AW210" i="67"/>
  <c r="AV211" i="67"/>
  <c r="AW211" i="67"/>
  <c r="AV212" i="67"/>
  <c r="AW212" i="67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/>
  <c r="AV390" i="67"/>
  <c r="AW390" i="67"/>
  <c r="AV391" i="67"/>
  <c r="AW391" i="67" s="1"/>
  <c r="AV392" i="67"/>
  <c r="AW39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/>
  <c r="AL184" i="67"/>
  <c r="AM184" i="67"/>
  <c r="AL185" i="67"/>
  <c r="AM185" i="67" s="1"/>
  <c r="AL186" i="67"/>
  <c r="AM186" i="67" s="1"/>
  <c r="AL187" i="67"/>
  <c r="AM187" i="67" s="1"/>
  <c r="AL188" i="67"/>
  <c r="AM188" i="67" s="1"/>
  <c r="AL189" i="67"/>
  <c r="AM189" i="67"/>
  <c r="AL190" i="67"/>
  <c r="AM190" i="67"/>
  <c r="AL191" i="67"/>
  <c r="AM191" i="67" s="1"/>
  <c r="AL192" i="67"/>
  <c r="AM192" i="67" s="1"/>
  <c r="AL193" i="67"/>
  <c r="AM193" i="67" s="1"/>
  <c r="AL194" i="67"/>
  <c r="AM194" i="67" s="1"/>
  <c r="AL195" i="67"/>
  <c r="AM195" i="67"/>
  <c r="AL196" i="67"/>
  <c r="AM196" i="67"/>
  <c r="AL197" i="67"/>
  <c r="AM197" i="67" s="1"/>
  <c r="AL198" i="67"/>
  <c r="AM198" i="67" s="1"/>
  <c r="AL199" i="67"/>
  <c r="AM199" i="67" s="1"/>
  <c r="AL200" i="67"/>
  <c r="AM200" i="67" s="1"/>
  <c r="AL201" i="67"/>
  <c r="AM201" i="67"/>
  <c r="AL202" i="67"/>
  <c r="AM202" i="67"/>
  <c r="AL203" i="67"/>
  <c r="AM203" i="67" s="1"/>
  <c r="AL204" i="67"/>
  <c r="AM204" i="67" s="1"/>
  <c r="AL205" i="67"/>
  <c r="AM205" i="67" s="1"/>
  <c r="AL206" i="67"/>
  <c r="AM206" i="67" s="1"/>
  <c r="AL207" i="67"/>
  <c r="AM207" i="67"/>
  <c r="AL208" i="67"/>
  <c r="AM208" i="67"/>
  <c r="AL209" i="67"/>
  <c r="AM209" i="67" s="1"/>
  <c r="AL210" i="67"/>
  <c r="AM210" i="67" s="1"/>
  <c r="AL211" i="67"/>
  <c r="AM211" i="67" s="1"/>
  <c r="AL212" i="67"/>
  <c r="AM212" i="67" s="1"/>
  <c r="AL213" i="67"/>
  <c r="AM213" i="67"/>
  <c r="AL214" i="67"/>
  <c r="AM214" i="67"/>
  <c r="AL215" i="67"/>
  <c r="AM215" i="67" s="1"/>
  <c r="AL216" i="67"/>
  <c r="AM216" i="67" s="1"/>
  <c r="AL217" i="67"/>
  <c r="AM217" i="67" s="1"/>
  <c r="AL218" i="67"/>
  <c r="AM218" i="67" s="1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/>
  <c r="AL226" i="67"/>
  <c r="AM226" i="67"/>
  <c r="AL227" i="67"/>
  <c r="AM227" i="67" s="1"/>
  <c r="AL228" i="67"/>
  <c r="AM228" i="67" s="1"/>
  <c r="AL229" i="67"/>
  <c r="AM229" i="67" s="1"/>
  <c r="AL230" i="67"/>
  <c r="AM230" i="67" s="1"/>
  <c r="AL231" i="67"/>
  <c r="AM231" i="67"/>
  <c r="AL232" i="67"/>
  <c r="AM232" i="67"/>
  <c r="AL233" i="67"/>
  <c r="AM233" i="67" s="1"/>
  <c r="AL234" i="67"/>
  <c r="AM234" i="67"/>
  <c r="AL235" i="67"/>
  <c r="AM235" i="67"/>
  <c r="AL236" i="67"/>
  <c r="AM236" i="67"/>
  <c r="AL237" i="67"/>
  <c r="AM237" i="67"/>
  <c r="AL238" i="67"/>
  <c r="AM238" i="67" s="1"/>
  <c r="AL239" i="67"/>
  <c r="AM239" i="67" s="1"/>
  <c r="AL240" i="67"/>
  <c r="AM240" i="67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/>
  <c r="T185" i="67"/>
  <c r="U185" i="67" s="1"/>
  <c r="T186" i="67"/>
  <c r="U186" i="67"/>
  <c r="T187" i="67"/>
  <c r="U187" i="67"/>
  <c r="T188" i="67"/>
  <c r="U188" i="67" s="1"/>
  <c r="T189" i="67"/>
  <c r="U189" i="67" s="1"/>
  <c r="T190" i="67"/>
  <c r="U190" i="67"/>
  <c r="T191" i="67"/>
  <c r="U191" i="67" s="1"/>
  <c r="T192" i="67"/>
  <c r="U192" i="67"/>
  <c r="T193" i="67"/>
  <c r="U193" i="67"/>
  <c r="T194" i="67"/>
  <c r="U194" i="67" s="1"/>
  <c r="T195" i="67"/>
  <c r="U195" i="67" s="1"/>
  <c r="T196" i="67"/>
  <c r="U196" i="67"/>
  <c r="T197" i="67"/>
  <c r="U197" i="67" s="1"/>
  <c r="T198" i="67"/>
  <c r="U198" i="67"/>
  <c r="T199" i="67"/>
  <c r="U199" i="67"/>
  <c r="T200" i="67"/>
  <c r="U200" i="67" s="1"/>
  <c r="T201" i="67"/>
  <c r="U201" i="67" s="1"/>
  <c r="T202" i="67"/>
  <c r="U202" i="67"/>
  <c r="T203" i="67"/>
  <c r="U203" i="67" s="1"/>
  <c r="T204" i="67"/>
  <c r="U204" i="67"/>
  <c r="T205" i="67"/>
  <c r="U205" i="67"/>
  <c r="T206" i="67"/>
  <c r="U206" i="67" s="1"/>
  <c r="T207" i="67"/>
  <c r="U207" i="67" s="1"/>
  <c r="T208" i="67"/>
  <c r="U208" i="67"/>
  <c r="T209" i="67"/>
  <c r="U209" i="67" s="1"/>
  <c r="T210" i="67"/>
  <c r="U210" i="67"/>
  <c r="T211" i="67"/>
  <c r="U211" i="67"/>
  <c r="T212" i="67"/>
  <c r="U212" i="67" s="1"/>
  <c r="T213" i="67"/>
  <c r="U213" i="67" s="1"/>
  <c r="T214" i="67"/>
  <c r="U214" i="67"/>
  <c r="T215" i="67"/>
  <c r="U215" i="67" s="1"/>
  <c r="T216" i="67"/>
  <c r="U216" i="67"/>
  <c r="T217" i="67"/>
  <c r="U217" i="67"/>
  <c r="T218" i="67"/>
  <c r="U218" i="67" s="1"/>
  <c r="T219" i="67"/>
  <c r="U219" i="67" s="1"/>
  <c r="T220" i="67"/>
  <c r="U220" i="67"/>
  <c r="T221" i="67"/>
  <c r="U221" i="67" s="1"/>
  <c r="T222" i="67"/>
  <c r="U222" i="67"/>
  <c r="T223" i="67"/>
  <c r="U223" i="67"/>
  <c r="T224" i="67"/>
  <c r="U224" i="67" s="1"/>
  <c r="T225" i="67"/>
  <c r="U225" i="67" s="1"/>
  <c r="T226" i="67"/>
  <c r="U226" i="67"/>
  <c r="T227" i="67"/>
  <c r="U227" i="67" s="1"/>
  <c r="T228" i="67"/>
  <c r="U228" i="67" s="1"/>
  <c r="T229" i="67"/>
  <c r="U229" i="67" s="1"/>
  <c r="T230" i="67"/>
  <c r="U230" i="67" s="1"/>
  <c r="T231" i="67"/>
  <c r="U231" i="67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 s="1"/>
  <c r="L184" i="67"/>
  <c r="M184" i="67" s="1"/>
  <c r="L185" i="67"/>
  <c r="M185" i="67"/>
  <c r="L186" i="67"/>
  <c r="M186" i="67" s="1"/>
  <c r="L187" i="67"/>
  <c r="M187" i="67"/>
  <c r="L188" i="67"/>
  <c r="M188" i="67"/>
  <c r="L189" i="67"/>
  <c r="M189" i="67" s="1"/>
  <c r="L190" i="67"/>
  <c r="M190" i="67" s="1"/>
  <c r="L191" i="67"/>
  <c r="M191" i="67"/>
  <c r="L192" i="67"/>
  <c r="M192" i="67" s="1"/>
  <c r="L193" i="67"/>
  <c r="M193" i="67"/>
  <c r="L194" i="67"/>
  <c r="M194" i="67"/>
  <c r="L195" i="67"/>
  <c r="M195" i="67" s="1"/>
  <c r="L196" i="67"/>
  <c r="M196" i="67" s="1"/>
  <c r="L197" i="67"/>
  <c r="M197" i="67"/>
  <c r="L198" i="67"/>
  <c r="M198" i="67" s="1"/>
  <c r="L199" i="67"/>
  <c r="M199" i="67"/>
  <c r="L200" i="67"/>
  <c r="M200" i="67"/>
  <c r="L201" i="67"/>
  <c r="M201" i="67" s="1"/>
  <c r="L202" i="67"/>
  <c r="M202" i="67" s="1"/>
  <c r="L203" i="67"/>
  <c r="M203" i="67"/>
  <c r="L204" i="67"/>
  <c r="M204" i="67" s="1"/>
  <c r="L205" i="67"/>
  <c r="M205" i="67"/>
  <c r="L206" i="67"/>
  <c r="M206" i="67"/>
  <c r="L207" i="67"/>
  <c r="M207" i="67" s="1"/>
  <c r="L208" i="67"/>
  <c r="M208" i="67" s="1"/>
  <c r="L209" i="67"/>
  <c r="M209" i="67"/>
  <c r="L210" i="67"/>
  <c r="M210" i="67" s="1"/>
  <c r="L211" i="67"/>
  <c r="M211" i="67"/>
  <c r="L212" i="67"/>
  <c r="M212" i="67"/>
  <c r="L213" i="67"/>
  <c r="M213" i="67" s="1"/>
  <c r="L214" i="67"/>
  <c r="M214" i="67" s="1"/>
  <c r="L215" i="67"/>
  <c r="M215" i="67"/>
  <c r="L216" i="67"/>
  <c r="M216" i="67" s="1"/>
  <c r="L217" i="67"/>
  <c r="M217" i="67"/>
  <c r="L218" i="67"/>
  <c r="M218" i="67"/>
  <c r="L219" i="67"/>
  <c r="M219" i="67" s="1"/>
  <c r="L220" i="67"/>
  <c r="M220" i="67" s="1"/>
  <c r="L221" i="67"/>
  <c r="M221" i="67"/>
  <c r="L222" i="67"/>
  <c r="M222" i="67" s="1"/>
  <c r="L223" i="67"/>
  <c r="M223" i="67"/>
  <c r="L224" i="67"/>
  <c r="M224" i="67"/>
  <c r="L225" i="67"/>
  <c r="M225" i="67" s="1"/>
  <c r="L226" i="67"/>
  <c r="M226" i="67" s="1"/>
  <c r="L227" i="67"/>
  <c r="M227" i="67"/>
  <c r="L228" i="67"/>
  <c r="M228" i="67" s="1"/>
  <c r="L229" i="67"/>
  <c r="M229" i="67"/>
  <c r="L230" i="67"/>
  <c r="M230" i="67" s="1"/>
  <c r="L231" i="67"/>
  <c r="M231" i="67" s="1"/>
  <c r="L232" i="67"/>
  <c r="M232" i="67"/>
  <c r="L233" i="67"/>
  <c r="M233" i="67" s="1"/>
  <c r="L234" i="67"/>
  <c r="M234" i="67"/>
  <c r="L235" i="67"/>
  <c r="M235" i="67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D7" i="67"/>
  <c r="BC7" i="67" s="1"/>
  <c r="AV7" i="67"/>
  <c r="AL7" i="67"/>
  <c r="AD7" i="67"/>
  <c r="T7" i="67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 s="1"/>
  <c r="CN6" i="67"/>
  <c r="CF6" i="67"/>
  <c r="CE6" i="67" s="1"/>
  <c r="BN6" i="67"/>
  <c r="BM6" i="67" s="1"/>
  <c r="BD6" i="67"/>
  <c r="AV6" i="67"/>
  <c r="AD6" i="67"/>
  <c r="T6" i="67"/>
  <c r="FH5" i="67"/>
  <c r="EI5" i="67"/>
  <c r="DY5" i="67"/>
  <c r="DQ5" i="67"/>
  <c r="DG5" i="67"/>
  <c r="CY5" i="67"/>
  <c r="CG5" i="67"/>
  <c r="BW5" i="67"/>
  <c r="FD4" i="67"/>
  <c r="FF4" i="67" s="1"/>
  <c r="EM4" i="67"/>
  <c r="EO4" i="67" s="1"/>
  <c r="EG4" i="67"/>
  <c r="EE4" i="67"/>
  <c r="DU4" i="67"/>
  <c r="DW4" i="67" s="1"/>
  <c r="DM4" i="67"/>
  <c r="DO4" i="67" s="1"/>
  <c r="DC4" i="67"/>
  <c r="DE4" i="67" s="1"/>
  <c r="CU4" i="67"/>
  <c r="CW4" i="67" s="1"/>
  <c r="CC4" i="67"/>
  <c r="CE4" i="67" s="1"/>
  <c r="BS4" i="67"/>
  <c r="BU4" i="67" s="1"/>
  <c r="BK4" i="67"/>
  <c r="BM4" i="67" s="1"/>
  <c r="I4" i="67"/>
  <c r="K4" i="67" s="1"/>
  <c r="FH3" i="67"/>
  <c r="FD3" i="67"/>
  <c r="FF3" i="67" s="1"/>
  <c r="EQ3" i="67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Q3" i="67"/>
  <c r="I3" i="67"/>
  <c r="A4" i="63" a="1"/>
  <c r="A4" i="63" l="1"/>
  <c r="AI4" i="67"/>
  <c r="AK4" i="67" s="1"/>
  <c r="AU6" i="67"/>
  <c r="AS4" i="67"/>
  <c r="AU4" i="67" s="1"/>
  <c r="BA4" i="67"/>
  <c r="BC4" i="67" s="1"/>
  <c r="AS3" i="67"/>
  <c r="EM3" i="67"/>
  <c r="EO3" i="67" s="1"/>
  <c r="EV4" i="67"/>
  <c r="EX4" i="67" s="1"/>
  <c r="EQ5" i="67"/>
  <c r="BV6" i="67"/>
  <c r="AW9" i="67"/>
  <c r="EV3" i="67"/>
  <c r="EX3" i="67" s="1"/>
  <c r="EV6" i="67" s="1"/>
  <c r="EZ5" i="67"/>
  <c r="S7" i="67"/>
  <c r="BK3" i="67"/>
  <c r="BM3" i="67" s="1"/>
  <c r="EZ3" i="67"/>
  <c r="CK4" i="67"/>
  <c r="CM4" i="67" s="1"/>
  <c r="BO5" i="67"/>
  <c r="L6" i="67"/>
  <c r="K6" i="67" s="1"/>
  <c r="AC7" i="67"/>
  <c r="AK7" i="67"/>
  <c r="BO3" i="67"/>
  <c r="AC6" i="67"/>
  <c r="Y2" i="67" s="1"/>
  <c r="AU7" i="67"/>
  <c r="CO5" i="67"/>
  <c r="BA3" i="67"/>
  <c r="Q4" i="67"/>
  <c r="S4" i="67" s="1"/>
  <c r="AL6" i="67"/>
  <c r="BM7" i="67"/>
  <c r="BE9" i="67"/>
  <c r="AQ2" i="67"/>
  <c r="AM9" i="67"/>
  <c r="AI3" i="67"/>
  <c r="AK3" i="67" s="1"/>
  <c r="AG4" i="67" s="1"/>
  <c r="AE9" i="67"/>
  <c r="AA3" i="67"/>
  <c r="AC3" i="67" s="1"/>
  <c r="AE3" i="67"/>
  <c r="AA4" i="67"/>
  <c r="AC4" i="67" s="1"/>
  <c r="U9" i="67"/>
  <c r="M9" i="67"/>
  <c r="G2" i="67"/>
  <c r="K3" i="67"/>
  <c r="I6" i="67" s="1"/>
  <c r="A11" i="67" s="1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BS6" i="67"/>
  <c r="A18" i="67" s="1"/>
  <c r="CK6" i="67"/>
  <c r="A20" i="67" s="1"/>
  <c r="DC6" i="67"/>
  <c r="A22" i="67" s="1"/>
  <c r="DU6" i="67"/>
  <c r="EM6" i="67"/>
  <c r="FD6" i="67"/>
  <c r="S3" i="67"/>
  <c r="O4" i="67" s="1"/>
  <c r="BC3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 s="1"/>
  <c r="BD100" i="65"/>
  <c r="BE100" i="65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/>
  <c r="BD189" i="65"/>
  <c r="BE189" i="65"/>
  <c r="BD190" i="65"/>
  <c r="BE190" i="65" s="1"/>
  <c r="BD191" i="65"/>
  <c r="BE191" i="65" s="1"/>
  <c r="BD192" i="65"/>
  <c r="BE192" i="65"/>
  <c r="BD193" i="65"/>
  <c r="BE193" i="65" s="1"/>
  <c r="BD194" i="65"/>
  <c r="BE194" i="65"/>
  <c r="BD195" i="65"/>
  <c r="BE195" i="65"/>
  <c r="BD196" i="65"/>
  <c r="BE196" i="65" s="1"/>
  <c r="BD197" i="65"/>
  <c r="BE197" i="65" s="1"/>
  <c r="BD198" i="65"/>
  <c r="BE198" i="65"/>
  <c r="BD199" i="65"/>
  <c r="BE199" i="65" s="1"/>
  <c r="BD200" i="65"/>
  <c r="BE200" i="65"/>
  <c r="BD201" i="65"/>
  <c r="BE201" i="65"/>
  <c r="BD202" i="65"/>
  <c r="BE202" i="65" s="1"/>
  <c r="BD203" i="65"/>
  <c r="BE203" i="65" s="1"/>
  <c r="BD204" i="65"/>
  <c r="BE204" i="65"/>
  <c r="BD205" i="65"/>
  <c r="BE205" i="65" s="1"/>
  <c r="BD206" i="65"/>
  <c r="BE206" i="65"/>
  <c r="BD207" i="65"/>
  <c r="BE207" i="65"/>
  <c r="BD208" i="65"/>
  <c r="BE208" i="65" s="1"/>
  <c r="BD209" i="65"/>
  <c r="BE209" i="65" s="1"/>
  <c r="BD210" i="65"/>
  <c r="BE210" i="65"/>
  <c r="BD211" i="65"/>
  <c r="BE211" i="65" s="1"/>
  <c r="BD212" i="65"/>
  <c r="BE212" i="65"/>
  <c r="BD213" i="65"/>
  <c r="BE213" i="65"/>
  <c r="BD214" i="65"/>
  <c r="BE214" i="65" s="1"/>
  <c r="BD215" i="65"/>
  <c r="BE215" i="65" s="1"/>
  <c r="BD216" i="65"/>
  <c r="BE216" i="65"/>
  <c r="BD217" i="65"/>
  <c r="BE217" i="65" s="1"/>
  <c r="BD218" i="65"/>
  <c r="BE218" i="65"/>
  <c r="BD219" i="65"/>
  <c r="BE219" i="65"/>
  <c r="BD220" i="65"/>
  <c r="BE220" i="65" s="1"/>
  <c r="BD221" i="65"/>
  <c r="BE221" i="65" s="1"/>
  <c r="BD222" i="65"/>
  <c r="BE222" i="65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/>
  <c r="AV184" i="65"/>
  <c r="AW184" i="65" s="1"/>
  <c r="AV185" i="65"/>
  <c r="AW185" i="65"/>
  <c r="AV186" i="65"/>
  <c r="AW186" i="65" s="1"/>
  <c r="AV187" i="65"/>
  <c r="AW187" i="65" s="1"/>
  <c r="AV188" i="65"/>
  <c r="AW188" i="65" s="1"/>
  <c r="AV189" i="65"/>
  <c r="AW189" i="65"/>
  <c r="AV190" i="65"/>
  <c r="AW190" i="65" s="1"/>
  <c r="AV191" i="65"/>
  <c r="AW191" i="65"/>
  <c r="AV192" i="65"/>
  <c r="AW192" i="65" s="1"/>
  <c r="AV193" i="65"/>
  <c r="AW193" i="65" s="1"/>
  <c r="AV194" i="65"/>
  <c r="AW194" i="65" s="1"/>
  <c r="AV195" i="65"/>
  <c r="AW195" i="65"/>
  <c r="AV196" i="65"/>
  <c r="AW196" i="65" s="1"/>
  <c r="AV197" i="65"/>
  <c r="AW197" i="65"/>
  <c r="AV198" i="65"/>
  <c r="AW198" i="65" s="1"/>
  <c r="AV199" i="65"/>
  <c r="AW199" i="65"/>
  <c r="AV200" i="65"/>
  <c r="AW200" i="65"/>
  <c r="AV201" i="65"/>
  <c r="AW201" i="65" s="1"/>
  <c r="AV202" i="65"/>
  <c r="AW202" i="65" s="1"/>
  <c r="AV203" i="65"/>
  <c r="AW203" i="65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/>
  <c r="AV391" i="65"/>
  <c r="AW391" i="65" s="1"/>
  <c r="AV392" i="65"/>
  <c r="AW39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 s="1"/>
  <c r="AL184" i="65"/>
  <c r="AM184" i="65"/>
  <c r="AL185" i="65"/>
  <c r="AM185" i="65" s="1"/>
  <c r="AL186" i="65"/>
  <c r="AM186" i="65" s="1"/>
  <c r="AL187" i="65"/>
  <c r="AM187" i="65" s="1"/>
  <c r="AL188" i="65"/>
  <c r="AM188" i="65"/>
  <c r="AL189" i="65"/>
  <c r="AM189" i="65" s="1"/>
  <c r="AL190" i="65"/>
  <c r="AM190" i="65"/>
  <c r="AL191" i="65"/>
  <c r="AM191" i="65" s="1"/>
  <c r="AL192" i="65"/>
  <c r="AM192" i="65" s="1"/>
  <c r="AL193" i="65"/>
  <c r="AM193" i="65" s="1"/>
  <c r="AL194" i="65"/>
  <c r="AM194" i="65"/>
  <c r="AL195" i="65"/>
  <c r="AM195" i="65" s="1"/>
  <c r="AL196" i="65"/>
  <c r="AM196" i="65"/>
  <c r="AL197" i="65"/>
  <c r="AM197" i="65" s="1"/>
  <c r="AL198" i="65"/>
  <c r="AM198" i="65" s="1"/>
  <c r="AL199" i="65"/>
  <c r="AM199" i="65" s="1"/>
  <c r="AL200" i="65"/>
  <c r="AM200" i="65"/>
  <c r="AL201" i="65"/>
  <c r="AM201" i="65" s="1"/>
  <c r="AL202" i="65"/>
  <c r="AM202" i="65"/>
  <c r="AL203" i="65"/>
  <c r="AM203" i="65" s="1"/>
  <c r="AL204" i="65"/>
  <c r="AM204" i="65" s="1"/>
  <c r="AL205" i="65"/>
  <c r="AM205" i="65" s="1"/>
  <c r="AL206" i="65"/>
  <c r="AM206" i="65"/>
  <c r="AL207" i="65"/>
  <c r="AM207" i="65" s="1"/>
  <c r="AL208" i="65"/>
  <c r="AM208" i="65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/>
  <c r="AL251" i="65"/>
  <c r="AM251" i="65" s="1"/>
  <c r="AL252" i="65"/>
  <c r="AM252" i="65"/>
  <c r="AL253" i="65"/>
  <c r="AM253" i="65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/>
  <c r="AD391" i="65"/>
  <c r="AE391" i="65" s="1"/>
  <c r="AD392" i="65"/>
  <c r="AE392" i="65" s="1"/>
  <c r="T7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/>
  <c r="T184" i="65"/>
  <c r="U184" i="65" s="1"/>
  <c r="T185" i="65"/>
  <c r="U185" i="65"/>
  <c r="T186" i="65"/>
  <c r="U186" i="65"/>
  <c r="T187" i="65"/>
  <c r="U187" i="65" s="1"/>
  <c r="T188" i="65"/>
  <c r="U188" i="65" s="1"/>
  <c r="T189" i="65"/>
  <c r="U189" i="65"/>
  <c r="T190" i="65"/>
  <c r="U190" i="65" s="1"/>
  <c r="T191" i="65"/>
  <c r="U191" i="65"/>
  <c r="T192" i="65"/>
  <c r="U192" i="65"/>
  <c r="T193" i="65"/>
  <c r="U193" i="65" s="1"/>
  <c r="T194" i="65"/>
  <c r="U194" i="65" s="1"/>
  <c r="T195" i="65"/>
  <c r="U195" i="65"/>
  <c r="T196" i="65"/>
  <c r="U196" i="65" s="1"/>
  <c r="T197" i="65"/>
  <c r="U197" i="65"/>
  <c r="T198" i="65"/>
  <c r="U198" i="65"/>
  <c r="T199" i="65"/>
  <c r="U199" i="65" s="1"/>
  <c r="T200" i="65"/>
  <c r="U200" i="65" s="1"/>
  <c r="T201" i="65"/>
  <c r="U201" i="65"/>
  <c r="T202" i="65"/>
  <c r="U202" i="65" s="1"/>
  <c r="T203" i="65"/>
  <c r="U203" i="65"/>
  <c r="T204" i="65"/>
  <c r="U204" i="65"/>
  <c r="T205" i="65"/>
  <c r="U205" i="65" s="1"/>
  <c r="T206" i="65"/>
  <c r="U206" i="65" s="1"/>
  <c r="T207" i="65"/>
  <c r="U207" i="65"/>
  <c r="T208" i="65"/>
  <c r="U208" i="65" s="1"/>
  <c r="T209" i="65"/>
  <c r="U209" i="65"/>
  <c r="T210" i="65"/>
  <c r="U210" i="65"/>
  <c r="T211" i="65"/>
  <c r="U211" i="65" s="1"/>
  <c r="T212" i="65"/>
  <c r="U212" i="65" s="1"/>
  <c r="T213" i="65"/>
  <c r="U213" i="65"/>
  <c r="T214" i="65"/>
  <c r="U214" i="65" s="1"/>
  <c r="T215" i="65"/>
  <c r="U215" i="65"/>
  <c r="T216" i="65"/>
  <c r="U216" i="65"/>
  <c r="T217" i="65"/>
  <c r="U217" i="65" s="1"/>
  <c r="T218" i="65"/>
  <c r="U218" i="65" s="1"/>
  <c r="T219" i="65"/>
  <c r="U219" i="65"/>
  <c r="T220" i="65"/>
  <c r="U220" i="65" s="1"/>
  <c r="T221" i="65"/>
  <c r="U221" i="65" s="1"/>
  <c r="T222" i="65"/>
  <c r="U222" i="65" s="1"/>
  <c r="T223" i="65"/>
  <c r="U223" i="65" s="1"/>
  <c r="T224" i="65"/>
  <c r="U224" i="65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/>
  <c r="L184" i="65"/>
  <c r="M184" i="65"/>
  <c r="L185" i="65"/>
  <c r="M185" i="65" s="1"/>
  <c r="L186" i="65"/>
  <c r="M186" i="65" s="1"/>
  <c r="L187" i="65"/>
  <c r="M187" i="65"/>
  <c r="L188" i="65"/>
  <c r="M188" i="65" s="1"/>
  <c r="L189" i="65"/>
  <c r="M189" i="65"/>
  <c r="L190" i="65"/>
  <c r="M190" i="65"/>
  <c r="L191" i="65"/>
  <c r="M191" i="65" s="1"/>
  <c r="L192" i="65"/>
  <c r="M192" i="65" s="1"/>
  <c r="L193" i="65"/>
  <c r="M193" i="65"/>
  <c r="L194" i="65"/>
  <c r="M194" i="65" s="1"/>
  <c r="L195" i="65"/>
  <c r="M195" i="65"/>
  <c r="L196" i="65"/>
  <c r="M196" i="65"/>
  <c r="L197" i="65"/>
  <c r="M197" i="65" s="1"/>
  <c r="L198" i="65"/>
  <c r="M198" i="65" s="1"/>
  <c r="L199" i="65"/>
  <c r="M199" i="65" s="1"/>
  <c r="L200" i="65"/>
  <c r="M200" i="65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AW7" i="67" l="1"/>
  <c r="AW5" i="67"/>
  <c r="AW3" i="67"/>
  <c r="AY4" i="67"/>
  <c r="BE7" i="67"/>
  <c r="BE5" i="67"/>
  <c r="BE3" i="67"/>
  <c r="AQ4" i="67"/>
  <c r="AM7" i="67"/>
  <c r="AM5" i="67"/>
  <c r="AM3" i="67"/>
  <c r="AE7" i="67"/>
  <c r="AE5" i="67"/>
  <c r="Y4" i="67"/>
  <c r="AA6" i="67"/>
  <c r="A13" i="67" s="1"/>
  <c r="U7" i="67"/>
  <c r="U3" i="67"/>
  <c r="U5" i="67"/>
  <c r="M5" i="67"/>
  <c r="M3" i="67"/>
  <c r="L4" i="67" s="1"/>
  <c r="M7" i="67"/>
  <c r="G4" i="67"/>
  <c r="EY4" i="67"/>
  <c r="EY2" i="67" s="1"/>
  <c r="EV9" i="67" s="1"/>
  <c r="DP4" i="67"/>
  <c r="DP2" i="67" s="1"/>
  <c r="DM9" i="67" s="1"/>
  <c r="E23" i="67" s="1"/>
  <c r="FG4" i="67"/>
  <c r="FG2" i="67" s="1"/>
  <c r="DX4" i="67"/>
  <c r="DX2" i="67" s="1"/>
  <c r="EP4" i="67"/>
  <c r="EP2" i="67" s="1"/>
  <c r="BA6" i="67"/>
  <c r="AI6" i="67"/>
  <c r="Q6" i="67"/>
  <c r="CX4" i="67"/>
  <c r="BN4" i="67"/>
  <c r="CN4" i="67"/>
  <c r="BD9" i="67"/>
  <c r="B16" i="67" s="1"/>
  <c r="AL9" i="67"/>
  <c r="B14" i="67" s="1"/>
  <c r="T9" i="67"/>
  <c r="B12" i="67" s="1"/>
  <c r="DF4" i="67"/>
  <c r="BV4" i="67"/>
  <c r="CF4" i="67"/>
  <c r="CF2" i="67" s="1"/>
  <c r="AV4" i="67"/>
  <c r="E4" i="63"/>
  <c r="J4" i="63"/>
  <c r="AD4" i="67" l="1"/>
  <c r="C13" i="67" s="1"/>
  <c r="C15" i="67"/>
  <c r="AV2" i="67"/>
  <c r="C22" i="67"/>
  <c r="DF2" i="67"/>
  <c r="D22" i="67" s="1"/>
  <c r="C11" i="67"/>
  <c r="L2" i="67"/>
  <c r="C17" i="67"/>
  <c r="C19" i="67"/>
  <c r="BN2" i="67"/>
  <c r="A12" i="67"/>
  <c r="T4" i="67"/>
  <c r="A16" i="67"/>
  <c r="BD4" i="67"/>
  <c r="D19" i="67"/>
  <c r="CC9" i="67"/>
  <c r="E19" i="67" s="1"/>
  <c r="C18" i="67"/>
  <c r="BV2" i="67"/>
  <c r="D18" i="67" s="1"/>
  <c r="C20" i="67"/>
  <c r="CN2" i="67"/>
  <c r="D20" i="67" s="1"/>
  <c r="C21" i="67"/>
  <c r="CX2" i="67"/>
  <c r="A14" i="67"/>
  <c r="AL4" i="67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BV7" i="65"/>
  <c r="BN7" i="65"/>
  <c r="BD7" i="65"/>
  <c r="AV7" i="65"/>
  <c r="AU7" i="65" s="1"/>
  <c r="AL7" i="65"/>
  <c r="AK7" i="65" s="1"/>
  <c r="AD7" i="65"/>
  <c r="AC7" i="65" s="1"/>
  <c r="S7" i="65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AS3" i="65"/>
  <c r="AM3" i="65"/>
  <c r="AI3" i="65"/>
  <c r="AA3" i="65"/>
  <c r="I3" i="65"/>
  <c r="L4" i="63"/>
  <c r="C4" i="63"/>
  <c r="I4" i="63"/>
  <c r="D4" i="63"/>
  <c r="B4" i="63"/>
  <c r="H4" i="63"/>
  <c r="G4" i="63"/>
  <c r="CC3" i="65" l="1"/>
  <c r="AD2" i="67"/>
  <c r="BK3" i="65"/>
  <c r="BK4" i="65"/>
  <c r="BM4" i="65" s="1"/>
  <c r="BM7" i="65"/>
  <c r="CC4" i="65"/>
  <c r="CE4" i="65" s="1"/>
  <c r="CE7" i="65"/>
  <c r="D11" i="67"/>
  <c r="D13" i="67"/>
  <c r="D15" i="67"/>
  <c r="C14" i="67"/>
  <c r="AL2" i="67"/>
  <c r="D14" i="67" s="1"/>
  <c r="D21" i="67"/>
  <c r="CU9" i="67"/>
  <c r="E21" i="67" s="1"/>
  <c r="C16" i="67"/>
  <c r="BD2" i="67"/>
  <c r="D16" i="67" s="1"/>
  <c r="C12" i="67"/>
  <c r="T2" i="67"/>
  <c r="D12" i="67" s="1"/>
  <c r="D17" i="67"/>
  <c r="BK9" i="67"/>
  <c r="E17" i="67" s="1"/>
  <c r="CE3" i="65"/>
  <c r="BI2" i="65"/>
  <c r="CA2" i="65"/>
  <c r="M11" i="65"/>
  <c r="M9" i="65" s="1"/>
  <c r="M7" i="65" s="1"/>
  <c r="L6" i="65"/>
  <c r="K6" i="65" s="1"/>
  <c r="G2" i="65" s="1"/>
  <c r="I4" i="65"/>
  <c r="K4" i="65" s="1"/>
  <c r="DE3" i="65"/>
  <c r="DA4" i="65"/>
  <c r="BM3" i="65"/>
  <c r="BI4" i="65" s="1"/>
  <c r="K3" i="65"/>
  <c r="G4" i="65" s="1"/>
  <c r="AU3" i="65"/>
  <c r="AQ4" i="65" s="1"/>
  <c r="AQ2" i="65"/>
  <c r="AK3" i="65"/>
  <c r="AG4" i="65" s="1"/>
  <c r="Y2" i="65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FD6" i="65" l="1"/>
  <c r="M3" i="65"/>
  <c r="CA4" i="65"/>
  <c r="CX9" i="65"/>
  <c r="B21" i="65" s="1"/>
  <c r="L9" i="65"/>
  <c r="B11" i="65" s="1"/>
  <c r="AS9" i="67"/>
  <c r="E15" i="67" s="1"/>
  <c r="AA9" i="67"/>
  <c r="E13" i="67" s="1"/>
  <c r="I9" i="67"/>
  <c r="E11" i="67" s="1"/>
  <c r="I6" i="65"/>
  <c r="A11" i="65" s="1"/>
  <c r="CW3" i="65"/>
  <c r="CU6" i="65" s="1"/>
  <c r="A21" i="65" s="1"/>
  <c r="CI2" i="65"/>
  <c r="BU3" i="65"/>
  <c r="BS6" i="65" s="1"/>
  <c r="A18" i="65" s="1"/>
  <c r="BQ4" i="65"/>
  <c r="CM3" i="65"/>
  <c r="CK6" i="65" s="1"/>
  <c r="A20" i="65" s="1"/>
  <c r="BQ2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6" i="65"/>
  <c r="B12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V4" i="65" l="1"/>
  <c r="C18" i="65" s="1"/>
  <c r="CX4" i="65"/>
  <c r="CN4" i="65"/>
  <c r="CI4" i="65"/>
  <c r="T4" i="65"/>
  <c r="T2" i="65" s="1"/>
  <c r="D12" i="65" s="1"/>
  <c r="CS4" i="65"/>
  <c r="O4" i="65"/>
  <c r="BA6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V2" i="65" l="1"/>
  <c r="D18" i="65" s="1"/>
  <c r="A16" i="65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AU3" i="64" l="1"/>
  <c r="AS6" i="64" s="1"/>
  <c r="A15" i="64" s="1"/>
  <c r="K3" i="64"/>
  <c r="G4" i="64" s="1"/>
  <c r="O2" i="64"/>
  <c r="C16" i="65"/>
  <c r="BD2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EH4" i="64" l="1"/>
  <c r="EH2" i="64" s="1"/>
  <c r="EE9" i="64" s="1"/>
  <c r="E25" i="64" s="1"/>
  <c r="BD9" i="64"/>
  <c r="B16" i="64" s="1"/>
  <c r="AV4" i="64"/>
  <c r="AQ4" i="64"/>
  <c r="AG4" i="64"/>
  <c r="AG2" i="64"/>
  <c r="AY4" i="64"/>
  <c r="O4" i="64"/>
  <c r="D16" i="65"/>
  <c r="AS9" i="65"/>
  <c r="E15" i="65" s="1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5" i="64"/>
  <c r="C22" i="64" l="1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J3" i="63"/>
  <c r="E2" i="63"/>
  <c r="E3" i="63"/>
  <c r="C3" i="63"/>
  <c r="H2" i="63"/>
  <c r="I2" i="63"/>
  <c r="C2" i="63"/>
  <c r="G3" i="63"/>
  <c r="L3" i="63"/>
  <c r="B3" i="63"/>
  <c r="D2" i="63"/>
  <c r="G2" i="63"/>
  <c r="D3" i="63"/>
  <c r="L2" i="63"/>
  <c r="H3" i="63"/>
  <c r="B2" i="63"/>
  <c r="I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<sst xmlns="http://schemas.openxmlformats.org/spreadsheetml/2006/main" count="1648" uniqueCount="46">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</sst>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'20221210T210000'!$L$10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'20221210T210000'!$G$11:$G$500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'20221210T210000'!$L$11:$L$500</c:f>
              <c:numCache>
                <c:formatCode>General</c:formatCode>
                <c:ptCount val="490"/>
                <c:pt idx="0">
                  <c:v>-5.4807283950617283</c:v>
                </c:pt>
                <c:pt idx="1">
                  <c:v>-3.6040864197530862</c:v>
                </c:pt>
                <c:pt idx="2">
                  <c:v>-1.9180864197530862</c:v>
                </c:pt>
                <c:pt idx="3">
                  <c:v>-0.32996666666666663</c:v>
                </c:pt>
                <c:pt idx="4">
                  <c:v>1.100516049382716</c:v>
                </c:pt>
                <c:pt idx="5">
                  <c:v>2.4621234567901231</c:v>
                </c:pt>
                <c:pt idx="6">
                  <c:v>3.6440246913580245</c:v>
                </c:pt>
                <c:pt idx="7">
                  <c:v>4.7494444444444444</c:v>
                </c:pt>
                <c:pt idx="8">
                  <c:v>5.6943580246913577</c:v>
                </c:pt>
                <c:pt idx="9">
                  <c:v>6.581999999999999</c:v>
                </c:pt>
                <c:pt idx="10">
                  <c:v>7.3468271604938264</c:v>
                </c:pt>
                <c:pt idx="11">
                  <c:v>8.073975308641975</c:v>
                </c:pt>
                <c:pt idx="12">
                  <c:v>8.7106913580246914</c:v>
                </c:pt>
                <c:pt idx="13">
                  <c:v>9.2984444444444438</c:v>
                </c:pt>
                <c:pt idx="14">
                  <c:v>9.8296790123456788</c:v>
                </c:pt>
                <c:pt idx="15">
                  <c:v>10.330765432098763</c:v>
                </c:pt>
                <c:pt idx="16">
                  <c:v>10.782876543209875</c:v>
                </c:pt>
                <c:pt idx="17">
                  <c:v>11.204851851851851</c:v>
                </c:pt>
                <c:pt idx="18">
                  <c:v>11.581604938271603</c:v>
                </c:pt>
                <c:pt idx="19">
                  <c:v>11.947061728395061</c:v>
                </c:pt>
                <c:pt idx="20">
                  <c:v>12.286148148148149</c:v>
                </c:pt>
                <c:pt idx="21">
                  <c:v>12.602592592592591</c:v>
                </c:pt>
                <c:pt idx="22">
                  <c:v>12.889012345679014</c:v>
                </c:pt>
                <c:pt idx="23">
                  <c:v>13.16395061728395</c:v>
                </c:pt>
                <c:pt idx="24">
                  <c:v>13.408888888888887</c:v>
                </c:pt>
                <c:pt idx="25">
                  <c:v>13.638765432098765</c:v>
                </c:pt>
                <c:pt idx="26">
                  <c:v>13.857283950617285</c:v>
                </c:pt>
                <c:pt idx="27">
                  <c:v>14.056913580246912</c:v>
                </c:pt>
                <c:pt idx="28">
                  <c:v>14.252839506172839</c:v>
                </c:pt>
                <c:pt idx="29">
                  <c:v>14.433703703703703</c:v>
                </c:pt>
                <c:pt idx="30">
                  <c:v>14.61074074074074</c:v>
                </c:pt>
                <c:pt idx="31">
                  <c:v>14.780246913580246</c:v>
                </c:pt>
                <c:pt idx="32">
                  <c:v>14.938518518518517</c:v>
                </c:pt>
                <c:pt idx="33">
                  <c:v>15.100493827160493</c:v>
                </c:pt>
                <c:pt idx="34">
                  <c:v>15.251234567901234</c:v>
                </c:pt>
                <c:pt idx="35">
                  <c:v>15.394444444444444</c:v>
                </c:pt>
                <c:pt idx="36">
                  <c:v>15.53</c:v>
                </c:pt>
                <c:pt idx="37">
                  <c:v>15.650617283950618</c:v>
                </c:pt>
                <c:pt idx="38">
                  <c:v>15.763703703703703</c:v>
                </c:pt>
                <c:pt idx="39">
                  <c:v>15.865432098765432</c:v>
                </c:pt>
                <c:pt idx="40">
                  <c:v>15.967037037037036</c:v>
                </c:pt>
                <c:pt idx="41">
                  <c:v>16.057530864197531</c:v>
                </c:pt>
                <c:pt idx="42">
                  <c:v>16.147901234567904</c:v>
                </c:pt>
                <c:pt idx="43">
                  <c:v>16.230864197530863</c:v>
                </c:pt>
                <c:pt idx="44">
                  <c:v>16.317530864197529</c:v>
                </c:pt>
                <c:pt idx="45">
                  <c:v>16.396666666666665</c:v>
                </c:pt>
                <c:pt idx="46">
                  <c:v>16.475679012345676</c:v>
                </c:pt>
                <c:pt idx="47">
                  <c:v>16.554814814814815</c:v>
                </c:pt>
                <c:pt idx="48">
                  <c:v>16.630246913580244</c:v>
                </c:pt>
                <c:pt idx="49">
                  <c:v>16.698024691358025</c:v>
                </c:pt>
                <c:pt idx="50">
                  <c:v>16.7620987654321</c:v>
                </c:pt>
                <c:pt idx="51">
                  <c:v>16.818518518518516</c:v>
                </c:pt>
                <c:pt idx="52">
                  <c:v>16.871358024691357</c:v>
                </c:pt>
                <c:pt idx="53">
                  <c:v>16.916543209876544</c:v>
                </c:pt>
                <c:pt idx="54">
                  <c:v>16.954197530864196</c:v>
                </c:pt>
                <c:pt idx="55">
                  <c:v>16.999382716049382</c:v>
                </c:pt>
                <c:pt idx="56">
                  <c:v>17.040864197530862</c:v>
                </c:pt>
                <c:pt idx="57">
                  <c:v>17.089876543209876</c:v>
                </c:pt>
                <c:pt idx="58">
                  <c:v>17.131234567901231</c:v>
                </c:pt>
                <c:pt idx="59">
                  <c:v>17.161481481481481</c:v>
                </c:pt>
                <c:pt idx="60">
                  <c:v>17.195308641975309</c:v>
                </c:pt>
                <c:pt idx="61">
                  <c:v>17.236790123456789</c:v>
                </c:pt>
                <c:pt idx="62">
                  <c:v>17.274444444444445</c:v>
                </c:pt>
                <c:pt idx="63">
                  <c:v>17.319629629629631</c:v>
                </c:pt>
                <c:pt idx="64">
                  <c:v>17.361111111111111</c:v>
                </c:pt>
                <c:pt idx="65">
                  <c:v>17.391234567901233</c:v>
                </c:pt>
                <c:pt idx="66">
                  <c:v>17.421358024691358</c:v>
                </c:pt>
                <c:pt idx="67">
                  <c:v>17.447777777777777</c:v>
                </c:pt>
                <c:pt idx="68">
                  <c:v>17.477901234567902</c:v>
                </c:pt>
                <c:pt idx="69">
                  <c:v>17.508024691358024</c:v>
                </c:pt>
                <c:pt idx="70">
                  <c:v>17.54567901234568</c:v>
                </c:pt>
                <c:pt idx="71">
                  <c:v>17.58716049382716</c:v>
                </c:pt>
                <c:pt idx="72">
                  <c:v>17.613580246913582</c:v>
                </c:pt>
                <c:pt idx="73">
                  <c:v>17.628641975308639</c:v>
                </c:pt>
                <c:pt idx="74">
                  <c:v>17.651234567901231</c:v>
                </c:pt>
                <c:pt idx="75">
                  <c:v>17.673827160493826</c:v>
                </c:pt>
                <c:pt idx="76">
                  <c:v>17.692716049382714</c:v>
                </c:pt>
                <c:pt idx="77">
                  <c:v>17.707777777777778</c:v>
                </c:pt>
                <c:pt idx="78">
                  <c:v>17.726543209876542</c:v>
                </c:pt>
                <c:pt idx="79">
                  <c:v>17.749135802469137</c:v>
                </c:pt>
                <c:pt idx="80">
                  <c:v>17.764197530864198</c:v>
                </c:pt>
                <c:pt idx="81">
                  <c:v>17.78679012345679</c:v>
                </c:pt>
                <c:pt idx="82">
                  <c:v>17.809506172839505</c:v>
                </c:pt>
                <c:pt idx="83">
                  <c:v>17.828271604938269</c:v>
                </c:pt>
                <c:pt idx="84">
                  <c:v>17.847160493827161</c:v>
                </c:pt>
                <c:pt idx="85">
                  <c:v>17.862222222222222</c:v>
                </c:pt>
                <c:pt idx="86">
                  <c:v>17.884814814814817</c:v>
                </c:pt>
                <c:pt idx="87">
                  <c:v>17.911234567901232</c:v>
                </c:pt>
                <c:pt idx="88">
                  <c:v>17.926296296296293</c:v>
                </c:pt>
                <c:pt idx="89">
                  <c:v>17.93753086419753</c:v>
                </c:pt>
                <c:pt idx="90">
                  <c:v>17.952592592592595</c:v>
                </c:pt>
                <c:pt idx="91">
                  <c:v>17.971481481481479</c:v>
                </c:pt>
                <c:pt idx="92">
                  <c:v>17.990246913580243</c:v>
                </c:pt>
                <c:pt idx="93">
                  <c:v>18.009135802469135</c:v>
                </c:pt>
                <c:pt idx="94">
                  <c:v>18.016666666666666</c:v>
                </c:pt>
                <c:pt idx="95">
                  <c:v>18.020493827160493</c:v>
                </c:pt>
                <c:pt idx="96">
                  <c:v>18.035555555555554</c:v>
                </c:pt>
                <c:pt idx="97">
                  <c:v>18.054320987654318</c:v>
                </c:pt>
                <c:pt idx="98">
                  <c:v>18.07320987654321</c:v>
                </c:pt>
                <c:pt idx="99">
                  <c:v>18.091975308641977</c:v>
                </c:pt>
                <c:pt idx="100">
                  <c:v>18.107037037037035</c:v>
                </c:pt>
                <c:pt idx="101">
                  <c:v>18.110864197530866</c:v>
                </c:pt>
                <c:pt idx="102">
                  <c:v>18.118395061728396</c:v>
                </c:pt>
                <c:pt idx="103">
                  <c:v>18.125925925925923</c:v>
                </c:pt>
                <c:pt idx="104">
                  <c:v>18.137283950617284</c:v>
                </c:pt>
                <c:pt idx="105">
                  <c:v>18.148518518518514</c:v>
                </c:pt>
                <c:pt idx="106">
                  <c:v>18.152345679012342</c:v>
                </c:pt>
                <c:pt idx="107">
                  <c:v>18.171111111111109</c:v>
                </c:pt>
                <c:pt idx="108">
                  <c:v>18.189999999999998</c:v>
                </c:pt>
                <c:pt idx="109">
                  <c:v>18.208765432098765</c:v>
                </c:pt>
                <c:pt idx="110">
                  <c:v>18.22012345679012</c:v>
                </c:pt>
                <c:pt idx="111">
                  <c:v>18.22395061728395</c:v>
                </c:pt>
                <c:pt idx="112">
                  <c:v>18.22395061728395</c:v>
                </c:pt>
                <c:pt idx="113">
                  <c:v>18.216296296296292</c:v>
                </c:pt>
                <c:pt idx="114">
                  <c:v>18.212592592592593</c:v>
                </c:pt>
                <c:pt idx="115">
                  <c:v>18.216296296296292</c:v>
                </c:pt>
                <c:pt idx="116">
                  <c:v>18.216296296296292</c:v>
                </c:pt>
                <c:pt idx="117">
                  <c:v>18.22012345679012</c:v>
                </c:pt>
                <c:pt idx="118">
                  <c:v>18.212592592592593</c:v>
                </c:pt>
                <c:pt idx="119">
                  <c:v>18.208765432098765</c:v>
                </c:pt>
                <c:pt idx="120">
                  <c:v>18.205061728395062</c:v>
                </c:pt>
                <c:pt idx="121">
                  <c:v>18.22012345679012</c:v>
                </c:pt>
                <c:pt idx="122">
                  <c:v>18.235185185185184</c:v>
                </c:pt>
                <c:pt idx="123">
                  <c:v>18.242716049382715</c:v>
                </c:pt>
                <c:pt idx="124">
                  <c:v>18.261604938271603</c:v>
                </c:pt>
                <c:pt idx="125">
                  <c:v>18.27283950617284</c:v>
                </c:pt>
                <c:pt idx="126">
                  <c:v>18.287901234567901</c:v>
                </c:pt>
                <c:pt idx="127">
                  <c:v>18.284197530864198</c:v>
                </c:pt>
                <c:pt idx="128">
                  <c:v>18.265308641975306</c:v>
                </c:pt>
                <c:pt idx="129">
                  <c:v>18.265308641975306</c:v>
                </c:pt>
                <c:pt idx="130">
                  <c:v>18.269135802469137</c:v>
                </c:pt>
                <c:pt idx="131">
                  <c:v>18.28037037037037</c:v>
                </c:pt>
                <c:pt idx="132">
                  <c:v>18.287901234567901</c:v>
                </c:pt>
                <c:pt idx="133">
                  <c:v>18.287901234567901</c:v>
                </c:pt>
                <c:pt idx="134">
                  <c:v>18.299259259259259</c:v>
                </c:pt>
                <c:pt idx="135">
                  <c:v>18.306790123456789</c:v>
                </c:pt>
                <c:pt idx="136">
                  <c:v>18.318024691358023</c:v>
                </c:pt>
                <c:pt idx="137">
                  <c:v>18.318024691358023</c:v>
                </c:pt>
                <c:pt idx="138">
                  <c:v>18.32185185185185</c:v>
                </c:pt>
                <c:pt idx="139">
                  <c:v>18.340740740740738</c:v>
                </c:pt>
                <c:pt idx="140">
                  <c:v>18.355802469135799</c:v>
                </c:pt>
                <c:pt idx="141">
                  <c:v>18.370864197530864</c:v>
                </c:pt>
                <c:pt idx="142">
                  <c:v>18.382098765432101</c:v>
                </c:pt>
                <c:pt idx="143">
                  <c:v>18.400987654320986</c:v>
                </c:pt>
                <c:pt idx="144">
                  <c:v>18.397160493827158</c:v>
                </c:pt>
                <c:pt idx="145">
                  <c:v>18.397160493827158</c:v>
                </c:pt>
                <c:pt idx="146">
                  <c:v>18.404691358024692</c:v>
                </c:pt>
                <c:pt idx="147">
                  <c:v>18.404691358024692</c:v>
                </c:pt>
                <c:pt idx="148">
                  <c:v>18.416049382716047</c:v>
                </c:pt>
                <c:pt idx="149">
                  <c:v>18.423580246913577</c:v>
                </c:pt>
                <c:pt idx="150">
                  <c:v>18.427283950617284</c:v>
                </c:pt>
                <c:pt idx="151">
                  <c:v>18.434938271604938</c:v>
                </c:pt>
                <c:pt idx="152">
                  <c:v>18.438641975308641</c:v>
                </c:pt>
                <c:pt idx="153">
                  <c:v>18.442469135802465</c:v>
                </c:pt>
                <c:pt idx="154">
                  <c:v>18.434938271604938</c:v>
                </c:pt>
                <c:pt idx="155">
                  <c:v>18.438641975308641</c:v>
                </c:pt>
                <c:pt idx="156">
                  <c:v>18.434938271604938</c:v>
                </c:pt>
                <c:pt idx="157">
                  <c:v>18.434938271604938</c:v>
                </c:pt>
                <c:pt idx="158">
                  <c:v>18.442469135802465</c:v>
                </c:pt>
                <c:pt idx="159">
                  <c:v>18.442469135802465</c:v>
                </c:pt>
                <c:pt idx="160">
                  <c:v>18.438641975308641</c:v>
                </c:pt>
                <c:pt idx="161">
                  <c:v>18.45</c:v>
                </c:pt>
                <c:pt idx="162">
                  <c:v>18.472592592592594</c:v>
                </c:pt>
                <c:pt idx="163">
                  <c:v>18.483827160493824</c:v>
                </c:pt>
                <c:pt idx="164">
                  <c:v>18.495185185185186</c:v>
                </c:pt>
                <c:pt idx="165">
                  <c:v>18.502716049382713</c:v>
                </c:pt>
                <c:pt idx="166">
                  <c:v>18.498888888888889</c:v>
                </c:pt>
                <c:pt idx="167">
                  <c:v>18.506419753086419</c:v>
                </c:pt>
                <c:pt idx="168">
                  <c:v>18.51395061728395</c:v>
                </c:pt>
                <c:pt idx="169">
                  <c:v>18.506419753086419</c:v>
                </c:pt>
                <c:pt idx="170">
                  <c:v>18.502716049382713</c:v>
                </c:pt>
                <c:pt idx="171">
                  <c:v>18.506419753086419</c:v>
                </c:pt>
                <c:pt idx="172">
                  <c:v>18.510246913580243</c:v>
                </c:pt>
                <c:pt idx="173">
                  <c:v>18.502716049382713</c:v>
                </c:pt>
                <c:pt idx="174">
                  <c:v>18.51395061728395</c:v>
                </c:pt>
                <c:pt idx="175">
                  <c:v>18.521481481481484</c:v>
                </c:pt>
                <c:pt idx="176">
                  <c:v>18.536543209876541</c:v>
                </c:pt>
                <c:pt idx="177">
                  <c:v>18.540370370370372</c:v>
                </c:pt>
                <c:pt idx="178">
                  <c:v>18.540370370370372</c:v>
                </c:pt>
                <c:pt idx="179">
                  <c:v>18.547901234567902</c:v>
                </c:pt>
                <c:pt idx="180">
                  <c:v>18.551728395061726</c:v>
                </c:pt>
                <c:pt idx="181">
                  <c:v>18.544197530864199</c:v>
                </c:pt>
                <c:pt idx="182">
                  <c:v>18.536543209876541</c:v>
                </c:pt>
                <c:pt idx="183">
                  <c:v>18.525308641975307</c:v>
                </c:pt>
                <c:pt idx="184">
                  <c:v>18.536543209876541</c:v>
                </c:pt>
                <c:pt idx="185">
                  <c:v>18.540370370370372</c:v>
                </c:pt>
                <c:pt idx="186">
                  <c:v>18.544197530864199</c:v>
                </c:pt>
                <c:pt idx="187">
                  <c:v>18.540370370370372</c:v>
                </c:pt>
                <c:pt idx="188">
                  <c:v>18.529012345679011</c:v>
                </c:pt>
                <c:pt idx="189">
                  <c:v>18.525308641975307</c:v>
                </c:pt>
                <c:pt idx="190">
                  <c:v>18.529012345679011</c:v>
                </c:pt>
                <c:pt idx="191">
                  <c:v>18.532839506172838</c:v>
                </c:pt>
                <c:pt idx="192">
                  <c:v>18.525308641975307</c:v>
                </c:pt>
                <c:pt idx="193">
                  <c:v>18.506419753086419</c:v>
                </c:pt>
                <c:pt idx="194">
                  <c:v>18.498888888888889</c:v>
                </c:pt>
                <c:pt idx="195">
                  <c:v>18.502716049382713</c:v>
                </c:pt>
                <c:pt idx="196">
                  <c:v>18.502716049382713</c:v>
                </c:pt>
                <c:pt idx="197">
                  <c:v>18.487654320987652</c:v>
                </c:pt>
                <c:pt idx="198">
                  <c:v>18.487654320987652</c:v>
                </c:pt>
                <c:pt idx="199">
                  <c:v>18.480123456790125</c:v>
                </c:pt>
                <c:pt idx="200">
                  <c:v>18.472592592592594</c:v>
                </c:pt>
                <c:pt idx="201">
                  <c:v>18.476296296296297</c:v>
                </c:pt>
                <c:pt idx="202">
                  <c:v>18.483827160493824</c:v>
                </c:pt>
                <c:pt idx="203">
                  <c:v>18.502716049382713</c:v>
                </c:pt>
                <c:pt idx="204">
                  <c:v>18.51395061728395</c:v>
                </c:pt>
                <c:pt idx="205">
                  <c:v>18.525308641975307</c:v>
                </c:pt>
                <c:pt idx="206">
                  <c:v>18.529012345679011</c:v>
                </c:pt>
                <c:pt idx="207">
                  <c:v>18.525308641975307</c:v>
                </c:pt>
                <c:pt idx="208">
                  <c:v>18.510246913580243</c:v>
                </c:pt>
                <c:pt idx="209">
                  <c:v>18.510246913580243</c:v>
                </c:pt>
                <c:pt idx="210">
                  <c:v>18.51395061728395</c:v>
                </c:pt>
                <c:pt idx="211">
                  <c:v>18.529012345679011</c:v>
                </c:pt>
                <c:pt idx="212">
                  <c:v>18.532839506172838</c:v>
                </c:pt>
                <c:pt idx="213">
                  <c:v>18.536543209876541</c:v>
                </c:pt>
                <c:pt idx="214">
                  <c:v>18.529012345679011</c:v>
                </c:pt>
                <c:pt idx="215">
                  <c:v>18.521481481481484</c:v>
                </c:pt>
                <c:pt idx="216">
                  <c:v>18.506419753086419</c:v>
                </c:pt>
                <c:pt idx="217">
                  <c:v>18.51395061728395</c:v>
                </c:pt>
                <c:pt idx="218">
                  <c:v>18.529012345679011</c:v>
                </c:pt>
                <c:pt idx="219">
                  <c:v>18.540370370370372</c:v>
                </c:pt>
                <c:pt idx="220">
                  <c:v>18.555432098765429</c:v>
                </c:pt>
                <c:pt idx="221">
                  <c:v>18.581851851851848</c:v>
                </c:pt>
                <c:pt idx="222">
                  <c:v>18.593086419753085</c:v>
                </c:pt>
                <c:pt idx="223">
                  <c:v>18.593086419753085</c:v>
                </c:pt>
                <c:pt idx="224">
                  <c:v>18.581851851851848</c:v>
                </c:pt>
                <c:pt idx="225">
                  <c:v>18.589382716049382</c:v>
                </c:pt>
                <c:pt idx="226">
                  <c:v>18.596913580246913</c:v>
                </c:pt>
                <c:pt idx="227">
                  <c:v>18.600617283950616</c:v>
                </c:pt>
                <c:pt idx="228">
                  <c:v>18.604444444444443</c:v>
                </c:pt>
                <c:pt idx="229">
                  <c:v>18.604444444444443</c:v>
                </c:pt>
                <c:pt idx="230">
                  <c:v>18.600617283950616</c:v>
                </c:pt>
                <c:pt idx="231">
                  <c:v>18.589382716049382</c:v>
                </c:pt>
                <c:pt idx="232">
                  <c:v>18.585555555555555</c:v>
                </c:pt>
                <c:pt idx="233">
                  <c:v>18.578024691358021</c:v>
                </c:pt>
                <c:pt idx="234">
                  <c:v>18.578024691358021</c:v>
                </c:pt>
                <c:pt idx="235">
                  <c:v>18.574320987654321</c:v>
                </c:pt>
                <c:pt idx="236">
                  <c:v>18.570493827160494</c:v>
                </c:pt>
                <c:pt idx="237">
                  <c:v>18.562962962962963</c:v>
                </c:pt>
                <c:pt idx="238">
                  <c:v>18.555432098765429</c:v>
                </c:pt>
                <c:pt idx="239">
                  <c:v>18.547901234567902</c:v>
                </c:pt>
                <c:pt idx="240">
                  <c:v>18.536543209876541</c:v>
                </c:pt>
                <c:pt idx="241">
                  <c:v>18.525308641975307</c:v>
                </c:pt>
                <c:pt idx="242">
                  <c:v>18.532839506172838</c:v>
                </c:pt>
                <c:pt idx="243">
                  <c:v>18.525308641975307</c:v>
                </c:pt>
                <c:pt idx="244">
                  <c:v>18.51395061728395</c:v>
                </c:pt>
                <c:pt idx="245">
                  <c:v>18.510246913580243</c:v>
                </c:pt>
                <c:pt idx="246">
                  <c:v>18.521481481481484</c:v>
                </c:pt>
                <c:pt idx="247">
                  <c:v>18.540370370370372</c:v>
                </c:pt>
                <c:pt idx="248">
                  <c:v>18.559259259259257</c:v>
                </c:pt>
                <c:pt idx="249">
                  <c:v>18.581851851851848</c:v>
                </c:pt>
                <c:pt idx="250">
                  <c:v>18.578024691358021</c:v>
                </c:pt>
                <c:pt idx="251">
                  <c:v>18.566790123456791</c:v>
                </c:pt>
                <c:pt idx="252">
                  <c:v>18.559259259259257</c:v>
                </c:pt>
                <c:pt idx="253">
                  <c:v>18.547901234567902</c:v>
                </c:pt>
                <c:pt idx="254">
                  <c:v>18.540370370370372</c:v>
                </c:pt>
                <c:pt idx="255">
                  <c:v>18.532839506172838</c:v>
                </c:pt>
                <c:pt idx="256">
                  <c:v>18.517777777777777</c:v>
                </c:pt>
                <c:pt idx="257">
                  <c:v>18.506419753086419</c:v>
                </c:pt>
                <c:pt idx="258">
                  <c:v>18.506419753086419</c:v>
                </c:pt>
                <c:pt idx="259">
                  <c:v>18.502716049382713</c:v>
                </c:pt>
                <c:pt idx="260">
                  <c:v>18.495185185185186</c:v>
                </c:pt>
                <c:pt idx="261">
                  <c:v>18.502716049382713</c:v>
                </c:pt>
                <c:pt idx="262">
                  <c:v>18.502716049382713</c:v>
                </c:pt>
                <c:pt idx="263">
                  <c:v>18.502716049382713</c:v>
                </c:pt>
                <c:pt idx="264">
                  <c:v>18.495185185185186</c:v>
                </c:pt>
                <c:pt idx="265">
                  <c:v>18.495185185185186</c:v>
                </c:pt>
                <c:pt idx="266">
                  <c:v>18.491358024691355</c:v>
                </c:pt>
                <c:pt idx="267">
                  <c:v>18.487654320987652</c:v>
                </c:pt>
                <c:pt idx="268">
                  <c:v>18.498888888888889</c:v>
                </c:pt>
                <c:pt idx="269">
                  <c:v>18.510246913580243</c:v>
                </c:pt>
                <c:pt idx="270">
                  <c:v>18.529012345679011</c:v>
                </c:pt>
                <c:pt idx="271">
                  <c:v>18.532839506172838</c:v>
                </c:pt>
                <c:pt idx="272">
                  <c:v>18.532839506172838</c:v>
                </c:pt>
                <c:pt idx="273">
                  <c:v>18.544197530864199</c:v>
                </c:pt>
                <c:pt idx="274">
                  <c:v>18.547901234567902</c:v>
                </c:pt>
                <c:pt idx="275">
                  <c:v>18.551728395061726</c:v>
                </c:pt>
                <c:pt idx="276">
                  <c:v>18.547901234567902</c:v>
                </c:pt>
                <c:pt idx="277">
                  <c:v>18.559259259259257</c:v>
                </c:pt>
                <c:pt idx="278">
                  <c:v>18.559259259259257</c:v>
                </c:pt>
                <c:pt idx="279">
                  <c:v>18.544197530864199</c:v>
                </c:pt>
                <c:pt idx="280">
                  <c:v>18.536543209876541</c:v>
                </c:pt>
                <c:pt idx="281">
                  <c:v>18.544197530864199</c:v>
                </c:pt>
                <c:pt idx="282">
                  <c:v>18.540370370370372</c:v>
                </c:pt>
                <c:pt idx="283">
                  <c:v>18.547901234567902</c:v>
                </c:pt>
                <c:pt idx="284">
                  <c:v>18.544197530864199</c:v>
                </c:pt>
                <c:pt idx="285">
                  <c:v>18.555432098765429</c:v>
                </c:pt>
                <c:pt idx="286">
                  <c:v>18.551728395061726</c:v>
                </c:pt>
                <c:pt idx="287">
                  <c:v>18.544197530864199</c:v>
                </c:pt>
                <c:pt idx="288">
                  <c:v>18.540370370370372</c:v>
                </c:pt>
                <c:pt idx="289">
                  <c:v>18.532839506172838</c:v>
                </c:pt>
                <c:pt idx="290">
                  <c:v>18.529012345679011</c:v>
                </c:pt>
                <c:pt idx="291">
                  <c:v>18.521481481481484</c:v>
                </c:pt>
                <c:pt idx="292">
                  <c:v>18.51395061728395</c:v>
                </c:pt>
                <c:pt idx="293">
                  <c:v>18.510246913580243</c:v>
                </c:pt>
                <c:pt idx="294">
                  <c:v>18.521481481481484</c:v>
                </c:pt>
                <c:pt idx="295">
                  <c:v>18.536543209876541</c:v>
                </c:pt>
                <c:pt idx="296">
                  <c:v>18.544197530864199</c:v>
                </c:pt>
                <c:pt idx="297">
                  <c:v>18.555432098765429</c:v>
                </c:pt>
                <c:pt idx="298">
                  <c:v>18.559259259259257</c:v>
                </c:pt>
                <c:pt idx="299">
                  <c:v>18.562962962962963</c:v>
                </c:pt>
                <c:pt idx="300">
                  <c:v>18.574320987654321</c:v>
                </c:pt>
                <c:pt idx="301">
                  <c:v>18.570493827160494</c:v>
                </c:pt>
                <c:pt idx="302">
                  <c:v>18.562962962962963</c:v>
                </c:pt>
                <c:pt idx="303">
                  <c:v>18.555432098765429</c:v>
                </c:pt>
                <c:pt idx="304">
                  <c:v>18.562962962962963</c:v>
                </c:pt>
                <c:pt idx="305">
                  <c:v>18.559259259259257</c:v>
                </c:pt>
                <c:pt idx="306">
                  <c:v>18.562962962962963</c:v>
                </c:pt>
                <c:pt idx="307">
                  <c:v>18.555432098765429</c:v>
                </c:pt>
                <c:pt idx="308">
                  <c:v>18.532839506172838</c:v>
                </c:pt>
                <c:pt idx="309">
                  <c:v>18.521481481481484</c:v>
                </c:pt>
                <c:pt idx="310">
                  <c:v>18.517777777777777</c:v>
                </c:pt>
                <c:pt idx="311">
                  <c:v>18.529012345679011</c:v>
                </c:pt>
                <c:pt idx="312">
                  <c:v>18.536543209876541</c:v>
                </c:pt>
                <c:pt idx="313">
                  <c:v>18.517777777777777</c:v>
                </c:pt>
                <c:pt idx="314">
                  <c:v>18.517777777777777</c:v>
                </c:pt>
                <c:pt idx="315">
                  <c:v>18.517777777777777</c:v>
                </c:pt>
                <c:pt idx="316">
                  <c:v>18.536543209876541</c:v>
                </c:pt>
                <c:pt idx="317">
                  <c:v>18.555432098765429</c:v>
                </c:pt>
                <c:pt idx="318">
                  <c:v>18.559259259259257</c:v>
                </c:pt>
                <c:pt idx="319">
                  <c:v>18.578024691358021</c:v>
                </c:pt>
                <c:pt idx="320">
                  <c:v>18.578024691358021</c:v>
                </c:pt>
                <c:pt idx="321">
                  <c:v>18.585555555555555</c:v>
                </c:pt>
                <c:pt idx="322">
                  <c:v>18.578024691358021</c:v>
                </c:pt>
                <c:pt idx="323">
                  <c:v>18.570493827160494</c:v>
                </c:pt>
                <c:pt idx="324">
                  <c:v>18.559259259259257</c:v>
                </c:pt>
                <c:pt idx="325">
                  <c:v>18.555432098765429</c:v>
                </c:pt>
                <c:pt idx="326">
                  <c:v>18.551728395061726</c:v>
                </c:pt>
                <c:pt idx="327">
                  <c:v>18.547901234567902</c:v>
                </c:pt>
                <c:pt idx="328">
                  <c:v>18.551728395061726</c:v>
                </c:pt>
                <c:pt idx="329">
                  <c:v>18.559259259259257</c:v>
                </c:pt>
                <c:pt idx="330">
                  <c:v>18.562962962962963</c:v>
                </c:pt>
                <c:pt idx="331">
                  <c:v>18.562962962962963</c:v>
                </c:pt>
                <c:pt idx="332">
                  <c:v>18.555432098765429</c:v>
                </c:pt>
                <c:pt idx="333">
                  <c:v>18.540370370370372</c:v>
                </c:pt>
                <c:pt idx="334">
                  <c:v>18.529012345679011</c:v>
                </c:pt>
                <c:pt idx="335">
                  <c:v>18.532839506172838</c:v>
                </c:pt>
                <c:pt idx="336">
                  <c:v>18.525308641975307</c:v>
                </c:pt>
                <c:pt idx="337">
                  <c:v>18.51395061728395</c:v>
                </c:pt>
                <c:pt idx="338">
                  <c:v>18.525308641975307</c:v>
                </c:pt>
                <c:pt idx="339">
                  <c:v>18.536543209876541</c:v>
                </c:pt>
                <c:pt idx="340">
                  <c:v>18.547901234567902</c:v>
                </c:pt>
                <c:pt idx="341">
                  <c:v>18.551728395061726</c:v>
                </c:pt>
                <c:pt idx="342">
                  <c:v>18.551728395061726</c:v>
                </c:pt>
                <c:pt idx="343">
                  <c:v>18.544197530864199</c:v>
                </c:pt>
                <c:pt idx="344">
                  <c:v>18.529012345679011</c:v>
                </c:pt>
                <c:pt idx="345">
                  <c:v>18.525308641975307</c:v>
                </c:pt>
                <c:pt idx="346">
                  <c:v>18.521481481481484</c:v>
                </c:pt>
                <c:pt idx="347">
                  <c:v>18.536543209876541</c:v>
                </c:pt>
                <c:pt idx="348">
                  <c:v>18.540370370370372</c:v>
                </c:pt>
                <c:pt idx="349">
                  <c:v>18.536543209876541</c:v>
                </c:pt>
                <c:pt idx="350">
                  <c:v>18.544197530864199</c:v>
                </c:pt>
                <c:pt idx="351">
                  <c:v>18.544197530864199</c:v>
                </c:pt>
                <c:pt idx="352">
                  <c:v>18.566790123456791</c:v>
                </c:pt>
                <c:pt idx="353">
                  <c:v>18.566790123456791</c:v>
                </c:pt>
                <c:pt idx="354">
                  <c:v>18.555432098765429</c:v>
                </c:pt>
                <c:pt idx="355">
                  <c:v>18.544197530864199</c:v>
                </c:pt>
                <c:pt idx="356">
                  <c:v>18.525308641975307</c:v>
                </c:pt>
                <c:pt idx="357">
                  <c:v>18.525308641975307</c:v>
                </c:pt>
                <c:pt idx="358">
                  <c:v>18.532839506172838</c:v>
                </c:pt>
                <c:pt idx="359">
                  <c:v>18.544197530864199</c:v>
                </c:pt>
                <c:pt idx="360">
                  <c:v>18.544197530864199</c:v>
                </c:pt>
                <c:pt idx="361">
                  <c:v>18.547901234567902</c:v>
                </c:pt>
                <c:pt idx="362">
                  <c:v>18.566790123456791</c:v>
                </c:pt>
                <c:pt idx="363">
                  <c:v>18.589382716049382</c:v>
                </c:pt>
                <c:pt idx="364">
                  <c:v>18.611975308641973</c:v>
                </c:pt>
                <c:pt idx="365">
                  <c:v>18.619506172839504</c:v>
                </c:pt>
                <c:pt idx="366">
                  <c:v>18.61567901234568</c:v>
                </c:pt>
                <c:pt idx="367">
                  <c:v>18.61567901234568</c:v>
                </c:pt>
                <c:pt idx="368">
                  <c:v>18.60814814814815</c:v>
                </c:pt>
                <c:pt idx="369">
                  <c:v>18.600617283950616</c:v>
                </c:pt>
                <c:pt idx="370">
                  <c:v>18.578024691358021</c:v>
                </c:pt>
                <c:pt idx="371">
                  <c:v>18.581851851851848</c:v>
                </c:pt>
                <c:pt idx="372">
                  <c:v>18.570493827160494</c:v>
                </c:pt>
                <c:pt idx="373">
                  <c:v>18.559259259259257</c:v>
                </c:pt>
                <c:pt idx="374">
                  <c:v>18.566790123456791</c:v>
                </c:pt>
                <c:pt idx="375">
                  <c:v>18.578024691358021</c:v>
                </c:pt>
                <c:pt idx="376">
                  <c:v>18.596913580246913</c:v>
                </c:pt>
                <c:pt idx="377">
                  <c:v>18.619506172839504</c:v>
                </c:pt>
                <c:pt idx="378">
                  <c:v>18.630740740740741</c:v>
                </c:pt>
                <c:pt idx="379">
                  <c:v>18.638271604938272</c:v>
                </c:pt>
                <c:pt idx="380">
                  <c:v>18.630740740740741</c:v>
                </c:pt>
                <c:pt idx="381">
                  <c:v>18.634567901234568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'20221210T210000'!$T$11:$T$500</c:f>
              <c:numCache>
                <c:formatCode>General</c:formatCode>
                <c:ptCount val="490"/>
                <c:pt idx="0">
                  <c:v>18.596913580246913</c:v>
                </c:pt>
                <c:pt idx="1">
                  <c:v>18.593086419753085</c:v>
                </c:pt>
                <c:pt idx="2">
                  <c:v>18.589382716049382</c:v>
                </c:pt>
                <c:pt idx="3">
                  <c:v>18.581851851851848</c:v>
                </c:pt>
                <c:pt idx="4">
                  <c:v>18.578024691358021</c:v>
                </c:pt>
                <c:pt idx="5">
                  <c:v>18.574320987654321</c:v>
                </c:pt>
                <c:pt idx="6">
                  <c:v>18.581851851851848</c:v>
                </c:pt>
                <c:pt idx="7">
                  <c:v>18.593086419753085</c:v>
                </c:pt>
                <c:pt idx="8">
                  <c:v>18.604444444444443</c:v>
                </c:pt>
                <c:pt idx="9">
                  <c:v>18.611975308641973</c:v>
                </c:pt>
                <c:pt idx="10">
                  <c:v>18.60814814814815</c:v>
                </c:pt>
                <c:pt idx="11">
                  <c:v>18.604444444444443</c:v>
                </c:pt>
                <c:pt idx="12">
                  <c:v>18.604444444444443</c:v>
                </c:pt>
                <c:pt idx="13">
                  <c:v>18.596913580246913</c:v>
                </c:pt>
                <c:pt idx="14">
                  <c:v>18.604444444444443</c:v>
                </c:pt>
                <c:pt idx="15">
                  <c:v>18.600617283950616</c:v>
                </c:pt>
                <c:pt idx="16">
                  <c:v>18.589382716049382</c:v>
                </c:pt>
                <c:pt idx="17">
                  <c:v>18.585555555555555</c:v>
                </c:pt>
                <c:pt idx="18">
                  <c:v>18.589382716049382</c:v>
                </c:pt>
                <c:pt idx="19">
                  <c:v>18.589382716049382</c:v>
                </c:pt>
                <c:pt idx="20">
                  <c:v>18.581851851851848</c:v>
                </c:pt>
                <c:pt idx="21">
                  <c:v>18.574320987654321</c:v>
                </c:pt>
                <c:pt idx="22">
                  <c:v>18.559259259259257</c:v>
                </c:pt>
                <c:pt idx="23">
                  <c:v>18.559259259259257</c:v>
                </c:pt>
                <c:pt idx="24">
                  <c:v>18.566790123456791</c:v>
                </c:pt>
                <c:pt idx="25">
                  <c:v>18.559259259259257</c:v>
                </c:pt>
                <c:pt idx="26">
                  <c:v>18.551728395061726</c:v>
                </c:pt>
                <c:pt idx="27">
                  <c:v>18.547901234567902</c:v>
                </c:pt>
                <c:pt idx="28">
                  <c:v>18.551728395061726</c:v>
                </c:pt>
                <c:pt idx="29">
                  <c:v>18.551728395061726</c:v>
                </c:pt>
                <c:pt idx="30">
                  <c:v>18.544197530864199</c:v>
                </c:pt>
                <c:pt idx="31">
                  <c:v>18.536543209876541</c:v>
                </c:pt>
                <c:pt idx="32">
                  <c:v>18.529012345679011</c:v>
                </c:pt>
                <c:pt idx="33">
                  <c:v>18.532839506172838</c:v>
                </c:pt>
                <c:pt idx="34">
                  <c:v>18.532839506172838</c:v>
                </c:pt>
                <c:pt idx="35">
                  <c:v>18.525308641975307</c:v>
                </c:pt>
                <c:pt idx="36">
                  <c:v>18.521481481481484</c:v>
                </c:pt>
                <c:pt idx="37">
                  <c:v>18.521481481481484</c:v>
                </c:pt>
                <c:pt idx="38">
                  <c:v>18.521481481481484</c:v>
                </c:pt>
                <c:pt idx="39">
                  <c:v>18.525308641975307</c:v>
                </c:pt>
                <c:pt idx="40">
                  <c:v>18.521481481481484</c:v>
                </c:pt>
                <c:pt idx="41">
                  <c:v>18.51395061728395</c:v>
                </c:pt>
                <c:pt idx="42">
                  <c:v>18.495185185185186</c:v>
                </c:pt>
                <c:pt idx="43">
                  <c:v>18.502716049382713</c:v>
                </c:pt>
                <c:pt idx="44">
                  <c:v>18.491358024691355</c:v>
                </c:pt>
                <c:pt idx="45">
                  <c:v>18.483827160493824</c:v>
                </c:pt>
                <c:pt idx="46">
                  <c:v>18.480123456790125</c:v>
                </c:pt>
                <c:pt idx="47">
                  <c:v>18.472592592592594</c:v>
                </c:pt>
                <c:pt idx="48">
                  <c:v>18.480123456790125</c:v>
                </c:pt>
                <c:pt idx="49">
                  <c:v>18.480123456790125</c:v>
                </c:pt>
                <c:pt idx="50">
                  <c:v>18.483827160493824</c:v>
                </c:pt>
                <c:pt idx="51">
                  <c:v>18.480123456790125</c:v>
                </c:pt>
                <c:pt idx="52">
                  <c:v>18.476296296296297</c:v>
                </c:pt>
                <c:pt idx="53">
                  <c:v>18.480123456790125</c:v>
                </c:pt>
                <c:pt idx="54">
                  <c:v>18.483827160493824</c:v>
                </c:pt>
                <c:pt idx="55">
                  <c:v>18.483827160493824</c:v>
                </c:pt>
                <c:pt idx="56">
                  <c:v>18.495185185185186</c:v>
                </c:pt>
                <c:pt idx="57">
                  <c:v>18.510246913580243</c:v>
                </c:pt>
                <c:pt idx="58">
                  <c:v>18.506419753086419</c:v>
                </c:pt>
                <c:pt idx="59">
                  <c:v>18.498888888888889</c:v>
                </c:pt>
                <c:pt idx="60">
                  <c:v>18.498888888888889</c:v>
                </c:pt>
                <c:pt idx="61">
                  <c:v>18.483827160493824</c:v>
                </c:pt>
                <c:pt idx="62">
                  <c:v>18.483827160493824</c:v>
                </c:pt>
                <c:pt idx="63">
                  <c:v>18.498888888888889</c:v>
                </c:pt>
                <c:pt idx="64">
                  <c:v>18.498888888888889</c:v>
                </c:pt>
                <c:pt idx="65">
                  <c:v>18.491358024691355</c:v>
                </c:pt>
                <c:pt idx="66">
                  <c:v>18.483827160493824</c:v>
                </c:pt>
                <c:pt idx="67">
                  <c:v>18.487654320987652</c:v>
                </c:pt>
                <c:pt idx="68">
                  <c:v>18.487654320987652</c:v>
                </c:pt>
                <c:pt idx="69">
                  <c:v>18.487654320987652</c:v>
                </c:pt>
                <c:pt idx="70">
                  <c:v>18.498888888888889</c:v>
                </c:pt>
                <c:pt idx="71">
                  <c:v>18.51395061728395</c:v>
                </c:pt>
                <c:pt idx="72">
                  <c:v>18.510246913580243</c:v>
                </c:pt>
                <c:pt idx="73">
                  <c:v>18.502716049382713</c:v>
                </c:pt>
                <c:pt idx="74">
                  <c:v>18.495185185185186</c:v>
                </c:pt>
                <c:pt idx="75">
                  <c:v>18.498888888888889</c:v>
                </c:pt>
                <c:pt idx="76">
                  <c:v>18.502716049382713</c:v>
                </c:pt>
                <c:pt idx="77">
                  <c:v>18.506419753086419</c:v>
                </c:pt>
                <c:pt idx="78">
                  <c:v>18.495185185185186</c:v>
                </c:pt>
                <c:pt idx="79">
                  <c:v>18.498888888888889</c:v>
                </c:pt>
                <c:pt idx="80">
                  <c:v>18.495185185185186</c:v>
                </c:pt>
                <c:pt idx="81">
                  <c:v>18.491358024691355</c:v>
                </c:pt>
                <c:pt idx="82">
                  <c:v>18.487654320987652</c:v>
                </c:pt>
                <c:pt idx="83">
                  <c:v>18.472592592592594</c:v>
                </c:pt>
                <c:pt idx="84">
                  <c:v>18.476296296296297</c:v>
                </c:pt>
                <c:pt idx="85">
                  <c:v>18.483827160493824</c:v>
                </c:pt>
                <c:pt idx="86">
                  <c:v>18.498888888888889</c:v>
                </c:pt>
                <c:pt idx="87">
                  <c:v>18.506419753086419</c:v>
                </c:pt>
                <c:pt idx="88">
                  <c:v>18.510246913580243</c:v>
                </c:pt>
                <c:pt idx="89">
                  <c:v>18.502716049382713</c:v>
                </c:pt>
                <c:pt idx="90">
                  <c:v>18.506419753086419</c:v>
                </c:pt>
                <c:pt idx="91">
                  <c:v>18.502716049382713</c:v>
                </c:pt>
                <c:pt idx="92">
                  <c:v>18.487654320987652</c:v>
                </c:pt>
                <c:pt idx="93">
                  <c:v>18.483827160493824</c:v>
                </c:pt>
                <c:pt idx="94">
                  <c:v>18.476296296296297</c:v>
                </c:pt>
                <c:pt idx="95">
                  <c:v>18.472592592592594</c:v>
                </c:pt>
                <c:pt idx="96">
                  <c:v>18.46506172839506</c:v>
                </c:pt>
                <c:pt idx="97">
                  <c:v>18.45</c:v>
                </c:pt>
                <c:pt idx="98">
                  <c:v>18.442469135802465</c:v>
                </c:pt>
                <c:pt idx="99">
                  <c:v>18.438641975308641</c:v>
                </c:pt>
                <c:pt idx="100">
                  <c:v>18.442469135802465</c:v>
                </c:pt>
                <c:pt idx="101">
                  <c:v>18.461234567901233</c:v>
                </c:pt>
                <c:pt idx="102">
                  <c:v>18.45</c:v>
                </c:pt>
                <c:pt idx="103">
                  <c:v>18.453703703703706</c:v>
                </c:pt>
                <c:pt idx="104">
                  <c:v>18.468765432098763</c:v>
                </c:pt>
                <c:pt idx="105">
                  <c:v>18.472592592592594</c:v>
                </c:pt>
                <c:pt idx="106">
                  <c:v>18.476296296296297</c:v>
                </c:pt>
                <c:pt idx="107">
                  <c:v>18.472592592592594</c:v>
                </c:pt>
                <c:pt idx="108">
                  <c:v>18.46506172839506</c:v>
                </c:pt>
                <c:pt idx="109">
                  <c:v>18.453703703703706</c:v>
                </c:pt>
                <c:pt idx="110">
                  <c:v>18.438641975308641</c:v>
                </c:pt>
                <c:pt idx="111">
                  <c:v>18.434938271604938</c:v>
                </c:pt>
                <c:pt idx="112">
                  <c:v>18.427283950617284</c:v>
                </c:pt>
                <c:pt idx="113">
                  <c:v>18.427283950617284</c:v>
                </c:pt>
                <c:pt idx="114">
                  <c:v>18.427283950617284</c:v>
                </c:pt>
                <c:pt idx="115">
                  <c:v>18.434938271604938</c:v>
                </c:pt>
                <c:pt idx="116">
                  <c:v>18.45</c:v>
                </c:pt>
                <c:pt idx="117">
                  <c:v>18.468765432098763</c:v>
                </c:pt>
                <c:pt idx="118">
                  <c:v>18.468765432098763</c:v>
                </c:pt>
                <c:pt idx="119">
                  <c:v>18.45753086419753</c:v>
                </c:pt>
                <c:pt idx="120">
                  <c:v>18.45</c:v>
                </c:pt>
                <c:pt idx="121">
                  <c:v>18.438641975308641</c:v>
                </c:pt>
                <c:pt idx="122">
                  <c:v>18.446172839506172</c:v>
                </c:pt>
                <c:pt idx="123">
                  <c:v>18.442469135802465</c:v>
                </c:pt>
                <c:pt idx="124">
                  <c:v>18.434938271604938</c:v>
                </c:pt>
                <c:pt idx="125">
                  <c:v>18.438641975308641</c:v>
                </c:pt>
                <c:pt idx="126">
                  <c:v>18.431111111111111</c:v>
                </c:pt>
                <c:pt idx="127">
                  <c:v>18.431111111111111</c:v>
                </c:pt>
                <c:pt idx="128">
                  <c:v>18.431111111111111</c:v>
                </c:pt>
                <c:pt idx="129">
                  <c:v>18.423580246913577</c:v>
                </c:pt>
                <c:pt idx="130">
                  <c:v>18.427283950617284</c:v>
                </c:pt>
                <c:pt idx="131">
                  <c:v>18.434938271604938</c:v>
                </c:pt>
                <c:pt idx="132">
                  <c:v>18.442469135802465</c:v>
                </c:pt>
                <c:pt idx="133">
                  <c:v>18.431111111111111</c:v>
                </c:pt>
                <c:pt idx="134">
                  <c:v>18.423580246913577</c:v>
                </c:pt>
                <c:pt idx="135">
                  <c:v>18.431111111111111</c:v>
                </c:pt>
                <c:pt idx="136">
                  <c:v>18.431111111111111</c:v>
                </c:pt>
                <c:pt idx="137">
                  <c:v>18.446172839506172</c:v>
                </c:pt>
                <c:pt idx="138">
                  <c:v>18.46506172839506</c:v>
                </c:pt>
                <c:pt idx="139">
                  <c:v>18.483827160493824</c:v>
                </c:pt>
                <c:pt idx="140">
                  <c:v>18.483827160493824</c:v>
                </c:pt>
                <c:pt idx="141">
                  <c:v>18.498888888888889</c:v>
                </c:pt>
                <c:pt idx="142">
                  <c:v>18.491358024691355</c:v>
                </c:pt>
                <c:pt idx="143">
                  <c:v>18.498888888888889</c:v>
                </c:pt>
                <c:pt idx="144">
                  <c:v>18.506419753086419</c:v>
                </c:pt>
                <c:pt idx="145">
                  <c:v>18.502716049382713</c:v>
                </c:pt>
                <c:pt idx="146">
                  <c:v>18.498888888888889</c:v>
                </c:pt>
                <c:pt idx="147">
                  <c:v>18.498888888888889</c:v>
                </c:pt>
                <c:pt idx="148">
                  <c:v>18.483827160493824</c:v>
                </c:pt>
                <c:pt idx="149">
                  <c:v>18.480123456790125</c:v>
                </c:pt>
                <c:pt idx="150">
                  <c:v>18.483827160493824</c:v>
                </c:pt>
                <c:pt idx="151">
                  <c:v>18.487654320987652</c:v>
                </c:pt>
                <c:pt idx="152">
                  <c:v>18.487654320987652</c:v>
                </c:pt>
                <c:pt idx="153">
                  <c:v>18.491358024691355</c:v>
                </c:pt>
                <c:pt idx="154">
                  <c:v>18.498888888888889</c:v>
                </c:pt>
                <c:pt idx="155">
                  <c:v>18.51395061728395</c:v>
                </c:pt>
                <c:pt idx="156">
                  <c:v>18.51395061728395</c:v>
                </c:pt>
                <c:pt idx="157">
                  <c:v>18.495185185185186</c:v>
                </c:pt>
                <c:pt idx="158">
                  <c:v>18.468765432098763</c:v>
                </c:pt>
                <c:pt idx="159">
                  <c:v>18.461234567901233</c:v>
                </c:pt>
                <c:pt idx="160">
                  <c:v>18.453703703703706</c:v>
                </c:pt>
                <c:pt idx="161">
                  <c:v>18.45</c:v>
                </c:pt>
                <c:pt idx="162">
                  <c:v>18.45</c:v>
                </c:pt>
                <c:pt idx="163">
                  <c:v>18.45</c:v>
                </c:pt>
                <c:pt idx="164">
                  <c:v>18.45</c:v>
                </c:pt>
                <c:pt idx="165">
                  <c:v>18.453703703703706</c:v>
                </c:pt>
                <c:pt idx="166">
                  <c:v>18.446172839506172</c:v>
                </c:pt>
                <c:pt idx="167">
                  <c:v>18.453703703703706</c:v>
                </c:pt>
                <c:pt idx="168">
                  <c:v>18.480123456790125</c:v>
                </c:pt>
                <c:pt idx="169">
                  <c:v>18.491358024691355</c:v>
                </c:pt>
                <c:pt idx="170">
                  <c:v>18.495185185185186</c:v>
                </c:pt>
                <c:pt idx="171">
                  <c:v>18.502716049382713</c:v>
                </c:pt>
                <c:pt idx="172">
                  <c:v>18.491358024691355</c:v>
                </c:pt>
                <c:pt idx="173">
                  <c:v>18.498888888888889</c:v>
                </c:pt>
                <c:pt idx="174">
                  <c:v>18.491358024691355</c:v>
                </c:pt>
                <c:pt idx="175">
                  <c:v>18.498888888888889</c:v>
                </c:pt>
                <c:pt idx="176">
                  <c:v>18.498888888888889</c:v>
                </c:pt>
                <c:pt idx="177">
                  <c:v>18.498888888888889</c:v>
                </c:pt>
                <c:pt idx="178">
                  <c:v>18.498888888888889</c:v>
                </c:pt>
                <c:pt idx="179">
                  <c:v>18.487654320987652</c:v>
                </c:pt>
                <c:pt idx="180">
                  <c:v>18.487654320987652</c:v>
                </c:pt>
                <c:pt idx="181">
                  <c:v>18.480123456790125</c:v>
                </c:pt>
                <c:pt idx="182">
                  <c:v>18.461234567901233</c:v>
                </c:pt>
                <c:pt idx="183">
                  <c:v>18.453703703703706</c:v>
                </c:pt>
                <c:pt idx="184">
                  <c:v>18.442469135802465</c:v>
                </c:pt>
                <c:pt idx="185">
                  <c:v>18.438641975308641</c:v>
                </c:pt>
                <c:pt idx="186">
                  <c:v>18.431111111111111</c:v>
                </c:pt>
                <c:pt idx="187">
                  <c:v>18.446172839506172</c:v>
                </c:pt>
                <c:pt idx="188">
                  <c:v>18.461234567901233</c:v>
                </c:pt>
                <c:pt idx="189">
                  <c:v>18.472592592592594</c:v>
                </c:pt>
                <c:pt idx="190">
                  <c:v>18.483827160493824</c:v>
                </c:pt>
                <c:pt idx="191">
                  <c:v>18.483827160493824</c:v>
                </c:pt>
                <c:pt idx="192">
                  <c:v>18.483827160493824</c:v>
                </c:pt>
                <c:pt idx="193">
                  <c:v>18.480123456790125</c:v>
                </c:pt>
                <c:pt idx="194">
                  <c:v>18.487654320987652</c:v>
                </c:pt>
                <c:pt idx="195">
                  <c:v>18.461234567901233</c:v>
                </c:pt>
                <c:pt idx="196">
                  <c:v>18.438641975308641</c:v>
                </c:pt>
                <c:pt idx="197">
                  <c:v>18.423580246913577</c:v>
                </c:pt>
                <c:pt idx="198">
                  <c:v>18.416049382716047</c:v>
                </c:pt>
                <c:pt idx="199">
                  <c:v>18.416049382716047</c:v>
                </c:pt>
                <c:pt idx="200">
                  <c:v>18.416049382716047</c:v>
                </c:pt>
                <c:pt idx="201">
                  <c:v>18.400987654320986</c:v>
                </c:pt>
                <c:pt idx="202">
                  <c:v>18.397160493827158</c:v>
                </c:pt>
                <c:pt idx="203">
                  <c:v>18.400987654320986</c:v>
                </c:pt>
                <c:pt idx="204">
                  <c:v>18.404691358024692</c:v>
                </c:pt>
                <c:pt idx="205">
                  <c:v>18.404691358024692</c:v>
                </c:pt>
                <c:pt idx="206">
                  <c:v>18.400987654320986</c:v>
                </c:pt>
                <c:pt idx="207">
                  <c:v>18.397160493827158</c:v>
                </c:pt>
                <c:pt idx="208">
                  <c:v>18.382098765432101</c:v>
                </c:pt>
                <c:pt idx="209">
                  <c:v>18.378395061728394</c:v>
                </c:pt>
                <c:pt idx="210">
                  <c:v>18.389629629629628</c:v>
                </c:pt>
                <c:pt idx="211">
                  <c:v>18.389629629629628</c:v>
                </c:pt>
                <c:pt idx="212">
                  <c:v>18.374567901234567</c:v>
                </c:pt>
                <c:pt idx="213">
                  <c:v>18.363333333333333</c:v>
                </c:pt>
                <c:pt idx="214">
                  <c:v>18.359506172839506</c:v>
                </c:pt>
                <c:pt idx="215">
                  <c:v>18.355802469135799</c:v>
                </c:pt>
                <c:pt idx="216">
                  <c:v>18.367037037037036</c:v>
                </c:pt>
                <c:pt idx="217">
                  <c:v>18.367037037037036</c:v>
                </c:pt>
                <c:pt idx="218">
                  <c:v>18.374567901234567</c:v>
                </c:pt>
                <c:pt idx="219">
                  <c:v>18.378395061728394</c:v>
                </c:pt>
                <c:pt idx="220">
                  <c:v>18.370864197530864</c:v>
                </c:pt>
                <c:pt idx="221">
                  <c:v>18.382098765432101</c:v>
                </c:pt>
                <c:pt idx="222">
                  <c:v>18.382098765432101</c:v>
                </c:pt>
                <c:pt idx="223">
                  <c:v>18.389629629629628</c:v>
                </c:pt>
                <c:pt idx="224">
                  <c:v>18.382098765432101</c:v>
                </c:pt>
                <c:pt idx="225">
                  <c:v>18.389629629629628</c:v>
                </c:pt>
                <c:pt idx="226">
                  <c:v>18.397160493827158</c:v>
                </c:pt>
                <c:pt idx="227">
                  <c:v>18.385925925925928</c:v>
                </c:pt>
                <c:pt idx="228">
                  <c:v>18.382098765432101</c:v>
                </c:pt>
                <c:pt idx="229">
                  <c:v>18.363333333333333</c:v>
                </c:pt>
                <c:pt idx="230">
                  <c:v>18.351975308641972</c:v>
                </c:pt>
                <c:pt idx="231">
                  <c:v>18.344444444444445</c:v>
                </c:pt>
                <c:pt idx="232">
                  <c:v>18.351975308641972</c:v>
                </c:pt>
                <c:pt idx="233">
                  <c:v>18.351975308641972</c:v>
                </c:pt>
                <c:pt idx="234">
                  <c:v>18.336913580246915</c:v>
                </c:pt>
                <c:pt idx="235">
                  <c:v>18.325679012345677</c:v>
                </c:pt>
                <c:pt idx="236">
                  <c:v>18.329382716049381</c:v>
                </c:pt>
                <c:pt idx="237">
                  <c:v>18.333209876543208</c:v>
                </c:pt>
                <c:pt idx="238">
                  <c:v>18.336913580246915</c:v>
                </c:pt>
                <c:pt idx="239">
                  <c:v>18.329382716049381</c:v>
                </c:pt>
                <c:pt idx="240">
                  <c:v>18.329382716049381</c:v>
                </c:pt>
                <c:pt idx="241">
                  <c:v>18.325679012345677</c:v>
                </c:pt>
                <c:pt idx="242">
                  <c:v>18.32185185185185</c:v>
                </c:pt>
                <c:pt idx="243">
                  <c:v>18.318024691358023</c:v>
                </c:pt>
                <c:pt idx="244">
                  <c:v>18.306790123456789</c:v>
                </c:pt>
                <c:pt idx="245">
                  <c:v>18.295432098765431</c:v>
                </c:pt>
                <c:pt idx="246">
                  <c:v>18.284197530864198</c:v>
                </c:pt>
                <c:pt idx="247">
                  <c:v>18.27283950617284</c:v>
                </c:pt>
                <c:pt idx="248">
                  <c:v>18.250246913580245</c:v>
                </c:pt>
                <c:pt idx="249">
                  <c:v>18.239012345679011</c:v>
                </c:pt>
                <c:pt idx="250">
                  <c:v>18.235185185185184</c:v>
                </c:pt>
                <c:pt idx="251">
                  <c:v>18.231481481481481</c:v>
                </c:pt>
                <c:pt idx="252">
                  <c:v>18.227654320987654</c:v>
                </c:pt>
                <c:pt idx="253">
                  <c:v>18.227654320987654</c:v>
                </c:pt>
                <c:pt idx="254">
                  <c:v>18.22395061728395</c:v>
                </c:pt>
                <c:pt idx="255">
                  <c:v>18.216296296296292</c:v>
                </c:pt>
                <c:pt idx="256">
                  <c:v>18.208765432098765</c:v>
                </c:pt>
                <c:pt idx="257">
                  <c:v>18.201234567901235</c:v>
                </c:pt>
                <c:pt idx="258">
                  <c:v>18.197530864197528</c:v>
                </c:pt>
                <c:pt idx="259">
                  <c:v>18.174938271604937</c:v>
                </c:pt>
                <c:pt idx="260">
                  <c:v>18.159876543209876</c:v>
                </c:pt>
                <c:pt idx="261">
                  <c:v>18.148518518518514</c:v>
                </c:pt>
                <c:pt idx="262">
                  <c:v>18.133456790123457</c:v>
                </c:pt>
                <c:pt idx="263">
                  <c:v>18.12222222222222</c:v>
                </c:pt>
                <c:pt idx="264">
                  <c:v>18.11469135802469</c:v>
                </c:pt>
                <c:pt idx="265">
                  <c:v>18.110864197530866</c:v>
                </c:pt>
                <c:pt idx="266">
                  <c:v>18.099506172839504</c:v>
                </c:pt>
                <c:pt idx="267">
                  <c:v>18.095802469135801</c:v>
                </c:pt>
                <c:pt idx="268">
                  <c:v>18.095802469135801</c:v>
                </c:pt>
                <c:pt idx="269">
                  <c:v>18.091975308641977</c:v>
                </c:pt>
                <c:pt idx="270">
                  <c:v>18.080740740740737</c:v>
                </c:pt>
                <c:pt idx="271">
                  <c:v>18.07320987654321</c:v>
                </c:pt>
                <c:pt idx="272">
                  <c:v>18.058148148148145</c:v>
                </c:pt>
                <c:pt idx="273">
                  <c:v>18.035555555555554</c:v>
                </c:pt>
                <c:pt idx="274">
                  <c:v>18.020493827160493</c:v>
                </c:pt>
                <c:pt idx="275">
                  <c:v>18.001604938271605</c:v>
                </c:pt>
                <c:pt idx="276">
                  <c:v>17.979012345679013</c:v>
                </c:pt>
                <c:pt idx="277">
                  <c:v>17.956419753086422</c:v>
                </c:pt>
                <c:pt idx="278">
                  <c:v>17.93753086419753</c:v>
                </c:pt>
                <c:pt idx="279">
                  <c:v>17.922469135802466</c:v>
                </c:pt>
                <c:pt idx="280">
                  <c:v>17.911234567901232</c:v>
                </c:pt>
                <c:pt idx="281">
                  <c:v>17.903703703703702</c:v>
                </c:pt>
                <c:pt idx="282">
                  <c:v>17.880987654320986</c:v>
                </c:pt>
                <c:pt idx="283">
                  <c:v>17.873456790123456</c:v>
                </c:pt>
                <c:pt idx="284">
                  <c:v>17.873456790123456</c:v>
                </c:pt>
                <c:pt idx="285">
                  <c:v>17.873456790123456</c:v>
                </c:pt>
                <c:pt idx="286">
                  <c:v>17.865925925925925</c:v>
                </c:pt>
                <c:pt idx="287">
                  <c:v>17.847160493827161</c:v>
                </c:pt>
                <c:pt idx="288">
                  <c:v>17.820740740740739</c:v>
                </c:pt>
                <c:pt idx="289">
                  <c:v>17.798148148148147</c:v>
                </c:pt>
                <c:pt idx="290">
                  <c:v>17.783086419753086</c:v>
                </c:pt>
                <c:pt idx="291">
                  <c:v>17.771728395061729</c:v>
                </c:pt>
                <c:pt idx="292">
                  <c:v>17.749135802469137</c:v>
                </c:pt>
                <c:pt idx="293">
                  <c:v>17.7379012345679</c:v>
                </c:pt>
                <c:pt idx="294">
                  <c:v>17.726543209876542</c:v>
                </c:pt>
                <c:pt idx="295">
                  <c:v>17.707777777777778</c:v>
                </c:pt>
                <c:pt idx="296">
                  <c:v>17.677530864197529</c:v>
                </c:pt>
                <c:pt idx="297">
                  <c:v>17.643703703703704</c:v>
                </c:pt>
                <c:pt idx="298">
                  <c:v>17.624814814814812</c:v>
                </c:pt>
                <c:pt idx="299">
                  <c:v>17.590987654320987</c:v>
                </c:pt>
                <c:pt idx="300">
                  <c:v>17.575925925925926</c:v>
                </c:pt>
                <c:pt idx="301">
                  <c:v>17.564567901234565</c:v>
                </c:pt>
                <c:pt idx="302">
                  <c:v>17.541975308641973</c:v>
                </c:pt>
                <c:pt idx="303">
                  <c:v>17.519382716049382</c:v>
                </c:pt>
                <c:pt idx="304">
                  <c:v>17.485432098765433</c:v>
                </c:pt>
                <c:pt idx="305">
                  <c:v>17.455308641975307</c:v>
                </c:pt>
                <c:pt idx="306">
                  <c:v>17.421358024691358</c:v>
                </c:pt>
                <c:pt idx="307">
                  <c:v>17.383703703703702</c:v>
                </c:pt>
                <c:pt idx="308">
                  <c:v>17.338518518518516</c:v>
                </c:pt>
                <c:pt idx="309">
                  <c:v>17.308395061728394</c:v>
                </c:pt>
                <c:pt idx="310">
                  <c:v>17.278271604938272</c:v>
                </c:pt>
                <c:pt idx="311">
                  <c:v>17.248024691358022</c:v>
                </c:pt>
                <c:pt idx="312">
                  <c:v>17.21037037037037</c:v>
                </c:pt>
                <c:pt idx="313">
                  <c:v>17.169012345679011</c:v>
                </c:pt>
                <c:pt idx="314">
                  <c:v>17.135061728395058</c:v>
                </c:pt>
                <c:pt idx="315">
                  <c:v>17.09740740740741</c:v>
                </c:pt>
                <c:pt idx="316">
                  <c:v>17.048395061728392</c:v>
                </c:pt>
                <c:pt idx="317">
                  <c:v>17.006913580246916</c:v>
                </c:pt>
                <c:pt idx="318">
                  <c:v>16.969259259259257</c:v>
                </c:pt>
                <c:pt idx="319">
                  <c:v>16.939135802469135</c:v>
                </c:pt>
                <c:pt idx="320">
                  <c:v>16.886419753086418</c:v>
                </c:pt>
                <c:pt idx="321">
                  <c:v>16.833703703703701</c:v>
                </c:pt>
                <c:pt idx="322">
                  <c:v>16.777160493827161</c:v>
                </c:pt>
                <c:pt idx="323">
                  <c:v>16.72444444444444</c:v>
                </c:pt>
                <c:pt idx="324">
                  <c:v>16.667901234567903</c:v>
                </c:pt>
                <c:pt idx="325">
                  <c:v>16.603827160493829</c:v>
                </c:pt>
                <c:pt idx="326">
                  <c:v>16.551111111111108</c:v>
                </c:pt>
                <c:pt idx="327">
                  <c:v>16.494567901234568</c:v>
                </c:pt>
                <c:pt idx="328">
                  <c:v>16.434320987654321</c:v>
                </c:pt>
                <c:pt idx="329">
                  <c:v>16.373950617283949</c:v>
                </c:pt>
                <c:pt idx="330">
                  <c:v>16.306172839506171</c:v>
                </c:pt>
                <c:pt idx="331">
                  <c:v>16.230864197530863</c:v>
                </c:pt>
                <c:pt idx="332">
                  <c:v>16.151728395061728</c:v>
                </c:pt>
                <c:pt idx="333">
                  <c:v>16.076419753086416</c:v>
                </c:pt>
                <c:pt idx="334">
                  <c:v>15.989753086419752</c:v>
                </c:pt>
                <c:pt idx="335">
                  <c:v>15.895555555555555</c:v>
                </c:pt>
                <c:pt idx="336">
                  <c:v>15.812592592592594</c:v>
                </c:pt>
                <c:pt idx="337">
                  <c:v>15.714691358024689</c:v>
                </c:pt>
                <c:pt idx="338">
                  <c:v>15.628024691358023</c:v>
                </c:pt>
                <c:pt idx="339">
                  <c:v>15.53753086419753</c:v>
                </c:pt>
                <c:pt idx="340">
                  <c:v>15.432098765432098</c:v>
                </c:pt>
                <c:pt idx="341">
                  <c:v>15.315308641975308</c:v>
                </c:pt>
                <c:pt idx="342">
                  <c:v>15.198518518518517</c:v>
                </c:pt>
                <c:pt idx="343">
                  <c:v>15.066666666666666</c:v>
                </c:pt>
                <c:pt idx="344">
                  <c:v>14.930987654320987</c:v>
                </c:pt>
                <c:pt idx="345">
                  <c:v>14.784074074074075</c:v>
                </c:pt>
                <c:pt idx="346">
                  <c:v>14.63716049382716</c:v>
                </c:pt>
                <c:pt idx="347">
                  <c:v>14.478888888888887</c:v>
                </c:pt>
                <c:pt idx="348">
                  <c:v>14.324444444444444</c:v>
                </c:pt>
                <c:pt idx="349">
                  <c:v>14.143580246913581</c:v>
                </c:pt>
                <c:pt idx="350">
                  <c:v>13.970246913580247</c:v>
                </c:pt>
                <c:pt idx="351">
                  <c:v>13.770617283950616</c:v>
                </c:pt>
                <c:pt idx="352">
                  <c:v>13.56716049382716</c:v>
                </c:pt>
                <c:pt idx="353">
                  <c:v>13.337283950617284</c:v>
                </c:pt>
                <c:pt idx="354">
                  <c:v>13.118765432098765</c:v>
                </c:pt>
                <c:pt idx="355">
                  <c:v>12.862592592592591</c:v>
                </c:pt>
                <c:pt idx="356">
                  <c:v>12.606419753086419</c:v>
                </c:pt>
                <c:pt idx="357">
                  <c:v>12.316296296296294</c:v>
                </c:pt>
                <c:pt idx="358">
                  <c:v>12.014888888888889</c:v>
                </c:pt>
                <c:pt idx="359">
                  <c:v>11.679567901234568</c:v>
                </c:pt>
                <c:pt idx="360">
                  <c:v>11.340481481481479</c:v>
                </c:pt>
                <c:pt idx="361">
                  <c:v>10.959950617283949</c:v>
                </c:pt>
                <c:pt idx="362">
                  <c:v>10.590728395061728</c:v>
                </c:pt>
                <c:pt idx="363">
                  <c:v>10.17253086419753</c:v>
                </c:pt>
                <c:pt idx="364">
                  <c:v>9.7279506172839501</c:v>
                </c:pt>
                <c:pt idx="365">
                  <c:v>9.2343950617283941</c:v>
                </c:pt>
                <c:pt idx="366">
                  <c:v>8.7069259259259244</c:v>
                </c:pt>
                <c:pt idx="367">
                  <c:v>8.1342592592592595</c:v>
                </c:pt>
                <c:pt idx="368">
                  <c:v>7.5163703703703693</c:v>
                </c:pt>
                <c:pt idx="369">
                  <c:v>6.8457283950617276</c:v>
                </c:pt>
                <c:pt idx="370">
                  <c:v>6.1182098765432098</c:v>
                </c:pt>
                <c:pt idx="371">
                  <c:v>5.3062962962962956</c:v>
                </c:pt>
                <c:pt idx="372">
                  <c:v>4.4209012345679009</c:v>
                </c:pt>
                <c:pt idx="373">
                  <c:v>3.4322839506172835</c:v>
                </c:pt>
                <c:pt idx="374">
                  <c:v>2.342320987654321</c:v>
                </c:pt>
                <c:pt idx="375">
                  <c:v>1.1348012345679013</c:v>
                </c:pt>
                <c:pt idx="376">
                  <c:v>-0.19098024691358023</c:v>
                </c:pt>
                <c:pt idx="377">
                  <c:v>-1.6125308641975309</c:v>
                </c:pt>
                <c:pt idx="378">
                  <c:v>-3.1361481481481479</c:v>
                </c:pt>
                <c:pt idx="379">
                  <c:v>-4.7618765432098762</c:v>
                </c:pt>
                <c:pt idx="380">
                  <c:v>-6.4501358024691351</c:v>
                </c:pt>
                <c:pt idx="381">
                  <c:v>-8.2246790123456783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7424"/>
        <c:axId val="46008960"/>
      </c:scatterChart>
      <c:valAx>
        <c:axId val="4600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008960"/>
        <c:crosses val="autoZero"/>
        <c:crossBetween val="midCat"/>
      </c:valAx>
      <c:valAx>
        <c:axId val="4600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007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'20221210T210000'!$AD$10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'20221210T210000'!$Y$11:$Y$500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'20221210T210000'!$AD$11:$AD$500</c:f>
              <c:numCache>
                <c:formatCode>General</c:formatCode>
                <c:ptCount val="490"/>
                <c:pt idx="0">
                  <c:v>-6.5405555555555548</c:v>
                </c:pt>
                <c:pt idx="1">
                  <c:v>-4.6914197530864197</c:v>
                </c:pt>
                <c:pt idx="2">
                  <c:v>-2.908962962962963</c:v>
                </c:pt>
                <c:pt idx="3">
                  <c:v>-1.2964320987654319</c:v>
                </c:pt>
                <c:pt idx="4">
                  <c:v>0.23302592592592589</c:v>
                </c:pt>
                <c:pt idx="5">
                  <c:v>1.6132839506172838</c:v>
                </c:pt>
                <c:pt idx="6">
                  <c:v>2.8641358024691352</c:v>
                </c:pt>
                <c:pt idx="7">
                  <c:v>3.9782098765432092</c:v>
                </c:pt>
                <c:pt idx="8">
                  <c:v>4.9947160493827152</c:v>
                </c:pt>
                <c:pt idx="9">
                  <c:v>5.8895185185185186</c:v>
                </c:pt>
                <c:pt idx="10">
                  <c:v>6.7214074074074066</c:v>
                </c:pt>
                <c:pt idx="11">
                  <c:v>7.4673827160493822</c:v>
                </c:pt>
                <c:pt idx="12">
                  <c:v>8.1455555555555552</c:v>
                </c:pt>
                <c:pt idx="13">
                  <c:v>8.7596790123456802</c:v>
                </c:pt>
                <c:pt idx="14">
                  <c:v>9.3210493827160494</c:v>
                </c:pt>
                <c:pt idx="15">
                  <c:v>9.8372098765432092</c:v>
                </c:pt>
                <c:pt idx="16">
                  <c:v>10.327</c:v>
                </c:pt>
                <c:pt idx="17">
                  <c:v>10.760271604938271</c:v>
                </c:pt>
                <c:pt idx="18">
                  <c:v>11.174703703703704</c:v>
                </c:pt>
                <c:pt idx="19">
                  <c:v>11.566543209876542</c:v>
                </c:pt>
                <c:pt idx="20">
                  <c:v>11.928234567901232</c:v>
                </c:pt>
                <c:pt idx="21">
                  <c:v>12.240938271604936</c:v>
                </c:pt>
                <c:pt idx="22">
                  <c:v>12.542345679012344</c:v>
                </c:pt>
                <c:pt idx="23">
                  <c:v>12.82111111111111</c:v>
                </c:pt>
                <c:pt idx="24">
                  <c:v>13.084938271604937</c:v>
                </c:pt>
                <c:pt idx="25">
                  <c:v>13.329753086419753</c:v>
                </c:pt>
                <c:pt idx="26">
                  <c:v>13.56716049382716</c:v>
                </c:pt>
                <c:pt idx="27">
                  <c:v>13.793209876543209</c:v>
                </c:pt>
                <c:pt idx="28">
                  <c:v>13.996666666666666</c:v>
                </c:pt>
                <c:pt idx="29">
                  <c:v>14.185061728395063</c:v>
                </c:pt>
                <c:pt idx="30">
                  <c:v>14.35827160493827</c:v>
                </c:pt>
                <c:pt idx="31">
                  <c:v>14.531604938271604</c:v>
                </c:pt>
                <c:pt idx="32">
                  <c:v>14.701234567901233</c:v>
                </c:pt>
                <c:pt idx="33">
                  <c:v>14.85938271604938</c:v>
                </c:pt>
                <c:pt idx="34">
                  <c:v>15.006419753086417</c:v>
                </c:pt>
                <c:pt idx="35">
                  <c:v>15.138271604938272</c:v>
                </c:pt>
                <c:pt idx="36">
                  <c:v>15.273827160493827</c:v>
                </c:pt>
                <c:pt idx="37">
                  <c:v>15.401975308641974</c:v>
                </c:pt>
                <c:pt idx="38">
                  <c:v>15.522469135802467</c:v>
                </c:pt>
                <c:pt idx="39">
                  <c:v>15.635555555555555</c:v>
                </c:pt>
                <c:pt idx="40">
                  <c:v>15.752345679012343</c:v>
                </c:pt>
                <c:pt idx="41">
                  <c:v>15.850246913580245</c:v>
                </c:pt>
                <c:pt idx="42">
                  <c:v>15.933209876543209</c:v>
                </c:pt>
                <c:pt idx="43">
                  <c:v>16.019876543209875</c:v>
                </c:pt>
                <c:pt idx="44">
                  <c:v>16.102716049382714</c:v>
                </c:pt>
                <c:pt idx="45">
                  <c:v>16.18938271604938</c:v>
                </c:pt>
                <c:pt idx="46">
                  <c:v>16.272222222222219</c:v>
                </c:pt>
                <c:pt idx="47">
                  <c:v>16.355185185185185</c:v>
                </c:pt>
                <c:pt idx="48">
                  <c:v>16.438024691358024</c:v>
                </c:pt>
                <c:pt idx="49">
                  <c:v>16.513456790123456</c:v>
                </c:pt>
                <c:pt idx="50">
                  <c:v>16.584938271604937</c:v>
                </c:pt>
                <c:pt idx="51">
                  <c:v>16.660370370370369</c:v>
                </c:pt>
                <c:pt idx="52">
                  <c:v>16.72444444444444</c:v>
                </c:pt>
                <c:pt idx="53">
                  <c:v>16.784691358024691</c:v>
                </c:pt>
                <c:pt idx="54">
                  <c:v>16.829876543209878</c:v>
                </c:pt>
                <c:pt idx="55">
                  <c:v>16.871358024691357</c:v>
                </c:pt>
                <c:pt idx="56">
                  <c:v>16.920246913580247</c:v>
                </c:pt>
                <c:pt idx="57">
                  <c:v>16.965555555555554</c:v>
                </c:pt>
                <c:pt idx="58">
                  <c:v>17.025802469135801</c:v>
                </c:pt>
                <c:pt idx="59">
                  <c:v>17.089876543209876</c:v>
                </c:pt>
                <c:pt idx="60">
                  <c:v>17.142592592592592</c:v>
                </c:pt>
                <c:pt idx="61">
                  <c:v>17.195308641975309</c:v>
                </c:pt>
                <c:pt idx="62">
                  <c:v>17.244320987654319</c:v>
                </c:pt>
                <c:pt idx="63">
                  <c:v>17.285802469135803</c:v>
                </c:pt>
                <c:pt idx="64">
                  <c:v>17.319629629629631</c:v>
                </c:pt>
                <c:pt idx="65">
                  <c:v>17.357283950617283</c:v>
                </c:pt>
                <c:pt idx="66">
                  <c:v>17.387530864197529</c:v>
                </c:pt>
                <c:pt idx="67">
                  <c:v>17.417654320987655</c:v>
                </c:pt>
                <c:pt idx="68">
                  <c:v>17.45148148148148</c:v>
                </c:pt>
                <c:pt idx="69">
                  <c:v>17.477901234567902</c:v>
                </c:pt>
                <c:pt idx="70">
                  <c:v>17.511851851851851</c:v>
                </c:pt>
                <c:pt idx="71">
                  <c:v>17.541975308641973</c:v>
                </c:pt>
                <c:pt idx="72">
                  <c:v>17.579629629629629</c:v>
                </c:pt>
                <c:pt idx="73">
                  <c:v>17.621111111111112</c:v>
                </c:pt>
                <c:pt idx="74">
                  <c:v>17.658765432098765</c:v>
                </c:pt>
                <c:pt idx="75">
                  <c:v>17.692716049382714</c:v>
                </c:pt>
                <c:pt idx="76">
                  <c:v>17.719012345679008</c:v>
                </c:pt>
                <c:pt idx="77">
                  <c:v>17.745432098765431</c:v>
                </c:pt>
                <c:pt idx="78">
                  <c:v>17.764197530864198</c:v>
                </c:pt>
                <c:pt idx="79">
                  <c:v>17.779259259259259</c:v>
                </c:pt>
                <c:pt idx="80">
                  <c:v>17.809506172839505</c:v>
                </c:pt>
                <c:pt idx="81">
                  <c:v>17.824567901234566</c:v>
                </c:pt>
                <c:pt idx="82">
                  <c:v>17.850864197530864</c:v>
                </c:pt>
                <c:pt idx="83">
                  <c:v>17.873456790123456</c:v>
                </c:pt>
                <c:pt idx="84">
                  <c:v>17.888518518518516</c:v>
                </c:pt>
                <c:pt idx="85">
                  <c:v>17.896049382716047</c:v>
                </c:pt>
                <c:pt idx="86">
                  <c:v>17.907407407407408</c:v>
                </c:pt>
                <c:pt idx="87">
                  <c:v>17.926296296296293</c:v>
                </c:pt>
                <c:pt idx="88">
                  <c:v>17.93753086419753</c:v>
                </c:pt>
                <c:pt idx="89">
                  <c:v>17.948888888888888</c:v>
                </c:pt>
                <c:pt idx="90">
                  <c:v>17.960123456790122</c:v>
                </c:pt>
                <c:pt idx="91">
                  <c:v>17.975185185185186</c:v>
                </c:pt>
                <c:pt idx="92">
                  <c:v>17.997777777777777</c:v>
                </c:pt>
                <c:pt idx="93">
                  <c:v>18.016666666666666</c:v>
                </c:pt>
                <c:pt idx="94">
                  <c:v>18.043086419753088</c:v>
                </c:pt>
                <c:pt idx="95">
                  <c:v>18.058148148148145</c:v>
                </c:pt>
                <c:pt idx="96">
                  <c:v>18.061851851851848</c:v>
                </c:pt>
                <c:pt idx="97">
                  <c:v>18.065679012345679</c:v>
                </c:pt>
                <c:pt idx="98">
                  <c:v>18.080740740740737</c:v>
                </c:pt>
                <c:pt idx="99">
                  <c:v>18.080740740740737</c:v>
                </c:pt>
                <c:pt idx="100">
                  <c:v>18.095802469135801</c:v>
                </c:pt>
                <c:pt idx="101">
                  <c:v>18.107037037037035</c:v>
                </c:pt>
                <c:pt idx="102">
                  <c:v>18.11469135802469</c:v>
                </c:pt>
                <c:pt idx="103">
                  <c:v>18.137283950617284</c:v>
                </c:pt>
                <c:pt idx="104">
                  <c:v>18.159876543209876</c:v>
                </c:pt>
                <c:pt idx="105">
                  <c:v>18.171111111111109</c:v>
                </c:pt>
                <c:pt idx="106">
                  <c:v>18.174938271604937</c:v>
                </c:pt>
                <c:pt idx="107">
                  <c:v>18.178641975308643</c:v>
                </c:pt>
                <c:pt idx="108">
                  <c:v>18.182469135802467</c:v>
                </c:pt>
                <c:pt idx="109">
                  <c:v>18.178641975308643</c:v>
                </c:pt>
                <c:pt idx="110">
                  <c:v>18.182469135802467</c:v>
                </c:pt>
                <c:pt idx="111">
                  <c:v>18.193703703703704</c:v>
                </c:pt>
                <c:pt idx="112">
                  <c:v>18.201234567901235</c:v>
                </c:pt>
                <c:pt idx="113">
                  <c:v>18.208765432098765</c:v>
                </c:pt>
                <c:pt idx="114">
                  <c:v>18.212592592592593</c:v>
                </c:pt>
                <c:pt idx="115">
                  <c:v>18.22012345679012</c:v>
                </c:pt>
                <c:pt idx="116">
                  <c:v>18.239012345679011</c:v>
                </c:pt>
                <c:pt idx="117">
                  <c:v>18.242716049382715</c:v>
                </c:pt>
                <c:pt idx="118">
                  <c:v>18.239012345679011</c:v>
                </c:pt>
                <c:pt idx="119">
                  <c:v>18.231481481481481</c:v>
                </c:pt>
                <c:pt idx="120">
                  <c:v>18.227654320987654</c:v>
                </c:pt>
                <c:pt idx="121">
                  <c:v>18.239012345679011</c:v>
                </c:pt>
                <c:pt idx="122">
                  <c:v>18.254074074074072</c:v>
                </c:pt>
                <c:pt idx="123">
                  <c:v>18.254074074074072</c:v>
                </c:pt>
                <c:pt idx="124">
                  <c:v>18.250246913580245</c:v>
                </c:pt>
                <c:pt idx="125">
                  <c:v>18.261604938271603</c:v>
                </c:pt>
                <c:pt idx="126">
                  <c:v>18.269135802469137</c:v>
                </c:pt>
                <c:pt idx="127">
                  <c:v>18.27283950617284</c:v>
                </c:pt>
                <c:pt idx="128">
                  <c:v>18.284197530864198</c:v>
                </c:pt>
                <c:pt idx="129">
                  <c:v>18.28037037037037</c:v>
                </c:pt>
                <c:pt idx="130">
                  <c:v>18.284197530864198</c:v>
                </c:pt>
                <c:pt idx="131">
                  <c:v>18.276666666666667</c:v>
                </c:pt>
                <c:pt idx="132">
                  <c:v>18.291728395061728</c:v>
                </c:pt>
                <c:pt idx="133">
                  <c:v>18.299259259259259</c:v>
                </c:pt>
                <c:pt idx="134">
                  <c:v>18.295432098765431</c:v>
                </c:pt>
                <c:pt idx="135">
                  <c:v>18.302962962962962</c:v>
                </c:pt>
                <c:pt idx="136">
                  <c:v>18.306790123456789</c:v>
                </c:pt>
                <c:pt idx="137">
                  <c:v>18.32185185185185</c:v>
                </c:pt>
                <c:pt idx="138">
                  <c:v>18.336913580246915</c:v>
                </c:pt>
                <c:pt idx="139">
                  <c:v>18.351975308641972</c:v>
                </c:pt>
                <c:pt idx="140">
                  <c:v>18.355802469135799</c:v>
                </c:pt>
                <c:pt idx="141">
                  <c:v>18.351975308641972</c:v>
                </c:pt>
                <c:pt idx="142">
                  <c:v>18.363333333333333</c:v>
                </c:pt>
                <c:pt idx="143">
                  <c:v>18.359506172839506</c:v>
                </c:pt>
                <c:pt idx="144">
                  <c:v>18.359506172839506</c:v>
                </c:pt>
                <c:pt idx="145">
                  <c:v>18.367037037037036</c:v>
                </c:pt>
                <c:pt idx="146">
                  <c:v>18.378395061728394</c:v>
                </c:pt>
                <c:pt idx="147">
                  <c:v>18.382098765432101</c:v>
                </c:pt>
                <c:pt idx="148">
                  <c:v>18.382098765432101</c:v>
                </c:pt>
                <c:pt idx="149">
                  <c:v>18.385925925925928</c:v>
                </c:pt>
                <c:pt idx="150">
                  <c:v>18.397160493827158</c:v>
                </c:pt>
                <c:pt idx="151">
                  <c:v>18.404691358024692</c:v>
                </c:pt>
                <c:pt idx="152">
                  <c:v>18.404691358024692</c:v>
                </c:pt>
                <c:pt idx="153">
                  <c:v>18.408518518518516</c:v>
                </c:pt>
                <c:pt idx="154">
                  <c:v>18.416049382716047</c:v>
                </c:pt>
                <c:pt idx="155">
                  <c:v>18.41975308641975</c:v>
                </c:pt>
                <c:pt idx="156">
                  <c:v>18.416049382716047</c:v>
                </c:pt>
                <c:pt idx="157">
                  <c:v>18.416049382716047</c:v>
                </c:pt>
                <c:pt idx="158">
                  <c:v>18.412222222222223</c:v>
                </c:pt>
                <c:pt idx="159">
                  <c:v>18.412222222222223</c:v>
                </c:pt>
                <c:pt idx="160">
                  <c:v>18.412222222222223</c:v>
                </c:pt>
                <c:pt idx="161">
                  <c:v>18.404691358024692</c:v>
                </c:pt>
                <c:pt idx="162">
                  <c:v>18.416049382716047</c:v>
                </c:pt>
                <c:pt idx="163">
                  <c:v>18.427283950617284</c:v>
                </c:pt>
                <c:pt idx="164">
                  <c:v>18.442469135802465</c:v>
                </c:pt>
                <c:pt idx="165">
                  <c:v>18.442469135802465</c:v>
                </c:pt>
                <c:pt idx="166">
                  <c:v>18.438641975308641</c:v>
                </c:pt>
                <c:pt idx="167">
                  <c:v>18.434938271604938</c:v>
                </c:pt>
                <c:pt idx="168">
                  <c:v>18.442469135802465</c:v>
                </c:pt>
                <c:pt idx="169">
                  <c:v>18.45</c:v>
                </c:pt>
                <c:pt idx="170">
                  <c:v>18.438641975308641</c:v>
                </c:pt>
                <c:pt idx="171">
                  <c:v>18.431111111111111</c:v>
                </c:pt>
                <c:pt idx="172">
                  <c:v>18.423580246913577</c:v>
                </c:pt>
                <c:pt idx="173">
                  <c:v>18.431111111111111</c:v>
                </c:pt>
                <c:pt idx="174">
                  <c:v>18.442469135802465</c:v>
                </c:pt>
                <c:pt idx="175">
                  <c:v>18.45</c:v>
                </c:pt>
                <c:pt idx="176">
                  <c:v>18.46506172839506</c:v>
                </c:pt>
                <c:pt idx="177">
                  <c:v>18.476296296296297</c:v>
                </c:pt>
                <c:pt idx="178">
                  <c:v>18.506419753086419</c:v>
                </c:pt>
                <c:pt idx="179">
                  <c:v>18.525308641975307</c:v>
                </c:pt>
                <c:pt idx="180">
                  <c:v>18.532839506172838</c:v>
                </c:pt>
                <c:pt idx="181">
                  <c:v>18.517777777777777</c:v>
                </c:pt>
                <c:pt idx="182">
                  <c:v>18.506419753086419</c:v>
                </c:pt>
                <c:pt idx="183">
                  <c:v>18.510246913580243</c:v>
                </c:pt>
                <c:pt idx="184">
                  <c:v>18.521481481481484</c:v>
                </c:pt>
                <c:pt idx="185">
                  <c:v>18.540370370370372</c:v>
                </c:pt>
                <c:pt idx="186">
                  <c:v>18.547901234567902</c:v>
                </c:pt>
                <c:pt idx="187">
                  <c:v>18.555432098765429</c:v>
                </c:pt>
                <c:pt idx="188">
                  <c:v>18.559259259259257</c:v>
                </c:pt>
                <c:pt idx="189">
                  <c:v>18.551728395061726</c:v>
                </c:pt>
                <c:pt idx="190">
                  <c:v>18.544197530864199</c:v>
                </c:pt>
                <c:pt idx="191">
                  <c:v>18.532839506172838</c:v>
                </c:pt>
                <c:pt idx="192">
                  <c:v>18.51395061728395</c:v>
                </c:pt>
                <c:pt idx="193">
                  <c:v>18.498888888888889</c:v>
                </c:pt>
                <c:pt idx="194">
                  <c:v>18.487654320987652</c:v>
                </c:pt>
                <c:pt idx="195">
                  <c:v>18.487654320987652</c:v>
                </c:pt>
                <c:pt idx="196">
                  <c:v>18.498888888888889</c:v>
                </c:pt>
                <c:pt idx="197">
                  <c:v>18.498888888888889</c:v>
                </c:pt>
                <c:pt idx="198">
                  <c:v>18.487654320987652</c:v>
                </c:pt>
                <c:pt idx="199">
                  <c:v>18.483827160493824</c:v>
                </c:pt>
                <c:pt idx="200">
                  <c:v>18.476296296296297</c:v>
                </c:pt>
                <c:pt idx="201">
                  <c:v>18.45753086419753</c:v>
                </c:pt>
                <c:pt idx="202">
                  <c:v>18.472592592592594</c:v>
                </c:pt>
                <c:pt idx="203">
                  <c:v>18.472592592592594</c:v>
                </c:pt>
                <c:pt idx="204">
                  <c:v>18.476296296296297</c:v>
                </c:pt>
                <c:pt idx="205">
                  <c:v>18.480123456790125</c:v>
                </c:pt>
                <c:pt idx="206">
                  <c:v>18.480123456790125</c:v>
                </c:pt>
                <c:pt idx="207">
                  <c:v>18.480123456790125</c:v>
                </c:pt>
                <c:pt idx="208">
                  <c:v>18.46506172839506</c:v>
                </c:pt>
                <c:pt idx="209">
                  <c:v>18.461234567901233</c:v>
                </c:pt>
                <c:pt idx="210">
                  <c:v>18.45753086419753</c:v>
                </c:pt>
                <c:pt idx="211">
                  <c:v>18.461234567901233</c:v>
                </c:pt>
                <c:pt idx="212">
                  <c:v>18.46506172839506</c:v>
                </c:pt>
                <c:pt idx="213">
                  <c:v>18.461234567901233</c:v>
                </c:pt>
                <c:pt idx="214">
                  <c:v>18.461234567901233</c:v>
                </c:pt>
                <c:pt idx="215">
                  <c:v>18.45753086419753</c:v>
                </c:pt>
                <c:pt idx="216">
                  <c:v>18.446172839506172</c:v>
                </c:pt>
                <c:pt idx="217">
                  <c:v>18.45753086419753</c:v>
                </c:pt>
                <c:pt idx="218">
                  <c:v>18.461234567901233</c:v>
                </c:pt>
                <c:pt idx="219">
                  <c:v>18.45753086419753</c:v>
                </c:pt>
                <c:pt idx="220">
                  <c:v>18.438641975308641</c:v>
                </c:pt>
                <c:pt idx="221">
                  <c:v>18.45</c:v>
                </c:pt>
                <c:pt idx="222">
                  <c:v>18.46506172839506</c:v>
                </c:pt>
                <c:pt idx="223">
                  <c:v>18.472592592592594</c:v>
                </c:pt>
                <c:pt idx="224">
                  <c:v>18.472592592592594</c:v>
                </c:pt>
                <c:pt idx="225">
                  <c:v>18.472592592592594</c:v>
                </c:pt>
                <c:pt idx="226">
                  <c:v>18.468765432098763</c:v>
                </c:pt>
                <c:pt idx="227">
                  <c:v>18.46506172839506</c:v>
                </c:pt>
                <c:pt idx="228">
                  <c:v>18.472592592592594</c:v>
                </c:pt>
                <c:pt idx="229">
                  <c:v>18.476296296296297</c:v>
                </c:pt>
                <c:pt idx="230">
                  <c:v>18.487654320987652</c:v>
                </c:pt>
                <c:pt idx="231">
                  <c:v>18.498888888888889</c:v>
                </c:pt>
                <c:pt idx="232">
                  <c:v>18.506419753086419</c:v>
                </c:pt>
                <c:pt idx="233">
                  <c:v>18.51395061728395</c:v>
                </c:pt>
                <c:pt idx="234">
                  <c:v>18.510246913580243</c:v>
                </c:pt>
                <c:pt idx="235">
                  <c:v>18.510246913580243</c:v>
                </c:pt>
                <c:pt idx="236">
                  <c:v>18.510246913580243</c:v>
                </c:pt>
                <c:pt idx="237">
                  <c:v>18.51395061728395</c:v>
                </c:pt>
                <c:pt idx="238">
                  <c:v>18.521481481481484</c:v>
                </c:pt>
                <c:pt idx="239">
                  <c:v>18.540370370370372</c:v>
                </c:pt>
                <c:pt idx="240">
                  <c:v>18.555432098765429</c:v>
                </c:pt>
                <c:pt idx="241">
                  <c:v>18.570493827160494</c:v>
                </c:pt>
                <c:pt idx="242">
                  <c:v>18.581851851851848</c:v>
                </c:pt>
                <c:pt idx="243">
                  <c:v>18.585555555555555</c:v>
                </c:pt>
                <c:pt idx="244">
                  <c:v>18.581851851851848</c:v>
                </c:pt>
                <c:pt idx="245">
                  <c:v>18.562962962962963</c:v>
                </c:pt>
                <c:pt idx="246">
                  <c:v>18.555432098765429</c:v>
                </c:pt>
                <c:pt idx="247">
                  <c:v>18.555432098765429</c:v>
                </c:pt>
                <c:pt idx="248">
                  <c:v>18.544197530864199</c:v>
                </c:pt>
                <c:pt idx="249">
                  <c:v>18.529012345679011</c:v>
                </c:pt>
                <c:pt idx="250">
                  <c:v>18.521481481481484</c:v>
                </c:pt>
                <c:pt idx="251">
                  <c:v>18.532839506172838</c:v>
                </c:pt>
                <c:pt idx="252">
                  <c:v>18.555432098765429</c:v>
                </c:pt>
                <c:pt idx="253">
                  <c:v>18.570493827160494</c:v>
                </c:pt>
                <c:pt idx="254">
                  <c:v>18.581851851851848</c:v>
                </c:pt>
                <c:pt idx="255">
                  <c:v>18.585555555555555</c:v>
                </c:pt>
                <c:pt idx="256">
                  <c:v>18.581851851851848</c:v>
                </c:pt>
                <c:pt idx="257">
                  <c:v>18.574320987654321</c:v>
                </c:pt>
                <c:pt idx="258">
                  <c:v>18.570493827160494</c:v>
                </c:pt>
                <c:pt idx="259">
                  <c:v>18.559259259259257</c:v>
                </c:pt>
                <c:pt idx="260">
                  <c:v>18.566790123456791</c:v>
                </c:pt>
                <c:pt idx="261">
                  <c:v>18.562962962962963</c:v>
                </c:pt>
                <c:pt idx="262">
                  <c:v>18.559259259259257</c:v>
                </c:pt>
                <c:pt idx="263">
                  <c:v>18.555432098765429</c:v>
                </c:pt>
                <c:pt idx="264">
                  <c:v>18.551728395061726</c:v>
                </c:pt>
                <c:pt idx="265">
                  <c:v>18.547901234567902</c:v>
                </c:pt>
                <c:pt idx="266">
                  <c:v>18.536543209876541</c:v>
                </c:pt>
                <c:pt idx="267">
                  <c:v>18.532839506172838</c:v>
                </c:pt>
                <c:pt idx="268">
                  <c:v>18.532839506172838</c:v>
                </c:pt>
                <c:pt idx="269">
                  <c:v>18.540370370370372</c:v>
                </c:pt>
                <c:pt idx="270">
                  <c:v>18.544197530864199</c:v>
                </c:pt>
                <c:pt idx="271">
                  <c:v>18.536543209876541</c:v>
                </c:pt>
                <c:pt idx="272">
                  <c:v>18.529012345679011</c:v>
                </c:pt>
                <c:pt idx="273">
                  <c:v>18.525308641975307</c:v>
                </c:pt>
                <c:pt idx="274">
                  <c:v>18.532839506172838</c:v>
                </c:pt>
                <c:pt idx="275">
                  <c:v>18.525308641975307</c:v>
                </c:pt>
                <c:pt idx="276">
                  <c:v>18.525308641975307</c:v>
                </c:pt>
                <c:pt idx="277">
                  <c:v>18.532839506172838</c:v>
                </c:pt>
                <c:pt idx="278">
                  <c:v>18.540370370370372</c:v>
                </c:pt>
                <c:pt idx="279">
                  <c:v>18.551728395061726</c:v>
                </c:pt>
                <c:pt idx="280">
                  <c:v>18.555432098765429</c:v>
                </c:pt>
                <c:pt idx="281">
                  <c:v>18.581851851851848</c:v>
                </c:pt>
                <c:pt idx="282">
                  <c:v>18.604444444444443</c:v>
                </c:pt>
                <c:pt idx="283">
                  <c:v>18.60814814814815</c:v>
                </c:pt>
                <c:pt idx="284">
                  <c:v>18.611975308641973</c:v>
                </c:pt>
                <c:pt idx="285">
                  <c:v>18.619506172839504</c:v>
                </c:pt>
                <c:pt idx="286">
                  <c:v>18.634567901234568</c:v>
                </c:pt>
                <c:pt idx="287">
                  <c:v>18.642098765432099</c:v>
                </c:pt>
                <c:pt idx="288">
                  <c:v>18.645802469135798</c:v>
                </c:pt>
                <c:pt idx="289">
                  <c:v>18.653456790123457</c:v>
                </c:pt>
                <c:pt idx="290">
                  <c:v>18.649629629629626</c:v>
                </c:pt>
                <c:pt idx="291">
                  <c:v>18.630740740740741</c:v>
                </c:pt>
                <c:pt idx="292">
                  <c:v>18.61567901234568</c:v>
                </c:pt>
                <c:pt idx="293">
                  <c:v>18.611975308641973</c:v>
                </c:pt>
                <c:pt idx="294">
                  <c:v>18.611975308641973</c:v>
                </c:pt>
                <c:pt idx="295">
                  <c:v>18.60814814814815</c:v>
                </c:pt>
                <c:pt idx="296">
                  <c:v>18.60814814814815</c:v>
                </c:pt>
                <c:pt idx="297">
                  <c:v>18.604444444444443</c:v>
                </c:pt>
                <c:pt idx="298">
                  <c:v>18.596913580246913</c:v>
                </c:pt>
                <c:pt idx="299">
                  <c:v>18.600617283950616</c:v>
                </c:pt>
                <c:pt idx="300">
                  <c:v>18.581851851851848</c:v>
                </c:pt>
                <c:pt idx="301">
                  <c:v>18.570493827160494</c:v>
                </c:pt>
                <c:pt idx="302">
                  <c:v>18.559259259259257</c:v>
                </c:pt>
                <c:pt idx="303">
                  <c:v>18.566790123456791</c:v>
                </c:pt>
                <c:pt idx="304">
                  <c:v>18.570493827160494</c:v>
                </c:pt>
                <c:pt idx="305">
                  <c:v>18.570493827160494</c:v>
                </c:pt>
                <c:pt idx="306">
                  <c:v>18.578024691358021</c:v>
                </c:pt>
                <c:pt idx="307">
                  <c:v>18.585555555555555</c:v>
                </c:pt>
                <c:pt idx="308">
                  <c:v>18.604444444444443</c:v>
                </c:pt>
                <c:pt idx="309">
                  <c:v>18.619506172839504</c:v>
                </c:pt>
                <c:pt idx="310">
                  <c:v>18.61567901234568</c:v>
                </c:pt>
                <c:pt idx="311">
                  <c:v>18.611975308641973</c:v>
                </c:pt>
                <c:pt idx="312">
                  <c:v>18.61567901234568</c:v>
                </c:pt>
                <c:pt idx="313">
                  <c:v>18.634567901234568</c:v>
                </c:pt>
                <c:pt idx="314">
                  <c:v>18.645802469135798</c:v>
                </c:pt>
                <c:pt idx="315">
                  <c:v>18.645802469135798</c:v>
                </c:pt>
                <c:pt idx="316">
                  <c:v>18.638271604938272</c:v>
                </c:pt>
                <c:pt idx="317">
                  <c:v>18.634567901234568</c:v>
                </c:pt>
                <c:pt idx="318">
                  <c:v>18.642098765432099</c:v>
                </c:pt>
                <c:pt idx="319">
                  <c:v>18.653456790123457</c:v>
                </c:pt>
                <c:pt idx="320">
                  <c:v>18.66469135802469</c:v>
                </c:pt>
                <c:pt idx="321">
                  <c:v>18.660987654320987</c:v>
                </c:pt>
                <c:pt idx="322">
                  <c:v>18.66469135802469</c:v>
                </c:pt>
                <c:pt idx="323">
                  <c:v>18.65716049382716</c:v>
                </c:pt>
                <c:pt idx="324">
                  <c:v>18.649629629629626</c:v>
                </c:pt>
                <c:pt idx="325">
                  <c:v>18.645802469135798</c:v>
                </c:pt>
                <c:pt idx="326">
                  <c:v>18.645802469135798</c:v>
                </c:pt>
                <c:pt idx="327">
                  <c:v>18.653456790123457</c:v>
                </c:pt>
                <c:pt idx="328">
                  <c:v>18.653456790123457</c:v>
                </c:pt>
                <c:pt idx="329">
                  <c:v>18.65716049382716</c:v>
                </c:pt>
                <c:pt idx="330">
                  <c:v>18.66469135802469</c:v>
                </c:pt>
                <c:pt idx="331">
                  <c:v>18.676049382716048</c:v>
                </c:pt>
                <c:pt idx="332">
                  <c:v>18.676049382716048</c:v>
                </c:pt>
                <c:pt idx="333">
                  <c:v>18.66469135802469</c:v>
                </c:pt>
                <c:pt idx="334">
                  <c:v>18.668518518518518</c:v>
                </c:pt>
                <c:pt idx="335">
                  <c:v>18.660987654320987</c:v>
                </c:pt>
                <c:pt idx="336">
                  <c:v>18.676049382716048</c:v>
                </c:pt>
                <c:pt idx="337">
                  <c:v>18.694814814814812</c:v>
                </c:pt>
                <c:pt idx="338">
                  <c:v>18.698641975308643</c:v>
                </c:pt>
                <c:pt idx="339">
                  <c:v>18.698641975308643</c:v>
                </c:pt>
                <c:pt idx="340">
                  <c:v>18.691111111111109</c:v>
                </c:pt>
                <c:pt idx="341">
                  <c:v>18.683580246913579</c:v>
                </c:pt>
                <c:pt idx="342">
                  <c:v>18.687283950617282</c:v>
                </c:pt>
                <c:pt idx="343">
                  <c:v>18.687283950617282</c:v>
                </c:pt>
                <c:pt idx="344">
                  <c:v>18.691111111111109</c:v>
                </c:pt>
                <c:pt idx="345">
                  <c:v>18.694814814814812</c:v>
                </c:pt>
                <c:pt idx="346">
                  <c:v>18.698641975308643</c:v>
                </c:pt>
                <c:pt idx="347">
                  <c:v>18.691111111111109</c:v>
                </c:pt>
                <c:pt idx="348">
                  <c:v>18.679753086419751</c:v>
                </c:pt>
                <c:pt idx="349">
                  <c:v>18.66469135802469</c:v>
                </c:pt>
                <c:pt idx="350">
                  <c:v>18.65716049382716</c:v>
                </c:pt>
                <c:pt idx="351">
                  <c:v>18.65716049382716</c:v>
                </c:pt>
                <c:pt idx="352">
                  <c:v>18.649629629629626</c:v>
                </c:pt>
                <c:pt idx="353">
                  <c:v>18.642098765432099</c:v>
                </c:pt>
                <c:pt idx="354">
                  <c:v>18.634567901234568</c:v>
                </c:pt>
                <c:pt idx="355">
                  <c:v>18.623209876543207</c:v>
                </c:pt>
                <c:pt idx="356">
                  <c:v>18.619506172839504</c:v>
                </c:pt>
                <c:pt idx="357">
                  <c:v>18.619506172839504</c:v>
                </c:pt>
                <c:pt idx="358">
                  <c:v>18.623209876543207</c:v>
                </c:pt>
                <c:pt idx="359">
                  <c:v>18.61567901234568</c:v>
                </c:pt>
                <c:pt idx="360">
                  <c:v>18.60814814814815</c:v>
                </c:pt>
                <c:pt idx="361">
                  <c:v>18.604444444444443</c:v>
                </c:pt>
                <c:pt idx="362">
                  <c:v>18.60814814814815</c:v>
                </c:pt>
                <c:pt idx="363">
                  <c:v>18.611975308641973</c:v>
                </c:pt>
                <c:pt idx="364">
                  <c:v>18.619506172839504</c:v>
                </c:pt>
                <c:pt idx="365">
                  <c:v>18.619506172839504</c:v>
                </c:pt>
                <c:pt idx="366">
                  <c:v>18.600617283950616</c:v>
                </c:pt>
                <c:pt idx="367">
                  <c:v>18.585555555555555</c:v>
                </c:pt>
                <c:pt idx="368">
                  <c:v>18.593086419753085</c:v>
                </c:pt>
                <c:pt idx="369">
                  <c:v>18.593086419753085</c:v>
                </c:pt>
                <c:pt idx="370">
                  <c:v>18.604444444444443</c:v>
                </c:pt>
                <c:pt idx="371">
                  <c:v>18.60814814814815</c:v>
                </c:pt>
                <c:pt idx="372">
                  <c:v>18.619506172839504</c:v>
                </c:pt>
                <c:pt idx="373">
                  <c:v>18.61567901234568</c:v>
                </c:pt>
                <c:pt idx="374">
                  <c:v>18.604444444444443</c:v>
                </c:pt>
                <c:pt idx="375">
                  <c:v>18.600617283950616</c:v>
                </c:pt>
                <c:pt idx="376">
                  <c:v>18.604444444444443</c:v>
                </c:pt>
                <c:pt idx="377">
                  <c:v>18.619506172839504</c:v>
                </c:pt>
                <c:pt idx="378">
                  <c:v>18.61567901234568</c:v>
                </c:pt>
                <c:pt idx="379">
                  <c:v>18.61567901234568</c:v>
                </c:pt>
                <c:pt idx="380">
                  <c:v>18.623209876543207</c:v>
                </c:pt>
                <c:pt idx="381">
                  <c:v>18.611975308641973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'20221210T210000'!$AL$11:$AL$500</c:f>
              <c:numCache>
                <c:formatCode>General</c:formatCode>
                <c:ptCount val="490"/>
                <c:pt idx="0">
                  <c:v>18.611975308641973</c:v>
                </c:pt>
                <c:pt idx="1">
                  <c:v>18.611975308641973</c:v>
                </c:pt>
                <c:pt idx="2">
                  <c:v>18.596913580246913</c:v>
                </c:pt>
                <c:pt idx="3">
                  <c:v>18.593086419753085</c:v>
                </c:pt>
                <c:pt idx="4">
                  <c:v>18.585555555555555</c:v>
                </c:pt>
                <c:pt idx="5">
                  <c:v>18.589382716049382</c:v>
                </c:pt>
                <c:pt idx="6">
                  <c:v>18.593086419753085</c:v>
                </c:pt>
                <c:pt idx="7">
                  <c:v>18.593086419753085</c:v>
                </c:pt>
                <c:pt idx="8">
                  <c:v>18.596913580246913</c:v>
                </c:pt>
                <c:pt idx="9">
                  <c:v>18.600617283950616</c:v>
                </c:pt>
                <c:pt idx="10">
                  <c:v>18.611975308641973</c:v>
                </c:pt>
                <c:pt idx="11">
                  <c:v>18.623209876543207</c:v>
                </c:pt>
                <c:pt idx="12">
                  <c:v>18.623209876543207</c:v>
                </c:pt>
                <c:pt idx="13">
                  <c:v>18.619506172839504</c:v>
                </c:pt>
                <c:pt idx="14">
                  <c:v>18.604444444444443</c:v>
                </c:pt>
                <c:pt idx="15">
                  <c:v>18.589382716049382</c:v>
                </c:pt>
                <c:pt idx="16">
                  <c:v>18.570493827160494</c:v>
                </c:pt>
                <c:pt idx="17">
                  <c:v>18.566790123456791</c:v>
                </c:pt>
                <c:pt idx="18">
                  <c:v>18.562962962962963</c:v>
                </c:pt>
                <c:pt idx="19">
                  <c:v>18.559259259259257</c:v>
                </c:pt>
                <c:pt idx="20">
                  <c:v>18.544197530864199</c:v>
                </c:pt>
                <c:pt idx="21">
                  <c:v>18.529012345679011</c:v>
                </c:pt>
                <c:pt idx="22">
                  <c:v>18.517777777777777</c:v>
                </c:pt>
                <c:pt idx="23">
                  <c:v>18.517777777777777</c:v>
                </c:pt>
                <c:pt idx="24">
                  <c:v>18.525308641975307</c:v>
                </c:pt>
                <c:pt idx="25">
                  <c:v>18.551728395061726</c:v>
                </c:pt>
                <c:pt idx="26">
                  <c:v>18.566790123456791</c:v>
                </c:pt>
                <c:pt idx="27">
                  <c:v>18.574320987654321</c:v>
                </c:pt>
                <c:pt idx="28">
                  <c:v>18.566790123456791</c:v>
                </c:pt>
                <c:pt idx="29">
                  <c:v>18.559259259259257</c:v>
                </c:pt>
                <c:pt idx="30">
                  <c:v>18.566790123456791</c:v>
                </c:pt>
                <c:pt idx="31">
                  <c:v>18.570493827160494</c:v>
                </c:pt>
                <c:pt idx="32">
                  <c:v>18.574320987654321</c:v>
                </c:pt>
                <c:pt idx="33">
                  <c:v>18.570493827160494</c:v>
                </c:pt>
                <c:pt idx="34">
                  <c:v>18.547901234567902</c:v>
                </c:pt>
                <c:pt idx="35">
                  <c:v>18.544197530864199</c:v>
                </c:pt>
                <c:pt idx="36">
                  <c:v>18.566790123456791</c:v>
                </c:pt>
                <c:pt idx="37">
                  <c:v>18.593086419753085</c:v>
                </c:pt>
                <c:pt idx="38">
                  <c:v>18.61567901234568</c:v>
                </c:pt>
                <c:pt idx="39">
                  <c:v>18.634567901234568</c:v>
                </c:pt>
                <c:pt idx="40">
                  <c:v>18.619506172839504</c:v>
                </c:pt>
                <c:pt idx="41">
                  <c:v>18.611975308641973</c:v>
                </c:pt>
                <c:pt idx="42">
                  <c:v>18.60814814814815</c:v>
                </c:pt>
                <c:pt idx="43">
                  <c:v>18.600617283950616</c:v>
                </c:pt>
                <c:pt idx="44">
                  <c:v>18.604444444444443</c:v>
                </c:pt>
                <c:pt idx="45">
                  <c:v>18.593086419753085</c:v>
                </c:pt>
                <c:pt idx="46">
                  <c:v>18.585555555555555</c:v>
                </c:pt>
                <c:pt idx="47">
                  <c:v>18.570493827160494</c:v>
                </c:pt>
                <c:pt idx="48">
                  <c:v>18.544197530864199</c:v>
                </c:pt>
                <c:pt idx="49">
                  <c:v>18.529012345679011</c:v>
                </c:pt>
                <c:pt idx="50">
                  <c:v>18.536543209876541</c:v>
                </c:pt>
                <c:pt idx="51">
                  <c:v>18.540370370370372</c:v>
                </c:pt>
                <c:pt idx="52">
                  <c:v>18.536543209876541</c:v>
                </c:pt>
                <c:pt idx="53">
                  <c:v>18.525308641975307</c:v>
                </c:pt>
                <c:pt idx="54">
                  <c:v>18.517777777777777</c:v>
                </c:pt>
                <c:pt idx="55">
                  <c:v>18.510246913580243</c:v>
                </c:pt>
                <c:pt idx="56">
                  <c:v>18.506419753086419</c:v>
                </c:pt>
                <c:pt idx="57">
                  <c:v>18.506419753086419</c:v>
                </c:pt>
                <c:pt idx="58">
                  <c:v>18.517777777777777</c:v>
                </c:pt>
                <c:pt idx="59">
                  <c:v>18.510246913580243</c:v>
                </c:pt>
                <c:pt idx="60">
                  <c:v>18.506419753086419</c:v>
                </c:pt>
                <c:pt idx="61">
                  <c:v>18.510246913580243</c:v>
                </c:pt>
                <c:pt idx="62">
                  <c:v>18.498888888888889</c:v>
                </c:pt>
                <c:pt idx="63">
                  <c:v>18.498888888888889</c:v>
                </c:pt>
                <c:pt idx="64">
                  <c:v>18.498888888888889</c:v>
                </c:pt>
                <c:pt idx="65">
                  <c:v>18.510246913580243</c:v>
                </c:pt>
                <c:pt idx="66">
                  <c:v>18.521481481481484</c:v>
                </c:pt>
                <c:pt idx="67">
                  <c:v>18.532839506172838</c:v>
                </c:pt>
                <c:pt idx="68">
                  <c:v>18.540370370370372</c:v>
                </c:pt>
                <c:pt idx="69">
                  <c:v>18.540370370370372</c:v>
                </c:pt>
                <c:pt idx="70">
                  <c:v>18.540370370370372</c:v>
                </c:pt>
                <c:pt idx="71">
                  <c:v>18.547901234567902</c:v>
                </c:pt>
                <c:pt idx="72">
                  <c:v>18.544197530864199</c:v>
                </c:pt>
                <c:pt idx="73">
                  <c:v>18.551728395061726</c:v>
                </c:pt>
                <c:pt idx="74">
                  <c:v>18.562962962962963</c:v>
                </c:pt>
                <c:pt idx="75">
                  <c:v>18.574320987654321</c:v>
                </c:pt>
                <c:pt idx="76">
                  <c:v>18.570493827160494</c:v>
                </c:pt>
                <c:pt idx="77">
                  <c:v>18.566790123456791</c:v>
                </c:pt>
                <c:pt idx="78">
                  <c:v>18.559259259259257</c:v>
                </c:pt>
                <c:pt idx="79">
                  <c:v>18.544197530864199</c:v>
                </c:pt>
                <c:pt idx="80">
                  <c:v>18.547901234567902</c:v>
                </c:pt>
                <c:pt idx="81">
                  <c:v>18.555432098765429</c:v>
                </c:pt>
                <c:pt idx="82">
                  <c:v>18.562962962962963</c:v>
                </c:pt>
                <c:pt idx="83">
                  <c:v>18.562962962962963</c:v>
                </c:pt>
                <c:pt idx="84">
                  <c:v>18.551728395061726</c:v>
                </c:pt>
                <c:pt idx="85">
                  <c:v>18.544197530864199</c:v>
                </c:pt>
                <c:pt idx="86">
                  <c:v>18.540370370370372</c:v>
                </c:pt>
                <c:pt idx="87">
                  <c:v>18.536543209876541</c:v>
                </c:pt>
                <c:pt idx="88">
                  <c:v>18.540370370370372</c:v>
                </c:pt>
                <c:pt idx="89">
                  <c:v>18.547901234567902</c:v>
                </c:pt>
                <c:pt idx="90">
                  <c:v>18.574320987654321</c:v>
                </c:pt>
                <c:pt idx="91">
                  <c:v>18.574320987654321</c:v>
                </c:pt>
                <c:pt idx="92">
                  <c:v>18.562962962962963</c:v>
                </c:pt>
                <c:pt idx="93">
                  <c:v>18.551728395061726</c:v>
                </c:pt>
                <c:pt idx="94">
                  <c:v>18.555432098765429</c:v>
                </c:pt>
                <c:pt idx="95">
                  <c:v>18.562962962962963</c:v>
                </c:pt>
                <c:pt idx="96">
                  <c:v>18.562962962962963</c:v>
                </c:pt>
                <c:pt idx="97">
                  <c:v>18.562962962962963</c:v>
                </c:pt>
                <c:pt idx="98">
                  <c:v>18.570493827160494</c:v>
                </c:pt>
                <c:pt idx="99">
                  <c:v>18.566790123456791</c:v>
                </c:pt>
                <c:pt idx="100">
                  <c:v>18.555432098765429</c:v>
                </c:pt>
                <c:pt idx="101">
                  <c:v>18.532839506172838</c:v>
                </c:pt>
                <c:pt idx="102">
                  <c:v>18.517777777777777</c:v>
                </c:pt>
                <c:pt idx="103">
                  <c:v>18.51395061728395</c:v>
                </c:pt>
                <c:pt idx="104">
                  <c:v>18.521481481481484</c:v>
                </c:pt>
                <c:pt idx="105">
                  <c:v>18.525308641975307</c:v>
                </c:pt>
                <c:pt idx="106">
                  <c:v>18.532839506172838</c:v>
                </c:pt>
                <c:pt idx="107">
                  <c:v>18.536543209876541</c:v>
                </c:pt>
                <c:pt idx="108">
                  <c:v>18.525308641975307</c:v>
                </c:pt>
                <c:pt idx="109">
                  <c:v>18.529012345679011</c:v>
                </c:pt>
                <c:pt idx="110">
                  <c:v>18.51395061728395</c:v>
                </c:pt>
                <c:pt idx="111">
                  <c:v>18.510246913580243</c:v>
                </c:pt>
                <c:pt idx="112">
                  <c:v>18.510246913580243</c:v>
                </c:pt>
                <c:pt idx="113">
                  <c:v>18.521481481481484</c:v>
                </c:pt>
                <c:pt idx="114">
                  <c:v>18.525308641975307</c:v>
                </c:pt>
                <c:pt idx="115">
                  <c:v>18.517777777777777</c:v>
                </c:pt>
                <c:pt idx="116">
                  <c:v>18.521481481481484</c:v>
                </c:pt>
                <c:pt idx="117">
                  <c:v>18.521481481481484</c:v>
                </c:pt>
                <c:pt idx="118">
                  <c:v>18.517777777777777</c:v>
                </c:pt>
                <c:pt idx="119">
                  <c:v>18.510246913580243</c:v>
                </c:pt>
                <c:pt idx="120">
                  <c:v>18.495185185185186</c:v>
                </c:pt>
                <c:pt idx="121">
                  <c:v>18.495185185185186</c:v>
                </c:pt>
                <c:pt idx="122">
                  <c:v>18.491358024691355</c:v>
                </c:pt>
                <c:pt idx="123">
                  <c:v>18.495185185185186</c:v>
                </c:pt>
                <c:pt idx="124">
                  <c:v>18.506419753086419</c:v>
                </c:pt>
                <c:pt idx="125">
                  <c:v>18.498888888888889</c:v>
                </c:pt>
                <c:pt idx="126">
                  <c:v>18.510246913580243</c:v>
                </c:pt>
                <c:pt idx="127">
                  <c:v>18.521481481481484</c:v>
                </c:pt>
                <c:pt idx="128">
                  <c:v>18.540370370370372</c:v>
                </c:pt>
                <c:pt idx="129">
                  <c:v>18.540370370370372</c:v>
                </c:pt>
                <c:pt idx="130">
                  <c:v>18.529012345679011</c:v>
                </c:pt>
                <c:pt idx="131">
                  <c:v>18.532839506172838</c:v>
                </c:pt>
                <c:pt idx="132">
                  <c:v>18.540370370370372</c:v>
                </c:pt>
                <c:pt idx="133">
                  <c:v>18.544197530864199</c:v>
                </c:pt>
                <c:pt idx="134">
                  <c:v>18.547901234567902</c:v>
                </c:pt>
                <c:pt idx="135">
                  <c:v>18.544197530864199</c:v>
                </c:pt>
                <c:pt idx="136">
                  <c:v>18.547901234567902</c:v>
                </c:pt>
                <c:pt idx="137">
                  <c:v>18.547901234567902</c:v>
                </c:pt>
                <c:pt idx="138">
                  <c:v>18.547901234567902</c:v>
                </c:pt>
                <c:pt idx="139">
                  <c:v>18.536543209876541</c:v>
                </c:pt>
                <c:pt idx="140">
                  <c:v>18.529012345679011</c:v>
                </c:pt>
                <c:pt idx="141">
                  <c:v>18.517777777777777</c:v>
                </c:pt>
                <c:pt idx="142">
                  <c:v>18.521481481481484</c:v>
                </c:pt>
                <c:pt idx="143">
                  <c:v>18.521481481481484</c:v>
                </c:pt>
                <c:pt idx="144">
                  <c:v>18.502716049382713</c:v>
                </c:pt>
                <c:pt idx="145">
                  <c:v>18.495185185185186</c:v>
                </c:pt>
                <c:pt idx="146">
                  <c:v>18.495185185185186</c:v>
                </c:pt>
                <c:pt idx="147">
                  <c:v>18.498888888888889</c:v>
                </c:pt>
                <c:pt idx="148">
                  <c:v>18.506419753086419</c:v>
                </c:pt>
                <c:pt idx="149">
                  <c:v>18.502716049382713</c:v>
                </c:pt>
                <c:pt idx="150">
                  <c:v>18.502716049382713</c:v>
                </c:pt>
                <c:pt idx="151">
                  <c:v>18.487654320987652</c:v>
                </c:pt>
                <c:pt idx="152">
                  <c:v>18.480123456790125</c:v>
                </c:pt>
                <c:pt idx="153">
                  <c:v>18.487654320987652</c:v>
                </c:pt>
                <c:pt idx="154">
                  <c:v>18.498888888888889</c:v>
                </c:pt>
                <c:pt idx="155">
                  <c:v>18.521481481481484</c:v>
                </c:pt>
                <c:pt idx="156">
                  <c:v>18.529012345679011</c:v>
                </c:pt>
                <c:pt idx="157">
                  <c:v>18.532839506172838</c:v>
                </c:pt>
                <c:pt idx="158">
                  <c:v>18.536543209876541</c:v>
                </c:pt>
                <c:pt idx="159">
                  <c:v>18.529012345679011</c:v>
                </c:pt>
                <c:pt idx="160">
                  <c:v>18.540370370370372</c:v>
                </c:pt>
                <c:pt idx="161">
                  <c:v>18.551728395061726</c:v>
                </c:pt>
                <c:pt idx="162">
                  <c:v>18.559259259259257</c:v>
                </c:pt>
                <c:pt idx="163">
                  <c:v>18.551728395061726</c:v>
                </c:pt>
                <c:pt idx="164">
                  <c:v>18.540370370370372</c:v>
                </c:pt>
                <c:pt idx="165">
                  <c:v>18.529012345679011</c:v>
                </c:pt>
                <c:pt idx="166">
                  <c:v>18.517777777777777</c:v>
                </c:pt>
                <c:pt idx="167">
                  <c:v>18.51395061728395</c:v>
                </c:pt>
                <c:pt idx="168">
                  <c:v>18.510246913580243</c:v>
                </c:pt>
                <c:pt idx="169">
                  <c:v>18.51395061728395</c:v>
                </c:pt>
                <c:pt idx="170">
                  <c:v>18.51395061728395</c:v>
                </c:pt>
                <c:pt idx="171">
                  <c:v>18.51395061728395</c:v>
                </c:pt>
                <c:pt idx="172">
                  <c:v>18.510246913580243</c:v>
                </c:pt>
                <c:pt idx="173">
                  <c:v>18.495185185185186</c:v>
                </c:pt>
                <c:pt idx="174">
                  <c:v>18.502716049382713</c:v>
                </c:pt>
                <c:pt idx="175">
                  <c:v>18.498888888888889</c:v>
                </c:pt>
                <c:pt idx="176">
                  <c:v>18.502716049382713</c:v>
                </c:pt>
                <c:pt idx="177">
                  <c:v>18.521481481481484</c:v>
                </c:pt>
                <c:pt idx="178">
                  <c:v>18.532839506172838</c:v>
                </c:pt>
                <c:pt idx="179">
                  <c:v>18.532839506172838</c:v>
                </c:pt>
                <c:pt idx="180">
                  <c:v>18.532839506172838</c:v>
                </c:pt>
                <c:pt idx="181">
                  <c:v>18.529012345679011</c:v>
                </c:pt>
                <c:pt idx="182">
                  <c:v>18.517777777777777</c:v>
                </c:pt>
                <c:pt idx="183">
                  <c:v>18.495185185185186</c:v>
                </c:pt>
                <c:pt idx="184">
                  <c:v>18.472592592592594</c:v>
                </c:pt>
                <c:pt idx="185">
                  <c:v>18.442469135802465</c:v>
                </c:pt>
                <c:pt idx="186">
                  <c:v>18.438641975308641</c:v>
                </c:pt>
                <c:pt idx="187">
                  <c:v>18.434938271604938</c:v>
                </c:pt>
                <c:pt idx="188">
                  <c:v>18.434938271604938</c:v>
                </c:pt>
                <c:pt idx="189">
                  <c:v>18.438641975308641</c:v>
                </c:pt>
                <c:pt idx="190">
                  <c:v>18.438641975308641</c:v>
                </c:pt>
                <c:pt idx="191">
                  <c:v>18.453703703703706</c:v>
                </c:pt>
                <c:pt idx="192">
                  <c:v>18.45753086419753</c:v>
                </c:pt>
                <c:pt idx="193">
                  <c:v>18.476296296296297</c:v>
                </c:pt>
                <c:pt idx="194">
                  <c:v>18.483827160493824</c:v>
                </c:pt>
                <c:pt idx="195">
                  <c:v>18.483827160493824</c:v>
                </c:pt>
                <c:pt idx="196">
                  <c:v>18.468765432098763</c:v>
                </c:pt>
                <c:pt idx="197">
                  <c:v>18.468765432098763</c:v>
                </c:pt>
                <c:pt idx="198">
                  <c:v>18.461234567901233</c:v>
                </c:pt>
                <c:pt idx="199">
                  <c:v>18.453703703703706</c:v>
                </c:pt>
                <c:pt idx="200">
                  <c:v>18.46506172839506</c:v>
                </c:pt>
                <c:pt idx="201">
                  <c:v>18.461234567901233</c:v>
                </c:pt>
                <c:pt idx="202">
                  <c:v>18.45753086419753</c:v>
                </c:pt>
                <c:pt idx="203">
                  <c:v>18.45753086419753</c:v>
                </c:pt>
                <c:pt idx="204">
                  <c:v>18.453703703703706</c:v>
                </c:pt>
                <c:pt idx="205">
                  <c:v>18.442469135802465</c:v>
                </c:pt>
                <c:pt idx="206">
                  <c:v>18.431111111111111</c:v>
                </c:pt>
                <c:pt idx="207">
                  <c:v>18.416049382716047</c:v>
                </c:pt>
                <c:pt idx="208">
                  <c:v>18.423580246913577</c:v>
                </c:pt>
                <c:pt idx="209">
                  <c:v>18.431111111111111</c:v>
                </c:pt>
                <c:pt idx="210">
                  <c:v>18.442469135802465</c:v>
                </c:pt>
                <c:pt idx="211">
                  <c:v>18.446172839506172</c:v>
                </c:pt>
                <c:pt idx="212">
                  <c:v>18.45753086419753</c:v>
                </c:pt>
                <c:pt idx="213">
                  <c:v>18.453703703703706</c:v>
                </c:pt>
                <c:pt idx="214">
                  <c:v>18.453703703703706</c:v>
                </c:pt>
                <c:pt idx="215">
                  <c:v>18.453703703703706</c:v>
                </c:pt>
                <c:pt idx="216">
                  <c:v>18.453703703703706</c:v>
                </c:pt>
                <c:pt idx="217">
                  <c:v>18.446172839506172</c:v>
                </c:pt>
                <c:pt idx="218">
                  <c:v>18.442469135802465</c:v>
                </c:pt>
                <c:pt idx="219">
                  <c:v>18.446172839506172</c:v>
                </c:pt>
                <c:pt idx="220">
                  <c:v>18.438641975308641</c:v>
                </c:pt>
                <c:pt idx="221">
                  <c:v>18.438641975308641</c:v>
                </c:pt>
                <c:pt idx="222">
                  <c:v>18.431111111111111</c:v>
                </c:pt>
                <c:pt idx="223">
                  <c:v>18.412222222222223</c:v>
                </c:pt>
                <c:pt idx="224">
                  <c:v>18.397160493827158</c:v>
                </c:pt>
                <c:pt idx="225">
                  <c:v>18.393456790123455</c:v>
                </c:pt>
                <c:pt idx="226">
                  <c:v>18.378395061728394</c:v>
                </c:pt>
                <c:pt idx="227">
                  <c:v>18.359506172839506</c:v>
                </c:pt>
                <c:pt idx="228">
                  <c:v>18.351975308641972</c:v>
                </c:pt>
                <c:pt idx="229">
                  <c:v>18.348271604938269</c:v>
                </c:pt>
                <c:pt idx="230">
                  <c:v>18.351975308641972</c:v>
                </c:pt>
                <c:pt idx="231">
                  <c:v>18.344444444444445</c:v>
                </c:pt>
                <c:pt idx="232">
                  <c:v>18.348271604938269</c:v>
                </c:pt>
                <c:pt idx="233">
                  <c:v>18.344444444444445</c:v>
                </c:pt>
                <c:pt idx="234">
                  <c:v>18.355802469135799</c:v>
                </c:pt>
                <c:pt idx="235">
                  <c:v>18.359506172839506</c:v>
                </c:pt>
                <c:pt idx="236">
                  <c:v>18.348271604938269</c:v>
                </c:pt>
                <c:pt idx="237">
                  <c:v>18.348271604938269</c:v>
                </c:pt>
                <c:pt idx="238">
                  <c:v>18.333209876543208</c:v>
                </c:pt>
                <c:pt idx="239">
                  <c:v>18.340740740740738</c:v>
                </c:pt>
                <c:pt idx="240">
                  <c:v>18.344444444444445</c:v>
                </c:pt>
                <c:pt idx="241">
                  <c:v>18.348271604938269</c:v>
                </c:pt>
                <c:pt idx="242">
                  <c:v>18.344444444444445</c:v>
                </c:pt>
                <c:pt idx="243">
                  <c:v>18.333209876543208</c:v>
                </c:pt>
                <c:pt idx="244">
                  <c:v>18.329382716049381</c:v>
                </c:pt>
                <c:pt idx="245">
                  <c:v>18.333209876543208</c:v>
                </c:pt>
                <c:pt idx="246">
                  <c:v>18.336913580246915</c:v>
                </c:pt>
                <c:pt idx="247">
                  <c:v>18.329382716049381</c:v>
                </c:pt>
                <c:pt idx="248">
                  <c:v>18.325679012345677</c:v>
                </c:pt>
                <c:pt idx="249">
                  <c:v>18.306790123456789</c:v>
                </c:pt>
                <c:pt idx="250">
                  <c:v>18.284197530864198</c:v>
                </c:pt>
                <c:pt idx="251">
                  <c:v>18.28037037037037</c:v>
                </c:pt>
                <c:pt idx="252">
                  <c:v>18.269135802469137</c:v>
                </c:pt>
                <c:pt idx="253">
                  <c:v>18.269135802469137</c:v>
                </c:pt>
                <c:pt idx="254">
                  <c:v>18.265308641975306</c:v>
                </c:pt>
                <c:pt idx="255">
                  <c:v>18.250246913580245</c:v>
                </c:pt>
                <c:pt idx="256">
                  <c:v>18.231481481481481</c:v>
                </c:pt>
                <c:pt idx="257">
                  <c:v>18.227654320987654</c:v>
                </c:pt>
                <c:pt idx="258">
                  <c:v>18.212592592592593</c:v>
                </c:pt>
                <c:pt idx="259">
                  <c:v>18.193703703703704</c:v>
                </c:pt>
                <c:pt idx="260">
                  <c:v>18.174938271604937</c:v>
                </c:pt>
                <c:pt idx="261">
                  <c:v>18.167407407407406</c:v>
                </c:pt>
                <c:pt idx="262">
                  <c:v>18.159876543209876</c:v>
                </c:pt>
                <c:pt idx="263">
                  <c:v>18.156049382716049</c:v>
                </c:pt>
                <c:pt idx="264">
                  <c:v>18.171111111111109</c:v>
                </c:pt>
                <c:pt idx="265">
                  <c:v>18.171111111111109</c:v>
                </c:pt>
                <c:pt idx="266">
                  <c:v>18.167407407407406</c:v>
                </c:pt>
                <c:pt idx="267">
                  <c:v>18.159876543209876</c:v>
                </c:pt>
                <c:pt idx="268">
                  <c:v>18.148518518518514</c:v>
                </c:pt>
                <c:pt idx="269">
                  <c:v>18.137283950617284</c:v>
                </c:pt>
                <c:pt idx="270">
                  <c:v>18.118395061728396</c:v>
                </c:pt>
                <c:pt idx="271">
                  <c:v>18.107037037037035</c:v>
                </c:pt>
                <c:pt idx="272">
                  <c:v>18.099506172839504</c:v>
                </c:pt>
                <c:pt idx="273">
                  <c:v>18.091975308641977</c:v>
                </c:pt>
                <c:pt idx="274">
                  <c:v>18.080740740740737</c:v>
                </c:pt>
                <c:pt idx="275">
                  <c:v>18.061851851851848</c:v>
                </c:pt>
                <c:pt idx="276">
                  <c:v>18.031728395061727</c:v>
                </c:pt>
                <c:pt idx="277">
                  <c:v>18.005432098765432</c:v>
                </c:pt>
                <c:pt idx="278">
                  <c:v>17.98654320987654</c:v>
                </c:pt>
                <c:pt idx="279">
                  <c:v>17.975185185185186</c:v>
                </c:pt>
                <c:pt idx="280">
                  <c:v>17.979012345679013</c:v>
                </c:pt>
                <c:pt idx="281">
                  <c:v>17.971481481481479</c:v>
                </c:pt>
                <c:pt idx="282">
                  <c:v>17.952592592592595</c:v>
                </c:pt>
                <c:pt idx="283">
                  <c:v>17.933827160493827</c:v>
                </c:pt>
                <c:pt idx="284">
                  <c:v>17.911234567901232</c:v>
                </c:pt>
                <c:pt idx="285">
                  <c:v>17.892345679012344</c:v>
                </c:pt>
                <c:pt idx="286">
                  <c:v>17.873456790123456</c:v>
                </c:pt>
                <c:pt idx="287">
                  <c:v>17.854691358024692</c:v>
                </c:pt>
                <c:pt idx="288">
                  <c:v>17.8358024691358</c:v>
                </c:pt>
                <c:pt idx="289">
                  <c:v>17.813209876543205</c:v>
                </c:pt>
                <c:pt idx="290">
                  <c:v>17.794444444444444</c:v>
                </c:pt>
                <c:pt idx="291">
                  <c:v>17.779259259259259</c:v>
                </c:pt>
                <c:pt idx="292">
                  <c:v>17.768024691358022</c:v>
                </c:pt>
                <c:pt idx="293">
                  <c:v>17.752962962962961</c:v>
                </c:pt>
                <c:pt idx="294">
                  <c:v>17.741604938271603</c:v>
                </c:pt>
                <c:pt idx="295">
                  <c:v>17.722839506172836</c:v>
                </c:pt>
                <c:pt idx="296">
                  <c:v>17.700246913580244</c:v>
                </c:pt>
                <c:pt idx="297">
                  <c:v>17.673827160493826</c:v>
                </c:pt>
                <c:pt idx="298">
                  <c:v>17.651234567901231</c:v>
                </c:pt>
                <c:pt idx="299">
                  <c:v>17.643703703703704</c:v>
                </c:pt>
                <c:pt idx="300">
                  <c:v>17.624814814814812</c:v>
                </c:pt>
                <c:pt idx="301">
                  <c:v>17.606049382716048</c:v>
                </c:pt>
                <c:pt idx="302">
                  <c:v>17.575925925925926</c:v>
                </c:pt>
                <c:pt idx="303">
                  <c:v>17.538148148148146</c:v>
                </c:pt>
                <c:pt idx="304">
                  <c:v>17.511851851851851</c:v>
                </c:pt>
                <c:pt idx="305">
                  <c:v>17.481728395061729</c:v>
                </c:pt>
                <c:pt idx="306">
                  <c:v>17.45148148148148</c:v>
                </c:pt>
                <c:pt idx="307">
                  <c:v>17.425185185185182</c:v>
                </c:pt>
                <c:pt idx="308">
                  <c:v>17.398765432098763</c:v>
                </c:pt>
                <c:pt idx="309">
                  <c:v>17.364938271604938</c:v>
                </c:pt>
                <c:pt idx="310">
                  <c:v>17.334691358024692</c:v>
                </c:pt>
                <c:pt idx="311">
                  <c:v>17.297037037037036</c:v>
                </c:pt>
                <c:pt idx="312">
                  <c:v>17.240493827160492</c:v>
                </c:pt>
                <c:pt idx="313">
                  <c:v>17.195308641975309</c:v>
                </c:pt>
                <c:pt idx="314">
                  <c:v>17.157654320987653</c:v>
                </c:pt>
                <c:pt idx="315">
                  <c:v>17.12</c:v>
                </c:pt>
                <c:pt idx="316">
                  <c:v>17.074814814814815</c:v>
                </c:pt>
                <c:pt idx="317">
                  <c:v>17.029506172839504</c:v>
                </c:pt>
                <c:pt idx="318">
                  <c:v>16.991851851851852</c:v>
                </c:pt>
                <c:pt idx="319">
                  <c:v>16.942962962962962</c:v>
                </c:pt>
                <c:pt idx="320">
                  <c:v>16.905185185185186</c:v>
                </c:pt>
                <c:pt idx="321">
                  <c:v>16.863827160493827</c:v>
                </c:pt>
                <c:pt idx="322">
                  <c:v>16.814814814814813</c:v>
                </c:pt>
                <c:pt idx="323">
                  <c:v>16.765802469135803</c:v>
                </c:pt>
                <c:pt idx="324">
                  <c:v>16.705555555555552</c:v>
                </c:pt>
                <c:pt idx="325">
                  <c:v>16.649012345679012</c:v>
                </c:pt>
                <c:pt idx="326">
                  <c:v>16.596296296296295</c:v>
                </c:pt>
                <c:pt idx="327">
                  <c:v>16.543580246913578</c:v>
                </c:pt>
                <c:pt idx="328">
                  <c:v>16.487037037037037</c:v>
                </c:pt>
                <c:pt idx="329">
                  <c:v>16.41925925925926</c:v>
                </c:pt>
                <c:pt idx="330">
                  <c:v>16.343827160493824</c:v>
                </c:pt>
                <c:pt idx="331">
                  <c:v>16.257160493827158</c:v>
                </c:pt>
                <c:pt idx="332">
                  <c:v>16.174320987654323</c:v>
                </c:pt>
                <c:pt idx="333">
                  <c:v>16.08395061728395</c:v>
                </c:pt>
                <c:pt idx="334">
                  <c:v>15.993456790123457</c:v>
                </c:pt>
                <c:pt idx="335">
                  <c:v>15.906790123456791</c:v>
                </c:pt>
                <c:pt idx="336">
                  <c:v>15.816419753086418</c:v>
                </c:pt>
                <c:pt idx="337">
                  <c:v>15.737283950617284</c:v>
                </c:pt>
                <c:pt idx="338">
                  <c:v>15.643086419753088</c:v>
                </c:pt>
                <c:pt idx="339">
                  <c:v>15.548888888888886</c:v>
                </c:pt>
                <c:pt idx="340">
                  <c:v>15.454691358024689</c:v>
                </c:pt>
                <c:pt idx="341">
                  <c:v>15.341728395061727</c:v>
                </c:pt>
                <c:pt idx="342">
                  <c:v>15.232469135802468</c:v>
                </c:pt>
                <c:pt idx="343">
                  <c:v>15.126913580246912</c:v>
                </c:pt>
                <c:pt idx="344">
                  <c:v>15.010123456790122</c:v>
                </c:pt>
                <c:pt idx="345">
                  <c:v>14.889506172839505</c:v>
                </c:pt>
                <c:pt idx="346">
                  <c:v>14.746419753086418</c:v>
                </c:pt>
                <c:pt idx="347">
                  <c:v>14.607037037037037</c:v>
                </c:pt>
                <c:pt idx="348">
                  <c:v>14.452469135802467</c:v>
                </c:pt>
                <c:pt idx="349">
                  <c:v>14.298024691358025</c:v>
                </c:pt>
                <c:pt idx="350">
                  <c:v>14.124691358024689</c:v>
                </c:pt>
                <c:pt idx="351">
                  <c:v>13.936419753086419</c:v>
                </c:pt>
                <c:pt idx="352">
                  <c:v>13.736666666666666</c:v>
                </c:pt>
                <c:pt idx="353">
                  <c:v>13.521975308641975</c:v>
                </c:pt>
                <c:pt idx="354">
                  <c:v>13.30716049382716</c:v>
                </c:pt>
                <c:pt idx="355">
                  <c:v>13.069753086419754</c:v>
                </c:pt>
                <c:pt idx="356">
                  <c:v>12.813580246913578</c:v>
                </c:pt>
                <c:pt idx="357">
                  <c:v>12.542345679012344</c:v>
                </c:pt>
                <c:pt idx="358">
                  <c:v>12.248469135802468</c:v>
                </c:pt>
                <c:pt idx="359">
                  <c:v>11.939530864197531</c:v>
                </c:pt>
                <c:pt idx="360">
                  <c:v>11.596679012345678</c:v>
                </c:pt>
                <c:pt idx="361">
                  <c:v>11.24253086419753</c:v>
                </c:pt>
                <c:pt idx="362">
                  <c:v>10.862</c:v>
                </c:pt>
                <c:pt idx="363">
                  <c:v>10.466395061728395</c:v>
                </c:pt>
                <c:pt idx="364">
                  <c:v>10.033123456790122</c:v>
                </c:pt>
                <c:pt idx="365">
                  <c:v>9.5470987654320982</c:v>
                </c:pt>
                <c:pt idx="366">
                  <c:v>9.0309382716049367</c:v>
                </c:pt>
                <c:pt idx="367">
                  <c:v>8.462037037037037</c:v>
                </c:pt>
                <c:pt idx="368">
                  <c:v>7.8403827160493833</c:v>
                </c:pt>
                <c:pt idx="369">
                  <c:v>7.1509135802469128</c:v>
                </c:pt>
                <c:pt idx="370">
                  <c:v>6.382320987654321</c:v>
                </c:pt>
                <c:pt idx="371">
                  <c:v>5.5451604938271597</c:v>
                </c:pt>
                <c:pt idx="372">
                  <c:v>4.6104197530864193</c:v>
                </c:pt>
                <c:pt idx="373">
                  <c:v>3.5607654320987652</c:v>
                </c:pt>
                <c:pt idx="374">
                  <c:v>2.3664320987654319</c:v>
                </c:pt>
                <c:pt idx="375">
                  <c:v>1.0195135802469135</c:v>
                </c:pt>
                <c:pt idx="376">
                  <c:v>-0.48941111111111113</c:v>
                </c:pt>
                <c:pt idx="377">
                  <c:v>-2.1471604938271605</c:v>
                </c:pt>
                <c:pt idx="378">
                  <c:v>-3.9258395061728395</c:v>
                </c:pt>
                <c:pt idx="379">
                  <c:v>-5.8458148148148137</c:v>
                </c:pt>
                <c:pt idx="380">
                  <c:v>-7.862987654320988</c:v>
                </c:pt>
                <c:pt idx="381">
                  <c:v>-9.9916790123456778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2480"/>
        <c:axId val="46054016"/>
      </c:scatterChart>
      <c:valAx>
        <c:axId val="460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054016"/>
        <c:crosses val="autoZero"/>
        <c:crossBetween val="midCat"/>
      </c:valAx>
      <c:valAx>
        <c:axId val="4605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05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'20221210T210000'!$AV$10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'20221210T210000'!$AQ$11:$AQ$398</c:f>
              <c:numCache>
                <c:formatCode>General</c:formatCode>
                <c:ptCount val="388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'20221210T210000'!$AV$11:$AV$398</c:f>
              <c:numCache>
                <c:formatCode>General</c:formatCode>
                <c:ptCount val="388"/>
                <c:pt idx="0">
                  <c:v>-7.927037037037036</c:v>
                </c:pt>
                <c:pt idx="1">
                  <c:v>-5.8612592592592589</c:v>
                </c:pt>
                <c:pt idx="2">
                  <c:v>-3.909259259259259</c:v>
                </c:pt>
                <c:pt idx="3">
                  <c:v>-2.1166419753086418</c:v>
                </c:pt>
                <c:pt idx="4">
                  <c:v>-0.43270864197530867</c:v>
                </c:pt>
                <c:pt idx="5">
                  <c:v>1.1031543209876542</c:v>
                </c:pt>
                <c:pt idx="6">
                  <c:v>2.4681604938271602</c:v>
                </c:pt>
                <c:pt idx="7">
                  <c:v>3.7080740740740739</c:v>
                </c:pt>
                <c:pt idx="8">
                  <c:v>4.7848518518518519</c:v>
                </c:pt>
                <c:pt idx="9">
                  <c:v>5.7629259259259245</c:v>
                </c:pt>
                <c:pt idx="10">
                  <c:v>6.6159135802469136</c:v>
                </c:pt>
                <c:pt idx="11">
                  <c:v>7.3995679012345672</c:v>
                </c:pt>
                <c:pt idx="12">
                  <c:v>8.0928148148148153</c:v>
                </c:pt>
                <c:pt idx="13">
                  <c:v>8.7521358024691356</c:v>
                </c:pt>
                <c:pt idx="14">
                  <c:v>9.3210493827160494</c:v>
                </c:pt>
                <c:pt idx="15">
                  <c:v>9.8598148148148166</c:v>
                </c:pt>
                <c:pt idx="16">
                  <c:v>10.327</c:v>
                </c:pt>
                <c:pt idx="17">
                  <c:v>10.77911111111111</c:v>
                </c:pt>
                <c:pt idx="18">
                  <c:v>11.174703703703704</c:v>
                </c:pt>
                <c:pt idx="19">
                  <c:v>11.562765432098766</c:v>
                </c:pt>
                <c:pt idx="20">
                  <c:v>11.898086419753087</c:v>
                </c:pt>
                <c:pt idx="21">
                  <c:v>12.237172839506172</c:v>
                </c:pt>
                <c:pt idx="22">
                  <c:v>12.534814814814814</c:v>
                </c:pt>
                <c:pt idx="23">
                  <c:v>12.828641975308642</c:v>
                </c:pt>
                <c:pt idx="24">
                  <c:v>13.088641975308642</c:v>
                </c:pt>
                <c:pt idx="25">
                  <c:v>13.341111111111109</c:v>
                </c:pt>
                <c:pt idx="26">
                  <c:v>13.570864197530863</c:v>
                </c:pt>
                <c:pt idx="27">
                  <c:v>13.796913580246912</c:v>
                </c:pt>
                <c:pt idx="28">
                  <c:v>14.0079012345679</c:v>
                </c:pt>
                <c:pt idx="29">
                  <c:v>14.215185185185184</c:v>
                </c:pt>
                <c:pt idx="30">
                  <c:v>14.396049382716049</c:v>
                </c:pt>
                <c:pt idx="31">
                  <c:v>14.573086419753087</c:v>
                </c:pt>
                <c:pt idx="32">
                  <c:v>14.731358024691357</c:v>
                </c:pt>
                <c:pt idx="33">
                  <c:v>14.893333333333333</c:v>
                </c:pt>
                <c:pt idx="34">
                  <c:v>15.044074074074075</c:v>
                </c:pt>
                <c:pt idx="35">
                  <c:v>15.190987654320987</c:v>
                </c:pt>
                <c:pt idx="36">
                  <c:v>15.334197530864195</c:v>
                </c:pt>
                <c:pt idx="37">
                  <c:v>15.466049382716049</c:v>
                </c:pt>
                <c:pt idx="38">
                  <c:v>15.575308641975308</c:v>
                </c:pt>
                <c:pt idx="39">
                  <c:v>15.680740740740738</c:v>
                </c:pt>
                <c:pt idx="40">
                  <c:v>15.786296296296294</c:v>
                </c:pt>
                <c:pt idx="41">
                  <c:v>15.880493827160493</c:v>
                </c:pt>
                <c:pt idx="42">
                  <c:v>15.982222222222221</c:v>
                </c:pt>
                <c:pt idx="43">
                  <c:v>16.076419753086416</c:v>
                </c:pt>
                <c:pt idx="44">
                  <c:v>16.159259259259258</c:v>
                </c:pt>
                <c:pt idx="45">
                  <c:v>16.230864197530863</c:v>
                </c:pt>
                <c:pt idx="46">
                  <c:v>16.309999999999999</c:v>
                </c:pt>
                <c:pt idx="47">
                  <c:v>16.400370370370371</c:v>
                </c:pt>
                <c:pt idx="48">
                  <c:v>16.483209876543206</c:v>
                </c:pt>
                <c:pt idx="49">
                  <c:v>16.558641975308642</c:v>
                </c:pt>
                <c:pt idx="50">
                  <c:v>16.626419753086417</c:v>
                </c:pt>
                <c:pt idx="51">
                  <c:v>16.690493827160495</c:v>
                </c:pt>
                <c:pt idx="52">
                  <c:v>16.7620987654321</c:v>
                </c:pt>
                <c:pt idx="53">
                  <c:v>16.826172839506171</c:v>
                </c:pt>
                <c:pt idx="54">
                  <c:v>16.886419753086418</c:v>
                </c:pt>
                <c:pt idx="55">
                  <c:v>16.942962962962962</c:v>
                </c:pt>
                <c:pt idx="56">
                  <c:v>16.991851851851852</c:v>
                </c:pt>
                <c:pt idx="57">
                  <c:v>17.040864197530862</c:v>
                </c:pt>
                <c:pt idx="58">
                  <c:v>17.101111111111113</c:v>
                </c:pt>
                <c:pt idx="59">
                  <c:v>17.138765432098765</c:v>
                </c:pt>
                <c:pt idx="60">
                  <c:v>17.191604938271606</c:v>
                </c:pt>
                <c:pt idx="61">
                  <c:v>17.225432098765431</c:v>
                </c:pt>
                <c:pt idx="62">
                  <c:v>17.266913580246914</c:v>
                </c:pt>
                <c:pt idx="63">
                  <c:v>17.308395061728394</c:v>
                </c:pt>
                <c:pt idx="64">
                  <c:v>17.342222222222222</c:v>
                </c:pt>
                <c:pt idx="65">
                  <c:v>17.387530864197529</c:v>
                </c:pt>
                <c:pt idx="66">
                  <c:v>17.417654320987655</c:v>
                </c:pt>
                <c:pt idx="67">
                  <c:v>17.462839506172838</c:v>
                </c:pt>
                <c:pt idx="68">
                  <c:v>17.508024691358024</c:v>
                </c:pt>
                <c:pt idx="69">
                  <c:v>17.541975308641973</c:v>
                </c:pt>
                <c:pt idx="70">
                  <c:v>17.575925925925926</c:v>
                </c:pt>
                <c:pt idx="71">
                  <c:v>17.60222222222222</c:v>
                </c:pt>
                <c:pt idx="72">
                  <c:v>17.632345679012342</c:v>
                </c:pt>
                <c:pt idx="73">
                  <c:v>17.654938271604937</c:v>
                </c:pt>
                <c:pt idx="74">
                  <c:v>17.677530864197529</c:v>
                </c:pt>
                <c:pt idx="75">
                  <c:v>17.692716049382714</c:v>
                </c:pt>
                <c:pt idx="76">
                  <c:v>17.719012345679008</c:v>
                </c:pt>
                <c:pt idx="77">
                  <c:v>17.749135802469137</c:v>
                </c:pt>
                <c:pt idx="78">
                  <c:v>17.768024691358022</c:v>
                </c:pt>
                <c:pt idx="79">
                  <c:v>17.783086419753086</c:v>
                </c:pt>
                <c:pt idx="80">
                  <c:v>17.798148148148147</c:v>
                </c:pt>
                <c:pt idx="81">
                  <c:v>17.817037037037036</c:v>
                </c:pt>
                <c:pt idx="82">
                  <c:v>17.832098765432097</c:v>
                </c:pt>
                <c:pt idx="83">
                  <c:v>17.858395061728395</c:v>
                </c:pt>
                <c:pt idx="84">
                  <c:v>17.888518518518516</c:v>
                </c:pt>
                <c:pt idx="85">
                  <c:v>17.903703703703702</c:v>
                </c:pt>
                <c:pt idx="86">
                  <c:v>17.907407407407408</c:v>
                </c:pt>
                <c:pt idx="87">
                  <c:v>17.918765432098763</c:v>
                </c:pt>
                <c:pt idx="88">
                  <c:v>17.93753086419753</c:v>
                </c:pt>
                <c:pt idx="89">
                  <c:v>17.952592592592595</c:v>
                </c:pt>
                <c:pt idx="90">
                  <c:v>17.963950617283949</c:v>
                </c:pt>
                <c:pt idx="91">
                  <c:v>17.967654320987652</c:v>
                </c:pt>
                <c:pt idx="92">
                  <c:v>17.971481481481479</c:v>
                </c:pt>
                <c:pt idx="93">
                  <c:v>17.982716049382717</c:v>
                </c:pt>
                <c:pt idx="94">
                  <c:v>17.990246913580243</c:v>
                </c:pt>
                <c:pt idx="95">
                  <c:v>18.001604938271605</c:v>
                </c:pt>
                <c:pt idx="96">
                  <c:v>18.020493827160493</c:v>
                </c:pt>
                <c:pt idx="97">
                  <c:v>18.046790123456791</c:v>
                </c:pt>
                <c:pt idx="98">
                  <c:v>18.065679012345679</c:v>
                </c:pt>
                <c:pt idx="99">
                  <c:v>18.088271604938271</c:v>
                </c:pt>
                <c:pt idx="100">
                  <c:v>18.099506172839504</c:v>
                </c:pt>
                <c:pt idx="101">
                  <c:v>18.12222222222222</c:v>
                </c:pt>
                <c:pt idx="102">
                  <c:v>18.144814814814815</c:v>
                </c:pt>
                <c:pt idx="103">
                  <c:v>18.167407407407406</c:v>
                </c:pt>
                <c:pt idx="104">
                  <c:v>18.174938271604937</c:v>
                </c:pt>
                <c:pt idx="105">
                  <c:v>18.186172839506174</c:v>
                </c:pt>
                <c:pt idx="106">
                  <c:v>18.205061728395062</c:v>
                </c:pt>
                <c:pt idx="107">
                  <c:v>18.212592592592593</c:v>
                </c:pt>
                <c:pt idx="108">
                  <c:v>18.22012345679012</c:v>
                </c:pt>
                <c:pt idx="109">
                  <c:v>18.22012345679012</c:v>
                </c:pt>
                <c:pt idx="110">
                  <c:v>18.231481481481481</c:v>
                </c:pt>
                <c:pt idx="111">
                  <c:v>18.231481481481481</c:v>
                </c:pt>
                <c:pt idx="112">
                  <c:v>18.231481481481481</c:v>
                </c:pt>
                <c:pt idx="113">
                  <c:v>18.239012345679011</c:v>
                </c:pt>
                <c:pt idx="114">
                  <c:v>18.235185185185184</c:v>
                </c:pt>
                <c:pt idx="115">
                  <c:v>18.242716049382715</c:v>
                </c:pt>
                <c:pt idx="116">
                  <c:v>18.250246913580245</c:v>
                </c:pt>
                <c:pt idx="117">
                  <c:v>18.257777777777775</c:v>
                </c:pt>
                <c:pt idx="118">
                  <c:v>18.265308641975306</c:v>
                </c:pt>
                <c:pt idx="119">
                  <c:v>18.261604938271603</c:v>
                </c:pt>
                <c:pt idx="120">
                  <c:v>18.254074074074072</c:v>
                </c:pt>
                <c:pt idx="121">
                  <c:v>18.254074074074072</c:v>
                </c:pt>
                <c:pt idx="122">
                  <c:v>18.257777777777775</c:v>
                </c:pt>
                <c:pt idx="123">
                  <c:v>18.257777777777775</c:v>
                </c:pt>
                <c:pt idx="124">
                  <c:v>18.257777777777775</c:v>
                </c:pt>
                <c:pt idx="125">
                  <c:v>18.257777777777775</c:v>
                </c:pt>
                <c:pt idx="126">
                  <c:v>18.254074074074072</c:v>
                </c:pt>
                <c:pt idx="127">
                  <c:v>18.261604938271603</c:v>
                </c:pt>
                <c:pt idx="128">
                  <c:v>18.261604938271603</c:v>
                </c:pt>
                <c:pt idx="129">
                  <c:v>18.27283950617284</c:v>
                </c:pt>
                <c:pt idx="130">
                  <c:v>18.287901234567901</c:v>
                </c:pt>
                <c:pt idx="131">
                  <c:v>18.291728395061728</c:v>
                </c:pt>
                <c:pt idx="132">
                  <c:v>18.299259259259259</c:v>
                </c:pt>
                <c:pt idx="133">
                  <c:v>18.284197530864198</c:v>
                </c:pt>
                <c:pt idx="134">
                  <c:v>18.28037037037037</c:v>
                </c:pt>
                <c:pt idx="135">
                  <c:v>18.287901234567901</c:v>
                </c:pt>
                <c:pt idx="136">
                  <c:v>18.299259259259259</c:v>
                </c:pt>
                <c:pt idx="137">
                  <c:v>18.310493827160489</c:v>
                </c:pt>
                <c:pt idx="138">
                  <c:v>18.32185185185185</c:v>
                </c:pt>
                <c:pt idx="139">
                  <c:v>18.329382716049381</c:v>
                </c:pt>
                <c:pt idx="140">
                  <c:v>18.325679012345677</c:v>
                </c:pt>
                <c:pt idx="141">
                  <c:v>18.310493827160489</c:v>
                </c:pt>
                <c:pt idx="142">
                  <c:v>18.302962962962962</c:v>
                </c:pt>
                <c:pt idx="143">
                  <c:v>18.291728395061728</c:v>
                </c:pt>
                <c:pt idx="144">
                  <c:v>18.287901234567901</c:v>
                </c:pt>
                <c:pt idx="145">
                  <c:v>18.302962962962962</c:v>
                </c:pt>
                <c:pt idx="146">
                  <c:v>18.31432098765432</c:v>
                </c:pt>
                <c:pt idx="147">
                  <c:v>18.318024691358023</c:v>
                </c:pt>
                <c:pt idx="148">
                  <c:v>18.336913580246915</c:v>
                </c:pt>
                <c:pt idx="149">
                  <c:v>18.344444444444445</c:v>
                </c:pt>
                <c:pt idx="150">
                  <c:v>18.333209876543208</c:v>
                </c:pt>
                <c:pt idx="151">
                  <c:v>18.336913580246915</c:v>
                </c:pt>
                <c:pt idx="152">
                  <c:v>18.333209876543208</c:v>
                </c:pt>
                <c:pt idx="153">
                  <c:v>18.340740740740738</c:v>
                </c:pt>
                <c:pt idx="154">
                  <c:v>18.348271604938269</c:v>
                </c:pt>
                <c:pt idx="155">
                  <c:v>18.348271604938269</c:v>
                </c:pt>
                <c:pt idx="156">
                  <c:v>18.344444444444445</c:v>
                </c:pt>
                <c:pt idx="157">
                  <c:v>18.348271604938269</c:v>
                </c:pt>
                <c:pt idx="158">
                  <c:v>18.348271604938269</c:v>
                </c:pt>
                <c:pt idx="159">
                  <c:v>18.344444444444445</c:v>
                </c:pt>
                <c:pt idx="160">
                  <c:v>18.348271604938269</c:v>
                </c:pt>
                <c:pt idx="161">
                  <c:v>18.367037037037036</c:v>
                </c:pt>
                <c:pt idx="162">
                  <c:v>18.370864197530864</c:v>
                </c:pt>
                <c:pt idx="163">
                  <c:v>18.382098765432101</c:v>
                </c:pt>
                <c:pt idx="164">
                  <c:v>18.382098765432101</c:v>
                </c:pt>
                <c:pt idx="165">
                  <c:v>18.382098765432101</c:v>
                </c:pt>
                <c:pt idx="166">
                  <c:v>18.374567901234567</c:v>
                </c:pt>
                <c:pt idx="167">
                  <c:v>18.378395061728394</c:v>
                </c:pt>
                <c:pt idx="168">
                  <c:v>18.382098765432101</c:v>
                </c:pt>
                <c:pt idx="169">
                  <c:v>18.393456790123455</c:v>
                </c:pt>
                <c:pt idx="170">
                  <c:v>18.393456790123455</c:v>
                </c:pt>
                <c:pt idx="171">
                  <c:v>18.393456790123455</c:v>
                </c:pt>
                <c:pt idx="172">
                  <c:v>18.397160493827158</c:v>
                </c:pt>
                <c:pt idx="173">
                  <c:v>18.408518518518516</c:v>
                </c:pt>
                <c:pt idx="174">
                  <c:v>18.41975308641975</c:v>
                </c:pt>
                <c:pt idx="175">
                  <c:v>18.438641975308641</c:v>
                </c:pt>
                <c:pt idx="176">
                  <c:v>18.442469135802465</c:v>
                </c:pt>
                <c:pt idx="177">
                  <c:v>18.427283950617284</c:v>
                </c:pt>
                <c:pt idx="178">
                  <c:v>18.423580246913577</c:v>
                </c:pt>
                <c:pt idx="179">
                  <c:v>18.438641975308641</c:v>
                </c:pt>
                <c:pt idx="180">
                  <c:v>18.446172839506172</c:v>
                </c:pt>
                <c:pt idx="181">
                  <c:v>18.45</c:v>
                </c:pt>
                <c:pt idx="182">
                  <c:v>18.45</c:v>
                </c:pt>
                <c:pt idx="183">
                  <c:v>18.453703703703706</c:v>
                </c:pt>
                <c:pt idx="184">
                  <c:v>18.45753086419753</c:v>
                </c:pt>
                <c:pt idx="185">
                  <c:v>18.461234567901233</c:v>
                </c:pt>
                <c:pt idx="186">
                  <c:v>18.472592592592594</c:v>
                </c:pt>
                <c:pt idx="187">
                  <c:v>18.483827160493824</c:v>
                </c:pt>
                <c:pt idx="188">
                  <c:v>18.480123456790125</c:v>
                </c:pt>
                <c:pt idx="189">
                  <c:v>18.476296296296297</c:v>
                </c:pt>
                <c:pt idx="190">
                  <c:v>18.480123456790125</c:v>
                </c:pt>
                <c:pt idx="191">
                  <c:v>18.472592592592594</c:v>
                </c:pt>
                <c:pt idx="192">
                  <c:v>18.446172839506172</c:v>
                </c:pt>
                <c:pt idx="193">
                  <c:v>18.434938271604938</c:v>
                </c:pt>
                <c:pt idx="194">
                  <c:v>18.45753086419753</c:v>
                </c:pt>
                <c:pt idx="195">
                  <c:v>18.468765432098763</c:v>
                </c:pt>
                <c:pt idx="196">
                  <c:v>18.480123456790125</c:v>
                </c:pt>
                <c:pt idx="197">
                  <c:v>18.480123456790125</c:v>
                </c:pt>
                <c:pt idx="198">
                  <c:v>18.472592592592594</c:v>
                </c:pt>
                <c:pt idx="199">
                  <c:v>18.480123456790125</c:v>
                </c:pt>
                <c:pt idx="200">
                  <c:v>18.480123456790125</c:v>
                </c:pt>
                <c:pt idx="201">
                  <c:v>18.480123456790125</c:v>
                </c:pt>
                <c:pt idx="202">
                  <c:v>18.487654320987652</c:v>
                </c:pt>
                <c:pt idx="203">
                  <c:v>18.468765432098763</c:v>
                </c:pt>
                <c:pt idx="204">
                  <c:v>18.476296296296297</c:v>
                </c:pt>
                <c:pt idx="205">
                  <c:v>18.46506172839506</c:v>
                </c:pt>
                <c:pt idx="206">
                  <c:v>18.476296296296297</c:v>
                </c:pt>
                <c:pt idx="207">
                  <c:v>18.480123456790125</c:v>
                </c:pt>
                <c:pt idx="208">
                  <c:v>18.472592592592594</c:v>
                </c:pt>
                <c:pt idx="209">
                  <c:v>18.472592592592594</c:v>
                </c:pt>
                <c:pt idx="210">
                  <c:v>18.468765432098763</c:v>
                </c:pt>
                <c:pt idx="211">
                  <c:v>18.45753086419753</c:v>
                </c:pt>
                <c:pt idx="212">
                  <c:v>18.442469135802465</c:v>
                </c:pt>
                <c:pt idx="213">
                  <c:v>18.453703703703706</c:v>
                </c:pt>
                <c:pt idx="214">
                  <c:v>18.461234567901233</c:v>
                </c:pt>
                <c:pt idx="215">
                  <c:v>18.476296296296297</c:v>
                </c:pt>
                <c:pt idx="216">
                  <c:v>18.495185185185186</c:v>
                </c:pt>
                <c:pt idx="217">
                  <c:v>18.495185185185186</c:v>
                </c:pt>
                <c:pt idx="218">
                  <c:v>18.491358024691355</c:v>
                </c:pt>
                <c:pt idx="219">
                  <c:v>18.483827160493824</c:v>
                </c:pt>
                <c:pt idx="220">
                  <c:v>18.480123456790125</c:v>
                </c:pt>
                <c:pt idx="221">
                  <c:v>18.487654320987652</c:v>
                </c:pt>
                <c:pt idx="222">
                  <c:v>18.498888888888889</c:v>
                </c:pt>
                <c:pt idx="223">
                  <c:v>18.506419753086419</c:v>
                </c:pt>
                <c:pt idx="224">
                  <c:v>18.498888888888889</c:v>
                </c:pt>
                <c:pt idx="225">
                  <c:v>18.491358024691355</c:v>
                </c:pt>
                <c:pt idx="226">
                  <c:v>18.487654320987652</c:v>
                </c:pt>
                <c:pt idx="227">
                  <c:v>18.495185185185186</c:v>
                </c:pt>
                <c:pt idx="228">
                  <c:v>18.495185185185186</c:v>
                </c:pt>
                <c:pt idx="229">
                  <c:v>18.483827160493824</c:v>
                </c:pt>
                <c:pt idx="230">
                  <c:v>18.476296296296297</c:v>
                </c:pt>
                <c:pt idx="231">
                  <c:v>18.472592592592594</c:v>
                </c:pt>
                <c:pt idx="232">
                  <c:v>18.46506172839506</c:v>
                </c:pt>
                <c:pt idx="233">
                  <c:v>18.46506172839506</c:v>
                </c:pt>
                <c:pt idx="234">
                  <c:v>18.472592592592594</c:v>
                </c:pt>
                <c:pt idx="235">
                  <c:v>18.491358024691355</c:v>
                </c:pt>
                <c:pt idx="236">
                  <c:v>18.510246913580243</c:v>
                </c:pt>
                <c:pt idx="237">
                  <c:v>18.517777777777777</c:v>
                </c:pt>
                <c:pt idx="238">
                  <c:v>18.51395061728395</c:v>
                </c:pt>
                <c:pt idx="239">
                  <c:v>18.525308641975307</c:v>
                </c:pt>
                <c:pt idx="240">
                  <c:v>18.532839506172838</c:v>
                </c:pt>
                <c:pt idx="241">
                  <c:v>18.532839506172838</c:v>
                </c:pt>
                <c:pt idx="242">
                  <c:v>18.536543209876541</c:v>
                </c:pt>
                <c:pt idx="243">
                  <c:v>18.536543209876541</c:v>
                </c:pt>
                <c:pt idx="244">
                  <c:v>18.532839506172838</c:v>
                </c:pt>
                <c:pt idx="245">
                  <c:v>18.525308641975307</c:v>
                </c:pt>
                <c:pt idx="246">
                  <c:v>18.529012345679011</c:v>
                </c:pt>
                <c:pt idx="247">
                  <c:v>18.525308641975307</c:v>
                </c:pt>
                <c:pt idx="248">
                  <c:v>18.498888888888889</c:v>
                </c:pt>
                <c:pt idx="249">
                  <c:v>18.495185185185186</c:v>
                </c:pt>
                <c:pt idx="250">
                  <c:v>18.495185185185186</c:v>
                </c:pt>
                <c:pt idx="251">
                  <c:v>18.487654320987652</c:v>
                </c:pt>
                <c:pt idx="252">
                  <c:v>18.487654320987652</c:v>
                </c:pt>
                <c:pt idx="253">
                  <c:v>18.491358024691355</c:v>
                </c:pt>
                <c:pt idx="254">
                  <c:v>18.502716049382713</c:v>
                </c:pt>
                <c:pt idx="255">
                  <c:v>18.502716049382713</c:v>
                </c:pt>
                <c:pt idx="256">
                  <c:v>18.487654320987652</c:v>
                </c:pt>
                <c:pt idx="257">
                  <c:v>18.468765432098763</c:v>
                </c:pt>
                <c:pt idx="258">
                  <c:v>18.442469135802465</c:v>
                </c:pt>
                <c:pt idx="259">
                  <c:v>18.45753086419753</c:v>
                </c:pt>
                <c:pt idx="260">
                  <c:v>18.476296296296297</c:v>
                </c:pt>
                <c:pt idx="261">
                  <c:v>18.487654320987652</c:v>
                </c:pt>
                <c:pt idx="262">
                  <c:v>18.495185185185186</c:v>
                </c:pt>
                <c:pt idx="263">
                  <c:v>18.510246913580243</c:v>
                </c:pt>
                <c:pt idx="264">
                  <c:v>18.517777777777777</c:v>
                </c:pt>
                <c:pt idx="265">
                  <c:v>18.525308641975307</c:v>
                </c:pt>
                <c:pt idx="266">
                  <c:v>18.544197530864199</c:v>
                </c:pt>
                <c:pt idx="267">
                  <c:v>18.544197530864199</c:v>
                </c:pt>
                <c:pt idx="268">
                  <c:v>18.547901234567902</c:v>
                </c:pt>
                <c:pt idx="269">
                  <c:v>18.544197530864199</c:v>
                </c:pt>
                <c:pt idx="270">
                  <c:v>18.532839506172838</c:v>
                </c:pt>
                <c:pt idx="271">
                  <c:v>18.525308641975307</c:v>
                </c:pt>
                <c:pt idx="272">
                  <c:v>18.536543209876541</c:v>
                </c:pt>
                <c:pt idx="273">
                  <c:v>18.551728395061726</c:v>
                </c:pt>
                <c:pt idx="274">
                  <c:v>18.578024691358021</c:v>
                </c:pt>
                <c:pt idx="275">
                  <c:v>18.581851851851848</c:v>
                </c:pt>
                <c:pt idx="276">
                  <c:v>18.581851851851848</c:v>
                </c:pt>
                <c:pt idx="277">
                  <c:v>18.581851851851848</c:v>
                </c:pt>
                <c:pt idx="278">
                  <c:v>18.578024691358021</c:v>
                </c:pt>
                <c:pt idx="279">
                  <c:v>18.559259259259257</c:v>
                </c:pt>
                <c:pt idx="280">
                  <c:v>18.551728395061726</c:v>
                </c:pt>
                <c:pt idx="281">
                  <c:v>18.547901234567902</c:v>
                </c:pt>
                <c:pt idx="282">
                  <c:v>18.540370370370372</c:v>
                </c:pt>
                <c:pt idx="283">
                  <c:v>18.532839506172838</c:v>
                </c:pt>
                <c:pt idx="284">
                  <c:v>18.532839506172838</c:v>
                </c:pt>
                <c:pt idx="285">
                  <c:v>18.525308641975307</c:v>
                </c:pt>
                <c:pt idx="286">
                  <c:v>18.517777777777777</c:v>
                </c:pt>
                <c:pt idx="287">
                  <c:v>18.517777777777777</c:v>
                </c:pt>
                <c:pt idx="288">
                  <c:v>18.521481481481484</c:v>
                </c:pt>
                <c:pt idx="289">
                  <c:v>18.529012345679011</c:v>
                </c:pt>
                <c:pt idx="290">
                  <c:v>18.529012345679011</c:v>
                </c:pt>
                <c:pt idx="291">
                  <c:v>18.525308641975307</c:v>
                </c:pt>
                <c:pt idx="292">
                  <c:v>18.525308641975307</c:v>
                </c:pt>
                <c:pt idx="293">
                  <c:v>18.510246913580243</c:v>
                </c:pt>
                <c:pt idx="294">
                  <c:v>18.517777777777777</c:v>
                </c:pt>
                <c:pt idx="295">
                  <c:v>18.536543209876541</c:v>
                </c:pt>
                <c:pt idx="296">
                  <c:v>18.547901234567902</c:v>
                </c:pt>
                <c:pt idx="297">
                  <c:v>18.562962962962963</c:v>
                </c:pt>
                <c:pt idx="298">
                  <c:v>18.566790123456791</c:v>
                </c:pt>
                <c:pt idx="299">
                  <c:v>18.559259259259257</c:v>
                </c:pt>
                <c:pt idx="300">
                  <c:v>18.559259259259257</c:v>
                </c:pt>
                <c:pt idx="301">
                  <c:v>18.559259259259257</c:v>
                </c:pt>
                <c:pt idx="302">
                  <c:v>18.551728395061726</c:v>
                </c:pt>
                <c:pt idx="303">
                  <c:v>18.555432098765429</c:v>
                </c:pt>
                <c:pt idx="304">
                  <c:v>18.562962962962963</c:v>
                </c:pt>
                <c:pt idx="305">
                  <c:v>18.570493827160494</c:v>
                </c:pt>
                <c:pt idx="306">
                  <c:v>18.581851851851848</c:v>
                </c:pt>
                <c:pt idx="307">
                  <c:v>18.578024691358021</c:v>
                </c:pt>
                <c:pt idx="308">
                  <c:v>18.570493827160494</c:v>
                </c:pt>
                <c:pt idx="309">
                  <c:v>18.570493827160494</c:v>
                </c:pt>
                <c:pt idx="310">
                  <c:v>18.578024691358021</c:v>
                </c:pt>
                <c:pt idx="311">
                  <c:v>18.566790123456791</c:v>
                </c:pt>
                <c:pt idx="312">
                  <c:v>18.562962962962963</c:v>
                </c:pt>
                <c:pt idx="313">
                  <c:v>18.562962962962963</c:v>
                </c:pt>
                <c:pt idx="314">
                  <c:v>18.566790123456791</c:v>
                </c:pt>
                <c:pt idx="315">
                  <c:v>18.555432098765429</c:v>
                </c:pt>
                <c:pt idx="316">
                  <c:v>18.555432098765429</c:v>
                </c:pt>
                <c:pt idx="317">
                  <c:v>18.562962962962963</c:v>
                </c:pt>
                <c:pt idx="318">
                  <c:v>18.555432098765429</c:v>
                </c:pt>
                <c:pt idx="319">
                  <c:v>18.544197530864199</c:v>
                </c:pt>
                <c:pt idx="320">
                  <c:v>18.540370370370372</c:v>
                </c:pt>
                <c:pt idx="321">
                  <c:v>18.559259259259257</c:v>
                </c:pt>
                <c:pt idx="322">
                  <c:v>18.570493827160494</c:v>
                </c:pt>
                <c:pt idx="323">
                  <c:v>18.559259259259257</c:v>
                </c:pt>
                <c:pt idx="324">
                  <c:v>18.559259259259257</c:v>
                </c:pt>
                <c:pt idx="325">
                  <c:v>18.544197530864199</c:v>
                </c:pt>
                <c:pt idx="326">
                  <c:v>18.555432098765429</c:v>
                </c:pt>
                <c:pt idx="327">
                  <c:v>18.574320987654321</c:v>
                </c:pt>
                <c:pt idx="328">
                  <c:v>18.581851851851848</c:v>
                </c:pt>
                <c:pt idx="329">
                  <c:v>18.585555555555555</c:v>
                </c:pt>
                <c:pt idx="330">
                  <c:v>18.574320987654321</c:v>
                </c:pt>
                <c:pt idx="331">
                  <c:v>18.574320987654321</c:v>
                </c:pt>
                <c:pt idx="332">
                  <c:v>18.566790123456791</c:v>
                </c:pt>
                <c:pt idx="333">
                  <c:v>18.578024691358021</c:v>
                </c:pt>
                <c:pt idx="334">
                  <c:v>18.581851851851848</c:v>
                </c:pt>
                <c:pt idx="335">
                  <c:v>18.596913580246913</c:v>
                </c:pt>
                <c:pt idx="336">
                  <c:v>18.611975308641973</c:v>
                </c:pt>
                <c:pt idx="337">
                  <c:v>18.60814814814815</c:v>
                </c:pt>
                <c:pt idx="338">
                  <c:v>18.619506172839504</c:v>
                </c:pt>
                <c:pt idx="339">
                  <c:v>18.619506172839504</c:v>
                </c:pt>
                <c:pt idx="340">
                  <c:v>18.604444444444443</c:v>
                </c:pt>
                <c:pt idx="341">
                  <c:v>18.581851851851848</c:v>
                </c:pt>
                <c:pt idx="342">
                  <c:v>18.570493827160494</c:v>
                </c:pt>
                <c:pt idx="343">
                  <c:v>18.555432098765429</c:v>
                </c:pt>
                <c:pt idx="344">
                  <c:v>18.536543209876541</c:v>
                </c:pt>
                <c:pt idx="345">
                  <c:v>18.536543209876541</c:v>
                </c:pt>
                <c:pt idx="346">
                  <c:v>18.559259259259257</c:v>
                </c:pt>
                <c:pt idx="347">
                  <c:v>18.566790123456791</c:v>
                </c:pt>
                <c:pt idx="348">
                  <c:v>18.566790123456791</c:v>
                </c:pt>
                <c:pt idx="349">
                  <c:v>18.566790123456791</c:v>
                </c:pt>
                <c:pt idx="350">
                  <c:v>18.566790123456791</c:v>
                </c:pt>
                <c:pt idx="351">
                  <c:v>18.566790123456791</c:v>
                </c:pt>
                <c:pt idx="352">
                  <c:v>18.566790123456791</c:v>
                </c:pt>
                <c:pt idx="353">
                  <c:v>18.574320987654321</c:v>
                </c:pt>
                <c:pt idx="354">
                  <c:v>18.589382716049382</c:v>
                </c:pt>
                <c:pt idx="355">
                  <c:v>18.600617283950616</c:v>
                </c:pt>
                <c:pt idx="356">
                  <c:v>18.60814814814815</c:v>
                </c:pt>
                <c:pt idx="357">
                  <c:v>18.611975308641973</c:v>
                </c:pt>
                <c:pt idx="358">
                  <c:v>18.604444444444443</c:v>
                </c:pt>
                <c:pt idx="359">
                  <c:v>18.600617283950616</c:v>
                </c:pt>
                <c:pt idx="360">
                  <c:v>18.600617283950616</c:v>
                </c:pt>
                <c:pt idx="361">
                  <c:v>18.611975308641973</c:v>
                </c:pt>
                <c:pt idx="362">
                  <c:v>18.611975308641973</c:v>
                </c:pt>
                <c:pt idx="363">
                  <c:v>18.611975308641973</c:v>
                </c:pt>
                <c:pt idx="364">
                  <c:v>18.60814814814815</c:v>
                </c:pt>
                <c:pt idx="365">
                  <c:v>18.60814814814815</c:v>
                </c:pt>
                <c:pt idx="366">
                  <c:v>18.60814814814815</c:v>
                </c:pt>
                <c:pt idx="367">
                  <c:v>18.61567901234568</c:v>
                </c:pt>
                <c:pt idx="368">
                  <c:v>18.60814814814815</c:v>
                </c:pt>
                <c:pt idx="369">
                  <c:v>18.60814814814815</c:v>
                </c:pt>
                <c:pt idx="370">
                  <c:v>18.61567901234568</c:v>
                </c:pt>
                <c:pt idx="371">
                  <c:v>18.619506172839504</c:v>
                </c:pt>
                <c:pt idx="372">
                  <c:v>18.630740740740741</c:v>
                </c:pt>
                <c:pt idx="373">
                  <c:v>18.638271604938272</c:v>
                </c:pt>
                <c:pt idx="374">
                  <c:v>18.638271604938272</c:v>
                </c:pt>
                <c:pt idx="375">
                  <c:v>18.649629629629626</c:v>
                </c:pt>
                <c:pt idx="376">
                  <c:v>18.660987654320987</c:v>
                </c:pt>
                <c:pt idx="377">
                  <c:v>18.679753086419751</c:v>
                </c:pt>
                <c:pt idx="378">
                  <c:v>18.676049382716048</c:v>
                </c:pt>
                <c:pt idx="379">
                  <c:v>18.672222222222221</c:v>
                </c:pt>
                <c:pt idx="380">
                  <c:v>18.668518518518518</c:v>
                </c:pt>
                <c:pt idx="381">
                  <c:v>18.676049382716048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'20221210T210000'!$BD$11:$BD$500</c:f>
              <c:numCache>
                <c:formatCode>General</c:formatCode>
                <c:ptCount val="490"/>
                <c:pt idx="0">
                  <c:v>18.66469135802469</c:v>
                </c:pt>
                <c:pt idx="1">
                  <c:v>18.660987654320987</c:v>
                </c:pt>
                <c:pt idx="2">
                  <c:v>18.66469135802469</c:v>
                </c:pt>
                <c:pt idx="3">
                  <c:v>18.676049382716048</c:v>
                </c:pt>
                <c:pt idx="4">
                  <c:v>18.687283950617282</c:v>
                </c:pt>
                <c:pt idx="5">
                  <c:v>18.683580246913579</c:v>
                </c:pt>
                <c:pt idx="6">
                  <c:v>18.676049382716048</c:v>
                </c:pt>
                <c:pt idx="7">
                  <c:v>18.65716049382716</c:v>
                </c:pt>
                <c:pt idx="8">
                  <c:v>18.653456790123457</c:v>
                </c:pt>
                <c:pt idx="9">
                  <c:v>18.653456790123457</c:v>
                </c:pt>
                <c:pt idx="10">
                  <c:v>18.660987654320987</c:v>
                </c:pt>
                <c:pt idx="11">
                  <c:v>18.668518518518518</c:v>
                </c:pt>
                <c:pt idx="12">
                  <c:v>18.66469135802469</c:v>
                </c:pt>
                <c:pt idx="13">
                  <c:v>18.66469135802469</c:v>
                </c:pt>
                <c:pt idx="14">
                  <c:v>18.660987654320987</c:v>
                </c:pt>
                <c:pt idx="15">
                  <c:v>18.660987654320987</c:v>
                </c:pt>
                <c:pt idx="16">
                  <c:v>18.65716049382716</c:v>
                </c:pt>
                <c:pt idx="17">
                  <c:v>18.65716049382716</c:v>
                </c:pt>
                <c:pt idx="18">
                  <c:v>18.653456790123457</c:v>
                </c:pt>
                <c:pt idx="19">
                  <c:v>18.642098765432099</c:v>
                </c:pt>
                <c:pt idx="20">
                  <c:v>18.611975308641973</c:v>
                </c:pt>
                <c:pt idx="21">
                  <c:v>18.604444444444443</c:v>
                </c:pt>
                <c:pt idx="22">
                  <c:v>18.604444444444443</c:v>
                </c:pt>
                <c:pt idx="23">
                  <c:v>18.600617283950616</c:v>
                </c:pt>
                <c:pt idx="24">
                  <c:v>18.589382716049382</c:v>
                </c:pt>
                <c:pt idx="25">
                  <c:v>18.585555555555555</c:v>
                </c:pt>
                <c:pt idx="26">
                  <c:v>18.596913580246913</c:v>
                </c:pt>
                <c:pt idx="27">
                  <c:v>18.600617283950616</c:v>
                </c:pt>
                <c:pt idx="28">
                  <c:v>18.593086419753085</c:v>
                </c:pt>
                <c:pt idx="29">
                  <c:v>18.593086419753085</c:v>
                </c:pt>
                <c:pt idx="30">
                  <c:v>18.596913580246913</c:v>
                </c:pt>
                <c:pt idx="31">
                  <c:v>18.596913580246913</c:v>
                </c:pt>
                <c:pt idx="32">
                  <c:v>18.581851851851848</c:v>
                </c:pt>
                <c:pt idx="33">
                  <c:v>18.570493827160494</c:v>
                </c:pt>
                <c:pt idx="34">
                  <c:v>18.559259259259257</c:v>
                </c:pt>
                <c:pt idx="35">
                  <c:v>18.559259259259257</c:v>
                </c:pt>
                <c:pt idx="36">
                  <c:v>18.559259259259257</c:v>
                </c:pt>
                <c:pt idx="37">
                  <c:v>18.562962962962963</c:v>
                </c:pt>
                <c:pt idx="38">
                  <c:v>18.566790123456791</c:v>
                </c:pt>
                <c:pt idx="39">
                  <c:v>18.562962962962963</c:v>
                </c:pt>
                <c:pt idx="40">
                  <c:v>18.562962962962963</c:v>
                </c:pt>
                <c:pt idx="41">
                  <c:v>18.566790123456791</c:v>
                </c:pt>
                <c:pt idx="42">
                  <c:v>18.581851851851848</c:v>
                </c:pt>
                <c:pt idx="43">
                  <c:v>18.585555555555555</c:v>
                </c:pt>
                <c:pt idx="44">
                  <c:v>18.574320987654321</c:v>
                </c:pt>
                <c:pt idx="45">
                  <c:v>18.566790123456791</c:v>
                </c:pt>
                <c:pt idx="46">
                  <c:v>18.562962962962963</c:v>
                </c:pt>
                <c:pt idx="47">
                  <c:v>18.551728395061726</c:v>
                </c:pt>
                <c:pt idx="48">
                  <c:v>18.544197530864199</c:v>
                </c:pt>
                <c:pt idx="49">
                  <c:v>18.532839506172838</c:v>
                </c:pt>
                <c:pt idx="50">
                  <c:v>18.521481481481484</c:v>
                </c:pt>
                <c:pt idx="51">
                  <c:v>18.517777777777777</c:v>
                </c:pt>
                <c:pt idx="52">
                  <c:v>18.517777777777777</c:v>
                </c:pt>
                <c:pt idx="53">
                  <c:v>18.510246913580243</c:v>
                </c:pt>
                <c:pt idx="54">
                  <c:v>18.498888888888889</c:v>
                </c:pt>
                <c:pt idx="55">
                  <c:v>18.487654320987652</c:v>
                </c:pt>
                <c:pt idx="56">
                  <c:v>18.476296296296297</c:v>
                </c:pt>
                <c:pt idx="57">
                  <c:v>18.476296296296297</c:v>
                </c:pt>
                <c:pt idx="58">
                  <c:v>18.487654320987652</c:v>
                </c:pt>
                <c:pt idx="59">
                  <c:v>18.495185185185186</c:v>
                </c:pt>
                <c:pt idx="60">
                  <c:v>18.517777777777777</c:v>
                </c:pt>
                <c:pt idx="61">
                  <c:v>18.529012345679011</c:v>
                </c:pt>
                <c:pt idx="62">
                  <c:v>18.529012345679011</c:v>
                </c:pt>
                <c:pt idx="63">
                  <c:v>18.529012345679011</c:v>
                </c:pt>
                <c:pt idx="64">
                  <c:v>18.532839506172838</c:v>
                </c:pt>
                <c:pt idx="65">
                  <c:v>18.532839506172838</c:v>
                </c:pt>
                <c:pt idx="66">
                  <c:v>18.536543209876541</c:v>
                </c:pt>
                <c:pt idx="67">
                  <c:v>18.532839506172838</c:v>
                </c:pt>
                <c:pt idx="68">
                  <c:v>18.544197530864199</c:v>
                </c:pt>
                <c:pt idx="69">
                  <c:v>18.529012345679011</c:v>
                </c:pt>
                <c:pt idx="70">
                  <c:v>18.525308641975307</c:v>
                </c:pt>
                <c:pt idx="71">
                  <c:v>18.510246913580243</c:v>
                </c:pt>
                <c:pt idx="72">
                  <c:v>18.510246913580243</c:v>
                </c:pt>
                <c:pt idx="73">
                  <c:v>18.525308641975307</c:v>
                </c:pt>
                <c:pt idx="74">
                  <c:v>18.540370370370372</c:v>
                </c:pt>
                <c:pt idx="75">
                  <c:v>18.540370370370372</c:v>
                </c:pt>
                <c:pt idx="76">
                  <c:v>18.536543209876541</c:v>
                </c:pt>
                <c:pt idx="77">
                  <c:v>18.540370370370372</c:v>
                </c:pt>
                <c:pt idx="78">
                  <c:v>18.540370370370372</c:v>
                </c:pt>
                <c:pt idx="79">
                  <c:v>18.529012345679011</c:v>
                </c:pt>
                <c:pt idx="80">
                  <c:v>18.536543209876541</c:v>
                </c:pt>
                <c:pt idx="81">
                  <c:v>18.544197530864199</c:v>
                </c:pt>
                <c:pt idx="82">
                  <c:v>18.555432098765429</c:v>
                </c:pt>
                <c:pt idx="83">
                  <c:v>18.540370370370372</c:v>
                </c:pt>
                <c:pt idx="84">
                  <c:v>18.544197530864199</c:v>
                </c:pt>
                <c:pt idx="85">
                  <c:v>18.555432098765429</c:v>
                </c:pt>
                <c:pt idx="86">
                  <c:v>18.555432098765429</c:v>
                </c:pt>
                <c:pt idx="87">
                  <c:v>18.562962962962963</c:v>
                </c:pt>
                <c:pt idx="88">
                  <c:v>18.570493827160494</c:v>
                </c:pt>
                <c:pt idx="89">
                  <c:v>18.562962962962963</c:v>
                </c:pt>
                <c:pt idx="90">
                  <c:v>18.559259259259257</c:v>
                </c:pt>
                <c:pt idx="91">
                  <c:v>18.562962962962963</c:v>
                </c:pt>
                <c:pt idx="92">
                  <c:v>18.555432098765429</c:v>
                </c:pt>
                <c:pt idx="93">
                  <c:v>18.540370370370372</c:v>
                </c:pt>
                <c:pt idx="94">
                  <c:v>18.544197530864199</c:v>
                </c:pt>
                <c:pt idx="95">
                  <c:v>18.540370370370372</c:v>
                </c:pt>
                <c:pt idx="96">
                  <c:v>18.540370370370372</c:v>
                </c:pt>
                <c:pt idx="97">
                  <c:v>18.544197530864199</c:v>
                </c:pt>
                <c:pt idx="98">
                  <c:v>18.555432098765429</c:v>
                </c:pt>
                <c:pt idx="99">
                  <c:v>18.574320987654321</c:v>
                </c:pt>
                <c:pt idx="100">
                  <c:v>18.570493827160494</c:v>
                </c:pt>
                <c:pt idx="101">
                  <c:v>18.562962962962963</c:v>
                </c:pt>
                <c:pt idx="102">
                  <c:v>18.551728395061726</c:v>
                </c:pt>
                <c:pt idx="103">
                  <c:v>18.544197530864199</c:v>
                </c:pt>
                <c:pt idx="104">
                  <c:v>18.536543209876541</c:v>
                </c:pt>
                <c:pt idx="105">
                  <c:v>18.529012345679011</c:v>
                </c:pt>
                <c:pt idx="106">
                  <c:v>18.506419753086419</c:v>
                </c:pt>
                <c:pt idx="107">
                  <c:v>18.506419753086419</c:v>
                </c:pt>
                <c:pt idx="108">
                  <c:v>18.51395061728395</c:v>
                </c:pt>
                <c:pt idx="109">
                  <c:v>18.529012345679011</c:v>
                </c:pt>
                <c:pt idx="110">
                  <c:v>18.540370370370372</c:v>
                </c:pt>
                <c:pt idx="111">
                  <c:v>18.547901234567902</c:v>
                </c:pt>
                <c:pt idx="112">
                  <c:v>18.540370370370372</c:v>
                </c:pt>
                <c:pt idx="113">
                  <c:v>18.529012345679011</c:v>
                </c:pt>
                <c:pt idx="114">
                  <c:v>18.510246913580243</c:v>
                </c:pt>
                <c:pt idx="115">
                  <c:v>18.483827160493824</c:v>
                </c:pt>
                <c:pt idx="116">
                  <c:v>18.476296296296297</c:v>
                </c:pt>
                <c:pt idx="117">
                  <c:v>18.472592592592594</c:v>
                </c:pt>
                <c:pt idx="118">
                  <c:v>18.487654320987652</c:v>
                </c:pt>
                <c:pt idx="119">
                  <c:v>18.487654320987652</c:v>
                </c:pt>
                <c:pt idx="120">
                  <c:v>18.480123456790125</c:v>
                </c:pt>
                <c:pt idx="121">
                  <c:v>18.480123456790125</c:v>
                </c:pt>
                <c:pt idx="122">
                  <c:v>18.483827160493824</c:v>
                </c:pt>
                <c:pt idx="123">
                  <c:v>18.487654320987652</c:v>
                </c:pt>
                <c:pt idx="124">
                  <c:v>18.472592592592594</c:v>
                </c:pt>
                <c:pt idx="125">
                  <c:v>18.472592592592594</c:v>
                </c:pt>
                <c:pt idx="126">
                  <c:v>18.495185185185186</c:v>
                </c:pt>
                <c:pt idx="127">
                  <c:v>18.498888888888889</c:v>
                </c:pt>
                <c:pt idx="128">
                  <c:v>18.502716049382713</c:v>
                </c:pt>
                <c:pt idx="129">
                  <c:v>18.495185185185186</c:v>
                </c:pt>
                <c:pt idx="130">
                  <c:v>18.491358024691355</c:v>
                </c:pt>
                <c:pt idx="131">
                  <c:v>18.487654320987652</c:v>
                </c:pt>
                <c:pt idx="132">
                  <c:v>18.491358024691355</c:v>
                </c:pt>
                <c:pt idx="133">
                  <c:v>18.506419753086419</c:v>
                </c:pt>
                <c:pt idx="134">
                  <c:v>18.502716049382713</c:v>
                </c:pt>
                <c:pt idx="135">
                  <c:v>18.51395061728395</c:v>
                </c:pt>
                <c:pt idx="136">
                  <c:v>18.517777777777777</c:v>
                </c:pt>
                <c:pt idx="137">
                  <c:v>18.532839506172838</c:v>
                </c:pt>
                <c:pt idx="138">
                  <c:v>18.525308641975307</c:v>
                </c:pt>
                <c:pt idx="139">
                  <c:v>18.517777777777777</c:v>
                </c:pt>
                <c:pt idx="140">
                  <c:v>18.525308641975307</c:v>
                </c:pt>
                <c:pt idx="141">
                  <c:v>18.525308641975307</c:v>
                </c:pt>
                <c:pt idx="142">
                  <c:v>18.529012345679011</c:v>
                </c:pt>
                <c:pt idx="143">
                  <c:v>18.521481481481484</c:v>
                </c:pt>
                <c:pt idx="144">
                  <c:v>18.510246913580243</c:v>
                </c:pt>
                <c:pt idx="145">
                  <c:v>18.498888888888889</c:v>
                </c:pt>
                <c:pt idx="146">
                  <c:v>18.491358024691355</c:v>
                </c:pt>
                <c:pt idx="147">
                  <c:v>18.487654320987652</c:v>
                </c:pt>
                <c:pt idx="148">
                  <c:v>18.476296296296297</c:v>
                </c:pt>
                <c:pt idx="149">
                  <c:v>18.468765432098763</c:v>
                </c:pt>
                <c:pt idx="150">
                  <c:v>18.45</c:v>
                </c:pt>
                <c:pt idx="151">
                  <c:v>18.427283950617284</c:v>
                </c:pt>
                <c:pt idx="152">
                  <c:v>18.434938271604938</c:v>
                </c:pt>
                <c:pt idx="153">
                  <c:v>18.442469135802465</c:v>
                </c:pt>
                <c:pt idx="154">
                  <c:v>18.45753086419753</c:v>
                </c:pt>
                <c:pt idx="155">
                  <c:v>18.453703703703706</c:v>
                </c:pt>
                <c:pt idx="156">
                  <c:v>18.45753086419753</c:v>
                </c:pt>
                <c:pt idx="157">
                  <c:v>18.46506172839506</c:v>
                </c:pt>
                <c:pt idx="158">
                  <c:v>18.468765432098763</c:v>
                </c:pt>
                <c:pt idx="159">
                  <c:v>18.461234567901233</c:v>
                </c:pt>
                <c:pt idx="160">
                  <c:v>18.468765432098763</c:v>
                </c:pt>
                <c:pt idx="161">
                  <c:v>18.480123456790125</c:v>
                </c:pt>
                <c:pt idx="162">
                  <c:v>18.487654320987652</c:v>
                </c:pt>
                <c:pt idx="163">
                  <c:v>18.480123456790125</c:v>
                </c:pt>
                <c:pt idx="164">
                  <c:v>18.468765432098763</c:v>
                </c:pt>
                <c:pt idx="165">
                  <c:v>18.453703703703706</c:v>
                </c:pt>
                <c:pt idx="166">
                  <c:v>18.442469135802465</c:v>
                </c:pt>
                <c:pt idx="167">
                  <c:v>18.431111111111111</c:v>
                </c:pt>
                <c:pt idx="168">
                  <c:v>18.427283950617284</c:v>
                </c:pt>
                <c:pt idx="169">
                  <c:v>18.423580246913577</c:v>
                </c:pt>
                <c:pt idx="170">
                  <c:v>18.434938271604938</c:v>
                </c:pt>
                <c:pt idx="171">
                  <c:v>18.453703703703706</c:v>
                </c:pt>
                <c:pt idx="172">
                  <c:v>18.461234567901233</c:v>
                </c:pt>
                <c:pt idx="173">
                  <c:v>18.46506172839506</c:v>
                </c:pt>
                <c:pt idx="174">
                  <c:v>18.453703703703706</c:v>
                </c:pt>
                <c:pt idx="175">
                  <c:v>18.442469135802465</c:v>
                </c:pt>
                <c:pt idx="176">
                  <c:v>18.446172839506172</c:v>
                </c:pt>
                <c:pt idx="177">
                  <c:v>18.442469135802465</c:v>
                </c:pt>
                <c:pt idx="178">
                  <c:v>18.442469135802465</c:v>
                </c:pt>
                <c:pt idx="179">
                  <c:v>18.446172839506172</c:v>
                </c:pt>
                <c:pt idx="180">
                  <c:v>18.438641975308641</c:v>
                </c:pt>
                <c:pt idx="181">
                  <c:v>18.431111111111111</c:v>
                </c:pt>
                <c:pt idx="182">
                  <c:v>18.431111111111111</c:v>
                </c:pt>
                <c:pt idx="183">
                  <c:v>18.427283950617284</c:v>
                </c:pt>
                <c:pt idx="184">
                  <c:v>18.41975308641975</c:v>
                </c:pt>
                <c:pt idx="185">
                  <c:v>18.423580246913577</c:v>
                </c:pt>
                <c:pt idx="186">
                  <c:v>18.438641975308641</c:v>
                </c:pt>
                <c:pt idx="187">
                  <c:v>18.45</c:v>
                </c:pt>
                <c:pt idx="188">
                  <c:v>18.45753086419753</c:v>
                </c:pt>
                <c:pt idx="189">
                  <c:v>18.446172839506172</c:v>
                </c:pt>
                <c:pt idx="190">
                  <c:v>18.446172839506172</c:v>
                </c:pt>
                <c:pt idx="191">
                  <c:v>18.434938271604938</c:v>
                </c:pt>
                <c:pt idx="192">
                  <c:v>18.431111111111111</c:v>
                </c:pt>
                <c:pt idx="193">
                  <c:v>18.423580246913577</c:v>
                </c:pt>
                <c:pt idx="194">
                  <c:v>18.416049382716047</c:v>
                </c:pt>
                <c:pt idx="195">
                  <c:v>18.416049382716047</c:v>
                </c:pt>
                <c:pt idx="196">
                  <c:v>18.404691358024692</c:v>
                </c:pt>
                <c:pt idx="197">
                  <c:v>18.393456790123455</c:v>
                </c:pt>
                <c:pt idx="198">
                  <c:v>18.400987654320986</c:v>
                </c:pt>
                <c:pt idx="199">
                  <c:v>18.385925925925928</c:v>
                </c:pt>
                <c:pt idx="200">
                  <c:v>18.382098765432101</c:v>
                </c:pt>
                <c:pt idx="201">
                  <c:v>18.370864197530864</c:v>
                </c:pt>
                <c:pt idx="202">
                  <c:v>18.370864197530864</c:v>
                </c:pt>
                <c:pt idx="203">
                  <c:v>18.374567901234567</c:v>
                </c:pt>
                <c:pt idx="204">
                  <c:v>18.382098765432101</c:v>
                </c:pt>
                <c:pt idx="205">
                  <c:v>18.378395061728394</c:v>
                </c:pt>
                <c:pt idx="206">
                  <c:v>18.374567901234567</c:v>
                </c:pt>
                <c:pt idx="207">
                  <c:v>18.382098765432101</c:v>
                </c:pt>
                <c:pt idx="208">
                  <c:v>18.378395061728394</c:v>
                </c:pt>
                <c:pt idx="209">
                  <c:v>18.382098765432101</c:v>
                </c:pt>
                <c:pt idx="210">
                  <c:v>18.374567901234567</c:v>
                </c:pt>
                <c:pt idx="211">
                  <c:v>18.370864197530864</c:v>
                </c:pt>
                <c:pt idx="212">
                  <c:v>18.378395061728394</c:v>
                </c:pt>
                <c:pt idx="213">
                  <c:v>18.378395061728394</c:v>
                </c:pt>
                <c:pt idx="214">
                  <c:v>18.367037037037036</c:v>
                </c:pt>
                <c:pt idx="215">
                  <c:v>18.363333333333333</c:v>
                </c:pt>
                <c:pt idx="216">
                  <c:v>18.363333333333333</c:v>
                </c:pt>
                <c:pt idx="217">
                  <c:v>18.370864197530864</c:v>
                </c:pt>
                <c:pt idx="218">
                  <c:v>18.378395061728394</c:v>
                </c:pt>
                <c:pt idx="219">
                  <c:v>18.382098765432101</c:v>
                </c:pt>
                <c:pt idx="220">
                  <c:v>18.385925925925928</c:v>
                </c:pt>
                <c:pt idx="221">
                  <c:v>18.385925925925928</c:v>
                </c:pt>
                <c:pt idx="222">
                  <c:v>18.378395061728394</c:v>
                </c:pt>
                <c:pt idx="223">
                  <c:v>18.370864197530864</c:v>
                </c:pt>
                <c:pt idx="224">
                  <c:v>18.363333333333333</c:v>
                </c:pt>
                <c:pt idx="225">
                  <c:v>18.348271604938269</c:v>
                </c:pt>
                <c:pt idx="226">
                  <c:v>18.329382716049381</c:v>
                </c:pt>
                <c:pt idx="227">
                  <c:v>18.32185185185185</c:v>
                </c:pt>
                <c:pt idx="228">
                  <c:v>18.329382716049381</c:v>
                </c:pt>
                <c:pt idx="229">
                  <c:v>18.325679012345677</c:v>
                </c:pt>
                <c:pt idx="230">
                  <c:v>18.32185185185185</c:v>
                </c:pt>
                <c:pt idx="231">
                  <c:v>18.318024691358023</c:v>
                </c:pt>
                <c:pt idx="232">
                  <c:v>18.306790123456789</c:v>
                </c:pt>
                <c:pt idx="233">
                  <c:v>18.295432098765431</c:v>
                </c:pt>
                <c:pt idx="234">
                  <c:v>18.284197530864198</c:v>
                </c:pt>
                <c:pt idx="235">
                  <c:v>18.284197530864198</c:v>
                </c:pt>
                <c:pt idx="236">
                  <c:v>18.291728395061728</c:v>
                </c:pt>
                <c:pt idx="237">
                  <c:v>18.291728395061728</c:v>
                </c:pt>
                <c:pt idx="238">
                  <c:v>18.291728395061728</c:v>
                </c:pt>
                <c:pt idx="239">
                  <c:v>18.28037037037037</c:v>
                </c:pt>
                <c:pt idx="240">
                  <c:v>18.276666666666667</c:v>
                </c:pt>
                <c:pt idx="241">
                  <c:v>18.276666666666667</c:v>
                </c:pt>
                <c:pt idx="242">
                  <c:v>18.276666666666667</c:v>
                </c:pt>
                <c:pt idx="243">
                  <c:v>18.291728395061728</c:v>
                </c:pt>
                <c:pt idx="244">
                  <c:v>18.302962962962962</c:v>
                </c:pt>
                <c:pt idx="245">
                  <c:v>18.31432098765432</c:v>
                </c:pt>
                <c:pt idx="246">
                  <c:v>18.318024691358023</c:v>
                </c:pt>
                <c:pt idx="247">
                  <c:v>18.306790123456789</c:v>
                </c:pt>
                <c:pt idx="248">
                  <c:v>18.284197530864198</c:v>
                </c:pt>
                <c:pt idx="249">
                  <c:v>18.257777777777775</c:v>
                </c:pt>
                <c:pt idx="250">
                  <c:v>18.242716049382715</c:v>
                </c:pt>
                <c:pt idx="251">
                  <c:v>18.235185185185184</c:v>
                </c:pt>
                <c:pt idx="252">
                  <c:v>18.227654320987654</c:v>
                </c:pt>
                <c:pt idx="253">
                  <c:v>18.235185185185184</c:v>
                </c:pt>
                <c:pt idx="254">
                  <c:v>18.231481481481481</c:v>
                </c:pt>
                <c:pt idx="255">
                  <c:v>18.227654320987654</c:v>
                </c:pt>
                <c:pt idx="256">
                  <c:v>18.216296296296292</c:v>
                </c:pt>
                <c:pt idx="257">
                  <c:v>18.205061728395062</c:v>
                </c:pt>
                <c:pt idx="258">
                  <c:v>18.201234567901235</c:v>
                </c:pt>
                <c:pt idx="259">
                  <c:v>18.193703703703704</c:v>
                </c:pt>
                <c:pt idx="260">
                  <c:v>18.193703703703704</c:v>
                </c:pt>
                <c:pt idx="261">
                  <c:v>18.182469135802467</c:v>
                </c:pt>
                <c:pt idx="262">
                  <c:v>18.182469135802467</c:v>
                </c:pt>
                <c:pt idx="263">
                  <c:v>18.178641975308643</c:v>
                </c:pt>
                <c:pt idx="264">
                  <c:v>18.182469135802467</c:v>
                </c:pt>
                <c:pt idx="265">
                  <c:v>18.182469135802467</c:v>
                </c:pt>
                <c:pt idx="266">
                  <c:v>18.182469135802467</c:v>
                </c:pt>
                <c:pt idx="267">
                  <c:v>18.174938271604937</c:v>
                </c:pt>
                <c:pt idx="268">
                  <c:v>18.171111111111109</c:v>
                </c:pt>
                <c:pt idx="269">
                  <c:v>18.159876543209876</c:v>
                </c:pt>
                <c:pt idx="270">
                  <c:v>18.144814814814815</c:v>
                </c:pt>
                <c:pt idx="271">
                  <c:v>18.125925925925923</c:v>
                </c:pt>
                <c:pt idx="272">
                  <c:v>18.110864197530866</c:v>
                </c:pt>
                <c:pt idx="273">
                  <c:v>18.095802469135801</c:v>
                </c:pt>
                <c:pt idx="274">
                  <c:v>18.080740740740737</c:v>
                </c:pt>
                <c:pt idx="275">
                  <c:v>18.058148148148145</c:v>
                </c:pt>
                <c:pt idx="276">
                  <c:v>18.039259259259257</c:v>
                </c:pt>
                <c:pt idx="277">
                  <c:v>18.028024691358024</c:v>
                </c:pt>
                <c:pt idx="278">
                  <c:v>18.012962962962959</c:v>
                </c:pt>
                <c:pt idx="279">
                  <c:v>17.98654320987654</c:v>
                </c:pt>
                <c:pt idx="280">
                  <c:v>17.971481481481479</c:v>
                </c:pt>
                <c:pt idx="281">
                  <c:v>17.963950617283949</c:v>
                </c:pt>
                <c:pt idx="282">
                  <c:v>17.945061728395061</c:v>
                </c:pt>
                <c:pt idx="283">
                  <c:v>17.93753086419753</c:v>
                </c:pt>
                <c:pt idx="284">
                  <c:v>17.933827160493827</c:v>
                </c:pt>
                <c:pt idx="285">
                  <c:v>17.918765432098763</c:v>
                </c:pt>
                <c:pt idx="286">
                  <c:v>17.907407407407408</c:v>
                </c:pt>
                <c:pt idx="287">
                  <c:v>17.888518518518516</c:v>
                </c:pt>
                <c:pt idx="288">
                  <c:v>17.858395061728395</c:v>
                </c:pt>
                <c:pt idx="289">
                  <c:v>17.820740740740739</c:v>
                </c:pt>
                <c:pt idx="290">
                  <c:v>17.794444444444444</c:v>
                </c:pt>
                <c:pt idx="291">
                  <c:v>17.775555555555556</c:v>
                </c:pt>
                <c:pt idx="292">
                  <c:v>17.752962962962961</c:v>
                </c:pt>
                <c:pt idx="293">
                  <c:v>17.73037037037037</c:v>
                </c:pt>
                <c:pt idx="294">
                  <c:v>17.707777777777778</c:v>
                </c:pt>
                <c:pt idx="295">
                  <c:v>17.685185185185183</c:v>
                </c:pt>
                <c:pt idx="296">
                  <c:v>17.669999999999998</c:v>
                </c:pt>
                <c:pt idx="297">
                  <c:v>17.647407407407407</c:v>
                </c:pt>
                <c:pt idx="298">
                  <c:v>17.636172839506173</c:v>
                </c:pt>
                <c:pt idx="299">
                  <c:v>17.613580246913582</c:v>
                </c:pt>
                <c:pt idx="300">
                  <c:v>17.579629629629629</c:v>
                </c:pt>
                <c:pt idx="301">
                  <c:v>17.560740740740737</c:v>
                </c:pt>
                <c:pt idx="302">
                  <c:v>17.538148148148146</c:v>
                </c:pt>
                <c:pt idx="303">
                  <c:v>17.523086419753085</c:v>
                </c:pt>
                <c:pt idx="304">
                  <c:v>17.500493827160494</c:v>
                </c:pt>
                <c:pt idx="305">
                  <c:v>17.466543209876541</c:v>
                </c:pt>
                <c:pt idx="306">
                  <c:v>17.432716049382716</c:v>
                </c:pt>
                <c:pt idx="307">
                  <c:v>17.398765432098763</c:v>
                </c:pt>
                <c:pt idx="308">
                  <c:v>17.368641975308641</c:v>
                </c:pt>
                <c:pt idx="309">
                  <c:v>17.334691358024692</c:v>
                </c:pt>
                <c:pt idx="310">
                  <c:v>17.312098765432097</c:v>
                </c:pt>
                <c:pt idx="311">
                  <c:v>17.281975308641975</c:v>
                </c:pt>
                <c:pt idx="312">
                  <c:v>17.251851851851853</c:v>
                </c:pt>
                <c:pt idx="313">
                  <c:v>17.217901234567901</c:v>
                </c:pt>
                <c:pt idx="314">
                  <c:v>17.172716049382714</c:v>
                </c:pt>
                <c:pt idx="315">
                  <c:v>17.146296296296295</c:v>
                </c:pt>
                <c:pt idx="316">
                  <c:v>17.123703703703701</c:v>
                </c:pt>
                <c:pt idx="317">
                  <c:v>17.09740740740741</c:v>
                </c:pt>
                <c:pt idx="318">
                  <c:v>17.044691358024689</c:v>
                </c:pt>
                <c:pt idx="319">
                  <c:v>16.984320987654321</c:v>
                </c:pt>
                <c:pt idx="320">
                  <c:v>16.931604938271605</c:v>
                </c:pt>
                <c:pt idx="321">
                  <c:v>16.87506172839506</c:v>
                </c:pt>
                <c:pt idx="322">
                  <c:v>16.814814814814813</c:v>
                </c:pt>
                <c:pt idx="323">
                  <c:v>16.754567901234566</c:v>
                </c:pt>
                <c:pt idx="324">
                  <c:v>16.694197530864194</c:v>
                </c:pt>
                <c:pt idx="325">
                  <c:v>16.637777777777774</c:v>
                </c:pt>
                <c:pt idx="326">
                  <c:v>16.584938271604937</c:v>
                </c:pt>
                <c:pt idx="327">
                  <c:v>16.539753086419751</c:v>
                </c:pt>
                <c:pt idx="328">
                  <c:v>16.483209876543206</c:v>
                </c:pt>
                <c:pt idx="329">
                  <c:v>16.41925925925926</c:v>
                </c:pt>
                <c:pt idx="330">
                  <c:v>16.343827160493824</c:v>
                </c:pt>
                <c:pt idx="331">
                  <c:v>16.268518518518519</c:v>
                </c:pt>
                <c:pt idx="332">
                  <c:v>16.185679012345677</c:v>
                </c:pt>
                <c:pt idx="333">
                  <c:v>16.099012345679011</c:v>
                </c:pt>
                <c:pt idx="334">
                  <c:v>16.012345679012348</c:v>
                </c:pt>
                <c:pt idx="335">
                  <c:v>15.92185185185185</c:v>
                </c:pt>
                <c:pt idx="336">
                  <c:v>15.827654320987653</c:v>
                </c:pt>
                <c:pt idx="337">
                  <c:v>15.729753086419752</c:v>
                </c:pt>
                <c:pt idx="338">
                  <c:v>15.628024691358023</c:v>
                </c:pt>
                <c:pt idx="339">
                  <c:v>15.533827160493827</c:v>
                </c:pt>
                <c:pt idx="340">
                  <c:v>15.439629629629628</c:v>
                </c:pt>
                <c:pt idx="341">
                  <c:v>15.3379012345679</c:v>
                </c:pt>
                <c:pt idx="342">
                  <c:v>15.22111111111111</c:v>
                </c:pt>
                <c:pt idx="343">
                  <c:v>15.081728395061727</c:v>
                </c:pt>
                <c:pt idx="344">
                  <c:v>14.938518518518517</c:v>
                </c:pt>
                <c:pt idx="345">
                  <c:v>14.784074074074075</c:v>
                </c:pt>
                <c:pt idx="346">
                  <c:v>14.618271604938272</c:v>
                </c:pt>
                <c:pt idx="347">
                  <c:v>14.459999999999999</c:v>
                </c:pt>
                <c:pt idx="348">
                  <c:v>14.30185185185185</c:v>
                </c:pt>
                <c:pt idx="349">
                  <c:v>14.143580246913581</c:v>
                </c:pt>
                <c:pt idx="350">
                  <c:v>13.974074074074073</c:v>
                </c:pt>
                <c:pt idx="351">
                  <c:v>13.796913580246912</c:v>
                </c:pt>
                <c:pt idx="352">
                  <c:v>13.600987654320987</c:v>
                </c:pt>
                <c:pt idx="353">
                  <c:v>13.393827160493826</c:v>
                </c:pt>
                <c:pt idx="354">
                  <c:v>13.167777777777779</c:v>
                </c:pt>
                <c:pt idx="355">
                  <c:v>12.922839506172838</c:v>
                </c:pt>
                <c:pt idx="356">
                  <c:v>12.666666666666666</c:v>
                </c:pt>
                <c:pt idx="357">
                  <c:v>12.384074074074071</c:v>
                </c:pt>
                <c:pt idx="358">
                  <c:v>12.078938271604937</c:v>
                </c:pt>
                <c:pt idx="359">
                  <c:v>11.762456790123457</c:v>
                </c:pt>
                <c:pt idx="360">
                  <c:v>11.434666666666667</c:v>
                </c:pt>
                <c:pt idx="361">
                  <c:v>11.072987654320988</c:v>
                </c:pt>
                <c:pt idx="362">
                  <c:v>10.677382716049381</c:v>
                </c:pt>
                <c:pt idx="363">
                  <c:v>10.251641975308642</c:v>
                </c:pt>
                <c:pt idx="364">
                  <c:v>9.791999999999998</c:v>
                </c:pt>
                <c:pt idx="365">
                  <c:v>9.2871358024691339</c:v>
                </c:pt>
                <c:pt idx="366">
                  <c:v>8.7370740740740729</c:v>
                </c:pt>
                <c:pt idx="367">
                  <c:v>8.1342592592592595</c:v>
                </c:pt>
                <c:pt idx="368">
                  <c:v>7.4824567901234564</c:v>
                </c:pt>
                <c:pt idx="369">
                  <c:v>6.7741481481481483</c:v>
                </c:pt>
                <c:pt idx="370">
                  <c:v>6.0029259259259264</c:v>
                </c:pt>
                <c:pt idx="371">
                  <c:v>5.1292098765432099</c:v>
                </c:pt>
                <c:pt idx="372">
                  <c:v>4.1707407407407402</c:v>
                </c:pt>
                <c:pt idx="373">
                  <c:v>3.0822716049382715</c:v>
                </c:pt>
                <c:pt idx="374">
                  <c:v>1.8853086419753085</c:v>
                </c:pt>
                <c:pt idx="375">
                  <c:v>0.50666666666666671</c:v>
                </c:pt>
                <c:pt idx="376">
                  <c:v>-0.99351728395061734</c:v>
                </c:pt>
                <c:pt idx="377">
                  <c:v>-2.6373209876543204</c:v>
                </c:pt>
                <c:pt idx="378">
                  <c:v>-4.3768271604938267</c:v>
                </c:pt>
                <c:pt idx="379">
                  <c:v>-6.2617530864197528</c:v>
                </c:pt>
                <c:pt idx="380">
                  <c:v>-8.1869999999999994</c:v>
                </c:pt>
                <c:pt idx="381">
                  <c:v>-10.259185185185183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05888"/>
        <c:axId val="48007424"/>
      </c:scatterChart>
      <c:valAx>
        <c:axId val="4800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007424"/>
        <c:crosses val="autoZero"/>
        <c:crossBetween val="midCat"/>
      </c:valAx>
      <c:valAx>
        <c:axId val="4800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005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104775</xdr:colOff>
      <xdr:row>13</xdr:row>
      <xdr:rowOff>156210</xdr:rowOff>
    </xdr:from>
    <xdr:to>
      <xdr:col>18</xdr:col>
      <xdr:colOff>409575</xdr:colOff>
      <xdr:row>28</xdr:row>
      <xdr:rowOff>156210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495300</xdr:colOff>
      <xdr:row>11</xdr:row>
      <xdr:rowOff>137160</xdr:rowOff>
    </xdr:from>
    <xdr:to>
      <xdr:col>35</xdr:col>
      <xdr:colOff>190500</xdr:colOff>
      <xdr:row>26</xdr:row>
      <xdr:rowOff>137160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19050</xdr:colOff>
      <xdr:row>13</xdr:row>
      <xdr:rowOff>3810</xdr:rowOff>
    </xdr:from>
    <xdr:to>
      <xdr:col>52</xdr:col>
      <xdr:colOff>323850</xdr:colOff>
      <xdr:row>28</xdr:row>
      <xdr:rowOff>3810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39D78292-7245-44BB-99F0-E1F1AD652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1412\stability\mpp\yt09U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9pm1012"/>
      <sheetName val="Sheet1"/>
      <sheetName val="9am1112"/>
      <sheetName val="9am1112t"/>
      <sheetName val="9pm1212"/>
      <sheetName val="9pm1212T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opLeftCell="AS1" workbookViewId="0">
      <selection activeCell="AU33" sqref="AU33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183556.80000002999</v>
      </c>
      <c r="H2" s="2"/>
      <c r="I2" s="6" t="s">
        <v>12</v>
      </c>
      <c r="J2" s="2"/>
      <c r="K2" s="7" t="s">
        <v>13</v>
      </c>
      <c r="L2" s="3">
        <f>L4*I6*L9/100*100</f>
        <v>26.207120111111102</v>
      </c>
      <c r="M2" s="8" t="s">
        <v>14</v>
      </c>
      <c r="N2" s="9"/>
      <c r="O2" s="2">
        <f>ABS(S7-S6)/ABS(T7-T6)*1000</f>
        <v>676.73508196693012</v>
      </c>
      <c r="P2" s="2"/>
      <c r="Q2" s="6" t="s">
        <v>15</v>
      </c>
      <c r="R2" s="2"/>
      <c r="S2" s="7" t="s">
        <v>13</v>
      </c>
      <c r="T2" s="3">
        <f>T4*Q6*T9/100*100</f>
        <v>25.613821155555549</v>
      </c>
      <c r="U2" s="8" t="s">
        <v>14</v>
      </c>
      <c r="X2" s="9"/>
      <c r="Y2" s="2">
        <f>ABS(AC7-AC6)/ABS(AD7-AD6)*1000</f>
        <v>1384.2899999988965</v>
      </c>
      <c r="Z2" s="2"/>
      <c r="AA2" s="6" t="s">
        <v>12</v>
      </c>
      <c r="AB2" s="2"/>
      <c r="AC2" s="7" t="s">
        <v>13</v>
      </c>
      <c r="AD2" s="3">
        <f>AD4*AA6*AD9/100*100</f>
        <v>25.985387772839509</v>
      </c>
      <c r="AE2" s="8" t="s">
        <v>14</v>
      </c>
      <c r="AF2" s="9"/>
      <c r="AG2" s="2">
        <f>ABS(AK7-AK6)/ABS(AL7-AL6)*1000</f>
        <v>1367.7986699989115</v>
      </c>
      <c r="AH2" s="2"/>
      <c r="AI2" s="6" t="s">
        <v>15</v>
      </c>
      <c r="AJ2" s="2"/>
      <c r="AK2" s="7" t="s">
        <v>13</v>
      </c>
      <c r="AL2" s="3">
        <f>AL4*AI6*AL9/100*100</f>
        <v>25.677161797530861</v>
      </c>
      <c r="AM2" s="8" t="s">
        <v>14</v>
      </c>
      <c r="AP2" s="9"/>
      <c r="AQ2" s="2">
        <f>ABS(AU7-AU6)/ABS(AV7-AV6)*1000</f>
        <v>6221.4515217392391</v>
      </c>
      <c r="AR2" s="2"/>
      <c r="AS2" s="6" t="s">
        <v>12</v>
      </c>
      <c r="AT2" s="2"/>
      <c r="AU2" s="7" t="s">
        <v>13</v>
      </c>
      <c r="AV2" s="3">
        <f>AV4*AS6*AV9/100*100</f>
        <v>26.059801903703693</v>
      </c>
      <c r="AW2" s="8" t="s">
        <v>14</v>
      </c>
      <c r="AX2" s="9"/>
      <c r="AY2" s="2">
        <f>ABS(BC7-BC6)/ABS(BD7-BD6)*1000</f>
        <v>4917.2518565218243</v>
      </c>
      <c r="AZ2" s="2"/>
      <c r="BA2" s="6" t="s">
        <v>15</v>
      </c>
      <c r="BB2" s="2"/>
      <c r="BC2" s="7" t="s">
        <v>13</v>
      </c>
      <c r="BD2" s="3">
        <f>BD4*BA6*BD9/100*100</f>
        <v>25.675424360493832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1.79932</v>
      </c>
      <c r="J3" s="2"/>
      <c r="K3" s="10">
        <f>INDEX(L11:L1056,MATCH(I3,K11:K1056,0))</f>
        <v>-0.32996666666666663</v>
      </c>
      <c r="L3" s="26" t="s">
        <v>16</v>
      </c>
      <c r="M3" s="11">
        <f>M9</f>
        <v>26.207120111111106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1.1348012345679013</v>
      </c>
      <c r="T3" s="26" t="s">
        <v>16</v>
      </c>
      <c r="U3" s="11">
        <f>U9</f>
        <v>25.613821155555549</v>
      </c>
      <c r="X3" s="9"/>
      <c r="Y3" s="2" t="s">
        <v>44</v>
      </c>
      <c r="Z3" s="2"/>
      <c r="AA3" s="2">
        <f>INDEX(AC11:AC856,MATCH(0,AD11:AD856,1))</f>
        <v>1.79932</v>
      </c>
      <c r="AB3" s="2"/>
      <c r="AC3" s="10">
        <f>INDEX(AD11:AD1056,MATCH(AA3,AC11:AC1056,0))</f>
        <v>-1.2964320987654319</v>
      </c>
      <c r="AD3" s="26" t="s">
        <v>16</v>
      </c>
      <c r="AE3" s="11">
        <f>AE9</f>
        <v>25.985387772839506</v>
      </c>
      <c r="AF3" s="9"/>
      <c r="AG3" s="2" t="s">
        <v>44</v>
      </c>
      <c r="AH3" s="2"/>
      <c r="AI3" s="2">
        <f>INDEX(AK11:AK1056,MATCH(0,AL11:AL1056,-1))</f>
        <v>1.7926</v>
      </c>
      <c r="AJ3" s="2"/>
      <c r="AK3" s="10">
        <f>INDEX(AL11:AL1056,MATCH(AI3,AK11:AK1056,0))</f>
        <v>1.0195135802469135</v>
      </c>
      <c r="AL3" s="26" t="s">
        <v>16</v>
      </c>
      <c r="AM3" s="11">
        <f>AM9</f>
        <v>25.677161797530864</v>
      </c>
      <c r="AP3" s="9"/>
      <c r="AQ3" s="2" t="s">
        <v>44</v>
      </c>
      <c r="AR3" s="2"/>
      <c r="AS3" s="2">
        <f>INDEX(AU11:AU856,MATCH(0,AV11:AV856,1))</f>
        <v>1.79413</v>
      </c>
      <c r="AT3" s="2"/>
      <c r="AU3" s="10">
        <f>INDEX(AV11:AV1056,MATCH(AS3,AU11:AU1056,0))</f>
        <v>-0.43270864197530867</v>
      </c>
      <c r="AV3" s="26" t="s">
        <v>16</v>
      </c>
      <c r="AW3" s="11">
        <f>AW9</f>
        <v>26.059801903703701</v>
      </c>
      <c r="AX3" s="9"/>
      <c r="AY3" s="2" t="s">
        <v>44</v>
      </c>
      <c r="AZ3" s="2"/>
      <c r="BA3" s="2">
        <f>INDEX(BC11:BC1056,MATCH(0,BD11:BD1056,-1))</f>
        <v>1.7926</v>
      </c>
      <c r="BB3" s="2"/>
      <c r="BC3" s="10">
        <f>INDEX(BD11:BD1056,MATCH(BA3,BC11:BC1056,0))</f>
        <v>0.50666666666666671</v>
      </c>
      <c r="BD3" s="26" t="s">
        <v>16</v>
      </c>
      <c r="BE3" s="11">
        <f>BE9</f>
        <v>25.675424360493828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4.0545753785953478</v>
      </c>
      <c r="H4" s="2"/>
      <c r="I4" s="2">
        <f>INDEX(K11:K1000,1+MATCH(0,L11:L856,1))</f>
        <v>1.79352</v>
      </c>
      <c r="J4" s="2"/>
      <c r="K4" s="10">
        <f>INDEX(L11:L1056,MATCH(I4,K11:K1056,0))</f>
        <v>1.100516049382716</v>
      </c>
      <c r="L4" s="25">
        <f>M3/(I6*L9)</f>
        <v>0.78579758010230238</v>
      </c>
      <c r="M4" s="8" t="s">
        <v>17</v>
      </c>
      <c r="N4" s="9"/>
      <c r="O4" s="2">
        <f>ABS(Q3-Q4)/ABS(S3-S4)*1000</f>
        <v>3.2282846455340573</v>
      </c>
      <c r="P4" s="2"/>
      <c r="Q4" s="2">
        <f>INDEX(S11:S856,1+MATCH(0,T11:T856,-1))</f>
        <v>1.79749</v>
      </c>
      <c r="R4" s="2"/>
      <c r="S4" s="10">
        <f>INDEX(T11:T856,MATCH(Q4,S11:S856,0))</f>
        <v>-0.19098024691358023</v>
      </c>
      <c r="T4" s="25">
        <f>U3/(Q6*T9)</f>
        <v>0.77205959168194027</v>
      </c>
      <c r="U4" s="8" t="s">
        <v>17</v>
      </c>
      <c r="X4" s="9"/>
      <c r="Y4" s="2">
        <f>ABS(AA3-AA4)/ABS(AC3-AC4)*1000</f>
        <v>3.1972109865433249</v>
      </c>
      <c r="Z4" s="2"/>
      <c r="AA4" s="2">
        <f>INDEX(AC11:AC1000,1+MATCH(0,AD11:AD856,1))</f>
        <v>1.79443</v>
      </c>
      <c r="AB4" s="2"/>
      <c r="AC4" s="10">
        <f>INDEX(AD11:AD1056,MATCH(AA4,AC11:AC1056,0))</f>
        <v>0.23302592592592589</v>
      </c>
      <c r="AD4" s="25">
        <f>AE3/(AA6*AD9)</f>
        <v>0.76631017149293001</v>
      </c>
      <c r="AE4" s="8" t="s">
        <v>17</v>
      </c>
      <c r="AF4" s="9"/>
      <c r="AG4" s="2">
        <f>ABS(AI3-AI4)/ABS(AK3-AK4)*1000</f>
        <v>3.6449797869303131</v>
      </c>
      <c r="AH4" s="2"/>
      <c r="AI4" s="2">
        <f>INDEX(AK11:AK856,1+MATCH(0,AL11:AL856,-1))</f>
        <v>1.7981</v>
      </c>
      <c r="AJ4" s="2"/>
      <c r="AK4" s="10">
        <f>INDEX(AL11:AL856,MATCH(AI4,AK11:AK856,0))</f>
        <v>-0.48941111111111113</v>
      </c>
      <c r="AL4" s="25">
        <f>AM3/(AI6*AL9)</f>
        <v>0.77018221657445496</v>
      </c>
      <c r="AM4" s="8" t="s">
        <v>17</v>
      </c>
      <c r="AP4" s="9"/>
      <c r="AQ4" s="2">
        <f>ABS(AS3-AS4)/ABS(AU3-AU4)*1000</f>
        <v>3.3792077321713396</v>
      </c>
      <c r="AR4" s="2"/>
      <c r="AS4" s="2">
        <f>INDEX(AU11:AU1000,1+MATCH(0,AV11:AV856,1))</f>
        <v>1.78894</v>
      </c>
      <c r="AT4" s="2"/>
      <c r="AU4" s="10">
        <f>INDEX(AV11:AV1056,MATCH(AS4,AU11:AU1056,0))</f>
        <v>1.1031543209876542</v>
      </c>
      <c r="AV4" s="25">
        <f>AW3/(AS6*AV9)</f>
        <v>0.78134249875435047</v>
      </c>
      <c r="AW4" s="8" t="s">
        <v>17</v>
      </c>
      <c r="AX4" s="9"/>
      <c r="AY4" s="2">
        <f>ABS(BA3-BA4)/ABS(BC3-BC4)*1000</f>
        <v>3.4595757392714983</v>
      </c>
      <c r="AZ4" s="2"/>
      <c r="BA4" s="2">
        <f>INDEX(BC11:BC856,1+MATCH(0,BD11:BD856,-1))</f>
        <v>1.79779</v>
      </c>
      <c r="BB4" s="2"/>
      <c r="BC4" s="10">
        <f>INDEX(BD11:BD856,MATCH(BA4,BC11:BC856,0))</f>
        <v>-0.99351728395061734</v>
      </c>
      <c r="BD4" s="25">
        <f>BE3/(BA6*BD9)</f>
        <v>0.76756004491394358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16.818518518518516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16.72444444444444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16.784691358024691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16.765802469135803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16.942962962962962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16.931604938271605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1.7979821252775763</v>
      </c>
      <c r="J6" s="25"/>
      <c r="K6" s="2">
        <f>INDEX(K11:K1056,MATCH(L6,L11:L1056,0))</f>
        <v>0.90301500000000001</v>
      </c>
      <c r="L6" s="10">
        <f>INDEX(L11:L1056,MATCH(0,K11:K1056,-1))</f>
        <v>18.544197530864199</v>
      </c>
      <c r="M6" s="8" t="s">
        <v>22</v>
      </c>
      <c r="N6" s="9"/>
      <c r="O6" s="2"/>
      <c r="P6" s="2"/>
      <c r="Q6" s="27">
        <f>(Q3-Q4)/(S3-S4)*(-S4)+Q4</f>
        <v>1.7968734614012887</v>
      </c>
      <c r="R6" s="27"/>
      <c r="S6" s="2">
        <f>INDEX(S11:S1056,MATCH(T6,T11:T1056,0))</f>
        <v>-8.54187E-2</v>
      </c>
      <c r="T6" s="10">
        <f>INDEX(T11:T1056,MATCH(0,S11:S1056,1))</f>
        <v>18.589382716049382</v>
      </c>
      <c r="U6" s="8" t="s">
        <v>22</v>
      </c>
      <c r="X6" s="9"/>
      <c r="Y6" s="2"/>
      <c r="Z6" s="2"/>
      <c r="AA6" s="25">
        <f>(AA3-AA4)/(AC3-AC4)*(-AC4)+AA4</f>
        <v>1.7951750330505198</v>
      </c>
      <c r="AB6" s="25"/>
      <c r="AC6" s="2">
        <f>INDEX(AC11:AC1056,MATCH(AD6,AD11:AD1056,0))</f>
        <v>0.38931300000000002</v>
      </c>
      <c r="AD6" s="10">
        <f>INDEX(AD11:AD1056,MATCH(0,AC11:AC1056,-1))</f>
        <v>18.60814814814815</v>
      </c>
      <c r="AE6" s="8" t="s">
        <v>22</v>
      </c>
      <c r="AF6" s="9"/>
      <c r="AG6" s="2"/>
      <c r="AH6" s="2"/>
      <c r="AI6" s="27">
        <f>(AI3-AI4)/(AK3-AK4)*(-AK4)+AI4</f>
        <v>1.7963161063925008</v>
      </c>
      <c r="AJ6" s="27"/>
      <c r="AK6" s="2">
        <f>INDEX(AK11:AK1056,MATCH(AL6,AL11:AL1056,0))</f>
        <v>-4.4738800000000004E-3</v>
      </c>
      <c r="AL6" s="10">
        <f>INDEX(AL11:AL1056,MATCH(0,AK11:AK1056,1))</f>
        <v>18.562962962962963</v>
      </c>
      <c r="AM6" s="8" t="s">
        <v>22</v>
      </c>
      <c r="AP6" s="9"/>
      <c r="AQ6" s="2"/>
      <c r="AR6" s="2"/>
      <c r="AS6" s="25">
        <f>(AS3-AS4)/(AU3-AU4)*(-AU4)+AS4</f>
        <v>1.7926677876112598</v>
      </c>
      <c r="AT6" s="25"/>
      <c r="AU6" s="2">
        <f>INDEX(AU11:AU1056,MATCH(AV6,AV11:AV1056,0))</f>
        <v>2.7313199999999999E-2</v>
      </c>
      <c r="AV6" s="10">
        <f>INDEX(AV11:AV1056,MATCH(0,AU11:AU1056,-1))</f>
        <v>18.600617283950616</v>
      </c>
      <c r="AW6" s="8" t="s">
        <v>22</v>
      </c>
      <c r="AX6" s="9"/>
      <c r="AY6" s="2"/>
      <c r="AZ6" s="2"/>
      <c r="BA6" s="27">
        <f>(BA3-BA4)/(BC3-BC4)*(-BC4)+BA4</f>
        <v>1.7943528517078975</v>
      </c>
      <c r="BB6" s="27"/>
      <c r="BC6" s="2">
        <f>INDEX(BC11:BC1056,MATCH(BD6,BD11:BD1056,0))</f>
        <v>-5.5297899999999997E-2</v>
      </c>
      <c r="BD6" s="10">
        <f>INDEX(BD11:BD1056,MATCH(0,BC11:BC1056,1))</f>
        <v>18.653456790123457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0.22317500000000001</v>
      </c>
      <c r="L7" s="10">
        <f>INDEX(L11:L856,1+MATCH(0,K11:K856,-1))</f>
        <v>18.547901234567902</v>
      </c>
      <c r="M7" s="12">
        <f>INDEX(K11:K1056,MATCH(M9,M11:M1056,0))</f>
        <v>1.55823</v>
      </c>
      <c r="N7" s="9"/>
      <c r="O7" s="2"/>
      <c r="P7" s="2"/>
      <c r="Q7" s="2"/>
      <c r="R7" s="2"/>
      <c r="S7" s="2">
        <f>INDEX(S11:S1056,MATCH(T7,T11:T1056,0))</f>
        <v>-8.0322299999999999E-2</v>
      </c>
      <c r="T7" s="10">
        <f>INDEX(T11:T1056,2+MATCH(0,S11:S1056,1))</f>
        <v>18.581851851851848</v>
      </c>
      <c r="U7" s="12">
        <f>INDEX(S11:S1056,MATCH(U9,U11:U1056,0))</f>
        <v>1.5304599999999999</v>
      </c>
      <c r="X7" s="9"/>
      <c r="Y7" s="2"/>
      <c r="Z7" s="2"/>
      <c r="AA7" s="2"/>
      <c r="AB7" s="2"/>
      <c r="AC7" s="2">
        <f>INDEX(AC11:AC856,MATCH(AD7,AD11:AD856,1))</f>
        <v>0.39444000000000001</v>
      </c>
      <c r="AD7" s="10">
        <f>INDEX(AD11:AD856,1+MATCH(0,AC11:AC856,-1))</f>
        <v>18.604444444444443</v>
      </c>
      <c r="AE7" s="12">
        <f>INDEX(AC11:AC1056,MATCH(AE9,AE11:AE1056,0))</f>
        <v>1.5472399999999999</v>
      </c>
      <c r="AF7" s="9"/>
      <c r="AG7" s="2"/>
      <c r="AH7" s="2"/>
      <c r="AI7" s="2"/>
      <c r="AJ7" s="2"/>
      <c r="AK7" s="2">
        <f>INDEX(AK11:AK1056,MATCH(AL7,AL11:AL1056,0))</f>
        <v>5.9204099999999996E-4</v>
      </c>
      <c r="AL7" s="10">
        <f>INDEX(AL11:AL1056,1+MATCH(0,AK11:AK1056,1))</f>
        <v>18.559259259259257</v>
      </c>
      <c r="AM7" s="12">
        <f>INDEX(AK11:AK1056,MATCH(AM9,AM11:AM1056,0))</f>
        <v>1.5304599999999999</v>
      </c>
      <c r="AP7" s="9"/>
      <c r="AQ7" s="2"/>
      <c r="AR7" s="2"/>
      <c r="AS7" s="2"/>
      <c r="AT7" s="2"/>
      <c r="AU7" s="2">
        <f>INDEX(AU11:AU856,MATCH(AV7,AV11:AV856,1))</f>
        <v>-4.3350199999999998E-2</v>
      </c>
      <c r="AV7" s="10">
        <f>INDEX(AV11:AV856,1+MATCH(0,AU11:AU856,-1))</f>
        <v>18.611975308641973</v>
      </c>
      <c r="AW7" s="12">
        <f>INDEX(AU11:AU1056,MATCH(AW9,AW11:AW1056,0))</f>
        <v>1.5377799999999999</v>
      </c>
      <c r="AX7" s="9"/>
      <c r="AY7" s="2"/>
      <c r="AZ7" s="2"/>
      <c r="BA7" s="2"/>
      <c r="BB7" s="2"/>
      <c r="BC7" s="2">
        <f>INDEX(BC11:BC1056,MATCH(BD7,BD11:BD1056,0))</f>
        <v>5.5236800000000002E-4</v>
      </c>
      <c r="BD7" s="10">
        <f>INDEX(BD11:BD1056,1+MATCH(0,BC11:BC1056,1))</f>
        <v>18.642098765432099</v>
      </c>
      <c r="BE7" s="12">
        <f>INDEX(BC11:BC1056,MATCH(BE9,BE11:BE1056,0))</f>
        <v>1.5155000000000001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2.2638845971633912</v>
      </c>
      <c r="J9" s="2"/>
      <c r="K9" s="2"/>
      <c r="L9" s="3">
        <f>(L6-L7)/(K6-K7)*(-K7)+L7</f>
        <v>18.549117070755937</v>
      </c>
      <c r="M9" s="15">
        <f>MAX(M11:M1056)</f>
        <v>26.207120111111106</v>
      </c>
      <c r="N9" s="9"/>
      <c r="O9" s="2"/>
      <c r="P9" s="2"/>
      <c r="Q9" s="2"/>
      <c r="R9" s="2"/>
      <c r="S9" s="2"/>
      <c r="T9" s="3">
        <f>(T6-T7)/(S6-S7)*(-S7)+T7</f>
        <v>18.463160945852792</v>
      </c>
      <c r="U9" s="15">
        <f>MAX(U11:U1056)</f>
        <v>25.613821155555549</v>
      </c>
      <c r="X9" s="9"/>
      <c r="Y9" s="2"/>
      <c r="Z9" s="2"/>
      <c r="AA9" s="14">
        <f>(MAX(AD2,AL2)-MIN(AD2,AL2))/MAX(AD2,AL2)%</f>
        <v>1.1861511477262339</v>
      </c>
      <c r="AB9" s="2"/>
      <c r="AC9" s="2"/>
      <c r="AD9" s="3">
        <f>(AD6-AD7)/(AC6-AC7)*(-AC7)+AD7</f>
        <v>18.889384738747165</v>
      </c>
      <c r="AE9" s="15">
        <f>MAX(AE11:AE1056)</f>
        <v>25.985387772839506</v>
      </c>
      <c r="AF9" s="9"/>
      <c r="AG9" s="2"/>
      <c r="AH9" s="2"/>
      <c r="AI9" s="2"/>
      <c r="AJ9" s="2"/>
      <c r="AK9" s="2"/>
      <c r="AL9" s="3">
        <f>(AL6-AL7)/(AK6-AK7)*(-AK7)+AL7</f>
        <v>18.559692101469874</v>
      </c>
      <c r="AM9" s="15">
        <f>MAX(AM11:AM1056)</f>
        <v>25.677161797530864</v>
      </c>
      <c r="AP9" s="9"/>
      <c r="AQ9" s="2"/>
      <c r="AR9" s="2"/>
      <c r="AS9" s="14">
        <f>(MAX(AV2,BD2)-MIN(AV2,BD2))/MAX(AV2,BD2)%</f>
        <v>1.4749825982185722</v>
      </c>
      <c r="AT9" s="2"/>
      <c r="AU9" s="2"/>
      <c r="AV9" s="3">
        <f>(AV6-AV7)/(AU6-AU7)*(-AU7)+AV7</f>
        <v>18.605007449156364</v>
      </c>
      <c r="AW9" s="15">
        <f>MAX(AW11:AW1056)</f>
        <v>26.059801903703701</v>
      </c>
      <c r="AX9" s="9"/>
      <c r="AY9" s="2"/>
      <c r="AZ9" s="2"/>
      <c r="BA9" s="2"/>
      <c r="BB9" s="2"/>
      <c r="BC9" s="2"/>
      <c r="BD9" s="3">
        <f>(BD6-BD7)/(BC6-BC7)*(-BC7)+BD7</f>
        <v>18.642211098095977</v>
      </c>
      <c r="BE9" s="15">
        <f>MAX(BE11:BE1056)</f>
        <v>25.675424360493828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1.7979821252775763</v>
      </c>
      <c r="B11" s="18">
        <f>IFERROR(L9,0)</f>
        <v>18.549117070755937</v>
      </c>
      <c r="C11" s="19">
        <f>IFERROR(L4,0)</f>
        <v>0.78579758010230238</v>
      </c>
      <c r="D11" s="20">
        <f>IFERROR(L2,0)</f>
        <v>26.207120111111102</v>
      </c>
      <c r="E11" s="20">
        <f>IFERROR(I9,0)</f>
        <v>2.2638845971633912</v>
      </c>
      <c r="F11" s="9"/>
      <c r="G11" s="21">
        <v>1.8150299999999999</v>
      </c>
      <c r="H11" s="21">
        <v>5.0883900000000004</v>
      </c>
      <c r="I11" s="21">
        <v>4.4393899999999997E-3</v>
      </c>
      <c r="J11" s="21">
        <v>1</v>
      </c>
      <c r="K11" s="21">
        <v>1.81488</v>
      </c>
      <c r="L11">
        <f>-I11/$F$2*1000</f>
        <v>-5.4807283950617283</v>
      </c>
      <c r="M11">
        <f>L11*G11</f>
        <v>-9.9476864588888887</v>
      </c>
      <c r="N11" s="9"/>
      <c r="O11" s="21">
        <v>-9.49097E-2</v>
      </c>
      <c r="P11" s="21">
        <v>8.94787</v>
      </c>
      <c r="Q11" s="21">
        <v>-1.5063500000000001E-2</v>
      </c>
      <c r="R11" s="21">
        <v>1</v>
      </c>
      <c r="S11" s="21">
        <v>-9.5489500000000005E-2</v>
      </c>
      <c r="T11">
        <f>-Q11/$F$2*1000</f>
        <v>18.596913580246913</v>
      </c>
      <c r="U11">
        <f>T11*O11</f>
        <v>-1.7650274888271604</v>
      </c>
      <c r="V11" s="22"/>
      <c r="W11" s="23"/>
      <c r="X11" s="9"/>
      <c r="Y11" s="21">
        <v>1.8150299999999999</v>
      </c>
      <c r="Z11" s="21">
        <v>14.5036</v>
      </c>
      <c r="AA11" s="21">
        <v>5.2978499999999998E-3</v>
      </c>
      <c r="AB11" s="21">
        <v>1</v>
      </c>
      <c r="AC11" s="21">
        <v>1.81396</v>
      </c>
      <c r="AD11">
        <f>-AA11/$F$2*1000</f>
        <v>-6.5405555555555548</v>
      </c>
      <c r="AE11">
        <f>AD11*Y11</f>
        <v>-11.871304549999998</v>
      </c>
      <c r="AF11" s="9"/>
      <c r="AG11" s="21">
        <v>-9.49097E-2</v>
      </c>
      <c r="AH11" s="21">
        <v>18.363099999999999</v>
      </c>
      <c r="AI11" s="21">
        <v>-1.5075699999999999E-2</v>
      </c>
      <c r="AJ11" s="21">
        <v>1</v>
      </c>
      <c r="AK11" s="21">
        <v>-9.5519999999999994E-2</v>
      </c>
      <c r="AL11">
        <f>-AI11/$F$2*1000</f>
        <v>18.611975308641973</v>
      </c>
      <c r="AM11">
        <f>AL11*AG11</f>
        <v>-1.7664569929506171</v>
      </c>
      <c r="AP11" s="9"/>
      <c r="AQ11" s="21">
        <v>1.8150299999999999</v>
      </c>
      <c r="AR11" s="21">
        <v>23.887799999999999</v>
      </c>
      <c r="AS11" s="21">
        <v>6.4209000000000002E-3</v>
      </c>
      <c r="AT11" s="21">
        <v>1</v>
      </c>
      <c r="AU11" s="21">
        <v>1.8145800000000001</v>
      </c>
      <c r="AV11">
        <f>-AS11/$F$2*1000</f>
        <v>-7.927037037037036</v>
      </c>
      <c r="AW11">
        <f>AV11*AQ11</f>
        <v>-14.387810033333331</v>
      </c>
      <c r="AX11" s="9"/>
      <c r="AY11" s="21">
        <v>-9.49097E-2</v>
      </c>
      <c r="AZ11" s="21">
        <v>27.747299999999999</v>
      </c>
      <c r="BA11" s="21">
        <v>-1.5118400000000001E-2</v>
      </c>
      <c r="BB11" s="21">
        <v>1</v>
      </c>
      <c r="BC11" s="21">
        <v>-9.5336900000000002E-2</v>
      </c>
      <c r="BD11">
        <f>-BA11/$F$2*1000</f>
        <v>18.66469135802469</v>
      </c>
      <c r="BE11">
        <f>BD11*AY11</f>
        <v>-1.7714602573827158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1.7968734614012887</v>
      </c>
      <c r="B12" s="18">
        <f>IFERROR(T9,0)</f>
        <v>18.463160945852792</v>
      </c>
      <c r="C12" s="19">
        <f>IFERROR(T4,0)</f>
        <v>0.77205959168194027</v>
      </c>
      <c r="D12" s="20">
        <f>IFERROR(T2,0)</f>
        <v>25.613821155555549</v>
      </c>
      <c r="E12" s="20"/>
      <c r="F12" s="9"/>
      <c r="G12" s="21">
        <v>1.81</v>
      </c>
      <c r="H12" s="21">
        <v>5.0984600000000002</v>
      </c>
      <c r="I12" s="21">
        <v>2.91931E-3</v>
      </c>
      <c r="J12" s="21">
        <v>2</v>
      </c>
      <c r="K12" s="21">
        <v>1.8093900000000001</v>
      </c>
      <c r="L12">
        <f t="shared" ref="L12:L75" si="0">-I12/$F$2*1000</f>
        <v>-3.6040864197530862</v>
      </c>
      <c r="M12">
        <f t="shared" ref="M12:M75" si="1">L12*G12</f>
        <v>-6.5233964197530865</v>
      </c>
      <c r="N12" s="9"/>
      <c r="O12" s="21">
        <v>-8.9874300000000004E-2</v>
      </c>
      <c r="P12" s="21">
        <v>8.9579400000000007</v>
      </c>
      <c r="Q12" s="21">
        <v>-1.50604E-2</v>
      </c>
      <c r="R12" s="21">
        <v>2</v>
      </c>
      <c r="S12" s="21">
        <v>-9.0423600000000007E-2</v>
      </c>
      <c r="T12">
        <f t="shared" ref="T12:T75" si="2">-Q12/$F$2*1000</f>
        <v>18.593086419753085</v>
      </c>
      <c r="U12">
        <f t="shared" ref="U12:U75" si="3">T12*O12</f>
        <v>-1.6710406268148148</v>
      </c>
      <c r="V12" s="22"/>
      <c r="W12" s="23"/>
      <c r="X12" s="9"/>
      <c r="Y12" s="21">
        <v>1.81</v>
      </c>
      <c r="Z12" s="21">
        <v>14.5137</v>
      </c>
      <c r="AA12" s="21">
        <v>3.8000500000000001E-3</v>
      </c>
      <c r="AB12" s="21">
        <v>2</v>
      </c>
      <c r="AC12" s="21">
        <v>1.80908</v>
      </c>
      <c r="AD12">
        <f t="shared" ref="AD12:AD75" si="4">-AA12/$F$2*1000</f>
        <v>-4.6914197530864197</v>
      </c>
      <c r="AE12">
        <f t="shared" ref="AE12:AE75" si="5">AD12*Y12</f>
        <v>-8.4914697530864203</v>
      </c>
      <c r="AF12" s="9"/>
      <c r="AG12" s="21">
        <v>-8.9874300000000004E-2</v>
      </c>
      <c r="AH12" s="21">
        <v>18.373100000000001</v>
      </c>
      <c r="AI12" s="21">
        <v>-1.5075699999999999E-2</v>
      </c>
      <c r="AJ12" s="21">
        <v>2</v>
      </c>
      <c r="AK12" s="21">
        <v>-9.0423600000000007E-2</v>
      </c>
      <c r="AL12">
        <f t="shared" ref="AL12:AL75" si="6">-AI12/$F$2*1000</f>
        <v>18.611975308641973</v>
      </c>
      <c r="AM12">
        <f t="shared" ref="AM12:AM75" si="7">AL12*AG12</f>
        <v>-1.6727382524814813</v>
      </c>
      <c r="AP12" s="9"/>
      <c r="AQ12" s="21">
        <v>1.81</v>
      </c>
      <c r="AR12" s="21">
        <v>23.8979</v>
      </c>
      <c r="AS12" s="21">
        <v>4.7476200000000001E-3</v>
      </c>
      <c r="AT12" s="21">
        <v>2</v>
      </c>
      <c r="AU12" s="21">
        <v>1.8093900000000001</v>
      </c>
      <c r="AV12">
        <f t="shared" ref="AV12:AV75" si="8">-AS12/$F$2*1000</f>
        <v>-5.8612592592592589</v>
      </c>
      <c r="AW12">
        <f t="shared" ref="AW12:AW75" si="9">AV12*AQ12</f>
        <v>-10.608879259259259</v>
      </c>
      <c r="AX12" s="9"/>
      <c r="AY12" s="21">
        <v>-8.9874300000000004E-2</v>
      </c>
      <c r="AZ12" s="21">
        <v>27.757400000000001</v>
      </c>
      <c r="BA12" s="21">
        <v>-1.5115399999999999E-2</v>
      </c>
      <c r="BB12" s="21">
        <v>2</v>
      </c>
      <c r="BC12" s="21">
        <v>-9.0423600000000007E-2</v>
      </c>
      <c r="BD12">
        <f t="shared" ref="BD12:BD75" si="10">-BA12/$F$2*1000</f>
        <v>18.660987654320987</v>
      </c>
      <c r="BE12">
        <f t="shared" ref="BE12:BE75" si="11">BD12*AY12</f>
        <v>-1.6771432027407407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1.7951750330505198</v>
      </c>
      <c r="B13" s="18">
        <f>IFERROR(AD9,0)</f>
        <v>18.889384738747165</v>
      </c>
      <c r="C13" s="19">
        <f>IFERROR(AD4,0)</f>
        <v>0.76631017149293001</v>
      </c>
      <c r="D13" s="20">
        <f>IFERROR(AD2,0)</f>
        <v>25.985387772839509</v>
      </c>
      <c r="E13" s="20">
        <f>IFERROR(AA9,0)</f>
        <v>1.1861511477262339</v>
      </c>
      <c r="F13" s="9"/>
      <c r="G13" s="21">
        <v>1.8049599999999999</v>
      </c>
      <c r="H13" s="21">
        <v>5.1085399999999996</v>
      </c>
      <c r="I13" s="21">
        <v>1.55365E-3</v>
      </c>
      <c r="J13" s="21">
        <v>3</v>
      </c>
      <c r="K13" s="21">
        <v>1.8045</v>
      </c>
      <c r="L13">
        <f t="shared" si="0"/>
        <v>-1.9180864197530862</v>
      </c>
      <c r="M13">
        <f t="shared" si="1"/>
        <v>-3.4620692641975301</v>
      </c>
      <c r="N13" s="9"/>
      <c r="O13" s="21">
        <v>-8.4838899999999995E-2</v>
      </c>
      <c r="P13" s="21">
        <v>8.9680099999999996</v>
      </c>
      <c r="Q13" s="21">
        <v>-1.50574E-2</v>
      </c>
      <c r="R13" s="21">
        <v>3</v>
      </c>
      <c r="S13" s="21">
        <v>-8.54187E-2</v>
      </c>
      <c r="T13">
        <f t="shared" si="2"/>
        <v>18.589382716049382</v>
      </c>
      <c r="U13">
        <f t="shared" si="3"/>
        <v>-1.5771027813086418</v>
      </c>
      <c r="V13" s="22"/>
      <c r="W13" s="23"/>
      <c r="X13" s="9"/>
      <c r="Y13" s="21">
        <v>1.8049599999999999</v>
      </c>
      <c r="Z13" s="21">
        <v>14.5237</v>
      </c>
      <c r="AA13" s="21">
        <v>2.3562600000000002E-3</v>
      </c>
      <c r="AB13" s="21">
        <v>3</v>
      </c>
      <c r="AC13" s="21">
        <v>1.8045</v>
      </c>
      <c r="AD13">
        <f t="shared" si="4"/>
        <v>-2.908962962962963</v>
      </c>
      <c r="AE13">
        <f t="shared" si="5"/>
        <v>-5.2505617896296295</v>
      </c>
      <c r="AF13" s="9"/>
      <c r="AG13" s="21">
        <v>-8.4838899999999995E-2</v>
      </c>
      <c r="AH13" s="21">
        <v>18.383199999999999</v>
      </c>
      <c r="AI13" s="21">
        <v>-1.5063500000000001E-2</v>
      </c>
      <c r="AJ13" s="21">
        <v>3</v>
      </c>
      <c r="AK13" s="21">
        <v>-8.5327100000000003E-2</v>
      </c>
      <c r="AL13">
        <f t="shared" si="6"/>
        <v>18.596913580246913</v>
      </c>
      <c r="AM13">
        <f t="shared" si="7"/>
        <v>-1.5777416915432096</v>
      </c>
      <c r="AP13" s="9"/>
      <c r="AQ13" s="21">
        <v>1.8049599999999999</v>
      </c>
      <c r="AR13" s="21">
        <v>23.908000000000001</v>
      </c>
      <c r="AS13" s="21">
        <v>3.1665E-3</v>
      </c>
      <c r="AT13" s="21">
        <v>3</v>
      </c>
      <c r="AU13" s="21">
        <v>1.8045</v>
      </c>
      <c r="AV13">
        <f t="shared" si="8"/>
        <v>-3.909259259259259</v>
      </c>
      <c r="AW13">
        <f t="shared" si="9"/>
        <v>-7.0560565925925918</v>
      </c>
      <c r="AX13" s="9"/>
      <c r="AY13" s="21">
        <v>-8.4838899999999995E-2</v>
      </c>
      <c r="AZ13" s="21">
        <v>27.767499999999998</v>
      </c>
      <c r="BA13" s="21">
        <v>-1.5118400000000001E-2</v>
      </c>
      <c r="BB13" s="21">
        <v>3</v>
      </c>
      <c r="BC13" s="21">
        <v>-8.52966E-2</v>
      </c>
      <c r="BD13">
        <f t="shared" si="10"/>
        <v>18.66469135802469</v>
      </c>
      <c r="BE13">
        <f t="shared" si="11"/>
        <v>-1.5834918836543208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1.7963161063925008</v>
      </c>
      <c r="B14" s="18">
        <f>IFERROR(AL9,0)</f>
        <v>18.559692101469874</v>
      </c>
      <c r="C14" s="19">
        <f>IFERROR(AL4,0)</f>
        <v>0.77018221657445496</v>
      </c>
      <c r="D14" s="20">
        <f>IFERROR(AL2,0)</f>
        <v>25.677161797530861</v>
      </c>
      <c r="E14" s="20"/>
      <c r="F14" s="9"/>
      <c r="G14" s="21">
        <v>1.79993</v>
      </c>
      <c r="H14" s="21">
        <v>5.1186100000000003</v>
      </c>
      <c r="I14" s="21">
        <v>2.67273E-4</v>
      </c>
      <c r="J14" s="21">
        <v>4</v>
      </c>
      <c r="K14" s="21">
        <v>1.79932</v>
      </c>
      <c r="L14">
        <f t="shared" si="0"/>
        <v>-0.32996666666666663</v>
      </c>
      <c r="M14">
        <f t="shared" si="1"/>
        <v>-0.59391690233333327</v>
      </c>
      <c r="N14" s="9"/>
      <c r="O14" s="21">
        <v>-7.9803499999999999E-2</v>
      </c>
      <c r="P14" s="21">
        <v>8.9780800000000003</v>
      </c>
      <c r="Q14" s="21">
        <v>-1.50513E-2</v>
      </c>
      <c r="R14" s="21">
        <v>4</v>
      </c>
      <c r="S14" s="21">
        <v>-8.0322299999999999E-2</v>
      </c>
      <c r="T14">
        <f t="shared" si="2"/>
        <v>18.581851851851848</v>
      </c>
      <c r="U14">
        <f t="shared" si="3"/>
        <v>-1.4828968142592589</v>
      </c>
      <c r="V14" s="22"/>
      <c r="W14" s="23"/>
      <c r="X14" s="9"/>
      <c r="Y14" s="21">
        <v>1.79993</v>
      </c>
      <c r="Z14" s="21">
        <v>14.533799999999999</v>
      </c>
      <c r="AA14" s="21">
        <v>1.0501099999999999E-3</v>
      </c>
      <c r="AB14" s="21">
        <v>4</v>
      </c>
      <c r="AC14" s="21">
        <v>1.79932</v>
      </c>
      <c r="AD14">
        <f t="shared" si="4"/>
        <v>-1.2964320987654319</v>
      </c>
      <c r="AE14">
        <f t="shared" si="5"/>
        <v>-2.3334870275308637</v>
      </c>
      <c r="AF14" s="9"/>
      <c r="AG14" s="21">
        <v>-7.9803499999999999E-2</v>
      </c>
      <c r="AH14" s="21">
        <v>18.3933</v>
      </c>
      <c r="AI14" s="21">
        <v>-1.50604E-2</v>
      </c>
      <c r="AJ14" s="21">
        <v>4</v>
      </c>
      <c r="AK14" s="21">
        <v>-8.0322299999999999E-2</v>
      </c>
      <c r="AL14">
        <f t="shared" si="6"/>
        <v>18.593086419753085</v>
      </c>
      <c r="AM14">
        <f t="shared" si="7"/>
        <v>-1.4837933720987653</v>
      </c>
      <c r="AP14" s="9"/>
      <c r="AQ14" s="21">
        <v>1.79993</v>
      </c>
      <c r="AR14" s="21">
        <v>23.917999999999999</v>
      </c>
      <c r="AS14" s="21">
        <v>1.71448E-3</v>
      </c>
      <c r="AT14" s="21">
        <v>4</v>
      </c>
      <c r="AU14" s="21">
        <v>1.79901</v>
      </c>
      <c r="AV14">
        <f t="shared" si="8"/>
        <v>-2.1166419753086418</v>
      </c>
      <c r="AW14">
        <f t="shared" si="9"/>
        <v>-3.8098073906172836</v>
      </c>
      <c r="AX14" s="9"/>
      <c r="AY14" s="21">
        <v>-7.9803499999999999E-2</v>
      </c>
      <c r="AZ14" s="21">
        <v>27.7775</v>
      </c>
      <c r="BA14" s="21">
        <v>-1.51276E-2</v>
      </c>
      <c r="BB14" s="21">
        <v>4</v>
      </c>
      <c r="BC14" s="21">
        <v>-8.0291699999999994E-2</v>
      </c>
      <c r="BD14">
        <f t="shared" si="10"/>
        <v>18.676049382716048</v>
      </c>
      <c r="BE14">
        <f t="shared" si="11"/>
        <v>-1.4904141069135801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1.7926677876112598</v>
      </c>
      <c r="B15" s="18">
        <f>IFERROR(AV9,0)</f>
        <v>18.605007449156364</v>
      </c>
      <c r="C15" s="19">
        <f>IFERROR(AV4,0)</f>
        <v>0.78134249875435047</v>
      </c>
      <c r="D15" s="20">
        <f>IFERROR(AV2,0)</f>
        <v>26.059801903703693</v>
      </c>
      <c r="E15" s="20">
        <f>IFERROR(AS9,0)</f>
        <v>1.4749825982185722</v>
      </c>
      <c r="F15" s="9"/>
      <c r="G15" s="21">
        <v>1.7948900000000001</v>
      </c>
      <c r="H15" s="21">
        <v>5.1286800000000001</v>
      </c>
      <c r="I15" s="21">
        <v>-8.9141800000000005E-4</v>
      </c>
      <c r="J15" s="21">
        <v>5</v>
      </c>
      <c r="K15" s="21">
        <v>1.79352</v>
      </c>
      <c r="L15">
        <f t="shared" si="0"/>
        <v>1.100516049382716</v>
      </c>
      <c r="M15">
        <f t="shared" si="1"/>
        <v>1.9753052518765433</v>
      </c>
      <c r="N15" s="9"/>
      <c r="O15" s="21">
        <v>-7.4768100000000004E-2</v>
      </c>
      <c r="P15" s="21">
        <v>8.9881499999999992</v>
      </c>
      <c r="Q15" s="21">
        <v>-1.5048199999999999E-2</v>
      </c>
      <c r="R15" s="21">
        <v>5</v>
      </c>
      <c r="S15" s="21">
        <v>-7.5225799999999995E-2</v>
      </c>
      <c r="T15">
        <f t="shared" si="2"/>
        <v>18.578024691358021</v>
      </c>
      <c r="U15">
        <f t="shared" si="3"/>
        <v>-1.3890436079259256</v>
      </c>
      <c r="V15" s="22"/>
      <c r="W15" s="23"/>
      <c r="X15" s="9"/>
      <c r="Y15" s="21">
        <v>1.7948900000000001</v>
      </c>
      <c r="Z15" s="21">
        <v>14.543900000000001</v>
      </c>
      <c r="AA15" s="21">
        <v>-1.88751E-4</v>
      </c>
      <c r="AB15" s="21">
        <v>5</v>
      </c>
      <c r="AC15" s="21">
        <v>1.79443</v>
      </c>
      <c r="AD15">
        <f t="shared" si="4"/>
        <v>0.23302592592592589</v>
      </c>
      <c r="AE15">
        <f t="shared" si="5"/>
        <v>0.41825590418518516</v>
      </c>
      <c r="AF15" s="9"/>
      <c r="AG15" s="21">
        <v>-7.4768100000000004E-2</v>
      </c>
      <c r="AH15" s="21">
        <v>18.403400000000001</v>
      </c>
      <c r="AI15" s="21">
        <v>-1.50543E-2</v>
      </c>
      <c r="AJ15" s="21">
        <v>5</v>
      </c>
      <c r="AK15" s="21">
        <v>-7.5256299999999998E-2</v>
      </c>
      <c r="AL15">
        <f t="shared" si="6"/>
        <v>18.585555555555555</v>
      </c>
      <c r="AM15">
        <f t="shared" si="7"/>
        <v>-1.3896066763333332</v>
      </c>
      <c r="AP15" s="9"/>
      <c r="AQ15" s="21">
        <v>1.7948900000000001</v>
      </c>
      <c r="AR15" s="21">
        <v>23.928100000000001</v>
      </c>
      <c r="AS15" s="21">
        <v>3.5049400000000002E-4</v>
      </c>
      <c r="AT15" s="21">
        <v>5</v>
      </c>
      <c r="AU15" s="21">
        <v>1.79413</v>
      </c>
      <c r="AV15">
        <f t="shared" si="8"/>
        <v>-0.43270864197530867</v>
      </c>
      <c r="AW15">
        <f t="shared" si="9"/>
        <v>-0.77666441439506184</v>
      </c>
      <c r="AX15" s="9"/>
      <c r="AY15" s="21">
        <v>-7.4768100000000004E-2</v>
      </c>
      <c r="AZ15" s="21">
        <v>27.787600000000001</v>
      </c>
      <c r="BA15" s="21">
        <v>-1.5136699999999999E-2</v>
      </c>
      <c r="BB15" s="21">
        <v>5</v>
      </c>
      <c r="BC15" s="21">
        <v>-7.5317400000000007E-2</v>
      </c>
      <c r="BD15">
        <f t="shared" si="10"/>
        <v>18.687283950617282</v>
      </c>
      <c r="BE15">
        <f t="shared" si="11"/>
        <v>-1.3972127151481482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1.7943528517078975</v>
      </c>
      <c r="B16" s="18">
        <f>IFERROR(BD9,0)</f>
        <v>18.642211098095977</v>
      </c>
      <c r="C16" s="19">
        <f>IFERROR(BD4,0)</f>
        <v>0.76756004491394358</v>
      </c>
      <c r="D16" s="20">
        <f>IFERROR(BD2,0)</f>
        <v>25.675424360493832</v>
      </c>
      <c r="E16" s="20"/>
      <c r="F16" s="9"/>
      <c r="G16" s="21">
        <v>1.78986</v>
      </c>
      <c r="H16" s="21">
        <v>5.1387499999999999</v>
      </c>
      <c r="I16" s="21">
        <v>-1.9943199999999999E-3</v>
      </c>
      <c r="J16" s="21">
        <v>6</v>
      </c>
      <c r="K16" s="21">
        <v>1.78864</v>
      </c>
      <c r="L16">
        <f t="shared" si="0"/>
        <v>2.4621234567901231</v>
      </c>
      <c r="M16">
        <f t="shared" si="1"/>
        <v>4.4068562903703699</v>
      </c>
      <c r="N16" s="9"/>
      <c r="O16" s="21">
        <v>-6.9732699999999995E-2</v>
      </c>
      <c r="P16" s="21">
        <v>8.9982199999999999</v>
      </c>
      <c r="Q16" s="21">
        <v>-1.50452E-2</v>
      </c>
      <c r="R16" s="21">
        <v>6</v>
      </c>
      <c r="S16" s="21">
        <v>-7.0281999999999997E-2</v>
      </c>
      <c r="T16">
        <f t="shared" si="2"/>
        <v>18.574320987654321</v>
      </c>
      <c r="U16">
        <f t="shared" si="3"/>
        <v>-1.2952375531358025</v>
      </c>
      <c r="V16" s="22"/>
      <c r="W16" s="23"/>
      <c r="X16" s="9"/>
      <c r="Y16" s="21">
        <v>1.78986</v>
      </c>
      <c r="Z16" s="21">
        <v>14.554</v>
      </c>
      <c r="AA16" s="21">
        <v>-1.3067599999999999E-3</v>
      </c>
      <c r="AB16" s="21">
        <v>6</v>
      </c>
      <c r="AC16" s="21">
        <v>1.78955</v>
      </c>
      <c r="AD16">
        <f t="shared" si="4"/>
        <v>1.6132839506172838</v>
      </c>
      <c r="AE16">
        <f t="shared" si="5"/>
        <v>2.8875524118518516</v>
      </c>
      <c r="AF16" s="9"/>
      <c r="AG16" s="21">
        <v>-6.9732699999999995E-2</v>
      </c>
      <c r="AH16" s="21">
        <v>18.413399999999999</v>
      </c>
      <c r="AI16" s="21">
        <v>-1.50574E-2</v>
      </c>
      <c r="AJ16" s="21">
        <v>6</v>
      </c>
      <c r="AK16" s="21">
        <v>-7.0251499999999995E-2</v>
      </c>
      <c r="AL16">
        <f t="shared" si="6"/>
        <v>18.589382716049382</v>
      </c>
      <c r="AM16">
        <f t="shared" si="7"/>
        <v>-1.2962878481234565</v>
      </c>
      <c r="AP16" s="9"/>
      <c r="AQ16" s="21">
        <v>1.78986</v>
      </c>
      <c r="AR16" s="21">
        <v>23.938199999999998</v>
      </c>
      <c r="AS16" s="21">
        <v>-8.9355499999999998E-4</v>
      </c>
      <c r="AT16" s="21">
        <v>6</v>
      </c>
      <c r="AU16" s="21">
        <v>1.78894</v>
      </c>
      <c r="AV16">
        <f t="shared" si="8"/>
        <v>1.1031543209876542</v>
      </c>
      <c r="AW16">
        <f t="shared" si="9"/>
        <v>1.9744917929629628</v>
      </c>
      <c r="AX16" s="9"/>
      <c r="AY16" s="21">
        <v>-6.9732699999999995E-2</v>
      </c>
      <c r="AZ16" s="21">
        <v>27.797699999999999</v>
      </c>
      <c r="BA16" s="21">
        <v>-1.51337E-2</v>
      </c>
      <c r="BB16" s="21">
        <v>6</v>
      </c>
      <c r="BC16" s="21">
        <v>-7.0251499999999995E-2</v>
      </c>
      <c r="BD16">
        <f t="shared" si="10"/>
        <v>18.683580246913579</v>
      </c>
      <c r="BE16">
        <f t="shared" si="11"/>
        <v>-1.3028564962839504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1.7848200000000001</v>
      </c>
      <c r="H17" s="21">
        <v>5.1488199999999997</v>
      </c>
      <c r="I17" s="21">
        <v>-2.95166E-3</v>
      </c>
      <c r="J17" s="21">
        <v>7</v>
      </c>
      <c r="K17" s="21">
        <v>1.78406</v>
      </c>
      <c r="L17">
        <f t="shared" si="0"/>
        <v>3.6440246913580245</v>
      </c>
      <c r="M17">
        <f t="shared" si="1"/>
        <v>6.5039281496296297</v>
      </c>
      <c r="N17" s="9"/>
      <c r="O17" s="21">
        <v>-6.4697299999999999E-2</v>
      </c>
      <c r="P17" s="21">
        <v>9.0083000000000002</v>
      </c>
      <c r="Q17" s="21">
        <v>-1.50513E-2</v>
      </c>
      <c r="R17" s="21">
        <v>7</v>
      </c>
      <c r="S17" s="21">
        <v>-6.5338099999999996E-2</v>
      </c>
      <c r="T17">
        <f t="shared" si="2"/>
        <v>18.581851851851848</v>
      </c>
      <c r="U17">
        <f t="shared" si="3"/>
        <v>-1.2021956438148145</v>
      </c>
      <c r="V17" s="22"/>
      <c r="W17" s="23"/>
      <c r="X17" s="9"/>
      <c r="Y17" s="21">
        <v>1.7848200000000001</v>
      </c>
      <c r="Z17" s="21">
        <v>14.564</v>
      </c>
      <c r="AA17" s="21">
        <v>-2.3199499999999999E-3</v>
      </c>
      <c r="AB17" s="21">
        <v>7</v>
      </c>
      <c r="AC17" s="21">
        <v>1.7843599999999999</v>
      </c>
      <c r="AD17">
        <f t="shared" si="4"/>
        <v>2.8641358024691352</v>
      </c>
      <c r="AE17">
        <f t="shared" si="5"/>
        <v>5.1119668629629622</v>
      </c>
      <c r="AF17" s="9"/>
      <c r="AG17" s="21">
        <v>-6.4697299999999999E-2</v>
      </c>
      <c r="AH17" s="21">
        <v>18.423500000000001</v>
      </c>
      <c r="AI17" s="21">
        <v>-1.50604E-2</v>
      </c>
      <c r="AJ17" s="21">
        <v>7</v>
      </c>
      <c r="AK17" s="21">
        <v>-6.5124500000000002E-2</v>
      </c>
      <c r="AL17">
        <f t="shared" si="6"/>
        <v>18.593086419753085</v>
      </c>
      <c r="AM17">
        <f t="shared" si="7"/>
        <v>-1.2029224900246913</v>
      </c>
      <c r="AP17" s="9"/>
      <c r="AQ17" s="21">
        <v>1.7848200000000001</v>
      </c>
      <c r="AR17" s="21">
        <v>23.9483</v>
      </c>
      <c r="AS17" s="21">
        <v>-1.99921E-3</v>
      </c>
      <c r="AT17" s="21">
        <v>7</v>
      </c>
      <c r="AU17" s="21">
        <v>1.7843599999999999</v>
      </c>
      <c r="AV17">
        <f t="shared" si="8"/>
        <v>2.4681604938271602</v>
      </c>
      <c r="AW17">
        <f t="shared" si="9"/>
        <v>4.4052222125925926</v>
      </c>
      <c r="AX17" s="9"/>
      <c r="AY17" s="21">
        <v>-6.4697299999999999E-2</v>
      </c>
      <c r="AZ17" s="21">
        <v>27.807700000000001</v>
      </c>
      <c r="BA17" s="21">
        <v>-1.51276E-2</v>
      </c>
      <c r="BB17" s="21">
        <v>7</v>
      </c>
      <c r="BC17" s="21">
        <v>-6.5216099999999999E-2</v>
      </c>
      <c r="BD17">
        <f t="shared" si="10"/>
        <v>18.676049382716048</v>
      </c>
      <c r="BE17">
        <f t="shared" si="11"/>
        <v>-1.2082899697283949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1.77979</v>
      </c>
      <c r="H18" s="21">
        <v>5.1588900000000004</v>
      </c>
      <c r="I18" s="21">
        <v>-3.8470499999999999E-3</v>
      </c>
      <c r="J18" s="21">
        <v>8</v>
      </c>
      <c r="K18" s="21">
        <v>1.7791699999999999</v>
      </c>
      <c r="L18">
        <f t="shared" si="0"/>
        <v>4.7494444444444444</v>
      </c>
      <c r="M18">
        <f t="shared" si="1"/>
        <v>8.4530137277777779</v>
      </c>
      <c r="N18" s="9"/>
      <c r="O18" s="21">
        <v>-5.9661899999999997E-2</v>
      </c>
      <c r="P18" s="21">
        <v>9.0183700000000009</v>
      </c>
      <c r="Q18" s="21">
        <v>-1.50604E-2</v>
      </c>
      <c r="R18" s="21">
        <v>8</v>
      </c>
      <c r="S18" s="21">
        <v>-6.0058599999999997E-2</v>
      </c>
      <c r="T18">
        <f t="shared" si="2"/>
        <v>18.593086419753085</v>
      </c>
      <c r="U18">
        <f t="shared" si="3"/>
        <v>-1.1092988626666664</v>
      </c>
      <c r="V18" s="22"/>
      <c r="W18" s="23"/>
      <c r="X18" s="9"/>
      <c r="Y18" s="21">
        <v>1.77979</v>
      </c>
      <c r="Z18" s="21">
        <v>14.5741</v>
      </c>
      <c r="AA18" s="21">
        <v>-3.2223500000000001E-3</v>
      </c>
      <c r="AB18" s="21">
        <v>8</v>
      </c>
      <c r="AC18" s="21">
        <v>1.77948</v>
      </c>
      <c r="AD18">
        <f t="shared" si="4"/>
        <v>3.9782098765432092</v>
      </c>
      <c r="AE18">
        <f t="shared" si="5"/>
        <v>7.0803781561728387</v>
      </c>
      <c r="AF18" s="9"/>
      <c r="AG18" s="21">
        <v>-5.9661899999999997E-2</v>
      </c>
      <c r="AH18" s="21">
        <v>18.433599999999998</v>
      </c>
      <c r="AI18" s="21">
        <v>-1.50604E-2</v>
      </c>
      <c r="AJ18" s="21">
        <v>8</v>
      </c>
      <c r="AK18" s="21">
        <v>-6.0150099999999998E-2</v>
      </c>
      <c r="AL18">
        <f t="shared" si="6"/>
        <v>18.593086419753085</v>
      </c>
      <c r="AM18">
        <f t="shared" si="7"/>
        <v>-1.1092988626666664</v>
      </c>
      <c r="AP18" s="9"/>
      <c r="AQ18" s="21">
        <v>1.77979</v>
      </c>
      <c r="AR18" s="21">
        <v>23.958300000000001</v>
      </c>
      <c r="AS18" s="21">
        <v>-3.0035399999999999E-3</v>
      </c>
      <c r="AT18" s="21">
        <v>8</v>
      </c>
      <c r="AU18" s="21">
        <v>1.77887</v>
      </c>
      <c r="AV18">
        <f t="shared" si="8"/>
        <v>3.7080740740740739</v>
      </c>
      <c r="AW18">
        <f t="shared" si="9"/>
        <v>6.5995931562962955</v>
      </c>
      <c r="AX18" s="9"/>
      <c r="AY18" s="21">
        <v>-5.9661899999999997E-2</v>
      </c>
      <c r="AZ18" s="21">
        <v>27.817799999999998</v>
      </c>
      <c r="BA18" s="21">
        <v>-1.51123E-2</v>
      </c>
      <c r="BB18" s="21">
        <v>8</v>
      </c>
      <c r="BC18" s="21">
        <v>-6.0028100000000001E-2</v>
      </c>
      <c r="BD18">
        <f t="shared" si="10"/>
        <v>18.65716049382716</v>
      </c>
      <c r="BE18">
        <f t="shared" si="11"/>
        <v>-1.1131216436666667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1.77475</v>
      </c>
      <c r="H19" s="21">
        <v>5.1689600000000002</v>
      </c>
      <c r="I19" s="21">
        <v>-4.6124299999999998E-3</v>
      </c>
      <c r="J19" s="21">
        <v>9</v>
      </c>
      <c r="K19" s="21">
        <v>1.7748999999999999</v>
      </c>
      <c r="L19">
        <f t="shared" si="0"/>
        <v>5.6943580246913577</v>
      </c>
      <c r="M19">
        <f t="shared" si="1"/>
        <v>10.106061904320986</v>
      </c>
      <c r="N19" s="9"/>
      <c r="O19" s="21">
        <v>-5.4626500000000001E-2</v>
      </c>
      <c r="P19" s="21">
        <v>9.0284399999999998</v>
      </c>
      <c r="Q19" s="21">
        <v>-1.5069600000000001E-2</v>
      </c>
      <c r="R19" s="21">
        <v>9</v>
      </c>
      <c r="S19" s="21">
        <v>-5.5145300000000001E-2</v>
      </c>
      <c r="T19">
        <f t="shared" si="2"/>
        <v>18.604444444444443</v>
      </c>
      <c r="U19">
        <f t="shared" si="3"/>
        <v>-1.0162956844444444</v>
      </c>
      <c r="V19" s="22"/>
      <c r="W19" s="23"/>
      <c r="X19" s="9"/>
      <c r="Y19" s="21">
        <v>1.77475</v>
      </c>
      <c r="Z19" s="21">
        <v>14.584199999999999</v>
      </c>
      <c r="AA19" s="21">
        <v>-4.04572E-3</v>
      </c>
      <c r="AB19" s="21">
        <v>9</v>
      </c>
      <c r="AC19" s="21">
        <v>1.7736799999999999</v>
      </c>
      <c r="AD19">
        <f t="shared" si="4"/>
        <v>4.9947160493827152</v>
      </c>
      <c r="AE19">
        <f t="shared" si="5"/>
        <v>8.8643723086419737</v>
      </c>
      <c r="AF19" s="9"/>
      <c r="AG19" s="21">
        <v>-5.4626500000000001E-2</v>
      </c>
      <c r="AH19" s="21">
        <v>18.4436</v>
      </c>
      <c r="AI19" s="21">
        <v>-1.5063500000000001E-2</v>
      </c>
      <c r="AJ19" s="21">
        <v>9</v>
      </c>
      <c r="AK19" s="21">
        <v>-5.5236800000000003E-2</v>
      </c>
      <c r="AL19">
        <f t="shared" si="6"/>
        <v>18.596913580246913</v>
      </c>
      <c r="AM19">
        <f t="shared" si="7"/>
        <v>-1.015884299691358</v>
      </c>
      <c r="AP19" s="9"/>
      <c r="AQ19" s="21">
        <v>1.77475</v>
      </c>
      <c r="AR19" s="21">
        <v>23.968399999999999</v>
      </c>
      <c r="AS19" s="21">
        <v>-3.87573E-3</v>
      </c>
      <c r="AT19" s="21">
        <v>9</v>
      </c>
      <c r="AU19" s="21">
        <v>1.77399</v>
      </c>
      <c r="AV19">
        <f t="shared" si="8"/>
        <v>4.7848518518518519</v>
      </c>
      <c r="AW19">
        <f t="shared" si="9"/>
        <v>8.4919158240740753</v>
      </c>
      <c r="AX19" s="9"/>
      <c r="AY19" s="21">
        <v>-5.4626500000000001E-2</v>
      </c>
      <c r="AZ19" s="21">
        <v>27.8279</v>
      </c>
      <c r="BA19" s="21">
        <v>-1.5109300000000001E-2</v>
      </c>
      <c r="BB19" s="21">
        <v>9</v>
      </c>
      <c r="BC19" s="21">
        <v>-5.5297899999999997E-2</v>
      </c>
      <c r="BD19">
        <f t="shared" si="10"/>
        <v>18.653456790123457</v>
      </c>
      <c r="BE19">
        <f t="shared" si="11"/>
        <v>-1.018973057345679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1.7697099999999999</v>
      </c>
      <c r="H20" s="21">
        <v>5.17903</v>
      </c>
      <c r="I20" s="21">
        <v>-5.3314199999999999E-3</v>
      </c>
      <c r="J20" s="21">
        <v>10</v>
      </c>
      <c r="K20" s="21">
        <v>1.7684899999999999</v>
      </c>
      <c r="L20">
        <f t="shared" si="0"/>
        <v>6.581999999999999</v>
      </c>
      <c r="M20">
        <f t="shared" si="1"/>
        <v>11.648231219999998</v>
      </c>
      <c r="N20" s="9"/>
      <c r="O20" s="21">
        <v>-4.9591099999999999E-2</v>
      </c>
      <c r="P20" s="21">
        <v>9.0385100000000005</v>
      </c>
      <c r="Q20" s="21">
        <v>-1.5075699999999999E-2</v>
      </c>
      <c r="R20" s="21">
        <v>10</v>
      </c>
      <c r="S20" s="21">
        <v>-5.00793E-2</v>
      </c>
      <c r="T20">
        <f t="shared" si="2"/>
        <v>18.611975308641973</v>
      </c>
      <c r="U20">
        <f t="shared" si="3"/>
        <v>-0.92298832872839498</v>
      </c>
      <c r="V20" s="22"/>
      <c r="W20" s="23"/>
      <c r="X20" s="9"/>
      <c r="Y20" s="21">
        <v>1.7697099999999999</v>
      </c>
      <c r="Z20" s="21">
        <v>14.594200000000001</v>
      </c>
      <c r="AA20" s="21">
        <v>-4.7705100000000004E-3</v>
      </c>
      <c r="AB20" s="21">
        <v>10</v>
      </c>
      <c r="AC20" s="21">
        <v>1.7690999999999999</v>
      </c>
      <c r="AD20">
        <f t="shared" si="4"/>
        <v>5.8895185185185186</v>
      </c>
      <c r="AE20">
        <f t="shared" si="5"/>
        <v>10.422739817407408</v>
      </c>
      <c r="AF20" s="9"/>
      <c r="AG20" s="21">
        <v>-4.9591099999999999E-2</v>
      </c>
      <c r="AH20" s="21">
        <v>18.453700000000001</v>
      </c>
      <c r="AI20" s="21">
        <v>-1.50665E-2</v>
      </c>
      <c r="AJ20" s="21">
        <v>10</v>
      </c>
      <c r="AK20" s="21">
        <v>-5.0018300000000002E-2</v>
      </c>
      <c r="AL20">
        <f t="shared" si="6"/>
        <v>18.600617283950616</v>
      </c>
      <c r="AM20">
        <f t="shared" si="7"/>
        <v>-0.92242507179012334</v>
      </c>
      <c r="AP20" s="9"/>
      <c r="AQ20" s="21">
        <v>1.7697099999999999</v>
      </c>
      <c r="AR20" s="21">
        <v>23.9785</v>
      </c>
      <c r="AS20" s="21">
        <v>-4.6679699999999996E-3</v>
      </c>
      <c r="AT20" s="21">
        <v>10</v>
      </c>
      <c r="AU20" s="21">
        <v>1.7687999999999999</v>
      </c>
      <c r="AV20">
        <f t="shared" si="8"/>
        <v>5.7629259259259245</v>
      </c>
      <c r="AW20">
        <f t="shared" si="9"/>
        <v>10.198707640370367</v>
      </c>
      <c r="AX20" s="9"/>
      <c r="AY20" s="21">
        <v>-4.9591099999999999E-2</v>
      </c>
      <c r="AZ20" s="21">
        <v>27.838000000000001</v>
      </c>
      <c r="BA20" s="21">
        <v>-1.5109300000000001E-2</v>
      </c>
      <c r="BB20" s="21">
        <v>10</v>
      </c>
      <c r="BC20" s="21">
        <v>-5.00793E-2</v>
      </c>
      <c r="BD20">
        <f t="shared" si="10"/>
        <v>18.653456790123457</v>
      </c>
      <c r="BE20">
        <f t="shared" si="11"/>
        <v>-0.92504544102469133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1.76468</v>
      </c>
      <c r="H21" s="21">
        <v>5.1890999999999998</v>
      </c>
      <c r="I21" s="21">
        <v>-5.9509300000000001E-3</v>
      </c>
      <c r="J21" s="21">
        <v>11</v>
      </c>
      <c r="K21" s="21">
        <v>1.7642199999999999</v>
      </c>
      <c r="L21">
        <f t="shared" si="0"/>
        <v>7.3468271604938264</v>
      </c>
      <c r="M21">
        <f t="shared" si="1"/>
        <v>12.964798953580246</v>
      </c>
      <c r="N21" s="9"/>
      <c r="O21" s="21">
        <v>-4.4555699999999997E-2</v>
      </c>
      <c r="P21" s="21">
        <v>9.0485799999999994</v>
      </c>
      <c r="Q21" s="21">
        <v>-1.50726E-2</v>
      </c>
      <c r="R21" s="21">
        <v>11</v>
      </c>
      <c r="S21" s="21">
        <v>-4.4882199999999997E-2</v>
      </c>
      <c r="T21">
        <f t="shared" si="2"/>
        <v>18.60814814814815</v>
      </c>
      <c r="U21">
        <f t="shared" si="3"/>
        <v>-0.82909906644444442</v>
      </c>
      <c r="V21" s="22"/>
      <c r="W21" s="23"/>
      <c r="X21" s="9"/>
      <c r="Y21" s="21">
        <v>1.76468</v>
      </c>
      <c r="Z21" s="21">
        <v>14.6043</v>
      </c>
      <c r="AA21" s="21">
        <v>-5.4443399999999998E-3</v>
      </c>
      <c r="AB21" s="21">
        <v>11</v>
      </c>
      <c r="AC21" s="21">
        <v>1.7648299999999999</v>
      </c>
      <c r="AD21">
        <f t="shared" si="4"/>
        <v>6.7214074074074066</v>
      </c>
      <c r="AE21">
        <f t="shared" si="5"/>
        <v>11.861133223703703</v>
      </c>
      <c r="AF21" s="9"/>
      <c r="AG21" s="21">
        <v>-4.4555699999999997E-2</v>
      </c>
      <c r="AH21" s="21">
        <v>18.463799999999999</v>
      </c>
      <c r="AI21" s="21">
        <v>-1.5075699999999999E-2</v>
      </c>
      <c r="AJ21" s="21">
        <v>11</v>
      </c>
      <c r="AK21" s="21">
        <v>-4.4860799999999999E-2</v>
      </c>
      <c r="AL21">
        <f t="shared" si="6"/>
        <v>18.611975308641973</v>
      </c>
      <c r="AM21">
        <f t="shared" si="7"/>
        <v>-0.82926958825925912</v>
      </c>
      <c r="AP21" s="9"/>
      <c r="AQ21" s="21">
        <v>1.76468</v>
      </c>
      <c r="AR21" s="21">
        <v>23.988499999999998</v>
      </c>
      <c r="AS21" s="21">
        <v>-5.3588899999999998E-3</v>
      </c>
      <c r="AT21" s="21">
        <v>11</v>
      </c>
      <c r="AU21" s="21">
        <v>1.7639199999999999</v>
      </c>
      <c r="AV21">
        <f t="shared" si="8"/>
        <v>6.6159135802469136</v>
      </c>
      <c r="AW21">
        <f t="shared" si="9"/>
        <v>11.674970376790123</v>
      </c>
      <c r="AX21" s="9"/>
      <c r="AY21" s="21">
        <v>-4.4555699999999997E-2</v>
      </c>
      <c r="AZ21" s="21">
        <v>27.847999999999999</v>
      </c>
      <c r="BA21" s="21">
        <v>-1.5115399999999999E-2</v>
      </c>
      <c r="BB21" s="21">
        <v>11</v>
      </c>
      <c r="BC21" s="21">
        <v>-4.4894400000000001E-2</v>
      </c>
      <c r="BD21">
        <f t="shared" si="10"/>
        <v>18.660987654320987</v>
      </c>
      <c r="BE21">
        <f t="shared" si="11"/>
        <v>-0.83145336762962951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1.7596400000000001</v>
      </c>
      <c r="H22" s="21">
        <v>5.1991699999999996</v>
      </c>
      <c r="I22" s="21">
        <v>-6.5399200000000003E-3</v>
      </c>
      <c r="J22" s="21">
        <v>12</v>
      </c>
      <c r="K22" s="21">
        <v>1.7584200000000001</v>
      </c>
      <c r="L22">
        <f t="shared" si="0"/>
        <v>8.073975308641975</v>
      </c>
      <c r="M22">
        <f t="shared" si="1"/>
        <v>14.207289912098766</v>
      </c>
      <c r="N22" s="9"/>
      <c r="O22" s="21">
        <v>-3.9520300000000001E-2</v>
      </c>
      <c r="P22" s="21">
        <v>9.0586500000000001</v>
      </c>
      <c r="Q22" s="21">
        <v>-1.5069600000000001E-2</v>
      </c>
      <c r="R22" s="21">
        <v>12</v>
      </c>
      <c r="S22" s="21">
        <v>-3.9846800000000002E-2</v>
      </c>
      <c r="T22">
        <f t="shared" si="2"/>
        <v>18.604444444444443</v>
      </c>
      <c r="U22">
        <f t="shared" si="3"/>
        <v>-0.73525322577777774</v>
      </c>
      <c r="V22" s="22"/>
      <c r="W22" s="23"/>
      <c r="X22" s="9"/>
      <c r="Y22" s="21">
        <v>1.7596400000000001</v>
      </c>
      <c r="Z22" s="21">
        <v>14.6144</v>
      </c>
      <c r="AA22" s="21">
        <v>-6.0485799999999996E-3</v>
      </c>
      <c r="AB22" s="21">
        <v>12</v>
      </c>
      <c r="AC22" s="21">
        <v>1.7590300000000001</v>
      </c>
      <c r="AD22">
        <f t="shared" si="4"/>
        <v>7.4673827160493822</v>
      </c>
      <c r="AE22">
        <f t="shared" si="5"/>
        <v>13.139905322469136</v>
      </c>
      <c r="AF22" s="9"/>
      <c r="AG22" s="21">
        <v>-3.9520300000000001E-2</v>
      </c>
      <c r="AH22" s="21">
        <v>18.4739</v>
      </c>
      <c r="AI22" s="21">
        <v>-1.5084800000000001E-2</v>
      </c>
      <c r="AJ22" s="21">
        <v>12</v>
      </c>
      <c r="AK22" s="21">
        <v>-3.9788799999999999E-2</v>
      </c>
      <c r="AL22">
        <f t="shared" si="6"/>
        <v>18.623209876543207</v>
      </c>
      <c r="AM22">
        <f t="shared" si="7"/>
        <v>-0.73599484128395054</v>
      </c>
      <c r="AP22" s="9"/>
      <c r="AQ22" s="21">
        <v>1.7596400000000001</v>
      </c>
      <c r="AR22" s="21">
        <v>23.9986</v>
      </c>
      <c r="AS22" s="21">
        <v>-5.9936499999999997E-3</v>
      </c>
      <c r="AT22" s="21">
        <v>12</v>
      </c>
      <c r="AU22" s="21">
        <v>1.7587299999999999</v>
      </c>
      <c r="AV22">
        <f t="shared" si="8"/>
        <v>7.3995679012345672</v>
      </c>
      <c r="AW22">
        <f t="shared" si="9"/>
        <v>13.020575661728394</v>
      </c>
      <c r="AX22" s="9"/>
      <c r="AY22" s="21">
        <v>-3.9520300000000001E-2</v>
      </c>
      <c r="AZ22" s="21">
        <v>27.8581</v>
      </c>
      <c r="BA22" s="21">
        <v>-1.51215E-2</v>
      </c>
      <c r="BB22" s="21">
        <v>12</v>
      </c>
      <c r="BC22" s="21">
        <v>-3.9764399999999998E-2</v>
      </c>
      <c r="BD22">
        <f t="shared" si="10"/>
        <v>18.668518518518518</v>
      </c>
      <c r="BE22">
        <f t="shared" si="11"/>
        <v>-0.73778545240740745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1.75461</v>
      </c>
      <c r="H23" s="21">
        <v>5.2092499999999999</v>
      </c>
      <c r="I23" s="21">
        <v>-7.0556600000000001E-3</v>
      </c>
      <c r="J23" s="21">
        <v>13</v>
      </c>
      <c r="K23" s="21">
        <v>1.7541500000000001</v>
      </c>
      <c r="L23">
        <f t="shared" si="0"/>
        <v>8.7106913580246914</v>
      </c>
      <c r="M23">
        <f t="shared" si="1"/>
        <v>15.283866163703705</v>
      </c>
      <c r="N23" s="9"/>
      <c r="O23" s="21">
        <v>-3.4484899999999999E-2</v>
      </c>
      <c r="P23" s="21">
        <v>9.0687200000000008</v>
      </c>
      <c r="Q23" s="21">
        <v>-1.5069600000000001E-2</v>
      </c>
      <c r="R23" s="21">
        <v>13</v>
      </c>
      <c r="S23" s="21">
        <v>-3.4753399999999997E-2</v>
      </c>
      <c r="T23">
        <f t="shared" si="2"/>
        <v>18.604444444444443</v>
      </c>
      <c r="U23">
        <f t="shared" si="3"/>
        <v>-0.64157240622222211</v>
      </c>
      <c r="V23" s="22"/>
      <c r="W23" s="23"/>
      <c r="X23" s="9"/>
      <c r="Y23" s="21">
        <v>1.75461</v>
      </c>
      <c r="Z23" s="21">
        <v>14.624499999999999</v>
      </c>
      <c r="AA23" s="21">
        <v>-6.5979000000000003E-3</v>
      </c>
      <c r="AB23" s="21">
        <v>13</v>
      </c>
      <c r="AC23" s="21">
        <v>1.7541500000000001</v>
      </c>
      <c r="AD23">
        <f t="shared" si="4"/>
        <v>8.1455555555555552</v>
      </c>
      <c r="AE23">
        <f t="shared" si="5"/>
        <v>14.292273233333333</v>
      </c>
      <c r="AF23" s="9"/>
      <c r="AG23" s="21">
        <v>-3.4484899999999999E-2</v>
      </c>
      <c r="AH23" s="21">
        <v>18.483899999999998</v>
      </c>
      <c r="AI23" s="21">
        <v>-1.5084800000000001E-2</v>
      </c>
      <c r="AJ23" s="21">
        <v>13</v>
      </c>
      <c r="AK23" s="21">
        <v>-3.4771700000000003E-2</v>
      </c>
      <c r="AL23">
        <f t="shared" si="6"/>
        <v>18.623209876543207</v>
      </c>
      <c r="AM23">
        <f t="shared" si="7"/>
        <v>-0.64221953027160483</v>
      </c>
      <c r="AP23" s="9"/>
      <c r="AQ23" s="21">
        <v>1.75461</v>
      </c>
      <c r="AR23" s="21">
        <v>24.008700000000001</v>
      </c>
      <c r="AS23" s="21">
        <v>-6.5551799999999999E-3</v>
      </c>
      <c r="AT23" s="21">
        <v>13</v>
      </c>
      <c r="AU23" s="21">
        <v>1.7538499999999999</v>
      </c>
      <c r="AV23">
        <f t="shared" si="8"/>
        <v>8.0928148148148153</v>
      </c>
      <c r="AW23">
        <f t="shared" si="9"/>
        <v>14.199733802222223</v>
      </c>
      <c r="AX23" s="9"/>
      <c r="AY23" s="21">
        <v>-3.4484899999999999E-2</v>
      </c>
      <c r="AZ23" s="21">
        <v>27.868200000000002</v>
      </c>
      <c r="BA23" s="21">
        <v>-1.5118400000000001E-2</v>
      </c>
      <c r="BB23" s="21">
        <v>13</v>
      </c>
      <c r="BC23" s="21">
        <v>-3.46558E-2</v>
      </c>
      <c r="BD23">
        <f t="shared" si="10"/>
        <v>18.66469135802469</v>
      </c>
      <c r="BE23">
        <f t="shared" si="11"/>
        <v>-0.64365001501234564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1.7495700000000001</v>
      </c>
      <c r="H24" s="21">
        <v>5.2193199999999997</v>
      </c>
      <c r="I24" s="21">
        <v>-7.5317400000000003E-3</v>
      </c>
      <c r="J24" s="21">
        <v>14</v>
      </c>
      <c r="K24" s="21">
        <v>1.7492700000000001</v>
      </c>
      <c r="L24">
        <f t="shared" si="0"/>
        <v>9.2984444444444438</v>
      </c>
      <c r="M24">
        <f t="shared" si="1"/>
        <v>16.268279446666668</v>
      </c>
      <c r="N24" s="9"/>
      <c r="O24" s="21">
        <v>-2.94495E-2</v>
      </c>
      <c r="P24" s="21">
        <v>9.0787899999999997</v>
      </c>
      <c r="Q24" s="21">
        <v>-1.5063500000000001E-2</v>
      </c>
      <c r="R24" s="21">
        <v>14</v>
      </c>
      <c r="S24" s="21">
        <v>-2.9833999999999999E-2</v>
      </c>
      <c r="T24">
        <f t="shared" si="2"/>
        <v>18.596913580246913</v>
      </c>
      <c r="U24">
        <f t="shared" si="3"/>
        <v>-0.54766980648148145</v>
      </c>
      <c r="V24" s="22"/>
      <c r="W24" s="23"/>
      <c r="X24" s="9"/>
      <c r="Y24" s="21">
        <v>1.7495700000000001</v>
      </c>
      <c r="Z24" s="21">
        <v>14.634499999999999</v>
      </c>
      <c r="AA24" s="21">
        <v>-7.0953400000000003E-3</v>
      </c>
      <c r="AB24" s="21">
        <v>14</v>
      </c>
      <c r="AC24" s="21">
        <v>1.7492700000000001</v>
      </c>
      <c r="AD24">
        <f t="shared" si="4"/>
        <v>8.7596790123456802</v>
      </c>
      <c r="AE24">
        <f t="shared" si="5"/>
        <v>15.325671609629632</v>
      </c>
      <c r="AF24" s="9"/>
      <c r="AG24" s="21">
        <v>-2.94495E-2</v>
      </c>
      <c r="AH24" s="21">
        <v>18.494</v>
      </c>
      <c r="AI24" s="21">
        <v>-1.5081799999999999E-2</v>
      </c>
      <c r="AJ24" s="21">
        <v>14</v>
      </c>
      <c r="AK24" s="21">
        <v>-2.9760700000000001E-2</v>
      </c>
      <c r="AL24">
        <f t="shared" si="6"/>
        <v>18.619506172839504</v>
      </c>
      <c r="AM24">
        <f t="shared" si="7"/>
        <v>-0.54833514703703701</v>
      </c>
      <c r="AP24" s="9"/>
      <c r="AQ24" s="21">
        <v>1.7495700000000001</v>
      </c>
      <c r="AR24" s="21">
        <v>24.018799999999999</v>
      </c>
      <c r="AS24" s="21">
        <v>-7.0892300000000002E-3</v>
      </c>
      <c r="AT24" s="21">
        <v>14</v>
      </c>
      <c r="AU24" s="21">
        <v>1.7489600000000001</v>
      </c>
      <c r="AV24">
        <f t="shared" si="8"/>
        <v>8.7521358024691356</v>
      </c>
      <c r="AW24">
        <f t="shared" si="9"/>
        <v>15.312474235925926</v>
      </c>
      <c r="AX24" s="9"/>
      <c r="AY24" s="21">
        <v>-2.94495E-2</v>
      </c>
      <c r="AZ24" s="21">
        <v>27.8782</v>
      </c>
      <c r="BA24" s="21">
        <v>-1.5118400000000001E-2</v>
      </c>
      <c r="BB24" s="21">
        <v>14</v>
      </c>
      <c r="BC24" s="21">
        <v>-2.9714999999999998E-2</v>
      </c>
      <c r="BD24">
        <f t="shared" si="10"/>
        <v>18.66469135802469</v>
      </c>
      <c r="BE24">
        <f t="shared" si="11"/>
        <v>-0.54966582814814813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1.74454</v>
      </c>
      <c r="H25" s="21">
        <v>5.2293900000000004</v>
      </c>
      <c r="I25" s="21">
        <v>-7.9620400000000001E-3</v>
      </c>
      <c r="J25" s="21">
        <v>15</v>
      </c>
      <c r="K25" s="21">
        <v>1.74377</v>
      </c>
      <c r="L25">
        <f t="shared" si="0"/>
        <v>9.8296790123456788</v>
      </c>
      <c r="M25">
        <f t="shared" si="1"/>
        <v>17.14826822419753</v>
      </c>
      <c r="N25" s="9"/>
      <c r="O25" s="21">
        <v>-2.4414100000000001E-2</v>
      </c>
      <c r="P25" s="21">
        <v>9.0888600000000004</v>
      </c>
      <c r="Q25" s="21">
        <v>-1.5069600000000001E-2</v>
      </c>
      <c r="R25" s="21">
        <v>15</v>
      </c>
      <c r="S25" s="21">
        <v>-2.4795500000000002E-2</v>
      </c>
      <c r="T25">
        <f t="shared" si="2"/>
        <v>18.604444444444443</v>
      </c>
      <c r="U25">
        <f t="shared" si="3"/>
        <v>-0.45421076711111108</v>
      </c>
      <c r="V25" s="22"/>
      <c r="W25" s="23"/>
      <c r="X25" s="9"/>
      <c r="Y25" s="21">
        <v>1.74454</v>
      </c>
      <c r="Z25" s="21">
        <v>14.644600000000001</v>
      </c>
      <c r="AA25" s="21">
        <v>-7.55005E-3</v>
      </c>
      <c r="AB25" s="21">
        <v>15</v>
      </c>
      <c r="AC25" s="21">
        <v>1.74377</v>
      </c>
      <c r="AD25">
        <f t="shared" si="4"/>
        <v>9.3210493827160494</v>
      </c>
      <c r="AE25">
        <f t="shared" si="5"/>
        <v>16.260943490123456</v>
      </c>
      <c r="AF25" s="9"/>
      <c r="AG25" s="21">
        <v>-2.4414100000000001E-2</v>
      </c>
      <c r="AH25" s="21">
        <v>18.504100000000001</v>
      </c>
      <c r="AI25" s="21">
        <v>-1.5069600000000001E-2</v>
      </c>
      <c r="AJ25" s="21">
        <v>15</v>
      </c>
      <c r="AK25" s="21">
        <v>-2.4740600000000001E-2</v>
      </c>
      <c r="AL25">
        <f t="shared" si="6"/>
        <v>18.604444444444443</v>
      </c>
      <c r="AM25">
        <f t="shared" si="7"/>
        <v>-0.45421076711111108</v>
      </c>
      <c r="AP25" s="9"/>
      <c r="AQ25" s="21">
        <v>1.74454</v>
      </c>
      <c r="AR25" s="21">
        <v>24.0288</v>
      </c>
      <c r="AS25" s="21">
        <v>-7.55005E-3</v>
      </c>
      <c r="AT25" s="21">
        <v>15</v>
      </c>
      <c r="AU25" s="21">
        <v>1.74377</v>
      </c>
      <c r="AV25">
        <f t="shared" si="8"/>
        <v>9.3210493827160494</v>
      </c>
      <c r="AW25">
        <f t="shared" si="9"/>
        <v>16.260943490123456</v>
      </c>
      <c r="AX25" s="9"/>
      <c r="AY25" s="21">
        <v>-2.4414100000000001E-2</v>
      </c>
      <c r="AZ25" s="21">
        <v>27.888300000000001</v>
      </c>
      <c r="BA25" s="21">
        <v>-1.5115399999999999E-2</v>
      </c>
      <c r="BB25" s="21">
        <v>15</v>
      </c>
      <c r="BC25" s="21">
        <v>-2.4728400000000001E-2</v>
      </c>
      <c r="BD25">
        <f t="shared" si="10"/>
        <v>18.660987654320987</v>
      </c>
      <c r="BE25">
        <f t="shared" si="11"/>
        <v>-0.45559121869135805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1.7395</v>
      </c>
      <c r="H26" s="21">
        <v>5.2394600000000002</v>
      </c>
      <c r="I26" s="21">
        <v>-8.3679199999999992E-3</v>
      </c>
      <c r="J26" s="21">
        <v>16</v>
      </c>
      <c r="K26" s="21">
        <v>1.7385900000000001</v>
      </c>
      <c r="L26">
        <f t="shared" si="0"/>
        <v>10.330765432098763</v>
      </c>
      <c r="M26">
        <f t="shared" si="1"/>
        <v>17.970366469135801</v>
      </c>
      <c r="N26" s="9"/>
      <c r="O26" s="21">
        <v>-1.9378699999999999E-2</v>
      </c>
      <c r="P26" s="21">
        <v>9.0989299999999993</v>
      </c>
      <c r="Q26" s="21">
        <v>-1.50665E-2</v>
      </c>
      <c r="R26" s="21">
        <v>16</v>
      </c>
      <c r="S26" s="21">
        <v>-1.96472E-2</v>
      </c>
      <c r="T26">
        <f t="shared" si="2"/>
        <v>18.600617283950616</v>
      </c>
      <c r="U26">
        <f t="shared" si="3"/>
        <v>-0.36045578216049379</v>
      </c>
      <c r="V26" s="22"/>
      <c r="W26" s="23"/>
      <c r="X26" s="9"/>
      <c r="Y26" s="21">
        <v>1.7395</v>
      </c>
      <c r="Z26" s="21">
        <v>14.6547</v>
      </c>
      <c r="AA26" s="21">
        <v>-7.9681400000000003E-3</v>
      </c>
      <c r="AB26" s="21">
        <v>16</v>
      </c>
      <c r="AC26" s="21">
        <v>1.73889</v>
      </c>
      <c r="AD26">
        <f t="shared" si="4"/>
        <v>9.8372098765432092</v>
      </c>
      <c r="AE26">
        <f t="shared" si="5"/>
        <v>17.111826580246912</v>
      </c>
      <c r="AF26" s="9"/>
      <c r="AG26" s="21">
        <v>-1.9378699999999999E-2</v>
      </c>
      <c r="AH26" s="21">
        <v>18.514099999999999</v>
      </c>
      <c r="AI26" s="21">
        <v>-1.50574E-2</v>
      </c>
      <c r="AJ26" s="21">
        <v>16</v>
      </c>
      <c r="AK26" s="21">
        <v>-1.95801E-2</v>
      </c>
      <c r="AL26">
        <f t="shared" si="6"/>
        <v>18.589382716049382</v>
      </c>
      <c r="AM26">
        <f t="shared" si="7"/>
        <v>-0.36023807083950615</v>
      </c>
      <c r="AP26" s="9"/>
      <c r="AQ26" s="21">
        <v>1.7395</v>
      </c>
      <c r="AR26" s="21">
        <v>24.038900000000002</v>
      </c>
      <c r="AS26" s="21">
        <v>-7.9864500000000008E-3</v>
      </c>
      <c r="AT26" s="21">
        <v>16</v>
      </c>
      <c r="AU26" s="21">
        <v>1.73889</v>
      </c>
      <c r="AV26">
        <f t="shared" si="8"/>
        <v>9.8598148148148166</v>
      </c>
      <c r="AW26">
        <f t="shared" si="9"/>
        <v>17.151147870370373</v>
      </c>
      <c r="AX26" s="9"/>
      <c r="AY26" s="21">
        <v>-1.9378699999999999E-2</v>
      </c>
      <c r="AZ26" s="21">
        <v>27.898399999999999</v>
      </c>
      <c r="BA26" s="21">
        <v>-1.5115399999999999E-2</v>
      </c>
      <c r="BB26" s="21">
        <v>16</v>
      </c>
      <c r="BC26" s="21">
        <v>-1.9653299999999999E-2</v>
      </c>
      <c r="BD26">
        <f t="shared" si="10"/>
        <v>18.660987654320987</v>
      </c>
      <c r="BE26">
        <f t="shared" si="11"/>
        <v>-0.36162568145679008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1.73447</v>
      </c>
      <c r="H27" s="21">
        <v>5.24953</v>
      </c>
      <c r="I27" s="21">
        <v>-8.7341299999999997E-3</v>
      </c>
      <c r="J27" s="21">
        <v>17</v>
      </c>
      <c r="K27" s="21">
        <v>1.7337</v>
      </c>
      <c r="L27">
        <f t="shared" si="0"/>
        <v>10.782876543209875</v>
      </c>
      <c r="M27">
        <f t="shared" si="1"/>
        <v>18.702575877901232</v>
      </c>
      <c r="N27" s="9"/>
      <c r="O27" s="21">
        <v>-1.43433E-2</v>
      </c>
      <c r="P27" s="21">
        <v>9.1090099999999996</v>
      </c>
      <c r="Q27" s="21">
        <v>-1.50574E-2</v>
      </c>
      <c r="R27" s="21">
        <v>17</v>
      </c>
      <c r="S27" s="21">
        <v>-1.4605699999999999E-2</v>
      </c>
      <c r="T27">
        <f t="shared" si="2"/>
        <v>18.589382716049382</v>
      </c>
      <c r="U27">
        <f t="shared" si="3"/>
        <v>-0.26663309311111111</v>
      </c>
      <c r="X27" s="9"/>
      <c r="Y27" s="21">
        <v>1.73447</v>
      </c>
      <c r="Z27" s="21">
        <v>14.6647</v>
      </c>
      <c r="AA27" s="21">
        <v>-8.3648699999999999E-3</v>
      </c>
      <c r="AB27" s="21">
        <v>17</v>
      </c>
      <c r="AC27" s="21">
        <v>1.7340100000000001</v>
      </c>
      <c r="AD27">
        <f t="shared" si="4"/>
        <v>10.327</v>
      </c>
      <c r="AE27">
        <f t="shared" si="5"/>
        <v>17.911871689999998</v>
      </c>
      <c r="AF27" s="9"/>
      <c r="AG27" s="21">
        <v>-1.43433E-2</v>
      </c>
      <c r="AH27" s="21">
        <v>18.5242</v>
      </c>
      <c r="AI27" s="21">
        <v>-1.5042099999999999E-2</v>
      </c>
      <c r="AJ27" s="21">
        <v>17</v>
      </c>
      <c r="AK27" s="21">
        <v>-1.45264E-2</v>
      </c>
      <c r="AL27">
        <f t="shared" si="6"/>
        <v>18.570493827160494</v>
      </c>
      <c r="AM27">
        <f t="shared" si="7"/>
        <v>-0.26636216411111113</v>
      </c>
      <c r="AP27" s="9"/>
      <c r="AQ27" s="21">
        <v>1.73447</v>
      </c>
      <c r="AR27" s="21">
        <v>24.048999999999999</v>
      </c>
      <c r="AS27" s="21">
        <v>-8.3648699999999999E-3</v>
      </c>
      <c r="AT27" s="21">
        <v>17</v>
      </c>
      <c r="AU27" s="21">
        <v>1.7340100000000001</v>
      </c>
      <c r="AV27">
        <f t="shared" si="8"/>
        <v>10.327</v>
      </c>
      <c r="AW27">
        <f t="shared" si="9"/>
        <v>17.911871689999998</v>
      </c>
      <c r="AX27" s="9"/>
      <c r="AY27" s="21">
        <v>-1.43433E-2</v>
      </c>
      <c r="AZ27" s="21">
        <v>27.9085</v>
      </c>
      <c r="BA27" s="21">
        <v>-1.51123E-2</v>
      </c>
      <c r="BB27" s="21">
        <v>17</v>
      </c>
      <c r="BC27" s="21">
        <v>-1.4599600000000001E-2</v>
      </c>
      <c r="BD27">
        <f t="shared" si="10"/>
        <v>18.65716049382716</v>
      </c>
      <c r="BE27">
        <f t="shared" si="11"/>
        <v>-0.26760525011111108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1.72943</v>
      </c>
      <c r="H28" s="21">
        <v>5.2595999999999998</v>
      </c>
      <c r="I28" s="21">
        <v>-9.0759299999999994E-3</v>
      </c>
      <c r="J28" s="21">
        <v>18</v>
      </c>
      <c r="K28" s="21">
        <v>1.72882</v>
      </c>
      <c r="L28">
        <f t="shared" si="0"/>
        <v>11.204851851851851</v>
      </c>
      <c r="M28">
        <f t="shared" si="1"/>
        <v>19.378006938148147</v>
      </c>
      <c r="N28" s="9"/>
      <c r="O28" s="21">
        <v>-9.3078599999999994E-3</v>
      </c>
      <c r="P28" s="21">
        <v>9.1190800000000003</v>
      </c>
      <c r="Q28" s="21">
        <v>-1.50543E-2</v>
      </c>
      <c r="R28" s="21">
        <v>18</v>
      </c>
      <c r="S28" s="21">
        <v>-9.5489500000000005E-3</v>
      </c>
      <c r="T28">
        <f t="shared" si="2"/>
        <v>18.585555555555555</v>
      </c>
      <c r="U28">
        <f t="shared" si="3"/>
        <v>-0.17299174913333332</v>
      </c>
      <c r="X28" s="9"/>
      <c r="Y28" s="21">
        <v>1.72943</v>
      </c>
      <c r="Z28" s="21">
        <v>14.674799999999999</v>
      </c>
      <c r="AA28" s="21">
        <v>-8.7158200000000009E-3</v>
      </c>
      <c r="AB28" s="21">
        <v>18</v>
      </c>
      <c r="AC28" s="21">
        <v>1.7285200000000001</v>
      </c>
      <c r="AD28">
        <f t="shared" si="4"/>
        <v>10.760271604938271</v>
      </c>
      <c r="AE28">
        <f t="shared" si="5"/>
        <v>18.609136521728395</v>
      </c>
      <c r="AF28" s="9"/>
      <c r="AG28" s="21">
        <v>-9.3078599999999994E-3</v>
      </c>
      <c r="AH28" s="21">
        <v>18.534300000000002</v>
      </c>
      <c r="AI28" s="21">
        <v>-1.50391E-2</v>
      </c>
      <c r="AJ28" s="21">
        <v>18</v>
      </c>
      <c r="AK28" s="21">
        <v>-9.5703100000000003E-3</v>
      </c>
      <c r="AL28">
        <f t="shared" si="6"/>
        <v>18.566790123456791</v>
      </c>
      <c r="AM28">
        <f t="shared" si="7"/>
        <v>-0.17281708311851851</v>
      </c>
      <c r="AP28" s="9"/>
      <c r="AQ28" s="21">
        <v>1.72943</v>
      </c>
      <c r="AR28" s="21">
        <v>24.059000000000001</v>
      </c>
      <c r="AS28" s="21">
        <v>-8.7310800000000004E-3</v>
      </c>
      <c r="AT28" s="21">
        <v>18</v>
      </c>
      <c r="AU28" s="21">
        <v>1.7285200000000001</v>
      </c>
      <c r="AV28">
        <f t="shared" si="8"/>
        <v>10.77911111111111</v>
      </c>
      <c r="AW28">
        <f t="shared" si="9"/>
        <v>18.641718128888886</v>
      </c>
      <c r="AX28" s="9"/>
      <c r="AY28" s="21">
        <v>-9.3078599999999994E-3</v>
      </c>
      <c r="AZ28" s="21">
        <v>27.918500000000002</v>
      </c>
      <c r="BA28" s="21">
        <v>-1.51123E-2</v>
      </c>
      <c r="BB28" s="21">
        <v>18</v>
      </c>
      <c r="BC28" s="21">
        <v>-9.6252400000000002E-3</v>
      </c>
      <c r="BD28">
        <f t="shared" si="10"/>
        <v>18.65716049382716</v>
      </c>
      <c r="BE28">
        <f t="shared" si="11"/>
        <v>-0.17365823787407406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1.7243999999999999</v>
      </c>
      <c r="H29" s="21">
        <v>5.2696699999999996</v>
      </c>
      <c r="I29" s="21">
        <v>-9.3810999999999999E-3</v>
      </c>
      <c r="J29" s="21">
        <v>19</v>
      </c>
      <c r="K29" s="21">
        <v>1.72363</v>
      </c>
      <c r="L29">
        <f t="shared" si="0"/>
        <v>11.581604938271603</v>
      </c>
      <c r="M29">
        <f t="shared" si="1"/>
        <v>19.971319555555553</v>
      </c>
      <c r="N29" s="9"/>
      <c r="O29" s="21">
        <v>-4.2724599999999996E-3</v>
      </c>
      <c r="P29" s="21">
        <v>9.1291499999999992</v>
      </c>
      <c r="Q29" s="21">
        <v>-1.50574E-2</v>
      </c>
      <c r="R29" s="21">
        <v>19</v>
      </c>
      <c r="S29" s="21">
        <v>-4.5379599999999997E-3</v>
      </c>
      <c r="T29">
        <f t="shared" si="2"/>
        <v>18.589382716049382</v>
      </c>
      <c r="U29">
        <f t="shared" si="3"/>
        <v>-7.9422394079012332E-2</v>
      </c>
      <c r="X29" s="9"/>
      <c r="Y29" s="21">
        <v>1.7243999999999999</v>
      </c>
      <c r="Z29" s="21">
        <v>14.684900000000001</v>
      </c>
      <c r="AA29" s="21">
        <v>-9.0515100000000005E-3</v>
      </c>
      <c r="AB29" s="21">
        <v>19</v>
      </c>
      <c r="AC29" s="21">
        <v>1.72394</v>
      </c>
      <c r="AD29">
        <f t="shared" si="4"/>
        <v>11.174703703703704</v>
      </c>
      <c r="AE29">
        <f t="shared" si="5"/>
        <v>19.269659066666666</v>
      </c>
      <c r="AF29" s="9"/>
      <c r="AG29" s="21">
        <v>-4.2724599999999996E-3</v>
      </c>
      <c r="AH29" s="21">
        <v>18.5444</v>
      </c>
      <c r="AI29" s="21">
        <v>-1.5036000000000001E-2</v>
      </c>
      <c r="AJ29" s="21">
        <v>19</v>
      </c>
      <c r="AK29" s="21">
        <v>-4.4738800000000004E-3</v>
      </c>
      <c r="AL29">
        <f t="shared" si="6"/>
        <v>18.562962962962963</v>
      </c>
      <c r="AM29">
        <f t="shared" si="7"/>
        <v>-7.9309516740740729E-2</v>
      </c>
      <c r="AP29" s="9"/>
      <c r="AQ29" s="21">
        <v>1.7243999999999999</v>
      </c>
      <c r="AR29" s="21">
        <v>24.069099999999999</v>
      </c>
      <c r="AS29" s="21">
        <v>-9.0515100000000005E-3</v>
      </c>
      <c r="AT29" s="21">
        <v>19</v>
      </c>
      <c r="AU29" s="21">
        <v>1.72333</v>
      </c>
      <c r="AV29">
        <f t="shared" si="8"/>
        <v>11.174703703703704</v>
      </c>
      <c r="AW29">
        <f t="shared" si="9"/>
        <v>19.269659066666666</v>
      </c>
      <c r="AX29" s="9"/>
      <c r="AY29" s="21">
        <v>-4.2724599999999996E-3</v>
      </c>
      <c r="AZ29" s="21">
        <v>27.928599999999999</v>
      </c>
      <c r="BA29" s="21">
        <v>-1.5109300000000001E-2</v>
      </c>
      <c r="BB29" s="21">
        <v>19</v>
      </c>
      <c r="BC29" s="21">
        <v>-4.5043899999999996E-3</v>
      </c>
      <c r="BD29">
        <f t="shared" si="10"/>
        <v>18.653456790123457</v>
      </c>
      <c r="BE29">
        <f t="shared" si="11"/>
        <v>-7.9696147997530858E-2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1.71936</v>
      </c>
      <c r="H30" s="21">
        <v>5.2797400000000003</v>
      </c>
      <c r="I30" s="21">
        <v>-9.6771200000000009E-3</v>
      </c>
      <c r="J30" s="21">
        <v>20</v>
      </c>
      <c r="K30" s="21">
        <v>1.71906</v>
      </c>
      <c r="L30">
        <f t="shared" si="0"/>
        <v>11.947061728395061</v>
      </c>
      <c r="M30">
        <f t="shared" si="1"/>
        <v>20.541300053333334</v>
      </c>
      <c r="N30" s="9"/>
      <c r="O30" s="21">
        <v>7.6293900000000002E-4</v>
      </c>
      <c r="P30" s="21">
        <v>9.1392199999999999</v>
      </c>
      <c r="Q30" s="21">
        <v>-1.50574E-2</v>
      </c>
      <c r="R30" s="21">
        <v>20</v>
      </c>
      <c r="S30" s="21">
        <v>6.1035199999999999E-4</v>
      </c>
      <c r="T30">
        <f t="shared" si="2"/>
        <v>18.589382716049382</v>
      </c>
      <c r="U30">
        <f t="shared" si="3"/>
        <v>1.4182565059999999E-2</v>
      </c>
      <c r="X30" s="9"/>
      <c r="Y30" s="21">
        <v>1.71936</v>
      </c>
      <c r="Z30" s="21">
        <v>14.695</v>
      </c>
      <c r="AA30" s="21">
        <v>-9.3688999999999995E-3</v>
      </c>
      <c r="AB30" s="21">
        <v>20</v>
      </c>
      <c r="AC30" s="21">
        <v>1.71967</v>
      </c>
      <c r="AD30">
        <f t="shared" si="4"/>
        <v>11.566543209876542</v>
      </c>
      <c r="AE30">
        <f t="shared" si="5"/>
        <v>19.887051733333333</v>
      </c>
      <c r="AF30" s="9"/>
      <c r="AG30" s="21">
        <v>7.6293900000000002E-4</v>
      </c>
      <c r="AH30" s="21">
        <v>18.554400000000001</v>
      </c>
      <c r="AI30" s="21">
        <v>-1.5032999999999999E-2</v>
      </c>
      <c r="AJ30" s="21">
        <v>20</v>
      </c>
      <c r="AK30" s="21">
        <v>5.9204099999999996E-4</v>
      </c>
      <c r="AL30">
        <f t="shared" si="6"/>
        <v>18.559259259259257</v>
      </c>
      <c r="AM30">
        <f t="shared" si="7"/>
        <v>1.4159582699999998E-2</v>
      </c>
      <c r="AP30" s="9"/>
      <c r="AQ30" s="21">
        <v>1.71936</v>
      </c>
      <c r="AR30" s="21">
        <v>24.0792</v>
      </c>
      <c r="AS30" s="21">
        <v>-9.3658400000000003E-3</v>
      </c>
      <c r="AT30" s="21">
        <v>20</v>
      </c>
      <c r="AU30" s="21">
        <v>1.71875</v>
      </c>
      <c r="AV30">
        <f t="shared" si="8"/>
        <v>11.562765432098766</v>
      </c>
      <c r="AW30">
        <f t="shared" si="9"/>
        <v>19.880556373333334</v>
      </c>
      <c r="AX30" s="9"/>
      <c r="AY30" s="21">
        <v>7.6293900000000002E-4</v>
      </c>
      <c r="AZ30" s="21">
        <v>27.938700000000001</v>
      </c>
      <c r="BA30" s="21">
        <v>-1.51001E-2</v>
      </c>
      <c r="BB30" s="21">
        <v>20</v>
      </c>
      <c r="BC30" s="21">
        <v>5.5236800000000002E-4</v>
      </c>
      <c r="BD30">
        <f t="shared" si="10"/>
        <v>18.642098765432099</v>
      </c>
      <c r="BE30">
        <f t="shared" si="11"/>
        <v>1.4222784190000001E-2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1.7143200000000001</v>
      </c>
      <c r="H31" s="21">
        <v>5.2898100000000001</v>
      </c>
      <c r="I31" s="21">
        <v>-9.9517800000000003E-3</v>
      </c>
      <c r="J31" s="21">
        <v>21</v>
      </c>
      <c r="K31" s="21">
        <v>1.71356</v>
      </c>
      <c r="L31">
        <f t="shared" si="0"/>
        <v>12.286148148148149</v>
      </c>
      <c r="M31">
        <f t="shared" si="1"/>
        <v>21.062389493333335</v>
      </c>
      <c r="N31" s="9"/>
      <c r="O31" s="21">
        <v>5.7983399999999999E-3</v>
      </c>
      <c r="P31" s="21">
        <v>9.1492900000000006</v>
      </c>
      <c r="Q31" s="21">
        <v>-1.50513E-2</v>
      </c>
      <c r="R31" s="21">
        <v>21</v>
      </c>
      <c r="S31" s="21">
        <v>5.5877699999999997E-3</v>
      </c>
      <c r="T31">
        <f t="shared" si="2"/>
        <v>18.581851851851848</v>
      </c>
      <c r="U31">
        <f t="shared" si="3"/>
        <v>0.10774389486666665</v>
      </c>
      <c r="X31" s="9"/>
      <c r="Y31" s="21">
        <v>1.7143200000000001</v>
      </c>
      <c r="Z31" s="21">
        <v>14.705</v>
      </c>
      <c r="AA31" s="21">
        <v>-9.6618699999999995E-3</v>
      </c>
      <c r="AB31" s="21">
        <v>21</v>
      </c>
      <c r="AC31" s="21">
        <v>1.71326</v>
      </c>
      <c r="AD31">
        <f t="shared" si="4"/>
        <v>11.928234567901232</v>
      </c>
      <c r="AE31">
        <f t="shared" si="5"/>
        <v>20.44881108444444</v>
      </c>
      <c r="AF31" s="9"/>
      <c r="AG31" s="21">
        <v>5.7983399999999999E-3</v>
      </c>
      <c r="AH31" s="21">
        <v>18.564499999999999</v>
      </c>
      <c r="AI31" s="21">
        <v>-1.5020800000000001E-2</v>
      </c>
      <c r="AJ31" s="21">
        <v>21</v>
      </c>
      <c r="AK31" s="21">
        <v>5.5267299999999997E-3</v>
      </c>
      <c r="AL31">
        <f t="shared" si="6"/>
        <v>18.544197530864199</v>
      </c>
      <c r="AM31">
        <f t="shared" si="7"/>
        <v>0.10752556231111111</v>
      </c>
      <c r="AP31" s="9"/>
      <c r="AQ31" s="21">
        <v>1.7143200000000001</v>
      </c>
      <c r="AR31" s="21">
        <v>24.089300000000001</v>
      </c>
      <c r="AS31" s="21">
        <v>-9.6374500000000005E-3</v>
      </c>
      <c r="AT31" s="21">
        <v>21</v>
      </c>
      <c r="AU31" s="21">
        <v>1.71356</v>
      </c>
      <c r="AV31">
        <f t="shared" si="8"/>
        <v>11.898086419753087</v>
      </c>
      <c r="AW31">
        <f t="shared" si="9"/>
        <v>20.397127511111112</v>
      </c>
      <c r="AX31" s="9"/>
      <c r="AY31" s="21">
        <v>5.7983399999999999E-3</v>
      </c>
      <c r="AZ31" s="21">
        <v>27.948699999999999</v>
      </c>
      <c r="BA31" s="21">
        <v>-1.5075699999999999E-2</v>
      </c>
      <c r="BB31" s="21">
        <v>21</v>
      </c>
      <c r="BC31" s="21">
        <v>5.5450400000000002E-3</v>
      </c>
      <c r="BD31">
        <f t="shared" si="10"/>
        <v>18.611975308641973</v>
      </c>
      <c r="BE31">
        <f t="shared" si="11"/>
        <v>0.1079185609111111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1.70929</v>
      </c>
      <c r="H32" s="21">
        <v>5.2998799999999999</v>
      </c>
      <c r="I32" s="21">
        <v>-1.0208099999999999E-2</v>
      </c>
      <c r="J32" s="21">
        <v>22</v>
      </c>
      <c r="K32" s="21">
        <v>1.7083699999999999</v>
      </c>
      <c r="L32">
        <f t="shared" si="0"/>
        <v>12.602592592592591</v>
      </c>
      <c r="M32">
        <f t="shared" si="1"/>
        <v>21.541485492592589</v>
      </c>
      <c r="N32" s="9"/>
      <c r="O32" s="21">
        <v>1.08337E-2</v>
      </c>
      <c r="P32" s="21">
        <v>9.1593599999999995</v>
      </c>
      <c r="Q32" s="21">
        <v>-1.50452E-2</v>
      </c>
      <c r="R32" s="21">
        <v>22</v>
      </c>
      <c r="S32" s="21">
        <v>1.06689E-2</v>
      </c>
      <c r="T32">
        <f t="shared" si="2"/>
        <v>18.574320987654321</v>
      </c>
      <c r="U32">
        <f t="shared" si="3"/>
        <v>0.20122862128395061</v>
      </c>
      <c r="X32" s="9"/>
      <c r="Y32" s="21">
        <v>1.70929</v>
      </c>
      <c r="Z32" s="21">
        <v>14.7151</v>
      </c>
      <c r="AA32" s="21">
        <v>-9.9151599999999993E-3</v>
      </c>
      <c r="AB32" s="21">
        <v>22</v>
      </c>
      <c r="AC32" s="21">
        <v>1.7083699999999999</v>
      </c>
      <c r="AD32">
        <f t="shared" si="4"/>
        <v>12.240938271604936</v>
      </c>
      <c r="AE32">
        <f t="shared" si="5"/>
        <v>20.923313378271601</v>
      </c>
      <c r="AF32" s="9"/>
      <c r="AG32" s="21">
        <v>1.08337E-2</v>
      </c>
      <c r="AH32" s="21">
        <v>18.5746</v>
      </c>
      <c r="AI32" s="21">
        <v>-1.5008499999999999E-2</v>
      </c>
      <c r="AJ32" s="21">
        <v>22</v>
      </c>
      <c r="AK32" s="21">
        <v>1.0671999999999999E-2</v>
      </c>
      <c r="AL32">
        <f t="shared" si="6"/>
        <v>18.529012345679011</v>
      </c>
      <c r="AM32">
        <f t="shared" si="7"/>
        <v>0.20073776104938271</v>
      </c>
      <c r="AP32" s="9"/>
      <c r="AQ32" s="21">
        <v>1.70929</v>
      </c>
      <c r="AR32" s="21">
        <v>24.099299999999999</v>
      </c>
      <c r="AS32" s="21">
        <v>-9.91211E-3</v>
      </c>
      <c r="AT32" s="21">
        <v>22</v>
      </c>
      <c r="AU32" s="21">
        <v>1.70868</v>
      </c>
      <c r="AV32">
        <f t="shared" si="8"/>
        <v>12.237172839506172</v>
      </c>
      <c r="AW32">
        <f t="shared" si="9"/>
        <v>20.916877162839505</v>
      </c>
      <c r="AX32" s="9"/>
      <c r="AY32" s="21">
        <v>1.08337E-2</v>
      </c>
      <c r="AZ32" s="21">
        <v>27.9588</v>
      </c>
      <c r="BA32" s="21">
        <v>-1.5069600000000001E-2</v>
      </c>
      <c r="BB32" s="21">
        <v>22</v>
      </c>
      <c r="BC32" s="21">
        <v>1.06293E-2</v>
      </c>
      <c r="BD32">
        <f t="shared" si="10"/>
        <v>18.604444444444443</v>
      </c>
      <c r="BE32">
        <f t="shared" si="11"/>
        <v>0.20155496977777776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1.70425</v>
      </c>
      <c r="H33" s="21">
        <v>5.3099600000000002</v>
      </c>
      <c r="I33" s="21">
        <v>-1.0440100000000001E-2</v>
      </c>
      <c r="J33" s="21">
        <v>23</v>
      </c>
      <c r="K33" s="21">
        <v>1.7034899999999999</v>
      </c>
      <c r="L33">
        <f t="shared" si="0"/>
        <v>12.889012345679014</v>
      </c>
      <c r="M33">
        <f t="shared" si="1"/>
        <v>21.966099290123459</v>
      </c>
      <c r="N33" s="9"/>
      <c r="O33" s="21">
        <v>1.5869100000000001E-2</v>
      </c>
      <c r="P33" s="21">
        <v>9.1694300000000002</v>
      </c>
      <c r="Q33" s="21">
        <v>-1.5032999999999999E-2</v>
      </c>
      <c r="R33" s="21">
        <v>23</v>
      </c>
      <c r="S33" s="21">
        <v>1.5713499999999998E-2</v>
      </c>
      <c r="T33">
        <f t="shared" si="2"/>
        <v>18.559259259259257</v>
      </c>
      <c r="U33">
        <f t="shared" si="3"/>
        <v>0.29451874111111109</v>
      </c>
      <c r="X33" s="9"/>
      <c r="Y33" s="21">
        <v>1.70425</v>
      </c>
      <c r="Z33" s="21">
        <v>14.725199999999999</v>
      </c>
      <c r="AA33" s="21">
        <v>-1.01593E-2</v>
      </c>
      <c r="AB33" s="21">
        <v>23</v>
      </c>
      <c r="AC33" s="21">
        <v>1.7038</v>
      </c>
      <c r="AD33">
        <f t="shared" si="4"/>
        <v>12.542345679012344</v>
      </c>
      <c r="AE33">
        <f t="shared" si="5"/>
        <v>21.375292623456787</v>
      </c>
      <c r="AF33" s="9"/>
      <c r="AG33" s="21">
        <v>1.5869100000000001E-2</v>
      </c>
      <c r="AH33" s="21">
        <v>18.584599999999998</v>
      </c>
      <c r="AI33" s="21">
        <v>-1.49994E-2</v>
      </c>
      <c r="AJ33" s="21">
        <v>23</v>
      </c>
      <c r="AK33" s="21">
        <v>1.5744000000000001E-2</v>
      </c>
      <c r="AL33">
        <f t="shared" si="6"/>
        <v>18.517777777777777</v>
      </c>
      <c r="AM33">
        <f t="shared" si="7"/>
        <v>0.29386046733333332</v>
      </c>
      <c r="AP33" s="9"/>
      <c r="AQ33" s="21">
        <v>1.70425</v>
      </c>
      <c r="AR33" s="21">
        <v>24.109400000000001</v>
      </c>
      <c r="AS33" s="21">
        <v>-1.0153199999999999E-2</v>
      </c>
      <c r="AT33" s="21">
        <v>23</v>
      </c>
      <c r="AU33" s="21">
        <v>1.7038</v>
      </c>
      <c r="AV33">
        <f t="shared" si="8"/>
        <v>12.534814814814814</v>
      </c>
      <c r="AW33">
        <f t="shared" si="9"/>
        <v>21.362458148148146</v>
      </c>
      <c r="AX33" s="9"/>
      <c r="AY33" s="21">
        <v>1.5869100000000001E-2</v>
      </c>
      <c r="AZ33" s="21">
        <v>27.968900000000001</v>
      </c>
      <c r="BA33" s="21">
        <v>-1.5069600000000001E-2</v>
      </c>
      <c r="BB33" s="21">
        <v>23</v>
      </c>
      <c r="BC33" s="21">
        <v>1.5756200000000001E-2</v>
      </c>
      <c r="BD33">
        <f t="shared" si="10"/>
        <v>18.604444444444443</v>
      </c>
      <c r="BE33">
        <f t="shared" si="11"/>
        <v>0.29523578933333333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1.69922</v>
      </c>
      <c r="H34" s="21">
        <v>5.32003</v>
      </c>
      <c r="I34" s="21">
        <v>-1.06628E-2</v>
      </c>
      <c r="J34" s="21">
        <v>24</v>
      </c>
      <c r="K34" s="21">
        <v>1.69861</v>
      </c>
      <c r="L34">
        <f t="shared" si="0"/>
        <v>13.16395061728395</v>
      </c>
      <c r="M34">
        <f t="shared" si="1"/>
        <v>22.368448167901231</v>
      </c>
      <c r="N34" s="9"/>
      <c r="O34" s="21">
        <v>2.0904499999999999E-2</v>
      </c>
      <c r="P34" s="21">
        <v>9.1795000000000009</v>
      </c>
      <c r="Q34" s="21">
        <v>-1.5032999999999999E-2</v>
      </c>
      <c r="R34" s="21">
        <v>24</v>
      </c>
      <c r="S34" s="21">
        <v>2.0813000000000002E-2</v>
      </c>
      <c r="T34">
        <f t="shared" si="2"/>
        <v>18.559259259259257</v>
      </c>
      <c r="U34">
        <f t="shared" si="3"/>
        <v>0.38797203518518514</v>
      </c>
      <c r="X34" s="9"/>
      <c r="Y34" s="21">
        <v>1.69922</v>
      </c>
      <c r="Z34" s="21">
        <v>14.735200000000001</v>
      </c>
      <c r="AA34" s="21">
        <v>-1.03851E-2</v>
      </c>
      <c r="AB34" s="21">
        <v>24</v>
      </c>
      <c r="AC34" s="21">
        <v>1.6989099999999999</v>
      </c>
      <c r="AD34">
        <f t="shared" si="4"/>
        <v>12.82111111111111</v>
      </c>
      <c r="AE34">
        <f t="shared" si="5"/>
        <v>21.785888422222218</v>
      </c>
      <c r="AF34" s="9"/>
      <c r="AG34" s="21">
        <v>2.0904499999999999E-2</v>
      </c>
      <c r="AH34" s="21">
        <v>18.5947</v>
      </c>
      <c r="AI34" s="21">
        <v>-1.49994E-2</v>
      </c>
      <c r="AJ34" s="21">
        <v>24</v>
      </c>
      <c r="AK34" s="21">
        <v>2.0636000000000002E-2</v>
      </c>
      <c r="AL34">
        <f t="shared" si="6"/>
        <v>18.517777777777777</v>
      </c>
      <c r="AM34">
        <f t="shared" si="7"/>
        <v>0.38710488555555556</v>
      </c>
      <c r="AP34" s="9"/>
      <c r="AQ34" s="21">
        <v>1.69922</v>
      </c>
      <c r="AR34" s="21">
        <v>24.119499999999999</v>
      </c>
      <c r="AS34" s="21">
        <v>-1.03912E-2</v>
      </c>
      <c r="AT34" s="21">
        <v>24</v>
      </c>
      <c r="AU34" s="21">
        <v>1.6982999999999999</v>
      </c>
      <c r="AV34">
        <f t="shared" si="8"/>
        <v>12.828641975308642</v>
      </c>
      <c r="AW34">
        <f t="shared" si="9"/>
        <v>21.798685017283951</v>
      </c>
      <c r="AX34" s="9"/>
      <c r="AY34" s="21">
        <v>2.0904499999999999E-2</v>
      </c>
      <c r="AZ34" s="21">
        <v>27.978899999999999</v>
      </c>
      <c r="BA34" s="21">
        <v>-1.50665E-2</v>
      </c>
      <c r="BB34" s="21">
        <v>24</v>
      </c>
      <c r="BC34" s="21">
        <v>2.07672E-2</v>
      </c>
      <c r="BD34">
        <f t="shared" si="10"/>
        <v>18.600617283950616</v>
      </c>
      <c r="BE34">
        <f t="shared" si="11"/>
        <v>0.38883660401234565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1.69418</v>
      </c>
      <c r="H35" s="21">
        <v>5.3300999999999998</v>
      </c>
      <c r="I35" s="21">
        <v>-1.08612E-2</v>
      </c>
      <c r="J35" s="21">
        <v>25</v>
      </c>
      <c r="K35" s="21">
        <v>1.6928099999999999</v>
      </c>
      <c r="L35">
        <f t="shared" si="0"/>
        <v>13.408888888888887</v>
      </c>
      <c r="M35">
        <f t="shared" si="1"/>
        <v>22.717071377777774</v>
      </c>
      <c r="N35" s="9"/>
      <c r="O35" s="21">
        <v>2.5939899999999998E-2</v>
      </c>
      <c r="P35" s="21">
        <v>9.1895699999999998</v>
      </c>
      <c r="Q35" s="21">
        <v>-1.50391E-2</v>
      </c>
      <c r="R35" s="21">
        <v>25</v>
      </c>
      <c r="S35" s="21">
        <v>2.5848400000000001E-2</v>
      </c>
      <c r="T35">
        <f t="shared" si="2"/>
        <v>18.566790123456791</v>
      </c>
      <c r="U35">
        <f t="shared" si="3"/>
        <v>0.4816206791234568</v>
      </c>
      <c r="X35" s="9"/>
      <c r="Y35" s="21">
        <v>1.69418</v>
      </c>
      <c r="Z35" s="21">
        <v>14.7453</v>
      </c>
      <c r="AA35" s="21">
        <v>-1.05988E-2</v>
      </c>
      <c r="AB35" s="21">
        <v>25</v>
      </c>
      <c r="AC35" s="21">
        <v>1.69373</v>
      </c>
      <c r="AD35">
        <f t="shared" si="4"/>
        <v>13.084938271604937</v>
      </c>
      <c r="AE35">
        <f t="shared" si="5"/>
        <v>22.168240720987651</v>
      </c>
      <c r="AF35" s="9"/>
      <c r="AG35" s="21">
        <v>2.5939899999999998E-2</v>
      </c>
      <c r="AH35" s="21">
        <v>18.604800000000001</v>
      </c>
      <c r="AI35" s="21">
        <v>-1.50055E-2</v>
      </c>
      <c r="AJ35" s="21">
        <v>25</v>
      </c>
      <c r="AK35" s="21">
        <v>2.5717199999999999E-2</v>
      </c>
      <c r="AL35">
        <f t="shared" si="6"/>
        <v>18.525308641975307</v>
      </c>
      <c r="AM35">
        <f t="shared" si="7"/>
        <v>0.48054465364197524</v>
      </c>
      <c r="AP35" s="9"/>
      <c r="AQ35" s="21">
        <v>1.69418</v>
      </c>
      <c r="AR35" s="21">
        <v>24.1295</v>
      </c>
      <c r="AS35" s="21">
        <v>-1.06018E-2</v>
      </c>
      <c r="AT35" s="21">
        <v>25</v>
      </c>
      <c r="AU35" s="21">
        <v>1.69312</v>
      </c>
      <c r="AV35">
        <f t="shared" si="8"/>
        <v>13.088641975308642</v>
      </c>
      <c r="AW35">
        <f t="shared" si="9"/>
        <v>22.174515461728394</v>
      </c>
      <c r="AX35" s="9"/>
      <c r="AY35" s="21">
        <v>2.5939899999999998E-2</v>
      </c>
      <c r="AZ35" s="21">
        <v>27.989000000000001</v>
      </c>
      <c r="BA35" s="21">
        <v>-1.50574E-2</v>
      </c>
      <c r="BB35" s="21">
        <v>25</v>
      </c>
      <c r="BC35" s="21">
        <v>2.58362E-2</v>
      </c>
      <c r="BD35">
        <f t="shared" si="10"/>
        <v>18.589382716049382</v>
      </c>
      <c r="BE35">
        <f t="shared" si="11"/>
        <v>0.48220672871604936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1.6891499999999999</v>
      </c>
      <c r="H36" s="21">
        <v>5.3401699999999996</v>
      </c>
      <c r="I36" s="21">
        <v>-1.1047400000000001E-2</v>
      </c>
      <c r="J36" s="21">
        <v>26</v>
      </c>
      <c r="K36" s="21">
        <v>1.6882299999999999</v>
      </c>
      <c r="L36">
        <f t="shared" si="0"/>
        <v>13.638765432098765</v>
      </c>
      <c r="M36">
        <f t="shared" si="1"/>
        <v>23.037920629629628</v>
      </c>
      <c r="N36" s="9"/>
      <c r="O36" s="21">
        <v>3.0975300000000001E-2</v>
      </c>
      <c r="P36" s="21">
        <v>9.1996400000000005</v>
      </c>
      <c r="Q36" s="21">
        <v>-1.5032999999999999E-2</v>
      </c>
      <c r="R36" s="21">
        <v>26</v>
      </c>
      <c r="S36" s="21">
        <v>3.0874599999999999E-2</v>
      </c>
      <c r="T36">
        <f t="shared" si="2"/>
        <v>18.559259259259257</v>
      </c>
      <c r="U36">
        <f t="shared" si="3"/>
        <v>0.57487862333333328</v>
      </c>
      <c r="X36" s="9"/>
      <c r="Y36" s="21">
        <v>1.6891499999999999</v>
      </c>
      <c r="Z36" s="21">
        <v>14.7554</v>
      </c>
      <c r="AA36" s="21">
        <v>-1.07971E-2</v>
      </c>
      <c r="AB36" s="21">
        <v>26</v>
      </c>
      <c r="AC36" s="21">
        <v>1.6882299999999999</v>
      </c>
      <c r="AD36">
        <f t="shared" si="4"/>
        <v>13.329753086419753</v>
      </c>
      <c r="AE36">
        <f t="shared" si="5"/>
        <v>22.515952425925924</v>
      </c>
      <c r="AF36" s="9"/>
      <c r="AG36" s="21">
        <v>3.0975300000000001E-2</v>
      </c>
      <c r="AH36" s="21">
        <v>18.614899999999999</v>
      </c>
      <c r="AI36" s="21">
        <v>-1.5026899999999999E-2</v>
      </c>
      <c r="AJ36" s="21">
        <v>26</v>
      </c>
      <c r="AK36" s="21">
        <v>3.0898999999999999E-2</v>
      </c>
      <c r="AL36">
        <f t="shared" si="6"/>
        <v>18.551728395061726</v>
      </c>
      <c r="AM36">
        <f t="shared" si="7"/>
        <v>0.57464535255555549</v>
      </c>
      <c r="AP36" s="9"/>
      <c r="AQ36" s="21">
        <v>1.6891499999999999</v>
      </c>
      <c r="AR36" s="21">
        <v>24.139600000000002</v>
      </c>
      <c r="AS36" s="21">
        <v>-1.08063E-2</v>
      </c>
      <c r="AT36" s="21">
        <v>26</v>
      </c>
      <c r="AU36" s="21">
        <v>1.6879299999999999</v>
      </c>
      <c r="AV36">
        <f t="shared" si="8"/>
        <v>13.341111111111109</v>
      </c>
      <c r="AW36">
        <f t="shared" si="9"/>
        <v>22.53513783333333</v>
      </c>
      <c r="AX36" s="9"/>
      <c r="AY36" s="21">
        <v>3.0975300000000001E-2</v>
      </c>
      <c r="AZ36" s="21">
        <v>27.999099999999999</v>
      </c>
      <c r="BA36" s="21">
        <v>-1.50543E-2</v>
      </c>
      <c r="BB36" s="21">
        <v>26</v>
      </c>
      <c r="BC36" s="21">
        <v>3.0847200000000002E-2</v>
      </c>
      <c r="BD36">
        <f t="shared" si="10"/>
        <v>18.585555555555555</v>
      </c>
      <c r="BE36">
        <f t="shared" si="11"/>
        <v>0.57569315899999995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1.68411</v>
      </c>
      <c r="H37" s="21">
        <v>5.3502400000000003</v>
      </c>
      <c r="I37" s="21">
        <v>-1.1224400000000001E-2</v>
      </c>
      <c r="J37" s="21">
        <v>27</v>
      </c>
      <c r="K37" s="21">
        <v>1.6830400000000001</v>
      </c>
      <c r="L37">
        <f t="shared" si="0"/>
        <v>13.857283950617285</v>
      </c>
      <c r="M37">
        <f t="shared" si="1"/>
        <v>23.337190474074077</v>
      </c>
      <c r="N37" s="9"/>
      <c r="O37" s="21">
        <v>3.60107E-2</v>
      </c>
      <c r="P37" s="21">
        <v>9.2097200000000008</v>
      </c>
      <c r="Q37" s="21">
        <v>-1.5026899999999999E-2</v>
      </c>
      <c r="R37" s="21">
        <v>27</v>
      </c>
      <c r="S37" s="21">
        <v>3.6004599999999998E-2</v>
      </c>
      <c r="T37">
        <f t="shared" si="2"/>
        <v>18.551728395061726</v>
      </c>
      <c r="U37">
        <f t="shared" si="3"/>
        <v>0.66806072571604935</v>
      </c>
      <c r="X37" s="9"/>
      <c r="Y37" s="21">
        <v>1.68411</v>
      </c>
      <c r="Z37" s="21">
        <v>14.765499999999999</v>
      </c>
      <c r="AA37" s="21">
        <v>-1.09894E-2</v>
      </c>
      <c r="AB37" s="21">
        <v>27</v>
      </c>
      <c r="AC37" s="21">
        <v>1.6836500000000001</v>
      </c>
      <c r="AD37">
        <f t="shared" si="4"/>
        <v>13.56716049382716</v>
      </c>
      <c r="AE37">
        <f t="shared" si="5"/>
        <v>22.848590659259258</v>
      </c>
      <c r="AF37" s="9"/>
      <c r="AG37" s="21">
        <v>3.60107E-2</v>
      </c>
      <c r="AH37" s="21">
        <v>18.6249</v>
      </c>
      <c r="AI37" s="21">
        <v>-1.50391E-2</v>
      </c>
      <c r="AJ37" s="21">
        <v>27</v>
      </c>
      <c r="AK37" s="21">
        <v>3.5931400000000002E-2</v>
      </c>
      <c r="AL37">
        <f t="shared" si="6"/>
        <v>18.566790123456791</v>
      </c>
      <c r="AM37">
        <f t="shared" si="7"/>
        <v>0.66860310909876541</v>
      </c>
      <c r="AP37" s="9"/>
      <c r="AQ37" s="21">
        <v>1.68411</v>
      </c>
      <c r="AR37" s="21">
        <v>24.149699999999999</v>
      </c>
      <c r="AS37" s="21">
        <v>-1.0992399999999999E-2</v>
      </c>
      <c r="AT37" s="21">
        <v>27</v>
      </c>
      <c r="AU37" s="21">
        <v>1.6833499999999999</v>
      </c>
      <c r="AV37">
        <f t="shared" si="8"/>
        <v>13.570864197530863</v>
      </c>
      <c r="AW37">
        <f t="shared" si="9"/>
        <v>22.854828103703703</v>
      </c>
      <c r="AX37" s="9"/>
      <c r="AY37" s="21">
        <v>3.60107E-2</v>
      </c>
      <c r="AZ37" s="21">
        <v>28.0092</v>
      </c>
      <c r="BA37" s="21">
        <v>-1.5063500000000001E-2</v>
      </c>
      <c r="BB37" s="21">
        <v>27</v>
      </c>
      <c r="BC37" s="21">
        <v>3.59253E-2</v>
      </c>
      <c r="BD37">
        <f t="shared" si="10"/>
        <v>18.596913580246913</v>
      </c>
      <c r="BE37">
        <f t="shared" si="11"/>
        <v>0.66968787586419753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1.6790799999999999</v>
      </c>
      <c r="H38" s="21">
        <v>5.3603100000000001</v>
      </c>
      <c r="I38" s="21">
        <v>-1.13861E-2</v>
      </c>
      <c r="J38" s="21">
        <v>28</v>
      </c>
      <c r="K38" s="21">
        <v>1.6787700000000001</v>
      </c>
      <c r="L38">
        <f t="shared" si="0"/>
        <v>14.056913580246912</v>
      </c>
      <c r="M38">
        <f t="shared" si="1"/>
        <v>23.602682454320984</v>
      </c>
      <c r="N38" s="9"/>
      <c r="O38" s="21">
        <v>4.1046100000000002E-2</v>
      </c>
      <c r="P38" s="21">
        <v>9.2197899999999997</v>
      </c>
      <c r="Q38" s="21">
        <v>-1.50238E-2</v>
      </c>
      <c r="R38" s="21">
        <v>28</v>
      </c>
      <c r="S38" s="21">
        <v>4.0914899999999997E-2</v>
      </c>
      <c r="T38">
        <f t="shared" si="2"/>
        <v>18.547901234567902</v>
      </c>
      <c r="U38">
        <f t="shared" si="3"/>
        <v>0.76131900886419757</v>
      </c>
      <c r="X38" s="9"/>
      <c r="Y38" s="21">
        <v>1.6790799999999999</v>
      </c>
      <c r="Z38" s="21">
        <v>14.775499999999999</v>
      </c>
      <c r="AA38" s="21">
        <v>-1.11725E-2</v>
      </c>
      <c r="AB38" s="21">
        <v>28</v>
      </c>
      <c r="AC38" s="21">
        <v>1.6784699999999999</v>
      </c>
      <c r="AD38">
        <f t="shared" si="4"/>
        <v>13.793209876543209</v>
      </c>
      <c r="AE38">
        <f t="shared" si="5"/>
        <v>23.15990283950617</v>
      </c>
      <c r="AF38" s="9"/>
      <c r="AG38" s="21">
        <v>4.1046100000000002E-2</v>
      </c>
      <c r="AH38" s="21">
        <v>18.635000000000002</v>
      </c>
      <c r="AI38" s="21">
        <v>-1.50452E-2</v>
      </c>
      <c r="AJ38" s="21">
        <v>28</v>
      </c>
      <c r="AK38" s="21">
        <v>4.09302E-2</v>
      </c>
      <c r="AL38">
        <f t="shared" si="6"/>
        <v>18.574320987654321</v>
      </c>
      <c r="AM38">
        <f t="shared" si="7"/>
        <v>0.76240343669135802</v>
      </c>
      <c r="AP38" s="9"/>
      <c r="AQ38" s="21">
        <v>1.6790799999999999</v>
      </c>
      <c r="AR38" s="21">
        <v>24.159800000000001</v>
      </c>
      <c r="AS38" s="21">
        <v>-1.11755E-2</v>
      </c>
      <c r="AT38" s="21">
        <v>28</v>
      </c>
      <c r="AU38" s="21">
        <v>1.6787700000000001</v>
      </c>
      <c r="AV38">
        <f t="shared" si="8"/>
        <v>13.796913580246912</v>
      </c>
      <c r="AW38">
        <f t="shared" si="9"/>
        <v>23.166121654320982</v>
      </c>
      <c r="AX38" s="9"/>
      <c r="AY38" s="21">
        <v>4.1046100000000002E-2</v>
      </c>
      <c r="AZ38" s="21">
        <v>28.019200000000001</v>
      </c>
      <c r="BA38" s="21">
        <v>-1.50665E-2</v>
      </c>
      <c r="BB38" s="21">
        <v>28</v>
      </c>
      <c r="BC38" s="21">
        <v>4.0951500000000002E-2</v>
      </c>
      <c r="BD38">
        <f t="shared" si="10"/>
        <v>18.600617283950616</v>
      </c>
      <c r="BE38">
        <f t="shared" si="11"/>
        <v>0.76348279709876543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1.67404</v>
      </c>
      <c r="H39" s="21">
        <v>5.3703799999999999</v>
      </c>
      <c r="I39" s="21">
        <v>-1.1544799999999999E-2</v>
      </c>
      <c r="J39" s="21">
        <v>29</v>
      </c>
      <c r="K39" s="21">
        <v>1.6732800000000001</v>
      </c>
      <c r="L39">
        <f t="shared" si="0"/>
        <v>14.252839506172839</v>
      </c>
      <c r="M39">
        <f t="shared" si="1"/>
        <v>23.859823446913577</v>
      </c>
      <c r="N39" s="9"/>
      <c r="O39" s="21">
        <v>4.6081499999999997E-2</v>
      </c>
      <c r="P39" s="21">
        <v>9.2298600000000004</v>
      </c>
      <c r="Q39" s="21">
        <v>-1.5026899999999999E-2</v>
      </c>
      <c r="R39" s="21">
        <v>29</v>
      </c>
      <c r="S39" s="21">
        <v>4.60449E-2</v>
      </c>
      <c r="T39">
        <f t="shared" si="2"/>
        <v>18.551728395061726</v>
      </c>
      <c r="U39">
        <f t="shared" si="3"/>
        <v>0.85489147203703686</v>
      </c>
      <c r="X39" s="9"/>
      <c r="Y39" s="21">
        <v>1.67404</v>
      </c>
      <c r="Z39" s="21">
        <v>14.785600000000001</v>
      </c>
      <c r="AA39" s="21">
        <v>-1.13373E-2</v>
      </c>
      <c r="AB39" s="21">
        <v>29</v>
      </c>
      <c r="AC39" s="21">
        <v>1.6732800000000001</v>
      </c>
      <c r="AD39">
        <f t="shared" si="4"/>
        <v>13.996666666666666</v>
      </c>
      <c r="AE39">
        <f t="shared" si="5"/>
        <v>23.430979866666664</v>
      </c>
      <c r="AF39" s="9"/>
      <c r="AG39" s="21">
        <v>4.6081499999999997E-2</v>
      </c>
      <c r="AH39" s="21">
        <v>18.645099999999999</v>
      </c>
      <c r="AI39" s="21">
        <v>-1.50391E-2</v>
      </c>
      <c r="AJ39" s="21">
        <v>29</v>
      </c>
      <c r="AK39" s="21">
        <v>4.6011400000000001E-2</v>
      </c>
      <c r="AL39">
        <f t="shared" si="6"/>
        <v>18.566790123456791</v>
      </c>
      <c r="AM39">
        <f t="shared" si="7"/>
        <v>0.85558553907407409</v>
      </c>
      <c r="AP39" s="9"/>
      <c r="AQ39" s="21">
        <v>1.67404</v>
      </c>
      <c r="AR39" s="21">
        <v>24.169799999999999</v>
      </c>
      <c r="AS39" s="21">
        <v>-1.13464E-2</v>
      </c>
      <c r="AT39" s="21">
        <v>29</v>
      </c>
      <c r="AU39" s="21">
        <v>1.6732800000000001</v>
      </c>
      <c r="AV39">
        <f t="shared" si="8"/>
        <v>14.0079012345679</v>
      </c>
      <c r="AW39">
        <f t="shared" si="9"/>
        <v>23.449786982716045</v>
      </c>
      <c r="AX39" s="9"/>
      <c r="AY39" s="21">
        <v>4.6081499999999997E-2</v>
      </c>
      <c r="AZ39" s="21">
        <v>28.029299999999999</v>
      </c>
      <c r="BA39" s="21">
        <v>-1.50604E-2</v>
      </c>
      <c r="BB39" s="21">
        <v>29</v>
      </c>
      <c r="BC39" s="21">
        <v>4.5986899999999997E-2</v>
      </c>
      <c r="BD39">
        <f t="shared" si="10"/>
        <v>18.593086419753085</v>
      </c>
      <c r="BE39">
        <f t="shared" si="11"/>
        <v>0.85679731185185171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1.6690100000000001</v>
      </c>
      <c r="H40" s="21">
        <v>5.3804499999999997</v>
      </c>
      <c r="I40" s="21">
        <v>-1.16913E-2</v>
      </c>
      <c r="J40" s="21">
        <v>30</v>
      </c>
      <c r="K40" s="21">
        <v>1.6690100000000001</v>
      </c>
      <c r="L40">
        <f t="shared" si="0"/>
        <v>14.433703703703703</v>
      </c>
      <c r="M40">
        <f t="shared" si="1"/>
        <v>24.089995818518517</v>
      </c>
      <c r="N40" s="9"/>
      <c r="O40" s="21">
        <v>5.11169E-2</v>
      </c>
      <c r="P40" s="21">
        <v>9.2399299999999993</v>
      </c>
      <c r="Q40" s="21">
        <v>-1.5026899999999999E-2</v>
      </c>
      <c r="R40" s="21">
        <v>30</v>
      </c>
      <c r="S40" s="21">
        <v>5.1034499999999997E-2</v>
      </c>
      <c r="T40">
        <f t="shared" si="2"/>
        <v>18.551728395061726</v>
      </c>
      <c r="U40">
        <f t="shared" si="3"/>
        <v>0.94830684519753072</v>
      </c>
      <c r="X40" s="9"/>
      <c r="Y40" s="21">
        <v>1.6690100000000001</v>
      </c>
      <c r="Z40" s="21">
        <v>14.7957</v>
      </c>
      <c r="AA40" s="21">
        <v>-1.1489900000000001E-2</v>
      </c>
      <c r="AB40" s="21">
        <v>30</v>
      </c>
      <c r="AC40" s="21">
        <v>1.6684000000000001</v>
      </c>
      <c r="AD40">
        <f t="shared" si="4"/>
        <v>14.185061728395063</v>
      </c>
      <c r="AE40">
        <f t="shared" si="5"/>
        <v>23.675009875308646</v>
      </c>
      <c r="AF40" s="9"/>
      <c r="AG40" s="21">
        <v>5.11169E-2</v>
      </c>
      <c r="AH40" s="21">
        <v>18.655100000000001</v>
      </c>
      <c r="AI40" s="21">
        <v>-1.5032999999999999E-2</v>
      </c>
      <c r="AJ40" s="21">
        <v>30</v>
      </c>
      <c r="AK40" s="21">
        <v>5.05981E-2</v>
      </c>
      <c r="AL40">
        <f t="shared" si="6"/>
        <v>18.559259259259257</v>
      </c>
      <c r="AM40">
        <f t="shared" si="7"/>
        <v>0.94869179962962946</v>
      </c>
      <c r="AP40" s="9"/>
      <c r="AQ40" s="21">
        <v>1.6690100000000001</v>
      </c>
      <c r="AR40" s="21">
        <v>24.1799</v>
      </c>
      <c r="AS40" s="21">
        <v>-1.15143E-2</v>
      </c>
      <c r="AT40" s="21">
        <v>30</v>
      </c>
      <c r="AU40" s="21">
        <v>1.6680900000000001</v>
      </c>
      <c r="AV40">
        <f t="shared" si="8"/>
        <v>14.215185185185184</v>
      </c>
      <c r="AW40">
        <f t="shared" si="9"/>
        <v>23.725286225925927</v>
      </c>
      <c r="AX40" s="9"/>
      <c r="AY40" s="21">
        <v>5.11169E-2</v>
      </c>
      <c r="AZ40" s="21">
        <v>28.039400000000001</v>
      </c>
      <c r="BA40" s="21">
        <v>-1.50604E-2</v>
      </c>
      <c r="BB40" s="21">
        <v>30</v>
      </c>
      <c r="BC40" s="21">
        <v>5.1187099999999999E-2</v>
      </c>
      <c r="BD40">
        <f t="shared" si="10"/>
        <v>18.593086419753085</v>
      </c>
      <c r="BE40">
        <f t="shared" si="11"/>
        <v>0.95042093920987647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1.6639699999999999</v>
      </c>
      <c r="H41" s="21">
        <v>5.3905200000000004</v>
      </c>
      <c r="I41" s="21">
        <v>-1.18347E-2</v>
      </c>
      <c r="J41" s="21">
        <v>31</v>
      </c>
      <c r="K41" s="21">
        <v>1.6632100000000001</v>
      </c>
      <c r="L41">
        <f t="shared" si="0"/>
        <v>14.61074074074074</v>
      </c>
      <c r="M41">
        <f t="shared" si="1"/>
        <v>24.311834270370369</v>
      </c>
      <c r="N41" s="9"/>
      <c r="O41" s="21">
        <v>5.6152300000000002E-2</v>
      </c>
      <c r="P41" s="21">
        <v>9.25</v>
      </c>
      <c r="Q41" s="21">
        <v>-1.5020800000000001E-2</v>
      </c>
      <c r="R41" s="21">
        <v>31</v>
      </c>
      <c r="S41" s="21">
        <v>5.5572499999999997E-2</v>
      </c>
      <c r="T41">
        <f t="shared" si="2"/>
        <v>18.544197530864199</v>
      </c>
      <c r="U41">
        <f t="shared" si="3"/>
        <v>1.0412993430123458</v>
      </c>
      <c r="X41" s="9"/>
      <c r="Y41" s="21">
        <v>1.6639699999999999</v>
      </c>
      <c r="Z41" s="21">
        <v>14.8057</v>
      </c>
      <c r="AA41" s="21">
        <v>-1.16302E-2</v>
      </c>
      <c r="AB41" s="21">
        <v>31</v>
      </c>
      <c r="AC41" s="21">
        <v>1.6632100000000001</v>
      </c>
      <c r="AD41">
        <f t="shared" si="4"/>
        <v>14.35827160493827</v>
      </c>
      <c r="AE41">
        <f t="shared" si="5"/>
        <v>23.891733202469133</v>
      </c>
      <c r="AF41" s="9"/>
      <c r="AG41" s="21">
        <v>5.6152300000000002E-2</v>
      </c>
      <c r="AH41" s="21">
        <v>18.665199999999999</v>
      </c>
      <c r="AI41" s="21">
        <v>-1.50391E-2</v>
      </c>
      <c r="AJ41" s="21">
        <v>31</v>
      </c>
      <c r="AK41" s="21">
        <v>5.5603E-2</v>
      </c>
      <c r="AL41">
        <f t="shared" si="6"/>
        <v>18.566790123456791</v>
      </c>
      <c r="AM41">
        <f t="shared" si="7"/>
        <v>1.0425679690493828</v>
      </c>
      <c r="AP41" s="9"/>
      <c r="AQ41" s="21">
        <v>1.6639699999999999</v>
      </c>
      <c r="AR41" s="21">
        <v>24.19</v>
      </c>
      <c r="AS41" s="21">
        <v>-1.1660800000000001E-2</v>
      </c>
      <c r="AT41" s="21">
        <v>31</v>
      </c>
      <c r="AU41" s="21">
        <v>1.6632100000000001</v>
      </c>
      <c r="AV41">
        <f t="shared" si="8"/>
        <v>14.396049382716049</v>
      </c>
      <c r="AW41">
        <f t="shared" si="9"/>
        <v>23.954594291358024</v>
      </c>
      <c r="AX41" s="9"/>
      <c r="AY41" s="21">
        <v>5.6152300000000002E-2</v>
      </c>
      <c r="AZ41" s="21">
        <v>28.049399999999999</v>
      </c>
      <c r="BA41" s="21">
        <v>-1.5063500000000001E-2</v>
      </c>
      <c r="BB41" s="21">
        <v>31</v>
      </c>
      <c r="BC41" s="21">
        <v>5.5633500000000002E-2</v>
      </c>
      <c r="BD41">
        <f t="shared" si="10"/>
        <v>18.596913580246913</v>
      </c>
      <c r="BE41">
        <f t="shared" si="11"/>
        <v>1.0442594704320987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1.6589400000000001</v>
      </c>
      <c r="H42" s="21">
        <v>5.4005900000000002</v>
      </c>
      <c r="I42" s="21">
        <v>-1.1972E-2</v>
      </c>
      <c r="J42" s="21">
        <v>32</v>
      </c>
      <c r="K42" s="21">
        <v>1.6583300000000001</v>
      </c>
      <c r="L42">
        <f t="shared" si="0"/>
        <v>14.780246913580246</v>
      </c>
      <c r="M42">
        <f t="shared" si="1"/>
        <v>24.519542814814816</v>
      </c>
      <c r="N42" s="9"/>
      <c r="O42" s="21">
        <v>6.1187699999999998E-2</v>
      </c>
      <c r="P42" s="21">
        <v>9.2600700000000007</v>
      </c>
      <c r="Q42" s="21">
        <v>-1.5014599999999999E-2</v>
      </c>
      <c r="R42" s="21">
        <v>32</v>
      </c>
      <c r="S42" s="21">
        <v>6.0516399999999998E-2</v>
      </c>
      <c r="T42">
        <f t="shared" si="2"/>
        <v>18.536543209876541</v>
      </c>
      <c r="U42">
        <f t="shared" si="3"/>
        <v>1.1342084449629628</v>
      </c>
      <c r="X42" s="9"/>
      <c r="Y42" s="21">
        <v>1.6589400000000001</v>
      </c>
      <c r="Z42" s="21">
        <v>14.815799999999999</v>
      </c>
      <c r="AA42" s="21">
        <v>-1.1770600000000001E-2</v>
      </c>
      <c r="AB42" s="21">
        <v>32</v>
      </c>
      <c r="AC42" s="21">
        <v>1.65802</v>
      </c>
      <c r="AD42">
        <f t="shared" si="4"/>
        <v>14.531604938271604</v>
      </c>
      <c r="AE42">
        <f t="shared" si="5"/>
        <v>24.107060696296298</v>
      </c>
      <c r="AF42" s="9"/>
      <c r="AG42" s="21">
        <v>6.1187699999999998E-2</v>
      </c>
      <c r="AH42" s="21">
        <v>18.6753</v>
      </c>
      <c r="AI42" s="21">
        <v>-1.5042099999999999E-2</v>
      </c>
      <c r="AJ42" s="21">
        <v>32</v>
      </c>
      <c r="AK42" s="21">
        <v>6.0699500000000003E-2</v>
      </c>
      <c r="AL42">
        <f t="shared" si="6"/>
        <v>18.570493827160494</v>
      </c>
      <c r="AM42">
        <f t="shared" si="7"/>
        <v>1.1362858051481481</v>
      </c>
      <c r="AP42" s="9"/>
      <c r="AQ42" s="21">
        <v>1.6589400000000001</v>
      </c>
      <c r="AR42" s="21">
        <v>24.2</v>
      </c>
      <c r="AS42" s="21">
        <v>-1.1804200000000001E-2</v>
      </c>
      <c r="AT42" s="21">
        <v>32</v>
      </c>
      <c r="AU42" s="21">
        <v>1.6583300000000001</v>
      </c>
      <c r="AV42">
        <f t="shared" si="8"/>
        <v>14.573086419753087</v>
      </c>
      <c r="AW42">
        <f t="shared" si="9"/>
        <v>24.175875985185186</v>
      </c>
      <c r="AX42" s="9"/>
      <c r="AY42" s="21">
        <v>6.1187699999999998E-2</v>
      </c>
      <c r="AZ42" s="21">
        <v>28.0595</v>
      </c>
      <c r="BA42" s="21">
        <v>-1.5063500000000001E-2</v>
      </c>
      <c r="BB42" s="21">
        <v>32</v>
      </c>
      <c r="BC42" s="21">
        <v>6.0668899999999998E-2</v>
      </c>
      <c r="BD42">
        <f t="shared" si="10"/>
        <v>18.596913580246913</v>
      </c>
      <c r="BE42">
        <f t="shared" si="11"/>
        <v>1.1379023690740739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1.6538999999999999</v>
      </c>
      <c r="H43" s="21">
        <v>5.4106699999999996</v>
      </c>
      <c r="I43" s="21">
        <v>-1.21002E-2</v>
      </c>
      <c r="J43" s="21">
        <v>33</v>
      </c>
      <c r="K43" s="21">
        <v>1.65283</v>
      </c>
      <c r="L43">
        <f t="shared" si="0"/>
        <v>14.938518518518517</v>
      </c>
      <c r="M43">
        <f t="shared" si="1"/>
        <v>24.706815777777773</v>
      </c>
      <c r="N43" s="9"/>
      <c r="O43" s="21">
        <v>6.6223099999999993E-2</v>
      </c>
      <c r="P43" s="21">
        <v>9.2701399999999996</v>
      </c>
      <c r="Q43" s="21">
        <v>-1.5008499999999999E-2</v>
      </c>
      <c r="R43" s="21">
        <v>33</v>
      </c>
      <c r="S43" s="21">
        <v>6.5612799999999999E-2</v>
      </c>
      <c r="T43">
        <f t="shared" si="2"/>
        <v>18.529012345679011</v>
      </c>
      <c r="U43">
        <f t="shared" si="3"/>
        <v>1.2270486374691356</v>
      </c>
      <c r="X43" s="9"/>
      <c r="Y43" s="21">
        <v>1.6538999999999999</v>
      </c>
      <c r="Z43" s="21">
        <v>14.825900000000001</v>
      </c>
      <c r="AA43" s="21">
        <v>-1.1908E-2</v>
      </c>
      <c r="AB43" s="21">
        <v>33</v>
      </c>
      <c r="AC43" s="21">
        <v>1.6531400000000001</v>
      </c>
      <c r="AD43">
        <f t="shared" si="4"/>
        <v>14.701234567901233</v>
      </c>
      <c r="AE43">
        <f t="shared" si="5"/>
        <v>24.314371851851849</v>
      </c>
      <c r="AF43" s="9"/>
      <c r="AG43" s="21">
        <v>6.6223099999999993E-2</v>
      </c>
      <c r="AH43" s="21">
        <v>18.685400000000001</v>
      </c>
      <c r="AI43" s="21">
        <v>-1.50452E-2</v>
      </c>
      <c r="AJ43" s="21">
        <v>33</v>
      </c>
      <c r="AK43" s="21">
        <v>6.5734899999999999E-2</v>
      </c>
      <c r="AL43">
        <f t="shared" si="6"/>
        <v>18.574320987654321</v>
      </c>
      <c r="AM43">
        <f t="shared" si="7"/>
        <v>1.2300491161975307</v>
      </c>
      <c r="AP43" s="9"/>
      <c r="AQ43" s="21">
        <v>1.6538999999999999</v>
      </c>
      <c r="AR43" s="21">
        <v>24.210100000000001</v>
      </c>
      <c r="AS43" s="21">
        <v>-1.1932399999999999E-2</v>
      </c>
      <c r="AT43" s="21">
        <v>33</v>
      </c>
      <c r="AU43" s="21">
        <v>1.6531400000000001</v>
      </c>
      <c r="AV43">
        <f t="shared" si="8"/>
        <v>14.731358024691357</v>
      </c>
      <c r="AW43">
        <f t="shared" si="9"/>
        <v>24.364193037037033</v>
      </c>
      <c r="AX43" s="9"/>
      <c r="AY43" s="21">
        <v>6.6223099999999993E-2</v>
      </c>
      <c r="AZ43" s="21">
        <v>28.069600000000001</v>
      </c>
      <c r="BA43" s="21">
        <v>-1.50513E-2</v>
      </c>
      <c r="BB43" s="21">
        <v>33</v>
      </c>
      <c r="BC43" s="21">
        <v>6.5612799999999999E-2</v>
      </c>
      <c r="BD43">
        <f t="shared" si="10"/>
        <v>18.581851851851848</v>
      </c>
      <c r="BE43">
        <f t="shared" si="11"/>
        <v>1.2305478333703699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1.64886</v>
      </c>
      <c r="H44" s="21">
        <v>5.4207400000000003</v>
      </c>
      <c r="I44" s="21">
        <v>-1.22314E-2</v>
      </c>
      <c r="J44" s="21">
        <v>34</v>
      </c>
      <c r="K44" s="21">
        <v>1.64795</v>
      </c>
      <c r="L44">
        <f t="shared" si="0"/>
        <v>15.100493827160493</v>
      </c>
      <c r="M44">
        <f t="shared" si="1"/>
        <v>24.89860025185185</v>
      </c>
      <c r="N44" s="9"/>
      <c r="O44" s="21">
        <v>7.1258500000000002E-2</v>
      </c>
      <c r="P44" s="21">
        <v>9.2802100000000003</v>
      </c>
      <c r="Q44" s="21">
        <v>-1.50116E-2</v>
      </c>
      <c r="R44" s="21">
        <v>34</v>
      </c>
      <c r="S44" s="21">
        <v>7.07092E-2</v>
      </c>
      <c r="T44">
        <f t="shared" si="2"/>
        <v>18.532839506172838</v>
      </c>
      <c r="U44">
        <f t="shared" si="3"/>
        <v>1.3206223439506173</v>
      </c>
      <c r="X44" s="9"/>
      <c r="Y44" s="21">
        <v>1.64886</v>
      </c>
      <c r="Z44" s="21">
        <v>14.836</v>
      </c>
      <c r="AA44" s="21">
        <v>-1.2036099999999999E-2</v>
      </c>
      <c r="AB44" s="21">
        <v>34</v>
      </c>
      <c r="AC44" s="21">
        <v>1.64825</v>
      </c>
      <c r="AD44">
        <f t="shared" si="4"/>
        <v>14.85938271604938</v>
      </c>
      <c r="AE44">
        <f t="shared" si="5"/>
        <v>24.50104178518518</v>
      </c>
      <c r="AF44" s="9"/>
      <c r="AG44" s="21">
        <v>7.1258500000000002E-2</v>
      </c>
      <c r="AH44" s="21">
        <v>18.695399999999999</v>
      </c>
      <c r="AI44" s="21">
        <v>-1.5042099999999999E-2</v>
      </c>
      <c r="AJ44" s="21">
        <v>34</v>
      </c>
      <c r="AK44" s="21">
        <v>7.07092E-2</v>
      </c>
      <c r="AL44">
        <f t="shared" si="6"/>
        <v>18.570493827160494</v>
      </c>
      <c r="AM44">
        <f t="shared" si="7"/>
        <v>1.323305534382716</v>
      </c>
      <c r="AP44" s="9"/>
      <c r="AQ44" s="21">
        <v>1.64886</v>
      </c>
      <c r="AR44" s="21">
        <v>24.220199999999998</v>
      </c>
      <c r="AS44" s="21">
        <v>-1.2063600000000001E-2</v>
      </c>
      <c r="AT44" s="21">
        <v>34</v>
      </c>
      <c r="AU44" s="21">
        <v>1.64764</v>
      </c>
      <c r="AV44">
        <f t="shared" si="8"/>
        <v>14.893333333333333</v>
      </c>
      <c r="AW44">
        <f t="shared" si="9"/>
        <v>24.557021599999999</v>
      </c>
      <c r="AX44" s="9"/>
      <c r="AY44" s="21">
        <v>7.1258500000000002E-2</v>
      </c>
      <c r="AZ44" s="21">
        <v>28.079699999999999</v>
      </c>
      <c r="BA44" s="21">
        <v>-1.5042099999999999E-2</v>
      </c>
      <c r="BB44" s="21">
        <v>34</v>
      </c>
      <c r="BC44" s="21">
        <v>7.0770299999999994E-2</v>
      </c>
      <c r="BD44">
        <f t="shared" si="10"/>
        <v>18.570493827160494</v>
      </c>
      <c r="BE44">
        <f t="shared" si="11"/>
        <v>1.323305534382716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1.6438299999999999</v>
      </c>
      <c r="H45" s="21">
        <v>5.4308100000000001</v>
      </c>
      <c r="I45" s="21">
        <v>-1.23535E-2</v>
      </c>
      <c r="J45" s="21">
        <v>35</v>
      </c>
      <c r="K45" s="21">
        <v>1.64307</v>
      </c>
      <c r="L45">
        <f t="shared" si="0"/>
        <v>15.251234567901234</v>
      </c>
      <c r="M45">
        <f t="shared" si="1"/>
        <v>25.070436919753085</v>
      </c>
      <c r="N45" s="9"/>
      <c r="O45" s="21">
        <v>7.6293899999999998E-2</v>
      </c>
      <c r="P45" s="21">
        <v>9.2902799999999992</v>
      </c>
      <c r="Q45" s="21">
        <v>-1.50116E-2</v>
      </c>
      <c r="R45" s="21">
        <v>35</v>
      </c>
      <c r="S45" s="21">
        <v>7.5775099999999998E-2</v>
      </c>
      <c r="T45">
        <f t="shared" si="2"/>
        <v>18.532839506172838</v>
      </c>
      <c r="U45">
        <f t="shared" si="3"/>
        <v>1.4139426039999998</v>
      </c>
      <c r="X45" s="9"/>
      <c r="Y45" s="21">
        <v>1.6438299999999999</v>
      </c>
      <c r="Z45" s="21">
        <v>14.846</v>
      </c>
      <c r="AA45" s="21">
        <v>-1.21552E-2</v>
      </c>
      <c r="AB45" s="21">
        <v>35</v>
      </c>
      <c r="AC45" s="21">
        <v>1.64276</v>
      </c>
      <c r="AD45">
        <f t="shared" si="4"/>
        <v>15.006419753086417</v>
      </c>
      <c r="AE45">
        <f t="shared" si="5"/>
        <v>24.668002982716043</v>
      </c>
      <c r="AF45" s="9"/>
      <c r="AG45" s="21">
        <v>7.6293899999999998E-2</v>
      </c>
      <c r="AH45" s="21">
        <v>18.705500000000001</v>
      </c>
      <c r="AI45" s="21">
        <v>-1.50238E-2</v>
      </c>
      <c r="AJ45" s="21">
        <v>35</v>
      </c>
      <c r="AK45" s="21">
        <v>7.5592000000000006E-2</v>
      </c>
      <c r="AL45">
        <f t="shared" si="6"/>
        <v>18.547901234567902</v>
      </c>
      <c r="AM45">
        <f t="shared" si="7"/>
        <v>1.4150917220000001</v>
      </c>
      <c r="AP45" s="9"/>
      <c r="AQ45" s="21">
        <v>1.6438299999999999</v>
      </c>
      <c r="AR45" s="21">
        <v>24.2302</v>
      </c>
      <c r="AS45" s="21">
        <v>-1.2185700000000001E-2</v>
      </c>
      <c r="AT45" s="21">
        <v>35</v>
      </c>
      <c r="AU45" s="21">
        <v>1.64337</v>
      </c>
      <c r="AV45">
        <f t="shared" si="8"/>
        <v>15.044074074074075</v>
      </c>
      <c r="AW45">
        <f t="shared" si="9"/>
        <v>24.729900285185185</v>
      </c>
      <c r="AX45" s="9"/>
      <c r="AY45" s="21">
        <v>7.6293899999999998E-2</v>
      </c>
      <c r="AZ45" s="21">
        <v>28.089700000000001</v>
      </c>
      <c r="BA45" s="21">
        <v>-1.5032999999999999E-2</v>
      </c>
      <c r="BB45" s="21">
        <v>35</v>
      </c>
      <c r="BC45" s="21">
        <v>7.5836200000000006E-2</v>
      </c>
      <c r="BD45">
        <f t="shared" si="10"/>
        <v>18.559259259259257</v>
      </c>
      <c r="BE45">
        <f t="shared" si="11"/>
        <v>1.4159582699999997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1.63879</v>
      </c>
      <c r="H46" s="21">
        <v>5.4408799999999999</v>
      </c>
      <c r="I46" s="21">
        <v>-1.24695E-2</v>
      </c>
      <c r="J46" s="21">
        <v>36</v>
      </c>
      <c r="K46" s="21">
        <v>1.63818</v>
      </c>
      <c r="L46">
        <f t="shared" si="0"/>
        <v>15.394444444444444</v>
      </c>
      <c r="M46">
        <f t="shared" si="1"/>
        <v>25.228261611111108</v>
      </c>
      <c r="N46" s="9"/>
      <c r="O46" s="21">
        <v>8.1329299999999993E-2</v>
      </c>
      <c r="P46" s="21">
        <v>9.3003499999999999</v>
      </c>
      <c r="Q46" s="21">
        <v>-1.50055E-2</v>
      </c>
      <c r="R46" s="21">
        <v>36</v>
      </c>
      <c r="S46" s="21">
        <v>8.0871600000000002E-2</v>
      </c>
      <c r="T46">
        <f t="shared" si="2"/>
        <v>18.525308641975307</v>
      </c>
      <c r="U46">
        <f t="shared" si="3"/>
        <v>1.5066503841358023</v>
      </c>
      <c r="X46" s="9"/>
      <c r="Y46" s="21">
        <v>1.63879</v>
      </c>
      <c r="Z46" s="21">
        <v>14.8561</v>
      </c>
      <c r="AA46" s="21">
        <v>-1.2262E-2</v>
      </c>
      <c r="AB46" s="21">
        <v>36</v>
      </c>
      <c r="AC46" s="21">
        <v>1.63849</v>
      </c>
      <c r="AD46">
        <f t="shared" si="4"/>
        <v>15.138271604938272</v>
      </c>
      <c r="AE46">
        <f t="shared" si="5"/>
        <v>24.808448123456788</v>
      </c>
      <c r="AF46" s="9"/>
      <c r="AG46" s="21">
        <v>8.1329299999999993E-2</v>
      </c>
      <c r="AH46" s="21">
        <v>18.715599999999998</v>
      </c>
      <c r="AI46" s="21">
        <v>-1.5020800000000001E-2</v>
      </c>
      <c r="AJ46" s="21">
        <v>36</v>
      </c>
      <c r="AK46" s="21">
        <v>8.0749500000000002E-2</v>
      </c>
      <c r="AL46">
        <f t="shared" si="6"/>
        <v>18.544197530864199</v>
      </c>
      <c r="AM46">
        <f t="shared" si="7"/>
        <v>1.5081866042469136</v>
      </c>
      <c r="AP46" s="9"/>
      <c r="AQ46" s="21">
        <v>1.63879</v>
      </c>
      <c r="AR46" s="21">
        <v>24.240300000000001</v>
      </c>
      <c r="AS46" s="21">
        <v>-1.23047E-2</v>
      </c>
      <c r="AT46" s="21">
        <v>36</v>
      </c>
      <c r="AU46" s="21">
        <v>1.63879</v>
      </c>
      <c r="AV46">
        <f t="shared" si="8"/>
        <v>15.190987654320987</v>
      </c>
      <c r="AW46">
        <f t="shared" si="9"/>
        <v>24.894838658024689</v>
      </c>
      <c r="AX46" s="9"/>
      <c r="AY46" s="21">
        <v>8.1329299999999993E-2</v>
      </c>
      <c r="AZ46" s="21">
        <v>28.099799999999998</v>
      </c>
      <c r="BA46" s="21">
        <v>-1.5032999999999999E-2</v>
      </c>
      <c r="BB46" s="21">
        <v>36</v>
      </c>
      <c r="BC46" s="21">
        <v>8.0780000000000005E-2</v>
      </c>
      <c r="BD46">
        <f t="shared" si="10"/>
        <v>18.559259259259257</v>
      </c>
      <c r="BE46">
        <f t="shared" si="11"/>
        <v>1.5094115640740737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1.6337600000000001</v>
      </c>
      <c r="H47" s="21">
        <v>5.4509499999999997</v>
      </c>
      <c r="I47" s="21">
        <v>-1.25793E-2</v>
      </c>
      <c r="J47" s="21">
        <v>37</v>
      </c>
      <c r="K47" s="21">
        <v>1.633</v>
      </c>
      <c r="L47">
        <f t="shared" si="0"/>
        <v>15.53</v>
      </c>
      <c r="M47">
        <f t="shared" si="1"/>
        <v>25.3722928</v>
      </c>
      <c r="N47" s="9"/>
      <c r="O47" s="21">
        <v>8.6364700000000003E-2</v>
      </c>
      <c r="P47" s="21">
        <v>9.3104300000000002</v>
      </c>
      <c r="Q47" s="21">
        <v>-1.5002400000000001E-2</v>
      </c>
      <c r="R47" s="21">
        <v>37</v>
      </c>
      <c r="S47" s="21">
        <v>8.5845900000000003E-2</v>
      </c>
      <c r="T47">
        <f t="shared" si="2"/>
        <v>18.521481481481484</v>
      </c>
      <c r="U47">
        <f t="shared" si="3"/>
        <v>1.599602191703704</v>
      </c>
      <c r="X47" s="9"/>
      <c r="Y47" s="21">
        <v>1.6337600000000001</v>
      </c>
      <c r="Z47" s="21">
        <v>14.866199999999999</v>
      </c>
      <c r="AA47" s="21">
        <v>-1.2371800000000001E-2</v>
      </c>
      <c r="AB47" s="21">
        <v>37</v>
      </c>
      <c r="AC47" s="21">
        <v>1.6333</v>
      </c>
      <c r="AD47">
        <f t="shared" si="4"/>
        <v>15.273827160493827</v>
      </c>
      <c r="AE47">
        <f t="shared" si="5"/>
        <v>24.953767861728398</v>
      </c>
      <c r="AF47" s="9"/>
      <c r="AG47" s="21">
        <v>8.6364700000000003E-2</v>
      </c>
      <c r="AH47" s="21">
        <v>18.7256</v>
      </c>
      <c r="AI47" s="21">
        <v>-1.50391E-2</v>
      </c>
      <c r="AJ47" s="21">
        <v>37</v>
      </c>
      <c r="AK47" s="21">
        <v>8.5845900000000003E-2</v>
      </c>
      <c r="AL47">
        <f t="shared" si="6"/>
        <v>18.566790123456791</v>
      </c>
      <c r="AM47">
        <f t="shared" si="7"/>
        <v>1.6035152589753088</v>
      </c>
      <c r="AP47" s="9"/>
      <c r="AQ47" s="21">
        <v>1.6337600000000001</v>
      </c>
      <c r="AR47" s="21">
        <v>24.250399999999999</v>
      </c>
      <c r="AS47" s="21">
        <v>-1.24207E-2</v>
      </c>
      <c r="AT47" s="21">
        <v>37</v>
      </c>
      <c r="AU47" s="21">
        <v>1.6333</v>
      </c>
      <c r="AV47">
        <f t="shared" si="8"/>
        <v>15.334197530864195</v>
      </c>
      <c r="AW47">
        <f t="shared" si="9"/>
        <v>25.052398558024688</v>
      </c>
      <c r="AX47" s="9"/>
      <c r="AY47" s="21">
        <v>8.6364700000000003E-2</v>
      </c>
      <c r="AZ47" s="21">
        <v>28.1099</v>
      </c>
      <c r="BA47" s="21">
        <v>-1.5032999999999999E-2</v>
      </c>
      <c r="BB47" s="21">
        <v>37</v>
      </c>
      <c r="BC47" s="21">
        <v>8.5876499999999995E-2</v>
      </c>
      <c r="BD47">
        <f t="shared" si="10"/>
        <v>18.559259259259257</v>
      </c>
      <c r="BE47">
        <f t="shared" si="11"/>
        <v>1.6028648581481479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1.6287199999999999</v>
      </c>
      <c r="H48" s="21">
        <v>5.4610200000000004</v>
      </c>
      <c r="I48" s="21">
        <v>-1.2677000000000001E-2</v>
      </c>
      <c r="J48" s="21">
        <v>38</v>
      </c>
      <c r="K48" s="21">
        <v>1.6281099999999999</v>
      </c>
      <c r="L48">
        <f t="shared" si="0"/>
        <v>15.650617283950618</v>
      </c>
      <c r="M48">
        <f t="shared" si="1"/>
        <v>25.490473382716051</v>
      </c>
      <c r="N48" s="9"/>
      <c r="O48" s="21">
        <v>9.1400099999999998E-2</v>
      </c>
      <c r="P48" s="21">
        <v>9.3204999999999991</v>
      </c>
      <c r="Q48" s="21">
        <v>-1.5002400000000001E-2</v>
      </c>
      <c r="R48" s="21">
        <v>38</v>
      </c>
      <c r="S48" s="21">
        <v>9.1003399999999998E-2</v>
      </c>
      <c r="T48">
        <f t="shared" si="2"/>
        <v>18.521481481481484</v>
      </c>
      <c r="U48">
        <f t="shared" si="3"/>
        <v>1.6928652595555558</v>
      </c>
      <c r="X48" s="9"/>
      <c r="Y48" s="21">
        <v>1.6287199999999999</v>
      </c>
      <c r="Z48" s="21">
        <v>14.876200000000001</v>
      </c>
      <c r="AA48" s="21">
        <v>-1.24756E-2</v>
      </c>
      <c r="AB48" s="21">
        <v>38</v>
      </c>
      <c r="AC48" s="21">
        <v>1.62842</v>
      </c>
      <c r="AD48">
        <f t="shared" si="4"/>
        <v>15.401975308641974</v>
      </c>
      <c r="AE48">
        <f t="shared" si="5"/>
        <v>25.085505224691357</v>
      </c>
      <c r="AF48" s="9"/>
      <c r="AG48" s="21">
        <v>9.1400099999999998E-2</v>
      </c>
      <c r="AH48" s="21">
        <v>18.735700000000001</v>
      </c>
      <c r="AI48" s="21">
        <v>-1.50604E-2</v>
      </c>
      <c r="AJ48" s="21">
        <v>38</v>
      </c>
      <c r="AK48" s="21">
        <v>9.0881299999999998E-2</v>
      </c>
      <c r="AL48">
        <f t="shared" si="6"/>
        <v>18.593086419753085</v>
      </c>
      <c r="AM48">
        <f t="shared" si="7"/>
        <v>1.699409958074074</v>
      </c>
      <c r="AP48" s="9"/>
      <c r="AQ48" s="21">
        <v>1.6287199999999999</v>
      </c>
      <c r="AR48" s="21">
        <v>24.2605</v>
      </c>
      <c r="AS48" s="21">
        <v>-1.25275E-2</v>
      </c>
      <c r="AT48" s="21">
        <v>38</v>
      </c>
      <c r="AU48" s="21">
        <v>1.6281099999999999</v>
      </c>
      <c r="AV48">
        <f t="shared" si="8"/>
        <v>15.466049382716049</v>
      </c>
      <c r="AW48">
        <f t="shared" si="9"/>
        <v>25.189863950617283</v>
      </c>
      <c r="AX48" s="9"/>
      <c r="AY48" s="21">
        <v>9.1400099999999998E-2</v>
      </c>
      <c r="AZ48" s="21">
        <v>28.119900000000001</v>
      </c>
      <c r="BA48" s="21">
        <v>-1.5036000000000001E-2</v>
      </c>
      <c r="BB48" s="21">
        <v>38</v>
      </c>
      <c r="BC48" s="21">
        <v>9.0881299999999998E-2</v>
      </c>
      <c r="BD48">
        <f t="shared" si="10"/>
        <v>18.562962962962963</v>
      </c>
      <c r="BE48">
        <f t="shared" si="11"/>
        <v>1.6966566711111111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1.6236900000000001</v>
      </c>
      <c r="H49" s="21">
        <v>5.4710900000000002</v>
      </c>
      <c r="I49" s="21">
        <v>-1.27686E-2</v>
      </c>
      <c r="J49" s="21">
        <v>39</v>
      </c>
      <c r="K49" s="21">
        <v>1.6229199999999999</v>
      </c>
      <c r="L49">
        <f t="shared" si="0"/>
        <v>15.763703703703703</v>
      </c>
      <c r="M49">
        <f t="shared" si="1"/>
        <v>25.595368066666666</v>
      </c>
      <c r="N49" s="9"/>
      <c r="O49" s="21">
        <v>9.6435499999999993E-2</v>
      </c>
      <c r="P49" s="21">
        <v>9.3305699999999998</v>
      </c>
      <c r="Q49" s="21">
        <v>-1.5002400000000001E-2</v>
      </c>
      <c r="R49" s="21">
        <v>39</v>
      </c>
      <c r="S49" s="21">
        <v>9.5947299999999999E-2</v>
      </c>
      <c r="T49">
        <f t="shared" si="2"/>
        <v>18.521481481481484</v>
      </c>
      <c r="U49">
        <f t="shared" si="3"/>
        <v>1.7861283274074076</v>
      </c>
      <c r="X49" s="9"/>
      <c r="Y49" s="21">
        <v>1.6236900000000001</v>
      </c>
      <c r="Z49" s="21">
        <v>14.8863</v>
      </c>
      <c r="AA49" s="21">
        <v>-1.25732E-2</v>
      </c>
      <c r="AB49" s="21">
        <v>39</v>
      </c>
      <c r="AC49" s="21">
        <v>1.62262</v>
      </c>
      <c r="AD49">
        <f t="shared" si="4"/>
        <v>15.522469135802467</v>
      </c>
      <c r="AE49">
        <f t="shared" si="5"/>
        <v>25.203677911111107</v>
      </c>
      <c r="AF49" s="9"/>
      <c r="AG49" s="21">
        <v>9.6435499999999993E-2</v>
      </c>
      <c r="AH49" s="21">
        <v>18.745799999999999</v>
      </c>
      <c r="AI49" s="21">
        <v>-1.50787E-2</v>
      </c>
      <c r="AJ49" s="21">
        <v>39</v>
      </c>
      <c r="AK49" s="21">
        <v>9.5916699999999994E-2</v>
      </c>
      <c r="AL49">
        <f t="shared" si="6"/>
        <v>18.61567901234568</v>
      </c>
      <c r="AM49">
        <f t="shared" si="7"/>
        <v>1.7952123133950617</v>
      </c>
      <c r="AP49" s="9"/>
      <c r="AQ49" s="21">
        <v>1.6236900000000001</v>
      </c>
      <c r="AR49" s="21">
        <v>24.270499999999998</v>
      </c>
      <c r="AS49" s="21">
        <v>-1.2616E-2</v>
      </c>
      <c r="AT49" s="21">
        <v>39</v>
      </c>
      <c r="AU49" s="21">
        <v>1.62262</v>
      </c>
      <c r="AV49">
        <f t="shared" si="8"/>
        <v>15.575308641975308</v>
      </c>
      <c r="AW49">
        <f t="shared" si="9"/>
        <v>25.289472888888888</v>
      </c>
      <c r="AX49" s="9"/>
      <c r="AY49" s="21">
        <v>9.6435499999999993E-2</v>
      </c>
      <c r="AZ49" s="21">
        <v>28.13</v>
      </c>
      <c r="BA49" s="21">
        <v>-1.50391E-2</v>
      </c>
      <c r="BB49" s="21">
        <v>39</v>
      </c>
      <c r="BC49" s="21">
        <v>9.5916699999999994E-2</v>
      </c>
      <c r="BD49">
        <f t="shared" si="10"/>
        <v>18.566790123456791</v>
      </c>
      <c r="BE49">
        <f t="shared" si="11"/>
        <v>1.7904976889506172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1.6186499999999999</v>
      </c>
      <c r="H50" s="21">
        <v>5.48116</v>
      </c>
      <c r="I50" s="21">
        <v>-1.2851E-2</v>
      </c>
      <c r="J50" s="21">
        <v>40</v>
      </c>
      <c r="K50" s="21">
        <v>1.61835</v>
      </c>
      <c r="L50">
        <f t="shared" si="0"/>
        <v>15.865432098765432</v>
      </c>
      <c r="M50">
        <f t="shared" si="1"/>
        <v>25.680581666666665</v>
      </c>
      <c r="N50" s="9"/>
      <c r="O50" s="21">
        <v>0.10147100000000001</v>
      </c>
      <c r="P50" s="21">
        <v>9.3406400000000005</v>
      </c>
      <c r="Q50" s="21">
        <v>-1.50055E-2</v>
      </c>
      <c r="R50" s="21">
        <v>40</v>
      </c>
      <c r="S50" s="21">
        <v>0.10086100000000001</v>
      </c>
      <c r="T50">
        <f t="shared" si="2"/>
        <v>18.525308641975307</v>
      </c>
      <c r="U50">
        <f t="shared" si="3"/>
        <v>1.8797815932098765</v>
      </c>
      <c r="X50" s="9"/>
      <c r="Y50" s="21">
        <v>1.6186499999999999</v>
      </c>
      <c r="Z50" s="21">
        <v>14.8964</v>
      </c>
      <c r="AA50" s="21">
        <v>-1.26648E-2</v>
      </c>
      <c r="AB50" s="21">
        <v>40</v>
      </c>
      <c r="AC50" s="21">
        <v>1.6180399999999999</v>
      </c>
      <c r="AD50">
        <f t="shared" si="4"/>
        <v>15.635555555555555</v>
      </c>
      <c r="AE50">
        <f t="shared" si="5"/>
        <v>25.308491999999998</v>
      </c>
      <c r="AF50" s="9"/>
      <c r="AG50" s="21">
        <v>0.10147100000000001</v>
      </c>
      <c r="AH50" s="21">
        <v>18.755800000000001</v>
      </c>
      <c r="AI50" s="21">
        <v>-1.5094E-2</v>
      </c>
      <c r="AJ50" s="21">
        <v>40</v>
      </c>
      <c r="AK50" s="21">
        <v>0.100922</v>
      </c>
      <c r="AL50">
        <f t="shared" si="6"/>
        <v>18.634567901234568</v>
      </c>
      <c r="AM50">
        <f t="shared" si="7"/>
        <v>1.8908682395061729</v>
      </c>
      <c r="AP50" s="9"/>
      <c r="AQ50" s="21">
        <v>1.6186499999999999</v>
      </c>
      <c r="AR50" s="21">
        <v>24.2806</v>
      </c>
      <c r="AS50" s="21">
        <v>-1.27014E-2</v>
      </c>
      <c r="AT50" s="21">
        <v>40</v>
      </c>
      <c r="AU50" s="21">
        <v>1.61835</v>
      </c>
      <c r="AV50">
        <f t="shared" si="8"/>
        <v>15.680740740740738</v>
      </c>
      <c r="AW50">
        <f t="shared" si="9"/>
        <v>25.381630999999995</v>
      </c>
      <c r="AX50" s="9"/>
      <c r="AY50" s="21">
        <v>0.10147100000000001</v>
      </c>
      <c r="AZ50" s="21">
        <v>28.1401</v>
      </c>
      <c r="BA50" s="21">
        <v>-1.5036000000000001E-2</v>
      </c>
      <c r="BB50" s="21">
        <v>40</v>
      </c>
      <c r="BC50" s="21">
        <v>0.100952</v>
      </c>
      <c r="BD50">
        <f t="shared" si="10"/>
        <v>18.562962962962963</v>
      </c>
      <c r="BE50">
        <f t="shared" si="11"/>
        <v>1.8836024148148149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1.6136200000000001</v>
      </c>
      <c r="H51" s="21">
        <v>5.4912299999999998</v>
      </c>
      <c r="I51" s="21">
        <v>-1.29333E-2</v>
      </c>
      <c r="J51" s="21">
        <v>41</v>
      </c>
      <c r="K51" s="21">
        <v>1.6131599999999999</v>
      </c>
      <c r="L51">
        <f t="shared" si="0"/>
        <v>15.967037037037036</v>
      </c>
      <c r="M51">
        <f t="shared" si="1"/>
        <v>25.764730303703704</v>
      </c>
      <c r="N51" s="9"/>
      <c r="O51" s="21">
        <v>0.106506</v>
      </c>
      <c r="P51" s="21">
        <v>9.3507099999999994</v>
      </c>
      <c r="Q51" s="21">
        <v>-1.5002400000000001E-2</v>
      </c>
      <c r="R51" s="21">
        <v>41</v>
      </c>
      <c r="S51" s="21">
        <v>0.106018</v>
      </c>
      <c r="T51">
        <f t="shared" si="2"/>
        <v>18.521481481481484</v>
      </c>
      <c r="U51">
        <f t="shared" si="3"/>
        <v>1.972648906666667</v>
      </c>
      <c r="X51" s="9"/>
      <c r="Y51" s="21">
        <v>1.6136200000000001</v>
      </c>
      <c r="Z51" s="21">
        <v>14.9064</v>
      </c>
      <c r="AA51" s="21">
        <v>-1.2759400000000001E-2</v>
      </c>
      <c r="AB51" s="21">
        <v>41</v>
      </c>
      <c r="AC51" s="21">
        <v>1.6122399999999999</v>
      </c>
      <c r="AD51">
        <f t="shared" si="4"/>
        <v>15.752345679012343</v>
      </c>
      <c r="AE51">
        <f t="shared" si="5"/>
        <v>25.418300034567899</v>
      </c>
      <c r="AF51" s="9"/>
      <c r="AG51" s="21">
        <v>0.106506</v>
      </c>
      <c r="AH51" s="21">
        <v>18.765899999999998</v>
      </c>
      <c r="AI51" s="21">
        <v>-1.5081799999999999E-2</v>
      </c>
      <c r="AJ51" s="21">
        <v>41</v>
      </c>
      <c r="AK51" s="21">
        <v>0.105988</v>
      </c>
      <c r="AL51">
        <f t="shared" si="6"/>
        <v>18.619506172839504</v>
      </c>
      <c r="AM51">
        <f t="shared" si="7"/>
        <v>1.9830891244444442</v>
      </c>
      <c r="AP51" s="9"/>
      <c r="AQ51" s="21">
        <v>1.6136200000000001</v>
      </c>
      <c r="AR51" s="21">
        <v>24.290700000000001</v>
      </c>
      <c r="AS51" s="21">
        <v>-1.27869E-2</v>
      </c>
      <c r="AT51" s="21">
        <v>41</v>
      </c>
      <c r="AU51" s="21">
        <v>1.6131599999999999</v>
      </c>
      <c r="AV51">
        <f t="shared" si="8"/>
        <v>15.786296296296294</v>
      </c>
      <c r="AW51">
        <f t="shared" si="9"/>
        <v>25.473083429629629</v>
      </c>
      <c r="AX51" s="9"/>
      <c r="AY51" s="21">
        <v>0.106506</v>
      </c>
      <c r="AZ51" s="21">
        <v>28.150200000000002</v>
      </c>
      <c r="BA51" s="21">
        <v>-1.5036000000000001E-2</v>
      </c>
      <c r="BB51" s="21">
        <v>41</v>
      </c>
      <c r="BC51" s="21">
        <v>0.105988</v>
      </c>
      <c r="BD51">
        <f t="shared" si="10"/>
        <v>18.562962962962963</v>
      </c>
      <c r="BE51">
        <f t="shared" si="11"/>
        <v>1.9770669333333335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1.6085799999999999</v>
      </c>
      <c r="H52" s="21">
        <v>5.5012999999999996</v>
      </c>
      <c r="I52" s="21">
        <v>-1.30066E-2</v>
      </c>
      <c r="J52" s="21">
        <v>42</v>
      </c>
      <c r="K52" s="21">
        <v>1.6079699999999999</v>
      </c>
      <c r="L52">
        <f t="shared" si="0"/>
        <v>16.057530864197531</v>
      </c>
      <c r="M52">
        <f t="shared" si="1"/>
        <v>25.829822997530862</v>
      </c>
      <c r="N52" s="9"/>
      <c r="O52" s="21">
        <v>0.111542</v>
      </c>
      <c r="P52" s="21">
        <v>9.3607800000000001</v>
      </c>
      <c r="Q52" s="21">
        <v>-1.4996300000000001E-2</v>
      </c>
      <c r="R52" s="21">
        <v>42</v>
      </c>
      <c r="S52" s="21">
        <v>0.11099199999999999</v>
      </c>
      <c r="T52">
        <f t="shared" si="2"/>
        <v>18.51395061728395</v>
      </c>
      <c r="U52">
        <f t="shared" si="3"/>
        <v>2.0650830797530864</v>
      </c>
      <c r="X52" s="9"/>
      <c r="Y52" s="21">
        <v>1.6085799999999999</v>
      </c>
      <c r="Z52" s="21">
        <v>14.916499999999999</v>
      </c>
      <c r="AA52" s="21">
        <v>-1.28387E-2</v>
      </c>
      <c r="AB52" s="21">
        <v>42</v>
      </c>
      <c r="AC52" s="21">
        <v>1.6079699999999999</v>
      </c>
      <c r="AD52">
        <f t="shared" si="4"/>
        <v>15.850246913580245</v>
      </c>
      <c r="AE52">
        <f t="shared" si="5"/>
        <v>25.496390180246909</v>
      </c>
      <c r="AF52" s="9"/>
      <c r="AG52" s="21">
        <v>0.111542</v>
      </c>
      <c r="AH52" s="21">
        <v>18.776</v>
      </c>
      <c r="AI52" s="21">
        <v>-1.5075699999999999E-2</v>
      </c>
      <c r="AJ52" s="21">
        <v>42</v>
      </c>
      <c r="AK52" s="21">
        <v>0.11096200000000001</v>
      </c>
      <c r="AL52">
        <f t="shared" si="6"/>
        <v>18.611975308641973</v>
      </c>
      <c r="AM52">
        <f t="shared" si="7"/>
        <v>2.0760169498765428</v>
      </c>
      <c r="AP52" s="9"/>
      <c r="AQ52" s="21">
        <v>1.6085799999999999</v>
      </c>
      <c r="AR52" s="21">
        <v>24.300699999999999</v>
      </c>
      <c r="AS52" s="21">
        <v>-1.28632E-2</v>
      </c>
      <c r="AT52" s="21">
        <v>42</v>
      </c>
      <c r="AU52" s="21">
        <v>1.6082799999999999</v>
      </c>
      <c r="AV52">
        <f t="shared" si="8"/>
        <v>15.880493827160493</v>
      </c>
      <c r="AW52">
        <f t="shared" si="9"/>
        <v>25.545044760493823</v>
      </c>
      <c r="AX52" s="9"/>
      <c r="AY52" s="21">
        <v>0.111542</v>
      </c>
      <c r="AZ52" s="21">
        <v>28.1602</v>
      </c>
      <c r="BA52" s="21">
        <v>-1.50391E-2</v>
      </c>
      <c r="BB52" s="21">
        <v>42</v>
      </c>
      <c r="BC52" s="21">
        <v>0.110931</v>
      </c>
      <c r="BD52">
        <f t="shared" si="10"/>
        <v>18.566790123456791</v>
      </c>
      <c r="BE52">
        <f t="shared" si="11"/>
        <v>2.0709769039506174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1.60355</v>
      </c>
      <c r="H53" s="21">
        <v>5.5113799999999999</v>
      </c>
      <c r="I53" s="21">
        <v>-1.3079800000000001E-2</v>
      </c>
      <c r="J53" s="21">
        <v>43</v>
      </c>
      <c r="K53" s="21">
        <v>1.6030899999999999</v>
      </c>
      <c r="L53">
        <f t="shared" si="0"/>
        <v>16.147901234567904</v>
      </c>
      <c r="M53">
        <f t="shared" si="1"/>
        <v>25.893967024691364</v>
      </c>
      <c r="N53" s="9"/>
      <c r="O53" s="21">
        <v>0.116577</v>
      </c>
      <c r="P53" s="21">
        <v>9.3708500000000008</v>
      </c>
      <c r="Q53" s="21">
        <v>-1.4981100000000001E-2</v>
      </c>
      <c r="R53" s="21">
        <v>43</v>
      </c>
      <c r="S53" s="21">
        <v>0.115967</v>
      </c>
      <c r="T53">
        <f t="shared" si="2"/>
        <v>18.495185185185186</v>
      </c>
      <c r="U53">
        <f t="shared" si="3"/>
        <v>2.1561132033333332</v>
      </c>
      <c r="X53" s="9"/>
      <c r="Y53" s="21">
        <v>1.60355</v>
      </c>
      <c r="Z53" s="21">
        <v>14.926600000000001</v>
      </c>
      <c r="AA53" s="21">
        <v>-1.29059E-2</v>
      </c>
      <c r="AB53" s="21">
        <v>43</v>
      </c>
      <c r="AC53" s="21">
        <v>1.6021700000000001</v>
      </c>
      <c r="AD53">
        <f t="shared" si="4"/>
        <v>15.933209876543209</v>
      </c>
      <c r="AE53">
        <f t="shared" si="5"/>
        <v>25.549698697530864</v>
      </c>
      <c r="AF53" s="9"/>
      <c r="AG53" s="21">
        <v>0.116577</v>
      </c>
      <c r="AH53" s="21">
        <v>18.786100000000001</v>
      </c>
      <c r="AI53" s="21">
        <v>-1.50726E-2</v>
      </c>
      <c r="AJ53" s="21">
        <v>43</v>
      </c>
      <c r="AK53" s="21">
        <v>0.116089</v>
      </c>
      <c r="AL53">
        <f t="shared" si="6"/>
        <v>18.60814814814815</v>
      </c>
      <c r="AM53">
        <f t="shared" si="7"/>
        <v>2.1692820866666667</v>
      </c>
      <c r="AP53" s="9"/>
      <c r="AQ53" s="21">
        <v>1.60355</v>
      </c>
      <c r="AR53" s="21">
        <v>24.3108</v>
      </c>
      <c r="AS53" s="21">
        <v>-1.29456E-2</v>
      </c>
      <c r="AT53" s="21">
        <v>43</v>
      </c>
      <c r="AU53" s="21">
        <v>1.6030899999999999</v>
      </c>
      <c r="AV53">
        <f t="shared" si="8"/>
        <v>15.982222222222221</v>
      </c>
      <c r="AW53">
        <f t="shared" si="9"/>
        <v>25.628292444444444</v>
      </c>
      <c r="AX53" s="9"/>
      <c r="AY53" s="21">
        <v>0.116577</v>
      </c>
      <c r="AZ53" s="21">
        <v>28.170300000000001</v>
      </c>
      <c r="BA53" s="21">
        <v>-1.50513E-2</v>
      </c>
      <c r="BB53" s="21">
        <v>43</v>
      </c>
      <c r="BC53" s="21">
        <v>0.11605799999999999</v>
      </c>
      <c r="BD53">
        <f t="shared" si="10"/>
        <v>18.581851851851848</v>
      </c>
      <c r="BE53">
        <f t="shared" si="11"/>
        <v>2.1662165433333329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1.5985100000000001</v>
      </c>
      <c r="H54" s="21">
        <v>5.5214499999999997</v>
      </c>
      <c r="I54" s="21">
        <v>-1.3147000000000001E-2</v>
      </c>
      <c r="J54" s="21">
        <v>44</v>
      </c>
      <c r="K54" s="21">
        <v>1.5975999999999999</v>
      </c>
      <c r="L54">
        <f t="shared" si="0"/>
        <v>16.230864197530863</v>
      </c>
      <c r="M54">
        <f t="shared" si="1"/>
        <v>25.945198728395063</v>
      </c>
      <c r="N54" s="9"/>
      <c r="O54" s="21">
        <v>0.121613</v>
      </c>
      <c r="P54" s="21">
        <v>9.3809199999999997</v>
      </c>
      <c r="Q54" s="21">
        <v>-1.4987199999999999E-2</v>
      </c>
      <c r="R54" s="21">
        <v>44</v>
      </c>
      <c r="S54" s="21">
        <v>0.120972</v>
      </c>
      <c r="T54">
        <f t="shared" si="2"/>
        <v>18.502716049382713</v>
      </c>
      <c r="U54">
        <f t="shared" si="3"/>
        <v>2.2501708069135797</v>
      </c>
      <c r="X54" s="9"/>
      <c r="Y54" s="21">
        <v>1.5985100000000001</v>
      </c>
      <c r="Z54" s="21">
        <v>14.9367</v>
      </c>
      <c r="AA54" s="21">
        <v>-1.2976100000000001E-2</v>
      </c>
      <c r="AB54" s="21">
        <v>44</v>
      </c>
      <c r="AC54" s="21">
        <v>1.5985100000000001</v>
      </c>
      <c r="AD54">
        <f t="shared" si="4"/>
        <v>16.019876543209875</v>
      </c>
      <c r="AE54">
        <f t="shared" si="5"/>
        <v>25.607932853086421</v>
      </c>
      <c r="AF54" s="9"/>
      <c r="AG54" s="21">
        <v>0.121613</v>
      </c>
      <c r="AH54" s="21">
        <v>18.796099999999999</v>
      </c>
      <c r="AI54" s="21">
        <v>-1.50665E-2</v>
      </c>
      <c r="AJ54" s="21">
        <v>44</v>
      </c>
      <c r="AK54" s="21">
        <v>0.121002</v>
      </c>
      <c r="AL54">
        <f t="shared" si="6"/>
        <v>18.600617283950616</v>
      </c>
      <c r="AM54">
        <f t="shared" si="7"/>
        <v>2.2620768697530864</v>
      </c>
      <c r="AP54" s="9"/>
      <c r="AQ54" s="21">
        <v>1.5985100000000001</v>
      </c>
      <c r="AR54" s="21">
        <v>24.320900000000002</v>
      </c>
      <c r="AS54" s="21">
        <v>-1.3021899999999999E-2</v>
      </c>
      <c r="AT54" s="21">
        <v>44</v>
      </c>
      <c r="AU54" s="21">
        <v>1.5979000000000001</v>
      </c>
      <c r="AV54">
        <f t="shared" si="8"/>
        <v>16.076419753086416</v>
      </c>
      <c r="AW54">
        <f t="shared" si="9"/>
        <v>25.698317739506169</v>
      </c>
      <c r="AX54" s="9"/>
      <c r="AY54" s="21">
        <v>0.121613</v>
      </c>
      <c r="AZ54" s="21">
        <v>28.180399999999999</v>
      </c>
      <c r="BA54" s="21">
        <v>-1.50543E-2</v>
      </c>
      <c r="BB54" s="21">
        <v>44</v>
      </c>
      <c r="BC54" s="21">
        <v>0.12109399999999999</v>
      </c>
      <c r="BD54">
        <f t="shared" si="10"/>
        <v>18.585555555555555</v>
      </c>
      <c r="BE54">
        <f t="shared" si="11"/>
        <v>2.2602451677777777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1.59348</v>
      </c>
      <c r="H55" s="21">
        <v>5.5315200000000004</v>
      </c>
      <c r="I55" s="21">
        <v>-1.32172E-2</v>
      </c>
      <c r="J55" s="21">
        <v>45</v>
      </c>
      <c r="K55" s="21">
        <v>1.5924100000000001</v>
      </c>
      <c r="L55">
        <f t="shared" si="0"/>
        <v>16.317530864197529</v>
      </c>
      <c r="M55">
        <f t="shared" si="1"/>
        <v>26.001659081481478</v>
      </c>
      <c r="N55" s="9"/>
      <c r="O55" s="21">
        <v>0.12664800000000001</v>
      </c>
      <c r="P55" s="21">
        <v>9.3909900000000004</v>
      </c>
      <c r="Q55" s="21">
        <v>-1.4978E-2</v>
      </c>
      <c r="R55" s="21">
        <v>45</v>
      </c>
      <c r="S55" s="21">
        <v>0.12612899999999999</v>
      </c>
      <c r="T55">
        <f t="shared" si="2"/>
        <v>18.491358024691355</v>
      </c>
      <c r="U55">
        <f t="shared" si="3"/>
        <v>2.341893511111111</v>
      </c>
      <c r="X55" s="9"/>
      <c r="Y55" s="21">
        <v>1.59348</v>
      </c>
      <c r="Z55" s="21">
        <v>14.9467</v>
      </c>
      <c r="AA55" s="21">
        <v>-1.30432E-2</v>
      </c>
      <c r="AB55" s="21">
        <v>45</v>
      </c>
      <c r="AC55" s="21">
        <v>1.5927100000000001</v>
      </c>
      <c r="AD55">
        <f t="shared" si="4"/>
        <v>16.102716049382714</v>
      </c>
      <c r="AE55">
        <f t="shared" si="5"/>
        <v>25.659355970370367</v>
      </c>
      <c r="AF55" s="9"/>
      <c r="AG55" s="21">
        <v>0.12664800000000001</v>
      </c>
      <c r="AH55" s="21">
        <v>18.8062</v>
      </c>
      <c r="AI55" s="21">
        <v>-1.5069600000000001E-2</v>
      </c>
      <c r="AJ55" s="21">
        <v>45</v>
      </c>
      <c r="AK55" s="21">
        <v>0.12609899999999999</v>
      </c>
      <c r="AL55">
        <f t="shared" si="6"/>
        <v>18.604444444444443</v>
      </c>
      <c r="AM55">
        <f t="shared" si="7"/>
        <v>2.35621568</v>
      </c>
      <c r="AP55" s="9"/>
      <c r="AQ55" s="21">
        <v>1.59348</v>
      </c>
      <c r="AR55" s="21">
        <v>24.331</v>
      </c>
      <c r="AS55" s="21">
        <v>-1.3089E-2</v>
      </c>
      <c r="AT55" s="21">
        <v>45</v>
      </c>
      <c r="AU55" s="21">
        <v>1.5927100000000001</v>
      </c>
      <c r="AV55">
        <f t="shared" si="8"/>
        <v>16.159259259259258</v>
      </c>
      <c r="AW55">
        <f t="shared" si="9"/>
        <v>25.749456444444444</v>
      </c>
      <c r="AX55" s="9"/>
      <c r="AY55" s="21">
        <v>0.12664800000000001</v>
      </c>
      <c r="AZ55" s="21">
        <v>28.1904</v>
      </c>
      <c r="BA55" s="21">
        <v>-1.50452E-2</v>
      </c>
      <c r="BB55" s="21">
        <v>45</v>
      </c>
      <c r="BC55" s="21">
        <v>0.125946</v>
      </c>
      <c r="BD55">
        <f t="shared" si="10"/>
        <v>18.574320987654321</v>
      </c>
      <c r="BE55">
        <f t="shared" si="11"/>
        <v>2.3524006044444445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1.5884400000000001</v>
      </c>
      <c r="H56" s="21">
        <v>5.5415900000000002</v>
      </c>
      <c r="I56" s="21">
        <v>-1.3281299999999999E-2</v>
      </c>
      <c r="J56" s="21">
        <v>46</v>
      </c>
      <c r="K56" s="21">
        <v>1.5878300000000001</v>
      </c>
      <c r="L56">
        <f t="shared" si="0"/>
        <v>16.396666666666665</v>
      </c>
      <c r="M56">
        <f t="shared" si="1"/>
        <v>26.045121199999997</v>
      </c>
      <c r="N56" s="9"/>
      <c r="O56" s="21">
        <v>0.13168299999999999</v>
      </c>
      <c r="P56" s="21">
        <v>9.4010599999999993</v>
      </c>
      <c r="Q56" s="21">
        <v>-1.49719E-2</v>
      </c>
      <c r="R56" s="21">
        <v>46</v>
      </c>
      <c r="S56" s="21">
        <v>0.131104</v>
      </c>
      <c r="T56">
        <f t="shared" si="2"/>
        <v>18.483827160493824</v>
      </c>
      <c r="U56">
        <f t="shared" si="3"/>
        <v>2.4340058119753083</v>
      </c>
      <c r="X56" s="9"/>
      <c r="Y56" s="21">
        <v>1.5884400000000001</v>
      </c>
      <c r="Z56" s="21">
        <v>14.956799999999999</v>
      </c>
      <c r="AA56" s="21">
        <v>-1.3113400000000001E-2</v>
      </c>
      <c r="AB56" s="21">
        <v>46</v>
      </c>
      <c r="AC56" s="21">
        <v>1.5878300000000001</v>
      </c>
      <c r="AD56">
        <f t="shared" si="4"/>
        <v>16.18938271604938</v>
      </c>
      <c r="AE56">
        <f t="shared" si="5"/>
        <v>25.71586308148148</v>
      </c>
      <c r="AF56" s="9"/>
      <c r="AG56" s="21">
        <v>0.13168299999999999</v>
      </c>
      <c r="AH56" s="21">
        <v>18.816299999999998</v>
      </c>
      <c r="AI56" s="21">
        <v>-1.50604E-2</v>
      </c>
      <c r="AJ56" s="21">
        <v>46</v>
      </c>
      <c r="AK56" s="21">
        <v>0.13122600000000001</v>
      </c>
      <c r="AL56">
        <f t="shared" si="6"/>
        <v>18.593086419753085</v>
      </c>
      <c r="AM56">
        <f t="shared" si="7"/>
        <v>2.4483933990123452</v>
      </c>
      <c r="AP56" s="9"/>
      <c r="AQ56" s="21">
        <v>1.5884400000000001</v>
      </c>
      <c r="AR56" s="21">
        <v>24.341000000000001</v>
      </c>
      <c r="AS56" s="21">
        <v>-1.3147000000000001E-2</v>
      </c>
      <c r="AT56" s="21">
        <v>46</v>
      </c>
      <c r="AU56" s="21">
        <v>1.5872200000000001</v>
      </c>
      <c r="AV56">
        <f t="shared" si="8"/>
        <v>16.230864197530863</v>
      </c>
      <c r="AW56">
        <f t="shared" si="9"/>
        <v>25.781753925925926</v>
      </c>
      <c r="AX56" s="9"/>
      <c r="AY56" s="21">
        <v>0.13168299999999999</v>
      </c>
      <c r="AZ56" s="21">
        <v>28.200500000000002</v>
      </c>
      <c r="BA56" s="21">
        <v>-1.50391E-2</v>
      </c>
      <c r="BB56" s="21">
        <v>46</v>
      </c>
      <c r="BC56" s="21">
        <v>0.13125600000000001</v>
      </c>
      <c r="BD56">
        <f t="shared" si="10"/>
        <v>18.566790123456791</v>
      </c>
      <c r="BE56">
        <f t="shared" si="11"/>
        <v>2.4449306238271604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1.5833999999999999</v>
      </c>
      <c r="H57" s="21">
        <v>5.55166</v>
      </c>
      <c r="I57" s="21">
        <v>-1.3345299999999999E-2</v>
      </c>
      <c r="J57" s="21">
        <v>47</v>
      </c>
      <c r="K57" s="21">
        <v>1.58264</v>
      </c>
      <c r="L57">
        <f t="shared" si="0"/>
        <v>16.475679012345676</v>
      </c>
      <c r="M57">
        <f t="shared" si="1"/>
        <v>26.087590148148141</v>
      </c>
      <c r="N57" s="9"/>
      <c r="O57" s="21">
        <v>0.13671900000000001</v>
      </c>
      <c r="P57" s="21">
        <v>9.4111399999999996</v>
      </c>
      <c r="Q57" s="21">
        <v>-1.49689E-2</v>
      </c>
      <c r="R57" s="21">
        <v>47</v>
      </c>
      <c r="S57" s="21">
        <v>0.136047</v>
      </c>
      <c r="T57">
        <f t="shared" si="2"/>
        <v>18.480123456790125</v>
      </c>
      <c r="U57">
        <f t="shared" si="3"/>
        <v>2.5265839988888894</v>
      </c>
      <c r="X57" s="9"/>
      <c r="Y57" s="21">
        <v>1.5833999999999999</v>
      </c>
      <c r="Z57" s="21">
        <v>14.966900000000001</v>
      </c>
      <c r="AA57" s="21">
        <v>-1.31805E-2</v>
      </c>
      <c r="AB57" s="21">
        <v>47</v>
      </c>
      <c r="AC57" s="21">
        <v>1.58264</v>
      </c>
      <c r="AD57">
        <f t="shared" si="4"/>
        <v>16.272222222222219</v>
      </c>
      <c r="AE57">
        <f t="shared" si="5"/>
        <v>25.765436666666659</v>
      </c>
      <c r="AF57" s="9"/>
      <c r="AG57" s="21">
        <v>0.13671900000000001</v>
      </c>
      <c r="AH57" s="21">
        <v>18.8263</v>
      </c>
      <c r="AI57" s="21">
        <v>-1.50543E-2</v>
      </c>
      <c r="AJ57" s="21">
        <v>47</v>
      </c>
      <c r="AK57" s="21">
        <v>0.13613900000000001</v>
      </c>
      <c r="AL57">
        <f t="shared" si="6"/>
        <v>18.585555555555555</v>
      </c>
      <c r="AM57">
        <f t="shared" si="7"/>
        <v>2.5409985700000002</v>
      </c>
      <c r="AP57" s="9"/>
      <c r="AQ57" s="21">
        <v>1.5833999999999999</v>
      </c>
      <c r="AR57" s="21">
        <v>24.351099999999999</v>
      </c>
      <c r="AS57" s="21">
        <v>-1.32111E-2</v>
      </c>
      <c r="AT57" s="21">
        <v>47</v>
      </c>
      <c r="AU57" s="21">
        <v>1.58264</v>
      </c>
      <c r="AV57">
        <f t="shared" si="8"/>
        <v>16.309999999999999</v>
      </c>
      <c r="AW57">
        <f t="shared" si="9"/>
        <v>25.825253999999997</v>
      </c>
      <c r="AX57" s="9"/>
      <c r="AY57" s="21">
        <v>0.13671900000000001</v>
      </c>
      <c r="AZ57" s="21">
        <v>28.210599999999999</v>
      </c>
      <c r="BA57" s="21">
        <v>-1.5036000000000001E-2</v>
      </c>
      <c r="BB57" s="21">
        <v>47</v>
      </c>
      <c r="BC57" s="21">
        <v>0.13619999999999999</v>
      </c>
      <c r="BD57">
        <f t="shared" si="10"/>
        <v>18.562962962962963</v>
      </c>
      <c r="BE57">
        <f t="shared" si="11"/>
        <v>2.5379097333333336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1.5783700000000001</v>
      </c>
      <c r="H58" s="21">
        <v>5.5617299999999998</v>
      </c>
      <c r="I58" s="21">
        <v>-1.34094E-2</v>
      </c>
      <c r="J58" s="21">
        <v>48</v>
      </c>
      <c r="K58" s="21">
        <v>1.57745</v>
      </c>
      <c r="L58">
        <f t="shared" si="0"/>
        <v>16.554814814814815</v>
      </c>
      <c r="M58">
        <f t="shared" si="1"/>
        <v>26.129623059259259</v>
      </c>
      <c r="N58" s="9"/>
      <c r="O58" s="21">
        <v>0.14175399999999999</v>
      </c>
      <c r="P58" s="21">
        <v>9.4212100000000003</v>
      </c>
      <c r="Q58" s="21">
        <v>-1.49628E-2</v>
      </c>
      <c r="R58" s="21">
        <v>48</v>
      </c>
      <c r="S58" s="21">
        <v>0.14117399999999999</v>
      </c>
      <c r="T58">
        <f t="shared" si="2"/>
        <v>18.472592592592594</v>
      </c>
      <c r="U58">
        <f t="shared" si="3"/>
        <v>2.6185638903703703</v>
      </c>
      <c r="X58" s="9"/>
      <c r="Y58" s="21">
        <v>1.5783700000000001</v>
      </c>
      <c r="Z58" s="21">
        <v>14.976900000000001</v>
      </c>
      <c r="AA58" s="21">
        <v>-1.3247699999999999E-2</v>
      </c>
      <c r="AB58" s="21">
        <v>48</v>
      </c>
      <c r="AC58" s="21">
        <v>1.57745</v>
      </c>
      <c r="AD58">
        <f t="shared" si="4"/>
        <v>16.355185185185185</v>
      </c>
      <c r="AE58">
        <f t="shared" si="5"/>
        <v>25.814533640740741</v>
      </c>
      <c r="AF58" s="9"/>
      <c r="AG58" s="21">
        <v>0.14175399999999999</v>
      </c>
      <c r="AH58" s="21">
        <v>18.836400000000001</v>
      </c>
      <c r="AI58" s="21">
        <v>-1.5042099999999999E-2</v>
      </c>
      <c r="AJ58" s="21">
        <v>48</v>
      </c>
      <c r="AK58" s="21">
        <v>0.14114399999999999</v>
      </c>
      <c r="AL58">
        <f t="shared" si="6"/>
        <v>18.570493827160494</v>
      </c>
      <c r="AM58">
        <f t="shared" si="7"/>
        <v>2.6324417819753085</v>
      </c>
      <c r="AP58" s="9"/>
      <c r="AQ58" s="21">
        <v>1.5783700000000001</v>
      </c>
      <c r="AR58" s="21">
        <v>24.3612</v>
      </c>
      <c r="AS58" s="21">
        <v>-1.3284300000000001E-2</v>
      </c>
      <c r="AT58" s="21">
        <v>48</v>
      </c>
      <c r="AU58" s="21">
        <v>1.57745</v>
      </c>
      <c r="AV58">
        <f t="shared" si="8"/>
        <v>16.400370370370371</v>
      </c>
      <c r="AW58">
        <f t="shared" si="9"/>
        <v>25.885852581481483</v>
      </c>
      <c r="AX58" s="9"/>
      <c r="AY58" s="21">
        <v>0.14175399999999999</v>
      </c>
      <c r="AZ58" s="21">
        <v>28.220700000000001</v>
      </c>
      <c r="BA58" s="21">
        <v>-1.5026899999999999E-2</v>
      </c>
      <c r="BB58" s="21">
        <v>48</v>
      </c>
      <c r="BC58" s="21">
        <v>0.14114399999999999</v>
      </c>
      <c r="BD58">
        <f t="shared" si="10"/>
        <v>18.551728395061726</v>
      </c>
      <c r="BE58">
        <f t="shared" si="11"/>
        <v>2.6297817069135796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1.5733299999999999</v>
      </c>
      <c r="H59" s="21">
        <v>5.5717999999999996</v>
      </c>
      <c r="I59" s="21">
        <v>-1.34705E-2</v>
      </c>
      <c r="J59" s="21">
        <v>49</v>
      </c>
      <c r="K59" s="21">
        <v>1.57257</v>
      </c>
      <c r="L59">
        <f t="shared" si="0"/>
        <v>16.630246913580244</v>
      </c>
      <c r="M59">
        <f t="shared" si="1"/>
        <v>26.164866376543202</v>
      </c>
      <c r="N59" s="9"/>
      <c r="O59" s="21">
        <v>0.14679</v>
      </c>
      <c r="P59" s="21">
        <v>9.4312799999999992</v>
      </c>
      <c r="Q59" s="21">
        <v>-1.49689E-2</v>
      </c>
      <c r="R59" s="21">
        <v>49</v>
      </c>
      <c r="S59" s="21">
        <v>0.14627100000000001</v>
      </c>
      <c r="T59">
        <f t="shared" si="2"/>
        <v>18.480123456790125</v>
      </c>
      <c r="U59">
        <f t="shared" si="3"/>
        <v>2.7126973222222226</v>
      </c>
      <c r="X59" s="9"/>
      <c r="Y59" s="21">
        <v>1.5733299999999999</v>
      </c>
      <c r="Z59" s="21">
        <v>14.987</v>
      </c>
      <c r="AA59" s="21">
        <v>-1.33148E-2</v>
      </c>
      <c r="AB59" s="21">
        <v>49</v>
      </c>
      <c r="AC59" s="21">
        <v>1.5728800000000001</v>
      </c>
      <c r="AD59">
        <f t="shared" si="4"/>
        <v>16.438024691358024</v>
      </c>
      <c r="AE59">
        <f t="shared" si="5"/>
        <v>25.862437387654317</v>
      </c>
      <c r="AF59" s="9"/>
      <c r="AG59" s="21">
        <v>0.14679</v>
      </c>
      <c r="AH59" s="21">
        <v>18.846499999999999</v>
      </c>
      <c r="AI59" s="21">
        <v>-1.5020800000000001E-2</v>
      </c>
      <c r="AJ59" s="21">
        <v>49</v>
      </c>
      <c r="AK59" s="21">
        <v>0.14627100000000001</v>
      </c>
      <c r="AL59">
        <f t="shared" si="6"/>
        <v>18.544197530864199</v>
      </c>
      <c r="AM59">
        <f t="shared" si="7"/>
        <v>2.7221027555555559</v>
      </c>
      <c r="AP59" s="9"/>
      <c r="AQ59" s="21">
        <v>1.5733299999999999</v>
      </c>
      <c r="AR59" s="21">
        <v>24.371200000000002</v>
      </c>
      <c r="AS59" s="21">
        <v>-1.3351399999999999E-2</v>
      </c>
      <c r="AT59" s="21">
        <v>49</v>
      </c>
      <c r="AU59" s="21">
        <v>1.5722700000000001</v>
      </c>
      <c r="AV59">
        <f t="shared" si="8"/>
        <v>16.483209876543206</v>
      </c>
      <c r="AW59">
        <f t="shared" si="9"/>
        <v>25.93352859506172</v>
      </c>
      <c r="AX59" s="9"/>
      <c r="AY59" s="21">
        <v>0.14679</v>
      </c>
      <c r="AZ59" s="21">
        <v>28.230699999999999</v>
      </c>
      <c r="BA59" s="21">
        <v>-1.5020800000000001E-2</v>
      </c>
      <c r="BB59" s="21">
        <v>49</v>
      </c>
      <c r="BC59" s="21">
        <v>0.14630099999999999</v>
      </c>
      <c r="BD59">
        <f t="shared" si="10"/>
        <v>18.544197530864199</v>
      </c>
      <c r="BE59">
        <f t="shared" si="11"/>
        <v>2.7221027555555559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1.5683</v>
      </c>
      <c r="H60" s="21">
        <v>5.5818700000000003</v>
      </c>
      <c r="I60" s="21">
        <v>-1.35254E-2</v>
      </c>
      <c r="J60" s="21">
        <v>50</v>
      </c>
      <c r="K60" s="21">
        <v>1.56799</v>
      </c>
      <c r="L60">
        <f t="shared" si="0"/>
        <v>16.698024691358025</v>
      </c>
      <c r="M60">
        <f t="shared" si="1"/>
        <v>26.187512123456791</v>
      </c>
      <c r="N60" s="9"/>
      <c r="O60" s="21">
        <v>0.15182499999999999</v>
      </c>
      <c r="P60" s="21">
        <v>9.4413499999999999</v>
      </c>
      <c r="Q60" s="21">
        <v>-1.49689E-2</v>
      </c>
      <c r="R60" s="21">
        <v>50</v>
      </c>
      <c r="S60" s="21">
        <v>0.15127599999999999</v>
      </c>
      <c r="T60">
        <f t="shared" si="2"/>
        <v>18.480123456790125</v>
      </c>
      <c r="U60">
        <f t="shared" si="3"/>
        <v>2.8057447438271605</v>
      </c>
      <c r="X60" s="9"/>
      <c r="Y60" s="21">
        <v>1.5683</v>
      </c>
      <c r="Z60" s="21">
        <v>14.9971</v>
      </c>
      <c r="AA60" s="21">
        <v>-1.33759E-2</v>
      </c>
      <c r="AB60" s="21">
        <v>50</v>
      </c>
      <c r="AC60" s="21">
        <v>1.56799</v>
      </c>
      <c r="AD60">
        <f t="shared" si="4"/>
        <v>16.513456790123456</v>
      </c>
      <c r="AE60">
        <f t="shared" si="5"/>
        <v>25.898054283950618</v>
      </c>
      <c r="AF60" s="9"/>
      <c r="AG60" s="21">
        <v>0.15182499999999999</v>
      </c>
      <c r="AH60" s="21">
        <v>18.8566</v>
      </c>
      <c r="AI60" s="21">
        <v>-1.5008499999999999E-2</v>
      </c>
      <c r="AJ60" s="21">
        <v>50</v>
      </c>
      <c r="AK60" s="21">
        <v>0.151367</v>
      </c>
      <c r="AL60">
        <f t="shared" si="6"/>
        <v>18.529012345679011</v>
      </c>
      <c r="AM60">
        <f t="shared" si="7"/>
        <v>2.8131672993827155</v>
      </c>
      <c r="AP60" s="9"/>
      <c r="AQ60" s="21">
        <v>1.5683</v>
      </c>
      <c r="AR60" s="21">
        <v>24.3813</v>
      </c>
      <c r="AS60" s="21">
        <v>-1.3412500000000001E-2</v>
      </c>
      <c r="AT60" s="21">
        <v>50</v>
      </c>
      <c r="AU60" s="21">
        <v>1.56769</v>
      </c>
      <c r="AV60">
        <f t="shared" si="8"/>
        <v>16.558641975308642</v>
      </c>
      <c r="AW60">
        <f t="shared" si="9"/>
        <v>25.968918209876545</v>
      </c>
      <c r="AX60" s="9"/>
      <c r="AY60" s="21">
        <v>0.15182499999999999</v>
      </c>
      <c r="AZ60" s="21">
        <v>28.2408</v>
      </c>
      <c r="BA60" s="21">
        <v>-1.50116E-2</v>
      </c>
      <c r="BB60" s="21">
        <v>50</v>
      </c>
      <c r="BC60" s="21">
        <v>0.15127599999999999</v>
      </c>
      <c r="BD60">
        <f t="shared" si="10"/>
        <v>18.532839506172838</v>
      </c>
      <c r="BE60">
        <f t="shared" si="11"/>
        <v>2.8137483580246907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1.5632600000000001</v>
      </c>
      <c r="H61" s="21">
        <v>5.5919400000000001</v>
      </c>
      <c r="I61" s="21">
        <v>-1.35773E-2</v>
      </c>
      <c r="J61" s="21">
        <v>51</v>
      </c>
      <c r="K61" s="21">
        <v>1.5625</v>
      </c>
      <c r="L61">
        <f t="shared" si="0"/>
        <v>16.7620987654321</v>
      </c>
      <c r="M61">
        <f t="shared" si="1"/>
        <v>26.203518516049385</v>
      </c>
      <c r="N61" s="9"/>
      <c r="O61" s="21">
        <v>0.15686</v>
      </c>
      <c r="P61" s="21">
        <v>9.4514200000000006</v>
      </c>
      <c r="Q61" s="21">
        <v>-1.49719E-2</v>
      </c>
      <c r="R61" s="21">
        <v>51</v>
      </c>
      <c r="S61" s="21">
        <v>0.15634200000000001</v>
      </c>
      <c r="T61">
        <f t="shared" si="2"/>
        <v>18.483827160493824</v>
      </c>
      <c r="U61">
        <f t="shared" si="3"/>
        <v>2.8993731283950614</v>
      </c>
      <c r="X61" s="9"/>
      <c r="Y61" s="21">
        <v>1.5632600000000001</v>
      </c>
      <c r="Z61" s="21">
        <v>15.007199999999999</v>
      </c>
      <c r="AA61" s="21">
        <v>-1.3433799999999999E-2</v>
      </c>
      <c r="AB61" s="21">
        <v>51</v>
      </c>
      <c r="AC61" s="21">
        <v>1.5625</v>
      </c>
      <c r="AD61">
        <f t="shared" si="4"/>
        <v>16.584938271604937</v>
      </c>
      <c r="AE61">
        <f t="shared" si="5"/>
        <v>25.926570602469134</v>
      </c>
      <c r="AF61" s="9"/>
      <c r="AG61" s="21">
        <v>0.15686</v>
      </c>
      <c r="AH61" s="21">
        <v>18.866599999999998</v>
      </c>
      <c r="AI61" s="21">
        <v>-1.5014599999999999E-2</v>
      </c>
      <c r="AJ61" s="21">
        <v>51</v>
      </c>
      <c r="AK61" s="21">
        <v>0.15631100000000001</v>
      </c>
      <c r="AL61">
        <f t="shared" si="6"/>
        <v>18.536543209876541</v>
      </c>
      <c r="AM61">
        <f t="shared" si="7"/>
        <v>2.9076421679012343</v>
      </c>
      <c r="AP61" s="9"/>
      <c r="AQ61" s="21">
        <v>1.5632600000000001</v>
      </c>
      <c r="AR61" s="21">
        <v>24.391400000000001</v>
      </c>
      <c r="AS61" s="21">
        <v>-1.3467399999999999E-2</v>
      </c>
      <c r="AT61" s="21">
        <v>51</v>
      </c>
      <c r="AU61" s="21">
        <v>1.56281</v>
      </c>
      <c r="AV61">
        <f t="shared" si="8"/>
        <v>16.626419753086417</v>
      </c>
      <c r="AW61">
        <f t="shared" si="9"/>
        <v>25.991416943209874</v>
      </c>
      <c r="AX61" s="9"/>
      <c r="AY61" s="21">
        <v>0.15686</v>
      </c>
      <c r="AZ61" s="21">
        <v>28.250900000000001</v>
      </c>
      <c r="BA61" s="21">
        <v>-1.5002400000000001E-2</v>
      </c>
      <c r="BB61" s="21">
        <v>51</v>
      </c>
      <c r="BC61" s="21">
        <v>0.15634200000000001</v>
      </c>
      <c r="BD61">
        <f t="shared" si="10"/>
        <v>18.521481481481484</v>
      </c>
      <c r="BE61">
        <f t="shared" si="11"/>
        <v>2.9052795851851854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1.55823</v>
      </c>
      <c r="H62" s="21">
        <v>5.6020099999999999</v>
      </c>
      <c r="I62" s="21">
        <v>-1.3623E-2</v>
      </c>
      <c r="J62" s="21">
        <v>52</v>
      </c>
      <c r="K62" s="21">
        <v>1.55823</v>
      </c>
      <c r="L62">
        <f t="shared" si="0"/>
        <v>16.818518518518516</v>
      </c>
      <c r="M62">
        <f t="shared" si="1"/>
        <v>26.207120111111106</v>
      </c>
      <c r="N62" s="9"/>
      <c r="O62" s="21">
        <v>0.16189600000000001</v>
      </c>
      <c r="P62" s="21">
        <v>9.4614899999999995</v>
      </c>
      <c r="Q62" s="21">
        <v>-1.49689E-2</v>
      </c>
      <c r="R62" s="21">
        <v>52</v>
      </c>
      <c r="S62" s="21">
        <v>0.16128500000000001</v>
      </c>
      <c r="T62">
        <f t="shared" si="2"/>
        <v>18.480123456790125</v>
      </c>
      <c r="U62">
        <f t="shared" si="3"/>
        <v>2.9918580671604942</v>
      </c>
      <c r="X62" s="9"/>
      <c r="Y62" s="21">
        <v>1.55823</v>
      </c>
      <c r="Z62" s="21">
        <v>15.017200000000001</v>
      </c>
      <c r="AA62" s="21">
        <v>-1.3494900000000001E-2</v>
      </c>
      <c r="AB62" s="21">
        <v>52</v>
      </c>
      <c r="AC62" s="21">
        <v>1.55762</v>
      </c>
      <c r="AD62">
        <f t="shared" si="4"/>
        <v>16.660370370370369</v>
      </c>
      <c r="AE62">
        <f t="shared" si="5"/>
        <v>25.960688922222221</v>
      </c>
      <c r="AF62" s="9"/>
      <c r="AG62" s="21">
        <v>0.16189600000000001</v>
      </c>
      <c r="AH62" s="21">
        <v>18.8767</v>
      </c>
      <c r="AI62" s="21">
        <v>-1.50177E-2</v>
      </c>
      <c r="AJ62" s="21">
        <v>52</v>
      </c>
      <c r="AK62" s="21">
        <v>0.16128500000000001</v>
      </c>
      <c r="AL62">
        <f t="shared" si="6"/>
        <v>18.540370370370372</v>
      </c>
      <c r="AM62">
        <f t="shared" si="7"/>
        <v>3.0016118014814821</v>
      </c>
      <c r="AP62" s="9"/>
      <c r="AQ62" s="21">
        <v>1.55823</v>
      </c>
      <c r="AR62" s="21">
        <v>24.401499999999999</v>
      </c>
      <c r="AS62" s="21">
        <v>-1.35193E-2</v>
      </c>
      <c r="AT62" s="21">
        <v>52</v>
      </c>
      <c r="AU62" s="21">
        <v>1.55731</v>
      </c>
      <c r="AV62">
        <f t="shared" si="8"/>
        <v>16.690493827160495</v>
      </c>
      <c r="AW62">
        <f t="shared" si="9"/>
        <v>26.007628196296299</v>
      </c>
      <c r="AX62" s="9"/>
      <c r="AY62" s="21">
        <v>0.16189600000000001</v>
      </c>
      <c r="AZ62" s="21">
        <v>28.260899999999999</v>
      </c>
      <c r="BA62" s="21">
        <v>-1.49994E-2</v>
      </c>
      <c r="BB62" s="21">
        <v>52</v>
      </c>
      <c r="BC62" s="21">
        <v>0.16122400000000001</v>
      </c>
      <c r="BD62">
        <f t="shared" si="10"/>
        <v>18.517777777777777</v>
      </c>
      <c r="BE62">
        <f t="shared" si="11"/>
        <v>2.9979541511111112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1.5531900000000001</v>
      </c>
      <c r="H63" s="21">
        <v>5.6120900000000002</v>
      </c>
      <c r="I63" s="21">
        <v>-1.3665800000000001E-2</v>
      </c>
      <c r="J63" s="21">
        <v>53</v>
      </c>
      <c r="K63" s="21">
        <v>1.55243</v>
      </c>
      <c r="L63">
        <f t="shared" si="0"/>
        <v>16.871358024691357</v>
      </c>
      <c r="M63">
        <f t="shared" si="1"/>
        <v>26.204424570370371</v>
      </c>
      <c r="N63" s="9"/>
      <c r="O63" s="21">
        <v>0.166931</v>
      </c>
      <c r="P63" s="21">
        <v>9.4715600000000002</v>
      </c>
      <c r="Q63" s="21">
        <v>-1.49658E-2</v>
      </c>
      <c r="R63" s="21">
        <v>53</v>
      </c>
      <c r="S63" s="21">
        <v>0.166351</v>
      </c>
      <c r="T63">
        <f t="shared" si="2"/>
        <v>18.476296296296297</v>
      </c>
      <c r="U63">
        <f t="shared" si="3"/>
        <v>3.084266617037037</v>
      </c>
      <c r="X63" s="9"/>
      <c r="Y63" s="21">
        <v>1.5531900000000001</v>
      </c>
      <c r="Z63" s="21">
        <v>15.0273</v>
      </c>
      <c r="AA63" s="21">
        <v>-1.3546799999999999E-2</v>
      </c>
      <c r="AB63" s="21">
        <v>53</v>
      </c>
      <c r="AC63" s="21">
        <v>1.5527299999999999</v>
      </c>
      <c r="AD63">
        <f t="shared" si="4"/>
        <v>16.72444444444444</v>
      </c>
      <c r="AE63">
        <f t="shared" si="5"/>
        <v>25.976239866666663</v>
      </c>
      <c r="AF63" s="9"/>
      <c r="AG63" s="21">
        <v>0.166931</v>
      </c>
      <c r="AH63" s="21">
        <v>18.886800000000001</v>
      </c>
      <c r="AI63" s="21">
        <v>-1.5014599999999999E-2</v>
      </c>
      <c r="AJ63" s="21">
        <v>53</v>
      </c>
      <c r="AK63" s="21">
        <v>0.166321</v>
      </c>
      <c r="AL63">
        <f t="shared" si="6"/>
        <v>18.536543209876541</v>
      </c>
      <c r="AM63">
        <f t="shared" si="7"/>
        <v>3.0943236945679007</v>
      </c>
      <c r="AP63" s="9"/>
      <c r="AQ63" s="21">
        <v>1.5531900000000001</v>
      </c>
      <c r="AR63" s="21">
        <v>24.4115</v>
      </c>
      <c r="AS63" s="21">
        <v>-1.35773E-2</v>
      </c>
      <c r="AT63" s="21">
        <v>53</v>
      </c>
      <c r="AU63" s="21">
        <v>1.5527299999999999</v>
      </c>
      <c r="AV63">
        <f t="shared" si="8"/>
        <v>16.7620987654321</v>
      </c>
      <c r="AW63">
        <f t="shared" si="9"/>
        <v>26.034724181481483</v>
      </c>
      <c r="AX63" s="9"/>
      <c r="AY63" s="21">
        <v>0.166931</v>
      </c>
      <c r="AZ63" s="21">
        <v>28.271000000000001</v>
      </c>
      <c r="BA63" s="21">
        <v>-1.49994E-2</v>
      </c>
      <c r="BB63" s="21">
        <v>53</v>
      </c>
      <c r="BC63" s="21">
        <v>0.16653399999999999</v>
      </c>
      <c r="BD63">
        <f t="shared" si="10"/>
        <v>18.517777777777777</v>
      </c>
      <c r="BE63">
        <f t="shared" si="11"/>
        <v>3.0911911622222221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1.54816</v>
      </c>
      <c r="H64" s="21">
        <v>5.62216</v>
      </c>
      <c r="I64" s="21">
        <v>-1.37024E-2</v>
      </c>
      <c r="J64" s="21">
        <v>54</v>
      </c>
      <c r="K64" s="21">
        <v>1.5472399999999999</v>
      </c>
      <c r="L64">
        <f t="shared" si="0"/>
        <v>16.916543209876544</v>
      </c>
      <c r="M64">
        <f t="shared" si="1"/>
        <v>26.189515535802471</v>
      </c>
      <c r="N64" s="9"/>
      <c r="O64" s="21">
        <v>0.17196700000000001</v>
      </c>
      <c r="P64" s="21">
        <v>9.4816299999999991</v>
      </c>
      <c r="Q64" s="21">
        <v>-1.49689E-2</v>
      </c>
      <c r="R64" s="21">
        <v>54</v>
      </c>
      <c r="S64" s="21">
        <v>0.17141700000000001</v>
      </c>
      <c r="T64">
        <f t="shared" si="2"/>
        <v>18.480123456790125</v>
      </c>
      <c r="U64">
        <f t="shared" si="3"/>
        <v>3.1779713904938274</v>
      </c>
      <c r="X64" s="9"/>
      <c r="Y64" s="21">
        <v>1.54816</v>
      </c>
      <c r="Z64" s="21">
        <v>15.0374</v>
      </c>
      <c r="AA64" s="21">
        <v>-1.3595599999999999E-2</v>
      </c>
      <c r="AB64" s="21">
        <v>54</v>
      </c>
      <c r="AC64" s="21">
        <v>1.5472399999999999</v>
      </c>
      <c r="AD64">
        <f t="shared" si="4"/>
        <v>16.784691358024691</v>
      </c>
      <c r="AE64">
        <f t="shared" si="5"/>
        <v>25.985387772839506</v>
      </c>
      <c r="AF64" s="9"/>
      <c r="AG64" s="21">
        <v>0.17196700000000001</v>
      </c>
      <c r="AH64" s="21">
        <v>18.896799999999999</v>
      </c>
      <c r="AI64" s="21">
        <v>-1.50055E-2</v>
      </c>
      <c r="AJ64" s="21">
        <v>54</v>
      </c>
      <c r="AK64" s="21">
        <v>0.17144799999999999</v>
      </c>
      <c r="AL64">
        <f t="shared" si="6"/>
        <v>18.525308641975307</v>
      </c>
      <c r="AM64">
        <f t="shared" si="7"/>
        <v>3.185741751234568</v>
      </c>
      <c r="AP64" s="9"/>
      <c r="AQ64" s="21">
        <v>1.54816</v>
      </c>
      <c r="AR64" s="21">
        <v>24.421600000000002</v>
      </c>
      <c r="AS64" s="21">
        <v>-1.3629199999999999E-2</v>
      </c>
      <c r="AT64" s="21">
        <v>54</v>
      </c>
      <c r="AU64" s="21">
        <v>1.5478499999999999</v>
      </c>
      <c r="AV64">
        <f t="shared" si="8"/>
        <v>16.826172839506171</v>
      </c>
      <c r="AW64">
        <f t="shared" si="9"/>
        <v>26.049607743209872</v>
      </c>
      <c r="AX64" s="9"/>
      <c r="AY64" s="21">
        <v>0.17196700000000001</v>
      </c>
      <c r="AZ64" s="21">
        <v>28.281099999999999</v>
      </c>
      <c r="BA64" s="21">
        <v>-1.4993299999999999E-2</v>
      </c>
      <c r="BB64" s="21">
        <v>54</v>
      </c>
      <c r="BC64" s="21">
        <v>0.17138700000000001</v>
      </c>
      <c r="BD64">
        <f t="shared" si="10"/>
        <v>18.510246913580243</v>
      </c>
      <c r="BE64">
        <f t="shared" si="11"/>
        <v>3.1831516309876537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1.54312</v>
      </c>
      <c r="H65" s="21">
        <v>5.6322299999999998</v>
      </c>
      <c r="I65" s="21">
        <v>-1.3732899999999999E-2</v>
      </c>
      <c r="J65" s="21">
        <v>55</v>
      </c>
      <c r="K65" s="21">
        <v>1.5426599999999999</v>
      </c>
      <c r="L65">
        <f t="shared" si="0"/>
        <v>16.954197530864196</v>
      </c>
      <c r="M65">
        <f t="shared" si="1"/>
        <v>26.162361293827157</v>
      </c>
      <c r="N65" s="9"/>
      <c r="O65" s="21">
        <v>0.17700199999999999</v>
      </c>
      <c r="P65" s="21">
        <v>9.4916999999999998</v>
      </c>
      <c r="Q65" s="21">
        <v>-1.49719E-2</v>
      </c>
      <c r="R65" s="21">
        <v>55</v>
      </c>
      <c r="S65" s="21">
        <v>0.176514</v>
      </c>
      <c r="T65">
        <f t="shared" si="2"/>
        <v>18.483827160493824</v>
      </c>
      <c r="U65">
        <f t="shared" si="3"/>
        <v>3.2716743750617279</v>
      </c>
      <c r="X65" s="9"/>
      <c r="Y65" s="21">
        <v>1.54312</v>
      </c>
      <c r="Z65" s="21">
        <v>15.0474</v>
      </c>
      <c r="AA65" s="21">
        <v>-1.3632200000000001E-2</v>
      </c>
      <c r="AB65" s="21">
        <v>55</v>
      </c>
      <c r="AC65" s="21">
        <v>1.54236</v>
      </c>
      <c r="AD65">
        <f t="shared" si="4"/>
        <v>16.829876543209878</v>
      </c>
      <c r="AE65">
        <f t="shared" si="5"/>
        <v>25.970519091358028</v>
      </c>
      <c r="AF65" s="9"/>
      <c r="AG65" s="21">
        <v>0.17700199999999999</v>
      </c>
      <c r="AH65" s="21">
        <v>18.9069</v>
      </c>
      <c r="AI65" s="21">
        <v>-1.49994E-2</v>
      </c>
      <c r="AJ65" s="21">
        <v>55</v>
      </c>
      <c r="AK65" s="21">
        <v>0.176453</v>
      </c>
      <c r="AL65">
        <f t="shared" si="6"/>
        <v>18.517777777777777</v>
      </c>
      <c r="AM65">
        <f t="shared" si="7"/>
        <v>3.2776837022222218</v>
      </c>
      <c r="AP65" s="9"/>
      <c r="AQ65" s="21">
        <v>1.54312</v>
      </c>
      <c r="AR65" s="21">
        <v>24.431699999999999</v>
      </c>
      <c r="AS65" s="21">
        <v>-1.3677999999999999E-2</v>
      </c>
      <c r="AT65" s="21">
        <v>55</v>
      </c>
      <c r="AU65" s="21">
        <v>1.54236</v>
      </c>
      <c r="AV65">
        <f t="shared" si="8"/>
        <v>16.886419753086418</v>
      </c>
      <c r="AW65">
        <f t="shared" si="9"/>
        <v>26.057772049382713</v>
      </c>
      <c r="AX65" s="9"/>
      <c r="AY65" s="21">
        <v>0.17700199999999999</v>
      </c>
      <c r="AZ65" s="21">
        <v>28.2911</v>
      </c>
      <c r="BA65" s="21">
        <v>-1.49841E-2</v>
      </c>
      <c r="BB65" s="21">
        <v>55</v>
      </c>
      <c r="BC65" s="21">
        <v>0.17660500000000001</v>
      </c>
      <c r="BD65">
        <f t="shared" si="10"/>
        <v>18.498888888888889</v>
      </c>
      <c r="BE65">
        <f t="shared" si="11"/>
        <v>3.274340331111111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1.53809</v>
      </c>
      <c r="H66" s="21">
        <v>5.6422999999999996</v>
      </c>
      <c r="I66" s="21">
        <v>-1.37695E-2</v>
      </c>
      <c r="J66" s="21">
        <v>56</v>
      </c>
      <c r="K66" s="21">
        <v>1.5371699999999999</v>
      </c>
      <c r="L66">
        <f t="shared" si="0"/>
        <v>16.999382716049382</v>
      </c>
      <c r="M66">
        <f t="shared" si="1"/>
        <v>26.146580561728392</v>
      </c>
      <c r="N66" s="9"/>
      <c r="O66" s="21">
        <v>0.182037</v>
      </c>
      <c r="P66" s="21">
        <v>9.5017700000000005</v>
      </c>
      <c r="Q66" s="21">
        <v>-1.49719E-2</v>
      </c>
      <c r="R66" s="21">
        <v>56</v>
      </c>
      <c r="S66" s="21">
        <v>0.18145800000000001</v>
      </c>
      <c r="T66">
        <f t="shared" si="2"/>
        <v>18.483827160493824</v>
      </c>
      <c r="U66">
        <f t="shared" si="3"/>
        <v>3.3647404448148142</v>
      </c>
      <c r="X66" s="9"/>
      <c r="Y66" s="21">
        <v>1.53809</v>
      </c>
      <c r="Z66" s="21">
        <v>15.057499999999999</v>
      </c>
      <c r="AA66" s="21">
        <v>-1.3665800000000001E-2</v>
      </c>
      <c r="AB66" s="21">
        <v>56</v>
      </c>
      <c r="AC66" s="21">
        <v>1.5377799999999999</v>
      </c>
      <c r="AD66">
        <f t="shared" si="4"/>
        <v>16.871358024691357</v>
      </c>
      <c r="AE66">
        <f t="shared" si="5"/>
        <v>25.949667064197531</v>
      </c>
      <c r="AF66" s="9"/>
      <c r="AG66" s="21">
        <v>0.182037</v>
      </c>
      <c r="AH66" s="21">
        <v>18.917000000000002</v>
      </c>
      <c r="AI66" s="21">
        <v>-1.4993299999999999E-2</v>
      </c>
      <c r="AJ66" s="21">
        <v>56</v>
      </c>
      <c r="AK66" s="21">
        <v>0.181366</v>
      </c>
      <c r="AL66">
        <f t="shared" si="6"/>
        <v>18.510246913580243</v>
      </c>
      <c r="AM66">
        <f t="shared" si="7"/>
        <v>3.3695498174074068</v>
      </c>
      <c r="AP66" s="9"/>
      <c r="AQ66" s="21">
        <v>1.53809</v>
      </c>
      <c r="AR66" s="21">
        <v>24.441700000000001</v>
      </c>
      <c r="AS66" s="21">
        <v>-1.37238E-2</v>
      </c>
      <c r="AT66" s="21">
        <v>56</v>
      </c>
      <c r="AU66" s="21">
        <v>1.5377799999999999</v>
      </c>
      <c r="AV66">
        <f t="shared" si="8"/>
        <v>16.942962962962962</v>
      </c>
      <c r="AW66">
        <f t="shared" si="9"/>
        <v>26.059801903703701</v>
      </c>
      <c r="AX66" s="9"/>
      <c r="AY66" s="21">
        <v>0.182037</v>
      </c>
      <c r="AZ66" s="21">
        <v>28.301200000000001</v>
      </c>
      <c r="BA66" s="21">
        <v>-1.4975E-2</v>
      </c>
      <c r="BB66" s="21">
        <v>56</v>
      </c>
      <c r="BC66" s="21">
        <v>0.181366</v>
      </c>
      <c r="BD66">
        <f t="shared" si="10"/>
        <v>18.487654320987652</v>
      </c>
      <c r="BE66">
        <f t="shared" si="11"/>
        <v>3.3654371296296293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1.53305</v>
      </c>
      <c r="H67" s="21">
        <v>5.6523700000000003</v>
      </c>
      <c r="I67" s="21">
        <v>-1.38031E-2</v>
      </c>
      <c r="J67" s="21">
        <v>57</v>
      </c>
      <c r="K67" s="21">
        <v>1.5322899999999999</v>
      </c>
      <c r="L67">
        <f t="shared" si="0"/>
        <v>17.040864197530862</v>
      </c>
      <c r="M67">
        <f t="shared" si="1"/>
        <v>26.124496858024688</v>
      </c>
      <c r="N67" s="9"/>
      <c r="O67" s="21">
        <v>0.18707299999999999</v>
      </c>
      <c r="P67" s="21">
        <v>9.5118500000000008</v>
      </c>
      <c r="Q67" s="21">
        <v>-1.4981100000000001E-2</v>
      </c>
      <c r="R67" s="21">
        <v>57</v>
      </c>
      <c r="S67" s="21">
        <v>0.18652299999999999</v>
      </c>
      <c r="T67">
        <f t="shared" si="2"/>
        <v>18.495185185185186</v>
      </c>
      <c r="U67">
        <f t="shared" si="3"/>
        <v>3.4599497781481481</v>
      </c>
      <c r="X67" s="9"/>
      <c r="Y67" s="21">
        <v>1.53305</v>
      </c>
      <c r="Z67" s="21">
        <v>15.067600000000001</v>
      </c>
      <c r="AA67" s="21">
        <v>-1.37054E-2</v>
      </c>
      <c r="AB67" s="21">
        <v>57</v>
      </c>
      <c r="AC67" s="21">
        <v>1.5325899999999999</v>
      </c>
      <c r="AD67">
        <f t="shared" si="4"/>
        <v>16.920246913580247</v>
      </c>
      <c r="AE67">
        <f t="shared" si="5"/>
        <v>25.939584530864199</v>
      </c>
      <c r="AF67" s="9"/>
      <c r="AG67" s="21">
        <v>0.18707299999999999</v>
      </c>
      <c r="AH67" s="21">
        <v>18.927099999999999</v>
      </c>
      <c r="AI67" s="21">
        <v>-1.49902E-2</v>
      </c>
      <c r="AJ67" s="21">
        <v>57</v>
      </c>
      <c r="AK67" s="21">
        <v>0.18649299999999999</v>
      </c>
      <c r="AL67">
        <f t="shared" si="6"/>
        <v>18.506419753086419</v>
      </c>
      <c r="AM67">
        <f t="shared" si="7"/>
        <v>3.4620514624691356</v>
      </c>
      <c r="AP67" s="9"/>
      <c r="AQ67" s="21">
        <v>1.53305</v>
      </c>
      <c r="AR67" s="21">
        <v>24.451799999999999</v>
      </c>
      <c r="AS67" s="21">
        <v>-1.37634E-2</v>
      </c>
      <c r="AT67" s="21">
        <v>57</v>
      </c>
      <c r="AU67" s="21">
        <v>1.5322899999999999</v>
      </c>
      <c r="AV67">
        <f t="shared" si="8"/>
        <v>16.991851851851852</v>
      </c>
      <c r="AW67">
        <f t="shared" si="9"/>
        <v>26.04935848148148</v>
      </c>
      <c r="AX67" s="9"/>
      <c r="AY67" s="21">
        <v>0.18707299999999999</v>
      </c>
      <c r="AZ67" s="21">
        <v>28.311299999999999</v>
      </c>
      <c r="BA67" s="21">
        <v>-1.49658E-2</v>
      </c>
      <c r="BB67" s="21">
        <v>57</v>
      </c>
      <c r="BC67" s="21">
        <v>0.18646199999999999</v>
      </c>
      <c r="BD67">
        <f t="shared" si="10"/>
        <v>18.476296296296297</v>
      </c>
      <c r="BE67">
        <f t="shared" si="11"/>
        <v>3.456416177037037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1.5280199999999999</v>
      </c>
      <c r="H68" s="21">
        <v>5.6624400000000001</v>
      </c>
      <c r="I68" s="21">
        <v>-1.3842800000000001E-2</v>
      </c>
      <c r="J68" s="21">
        <v>58</v>
      </c>
      <c r="K68" s="21">
        <v>1.5270999999999999</v>
      </c>
      <c r="L68">
        <f t="shared" si="0"/>
        <v>17.089876543209876</v>
      </c>
      <c r="M68">
        <f t="shared" si="1"/>
        <v>26.113673155555553</v>
      </c>
      <c r="N68" s="9"/>
      <c r="O68" s="21">
        <v>0.192108</v>
      </c>
      <c r="P68" s="21">
        <v>9.5219199999999997</v>
      </c>
      <c r="Q68" s="21">
        <v>-1.4993299999999999E-2</v>
      </c>
      <c r="R68" s="21">
        <v>58</v>
      </c>
      <c r="S68" s="21">
        <v>0.19162000000000001</v>
      </c>
      <c r="T68">
        <f t="shared" si="2"/>
        <v>18.510246913580243</v>
      </c>
      <c r="U68">
        <f t="shared" si="3"/>
        <v>3.5559665140740733</v>
      </c>
      <c r="X68" s="9"/>
      <c r="Y68" s="21">
        <v>1.5280199999999999</v>
      </c>
      <c r="Z68" s="21">
        <v>15.0777</v>
      </c>
      <c r="AA68" s="21">
        <v>-1.37421E-2</v>
      </c>
      <c r="AB68" s="21">
        <v>58</v>
      </c>
      <c r="AC68" s="21">
        <v>1.5274000000000001</v>
      </c>
      <c r="AD68">
        <f t="shared" si="4"/>
        <v>16.965555555555554</v>
      </c>
      <c r="AE68">
        <f t="shared" si="5"/>
        <v>25.923708199999997</v>
      </c>
      <c r="AF68" s="9"/>
      <c r="AG68" s="21">
        <v>0.192108</v>
      </c>
      <c r="AH68" s="21">
        <v>18.937100000000001</v>
      </c>
      <c r="AI68" s="21">
        <v>-1.49902E-2</v>
      </c>
      <c r="AJ68" s="21">
        <v>58</v>
      </c>
      <c r="AK68" s="21">
        <v>0.191528</v>
      </c>
      <c r="AL68">
        <f t="shared" si="6"/>
        <v>18.506419753086419</v>
      </c>
      <c r="AM68">
        <f t="shared" si="7"/>
        <v>3.5552312859259256</v>
      </c>
      <c r="AP68" s="9"/>
      <c r="AQ68" s="21">
        <v>1.5280199999999999</v>
      </c>
      <c r="AR68" s="21">
        <v>24.4619</v>
      </c>
      <c r="AS68" s="21">
        <v>-1.38031E-2</v>
      </c>
      <c r="AT68" s="21">
        <v>58</v>
      </c>
      <c r="AU68" s="21">
        <v>1.5277099999999999</v>
      </c>
      <c r="AV68">
        <f t="shared" si="8"/>
        <v>17.040864197530862</v>
      </c>
      <c r="AW68">
        <f t="shared" si="9"/>
        <v>26.038781311111105</v>
      </c>
      <c r="AX68" s="9"/>
      <c r="AY68" s="21">
        <v>0.192108</v>
      </c>
      <c r="AZ68" s="21">
        <v>28.321400000000001</v>
      </c>
      <c r="BA68" s="21">
        <v>-1.49658E-2</v>
      </c>
      <c r="BB68" s="21">
        <v>58</v>
      </c>
      <c r="BC68" s="21">
        <v>0.19155900000000001</v>
      </c>
      <c r="BD68">
        <f t="shared" si="10"/>
        <v>18.476296296296297</v>
      </c>
      <c r="BE68">
        <f t="shared" si="11"/>
        <v>3.5494443288888893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1.52298</v>
      </c>
      <c r="H69" s="21">
        <v>5.6725099999999999</v>
      </c>
      <c r="I69" s="21">
        <v>-1.3876299999999999E-2</v>
      </c>
      <c r="J69" s="21">
        <v>59</v>
      </c>
      <c r="K69" s="21">
        <v>1.5222199999999999</v>
      </c>
      <c r="L69">
        <f t="shared" si="0"/>
        <v>17.131234567901231</v>
      </c>
      <c r="M69">
        <f t="shared" si="1"/>
        <v>26.090527622222218</v>
      </c>
      <c r="N69" s="9"/>
      <c r="O69" s="21">
        <v>0.19714400000000001</v>
      </c>
      <c r="P69" s="21">
        <v>9.5319900000000004</v>
      </c>
      <c r="Q69" s="21">
        <v>-1.49902E-2</v>
      </c>
      <c r="R69" s="21">
        <v>59</v>
      </c>
      <c r="S69" s="21">
        <v>0.19662499999999999</v>
      </c>
      <c r="T69">
        <f t="shared" si="2"/>
        <v>18.506419753086419</v>
      </c>
      <c r="U69">
        <f t="shared" si="3"/>
        <v>3.6484296158024692</v>
      </c>
      <c r="X69" s="9"/>
      <c r="Y69" s="21">
        <v>1.52298</v>
      </c>
      <c r="Z69" s="21">
        <v>15.0877</v>
      </c>
      <c r="AA69" s="21">
        <v>-1.37909E-2</v>
      </c>
      <c r="AB69" s="21">
        <v>59</v>
      </c>
      <c r="AC69" s="21">
        <v>1.5219100000000001</v>
      </c>
      <c r="AD69">
        <f t="shared" si="4"/>
        <v>17.025802469135801</v>
      </c>
      <c r="AE69">
        <f t="shared" si="5"/>
        <v>25.929956644444442</v>
      </c>
      <c r="AF69" s="9"/>
      <c r="AG69" s="21">
        <v>0.19714400000000001</v>
      </c>
      <c r="AH69" s="21">
        <v>18.947199999999999</v>
      </c>
      <c r="AI69" s="21">
        <v>-1.49994E-2</v>
      </c>
      <c r="AJ69" s="21">
        <v>59</v>
      </c>
      <c r="AK69" s="21">
        <v>0.19662499999999999</v>
      </c>
      <c r="AL69">
        <f t="shared" si="6"/>
        <v>18.517777777777777</v>
      </c>
      <c r="AM69">
        <f t="shared" si="7"/>
        <v>3.6506687822222221</v>
      </c>
      <c r="AP69" s="9"/>
      <c r="AQ69" s="21">
        <v>1.52298</v>
      </c>
      <c r="AR69" s="21">
        <v>24.472000000000001</v>
      </c>
      <c r="AS69" s="21">
        <v>-1.38519E-2</v>
      </c>
      <c r="AT69" s="21">
        <v>59</v>
      </c>
      <c r="AU69" s="21">
        <v>1.5225200000000001</v>
      </c>
      <c r="AV69">
        <f t="shared" si="8"/>
        <v>17.101111111111113</v>
      </c>
      <c r="AW69">
        <f t="shared" si="9"/>
        <v>26.044650200000003</v>
      </c>
      <c r="AX69" s="9"/>
      <c r="AY69" s="21">
        <v>0.19714400000000001</v>
      </c>
      <c r="AZ69" s="21">
        <v>28.331399999999999</v>
      </c>
      <c r="BA69" s="21">
        <v>-1.4975E-2</v>
      </c>
      <c r="BB69" s="21">
        <v>59</v>
      </c>
      <c r="BC69" s="21">
        <v>0.19662499999999999</v>
      </c>
      <c r="BD69">
        <f t="shared" si="10"/>
        <v>18.487654320987652</v>
      </c>
      <c r="BE69">
        <f t="shared" si="11"/>
        <v>3.6447301234567897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1.5179400000000001</v>
      </c>
      <c r="H70" s="21">
        <v>5.6825799999999997</v>
      </c>
      <c r="I70" s="21">
        <v>-1.39008E-2</v>
      </c>
      <c r="J70" s="21">
        <v>60</v>
      </c>
      <c r="K70" s="21">
        <v>1.5173300000000001</v>
      </c>
      <c r="L70">
        <f t="shared" si="0"/>
        <v>17.161481481481481</v>
      </c>
      <c r="M70">
        <f t="shared" si="1"/>
        <v>26.050099199999998</v>
      </c>
      <c r="N70" s="9"/>
      <c r="O70" s="21">
        <v>0.202179</v>
      </c>
      <c r="P70" s="21">
        <v>9.5420599999999993</v>
      </c>
      <c r="Q70" s="21">
        <v>-1.49841E-2</v>
      </c>
      <c r="R70" s="21">
        <v>60</v>
      </c>
      <c r="S70" s="21">
        <v>0.201599</v>
      </c>
      <c r="T70">
        <f t="shared" si="2"/>
        <v>18.498888888888889</v>
      </c>
      <c r="U70">
        <f t="shared" si="3"/>
        <v>3.7400868566666667</v>
      </c>
      <c r="X70" s="9"/>
      <c r="Y70" s="21">
        <v>1.5179400000000001</v>
      </c>
      <c r="Z70" s="21">
        <v>15.097799999999999</v>
      </c>
      <c r="AA70" s="21">
        <v>-1.3842800000000001E-2</v>
      </c>
      <c r="AB70" s="21">
        <v>60</v>
      </c>
      <c r="AC70" s="21">
        <v>1.5170300000000001</v>
      </c>
      <c r="AD70">
        <f t="shared" si="4"/>
        <v>17.089876543209876</v>
      </c>
      <c r="AE70">
        <f t="shared" si="5"/>
        <v>25.9414072</v>
      </c>
      <c r="AF70" s="9"/>
      <c r="AG70" s="21">
        <v>0.202179</v>
      </c>
      <c r="AH70" s="21">
        <v>18.9573</v>
      </c>
      <c r="AI70" s="21">
        <v>-1.4993299999999999E-2</v>
      </c>
      <c r="AJ70" s="21">
        <v>60</v>
      </c>
      <c r="AK70" s="21">
        <v>0.20169100000000001</v>
      </c>
      <c r="AL70">
        <f t="shared" si="6"/>
        <v>18.510246913580243</v>
      </c>
      <c r="AM70">
        <f t="shared" si="7"/>
        <v>3.7423832107407398</v>
      </c>
      <c r="AP70" s="9"/>
      <c r="AQ70" s="21">
        <v>1.5179400000000001</v>
      </c>
      <c r="AR70" s="21">
        <v>24.481999999999999</v>
      </c>
      <c r="AS70" s="21">
        <v>-1.38824E-2</v>
      </c>
      <c r="AT70" s="21">
        <v>60</v>
      </c>
      <c r="AU70" s="21">
        <v>1.5167200000000001</v>
      </c>
      <c r="AV70">
        <f t="shared" si="8"/>
        <v>17.138765432098765</v>
      </c>
      <c r="AW70">
        <f t="shared" si="9"/>
        <v>26.015617599999999</v>
      </c>
      <c r="AX70" s="9"/>
      <c r="AY70" s="21">
        <v>0.202179</v>
      </c>
      <c r="AZ70" s="21">
        <v>28.3415</v>
      </c>
      <c r="BA70" s="21">
        <v>-1.4981100000000001E-2</v>
      </c>
      <c r="BB70" s="21">
        <v>60</v>
      </c>
      <c r="BC70" s="21">
        <v>0.20166000000000001</v>
      </c>
      <c r="BD70">
        <f t="shared" si="10"/>
        <v>18.495185185185186</v>
      </c>
      <c r="BE70">
        <f t="shared" si="11"/>
        <v>3.7393380455555554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1.51291</v>
      </c>
      <c r="H71" s="21">
        <v>5.6926500000000004</v>
      </c>
      <c r="I71" s="21">
        <v>-1.39282E-2</v>
      </c>
      <c r="J71" s="21">
        <v>61</v>
      </c>
      <c r="K71" s="21">
        <v>1.5121500000000001</v>
      </c>
      <c r="L71">
        <f t="shared" si="0"/>
        <v>17.195308641975309</v>
      </c>
      <c r="M71">
        <f t="shared" si="1"/>
        <v>26.014954397530865</v>
      </c>
      <c r="N71" s="9"/>
      <c r="O71" s="21">
        <v>0.20721400000000001</v>
      </c>
      <c r="P71" s="21">
        <v>9.55213</v>
      </c>
      <c r="Q71" s="21">
        <v>-1.49841E-2</v>
      </c>
      <c r="R71" s="21">
        <v>61</v>
      </c>
      <c r="S71" s="21">
        <v>0.206757</v>
      </c>
      <c r="T71">
        <f t="shared" si="2"/>
        <v>18.498888888888889</v>
      </c>
      <c r="U71">
        <f t="shared" si="3"/>
        <v>3.8332287622222223</v>
      </c>
      <c r="X71" s="9"/>
      <c r="Y71" s="21">
        <v>1.51291</v>
      </c>
      <c r="Z71" s="21">
        <v>15.107900000000001</v>
      </c>
      <c r="AA71" s="21">
        <v>-1.38855E-2</v>
      </c>
      <c r="AB71" s="21">
        <v>61</v>
      </c>
      <c r="AC71" s="21">
        <v>1.5124500000000001</v>
      </c>
      <c r="AD71">
        <f t="shared" si="4"/>
        <v>17.142592592592592</v>
      </c>
      <c r="AE71">
        <f t="shared" si="5"/>
        <v>25.935199759259259</v>
      </c>
      <c r="AF71" s="9"/>
      <c r="AG71" s="21">
        <v>0.20721400000000001</v>
      </c>
      <c r="AH71" s="21">
        <v>18.967300000000002</v>
      </c>
      <c r="AI71" s="21">
        <v>-1.49902E-2</v>
      </c>
      <c r="AJ71" s="21">
        <v>61</v>
      </c>
      <c r="AK71" s="21">
        <v>0.20663500000000001</v>
      </c>
      <c r="AL71">
        <f t="shared" si="6"/>
        <v>18.506419753086419</v>
      </c>
      <c r="AM71">
        <f t="shared" si="7"/>
        <v>3.8347892627160496</v>
      </c>
      <c r="AP71" s="9"/>
      <c r="AQ71" s="21">
        <v>1.51291</v>
      </c>
      <c r="AR71" s="21">
        <v>24.492100000000001</v>
      </c>
      <c r="AS71" s="21">
        <v>-1.39252E-2</v>
      </c>
      <c r="AT71" s="21">
        <v>61</v>
      </c>
      <c r="AU71" s="21">
        <v>1.5121500000000001</v>
      </c>
      <c r="AV71">
        <f t="shared" si="8"/>
        <v>17.191604938271606</v>
      </c>
      <c r="AW71">
        <f t="shared" si="9"/>
        <v>26.009351027160495</v>
      </c>
      <c r="AX71" s="9"/>
      <c r="AY71" s="21">
        <v>0.20721400000000001</v>
      </c>
      <c r="AZ71" s="21">
        <v>28.351600000000001</v>
      </c>
      <c r="BA71" s="21">
        <v>-1.49994E-2</v>
      </c>
      <c r="BB71" s="21">
        <v>61</v>
      </c>
      <c r="BC71" s="21">
        <v>0.20666499999999999</v>
      </c>
      <c r="BD71">
        <f t="shared" si="10"/>
        <v>18.517777777777777</v>
      </c>
      <c r="BE71">
        <f t="shared" si="11"/>
        <v>3.8371428044444444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1.50787</v>
      </c>
      <c r="H72" s="21">
        <v>5.7027200000000002</v>
      </c>
      <c r="I72" s="21">
        <v>-1.39618E-2</v>
      </c>
      <c r="J72" s="21">
        <v>62</v>
      </c>
      <c r="K72" s="21">
        <v>1.5069600000000001</v>
      </c>
      <c r="L72">
        <f t="shared" si="0"/>
        <v>17.236790123456789</v>
      </c>
      <c r="M72">
        <f t="shared" si="1"/>
        <v>25.99083872345679</v>
      </c>
      <c r="N72" s="9"/>
      <c r="O72" s="21">
        <v>0.21224999999999999</v>
      </c>
      <c r="P72" s="21">
        <v>9.5622000000000007</v>
      </c>
      <c r="Q72" s="21">
        <v>-1.49719E-2</v>
      </c>
      <c r="R72" s="21">
        <v>62</v>
      </c>
      <c r="S72" s="21">
        <v>0.211731</v>
      </c>
      <c r="T72">
        <f t="shared" si="2"/>
        <v>18.483827160493824</v>
      </c>
      <c r="U72">
        <f t="shared" si="3"/>
        <v>3.923192314814814</v>
      </c>
      <c r="X72" s="9"/>
      <c r="Y72" s="21">
        <v>1.50787</v>
      </c>
      <c r="Z72" s="21">
        <v>15.117900000000001</v>
      </c>
      <c r="AA72" s="21">
        <v>-1.39282E-2</v>
      </c>
      <c r="AB72" s="21">
        <v>62</v>
      </c>
      <c r="AC72" s="21">
        <v>1.50726</v>
      </c>
      <c r="AD72">
        <f t="shared" si="4"/>
        <v>17.195308641975309</v>
      </c>
      <c r="AE72">
        <f t="shared" si="5"/>
        <v>25.928290041975309</v>
      </c>
      <c r="AF72" s="9"/>
      <c r="AG72" s="21">
        <v>0.21224999999999999</v>
      </c>
      <c r="AH72" s="21">
        <v>18.977399999999999</v>
      </c>
      <c r="AI72" s="21">
        <v>-1.4993299999999999E-2</v>
      </c>
      <c r="AJ72" s="21">
        <v>62</v>
      </c>
      <c r="AK72" s="21">
        <v>0.21167</v>
      </c>
      <c r="AL72">
        <f t="shared" si="6"/>
        <v>18.510246913580243</v>
      </c>
      <c r="AM72">
        <f t="shared" si="7"/>
        <v>3.9287999074074063</v>
      </c>
      <c r="AP72" s="9"/>
      <c r="AQ72" s="21">
        <v>1.50787</v>
      </c>
      <c r="AR72" s="21">
        <v>24.502199999999998</v>
      </c>
      <c r="AS72" s="21">
        <v>-1.3952600000000001E-2</v>
      </c>
      <c r="AT72" s="21">
        <v>62</v>
      </c>
      <c r="AU72" s="21">
        <v>1.50726</v>
      </c>
      <c r="AV72">
        <f t="shared" si="8"/>
        <v>17.225432098765431</v>
      </c>
      <c r="AW72">
        <f t="shared" si="9"/>
        <v>25.973712298765431</v>
      </c>
      <c r="AX72" s="9"/>
      <c r="AY72" s="21">
        <v>0.21224999999999999</v>
      </c>
      <c r="AZ72" s="21">
        <v>28.361599999999999</v>
      </c>
      <c r="BA72" s="21">
        <v>-1.5008499999999999E-2</v>
      </c>
      <c r="BB72" s="21">
        <v>62</v>
      </c>
      <c r="BC72" s="21">
        <v>0.211761</v>
      </c>
      <c r="BD72">
        <f t="shared" si="10"/>
        <v>18.529012345679011</v>
      </c>
      <c r="BE72">
        <f t="shared" si="11"/>
        <v>3.93278287037037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1.50284</v>
      </c>
      <c r="H73" s="21">
        <v>5.7127999999999997</v>
      </c>
      <c r="I73" s="21">
        <v>-1.3992299999999999E-2</v>
      </c>
      <c r="J73" s="21">
        <v>63</v>
      </c>
      <c r="K73" s="21">
        <v>1.50238</v>
      </c>
      <c r="L73">
        <f t="shared" si="0"/>
        <v>17.274444444444445</v>
      </c>
      <c r="M73">
        <f t="shared" si="1"/>
        <v>25.96072608888889</v>
      </c>
      <c r="N73" s="9"/>
      <c r="O73" s="21">
        <v>0.21728500000000001</v>
      </c>
      <c r="P73" s="21">
        <v>9.5722699999999996</v>
      </c>
      <c r="Q73" s="21">
        <v>-1.49719E-2</v>
      </c>
      <c r="R73" s="21">
        <v>63</v>
      </c>
      <c r="S73" s="21">
        <v>0.216888</v>
      </c>
      <c r="T73">
        <f t="shared" si="2"/>
        <v>18.483827160493824</v>
      </c>
      <c r="U73">
        <f t="shared" si="3"/>
        <v>4.0162583845679007</v>
      </c>
      <c r="X73" s="9"/>
      <c r="Y73" s="21">
        <v>1.50284</v>
      </c>
      <c r="Z73" s="21">
        <v>15.128</v>
      </c>
      <c r="AA73" s="21">
        <v>-1.39679E-2</v>
      </c>
      <c r="AB73" s="21">
        <v>63</v>
      </c>
      <c r="AC73" s="21">
        <v>1.50238</v>
      </c>
      <c r="AD73">
        <f t="shared" si="4"/>
        <v>17.244320987654319</v>
      </c>
      <c r="AE73">
        <f t="shared" si="5"/>
        <v>25.915455353086415</v>
      </c>
      <c r="AF73" s="9"/>
      <c r="AG73" s="21">
        <v>0.21728500000000001</v>
      </c>
      <c r="AH73" s="21">
        <v>18.987500000000001</v>
      </c>
      <c r="AI73" s="21">
        <v>-1.49841E-2</v>
      </c>
      <c r="AJ73" s="21">
        <v>63</v>
      </c>
      <c r="AK73" s="21">
        <v>0.216614</v>
      </c>
      <c r="AL73">
        <f t="shared" si="6"/>
        <v>18.498888888888889</v>
      </c>
      <c r="AM73">
        <f t="shared" si="7"/>
        <v>4.0195310722222226</v>
      </c>
      <c r="AP73" s="9"/>
      <c r="AQ73" s="21">
        <v>1.50284</v>
      </c>
      <c r="AR73" s="21">
        <v>24.5122</v>
      </c>
      <c r="AS73" s="21">
        <v>-1.3986200000000001E-2</v>
      </c>
      <c r="AT73" s="21">
        <v>63</v>
      </c>
      <c r="AU73" s="21">
        <v>1.50146</v>
      </c>
      <c r="AV73">
        <f t="shared" si="8"/>
        <v>17.266913580246914</v>
      </c>
      <c r="AW73">
        <f t="shared" si="9"/>
        <v>25.949408404938271</v>
      </c>
      <c r="AX73" s="9"/>
      <c r="AY73" s="21">
        <v>0.21728500000000001</v>
      </c>
      <c r="AZ73" s="21">
        <v>28.371700000000001</v>
      </c>
      <c r="BA73" s="21">
        <v>-1.5008499999999999E-2</v>
      </c>
      <c r="BB73" s="21">
        <v>63</v>
      </c>
      <c r="BC73" s="21">
        <v>0.21679699999999999</v>
      </c>
      <c r="BD73">
        <f t="shared" si="10"/>
        <v>18.529012345679011</v>
      </c>
      <c r="BE73">
        <f t="shared" si="11"/>
        <v>4.0260764475308637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1.4978</v>
      </c>
      <c r="H74" s="21">
        <v>5.7228700000000003</v>
      </c>
      <c r="I74" s="21">
        <v>-1.40289E-2</v>
      </c>
      <c r="J74" s="21">
        <v>64</v>
      </c>
      <c r="K74" s="21">
        <v>1.4968900000000001</v>
      </c>
      <c r="L74">
        <f t="shared" si="0"/>
        <v>17.319629629629631</v>
      </c>
      <c r="M74">
        <f t="shared" si="1"/>
        <v>25.941341259259261</v>
      </c>
      <c r="N74" s="9"/>
      <c r="O74" s="21">
        <v>0.22232099999999999</v>
      </c>
      <c r="P74" s="21">
        <v>9.5823400000000003</v>
      </c>
      <c r="Q74" s="21">
        <v>-1.49841E-2</v>
      </c>
      <c r="R74" s="21">
        <v>64</v>
      </c>
      <c r="S74" s="21">
        <v>0.22189300000000001</v>
      </c>
      <c r="T74">
        <f t="shared" si="2"/>
        <v>18.498888888888889</v>
      </c>
      <c r="U74">
        <f t="shared" si="3"/>
        <v>4.1126914766666669</v>
      </c>
      <c r="X74" s="9"/>
      <c r="Y74" s="21">
        <v>1.4978</v>
      </c>
      <c r="Z74" s="21">
        <v>15.1381</v>
      </c>
      <c r="AA74" s="21">
        <v>-1.40015E-2</v>
      </c>
      <c r="AB74" s="21">
        <v>64</v>
      </c>
      <c r="AC74" s="21">
        <v>1.49719</v>
      </c>
      <c r="AD74">
        <f t="shared" si="4"/>
        <v>17.285802469135803</v>
      </c>
      <c r="AE74">
        <f t="shared" si="5"/>
        <v>25.890674938271605</v>
      </c>
      <c r="AF74" s="9"/>
      <c r="AG74" s="21">
        <v>0.22232099999999999</v>
      </c>
      <c r="AH74" s="21">
        <v>18.997599999999998</v>
      </c>
      <c r="AI74" s="21">
        <v>-1.49841E-2</v>
      </c>
      <c r="AJ74" s="21">
        <v>64</v>
      </c>
      <c r="AK74" s="21">
        <v>0.22189300000000001</v>
      </c>
      <c r="AL74">
        <f t="shared" si="6"/>
        <v>18.498888888888889</v>
      </c>
      <c r="AM74">
        <f t="shared" si="7"/>
        <v>4.1126914766666669</v>
      </c>
      <c r="AP74" s="9"/>
      <c r="AQ74" s="21">
        <v>1.4978</v>
      </c>
      <c r="AR74" s="21">
        <v>24.522300000000001</v>
      </c>
      <c r="AS74" s="21">
        <v>-1.4019800000000001E-2</v>
      </c>
      <c r="AT74" s="21">
        <v>64</v>
      </c>
      <c r="AU74" s="21">
        <v>1.49719</v>
      </c>
      <c r="AV74">
        <f t="shared" si="8"/>
        <v>17.308395061728394</v>
      </c>
      <c r="AW74">
        <f t="shared" si="9"/>
        <v>25.924514123456788</v>
      </c>
      <c r="AX74" s="9"/>
      <c r="AY74" s="21">
        <v>0.22232099999999999</v>
      </c>
      <c r="AZ74" s="21">
        <v>28.381799999999998</v>
      </c>
      <c r="BA74" s="21">
        <v>-1.5008499999999999E-2</v>
      </c>
      <c r="BB74" s="21">
        <v>64</v>
      </c>
      <c r="BC74" s="21">
        <v>0.22174099999999999</v>
      </c>
      <c r="BD74">
        <f t="shared" si="10"/>
        <v>18.529012345679011</v>
      </c>
      <c r="BE74">
        <f t="shared" si="11"/>
        <v>4.1193885537037032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1.4927699999999999</v>
      </c>
      <c r="H75" s="21">
        <v>5.7329400000000001</v>
      </c>
      <c r="I75" s="21">
        <v>-1.40625E-2</v>
      </c>
      <c r="J75" s="21">
        <v>65</v>
      </c>
      <c r="K75" s="21">
        <v>1.49139</v>
      </c>
      <c r="L75">
        <f t="shared" si="0"/>
        <v>17.361111111111111</v>
      </c>
      <c r="M75">
        <f t="shared" si="1"/>
        <v>25.916145833333331</v>
      </c>
      <c r="N75" s="9"/>
      <c r="O75" s="21">
        <v>0.227356</v>
      </c>
      <c r="P75" s="21">
        <v>9.5924099999999992</v>
      </c>
      <c r="Q75" s="21">
        <v>-1.49841E-2</v>
      </c>
      <c r="R75" s="21">
        <v>65</v>
      </c>
      <c r="S75" s="21">
        <v>0.22662399999999999</v>
      </c>
      <c r="T75">
        <f t="shared" si="2"/>
        <v>18.498888888888889</v>
      </c>
      <c r="U75">
        <f t="shared" si="3"/>
        <v>4.205833382222222</v>
      </c>
      <c r="X75" s="9"/>
      <c r="Y75" s="21">
        <v>1.4927699999999999</v>
      </c>
      <c r="Z75" s="21">
        <v>15.148199999999999</v>
      </c>
      <c r="AA75" s="21">
        <v>-1.40289E-2</v>
      </c>
      <c r="AB75" s="21">
        <v>65</v>
      </c>
      <c r="AC75" s="21">
        <v>1.49139</v>
      </c>
      <c r="AD75">
        <f t="shared" si="4"/>
        <v>17.319629629629631</v>
      </c>
      <c r="AE75">
        <f t="shared" si="5"/>
        <v>25.854223522222224</v>
      </c>
      <c r="AF75" s="9"/>
      <c r="AG75" s="21">
        <v>0.227356</v>
      </c>
      <c r="AH75" s="21">
        <v>19.0076</v>
      </c>
      <c r="AI75" s="21">
        <v>-1.49841E-2</v>
      </c>
      <c r="AJ75" s="21">
        <v>65</v>
      </c>
      <c r="AK75" s="21">
        <v>0.22689799999999999</v>
      </c>
      <c r="AL75">
        <f t="shared" si="6"/>
        <v>18.498888888888889</v>
      </c>
      <c r="AM75">
        <f t="shared" si="7"/>
        <v>4.205833382222222</v>
      </c>
      <c r="AP75" s="9"/>
      <c r="AQ75" s="21">
        <v>1.4927699999999999</v>
      </c>
      <c r="AR75" s="21">
        <v>24.532399999999999</v>
      </c>
      <c r="AS75" s="21">
        <v>-1.4047199999999999E-2</v>
      </c>
      <c r="AT75" s="21">
        <v>65</v>
      </c>
      <c r="AU75" s="21">
        <v>1.492</v>
      </c>
      <c r="AV75">
        <f t="shared" si="8"/>
        <v>17.342222222222222</v>
      </c>
      <c r="AW75">
        <f t="shared" si="9"/>
        <v>25.887949066666664</v>
      </c>
      <c r="AX75" s="9"/>
      <c r="AY75" s="21">
        <v>0.227356</v>
      </c>
      <c r="AZ75" s="21">
        <v>28.3919</v>
      </c>
      <c r="BA75" s="21">
        <v>-1.50116E-2</v>
      </c>
      <c r="BB75" s="21">
        <v>65</v>
      </c>
      <c r="BC75" s="21">
        <v>0.22686799999999999</v>
      </c>
      <c r="BD75">
        <f t="shared" si="10"/>
        <v>18.532839506172838</v>
      </c>
      <c r="BE75">
        <f t="shared" si="11"/>
        <v>4.2135522587654322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1.48773</v>
      </c>
      <c r="H76" s="21">
        <v>5.7430099999999999</v>
      </c>
      <c r="I76" s="21">
        <v>-1.4086899999999999E-2</v>
      </c>
      <c r="J76" s="21">
        <v>66</v>
      </c>
      <c r="K76" s="21">
        <v>1.48682</v>
      </c>
      <c r="L76">
        <f t="shared" ref="L76:L139" si="12">-I76/$F$2*1000</f>
        <v>17.391234567901233</v>
      </c>
      <c r="M76">
        <f t="shared" ref="M76:M139" si="13">L76*G76</f>
        <v>25.873461403703701</v>
      </c>
      <c r="N76" s="9"/>
      <c r="O76" s="21">
        <v>0.23239099999999999</v>
      </c>
      <c r="P76" s="21">
        <v>9.6024799999999999</v>
      </c>
      <c r="Q76" s="21">
        <v>-1.4978E-2</v>
      </c>
      <c r="R76" s="21">
        <v>66</v>
      </c>
      <c r="S76" s="21">
        <v>0.231873</v>
      </c>
      <c r="T76">
        <f t="shared" ref="T76:T139" si="14">-Q76/$F$2*1000</f>
        <v>18.491358024691355</v>
      </c>
      <c r="U76">
        <f t="shared" ref="U76:U139" si="15">T76*O76</f>
        <v>4.2972251827160486</v>
      </c>
      <c r="X76" s="9"/>
      <c r="Y76" s="21">
        <v>1.48773</v>
      </c>
      <c r="Z76" s="21">
        <v>15.158200000000001</v>
      </c>
      <c r="AA76" s="21">
        <v>-1.40594E-2</v>
      </c>
      <c r="AB76" s="21">
        <v>66</v>
      </c>
      <c r="AC76" s="21">
        <v>1.48712</v>
      </c>
      <c r="AD76">
        <f t="shared" ref="AD76:AD139" si="16">-AA76/$F$2*1000</f>
        <v>17.357283950617283</v>
      </c>
      <c r="AE76">
        <f t="shared" ref="AE76:AE139" si="17">AD76*Y76</f>
        <v>25.82295205185185</v>
      </c>
      <c r="AF76" s="9"/>
      <c r="AG76" s="21">
        <v>0.23239099999999999</v>
      </c>
      <c r="AH76" s="21">
        <v>19.017700000000001</v>
      </c>
      <c r="AI76" s="21">
        <v>-1.4993299999999999E-2</v>
      </c>
      <c r="AJ76" s="21">
        <v>66</v>
      </c>
      <c r="AK76" s="21">
        <v>0.231903</v>
      </c>
      <c r="AL76">
        <f t="shared" ref="AL76:AL139" si="18">-AI76/$F$2*1000</f>
        <v>18.510246913580243</v>
      </c>
      <c r="AM76">
        <f t="shared" ref="AM76:AM139" si="19">AL76*AG76</f>
        <v>4.3016147904938258</v>
      </c>
      <c r="AP76" s="9"/>
      <c r="AQ76" s="21">
        <v>1.48773</v>
      </c>
      <c r="AR76" s="21">
        <v>24.542400000000001</v>
      </c>
      <c r="AS76" s="21">
        <v>-1.40839E-2</v>
      </c>
      <c r="AT76" s="21">
        <v>66</v>
      </c>
      <c r="AU76" s="21">
        <v>1.48682</v>
      </c>
      <c r="AV76">
        <f t="shared" ref="AV76:AV139" si="20">-AS76/$F$2*1000</f>
        <v>17.387530864197529</v>
      </c>
      <c r="AW76">
        <f t="shared" ref="AW76:AW139" si="21">AV76*AQ76</f>
        <v>25.86795129259259</v>
      </c>
      <c r="AX76" s="9"/>
      <c r="AY76" s="21">
        <v>0.23239099999999999</v>
      </c>
      <c r="AZ76" s="21">
        <v>28.401900000000001</v>
      </c>
      <c r="BA76" s="21">
        <v>-1.50116E-2</v>
      </c>
      <c r="BB76" s="21">
        <v>66</v>
      </c>
      <c r="BC76" s="21">
        <v>0.23184199999999999</v>
      </c>
      <c r="BD76">
        <f t="shared" ref="BD76:BD139" si="22">-BA76/$F$2*1000</f>
        <v>18.532839506172838</v>
      </c>
      <c r="BE76">
        <f t="shared" ref="BE76:BE139" si="23">BD76*AY76</f>
        <v>4.3068651056790115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1.4826999999999999</v>
      </c>
      <c r="H77" s="21">
        <v>5.7530799999999997</v>
      </c>
      <c r="I77" s="21">
        <v>-1.41113E-2</v>
      </c>
      <c r="J77" s="21">
        <v>67</v>
      </c>
      <c r="K77" s="21">
        <v>1.48163</v>
      </c>
      <c r="L77">
        <f t="shared" si="12"/>
        <v>17.421358024691358</v>
      </c>
      <c r="M77">
        <f t="shared" si="13"/>
        <v>25.830647543209874</v>
      </c>
      <c r="N77" s="9"/>
      <c r="O77" s="21">
        <v>0.237427</v>
      </c>
      <c r="P77" s="21">
        <v>9.6125600000000002</v>
      </c>
      <c r="Q77" s="21">
        <v>-1.49719E-2</v>
      </c>
      <c r="R77" s="21">
        <v>67</v>
      </c>
      <c r="S77" s="21">
        <v>0.236877</v>
      </c>
      <c r="T77">
        <f t="shared" si="14"/>
        <v>18.483827160493824</v>
      </c>
      <c r="U77">
        <f t="shared" si="15"/>
        <v>4.3885596312345676</v>
      </c>
      <c r="X77" s="9"/>
      <c r="Y77" s="21">
        <v>1.4826999999999999</v>
      </c>
      <c r="Z77" s="21">
        <v>15.1683</v>
      </c>
      <c r="AA77" s="21">
        <v>-1.40839E-2</v>
      </c>
      <c r="AB77" s="21">
        <v>67</v>
      </c>
      <c r="AC77" s="21">
        <v>1.48193</v>
      </c>
      <c r="AD77">
        <f t="shared" si="16"/>
        <v>17.387530864197529</v>
      </c>
      <c r="AE77">
        <f t="shared" si="17"/>
        <v>25.780492012345675</v>
      </c>
      <c r="AF77" s="9"/>
      <c r="AG77" s="21">
        <v>0.237427</v>
      </c>
      <c r="AH77" s="21">
        <v>19.027799999999999</v>
      </c>
      <c r="AI77" s="21">
        <v>-1.5002400000000001E-2</v>
      </c>
      <c r="AJ77" s="21">
        <v>67</v>
      </c>
      <c r="AK77" s="21">
        <v>0.236816</v>
      </c>
      <c r="AL77">
        <f t="shared" si="18"/>
        <v>18.521481481481484</v>
      </c>
      <c r="AM77">
        <f t="shared" si="19"/>
        <v>4.3974997837037044</v>
      </c>
      <c r="AP77" s="9"/>
      <c r="AQ77" s="21">
        <v>1.4826999999999999</v>
      </c>
      <c r="AR77" s="21">
        <v>24.552499999999998</v>
      </c>
      <c r="AS77" s="21">
        <v>-1.4108300000000001E-2</v>
      </c>
      <c r="AT77" s="21">
        <v>67</v>
      </c>
      <c r="AU77" s="21">
        <v>1.48193</v>
      </c>
      <c r="AV77">
        <f t="shared" si="20"/>
        <v>17.417654320987655</v>
      </c>
      <c r="AW77">
        <f t="shared" si="21"/>
        <v>25.825156061728393</v>
      </c>
      <c r="AX77" s="9"/>
      <c r="AY77" s="21">
        <v>0.237427</v>
      </c>
      <c r="AZ77" s="21">
        <v>28.411999999999999</v>
      </c>
      <c r="BA77" s="21">
        <v>-1.5014599999999999E-2</v>
      </c>
      <c r="BB77" s="21">
        <v>67</v>
      </c>
      <c r="BC77" s="21">
        <v>0.236847</v>
      </c>
      <c r="BD77">
        <f t="shared" si="22"/>
        <v>18.536543209876541</v>
      </c>
      <c r="BE77">
        <f t="shared" si="23"/>
        <v>4.4010758446913574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1.47766</v>
      </c>
      <c r="H78" s="21">
        <v>5.7631500000000004</v>
      </c>
      <c r="I78" s="21">
        <v>-1.41327E-2</v>
      </c>
      <c r="J78" s="21">
        <v>68</v>
      </c>
      <c r="K78" s="21">
        <v>1.47705</v>
      </c>
      <c r="L78">
        <f t="shared" si="12"/>
        <v>17.447777777777777</v>
      </c>
      <c r="M78">
        <f t="shared" si="13"/>
        <v>25.781883311111109</v>
      </c>
      <c r="N78" s="9"/>
      <c r="O78" s="21">
        <v>0.24246200000000001</v>
      </c>
      <c r="P78" s="21">
        <v>9.6226299999999991</v>
      </c>
      <c r="Q78" s="21">
        <v>-1.4975E-2</v>
      </c>
      <c r="R78" s="21">
        <v>68</v>
      </c>
      <c r="S78" s="21">
        <v>0.24191299999999999</v>
      </c>
      <c r="T78">
        <f t="shared" si="14"/>
        <v>18.487654320987652</v>
      </c>
      <c r="U78">
        <f t="shared" si="15"/>
        <v>4.4825536419753078</v>
      </c>
      <c r="X78" s="9"/>
      <c r="Y78" s="21">
        <v>1.47766</v>
      </c>
      <c r="Z78" s="21">
        <v>15.1784</v>
      </c>
      <c r="AA78" s="21">
        <v>-1.4108300000000001E-2</v>
      </c>
      <c r="AB78" s="21">
        <v>68</v>
      </c>
      <c r="AC78" s="21">
        <v>1.47705</v>
      </c>
      <c r="AD78">
        <f t="shared" si="16"/>
        <v>17.417654320987655</v>
      </c>
      <c r="AE78">
        <f t="shared" si="17"/>
        <v>25.737371083950617</v>
      </c>
      <c r="AF78" s="9"/>
      <c r="AG78" s="21">
        <v>0.24246200000000001</v>
      </c>
      <c r="AH78" s="21">
        <v>19.037800000000001</v>
      </c>
      <c r="AI78" s="21">
        <v>-1.50116E-2</v>
      </c>
      <c r="AJ78" s="21">
        <v>68</v>
      </c>
      <c r="AK78" s="21">
        <v>0.24188200000000001</v>
      </c>
      <c r="AL78">
        <f t="shared" si="18"/>
        <v>18.532839506172838</v>
      </c>
      <c r="AM78">
        <f t="shared" si="19"/>
        <v>4.4935093323456785</v>
      </c>
      <c r="AP78" s="9"/>
      <c r="AQ78" s="21">
        <v>1.47766</v>
      </c>
      <c r="AR78" s="21">
        <v>24.5626</v>
      </c>
      <c r="AS78" s="21">
        <v>-1.41449E-2</v>
      </c>
      <c r="AT78" s="21">
        <v>68</v>
      </c>
      <c r="AU78" s="21">
        <v>1.47705</v>
      </c>
      <c r="AV78">
        <f t="shared" si="20"/>
        <v>17.462839506172838</v>
      </c>
      <c r="AW78">
        <f t="shared" si="21"/>
        <v>25.804139424691353</v>
      </c>
      <c r="AX78" s="9"/>
      <c r="AY78" s="21">
        <v>0.24246200000000001</v>
      </c>
      <c r="AZ78" s="21">
        <v>28.4221</v>
      </c>
      <c r="BA78" s="21">
        <v>-1.50116E-2</v>
      </c>
      <c r="BB78" s="21">
        <v>68</v>
      </c>
      <c r="BC78" s="21">
        <v>0.24191299999999999</v>
      </c>
      <c r="BD78">
        <f t="shared" si="22"/>
        <v>18.532839506172838</v>
      </c>
      <c r="BE78">
        <f t="shared" si="23"/>
        <v>4.4935093323456785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1.4726300000000001</v>
      </c>
      <c r="H79" s="21">
        <v>5.7732200000000002</v>
      </c>
      <c r="I79" s="21">
        <v>-1.4157100000000001E-2</v>
      </c>
      <c r="J79" s="21">
        <v>69</v>
      </c>
      <c r="K79" s="21">
        <v>1.47156</v>
      </c>
      <c r="L79">
        <f t="shared" si="12"/>
        <v>17.477901234567902</v>
      </c>
      <c r="M79">
        <f t="shared" si="13"/>
        <v>25.738481695061733</v>
      </c>
      <c r="N79" s="9"/>
      <c r="O79" s="21">
        <v>0.247498</v>
      </c>
      <c r="P79" s="21">
        <v>9.6326999999999998</v>
      </c>
      <c r="Q79" s="21">
        <v>-1.4975E-2</v>
      </c>
      <c r="R79" s="21">
        <v>69</v>
      </c>
      <c r="S79" s="21">
        <v>0.246948</v>
      </c>
      <c r="T79">
        <f t="shared" si="14"/>
        <v>18.487654320987652</v>
      </c>
      <c r="U79">
        <f t="shared" si="15"/>
        <v>4.5756574691358018</v>
      </c>
      <c r="X79" s="9"/>
      <c r="Y79" s="21">
        <v>1.4726300000000001</v>
      </c>
      <c r="Z79" s="21">
        <v>15.1884</v>
      </c>
      <c r="AA79" s="21">
        <v>-1.4135699999999999E-2</v>
      </c>
      <c r="AB79" s="21">
        <v>69</v>
      </c>
      <c r="AC79" s="21">
        <v>1.4718599999999999</v>
      </c>
      <c r="AD79">
        <f t="shared" si="16"/>
        <v>17.45148148148148</v>
      </c>
      <c r="AE79">
        <f t="shared" si="17"/>
        <v>25.699575174074074</v>
      </c>
      <c r="AF79" s="9"/>
      <c r="AG79" s="21">
        <v>0.247498</v>
      </c>
      <c r="AH79" s="21">
        <v>19.047899999999998</v>
      </c>
      <c r="AI79" s="21">
        <v>-1.50177E-2</v>
      </c>
      <c r="AJ79" s="21">
        <v>69</v>
      </c>
      <c r="AK79" s="21">
        <v>0.246948</v>
      </c>
      <c r="AL79">
        <f t="shared" si="18"/>
        <v>18.540370370370372</v>
      </c>
      <c r="AM79">
        <f t="shared" si="19"/>
        <v>4.5887045859259263</v>
      </c>
      <c r="AP79" s="9"/>
      <c r="AQ79" s="21">
        <v>1.4726300000000001</v>
      </c>
      <c r="AR79" s="21">
        <v>24.572700000000001</v>
      </c>
      <c r="AS79" s="21">
        <v>-1.41815E-2</v>
      </c>
      <c r="AT79" s="21">
        <v>69</v>
      </c>
      <c r="AU79" s="21">
        <v>1.4724699999999999</v>
      </c>
      <c r="AV79">
        <f t="shared" si="20"/>
        <v>17.508024691358024</v>
      </c>
      <c r="AW79">
        <f t="shared" si="21"/>
        <v>25.782842401234568</v>
      </c>
      <c r="AX79" s="9"/>
      <c r="AY79" s="21">
        <v>0.247498</v>
      </c>
      <c r="AZ79" s="21">
        <v>28.432099999999998</v>
      </c>
      <c r="BA79" s="21">
        <v>-1.5020800000000001E-2</v>
      </c>
      <c r="BB79" s="21">
        <v>69</v>
      </c>
      <c r="BC79" s="21">
        <v>0.246918</v>
      </c>
      <c r="BD79">
        <f t="shared" si="22"/>
        <v>18.544197530864199</v>
      </c>
      <c r="BE79">
        <f t="shared" si="23"/>
        <v>4.5896518004938276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1.46759</v>
      </c>
      <c r="H80" s="21">
        <v>5.78329</v>
      </c>
      <c r="I80" s="21">
        <v>-1.41815E-2</v>
      </c>
      <c r="J80" s="21">
        <v>70</v>
      </c>
      <c r="K80" s="21">
        <v>1.46698</v>
      </c>
      <c r="L80">
        <f t="shared" si="12"/>
        <v>17.508024691358024</v>
      </c>
      <c r="M80">
        <f t="shared" si="13"/>
        <v>25.694601956790123</v>
      </c>
      <c r="N80" s="9"/>
      <c r="O80" s="21">
        <v>0.25253300000000001</v>
      </c>
      <c r="P80" s="21">
        <v>9.6427700000000005</v>
      </c>
      <c r="Q80" s="21">
        <v>-1.4975E-2</v>
      </c>
      <c r="R80" s="21">
        <v>70</v>
      </c>
      <c r="S80" s="21">
        <v>0.25192300000000001</v>
      </c>
      <c r="T80">
        <f t="shared" si="14"/>
        <v>18.487654320987652</v>
      </c>
      <c r="U80">
        <f t="shared" si="15"/>
        <v>4.6687428086419747</v>
      </c>
      <c r="X80" s="9"/>
      <c r="Y80" s="21">
        <v>1.46759</v>
      </c>
      <c r="Z80" s="21">
        <v>15.198499999999999</v>
      </c>
      <c r="AA80" s="21">
        <v>-1.4157100000000001E-2</v>
      </c>
      <c r="AB80" s="21">
        <v>70</v>
      </c>
      <c r="AC80" s="21">
        <v>1.46729</v>
      </c>
      <c r="AD80">
        <f t="shared" si="16"/>
        <v>17.477901234567902</v>
      </c>
      <c r="AE80">
        <f t="shared" si="17"/>
        <v>25.650393072839506</v>
      </c>
      <c r="AF80" s="9"/>
      <c r="AG80" s="21">
        <v>0.25253300000000001</v>
      </c>
      <c r="AH80" s="21">
        <v>19.058</v>
      </c>
      <c r="AI80" s="21">
        <v>-1.50177E-2</v>
      </c>
      <c r="AJ80" s="21">
        <v>70</v>
      </c>
      <c r="AK80" s="21">
        <v>0.25198399999999999</v>
      </c>
      <c r="AL80">
        <f t="shared" si="18"/>
        <v>18.540370370370372</v>
      </c>
      <c r="AM80">
        <f t="shared" si="19"/>
        <v>4.6820553507407414</v>
      </c>
      <c r="AP80" s="9"/>
      <c r="AQ80" s="21">
        <v>1.46759</v>
      </c>
      <c r="AR80" s="21">
        <v>24.582699999999999</v>
      </c>
      <c r="AS80" s="21">
        <v>-1.4208999999999999E-2</v>
      </c>
      <c r="AT80" s="21">
        <v>70</v>
      </c>
      <c r="AU80" s="21">
        <v>1.46698</v>
      </c>
      <c r="AV80">
        <f t="shared" si="20"/>
        <v>17.541975308641973</v>
      </c>
      <c r="AW80">
        <f t="shared" si="21"/>
        <v>25.744427543209873</v>
      </c>
      <c r="AX80" s="9"/>
      <c r="AY80" s="21">
        <v>0.25253300000000001</v>
      </c>
      <c r="AZ80" s="21">
        <v>28.4422</v>
      </c>
      <c r="BA80" s="21">
        <v>-1.5008499999999999E-2</v>
      </c>
      <c r="BB80" s="21">
        <v>70</v>
      </c>
      <c r="BC80" s="21">
        <v>0.25183100000000003</v>
      </c>
      <c r="BD80">
        <f t="shared" si="22"/>
        <v>18.529012345679011</v>
      </c>
      <c r="BE80">
        <f t="shared" si="23"/>
        <v>4.6791870746913578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1.46255</v>
      </c>
      <c r="H81" s="21">
        <v>5.7933599999999998</v>
      </c>
      <c r="I81" s="21">
        <v>-1.4212000000000001E-2</v>
      </c>
      <c r="J81" s="21">
        <v>71</v>
      </c>
      <c r="K81" s="21">
        <v>1.4617899999999999</v>
      </c>
      <c r="L81">
        <f t="shared" si="12"/>
        <v>17.54567901234568</v>
      </c>
      <c r="M81">
        <f t="shared" si="13"/>
        <v>25.661432839506173</v>
      </c>
      <c r="N81" s="9"/>
      <c r="O81" s="21">
        <v>0.25756800000000002</v>
      </c>
      <c r="P81" s="21">
        <v>9.6528399999999994</v>
      </c>
      <c r="Q81" s="21">
        <v>-1.49841E-2</v>
      </c>
      <c r="R81" s="21">
        <v>71</v>
      </c>
      <c r="S81" s="21">
        <v>0.257019</v>
      </c>
      <c r="T81">
        <f t="shared" si="14"/>
        <v>18.498888888888889</v>
      </c>
      <c r="U81">
        <f t="shared" si="15"/>
        <v>4.7647218133333338</v>
      </c>
      <c r="X81" s="9"/>
      <c r="Y81" s="21">
        <v>1.46255</v>
      </c>
      <c r="Z81" s="21">
        <v>15.208600000000001</v>
      </c>
      <c r="AA81" s="21">
        <v>-1.41846E-2</v>
      </c>
      <c r="AB81" s="21">
        <v>71</v>
      </c>
      <c r="AC81" s="21">
        <v>1.4617899999999999</v>
      </c>
      <c r="AD81">
        <f t="shared" si="16"/>
        <v>17.511851851851851</v>
      </c>
      <c r="AE81">
        <f t="shared" si="17"/>
        <v>25.611958925925926</v>
      </c>
      <c r="AF81" s="9"/>
      <c r="AG81" s="21">
        <v>0.25756800000000002</v>
      </c>
      <c r="AH81" s="21">
        <v>19.068000000000001</v>
      </c>
      <c r="AI81" s="21">
        <v>-1.50177E-2</v>
      </c>
      <c r="AJ81" s="21">
        <v>71</v>
      </c>
      <c r="AK81" s="21">
        <v>0.25698900000000002</v>
      </c>
      <c r="AL81">
        <f t="shared" si="18"/>
        <v>18.540370370370372</v>
      </c>
      <c r="AM81">
        <f t="shared" si="19"/>
        <v>4.7754061155555565</v>
      </c>
      <c r="AP81" s="9"/>
      <c r="AQ81" s="21">
        <v>1.46255</v>
      </c>
      <c r="AR81" s="21">
        <v>24.5928</v>
      </c>
      <c r="AS81" s="21">
        <v>-1.4236499999999999E-2</v>
      </c>
      <c r="AT81" s="21">
        <v>71</v>
      </c>
      <c r="AU81" s="21">
        <v>1.4617899999999999</v>
      </c>
      <c r="AV81">
        <f t="shared" si="20"/>
        <v>17.575925925925926</v>
      </c>
      <c r="AW81">
        <f t="shared" si="21"/>
        <v>25.705670462962964</v>
      </c>
      <c r="AX81" s="9"/>
      <c r="AY81" s="21">
        <v>0.25756800000000002</v>
      </c>
      <c r="AZ81" s="21">
        <v>28.452300000000001</v>
      </c>
      <c r="BA81" s="21">
        <v>-1.50055E-2</v>
      </c>
      <c r="BB81" s="21">
        <v>71</v>
      </c>
      <c r="BC81" s="21">
        <v>0.25705</v>
      </c>
      <c r="BD81">
        <f t="shared" si="22"/>
        <v>18.525308641975307</v>
      </c>
      <c r="BE81">
        <f t="shared" si="23"/>
        <v>4.7715266962962968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1.4575199999999999</v>
      </c>
      <c r="H82" s="21">
        <v>5.8034299999999996</v>
      </c>
      <c r="I82" s="21">
        <v>-1.4245600000000001E-2</v>
      </c>
      <c r="J82" s="21">
        <v>72</v>
      </c>
      <c r="K82" s="21">
        <v>1.4569099999999999</v>
      </c>
      <c r="L82">
        <f t="shared" si="12"/>
        <v>17.58716049382716</v>
      </c>
      <c r="M82">
        <f t="shared" si="13"/>
        <v>25.63363816296296</v>
      </c>
      <c r="N82" s="9"/>
      <c r="O82" s="21">
        <v>0.262604</v>
      </c>
      <c r="P82" s="21">
        <v>9.6629100000000001</v>
      </c>
      <c r="Q82" s="21">
        <v>-1.4996300000000001E-2</v>
      </c>
      <c r="R82" s="21">
        <v>72</v>
      </c>
      <c r="S82" s="21">
        <v>0.26202399999999998</v>
      </c>
      <c r="T82">
        <f t="shared" si="14"/>
        <v>18.51395061728395</v>
      </c>
      <c r="U82">
        <f t="shared" si="15"/>
        <v>4.8618374879012345</v>
      </c>
      <c r="X82" s="9"/>
      <c r="Y82" s="21">
        <v>1.4575199999999999</v>
      </c>
      <c r="Z82" s="21">
        <v>15.2186</v>
      </c>
      <c r="AA82" s="21">
        <v>-1.4208999999999999E-2</v>
      </c>
      <c r="AB82" s="21">
        <v>72</v>
      </c>
      <c r="AC82" s="21">
        <v>1.4565999999999999</v>
      </c>
      <c r="AD82">
        <f t="shared" si="16"/>
        <v>17.541975308641973</v>
      </c>
      <c r="AE82">
        <f t="shared" si="17"/>
        <v>25.567779851851846</v>
      </c>
      <c r="AF82" s="9"/>
      <c r="AG82" s="21">
        <v>0.262604</v>
      </c>
      <c r="AH82" s="21">
        <v>19.078099999999999</v>
      </c>
      <c r="AI82" s="21">
        <v>-1.50238E-2</v>
      </c>
      <c r="AJ82" s="21">
        <v>72</v>
      </c>
      <c r="AK82" s="21">
        <v>0.26202399999999998</v>
      </c>
      <c r="AL82">
        <f t="shared" si="18"/>
        <v>18.547901234567902</v>
      </c>
      <c r="AM82">
        <f t="shared" si="19"/>
        <v>4.8707530558024699</v>
      </c>
      <c r="AP82" s="9"/>
      <c r="AQ82" s="21">
        <v>1.4575199999999999</v>
      </c>
      <c r="AR82" s="21">
        <v>24.602900000000002</v>
      </c>
      <c r="AS82" s="21">
        <v>-1.4257799999999999E-2</v>
      </c>
      <c r="AT82" s="21">
        <v>72</v>
      </c>
      <c r="AU82" s="21">
        <v>1.4572099999999999</v>
      </c>
      <c r="AV82">
        <f t="shared" si="20"/>
        <v>17.60222222222222</v>
      </c>
      <c r="AW82">
        <f t="shared" si="21"/>
        <v>25.655590933333329</v>
      </c>
      <c r="AX82" s="9"/>
      <c r="AY82" s="21">
        <v>0.262604</v>
      </c>
      <c r="AZ82" s="21">
        <v>28.462399999999999</v>
      </c>
      <c r="BA82" s="21">
        <v>-1.4993299999999999E-2</v>
      </c>
      <c r="BB82" s="21">
        <v>72</v>
      </c>
      <c r="BC82" s="21">
        <v>0.26205400000000001</v>
      </c>
      <c r="BD82">
        <f t="shared" si="22"/>
        <v>18.510246913580243</v>
      </c>
      <c r="BE82">
        <f t="shared" si="23"/>
        <v>4.8608648804938266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1.45248</v>
      </c>
      <c r="H83" s="21">
        <v>5.81351</v>
      </c>
      <c r="I83" s="21">
        <v>-1.4267E-2</v>
      </c>
      <c r="J83" s="21">
        <v>73</v>
      </c>
      <c r="K83" s="21">
        <v>1.4520299999999999</v>
      </c>
      <c r="L83">
        <f t="shared" si="12"/>
        <v>17.613580246913582</v>
      </c>
      <c r="M83">
        <f t="shared" si="13"/>
        <v>25.583373037037038</v>
      </c>
      <c r="N83" s="9"/>
      <c r="O83" s="21">
        <v>0.26763900000000002</v>
      </c>
      <c r="P83" s="21">
        <v>9.6729800000000008</v>
      </c>
      <c r="Q83" s="21">
        <v>-1.4993299999999999E-2</v>
      </c>
      <c r="R83" s="21">
        <v>73</v>
      </c>
      <c r="S83" s="21">
        <v>0.26705899999999999</v>
      </c>
      <c r="T83">
        <f t="shared" si="14"/>
        <v>18.510246913580243</v>
      </c>
      <c r="U83">
        <f t="shared" si="15"/>
        <v>4.9540639737037031</v>
      </c>
      <c r="X83" s="9"/>
      <c r="Y83" s="21">
        <v>1.45248</v>
      </c>
      <c r="Z83" s="21">
        <v>15.2287</v>
      </c>
      <c r="AA83" s="21">
        <v>-1.42395E-2</v>
      </c>
      <c r="AB83" s="21">
        <v>73</v>
      </c>
      <c r="AC83" s="21">
        <v>1.4517199999999999</v>
      </c>
      <c r="AD83">
        <f t="shared" si="16"/>
        <v>17.579629629629629</v>
      </c>
      <c r="AE83">
        <f t="shared" si="17"/>
        <v>25.534060444444442</v>
      </c>
      <c r="AF83" s="9"/>
      <c r="AG83" s="21">
        <v>0.26763900000000002</v>
      </c>
      <c r="AH83" s="21">
        <v>19.088200000000001</v>
      </c>
      <c r="AI83" s="21">
        <v>-1.5020800000000001E-2</v>
      </c>
      <c r="AJ83" s="21">
        <v>73</v>
      </c>
      <c r="AK83" s="21">
        <v>0.26715100000000003</v>
      </c>
      <c r="AL83">
        <f t="shared" si="18"/>
        <v>18.544197530864199</v>
      </c>
      <c r="AM83">
        <f t="shared" si="19"/>
        <v>4.9631504829629636</v>
      </c>
      <c r="AP83" s="9"/>
      <c r="AQ83" s="21">
        <v>1.45248</v>
      </c>
      <c r="AR83" s="21">
        <v>24.6129</v>
      </c>
      <c r="AS83" s="21">
        <v>-1.42822E-2</v>
      </c>
      <c r="AT83" s="21">
        <v>73</v>
      </c>
      <c r="AU83" s="21">
        <v>1.4520299999999999</v>
      </c>
      <c r="AV83">
        <f t="shared" si="20"/>
        <v>17.632345679012342</v>
      </c>
      <c r="AW83">
        <f t="shared" si="21"/>
        <v>25.610629451851846</v>
      </c>
      <c r="AX83" s="9"/>
      <c r="AY83" s="21">
        <v>0.26763900000000002</v>
      </c>
      <c r="AZ83" s="21">
        <v>28.4724</v>
      </c>
      <c r="BA83" s="21">
        <v>-1.4993299999999999E-2</v>
      </c>
      <c r="BB83" s="21">
        <v>73</v>
      </c>
      <c r="BC83" s="21">
        <v>0.26708999999999999</v>
      </c>
      <c r="BD83">
        <f t="shared" si="22"/>
        <v>18.510246913580243</v>
      </c>
      <c r="BE83">
        <f t="shared" si="23"/>
        <v>4.9540639737037031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1.4474499999999999</v>
      </c>
      <c r="H84" s="21">
        <v>5.8235799999999998</v>
      </c>
      <c r="I84" s="21">
        <v>-1.4279200000000001E-2</v>
      </c>
      <c r="J84" s="21">
        <v>74</v>
      </c>
      <c r="K84" s="21">
        <v>1.4471400000000001</v>
      </c>
      <c r="L84">
        <f t="shared" si="12"/>
        <v>17.628641975308639</v>
      </c>
      <c r="M84">
        <f t="shared" si="13"/>
        <v>25.516577827160489</v>
      </c>
      <c r="N84" s="9"/>
      <c r="O84" s="21">
        <v>0.272675</v>
      </c>
      <c r="P84" s="21">
        <v>9.6830499999999997</v>
      </c>
      <c r="Q84" s="21">
        <v>-1.4987199999999999E-2</v>
      </c>
      <c r="R84" s="21">
        <v>74</v>
      </c>
      <c r="S84" s="21">
        <v>0.27200299999999999</v>
      </c>
      <c r="T84">
        <f t="shared" si="14"/>
        <v>18.502716049382713</v>
      </c>
      <c r="U84">
        <f t="shared" si="15"/>
        <v>5.0452280987654312</v>
      </c>
      <c r="X84" s="9"/>
      <c r="Y84" s="21">
        <v>1.4474499999999999</v>
      </c>
      <c r="Z84" s="21">
        <v>15.238799999999999</v>
      </c>
      <c r="AA84" s="21">
        <v>-1.42731E-2</v>
      </c>
      <c r="AB84" s="21">
        <v>74</v>
      </c>
      <c r="AC84" s="21">
        <v>1.4468399999999999</v>
      </c>
      <c r="AD84">
        <f t="shared" si="16"/>
        <v>17.621111111111112</v>
      </c>
      <c r="AE84">
        <f t="shared" si="17"/>
        <v>25.505677277777778</v>
      </c>
      <c r="AF84" s="9"/>
      <c r="AG84" s="21">
        <v>0.272675</v>
      </c>
      <c r="AH84" s="21">
        <v>19.098299999999998</v>
      </c>
      <c r="AI84" s="21">
        <v>-1.5026899999999999E-2</v>
      </c>
      <c r="AJ84" s="21">
        <v>74</v>
      </c>
      <c r="AK84" s="21">
        <v>0.27200299999999999</v>
      </c>
      <c r="AL84">
        <f t="shared" si="18"/>
        <v>18.551728395061726</v>
      </c>
      <c r="AM84">
        <f t="shared" si="19"/>
        <v>5.0585925401234562</v>
      </c>
      <c r="AP84" s="9"/>
      <c r="AQ84" s="21">
        <v>1.4474499999999999</v>
      </c>
      <c r="AR84" s="21">
        <v>24.623000000000001</v>
      </c>
      <c r="AS84" s="21">
        <v>-1.4300500000000001E-2</v>
      </c>
      <c r="AT84" s="21">
        <v>74</v>
      </c>
      <c r="AU84" s="21">
        <v>1.4468399999999999</v>
      </c>
      <c r="AV84">
        <f t="shared" si="20"/>
        <v>17.654938271604937</v>
      </c>
      <c r="AW84">
        <f t="shared" si="21"/>
        <v>25.554640401234565</v>
      </c>
      <c r="AX84" s="9"/>
      <c r="AY84" s="21">
        <v>0.272675</v>
      </c>
      <c r="AZ84" s="21">
        <v>28.482500000000002</v>
      </c>
      <c r="BA84" s="21">
        <v>-1.50055E-2</v>
      </c>
      <c r="BB84" s="21">
        <v>74</v>
      </c>
      <c r="BC84" s="21">
        <v>0.27209499999999998</v>
      </c>
      <c r="BD84">
        <f t="shared" si="22"/>
        <v>18.525308641975307</v>
      </c>
      <c r="BE84">
        <f t="shared" si="23"/>
        <v>5.0513885339506173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1.44241</v>
      </c>
      <c r="H85" s="21">
        <v>5.8336499999999996</v>
      </c>
      <c r="I85" s="21">
        <v>-1.4297499999999999E-2</v>
      </c>
      <c r="J85" s="21">
        <v>75</v>
      </c>
      <c r="K85" s="21">
        <v>1.4416500000000001</v>
      </c>
      <c r="L85">
        <f t="shared" si="12"/>
        <v>17.651234567901231</v>
      </c>
      <c r="M85">
        <f t="shared" si="13"/>
        <v>25.460317253086412</v>
      </c>
      <c r="N85" s="9"/>
      <c r="O85" s="21">
        <v>0.27771000000000001</v>
      </c>
      <c r="P85" s="21">
        <v>9.6931200000000004</v>
      </c>
      <c r="Q85" s="21">
        <v>-1.4981100000000001E-2</v>
      </c>
      <c r="R85" s="21">
        <v>75</v>
      </c>
      <c r="S85" s="21">
        <v>0.27703899999999998</v>
      </c>
      <c r="T85">
        <f t="shared" si="14"/>
        <v>18.495185185185186</v>
      </c>
      <c r="U85">
        <f t="shared" si="15"/>
        <v>5.1362978777777784</v>
      </c>
      <c r="X85" s="9"/>
      <c r="Y85" s="21">
        <v>1.44241</v>
      </c>
      <c r="Z85" s="21">
        <v>15.248900000000001</v>
      </c>
      <c r="AA85" s="21">
        <v>-1.43036E-2</v>
      </c>
      <c r="AB85" s="21">
        <v>75</v>
      </c>
      <c r="AC85" s="21">
        <v>1.4413499999999999</v>
      </c>
      <c r="AD85">
        <f t="shared" si="16"/>
        <v>17.658765432098765</v>
      </c>
      <c r="AE85">
        <f t="shared" si="17"/>
        <v>25.471179846913579</v>
      </c>
      <c r="AF85" s="9"/>
      <c r="AG85" s="21">
        <v>0.27771000000000001</v>
      </c>
      <c r="AH85" s="21">
        <v>19.1083</v>
      </c>
      <c r="AI85" s="21">
        <v>-1.5036000000000001E-2</v>
      </c>
      <c r="AJ85" s="21">
        <v>75</v>
      </c>
      <c r="AK85" s="21">
        <v>0.27716099999999999</v>
      </c>
      <c r="AL85">
        <f t="shared" si="18"/>
        <v>18.562962962962963</v>
      </c>
      <c r="AM85">
        <f t="shared" si="19"/>
        <v>5.1551204444444449</v>
      </c>
      <c r="AP85" s="9"/>
      <c r="AQ85" s="21">
        <v>1.44241</v>
      </c>
      <c r="AR85" s="21">
        <v>24.633099999999999</v>
      </c>
      <c r="AS85" s="21">
        <v>-1.43188E-2</v>
      </c>
      <c r="AT85" s="21">
        <v>75</v>
      </c>
      <c r="AU85" s="21">
        <v>1.4419599999999999</v>
      </c>
      <c r="AV85">
        <f t="shared" si="20"/>
        <v>17.677530864197529</v>
      </c>
      <c r="AW85">
        <f t="shared" si="21"/>
        <v>25.498247293827156</v>
      </c>
      <c r="AX85" s="9"/>
      <c r="AY85" s="21">
        <v>0.27771000000000001</v>
      </c>
      <c r="AZ85" s="21">
        <v>28.492599999999999</v>
      </c>
      <c r="BA85" s="21">
        <v>-1.50177E-2</v>
      </c>
      <c r="BB85" s="21">
        <v>75</v>
      </c>
      <c r="BC85" s="21">
        <v>0.27719100000000002</v>
      </c>
      <c r="BD85">
        <f t="shared" si="22"/>
        <v>18.540370370370372</v>
      </c>
      <c r="BE85">
        <f t="shared" si="23"/>
        <v>5.1488462555555561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1.4373800000000001</v>
      </c>
      <c r="H86" s="21">
        <v>5.8437200000000002</v>
      </c>
      <c r="I86" s="21">
        <v>-1.43158E-2</v>
      </c>
      <c r="J86" s="21">
        <v>76</v>
      </c>
      <c r="K86" s="21">
        <v>1.4364600000000001</v>
      </c>
      <c r="L86">
        <f t="shared" si="12"/>
        <v>17.673827160493826</v>
      </c>
      <c r="M86">
        <f t="shared" si="13"/>
        <v>25.404005683950615</v>
      </c>
      <c r="N86" s="9"/>
      <c r="O86" s="21">
        <v>0.28274500000000002</v>
      </c>
      <c r="P86" s="21">
        <v>9.7031899999999993</v>
      </c>
      <c r="Q86" s="21">
        <v>-1.49841E-2</v>
      </c>
      <c r="R86" s="21">
        <v>76</v>
      </c>
      <c r="S86" s="21">
        <v>0.28216599999999997</v>
      </c>
      <c r="T86">
        <f t="shared" si="14"/>
        <v>18.498888888888889</v>
      </c>
      <c r="U86">
        <f t="shared" si="15"/>
        <v>5.2304683388888895</v>
      </c>
      <c r="X86" s="9"/>
      <c r="Y86" s="21">
        <v>1.4373800000000001</v>
      </c>
      <c r="Z86" s="21">
        <v>15.258900000000001</v>
      </c>
      <c r="AA86" s="21">
        <v>-1.4331099999999999E-2</v>
      </c>
      <c r="AB86" s="21">
        <v>76</v>
      </c>
      <c r="AC86" s="21">
        <v>1.4361600000000001</v>
      </c>
      <c r="AD86">
        <f t="shared" si="16"/>
        <v>17.692716049382714</v>
      </c>
      <c r="AE86">
        <f t="shared" si="17"/>
        <v>25.431156195061728</v>
      </c>
      <c r="AF86" s="9"/>
      <c r="AG86" s="21">
        <v>0.28274500000000002</v>
      </c>
      <c r="AH86" s="21">
        <v>19.118400000000001</v>
      </c>
      <c r="AI86" s="21">
        <v>-1.50452E-2</v>
      </c>
      <c r="AJ86" s="21">
        <v>76</v>
      </c>
      <c r="AK86" s="21">
        <v>0.28216599999999997</v>
      </c>
      <c r="AL86">
        <f t="shared" si="18"/>
        <v>18.574320987654321</v>
      </c>
      <c r="AM86">
        <f t="shared" si="19"/>
        <v>5.2517963876543217</v>
      </c>
      <c r="AP86" s="9"/>
      <c r="AQ86" s="21">
        <v>1.4373800000000001</v>
      </c>
      <c r="AR86" s="21">
        <v>24.6432</v>
      </c>
      <c r="AS86" s="21">
        <v>-1.4331099999999999E-2</v>
      </c>
      <c r="AT86" s="21">
        <v>76</v>
      </c>
      <c r="AU86" s="21">
        <v>1.4370700000000001</v>
      </c>
      <c r="AV86">
        <f t="shared" si="20"/>
        <v>17.692716049382714</v>
      </c>
      <c r="AW86">
        <f t="shared" si="21"/>
        <v>25.431156195061728</v>
      </c>
      <c r="AX86" s="9"/>
      <c r="AY86" s="21">
        <v>0.28274500000000002</v>
      </c>
      <c r="AZ86" s="21">
        <v>28.502600000000001</v>
      </c>
      <c r="BA86" s="21">
        <v>-1.50177E-2</v>
      </c>
      <c r="BB86" s="21">
        <v>76</v>
      </c>
      <c r="BC86" s="21">
        <v>0.28216599999999997</v>
      </c>
      <c r="BD86">
        <f t="shared" si="22"/>
        <v>18.540370370370372</v>
      </c>
      <c r="BE86">
        <f t="shared" si="23"/>
        <v>5.2421970203703712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1.4323399999999999</v>
      </c>
      <c r="H87" s="21">
        <v>5.85379</v>
      </c>
      <c r="I87" s="21">
        <v>-1.4331099999999999E-2</v>
      </c>
      <c r="J87" s="21">
        <v>77</v>
      </c>
      <c r="K87" s="21">
        <v>1.4315800000000001</v>
      </c>
      <c r="L87">
        <f t="shared" si="12"/>
        <v>17.692716049382714</v>
      </c>
      <c r="M87">
        <f t="shared" si="13"/>
        <v>25.341984906172836</v>
      </c>
      <c r="N87" s="9"/>
      <c r="O87" s="21">
        <v>0.28778100000000001</v>
      </c>
      <c r="P87" s="21">
        <v>9.7132699999999996</v>
      </c>
      <c r="Q87" s="21">
        <v>-1.4987199999999999E-2</v>
      </c>
      <c r="R87" s="21">
        <v>77</v>
      </c>
      <c r="S87" s="21">
        <v>0.28723100000000001</v>
      </c>
      <c r="T87">
        <f t="shared" si="14"/>
        <v>18.502716049382713</v>
      </c>
      <c r="U87">
        <f t="shared" si="15"/>
        <v>5.3247301274074061</v>
      </c>
      <c r="X87" s="9"/>
      <c r="Y87" s="21">
        <v>1.4323399999999999</v>
      </c>
      <c r="Z87" s="21">
        <v>15.269</v>
      </c>
      <c r="AA87" s="21">
        <v>-1.43524E-2</v>
      </c>
      <c r="AB87" s="21">
        <v>77</v>
      </c>
      <c r="AC87" s="21">
        <v>1.43188</v>
      </c>
      <c r="AD87">
        <f t="shared" si="16"/>
        <v>17.719012345679008</v>
      </c>
      <c r="AE87">
        <f t="shared" si="17"/>
        <v>25.379650143209869</v>
      </c>
      <c r="AF87" s="9"/>
      <c r="AG87" s="21">
        <v>0.28778100000000001</v>
      </c>
      <c r="AH87" s="21">
        <v>19.128499999999999</v>
      </c>
      <c r="AI87" s="21">
        <v>-1.5042099999999999E-2</v>
      </c>
      <c r="AJ87" s="21">
        <v>77</v>
      </c>
      <c r="AK87" s="21">
        <v>0.28716999999999998</v>
      </c>
      <c r="AL87">
        <f t="shared" si="18"/>
        <v>18.570493827160494</v>
      </c>
      <c r="AM87">
        <f t="shared" si="19"/>
        <v>5.3442352840740739</v>
      </c>
      <c r="AP87" s="9"/>
      <c r="AQ87" s="21">
        <v>1.4323399999999999</v>
      </c>
      <c r="AR87" s="21">
        <v>24.653199999999998</v>
      </c>
      <c r="AS87" s="21">
        <v>-1.43524E-2</v>
      </c>
      <c r="AT87" s="21">
        <v>77</v>
      </c>
      <c r="AU87" s="21">
        <v>1.43127</v>
      </c>
      <c r="AV87">
        <f t="shared" si="20"/>
        <v>17.719012345679008</v>
      </c>
      <c r="AW87">
        <f t="shared" si="21"/>
        <v>25.379650143209869</v>
      </c>
      <c r="AX87" s="9"/>
      <c r="AY87" s="21">
        <v>0.28778100000000001</v>
      </c>
      <c r="AZ87" s="21">
        <v>28.512699999999999</v>
      </c>
      <c r="BA87" s="21">
        <v>-1.5014599999999999E-2</v>
      </c>
      <c r="BB87" s="21">
        <v>77</v>
      </c>
      <c r="BC87" s="21">
        <v>0.28716999999999998</v>
      </c>
      <c r="BD87">
        <f t="shared" si="22"/>
        <v>18.536543209876541</v>
      </c>
      <c r="BE87">
        <f t="shared" si="23"/>
        <v>5.3344649414814809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1.4273100000000001</v>
      </c>
      <c r="H88" s="21">
        <v>5.8638599999999999</v>
      </c>
      <c r="I88" s="21">
        <v>-1.43433E-2</v>
      </c>
      <c r="J88" s="21">
        <v>78</v>
      </c>
      <c r="K88" s="21">
        <v>1.4267000000000001</v>
      </c>
      <c r="L88">
        <f t="shared" si="12"/>
        <v>17.707777777777778</v>
      </c>
      <c r="M88">
        <f t="shared" si="13"/>
        <v>25.274488300000002</v>
      </c>
      <c r="N88" s="9"/>
      <c r="O88" s="21">
        <v>0.29281600000000002</v>
      </c>
      <c r="P88" s="21">
        <v>9.7233400000000003</v>
      </c>
      <c r="Q88" s="21">
        <v>-1.49902E-2</v>
      </c>
      <c r="R88" s="21">
        <v>78</v>
      </c>
      <c r="S88" s="21">
        <v>0.292267</v>
      </c>
      <c r="T88">
        <f t="shared" si="14"/>
        <v>18.506419753086419</v>
      </c>
      <c r="U88">
        <f t="shared" si="15"/>
        <v>5.4189758064197537</v>
      </c>
      <c r="X88" s="9"/>
      <c r="Y88" s="21">
        <v>1.4273100000000001</v>
      </c>
      <c r="Z88" s="21">
        <v>15.2791</v>
      </c>
      <c r="AA88" s="21">
        <v>-1.4373800000000001E-2</v>
      </c>
      <c r="AB88" s="21">
        <v>78</v>
      </c>
      <c r="AC88" s="21">
        <v>1.42639</v>
      </c>
      <c r="AD88">
        <f t="shared" si="16"/>
        <v>17.745432098765431</v>
      </c>
      <c r="AE88">
        <f t="shared" si="17"/>
        <v>25.328232688888889</v>
      </c>
      <c r="AF88" s="9"/>
      <c r="AG88" s="21">
        <v>0.29281600000000002</v>
      </c>
      <c r="AH88" s="21">
        <v>19.138500000000001</v>
      </c>
      <c r="AI88" s="21">
        <v>-1.50391E-2</v>
      </c>
      <c r="AJ88" s="21">
        <v>78</v>
      </c>
      <c r="AK88" s="21">
        <v>0.29238900000000001</v>
      </c>
      <c r="AL88">
        <f t="shared" si="18"/>
        <v>18.566790123456791</v>
      </c>
      <c r="AM88">
        <f t="shared" si="19"/>
        <v>5.4366532167901243</v>
      </c>
      <c r="AP88" s="9"/>
      <c r="AQ88" s="21">
        <v>1.4273100000000001</v>
      </c>
      <c r="AR88" s="21">
        <v>24.6633</v>
      </c>
      <c r="AS88" s="21">
        <v>-1.43768E-2</v>
      </c>
      <c r="AT88" s="21">
        <v>78</v>
      </c>
      <c r="AU88" s="21">
        <v>1.42639</v>
      </c>
      <c r="AV88">
        <f t="shared" si="20"/>
        <v>17.749135802469137</v>
      </c>
      <c r="AW88">
        <f t="shared" si="21"/>
        <v>25.333519022222227</v>
      </c>
      <c r="AX88" s="9"/>
      <c r="AY88" s="21">
        <v>0.29281600000000002</v>
      </c>
      <c r="AZ88" s="21">
        <v>28.5228</v>
      </c>
      <c r="BA88" s="21">
        <v>-1.50177E-2</v>
      </c>
      <c r="BB88" s="21">
        <v>78</v>
      </c>
      <c r="BC88" s="21">
        <v>0.292236</v>
      </c>
      <c r="BD88">
        <f t="shared" si="22"/>
        <v>18.540370370370372</v>
      </c>
      <c r="BE88">
        <f t="shared" si="23"/>
        <v>5.428917090370371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1.4222699999999999</v>
      </c>
      <c r="H89" s="21">
        <v>5.8739299999999997</v>
      </c>
      <c r="I89" s="21">
        <v>-1.43585E-2</v>
      </c>
      <c r="J89" s="21">
        <v>79</v>
      </c>
      <c r="K89" s="21">
        <v>1.42181</v>
      </c>
      <c r="L89">
        <f t="shared" si="12"/>
        <v>17.726543209876542</v>
      </c>
      <c r="M89">
        <f t="shared" si="13"/>
        <v>25.211930611111107</v>
      </c>
      <c r="N89" s="9"/>
      <c r="O89" s="21">
        <v>0.29785200000000001</v>
      </c>
      <c r="P89" s="21">
        <v>9.7334099999999992</v>
      </c>
      <c r="Q89" s="21">
        <v>-1.4981100000000001E-2</v>
      </c>
      <c r="R89" s="21">
        <v>79</v>
      </c>
      <c r="S89" s="21">
        <v>0.29724099999999998</v>
      </c>
      <c r="T89">
        <f t="shared" si="14"/>
        <v>18.495185185185186</v>
      </c>
      <c r="U89">
        <f t="shared" si="15"/>
        <v>5.5088278977777776</v>
      </c>
      <c r="X89" s="9"/>
      <c r="Y89" s="21">
        <v>1.4222699999999999</v>
      </c>
      <c r="Z89" s="21">
        <v>15.289099999999999</v>
      </c>
      <c r="AA89" s="21">
        <v>-1.4389000000000001E-2</v>
      </c>
      <c r="AB89" s="21">
        <v>79</v>
      </c>
      <c r="AC89" s="21">
        <v>1.42181</v>
      </c>
      <c r="AD89">
        <f t="shared" si="16"/>
        <v>17.764197530864198</v>
      </c>
      <c r="AE89">
        <f t="shared" si="17"/>
        <v>25.265485222222221</v>
      </c>
      <c r="AF89" s="9"/>
      <c r="AG89" s="21">
        <v>0.29785200000000001</v>
      </c>
      <c r="AH89" s="21">
        <v>19.148599999999998</v>
      </c>
      <c r="AI89" s="21">
        <v>-1.5032999999999999E-2</v>
      </c>
      <c r="AJ89" s="21">
        <v>79</v>
      </c>
      <c r="AK89" s="21">
        <v>0.29724099999999998</v>
      </c>
      <c r="AL89">
        <f t="shared" si="18"/>
        <v>18.559259259259257</v>
      </c>
      <c r="AM89">
        <f t="shared" si="19"/>
        <v>5.5279124888888882</v>
      </c>
      <c r="AP89" s="9"/>
      <c r="AQ89" s="21">
        <v>1.4222699999999999</v>
      </c>
      <c r="AR89" s="21">
        <v>24.673400000000001</v>
      </c>
      <c r="AS89" s="21">
        <v>-1.43921E-2</v>
      </c>
      <c r="AT89" s="21">
        <v>79</v>
      </c>
      <c r="AU89" s="21">
        <v>1.42181</v>
      </c>
      <c r="AV89">
        <f t="shared" si="20"/>
        <v>17.768024691358022</v>
      </c>
      <c r="AW89">
        <f t="shared" si="21"/>
        <v>25.270928477777773</v>
      </c>
      <c r="AX89" s="9"/>
      <c r="AY89" s="21">
        <v>0.29785200000000001</v>
      </c>
      <c r="AZ89" s="21">
        <v>28.532900000000001</v>
      </c>
      <c r="BA89" s="21">
        <v>-1.50177E-2</v>
      </c>
      <c r="BB89" s="21">
        <v>79</v>
      </c>
      <c r="BC89" s="21">
        <v>0.29724099999999998</v>
      </c>
      <c r="BD89">
        <f t="shared" si="22"/>
        <v>18.540370370370372</v>
      </c>
      <c r="BE89">
        <f t="shared" si="23"/>
        <v>5.5222863955555566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1.4172400000000001</v>
      </c>
      <c r="H90" s="21">
        <v>5.8840000000000003</v>
      </c>
      <c r="I90" s="21">
        <v>-1.43768E-2</v>
      </c>
      <c r="J90" s="21">
        <v>80</v>
      </c>
      <c r="K90" s="21">
        <v>1.41693</v>
      </c>
      <c r="L90">
        <f t="shared" si="12"/>
        <v>17.749135802469137</v>
      </c>
      <c r="M90">
        <f t="shared" si="13"/>
        <v>25.154785224691363</v>
      </c>
      <c r="N90" s="9"/>
      <c r="O90" s="21">
        <v>0.30288700000000002</v>
      </c>
      <c r="P90" s="21">
        <v>9.7434799999999999</v>
      </c>
      <c r="Q90" s="21">
        <v>-1.49841E-2</v>
      </c>
      <c r="R90" s="21">
        <v>80</v>
      </c>
      <c r="S90" s="21">
        <v>0.30236800000000003</v>
      </c>
      <c r="T90">
        <f t="shared" si="14"/>
        <v>18.498888888888889</v>
      </c>
      <c r="U90">
        <f t="shared" si="15"/>
        <v>5.6030729588888892</v>
      </c>
      <c r="X90" s="9"/>
      <c r="Y90" s="21">
        <v>1.4172400000000001</v>
      </c>
      <c r="Z90" s="21">
        <v>15.299200000000001</v>
      </c>
      <c r="AA90" s="21">
        <v>-1.4401199999999999E-2</v>
      </c>
      <c r="AB90" s="21">
        <v>80</v>
      </c>
      <c r="AC90" s="21">
        <v>1.4166300000000001</v>
      </c>
      <c r="AD90">
        <f t="shared" si="16"/>
        <v>17.779259259259259</v>
      </c>
      <c r="AE90">
        <f t="shared" si="17"/>
        <v>25.197477392592592</v>
      </c>
      <c r="AF90" s="9"/>
      <c r="AG90" s="21">
        <v>0.30288700000000002</v>
      </c>
      <c r="AH90" s="21">
        <v>19.1587</v>
      </c>
      <c r="AI90" s="21">
        <v>-1.5020800000000001E-2</v>
      </c>
      <c r="AJ90" s="21">
        <v>80</v>
      </c>
      <c r="AK90" s="21">
        <v>0.30230699999999999</v>
      </c>
      <c r="AL90">
        <f t="shared" si="18"/>
        <v>18.544197530864199</v>
      </c>
      <c r="AM90">
        <f t="shared" si="19"/>
        <v>5.6167963575308653</v>
      </c>
      <c r="AP90" s="9"/>
      <c r="AQ90" s="21">
        <v>1.4172400000000001</v>
      </c>
      <c r="AR90" s="21">
        <v>24.683399999999999</v>
      </c>
      <c r="AS90" s="21">
        <v>-1.44043E-2</v>
      </c>
      <c r="AT90" s="21">
        <v>80</v>
      </c>
      <c r="AU90" s="21">
        <v>1.41693</v>
      </c>
      <c r="AV90">
        <f t="shared" si="20"/>
        <v>17.783086419753086</v>
      </c>
      <c r="AW90">
        <f t="shared" si="21"/>
        <v>25.202901397530866</v>
      </c>
      <c r="AX90" s="9"/>
      <c r="AY90" s="21">
        <v>0.30288700000000002</v>
      </c>
      <c r="AZ90" s="21">
        <v>28.542899999999999</v>
      </c>
      <c r="BA90" s="21">
        <v>-1.5008499999999999E-2</v>
      </c>
      <c r="BB90" s="21">
        <v>80</v>
      </c>
      <c r="BC90" s="21">
        <v>0.30227700000000002</v>
      </c>
      <c r="BD90">
        <f t="shared" si="22"/>
        <v>18.529012345679011</v>
      </c>
      <c r="BE90">
        <f t="shared" si="23"/>
        <v>5.6121969623456787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1.4121999999999999</v>
      </c>
      <c r="H91" s="21">
        <v>5.8940700000000001</v>
      </c>
      <c r="I91" s="21">
        <v>-1.4389000000000001E-2</v>
      </c>
      <c r="J91" s="21">
        <v>81</v>
      </c>
      <c r="K91" s="21">
        <v>1.41205</v>
      </c>
      <c r="L91">
        <f t="shared" si="12"/>
        <v>17.764197530864198</v>
      </c>
      <c r="M91">
        <f t="shared" si="13"/>
        <v>25.086599753086418</v>
      </c>
      <c r="N91" s="9"/>
      <c r="O91" s="21">
        <v>0.30792199999999997</v>
      </c>
      <c r="P91" s="21">
        <v>9.7535500000000006</v>
      </c>
      <c r="Q91" s="21">
        <v>-1.4981100000000001E-2</v>
      </c>
      <c r="R91" s="21">
        <v>81</v>
      </c>
      <c r="S91" s="21">
        <v>0.307251</v>
      </c>
      <c r="T91">
        <f t="shared" si="14"/>
        <v>18.495185185185186</v>
      </c>
      <c r="U91">
        <f t="shared" si="15"/>
        <v>5.6950744125925921</v>
      </c>
      <c r="X91" s="9"/>
      <c r="Y91" s="21">
        <v>1.4121999999999999</v>
      </c>
      <c r="Z91" s="21">
        <v>15.3093</v>
      </c>
      <c r="AA91" s="21">
        <v>-1.44257E-2</v>
      </c>
      <c r="AB91" s="21">
        <v>81</v>
      </c>
      <c r="AC91" s="21">
        <v>1.41174</v>
      </c>
      <c r="AD91">
        <f t="shared" si="16"/>
        <v>17.809506172839505</v>
      </c>
      <c r="AE91">
        <f t="shared" si="17"/>
        <v>25.150584617283947</v>
      </c>
      <c r="AF91" s="9"/>
      <c r="AG91" s="21">
        <v>0.30792199999999997</v>
      </c>
      <c r="AH91" s="21">
        <v>19.168800000000001</v>
      </c>
      <c r="AI91" s="21">
        <v>-1.50238E-2</v>
      </c>
      <c r="AJ91" s="21">
        <v>81</v>
      </c>
      <c r="AK91" s="21">
        <v>0.30728100000000003</v>
      </c>
      <c r="AL91">
        <f t="shared" si="18"/>
        <v>18.547901234567902</v>
      </c>
      <c r="AM91">
        <f t="shared" si="19"/>
        <v>5.7113068439506174</v>
      </c>
      <c r="AP91" s="9"/>
      <c r="AQ91" s="21">
        <v>1.4121999999999999</v>
      </c>
      <c r="AR91" s="21">
        <v>24.6935</v>
      </c>
      <c r="AS91" s="21">
        <v>-1.44165E-2</v>
      </c>
      <c r="AT91" s="21">
        <v>81</v>
      </c>
      <c r="AU91" s="21">
        <v>1.41144</v>
      </c>
      <c r="AV91">
        <f t="shared" si="20"/>
        <v>17.798148148148147</v>
      </c>
      <c r="AW91">
        <f t="shared" si="21"/>
        <v>25.134544814814813</v>
      </c>
      <c r="AX91" s="9"/>
      <c r="AY91" s="21">
        <v>0.30792199999999997</v>
      </c>
      <c r="AZ91" s="21">
        <v>28.553000000000001</v>
      </c>
      <c r="BA91" s="21">
        <v>-1.5014599999999999E-2</v>
      </c>
      <c r="BB91" s="21">
        <v>81</v>
      </c>
      <c r="BC91" s="21">
        <v>0.30737300000000001</v>
      </c>
      <c r="BD91">
        <f t="shared" si="22"/>
        <v>18.536543209876541</v>
      </c>
      <c r="BE91">
        <f t="shared" si="23"/>
        <v>5.7078094582716039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1.40717</v>
      </c>
      <c r="H92" s="21">
        <v>5.9041399999999999</v>
      </c>
      <c r="I92" s="21">
        <v>-1.44073E-2</v>
      </c>
      <c r="J92" s="21">
        <v>82</v>
      </c>
      <c r="K92" s="21">
        <v>1.40594</v>
      </c>
      <c r="L92">
        <f t="shared" si="12"/>
        <v>17.78679012345679</v>
      </c>
      <c r="M92">
        <f t="shared" si="13"/>
        <v>25.029037458024693</v>
      </c>
      <c r="N92" s="9"/>
      <c r="O92" s="21">
        <v>0.31295800000000001</v>
      </c>
      <c r="P92" s="21">
        <v>9.7636199999999995</v>
      </c>
      <c r="Q92" s="21">
        <v>-1.4978E-2</v>
      </c>
      <c r="R92" s="21">
        <v>82</v>
      </c>
      <c r="S92" s="21">
        <v>0.31234699999999999</v>
      </c>
      <c r="T92">
        <f t="shared" si="14"/>
        <v>18.491358024691355</v>
      </c>
      <c r="U92">
        <f t="shared" si="15"/>
        <v>5.7870184246913574</v>
      </c>
      <c r="X92" s="9"/>
      <c r="Y92" s="21">
        <v>1.40717</v>
      </c>
      <c r="Z92" s="21">
        <v>15.3194</v>
      </c>
      <c r="AA92" s="21">
        <v>-1.44379E-2</v>
      </c>
      <c r="AB92" s="21">
        <v>82</v>
      </c>
      <c r="AC92" s="21">
        <v>1.40656</v>
      </c>
      <c r="AD92">
        <f t="shared" si="16"/>
        <v>17.824567901234566</v>
      </c>
      <c r="AE92">
        <f t="shared" si="17"/>
        <v>25.082197213580244</v>
      </c>
      <c r="AF92" s="9"/>
      <c r="AG92" s="21">
        <v>0.31295800000000001</v>
      </c>
      <c r="AH92" s="21">
        <v>19.178799999999999</v>
      </c>
      <c r="AI92" s="21">
        <v>-1.5029900000000001E-2</v>
      </c>
      <c r="AJ92" s="21">
        <v>82</v>
      </c>
      <c r="AK92" s="21">
        <v>0.31231700000000001</v>
      </c>
      <c r="AL92">
        <f t="shared" si="18"/>
        <v>18.555432098765429</v>
      </c>
      <c r="AM92">
        <f t="shared" si="19"/>
        <v>5.8070709187654312</v>
      </c>
      <c r="AP92" s="9"/>
      <c r="AQ92" s="21">
        <v>1.40717</v>
      </c>
      <c r="AR92" s="21">
        <v>24.703600000000002</v>
      </c>
      <c r="AS92" s="21">
        <v>-1.44318E-2</v>
      </c>
      <c r="AT92" s="21">
        <v>82</v>
      </c>
      <c r="AU92" s="21">
        <v>1.40686</v>
      </c>
      <c r="AV92">
        <f t="shared" si="20"/>
        <v>17.817037037037036</v>
      </c>
      <c r="AW92">
        <f t="shared" si="21"/>
        <v>25.071600007407405</v>
      </c>
      <c r="AX92" s="9"/>
      <c r="AY92" s="21">
        <v>0.31295800000000001</v>
      </c>
      <c r="AZ92" s="21">
        <v>28.563099999999999</v>
      </c>
      <c r="BA92" s="21">
        <v>-1.5020800000000001E-2</v>
      </c>
      <c r="BB92" s="21">
        <v>82</v>
      </c>
      <c r="BC92" s="21">
        <v>0.31237799999999999</v>
      </c>
      <c r="BD92">
        <f t="shared" si="22"/>
        <v>18.544197530864199</v>
      </c>
      <c r="BE92">
        <f t="shared" si="23"/>
        <v>5.803554970864198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1.4021300000000001</v>
      </c>
      <c r="H93" s="21">
        <v>5.9142200000000003</v>
      </c>
      <c r="I93" s="21">
        <v>-1.44257E-2</v>
      </c>
      <c r="J93" s="21">
        <v>83</v>
      </c>
      <c r="K93" s="21">
        <v>1.40167</v>
      </c>
      <c r="L93">
        <f t="shared" si="12"/>
        <v>17.809506172839505</v>
      </c>
      <c r="M93">
        <f t="shared" si="13"/>
        <v>24.971242890123456</v>
      </c>
      <c r="N93" s="9"/>
      <c r="O93" s="21">
        <v>0.31799300000000003</v>
      </c>
      <c r="P93" s="21">
        <v>9.7736900000000002</v>
      </c>
      <c r="Q93" s="21">
        <v>-1.4975E-2</v>
      </c>
      <c r="R93" s="21">
        <v>83</v>
      </c>
      <c r="S93" s="21">
        <v>0.317413</v>
      </c>
      <c r="T93">
        <f t="shared" si="14"/>
        <v>18.487654320987652</v>
      </c>
      <c r="U93">
        <f t="shared" si="15"/>
        <v>5.8789446604938265</v>
      </c>
      <c r="X93" s="9"/>
      <c r="Y93" s="21">
        <v>1.4021300000000001</v>
      </c>
      <c r="Z93" s="21">
        <v>15.3294</v>
      </c>
      <c r="AA93" s="21">
        <v>-1.44592E-2</v>
      </c>
      <c r="AB93" s="21">
        <v>83</v>
      </c>
      <c r="AC93" s="21">
        <v>1.40106</v>
      </c>
      <c r="AD93">
        <f t="shared" si="16"/>
        <v>17.850864197530864</v>
      </c>
      <c r="AE93">
        <f t="shared" si="17"/>
        <v>25.029232217283951</v>
      </c>
      <c r="AF93" s="9"/>
      <c r="AG93" s="21">
        <v>0.31799300000000003</v>
      </c>
      <c r="AH93" s="21">
        <v>19.1889</v>
      </c>
      <c r="AI93" s="21">
        <v>-1.5036000000000001E-2</v>
      </c>
      <c r="AJ93" s="21">
        <v>83</v>
      </c>
      <c r="AK93" s="21">
        <v>0.31732199999999999</v>
      </c>
      <c r="AL93">
        <f t="shared" si="18"/>
        <v>18.562962962962963</v>
      </c>
      <c r="AM93">
        <f t="shared" si="19"/>
        <v>5.9028922814814822</v>
      </c>
      <c r="AP93" s="9"/>
      <c r="AQ93" s="21">
        <v>1.4021300000000001</v>
      </c>
      <c r="AR93" s="21">
        <v>24.713699999999999</v>
      </c>
      <c r="AS93" s="21">
        <v>-1.4444E-2</v>
      </c>
      <c r="AT93" s="21">
        <v>83</v>
      </c>
      <c r="AU93" s="21">
        <v>1.40137</v>
      </c>
      <c r="AV93">
        <f t="shared" si="20"/>
        <v>17.832098765432097</v>
      </c>
      <c r="AW93">
        <f t="shared" si="21"/>
        <v>25.002920641975308</v>
      </c>
      <c r="AX93" s="9"/>
      <c r="AY93" s="21">
        <v>0.31799300000000003</v>
      </c>
      <c r="AZ93" s="21">
        <v>28.5731</v>
      </c>
      <c r="BA93" s="21">
        <v>-1.5029900000000001E-2</v>
      </c>
      <c r="BB93" s="21">
        <v>83</v>
      </c>
      <c r="BC93" s="21">
        <v>0.31738300000000003</v>
      </c>
      <c r="BD93">
        <f t="shared" si="22"/>
        <v>18.555432098765429</v>
      </c>
      <c r="BE93">
        <f t="shared" si="23"/>
        <v>5.900497519382716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1.3970899999999999</v>
      </c>
      <c r="H94" s="21">
        <v>5.9242900000000001</v>
      </c>
      <c r="I94" s="21">
        <v>-1.44409E-2</v>
      </c>
      <c r="J94" s="21">
        <v>84</v>
      </c>
      <c r="K94" s="21">
        <v>1.3958699999999999</v>
      </c>
      <c r="L94">
        <f t="shared" si="12"/>
        <v>17.828271604938269</v>
      </c>
      <c r="M94">
        <f t="shared" si="13"/>
        <v>24.907699976543206</v>
      </c>
      <c r="N94" s="9"/>
      <c r="O94" s="21">
        <v>0.32302900000000001</v>
      </c>
      <c r="P94" s="21">
        <v>9.7837599999999991</v>
      </c>
      <c r="Q94" s="21">
        <v>-1.49628E-2</v>
      </c>
      <c r="R94" s="21">
        <v>84</v>
      </c>
      <c r="S94" s="21">
        <v>0.32241799999999998</v>
      </c>
      <c r="T94">
        <f t="shared" si="14"/>
        <v>18.472592592592594</v>
      </c>
      <c r="U94">
        <f t="shared" si="15"/>
        <v>5.9671831125925934</v>
      </c>
      <c r="X94" s="9"/>
      <c r="Y94" s="21">
        <v>1.3970899999999999</v>
      </c>
      <c r="Z94" s="21">
        <v>15.339499999999999</v>
      </c>
      <c r="AA94" s="21">
        <v>-1.4477500000000001E-2</v>
      </c>
      <c r="AB94" s="21">
        <v>84</v>
      </c>
      <c r="AC94" s="21">
        <v>1.39618</v>
      </c>
      <c r="AD94">
        <f t="shared" si="16"/>
        <v>17.873456790123456</v>
      </c>
      <c r="AE94">
        <f t="shared" si="17"/>
        <v>24.970827746913578</v>
      </c>
      <c r="AF94" s="9"/>
      <c r="AG94" s="21">
        <v>0.32302900000000001</v>
      </c>
      <c r="AH94" s="21">
        <v>19.199000000000002</v>
      </c>
      <c r="AI94" s="21">
        <v>-1.5036000000000001E-2</v>
      </c>
      <c r="AJ94" s="21">
        <v>84</v>
      </c>
      <c r="AK94" s="21">
        <v>0.32244899999999999</v>
      </c>
      <c r="AL94">
        <f t="shared" si="18"/>
        <v>18.562962962962963</v>
      </c>
      <c r="AM94">
        <f t="shared" si="19"/>
        <v>5.9963753629629633</v>
      </c>
      <c r="AP94" s="9"/>
      <c r="AQ94" s="21">
        <v>1.3970899999999999</v>
      </c>
      <c r="AR94" s="21">
        <v>24.723700000000001</v>
      </c>
      <c r="AS94" s="21">
        <v>-1.44653E-2</v>
      </c>
      <c r="AT94" s="21">
        <v>84</v>
      </c>
      <c r="AU94" s="21">
        <v>1.3964799999999999</v>
      </c>
      <c r="AV94">
        <f t="shared" si="20"/>
        <v>17.858395061728395</v>
      </c>
      <c r="AW94">
        <f t="shared" si="21"/>
        <v>24.949785156790121</v>
      </c>
      <c r="AX94" s="9"/>
      <c r="AY94" s="21">
        <v>0.32302900000000001</v>
      </c>
      <c r="AZ94" s="21">
        <v>28.583200000000001</v>
      </c>
      <c r="BA94" s="21">
        <v>-1.50177E-2</v>
      </c>
      <c r="BB94" s="21">
        <v>84</v>
      </c>
      <c r="BC94" s="21">
        <v>0.32247900000000002</v>
      </c>
      <c r="BD94">
        <f t="shared" si="22"/>
        <v>18.540370370370372</v>
      </c>
      <c r="BE94">
        <f t="shared" si="23"/>
        <v>5.9890773003703712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1.3920600000000001</v>
      </c>
      <c r="H95" s="21">
        <v>5.9343599999999999</v>
      </c>
      <c r="I95" s="21">
        <v>-1.4456200000000001E-2</v>
      </c>
      <c r="J95" s="21">
        <v>85</v>
      </c>
      <c r="K95" s="21">
        <v>1.39191</v>
      </c>
      <c r="L95">
        <f t="shared" si="12"/>
        <v>17.847160493827161</v>
      </c>
      <c r="M95">
        <f t="shared" si="13"/>
        <v>24.84431823703704</v>
      </c>
      <c r="N95" s="9"/>
      <c r="O95" s="21">
        <v>0.32806400000000002</v>
      </c>
      <c r="P95" s="21">
        <v>9.7938299999999998</v>
      </c>
      <c r="Q95" s="21">
        <v>-1.49658E-2</v>
      </c>
      <c r="R95" s="21">
        <v>85</v>
      </c>
      <c r="S95" s="21">
        <v>0.327515</v>
      </c>
      <c r="T95">
        <f t="shared" si="14"/>
        <v>18.476296296296297</v>
      </c>
      <c r="U95">
        <f t="shared" si="15"/>
        <v>6.0614076681481492</v>
      </c>
      <c r="X95" s="9"/>
      <c r="Y95" s="21">
        <v>1.3920600000000001</v>
      </c>
      <c r="Z95" s="21">
        <v>15.349600000000001</v>
      </c>
      <c r="AA95" s="21">
        <v>-1.4489699999999999E-2</v>
      </c>
      <c r="AB95" s="21">
        <v>85</v>
      </c>
      <c r="AC95" s="21">
        <v>1.3915999999999999</v>
      </c>
      <c r="AD95">
        <f t="shared" si="16"/>
        <v>17.888518518518516</v>
      </c>
      <c r="AE95">
        <f t="shared" si="17"/>
        <v>24.901891088888888</v>
      </c>
      <c r="AF95" s="9"/>
      <c r="AG95" s="21">
        <v>0.32806400000000002</v>
      </c>
      <c r="AH95" s="21">
        <v>19.209</v>
      </c>
      <c r="AI95" s="21">
        <v>-1.5026899999999999E-2</v>
      </c>
      <c r="AJ95" s="21">
        <v>85</v>
      </c>
      <c r="AK95" s="21">
        <v>0.327484</v>
      </c>
      <c r="AL95">
        <f t="shared" si="18"/>
        <v>18.551728395061726</v>
      </c>
      <c r="AM95">
        <f t="shared" si="19"/>
        <v>6.0861542241975304</v>
      </c>
      <c r="AP95" s="9"/>
      <c r="AQ95" s="21">
        <v>1.3920600000000001</v>
      </c>
      <c r="AR95" s="21">
        <v>24.733799999999999</v>
      </c>
      <c r="AS95" s="21">
        <v>-1.4489699999999999E-2</v>
      </c>
      <c r="AT95" s="21">
        <v>85</v>
      </c>
      <c r="AU95" s="21">
        <v>1.3913</v>
      </c>
      <c r="AV95">
        <f t="shared" si="20"/>
        <v>17.888518518518516</v>
      </c>
      <c r="AW95">
        <f t="shared" si="21"/>
        <v>24.901891088888888</v>
      </c>
      <c r="AX95" s="9"/>
      <c r="AY95" s="21">
        <v>0.32806400000000002</v>
      </c>
      <c r="AZ95" s="21">
        <v>28.593299999999999</v>
      </c>
      <c r="BA95" s="21">
        <v>-1.5020800000000001E-2</v>
      </c>
      <c r="BB95" s="21">
        <v>85</v>
      </c>
      <c r="BC95" s="21">
        <v>0.327515</v>
      </c>
      <c r="BD95">
        <f t="shared" si="22"/>
        <v>18.544197530864199</v>
      </c>
      <c r="BE95">
        <f t="shared" si="23"/>
        <v>6.0836836187654333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1.3870199999999999</v>
      </c>
      <c r="H96" s="21">
        <v>5.9444299999999997</v>
      </c>
      <c r="I96" s="21">
        <v>-1.4468399999999999E-2</v>
      </c>
      <c r="J96" s="21">
        <v>86</v>
      </c>
      <c r="K96" s="21">
        <v>1.3857999999999999</v>
      </c>
      <c r="L96">
        <f t="shared" si="12"/>
        <v>17.862222222222222</v>
      </c>
      <c r="M96">
        <f t="shared" si="13"/>
        <v>24.775259466666665</v>
      </c>
      <c r="N96" s="9"/>
      <c r="O96" s="21">
        <v>0.33309899999999998</v>
      </c>
      <c r="P96" s="21">
        <v>9.8039000000000005</v>
      </c>
      <c r="Q96" s="21">
        <v>-1.49719E-2</v>
      </c>
      <c r="R96" s="21">
        <v>86</v>
      </c>
      <c r="S96" s="21">
        <v>0.332428</v>
      </c>
      <c r="T96">
        <f t="shared" si="14"/>
        <v>18.483827160493824</v>
      </c>
      <c r="U96">
        <f t="shared" si="15"/>
        <v>6.1569443433333317</v>
      </c>
      <c r="X96" s="9"/>
      <c r="Y96" s="21">
        <v>1.3870199999999999</v>
      </c>
      <c r="Z96" s="21">
        <v>15.3596</v>
      </c>
      <c r="AA96" s="21">
        <v>-1.44958E-2</v>
      </c>
      <c r="AB96" s="21">
        <v>86</v>
      </c>
      <c r="AC96" s="21">
        <v>1.38611</v>
      </c>
      <c r="AD96">
        <f t="shared" si="16"/>
        <v>17.896049382716047</v>
      </c>
      <c r="AE96">
        <f t="shared" si="17"/>
        <v>24.822178414814811</v>
      </c>
      <c r="AF96" s="9"/>
      <c r="AG96" s="21">
        <v>0.33309899999999998</v>
      </c>
      <c r="AH96" s="21">
        <v>19.219100000000001</v>
      </c>
      <c r="AI96" s="21">
        <v>-1.5020800000000001E-2</v>
      </c>
      <c r="AJ96" s="21">
        <v>86</v>
      </c>
      <c r="AK96" s="21">
        <v>0.33255000000000001</v>
      </c>
      <c r="AL96">
        <f t="shared" si="18"/>
        <v>18.544197530864199</v>
      </c>
      <c r="AM96">
        <f t="shared" si="19"/>
        <v>6.1770536533333331</v>
      </c>
      <c r="AP96" s="9"/>
      <c r="AQ96" s="21">
        <v>1.3870199999999999</v>
      </c>
      <c r="AR96" s="21">
        <v>24.7439</v>
      </c>
      <c r="AS96" s="21">
        <v>-1.4501999999999999E-2</v>
      </c>
      <c r="AT96" s="21">
        <v>86</v>
      </c>
      <c r="AU96" s="21">
        <v>1.38611</v>
      </c>
      <c r="AV96">
        <f t="shared" si="20"/>
        <v>17.903703703703702</v>
      </c>
      <c r="AW96">
        <f t="shared" si="21"/>
        <v>24.832795111111107</v>
      </c>
      <c r="AX96" s="9"/>
      <c r="AY96" s="21">
        <v>0.33309899999999998</v>
      </c>
      <c r="AZ96" s="21">
        <v>28.603300000000001</v>
      </c>
      <c r="BA96" s="21">
        <v>-1.5029900000000001E-2</v>
      </c>
      <c r="BB96" s="21">
        <v>86</v>
      </c>
      <c r="BC96" s="21">
        <v>0.33258100000000002</v>
      </c>
      <c r="BD96">
        <f t="shared" si="22"/>
        <v>18.555432098765429</v>
      </c>
      <c r="BE96">
        <f t="shared" si="23"/>
        <v>6.1807958766666653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1.3819900000000001</v>
      </c>
      <c r="H97" s="21">
        <v>5.9545000000000003</v>
      </c>
      <c r="I97" s="21">
        <v>-1.44867E-2</v>
      </c>
      <c r="J97" s="21">
        <v>87</v>
      </c>
      <c r="K97" s="21">
        <v>1.3809199999999999</v>
      </c>
      <c r="L97">
        <f t="shared" si="12"/>
        <v>17.884814814814817</v>
      </c>
      <c r="M97">
        <f t="shared" si="13"/>
        <v>24.716635225925931</v>
      </c>
      <c r="N97" s="9"/>
      <c r="O97" s="21">
        <v>0.33813500000000002</v>
      </c>
      <c r="P97" s="21">
        <v>9.8139800000000008</v>
      </c>
      <c r="Q97" s="21">
        <v>-1.49841E-2</v>
      </c>
      <c r="R97" s="21">
        <v>87</v>
      </c>
      <c r="S97" s="21">
        <v>0.33755499999999999</v>
      </c>
      <c r="T97">
        <f t="shared" si="14"/>
        <v>18.498888888888889</v>
      </c>
      <c r="U97">
        <f t="shared" si="15"/>
        <v>6.2551217944444444</v>
      </c>
      <c r="X97" s="9"/>
      <c r="Y97" s="21">
        <v>1.3819900000000001</v>
      </c>
      <c r="Z97" s="21">
        <v>15.3697</v>
      </c>
      <c r="AA97" s="21">
        <v>-1.4505000000000001E-2</v>
      </c>
      <c r="AB97" s="21">
        <v>87</v>
      </c>
      <c r="AC97" s="21">
        <v>1.3809199999999999</v>
      </c>
      <c r="AD97">
        <f t="shared" si="16"/>
        <v>17.907407407407408</v>
      </c>
      <c r="AE97">
        <f t="shared" si="17"/>
        <v>24.747857962962964</v>
      </c>
      <c r="AF97" s="9"/>
      <c r="AG97" s="21">
        <v>0.33813500000000002</v>
      </c>
      <c r="AH97" s="21">
        <v>19.229199999999999</v>
      </c>
      <c r="AI97" s="21">
        <v>-1.50177E-2</v>
      </c>
      <c r="AJ97" s="21">
        <v>87</v>
      </c>
      <c r="AK97" s="21">
        <v>0.33752399999999999</v>
      </c>
      <c r="AL97">
        <f t="shared" si="18"/>
        <v>18.540370370370372</v>
      </c>
      <c r="AM97">
        <f t="shared" si="19"/>
        <v>6.2691481351851861</v>
      </c>
      <c r="AP97" s="9"/>
      <c r="AQ97" s="21">
        <v>1.3819900000000001</v>
      </c>
      <c r="AR97" s="21">
        <v>24.753900000000002</v>
      </c>
      <c r="AS97" s="21">
        <v>-1.4505000000000001E-2</v>
      </c>
      <c r="AT97" s="21">
        <v>87</v>
      </c>
      <c r="AU97" s="21">
        <v>1.3809199999999999</v>
      </c>
      <c r="AV97">
        <f t="shared" si="20"/>
        <v>17.907407407407408</v>
      </c>
      <c r="AW97">
        <f t="shared" si="21"/>
        <v>24.747857962962964</v>
      </c>
      <c r="AX97" s="9"/>
      <c r="AY97" s="21">
        <v>0.33813500000000002</v>
      </c>
      <c r="AZ97" s="21">
        <v>28.613399999999999</v>
      </c>
      <c r="BA97" s="21">
        <v>-1.5029900000000001E-2</v>
      </c>
      <c r="BB97" s="21">
        <v>87</v>
      </c>
      <c r="BC97" s="21">
        <v>0.33755499999999999</v>
      </c>
      <c r="BD97">
        <f t="shared" si="22"/>
        <v>18.555432098765429</v>
      </c>
      <c r="BE97">
        <f t="shared" si="23"/>
        <v>6.2742410327160485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1.3769499999999999</v>
      </c>
      <c r="H98" s="21">
        <v>5.9645700000000001</v>
      </c>
      <c r="I98" s="21">
        <v>-1.4508099999999999E-2</v>
      </c>
      <c r="J98" s="21">
        <v>88</v>
      </c>
      <c r="K98" s="21">
        <v>1.3760399999999999</v>
      </c>
      <c r="L98">
        <f t="shared" si="12"/>
        <v>17.911234567901232</v>
      </c>
      <c r="M98">
        <f t="shared" si="13"/>
        <v>24.662874438271601</v>
      </c>
      <c r="N98" s="9"/>
      <c r="O98" s="21">
        <v>0.34316999999999998</v>
      </c>
      <c r="P98" s="21">
        <v>9.8240499999999997</v>
      </c>
      <c r="Q98" s="21">
        <v>-1.49902E-2</v>
      </c>
      <c r="R98" s="21">
        <v>88</v>
      </c>
      <c r="S98" s="21">
        <v>0.34259000000000001</v>
      </c>
      <c r="T98">
        <f t="shared" si="14"/>
        <v>18.506419753086419</v>
      </c>
      <c r="U98">
        <f t="shared" si="15"/>
        <v>6.350848066666666</v>
      </c>
      <c r="X98" s="9"/>
      <c r="Y98" s="21">
        <v>1.3769499999999999</v>
      </c>
      <c r="Z98" s="21">
        <v>15.379799999999999</v>
      </c>
      <c r="AA98" s="21">
        <v>-1.45203E-2</v>
      </c>
      <c r="AB98" s="21">
        <v>88</v>
      </c>
      <c r="AC98" s="21">
        <v>1.3763399999999999</v>
      </c>
      <c r="AD98">
        <f t="shared" si="16"/>
        <v>17.926296296296293</v>
      </c>
      <c r="AE98">
        <f t="shared" si="17"/>
        <v>24.683613685185179</v>
      </c>
      <c r="AF98" s="9"/>
      <c r="AG98" s="21">
        <v>0.34316999999999998</v>
      </c>
      <c r="AH98" s="21">
        <v>19.2393</v>
      </c>
      <c r="AI98" s="21">
        <v>-1.5014599999999999E-2</v>
      </c>
      <c r="AJ98" s="21">
        <v>88</v>
      </c>
      <c r="AK98" s="21">
        <v>0.34255999999999998</v>
      </c>
      <c r="AL98">
        <f t="shared" si="18"/>
        <v>18.536543209876541</v>
      </c>
      <c r="AM98">
        <f t="shared" si="19"/>
        <v>6.361185533333332</v>
      </c>
      <c r="AP98" s="9"/>
      <c r="AQ98" s="21">
        <v>1.3769499999999999</v>
      </c>
      <c r="AR98" s="21">
        <v>24.763999999999999</v>
      </c>
      <c r="AS98" s="21">
        <v>-1.45142E-2</v>
      </c>
      <c r="AT98" s="21">
        <v>88</v>
      </c>
      <c r="AU98" s="21">
        <v>1.3763399999999999</v>
      </c>
      <c r="AV98">
        <f t="shared" si="20"/>
        <v>17.918765432098763</v>
      </c>
      <c r="AW98">
        <f t="shared" si="21"/>
        <v>24.67324406172839</v>
      </c>
      <c r="AX98" s="9"/>
      <c r="AY98" s="21">
        <v>0.34316999999999998</v>
      </c>
      <c r="AZ98" s="21">
        <v>28.6235</v>
      </c>
      <c r="BA98" s="21">
        <v>-1.5036000000000001E-2</v>
      </c>
      <c r="BB98" s="21">
        <v>88</v>
      </c>
      <c r="BC98" s="21">
        <v>0.34268199999999999</v>
      </c>
      <c r="BD98">
        <f t="shared" si="22"/>
        <v>18.562962962962963</v>
      </c>
      <c r="BE98">
        <f t="shared" si="23"/>
        <v>6.3702519999999998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1.37192</v>
      </c>
      <c r="H99" s="21">
        <v>5.97464</v>
      </c>
      <c r="I99" s="21">
        <v>-1.45203E-2</v>
      </c>
      <c r="J99" s="21">
        <v>89</v>
      </c>
      <c r="K99" s="21">
        <v>1.3711500000000001</v>
      </c>
      <c r="L99">
        <f t="shared" si="12"/>
        <v>17.926296296296293</v>
      </c>
      <c r="M99">
        <f t="shared" si="13"/>
        <v>24.593444414814812</v>
      </c>
      <c r="N99" s="9"/>
      <c r="O99" s="21">
        <v>0.34820600000000002</v>
      </c>
      <c r="P99" s="21">
        <v>9.8341200000000004</v>
      </c>
      <c r="Q99" s="21">
        <v>-1.4993299999999999E-2</v>
      </c>
      <c r="R99" s="21">
        <v>89</v>
      </c>
      <c r="S99" s="21">
        <v>0.34753400000000001</v>
      </c>
      <c r="T99">
        <f t="shared" si="14"/>
        <v>18.510246913580243</v>
      </c>
      <c r="U99">
        <f t="shared" si="15"/>
        <v>6.445379036790122</v>
      </c>
      <c r="X99" s="9"/>
      <c r="Y99" s="21">
        <v>1.37192</v>
      </c>
      <c r="Z99" s="21">
        <v>15.389900000000001</v>
      </c>
      <c r="AA99" s="21">
        <v>-1.45294E-2</v>
      </c>
      <c r="AB99" s="21">
        <v>89</v>
      </c>
      <c r="AC99" s="21">
        <v>1.3717699999999999</v>
      </c>
      <c r="AD99">
        <f t="shared" si="16"/>
        <v>17.93753086419753</v>
      </c>
      <c r="AE99">
        <f t="shared" si="17"/>
        <v>24.608857343209877</v>
      </c>
      <c r="AF99" s="9"/>
      <c r="AG99" s="21">
        <v>0.34820600000000002</v>
      </c>
      <c r="AH99" s="21">
        <v>19.249300000000002</v>
      </c>
      <c r="AI99" s="21">
        <v>-1.50177E-2</v>
      </c>
      <c r="AJ99" s="21">
        <v>89</v>
      </c>
      <c r="AK99" s="21">
        <v>0.34768700000000002</v>
      </c>
      <c r="AL99">
        <f t="shared" si="18"/>
        <v>18.540370370370372</v>
      </c>
      <c r="AM99">
        <f t="shared" si="19"/>
        <v>6.4558682051851859</v>
      </c>
      <c r="AP99" s="9"/>
      <c r="AQ99" s="21">
        <v>1.37192</v>
      </c>
      <c r="AR99" s="21">
        <v>24.774100000000001</v>
      </c>
      <c r="AS99" s="21">
        <v>-1.45294E-2</v>
      </c>
      <c r="AT99" s="21">
        <v>89</v>
      </c>
      <c r="AU99" s="21">
        <v>1.3717699999999999</v>
      </c>
      <c r="AV99">
        <f t="shared" si="20"/>
        <v>17.93753086419753</v>
      </c>
      <c r="AW99">
        <f t="shared" si="21"/>
        <v>24.608857343209877</v>
      </c>
      <c r="AX99" s="9"/>
      <c r="AY99" s="21">
        <v>0.34820600000000002</v>
      </c>
      <c r="AZ99" s="21">
        <v>28.633600000000001</v>
      </c>
      <c r="BA99" s="21">
        <v>-1.5042099999999999E-2</v>
      </c>
      <c r="BB99" s="21">
        <v>89</v>
      </c>
      <c r="BC99" s="21">
        <v>0.34762599999999999</v>
      </c>
      <c r="BD99">
        <f t="shared" si="22"/>
        <v>18.570493827160494</v>
      </c>
      <c r="BE99">
        <f t="shared" si="23"/>
        <v>6.4663573735802471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1.3668800000000001</v>
      </c>
      <c r="H100" s="21">
        <v>5.9847099999999998</v>
      </c>
      <c r="I100" s="21">
        <v>-1.45294E-2</v>
      </c>
      <c r="J100" s="21">
        <v>90</v>
      </c>
      <c r="K100" s="21">
        <v>1.3668800000000001</v>
      </c>
      <c r="L100">
        <f t="shared" si="12"/>
        <v>17.93753086419753</v>
      </c>
      <c r="M100">
        <f t="shared" si="13"/>
        <v>24.518452187654322</v>
      </c>
      <c r="N100" s="9"/>
      <c r="O100" s="21">
        <v>0.35324100000000003</v>
      </c>
      <c r="P100" s="21">
        <v>9.8441899999999993</v>
      </c>
      <c r="Q100" s="21">
        <v>-1.4987199999999999E-2</v>
      </c>
      <c r="R100" s="21">
        <v>90</v>
      </c>
      <c r="S100" s="21">
        <v>0.35256999999999999</v>
      </c>
      <c r="T100">
        <f t="shared" si="14"/>
        <v>18.502716049382713</v>
      </c>
      <c r="U100">
        <f t="shared" si="15"/>
        <v>6.5359179199999993</v>
      </c>
      <c r="X100" s="9"/>
      <c r="Y100" s="21">
        <v>1.3668800000000001</v>
      </c>
      <c r="Z100" s="21">
        <v>15.399900000000001</v>
      </c>
      <c r="AA100" s="21">
        <v>-1.45386E-2</v>
      </c>
      <c r="AB100" s="21">
        <v>90</v>
      </c>
      <c r="AC100" s="21">
        <v>1.3656600000000001</v>
      </c>
      <c r="AD100">
        <f t="shared" si="16"/>
        <v>17.948888888888888</v>
      </c>
      <c r="AE100">
        <f t="shared" si="17"/>
        <v>24.533977244444443</v>
      </c>
      <c r="AF100" s="9"/>
      <c r="AG100" s="21">
        <v>0.35324100000000003</v>
      </c>
      <c r="AH100" s="21">
        <v>19.259399999999999</v>
      </c>
      <c r="AI100" s="21">
        <v>-1.50238E-2</v>
      </c>
      <c r="AJ100" s="21">
        <v>90</v>
      </c>
      <c r="AK100" s="21">
        <v>0.35263100000000003</v>
      </c>
      <c r="AL100">
        <f t="shared" si="18"/>
        <v>18.547901234567902</v>
      </c>
      <c r="AM100">
        <f t="shared" si="19"/>
        <v>6.5518791800000011</v>
      </c>
      <c r="AP100" s="9"/>
      <c r="AQ100" s="21">
        <v>1.3668800000000001</v>
      </c>
      <c r="AR100" s="21">
        <v>24.784199999999998</v>
      </c>
      <c r="AS100" s="21">
        <v>-1.45416E-2</v>
      </c>
      <c r="AT100" s="21">
        <v>90</v>
      </c>
      <c r="AU100" s="21">
        <v>1.3665799999999999</v>
      </c>
      <c r="AV100">
        <f t="shared" si="20"/>
        <v>17.952592592592595</v>
      </c>
      <c r="AW100">
        <f t="shared" si="21"/>
        <v>24.539039762962968</v>
      </c>
      <c r="AX100" s="9"/>
      <c r="AY100" s="21">
        <v>0.35324100000000003</v>
      </c>
      <c r="AZ100" s="21">
        <v>28.643599999999999</v>
      </c>
      <c r="BA100" s="21">
        <v>-1.5036000000000001E-2</v>
      </c>
      <c r="BB100" s="21">
        <v>90</v>
      </c>
      <c r="BC100" s="21">
        <v>0.35272199999999998</v>
      </c>
      <c r="BD100">
        <f t="shared" si="22"/>
        <v>18.562962962962963</v>
      </c>
      <c r="BE100">
        <f t="shared" si="23"/>
        <v>6.5571996000000006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1.36185</v>
      </c>
      <c r="H101" s="21">
        <v>5.9947800000000004</v>
      </c>
      <c r="I101" s="21">
        <v>-1.45416E-2</v>
      </c>
      <c r="J101" s="21">
        <v>91</v>
      </c>
      <c r="K101" s="21">
        <v>1.3610800000000001</v>
      </c>
      <c r="L101">
        <f t="shared" si="12"/>
        <v>17.952592592592595</v>
      </c>
      <c r="M101">
        <f t="shared" si="13"/>
        <v>24.448738222222225</v>
      </c>
      <c r="N101" s="9"/>
      <c r="O101" s="21">
        <v>0.35827599999999998</v>
      </c>
      <c r="P101" s="21">
        <v>9.85426</v>
      </c>
      <c r="Q101" s="21">
        <v>-1.49902E-2</v>
      </c>
      <c r="R101" s="21">
        <v>91</v>
      </c>
      <c r="S101" s="21">
        <v>0.35772700000000002</v>
      </c>
      <c r="T101">
        <f t="shared" si="14"/>
        <v>18.506419753086419</v>
      </c>
      <c r="U101">
        <f t="shared" si="15"/>
        <v>6.63040604345679</v>
      </c>
      <c r="X101" s="9"/>
      <c r="Y101" s="21">
        <v>1.36185</v>
      </c>
      <c r="Z101" s="21">
        <v>15.41</v>
      </c>
      <c r="AA101" s="21">
        <v>-1.45477E-2</v>
      </c>
      <c r="AB101" s="21">
        <v>91</v>
      </c>
      <c r="AC101" s="21">
        <v>1.3613900000000001</v>
      </c>
      <c r="AD101">
        <f t="shared" si="16"/>
        <v>17.960123456790122</v>
      </c>
      <c r="AE101">
        <f t="shared" si="17"/>
        <v>24.458994129629627</v>
      </c>
      <c r="AF101" s="9"/>
      <c r="AG101" s="21">
        <v>0.35827599999999998</v>
      </c>
      <c r="AH101" s="21">
        <v>19.269500000000001</v>
      </c>
      <c r="AI101" s="21">
        <v>-1.50452E-2</v>
      </c>
      <c r="AJ101" s="21">
        <v>91</v>
      </c>
      <c r="AK101" s="21">
        <v>0.35763499999999998</v>
      </c>
      <c r="AL101">
        <f t="shared" si="18"/>
        <v>18.574320987654321</v>
      </c>
      <c r="AM101">
        <f t="shared" si="19"/>
        <v>6.6547334261728395</v>
      </c>
      <c r="AP101" s="9"/>
      <c r="AQ101" s="21">
        <v>1.36185</v>
      </c>
      <c r="AR101" s="21">
        <v>24.7942</v>
      </c>
      <c r="AS101" s="21">
        <v>-1.4550799999999999E-2</v>
      </c>
      <c r="AT101" s="21">
        <v>91</v>
      </c>
      <c r="AU101" s="21">
        <v>1.3607800000000001</v>
      </c>
      <c r="AV101">
        <f t="shared" si="20"/>
        <v>17.963950617283949</v>
      </c>
      <c r="AW101">
        <f t="shared" si="21"/>
        <v>24.464206148148147</v>
      </c>
      <c r="AX101" s="9"/>
      <c r="AY101" s="21">
        <v>0.35827599999999998</v>
      </c>
      <c r="AZ101" s="21">
        <v>28.653700000000001</v>
      </c>
      <c r="BA101" s="21">
        <v>-1.5032999999999999E-2</v>
      </c>
      <c r="BB101" s="21">
        <v>91</v>
      </c>
      <c r="BC101" s="21">
        <v>0.35766599999999998</v>
      </c>
      <c r="BD101">
        <f t="shared" si="22"/>
        <v>18.559259259259257</v>
      </c>
      <c r="BE101">
        <f t="shared" si="23"/>
        <v>6.6493371703703694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1.3568100000000001</v>
      </c>
      <c r="H102" s="21">
        <v>6.0048500000000002</v>
      </c>
      <c r="I102" s="21">
        <v>-1.4556899999999999E-2</v>
      </c>
      <c r="J102" s="21">
        <v>92</v>
      </c>
      <c r="K102" s="21">
        <v>1.3562000000000001</v>
      </c>
      <c r="L102">
        <f t="shared" si="12"/>
        <v>17.971481481481479</v>
      </c>
      <c r="M102">
        <f t="shared" si="13"/>
        <v>24.383885788888886</v>
      </c>
      <c r="N102" s="9"/>
      <c r="O102" s="21">
        <v>0.36331200000000002</v>
      </c>
      <c r="P102" s="21">
        <v>9.8643300000000007</v>
      </c>
      <c r="Q102" s="21">
        <v>-1.4987199999999999E-2</v>
      </c>
      <c r="R102" s="21">
        <v>92</v>
      </c>
      <c r="S102" s="21">
        <v>0.362701</v>
      </c>
      <c r="T102">
        <f t="shared" si="14"/>
        <v>18.502716049382713</v>
      </c>
      <c r="U102">
        <f t="shared" si="15"/>
        <v>6.7222587733333325</v>
      </c>
      <c r="X102" s="9"/>
      <c r="Y102" s="21">
        <v>1.3568100000000001</v>
      </c>
      <c r="Z102" s="21">
        <v>15.4201</v>
      </c>
      <c r="AA102" s="21">
        <v>-1.4559900000000001E-2</v>
      </c>
      <c r="AB102" s="21">
        <v>92</v>
      </c>
      <c r="AC102" s="21">
        <v>1.3562000000000001</v>
      </c>
      <c r="AD102">
        <f t="shared" si="16"/>
        <v>17.975185185185186</v>
      </c>
      <c r="AE102">
        <f t="shared" si="17"/>
        <v>24.388911011111112</v>
      </c>
      <c r="AF102" s="9"/>
      <c r="AG102" s="21">
        <v>0.36331200000000002</v>
      </c>
      <c r="AH102" s="21">
        <v>19.279499999999999</v>
      </c>
      <c r="AI102" s="21">
        <v>-1.50452E-2</v>
      </c>
      <c r="AJ102" s="21">
        <v>92</v>
      </c>
      <c r="AK102" s="21">
        <v>0.362701</v>
      </c>
      <c r="AL102">
        <f t="shared" si="18"/>
        <v>18.574320987654321</v>
      </c>
      <c r="AM102">
        <f t="shared" si="19"/>
        <v>6.7482737066666676</v>
      </c>
      <c r="AP102" s="9"/>
      <c r="AQ102" s="21">
        <v>1.3568100000000001</v>
      </c>
      <c r="AR102" s="21">
        <v>24.804300000000001</v>
      </c>
      <c r="AS102" s="21">
        <v>-1.45538E-2</v>
      </c>
      <c r="AT102" s="21">
        <v>92</v>
      </c>
      <c r="AU102" s="21">
        <v>1.3555900000000001</v>
      </c>
      <c r="AV102">
        <f t="shared" si="20"/>
        <v>17.967654320987652</v>
      </c>
      <c r="AW102">
        <f t="shared" si="21"/>
        <v>24.378693059259259</v>
      </c>
      <c r="AX102" s="9"/>
      <c r="AY102" s="21">
        <v>0.36331200000000002</v>
      </c>
      <c r="AZ102" s="21">
        <v>28.663799999999998</v>
      </c>
      <c r="BA102" s="21">
        <v>-1.5036000000000001E-2</v>
      </c>
      <c r="BB102" s="21">
        <v>92</v>
      </c>
      <c r="BC102" s="21">
        <v>0.362732</v>
      </c>
      <c r="BD102">
        <f t="shared" si="22"/>
        <v>18.562962962962963</v>
      </c>
      <c r="BE102">
        <f t="shared" si="23"/>
        <v>6.7441472000000005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1.35178</v>
      </c>
      <c r="H103" s="21">
        <v>6.0149299999999997</v>
      </c>
      <c r="I103" s="21">
        <v>-1.4572099999999999E-2</v>
      </c>
      <c r="J103" s="21">
        <v>93</v>
      </c>
      <c r="K103" s="21">
        <v>1.3513200000000001</v>
      </c>
      <c r="L103">
        <f t="shared" si="12"/>
        <v>17.990246913580243</v>
      </c>
      <c r="M103">
        <f t="shared" si="13"/>
        <v>24.318855972839501</v>
      </c>
      <c r="N103" s="9"/>
      <c r="O103" s="21">
        <v>0.36834699999999998</v>
      </c>
      <c r="P103" s="21">
        <v>9.8743999999999996</v>
      </c>
      <c r="Q103" s="21">
        <v>-1.4975E-2</v>
      </c>
      <c r="R103" s="21">
        <v>93</v>
      </c>
      <c r="S103" s="21">
        <v>0.36755399999999999</v>
      </c>
      <c r="T103">
        <f t="shared" si="14"/>
        <v>18.487654320987652</v>
      </c>
      <c r="U103">
        <f t="shared" si="15"/>
        <v>6.8098720061728377</v>
      </c>
      <c r="X103" s="9"/>
      <c r="Y103" s="21">
        <v>1.35178</v>
      </c>
      <c r="Z103" s="21">
        <v>15.430099999999999</v>
      </c>
      <c r="AA103" s="21">
        <v>-1.4578199999999999E-2</v>
      </c>
      <c r="AB103" s="21">
        <v>93</v>
      </c>
      <c r="AC103" s="21">
        <v>1.3513200000000001</v>
      </c>
      <c r="AD103">
        <f t="shared" si="16"/>
        <v>17.997777777777777</v>
      </c>
      <c r="AE103">
        <f t="shared" si="17"/>
        <v>24.329036044444443</v>
      </c>
      <c r="AF103" s="9"/>
      <c r="AG103" s="21">
        <v>0.36834699999999998</v>
      </c>
      <c r="AH103" s="21">
        <v>19.2896</v>
      </c>
      <c r="AI103" s="21">
        <v>-1.5036000000000001E-2</v>
      </c>
      <c r="AJ103" s="21">
        <v>93</v>
      </c>
      <c r="AK103" s="21">
        <v>0.367645</v>
      </c>
      <c r="AL103">
        <f t="shared" si="18"/>
        <v>18.562962962962963</v>
      </c>
      <c r="AM103">
        <f t="shared" si="19"/>
        <v>6.8376117185185183</v>
      </c>
      <c r="AP103" s="9"/>
      <c r="AQ103" s="21">
        <v>1.35178</v>
      </c>
      <c r="AR103" s="21">
        <v>24.814399999999999</v>
      </c>
      <c r="AS103" s="21">
        <v>-1.4556899999999999E-2</v>
      </c>
      <c r="AT103" s="21">
        <v>93</v>
      </c>
      <c r="AU103" s="21">
        <v>1.35162</v>
      </c>
      <c r="AV103">
        <f t="shared" si="20"/>
        <v>17.971481481481479</v>
      </c>
      <c r="AW103">
        <f t="shared" si="21"/>
        <v>24.293489237037033</v>
      </c>
      <c r="AX103" s="9"/>
      <c r="AY103" s="21">
        <v>0.36834699999999998</v>
      </c>
      <c r="AZ103" s="21">
        <v>28.6738</v>
      </c>
      <c r="BA103" s="21">
        <v>-1.5029900000000001E-2</v>
      </c>
      <c r="BB103" s="21">
        <v>93</v>
      </c>
      <c r="BC103" s="21">
        <v>0.367676</v>
      </c>
      <c r="BD103">
        <f t="shared" si="22"/>
        <v>18.555432098765429</v>
      </c>
      <c r="BE103">
        <f t="shared" si="23"/>
        <v>6.8348377472839497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1.34674</v>
      </c>
      <c r="H104" s="21">
        <v>6.0250000000000004</v>
      </c>
      <c r="I104" s="21">
        <v>-1.45874E-2</v>
      </c>
      <c r="J104" s="21">
        <v>94</v>
      </c>
      <c r="K104" s="21">
        <v>1.3464400000000001</v>
      </c>
      <c r="L104">
        <f t="shared" si="12"/>
        <v>18.009135802469135</v>
      </c>
      <c r="M104">
        <f t="shared" si="13"/>
        <v>24.253623550617284</v>
      </c>
      <c r="N104" s="9"/>
      <c r="O104" s="21">
        <v>0.37338300000000002</v>
      </c>
      <c r="P104" s="21">
        <v>9.8844700000000003</v>
      </c>
      <c r="Q104" s="21">
        <v>-1.49719E-2</v>
      </c>
      <c r="R104" s="21">
        <v>94</v>
      </c>
      <c r="S104" s="21">
        <v>0.37277199999999999</v>
      </c>
      <c r="T104">
        <f t="shared" si="14"/>
        <v>18.483827160493824</v>
      </c>
      <c r="U104">
        <f t="shared" si="15"/>
        <v>6.9015468366666664</v>
      </c>
      <c r="X104" s="9"/>
      <c r="Y104" s="21">
        <v>1.34674</v>
      </c>
      <c r="Z104" s="21">
        <v>15.440200000000001</v>
      </c>
      <c r="AA104" s="21">
        <v>-1.4593500000000001E-2</v>
      </c>
      <c r="AB104" s="21">
        <v>94</v>
      </c>
      <c r="AC104" s="21">
        <v>1.34613</v>
      </c>
      <c r="AD104">
        <f t="shared" si="16"/>
        <v>18.016666666666666</v>
      </c>
      <c r="AE104">
        <f t="shared" si="17"/>
        <v>24.263765666666668</v>
      </c>
      <c r="AF104" s="9"/>
      <c r="AG104" s="21">
        <v>0.37338300000000002</v>
      </c>
      <c r="AH104" s="21">
        <v>19.299700000000001</v>
      </c>
      <c r="AI104" s="21">
        <v>-1.5026899999999999E-2</v>
      </c>
      <c r="AJ104" s="21">
        <v>94</v>
      </c>
      <c r="AK104" s="21">
        <v>0.37274200000000002</v>
      </c>
      <c r="AL104">
        <f t="shared" si="18"/>
        <v>18.551728395061726</v>
      </c>
      <c r="AM104">
        <f t="shared" si="19"/>
        <v>6.9269000033333326</v>
      </c>
      <c r="AP104" s="9"/>
      <c r="AQ104" s="21">
        <v>1.34674</v>
      </c>
      <c r="AR104" s="21">
        <v>24.824400000000001</v>
      </c>
      <c r="AS104" s="21">
        <v>-1.4566000000000001E-2</v>
      </c>
      <c r="AT104" s="21">
        <v>94</v>
      </c>
      <c r="AU104" s="21">
        <v>1.34613</v>
      </c>
      <c r="AV104">
        <f t="shared" si="20"/>
        <v>17.982716049382717</v>
      </c>
      <c r="AW104">
        <f t="shared" si="21"/>
        <v>24.218043012345682</v>
      </c>
      <c r="AX104" s="9"/>
      <c r="AY104" s="21">
        <v>0.37338300000000002</v>
      </c>
      <c r="AZ104" s="21">
        <v>28.683900000000001</v>
      </c>
      <c r="BA104" s="21">
        <v>-1.50177E-2</v>
      </c>
      <c r="BB104" s="21">
        <v>94</v>
      </c>
      <c r="BC104" s="21">
        <v>0.37283300000000003</v>
      </c>
      <c r="BD104">
        <f t="shared" si="22"/>
        <v>18.540370370370372</v>
      </c>
      <c r="BE104">
        <f t="shared" si="23"/>
        <v>6.9226591100000006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1.34171</v>
      </c>
      <c r="H105" s="21">
        <v>6.0350700000000002</v>
      </c>
      <c r="I105" s="21">
        <v>-1.4593500000000001E-2</v>
      </c>
      <c r="J105" s="21">
        <v>95</v>
      </c>
      <c r="K105" s="21">
        <v>1.3412500000000001</v>
      </c>
      <c r="L105">
        <f t="shared" si="12"/>
        <v>18.016666666666666</v>
      </c>
      <c r="M105">
        <f t="shared" si="13"/>
        <v>24.173141833333332</v>
      </c>
      <c r="N105" s="9"/>
      <c r="O105" s="21">
        <v>0.37841799999999998</v>
      </c>
      <c r="P105" s="21">
        <v>9.8945399999999992</v>
      </c>
      <c r="Q105" s="21">
        <v>-1.49658E-2</v>
      </c>
      <c r="R105" s="21">
        <v>95</v>
      </c>
      <c r="S105" s="21">
        <v>0.37783800000000001</v>
      </c>
      <c r="T105">
        <f t="shared" si="14"/>
        <v>18.476296296296297</v>
      </c>
      <c r="U105">
        <f t="shared" si="15"/>
        <v>6.9917630918518521</v>
      </c>
      <c r="X105" s="9"/>
      <c r="Y105" s="21">
        <v>1.34171</v>
      </c>
      <c r="Z105" s="21">
        <v>15.4503</v>
      </c>
      <c r="AA105" s="21">
        <v>-1.46149E-2</v>
      </c>
      <c r="AB105" s="21">
        <v>95</v>
      </c>
      <c r="AC105" s="21">
        <v>1.34094</v>
      </c>
      <c r="AD105">
        <f t="shared" si="16"/>
        <v>18.043086419753088</v>
      </c>
      <c r="AE105">
        <f t="shared" si="17"/>
        <v>24.208589480246914</v>
      </c>
      <c r="AF105" s="9"/>
      <c r="AG105" s="21">
        <v>0.37841799999999998</v>
      </c>
      <c r="AH105" s="21">
        <v>19.309799999999999</v>
      </c>
      <c r="AI105" s="21">
        <v>-1.5029900000000001E-2</v>
      </c>
      <c r="AJ105" s="21">
        <v>95</v>
      </c>
      <c r="AK105" s="21">
        <v>0.37777699999999997</v>
      </c>
      <c r="AL105">
        <f t="shared" si="18"/>
        <v>18.555432098765429</v>
      </c>
      <c r="AM105">
        <f t="shared" si="19"/>
        <v>7.0217095039506159</v>
      </c>
      <c r="AP105" s="9"/>
      <c r="AQ105" s="21">
        <v>1.34171</v>
      </c>
      <c r="AR105" s="21">
        <v>24.834499999999998</v>
      </c>
      <c r="AS105" s="21">
        <v>-1.4572099999999999E-2</v>
      </c>
      <c r="AT105" s="21">
        <v>95</v>
      </c>
      <c r="AU105" s="21">
        <v>1.34094</v>
      </c>
      <c r="AV105">
        <f t="shared" si="20"/>
        <v>17.990246913580243</v>
      </c>
      <c r="AW105">
        <f t="shared" si="21"/>
        <v>24.137694186419747</v>
      </c>
      <c r="AX105" s="9"/>
      <c r="AY105" s="21">
        <v>0.37841799999999998</v>
      </c>
      <c r="AZ105" s="21">
        <v>28.693999999999999</v>
      </c>
      <c r="BA105" s="21">
        <v>-1.5020800000000001E-2</v>
      </c>
      <c r="BB105" s="21">
        <v>95</v>
      </c>
      <c r="BC105" s="21">
        <v>0.37777699999999997</v>
      </c>
      <c r="BD105">
        <f t="shared" si="22"/>
        <v>18.544197530864199</v>
      </c>
      <c r="BE105">
        <f t="shared" si="23"/>
        <v>7.0174581412345685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1.33667</v>
      </c>
      <c r="H106" s="21">
        <v>6.04514</v>
      </c>
      <c r="I106" s="21">
        <v>-1.45966E-2</v>
      </c>
      <c r="J106" s="21">
        <v>96</v>
      </c>
      <c r="K106" s="21">
        <v>1.33575</v>
      </c>
      <c r="L106">
        <f t="shared" si="12"/>
        <v>18.020493827160493</v>
      </c>
      <c r="M106">
        <f t="shared" si="13"/>
        <v>24.087453483950618</v>
      </c>
      <c r="N106" s="9"/>
      <c r="O106" s="21">
        <v>0.38345299999999999</v>
      </c>
      <c r="P106" s="21">
        <v>9.9046099999999999</v>
      </c>
      <c r="Q106" s="21">
        <v>-1.49628E-2</v>
      </c>
      <c r="R106" s="21">
        <v>96</v>
      </c>
      <c r="S106" s="21">
        <v>0.38284299999999999</v>
      </c>
      <c r="T106">
        <f t="shared" si="14"/>
        <v>18.472592592592594</v>
      </c>
      <c r="U106">
        <f t="shared" si="15"/>
        <v>7.0833710474074074</v>
      </c>
      <c r="X106" s="9"/>
      <c r="Y106" s="21">
        <v>1.33667</v>
      </c>
      <c r="Z106" s="21">
        <v>15.4604</v>
      </c>
      <c r="AA106" s="21">
        <v>-1.4627100000000001E-2</v>
      </c>
      <c r="AB106" s="21">
        <v>96</v>
      </c>
      <c r="AC106" s="21">
        <v>1.33606</v>
      </c>
      <c r="AD106">
        <f t="shared" si="16"/>
        <v>18.058148148148145</v>
      </c>
      <c r="AE106">
        <f t="shared" si="17"/>
        <v>24.137784885185184</v>
      </c>
      <c r="AF106" s="9"/>
      <c r="AG106" s="21">
        <v>0.38345299999999999</v>
      </c>
      <c r="AH106" s="21">
        <v>19.319800000000001</v>
      </c>
      <c r="AI106" s="21">
        <v>-1.5036000000000001E-2</v>
      </c>
      <c r="AJ106" s="21">
        <v>96</v>
      </c>
      <c r="AK106" s="21">
        <v>0.38278200000000001</v>
      </c>
      <c r="AL106">
        <f t="shared" si="18"/>
        <v>18.562962962962963</v>
      </c>
      <c r="AM106">
        <f t="shared" si="19"/>
        <v>7.118023837037037</v>
      </c>
      <c r="AP106" s="9"/>
      <c r="AQ106" s="21">
        <v>1.33667</v>
      </c>
      <c r="AR106" s="21">
        <v>24.8446</v>
      </c>
      <c r="AS106" s="21">
        <v>-1.45813E-2</v>
      </c>
      <c r="AT106" s="21">
        <v>96</v>
      </c>
      <c r="AU106" s="21">
        <v>1.33575</v>
      </c>
      <c r="AV106">
        <f t="shared" si="20"/>
        <v>18.001604938271605</v>
      </c>
      <c r="AW106">
        <f t="shared" si="21"/>
        <v>24.062205272839506</v>
      </c>
      <c r="AX106" s="9"/>
      <c r="AY106" s="21">
        <v>0.38345299999999999</v>
      </c>
      <c r="AZ106" s="21">
        <v>28.7041</v>
      </c>
      <c r="BA106" s="21">
        <v>-1.50177E-2</v>
      </c>
      <c r="BB106" s="21">
        <v>96</v>
      </c>
      <c r="BC106" s="21">
        <v>0.38281300000000001</v>
      </c>
      <c r="BD106">
        <f t="shared" si="22"/>
        <v>18.540370370370372</v>
      </c>
      <c r="BE106">
        <f t="shared" si="23"/>
        <v>7.1093606396296298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1.3316300000000001</v>
      </c>
      <c r="H107" s="21">
        <v>6.0552099999999998</v>
      </c>
      <c r="I107" s="21">
        <v>-1.46088E-2</v>
      </c>
      <c r="J107" s="21">
        <v>97</v>
      </c>
      <c r="K107" s="21">
        <v>1.33087</v>
      </c>
      <c r="L107">
        <f t="shared" si="12"/>
        <v>18.035555555555554</v>
      </c>
      <c r="M107">
        <f t="shared" si="13"/>
        <v>24.016686844444443</v>
      </c>
      <c r="N107" s="9"/>
      <c r="O107" s="21">
        <v>0.38848899999999997</v>
      </c>
      <c r="P107" s="21">
        <v>9.9146900000000002</v>
      </c>
      <c r="Q107" s="21">
        <v>-1.49567E-2</v>
      </c>
      <c r="R107" s="21">
        <v>97</v>
      </c>
      <c r="S107" s="21">
        <v>0.38775599999999999</v>
      </c>
      <c r="T107">
        <f t="shared" si="14"/>
        <v>18.46506172839506</v>
      </c>
      <c r="U107">
        <f t="shared" si="15"/>
        <v>7.1734733658024679</v>
      </c>
      <c r="X107" s="9"/>
      <c r="Y107" s="21">
        <v>1.3316300000000001</v>
      </c>
      <c r="Z107" s="21">
        <v>15.4704</v>
      </c>
      <c r="AA107" s="21">
        <v>-1.46301E-2</v>
      </c>
      <c r="AB107" s="21">
        <v>97</v>
      </c>
      <c r="AC107" s="21">
        <v>1.33148</v>
      </c>
      <c r="AD107">
        <f t="shared" si="16"/>
        <v>18.061851851851848</v>
      </c>
      <c r="AE107">
        <f t="shared" si="17"/>
        <v>24.051703781481478</v>
      </c>
      <c r="AF107" s="9"/>
      <c r="AG107" s="21">
        <v>0.38848899999999997</v>
      </c>
      <c r="AH107" s="21">
        <v>19.329899999999999</v>
      </c>
      <c r="AI107" s="21">
        <v>-1.5036000000000001E-2</v>
      </c>
      <c r="AJ107" s="21">
        <v>97</v>
      </c>
      <c r="AK107" s="21">
        <v>0.387878</v>
      </c>
      <c r="AL107">
        <f t="shared" si="18"/>
        <v>18.562962962962963</v>
      </c>
      <c r="AM107">
        <f t="shared" si="19"/>
        <v>7.2115069185185181</v>
      </c>
      <c r="AP107" s="9"/>
      <c r="AQ107" s="21">
        <v>1.3316300000000001</v>
      </c>
      <c r="AR107" s="21">
        <v>24.854600000000001</v>
      </c>
      <c r="AS107" s="21">
        <v>-1.45966E-2</v>
      </c>
      <c r="AT107" s="21">
        <v>97</v>
      </c>
      <c r="AU107" s="21">
        <v>1.33087</v>
      </c>
      <c r="AV107">
        <f t="shared" si="20"/>
        <v>18.020493827160493</v>
      </c>
      <c r="AW107">
        <f t="shared" si="21"/>
        <v>23.99663019506173</v>
      </c>
      <c r="AX107" s="9"/>
      <c r="AY107" s="21">
        <v>0.38848899999999997</v>
      </c>
      <c r="AZ107" s="21">
        <v>28.714099999999998</v>
      </c>
      <c r="BA107" s="21">
        <v>-1.50177E-2</v>
      </c>
      <c r="BB107" s="21">
        <v>97</v>
      </c>
      <c r="BC107" s="21">
        <v>0.38806200000000002</v>
      </c>
      <c r="BD107">
        <f t="shared" si="22"/>
        <v>18.540370370370372</v>
      </c>
      <c r="BE107">
        <f t="shared" si="23"/>
        <v>7.2027299448148145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1.3266</v>
      </c>
      <c r="H108" s="21">
        <v>6.0652799999999996</v>
      </c>
      <c r="I108" s="21">
        <v>-1.4624E-2</v>
      </c>
      <c r="J108" s="21">
        <v>98</v>
      </c>
      <c r="K108" s="21">
        <v>1.32538</v>
      </c>
      <c r="L108">
        <f t="shared" si="12"/>
        <v>18.054320987654318</v>
      </c>
      <c r="M108">
        <f t="shared" si="13"/>
        <v>23.95086222222222</v>
      </c>
      <c r="N108" s="9"/>
      <c r="O108" s="21">
        <v>0.39352399999999998</v>
      </c>
      <c r="P108" s="21">
        <v>9.9247599999999991</v>
      </c>
      <c r="Q108" s="21">
        <v>-1.4944499999999999E-2</v>
      </c>
      <c r="R108" s="21">
        <v>98</v>
      </c>
      <c r="S108" s="21">
        <v>0.39300499999999999</v>
      </c>
      <c r="T108">
        <f t="shared" si="14"/>
        <v>18.45</v>
      </c>
      <c r="U108">
        <f t="shared" si="15"/>
        <v>7.2605177999999997</v>
      </c>
      <c r="X108" s="9"/>
      <c r="Y108" s="21">
        <v>1.3266</v>
      </c>
      <c r="Z108" s="21">
        <v>15.480499999999999</v>
      </c>
      <c r="AA108" s="21">
        <v>-1.4633200000000001E-2</v>
      </c>
      <c r="AB108" s="21">
        <v>98</v>
      </c>
      <c r="AC108" s="21">
        <v>1.32629</v>
      </c>
      <c r="AD108">
        <f t="shared" si="16"/>
        <v>18.065679012345679</v>
      </c>
      <c r="AE108">
        <f t="shared" si="17"/>
        <v>23.965929777777777</v>
      </c>
      <c r="AF108" s="9"/>
      <c r="AG108" s="21">
        <v>0.39352399999999998</v>
      </c>
      <c r="AH108" s="21">
        <v>19.34</v>
      </c>
      <c r="AI108" s="21">
        <v>-1.5036000000000001E-2</v>
      </c>
      <c r="AJ108" s="21">
        <v>98</v>
      </c>
      <c r="AK108" s="21">
        <v>0.39300499999999999</v>
      </c>
      <c r="AL108">
        <f t="shared" si="18"/>
        <v>18.562962962962963</v>
      </c>
      <c r="AM108">
        <f t="shared" si="19"/>
        <v>7.3049714370370369</v>
      </c>
      <c r="AP108" s="9"/>
      <c r="AQ108" s="21">
        <v>1.3266</v>
      </c>
      <c r="AR108" s="21">
        <v>24.864699999999999</v>
      </c>
      <c r="AS108" s="21">
        <v>-1.46179E-2</v>
      </c>
      <c r="AT108" s="21">
        <v>98</v>
      </c>
      <c r="AU108" s="21">
        <v>1.32629</v>
      </c>
      <c r="AV108">
        <f t="shared" si="20"/>
        <v>18.046790123456791</v>
      </c>
      <c r="AW108">
        <f t="shared" si="21"/>
        <v>23.94087177777778</v>
      </c>
      <c r="AX108" s="9"/>
      <c r="AY108" s="21">
        <v>0.39352399999999998</v>
      </c>
      <c r="AZ108" s="21">
        <v>28.7242</v>
      </c>
      <c r="BA108" s="21">
        <v>-1.5020800000000001E-2</v>
      </c>
      <c r="BB108" s="21">
        <v>98</v>
      </c>
      <c r="BC108" s="21">
        <v>0.39294400000000002</v>
      </c>
      <c r="BD108">
        <f t="shared" si="22"/>
        <v>18.544197530864199</v>
      </c>
      <c r="BE108">
        <f t="shared" si="23"/>
        <v>7.2975867891358028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1.3215600000000001</v>
      </c>
      <c r="H109" s="21">
        <v>6.0753500000000003</v>
      </c>
      <c r="I109" s="21">
        <v>-1.4639299999999999E-2</v>
      </c>
      <c r="J109" s="21">
        <v>99</v>
      </c>
      <c r="K109" s="21">
        <v>1.3208</v>
      </c>
      <c r="L109">
        <f t="shared" si="12"/>
        <v>18.07320987654321</v>
      </c>
      <c r="M109">
        <f t="shared" si="13"/>
        <v>23.884831244444445</v>
      </c>
      <c r="N109" s="9"/>
      <c r="O109" s="21">
        <v>0.39856000000000003</v>
      </c>
      <c r="P109" s="21">
        <v>9.9348299999999998</v>
      </c>
      <c r="Q109" s="21">
        <v>-1.4938399999999999E-2</v>
      </c>
      <c r="R109" s="21">
        <v>99</v>
      </c>
      <c r="S109" s="21">
        <v>0.39788800000000002</v>
      </c>
      <c r="T109">
        <f t="shared" si="14"/>
        <v>18.442469135802465</v>
      </c>
      <c r="U109">
        <f t="shared" si="15"/>
        <v>7.350430498765431</v>
      </c>
      <c r="X109" s="9"/>
      <c r="Y109" s="21">
        <v>1.3215600000000001</v>
      </c>
      <c r="Z109" s="21">
        <v>15.490600000000001</v>
      </c>
      <c r="AA109" s="21">
        <v>-1.4645399999999999E-2</v>
      </c>
      <c r="AB109" s="21">
        <v>99</v>
      </c>
      <c r="AC109" s="21">
        <v>1.3208</v>
      </c>
      <c r="AD109">
        <f t="shared" si="16"/>
        <v>18.080740740740737</v>
      </c>
      <c r="AE109">
        <f t="shared" si="17"/>
        <v>23.89478373333333</v>
      </c>
      <c r="AF109" s="9"/>
      <c r="AG109" s="21">
        <v>0.39856000000000003</v>
      </c>
      <c r="AH109" s="21">
        <v>19.350000000000001</v>
      </c>
      <c r="AI109" s="21">
        <v>-1.5042099999999999E-2</v>
      </c>
      <c r="AJ109" s="21">
        <v>99</v>
      </c>
      <c r="AK109" s="21">
        <v>0.397949</v>
      </c>
      <c r="AL109">
        <f t="shared" si="18"/>
        <v>18.570493827160494</v>
      </c>
      <c r="AM109">
        <f t="shared" si="19"/>
        <v>7.4014560197530868</v>
      </c>
      <c r="AP109" s="9"/>
      <c r="AQ109" s="21">
        <v>1.3215600000000001</v>
      </c>
      <c r="AR109" s="21">
        <v>24.8748</v>
      </c>
      <c r="AS109" s="21">
        <v>-1.4633200000000001E-2</v>
      </c>
      <c r="AT109" s="21">
        <v>99</v>
      </c>
      <c r="AU109" s="21">
        <v>1.32141</v>
      </c>
      <c r="AV109">
        <f t="shared" si="20"/>
        <v>18.065679012345679</v>
      </c>
      <c r="AW109">
        <f t="shared" si="21"/>
        <v>23.874878755555557</v>
      </c>
      <c r="AX109" s="9"/>
      <c r="AY109" s="21">
        <v>0.39856000000000003</v>
      </c>
      <c r="AZ109" s="21">
        <v>28.734300000000001</v>
      </c>
      <c r="BA109" s="21">
        <v>-1.5029900000000001E-2</v>
      </c>
      <c r="BB109" s="21">
        <v>99</v>
      </c>
      <c r="BC109" s="21">
        <v>0.39800999999999997</v>
      </c>
      <c r="BD109">
        <f t="shared" si="22"/>
        <v>18.555432098765429</v>
      </c>
      <c r="BE109">
        <f t="shared" si="23"/>
        <v>7.3954530172839501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1.31653</v>
      </c>
      <c r="H110" s="21">
        <v>6.0854200000000001</v>
      </c>
      <c r="I110" s="21">
        <v>-1.4654500000000001E-2</v>
      </c>
      <c r="J110" s="21">
        <v>100</v>
      </c>
      <c r="K110" s="21">
        <v>1.31592</v>
      </c>
      <c r="L110">
        <f t="shared" si="12"/>
        <v>18.091975308641977</v>
      </c>
      <c r="M110">
        <f t="shared" si="13"/>
        <v>23.818628253086423</v>
      </c>
      <c r="N110" s="9"/>
      <c r="O110" s="21">
        <v>0.40359499999999998</v>
      </c>
      <c r="P110" s="21">
        <v>9.9449000000000005</v>
      </c>
      <c r="Q110" s="21">
        <v>-1.49353E-2</v>
      </c>
      <c r="R110" s="21">
        <v>100</v>
      </c>
      <c r="S110" s="21">
        <v>0.40310699999999999</v>
      </c>
      <c r="T110">
        <f t="shared" si="14"/>
        <v>18.438641975308641</v>
      </c>
      <c r="U110">
        <f t="shared" si="15"/>
        <v>7.4417437080246911</v>
      </c>
      <c r="X110" s="9"/>
      <c r="Y110" s="21">
        <v>1.31653</v>
      </c>
      <c r="Z110" s="21">
        <v>15.5006</v>
      </c>
      <c r="AA110" s="21">
        <v>-1.4645399999999999E-2</v>
      </c>
      <c r="AB110" s="21">
        <v>100</v>
      </c>
      <c r="AC110" s="21">
        <v>1.3156099999999999</v>
      </c>
      <c r="AD110">
        <f t="shared" si="16"/>
        <v>18.080740740740737</v>
      </c>
      <c r="AE110">
        <f t="shared" si="17"/>
        <v>23.803837607407402</v>
      </c>
      <c r="AF110" s="9"/>
      <c r="AG110" s="21">
        <v>0.40359499999999998</v>
      </c>
      <c r="AH110" s="21">
        <v>19.360099999999999</v>
      </c>
      <c r="AI110" s="21">
        <v>-1.50391E-2</v>
      </c>
      <c r="AJ110" s="21">
        <v>100</v>
      </c>
      <c r="AK110" s="21">
        <v>0.40304600000000002</v>
      </c>
      <c r="AL110">
        <f t="shared" si="18"/>
        <v>18.566790123456791</v>
      </c>
      <c r="AM110">
        <f t="shared" si="19"/>
        <v>7.4934636598765429</v>
      </c>
      <c r="AP110" s="9"/>
      <c r="AQ110" s="21">
        <v>1.31653</v>
      </c>
      <c r="AR110" s="21">
        <v>24.884899999999998</v>
      </c>
      <c r="AS110" s="21">
        <v>-1.46515E-2</v>
      </c>
      <c r="AT110" s="21">
        <v>100</v>
      </c>
      <c r="AU110" s="21">
        <v>1.31592</v>
      </c>
      <c r="AV110">
        <f t="shared" si="20"/>
        <v>18.088271604938271</v>
      </c>
      <c r="AW110">
        <f t="shared" si="21"/>
        <v>23.81375221604938</v>
      </c>
      <c r="AX110" s="9"/>
      <c r="AY110" s="21">
        <v>0.40359499999999998</v>
      </c>
      <c r="AZ110" s="21">
        <v>28.744299999999999</v>
      </c>
      <c r="BA110" s="21">
        <v>-1.50452E-2</v>
      </c>
      <c r="BB110" s="21">
        <v>100</v>
      </c>
      <c r="BC110" s="21">
        <v>0.40304600000000002</v>
      </c>
      <c r="BD110">
        <f t="shared" si="22"/>
        <v>18.574320987654321</v>
      </c>
      <c r="BE110">
        <f t="shared" si="23"/>
        <v>7.4965030790123457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1.31149</v>
      </c>
      <c r="H111" s="21">
        <v>6.0954899999999999</v>
      </c>
      <c r="I111" s="21">
        <v>-1.46667E-2</v>
      </c>
      <c r="J111" s="21">
        <v>101</v>
      </c>
      <c r="K111" s="21">
        <v>1.3104199999999999</v>
      </c>
      <c r="L111">
        <f t="shared" si="12"/>
        <v>18.107037037037035</v>
      </c>
      <c r="M111">
        <f t="shared" si="13"/>
        <v>23.747198003703701</v>
      </c>
      <c r="N111" s="9"/>
      <c r="O111" s="21">
        <v>0.40862999999999999</v>
      </c>
      <c r="P111" s="21">
        <v>9.9549699999999994</v>
      </c>
      <c r="Q111" s="21">
        <v>-1.4938399999999999E-2</v>
      </c>
      <c r="R111" s="21">
        <v>101</v>
      </c>
      <c r="S111" s="21">
        <v>0.408051</v>
      </c>
      <c r="T111">
        <f t="shared" si="14"/>
        <v>18.442469135802465</v>
      </c>
      <c r="U111">
        <f t="shared" si="15"/>
        <v>7.5361461629629609</v>
      </c>
      <c r="X111" s="9"/>
      <c r="Y111" s="21">
        <v>1.31149</v>
      </c>
      <c r="Z111" s="21">
        <v>15.5107</v>
      </c>
      <c r="AA111" s="21">
        <v>-1.46576E-2</v>
      </c>
      <c r="AB111" s="21">
        <v>101</v>
      </c>
      <c r="AC111" s="21">
        <v>1.31104</v>
      </c>
      <c r="AD111">
        <f t="shared" si="16"/>
        <v>18.095802469135801</v>
      </c>
      <c r="AE111">
        <f t="shared" si="17"/>
        <v>23.732463980246912</v>
      </c>
      <c r="AF111" s="9"/>
      <c r="AG111" s="21">
        <v>0.40862999999999999</v>
      </c>
      <c r="AH111" s="21">
        <v>19.370200000000001</v>
      </c>
      <c r="AI111" s="21">
        <v>-1.5029900000000001E-2</v>
      </c>
      <c r="AJ111" s="21">
        <v>101</v>
      </c>
      <c r="AK111" s="21">
        <v>0.40799000000000002</v>
      </c>
      <c r="AL111">
        <f t="shared" si="18"/>
        <v>18.555432098765429</v>
      </c>
      <c r="AM111">
        <f t="shared" si="19"/>
        <v>7.582306218518517</v>
      </c>
      <c r="AP111" s="9"/>
      <c r="AQ111" s="21">
        <v>1.31149</v>
      </c>
      <c r="AR111" s="21">
        <v>24.8949</v>
      </c>
      <c r="AS111" s="21">
        <v>-1.4660599999999999E-2</v>
      </c>
      <c r="AT111" s="21">
        <v>101</v>
      </c>
      <c r="AU111" s="21">
        <v>1.31073</v>
      </c>
      <c r="AV111">
        <f t="shared" si="20"/>
        <v>18.099506172839504</v>
      </c>
      <c r="AW111">
        <f t="shared" si="21"/>
        <v>23.737321350617282</v>
      </c>
      <c r="AX111" s="9"/>
      <c r="AY111" s="21">
        <v>0.40862999999999999</v>
      </c>
      <c r="AZ111" s="21">
        <v>28.7544</v>
      </c>
      <c r="BA111" s="21">
        <v>-1.5042099999999999E-2</v>
      </c>
      <c r="BB111" s="21">
        <v>101</v>
      </c>
      <c r="BC111" s="21">
        <v>0.408051</v>
      </c>
      <c r="BD111">
        <f t="shared" si="22"/>
        <v>18.570493827160494</v>
      </c>
      <c r="BE111">
        <f t="shared" si="23"/>
        <v>7.5884608925925923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1.30646</v>
      </c>
      <c r="H112" s="21">
        <v>6.1055599999999997</v>
      </c>
      <c r="I112" s="21">
        <v>-1.46698E-2</v>
      </c>
      <c r="J112" s="21">
        <v>102</v>
      </c>
      <c r="K112" s="21">
        <v>1.3055399999999999</v>
      </c>
      <c r="L112">
        <f t="shared" si="12"/>
        <v>18.110864197530866</v>
      </c>
      <c r="M112">
        <f t="shared" si="13"/>
        <v>23.661119639506175</v>
      </c>
      <c r="N112" s="9"/>
      <c r="O112" s="21">
        <v>0.41366599999999998</v>
      </c>
      <c r="P112" s="21">
        <v>9.9650400000000001</v>
      </c>
      <c r="Q112" s="21">
        <v>-1.4953599999999999E-2</v>
      </c>
      <c r="R112" s="21">
        <v>102</v>
      </c>
      <c r="S112" s="21">
        <v>0.41308600000000001</v>
      </c>
      <c r="T112">
        <f t="shared" si="14"/>
        <v>18.461234567901233</v>
      </c>
      <c r="U112">
        <f t="shared" si="15"/>
        <v>7.6367850587654313</v>
      </c>
      <c r="X112" s="9"/>
      <c r="Y112" s="21">
        <v>1.30646</v>
      </c>
      <c r="Z112" s="21">
        <v>15.520799999999999</v>
      </c>
      <c r="AA112" s="21">
        <v>-1.46667E-2</v>
      </c>
      <c r="AB112" s="21">
        <v>102</v>
      </c>
      <c r="AC112" s="21">
        <v>1.3055399999999999</v>
      </c>
      <c r="AD112">
        <f t="shared" si="16"/>
        <v>18.107037037037035</v>
      </c>
      <c r="AE112">
        <f t="shared" si="17"/>
        <v>23.656119607407405</v>
      </c>
      <c r="AF112" s="9"/>
      <c r="AG112" s="21">
        <v>0.41366599999999998</v>
      </c>
      <c r="AH112" s="21">
        <v>19.380199999999999</v>
      </c>
      <c r="AI112" s="21">
        <v>-1.50116E-2</v>
      </c>
      <c r="AJ112" s="21">
        <v>102</v>
      </c>
      <c r="AK112" s="21">
        <v>0.41308600000000001</v>
      </c>
      <c r="AL112">
        <f t="shared" si="18"/>
        <v>18.532839506172838</v>
      </c>
      <c r="AM112">
        <f t="shared" si="19"/>
        <v>7.6664055871604928</v>
      </c>
      <c r="AP112" s="9"/>
      <c r="AQ112" s="21">
        <v>1.30646</v>
      </c>
      <c r="AR112" s="21">
        <v>24.905000000000001</v>
      </c>
      <c r="AS112" s="21">
        <v>-1.4678999999999999E-2</v>
      </c>
      <c r="AT112" s="21">
        <v>102</v>
      </c>
      <c r="AU112" s="21">
        <v>1.3055399999999999</v>
      </c>
      <c r="AV112">
        <f t="shared" si="20"/>
        <v>18.12222222222222</v>
      </c>
      <c r="AW112">
        <f t="shared" si="21"/>
        <v>23.67595844444444</v>
      </c>
      <c r="AX112" s="9"/>
      <c r="AY112" s="21">
        <v>0.41366599999999998</v>
      </c>
      <c r="AZ112" s="21">
        <v>28.764500000000002</v>
      </c>
      <c r="BA112" s="21">
        <v>-1.5036000000000001E-2</v>
      </c>
      <c r="BB112" s="21">
        <v>102</v>
      </c>
      <c r="BC112" s="21">
        <v>0.41311599999999998</v>
      </c>
      <c r="BD112">
        <f t="shared" si="22"/>
        <v>18.562962962962963</v>
      </c>
      <c r="BE112">
        <f t="shared" si="23"/>
        <v>7.6788666370370366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1.30142</v>
      </c>
      <c r="H113" s="21">
        <v>6.11564</v>
      </c>
      <c r="I113" s="21">
        <v>-1.46759E-2</v>
      </c>
      <c r="J113" s="21">
        <v>103</v>
      </c>
      <c r="K113" s="21">
        <v>1.3006599999999999</v>
      </c>
      <c r="L113">
        <f t="shared" si="12"/>
        <v>18.118395061728396</v>
      </c>
      <c r="M113">
        <f t="shared" si="13"/>
        <v>23.579641701234571</v>
      </c>
      <c r="N113" s="9"/>
      <c r="O113" s="21">
        <v>0.41870099999999999</v>
      </c>
      <c r="P113" s="21">
        <v>9.9751100000000008</v>
      </c>
      <c r="Q113" s="21">
        <v>-1.4944499999999999E-2</v>
      </c>
      <c r="R113" s="21">
        <v>103</v>
      </c>
      <c r="S113" s="21">
        <v>0.41812100000000002</v>
      </c>
      <c r="T113">
        <f t="shared" si="14"/>
        <v>18.45</v>
      </c>
      <c r="U113">
        <f t="shared" si="15"/>
        <v>7.7250334499999997</v>
      </c>
      <c r="X113" s="9"/>
      <c r="Y113" s="21">
        <v>1.30142</v>
      </c>
      <c r="Z113" s="21">
        <v>15.530799999999999</v>
      </c>
      <c r="AA113" s="21">
        <v>-1.4672899999999999E-2</v>
      </c>
      <c r="AB113" s="21">
        <v>103</v>
      </c>
      <c r="AC113" s="21">
        <v>1.3009599999999999</v>
      </c>
      <c r="AD113">
        <f t="shared" si="16"/>
        <v>18.11469135802469</v>
      </c>
      <c r="AE113">
        <f t="shared" si="17"/>
        <v>23.574821627160492</v>
      </c>
      <c r="AF113" s="9"/>
      <c r="AG113" s="21">
        <v>0.41870099999999999</v>
      </c>
      <c r="AH113" s="21">
        <v>19.3903</v>
      </c>
      <c r="AI113" s="21">
        <v>-1.49994E-2</v>
      </c>
      <c r="AJ113" s="21">
        <v>103</v>
      </c>
      <c r="AK113" s="21">
        <v>0.41803000000000001</v>
      </c>
      <c r="AL113">
        <f t="shared" si="18"/>
        <v>18.517777777777777</v>
      </c>
      <c r="AM113">
        <f t="shared" si="19"/>
        <v>7.7534120733333332</v>
      </c>
      <c r="AP113" s="9"/>
      <c r="AQ113" s="21">
        <v>1.30142</v>
      </c>
      <c r="AR113" s="21">
        <v>24.915099999999999</v>
      </c>
      <c r="AS113" s="21">
        <v>-1.46973E-2</v>
      </c>
      <c r="AT113" s="21">
        <v>103</v>
      </c>
      <c r="AU113" s="21">
        <v>1.3009599999999999</v>
      </c>
      <c r="AV113">
        <f t="shared" si="20"/>
        <v>18.144814814814815</v>
      </c>
      <c r="AW113">
        <f t="shared" si="21"/>
        <v>23.614024896296296</v>
      </c>
      <c r="AX113" s="9"/>
      <c r="AY113" s="21">
        <v>0.41870099999999999</v>
      </c>
      <c r="AZ113" s="21">
        <v>28.7746</v>
      </c>
      <c r="BA113" s="21">
        <v>-1.5026899999999999E-2</v>
      </c>
      <c r="BB113" s="21">
        <v>103</v>
      </c>
      <c r="BC113" s="21">
        <v>0.41809099999999999</v>
      </c>
      <c r="BD113">
        <f t="shared" si="22"/>
        <v>18.551728395061726</v>
      </c>
      <c r="BE113">
        <f t="shared" si="23"/>
        <v>7.7676272307407395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1.2963899999999999</v>
      </c>
      <c r="H114" s="21">
        <v>6.1257099999999998</v>
      </c>
      <c r="I114" s="21">
        <v>-1.4682000000000001E-2</v>
      </c>
      <c r="J114" s="21">
        <v>104</v>
      </c>
      <c r="K114" s="21">
        <v>1.2954699999999999</v>
      </c>
      <c r="L114">
        <f t="shared" si="12"/>
        <v>18.125925925925923</v>
      </c>
      <c r="M114">
        <f t="shared" si="13"/>
        <v>23.498269111111107</v>
      </c>
      <c r="N114" s="9"/>
      <c r="O114" s="21">
        <v>0.42373699999999997</v>
      </c>
      <c r="P114" s="21">
        <v>9.9851799999999997</v>
      </c>
      <c r="Q114" s="21">
        <v>-1.4947500000000001E-2</v>
      </c>
      <c r="R114" s="21">
        <v>104</v>
      </c>
      <c r="S114" s="21">
        <v>0.42318699999999998</v>
      </c>
      <c r="T114">
        <f t="shared" si="14"/>
        <v>18.453703703703706</v>
      </c>
      <c r="U114">
        <f t="shared" si="15"/>
        <v>7.8195170462962968</v>
      </c>
      <c r="X114" s="9"/>
      <c r="Y114" s="21">
        <v>1.2963899999999999</v>
      </c>
      <c r="Z114" s="21">
        <v>15.540900000000001</v>
      </c>
      <c r="AA114" s="21">
        <v>-1.46912E-2</v>
      </c>
      <c r="AB114" s="21">
        <v>104</v>
      </c>
      <c r="AC114" s="21">
        <v>1.2957799999999999</v>
      </c>
      <c r="AD114">
        <f t="shared" si="16"/>
        <v>18.137283950617284</v>
      </c>
      <c r="AE114">
        <f t="shared" si="17"/>
        <v>23.512993540740741</v>
      </c>
      <c r="AF114" s="9"/>
      <c r="AG114" s="21">
        <v>0.42373699999999997</v>
      </c>
      <c r="AH114" s="21">
        <v>19.400400000000001</v>
      </c>
      <c r="AI114" s="21">
        <v>-1.4996300000000001E-2</v>
      </c>
      <c r="AJ114" s="21">
        <v>104</v>
      </c>
      <c r="AK114" s="21">
        <v>0.42315700000000001</v>
      </c>
      <c r="AL114">
        <f t="shared" si="18"/>
        <v>18.51395061728395</v>
      </c>
      <c r="AM114">
        <f t="shared" si="19"/>
        <v>7.8450458927160485</v>
      </c>
      <c r="AP114" s="9"/>
      <c r="AQ114" s="21">
        <v>1.2963899999999999</v>
      </c>
      <c r="AR114" s="21">
        <v>24.9251</v>
      </c>
      <c r="AS114" s="21">
        <v>-1.4715600000000001E-2</v>
      </c>
      <c r="AT114" s="21">
        <v>104</v>
      </c>
      <c r="AU114" s="21">
        <v>1.2954699999999999</v>
      </c>
      <c r="AV114">
        <f t="shared" si="20"/>
        <v>18.167407407407406</v>
      </c>
      <c r="AW114">
        <f t="shared" si="21"/>
        <v>23.552045288888888</v>
      </c>
      <c r="AX114" s="9"/>
      <c r="AY114" s="21">
        <v>0.42373699999999997</v>
      </c>
      <c r="AZ114" s="21">
        <v>28.784600000000001</v>
      </c>
      <c r="BA114" s="21">
        <v>-1.5020800000000001E-2</v>
      </c>
      <c r="BB114" s="21">
        <v>104</v>
      </c>
      <c r="BC114" s="21">
        <v>0.42318699999999998</v>
      </c>
      <c r="BD114">
        <f t="shared" si="22"/>
        <v>18.544197530864199</v>
      </c>
      <c r="BE114">
        <f t="shared" si="23"/>
        <v>7.8578626291358029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1.29135</v>
      </c>
      <c r="H115" s="21">
        <v>6.1357799999999996</v>
      </c>
      <c r="I115" s="21">
        <v>-1.46912E-2</v>
      </c>
      <c r="J115" s="21">
        <v>105</v>
      </c>
      <c r="K115" s="21">
        <v>1.2905899999999999</v>
      </c>
      <c r="L115">
        <f t="shared" si="12"/>
        <v>18.137283950617284</v>
      </c>
      <c r="M115">
        <f t="shared" si="13"/>
        <v>23.421581629629632</v>
      </c>
      <c r="N115" s="9"/>
      <c r="O115" s="21">
        <v>0.42877199999999999</v>
      </c>
      <c r="P115" s="21">
        <v>9.9952500000000004</v>
      </c>
      <c r="Q115" s="21">
        <v>-1.4959699999999999E-2</v>
      </c>
      <c r="R115" s="21">
        <v>105</v>
      </c>
      <c r="S115" s="21">
        <v>0.42825299999999999</v>
      </c>
      <c r="T115">
        <f t="shared" si="14"/>
        <v>18.468765432098763</v>
      </c>
      <c r="U115">
        <f t="shared" si="15"/>
        <v>7.9188894918518509</v>
      </c>
      <c r="X115" s="9"/>
      <c r="Y115" s="21">
        <v>1.29135</v>
      </c>
      <c r="Z115" s="21">
        <v>15.551</v>
      </c>
      <c r="AA115" s="21">
        <v>-1.47095E-2</v>
      </c>
      <c r="AB115" s="21">
        <v>105</v>
      </c>
      <c r="AC115" s="21">
        <v>1.2908900000000001</v>
      </c>
      <c r="AD115">
        <f t="shared" si="16"/>
        <v>18.159876543209876</v>
      </c>
      <c r="AE115">
        <f t="shared" si="17"/>
        <v>23.450756574074074</v>
      </c>
      <c r="AF115" s="9"/>
      <c r="AG115" s="21">
        <v>0.42877199999999999</v>
      </c>
      <c r="AH115" s="21">
        <v>19.410499999999999</v>
      </c>
      <c r="AI115" s="21">
        <v>-1.5002400000000001E-2</v>
      </c>
      <c r="AJ115" s="21">
        <v>105</v>
      </c>
      <c r="AK115" s="21">
        <v>0.42825299999999999</v>
      </c>
      <c r="AL115">
        <f t="shared" si="18"/>
        <v>18.521481481481484</v>
      </c>
      <c r="AM115">
        <f t="shared" si="19"/>
        <v>7.9414926577777782</v>
      </c>
      <c r="AP115" s="9"/>
      <c r="AQ115" s="21">
        <v>1.29135</v>
      </c>
      <c r="AR115" s="21">
        <v>24.935199999999998</v>
      </c>
      <c r="AS115" s="21">
        <v>-1.4721700000000001E-2</v>
      </c>
      <c r="AT115" s="21">
        <v>105</v>
      </c>
      <c r="AU115" s="21">
        <v>1.2908900000000001</v>
      </c>
      <c r="AV115">
        <f t="shared" si="20"/>
        <v>18.174938271604937</v>
      </c>
      <c r="AW115">
        <f t="shared" si="21"/>
        <v>23.470206537037036</v>
      </c>
      <c r="AX115" s="9"/>
      <c r="AY115" s="21">
        <v>0.42877199999999999</v>
      </c>
      <c r="AZ115" s="21">
        <v>28.794699999999999</v>
      </c>
      <c r="BA115" s="21">
        <v>-1.5014599999999999E-2</v>
      </c>
      <c r="BB115" s="21">
        <v>105</v>
      </c>
      <c r="BC115" s="21">
        <v>0.42813099999999998</v>
      </c>
      <c r="BD115">
        <f t="shared" si="22"/>
        <v>18.536543209876541</v>
      </c>
      <c r="BE115">
        <f t="shared" si="23"/>
        <v>7.9479507051851837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1.2863199999999999</v>
      </c>
      <c r="H116" s="21">
        <v>6.1458500000000003</v>
      </c>
      <c r="I116" s="21">
        <v>-1.4700299999999999E-2</v>
      </c>
      <c r="J116" s="21">
        <v>106</v>
      </c>
      <c r="K116" s="21">
        <v>1.2854000000000001</v>
      </c>
      <c r="L116">
        <f t="shared" si="12"/>
        <v>18.148518518518514</v>
      </c>
      <c r="M116">
        <f t="shared" si="13"/>
        <v>23.344802340740735</v>
      </c>
      <c r="N116" s="9"/>
      <c r="O116" s="21">
        <v>0.433807</v>
      </c>
      <c r="P116" s="21">
        <v>10.0053</v>
      </c>
      <c r="Q116" s="21">
        <v>-1.49628E-2</v>
      </c>
      <c r="R116" s="21">
        <v>106</v>
      </c>
      <c r="S116" s="21">
        <v>0.43344100000000002</v>
      </c>
      <c r="T116">
        <f t="shared" si="14"/>
        <v>18.472592592592594</v>
      </c>
      <c r="U116">
        <f t="shared" si="15"/>
        <v>8.0135399748148153</v>
      </c>
      <c r="X116" s="9"/>
      <c r="Y116" s="21">
        <v>1.2863199999999999</v>
      </c>
      <c r="Z116" s="21">
        <v>15.5611</v>
      </c>
      <c r="AA116" s="21">
        <v>-1.47186E-2</v>
      </c>
      <c r="AB116" s="21">
        <v>106</v>
      </c>
      <c r="AC116" s="21">
        <v>1.2850999999999999</v>
      </c>
      <c r="AD116">
        <f t="shared" si="16"/>
        <v>18.171111111111109</v>
      </c>
      <c r="AE116">
        <f t="shared" si="17"/>
        <v>23.373863644444441</v>
      </c>
      <c r="AF116" s="9"/>
      <c r="AG116" s="21">
        <v>0.433807</v>
      </c>
      <c r="AH116" s="21">
        <v>19.420500000000001</v>
      </c>
      <c r="AI116" s="21">
        <v>-1.50055E-2</v>
      </c>
      <c r="AJ116" s="21">
        <v>106</v>
      </c>
      <c r="AK116" s="21">
        <v>0.43316700000000002</v>
      </c>
      <c r="AL116">
        <f t="shared" si="18"/>
        <v>18.525308641975307</v>
      </c>
      <c r="AM116">
        <f t="shared" si="19"/>
        <v>8.0364085660493814</v>
      </c>
      <c r="AP116" s="9"/>
      <c r="AQ116" s="21">
        <v>1.2863199999999999</v>
      </c>
      <c r="AR116" s="21">
        <v>24.9453</v>
      </c>
      <c r="AS116" s="21">
        <v>-1.47308E-2</v>
      </c>
      <c r="AT116" s="21">
        <v>106</v>
      </c>
      <c r="AU116" s="21">
        <v>1.2857099999999999</v>
      </c>
      <c r="AV116">
        <f t="shared" si="20"/>
        <v>18.186172839506174</v>
      </c>
      <c r="AW116">
        <f t="shared" si="21"/>
        <v>23.393237846913578</v>
      </c>
      <c r="AX116" s="9"/>
      <c r="AY116" s="21">
        <v>0.433807</v>
      </c>
      <c r="AZ116" s="21">
        <v>28.8048</v>
      </c>
      <c r="BA116" s="21">
        <v>-1.5008499999999999E-2</v>
      </c>
      <c r="BB116" s="21">
        <v>106</v>
      </c>
      <c r="BC116" s="21">
        <v>0.433197</v>
      </c>
      <c r="BD116">
        <f t="shared" si="22"/>
        <v>18.529012345679011</v>
      </c>
      <c r="BE116">
        <f t="shared" si="23"/>
        <v>8.0380152586419751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1.28128</v>
      </c>
      <c r="H117" s="21">
        <v>6.1559200000000001</v>
      </c>
      <c r="I117" s="21">
        <v>-1.47034E-2</v>
      </c>
      <c r="J117" s="21">
        <v>107</v>
      </c>
      <c r="K117" s="21">
        <v>1.2802100000000001</v>
      </c>
      <c r="L117">
        <f t="shared" si="12"/>
        <v>18.152345679012342</v>
      </c>
      <c r="M117">
        <f t="shared" si="13"/>
        <v>23.258237471604932</v>
      </c>
      <c r="N117" s="9"/>
      <c r="O117" s="21">
        <v>0.43884299999999998</v>
      </c>
      <c r="P117" s="21">
        <v>10.0154</v>
      </c>
      <c r="Q117" s="21">
        <v>-1.49658E-2</v>
      </c>
      <c r="R117" s="21">
        <v>107</v>
      </c>
      <c r="S117" s="21">
        <v>0.43829299999999999</v>
      </c>
      <c r="T117">
        <f t="shared" si="14"/>
        <v>18.476296296296297</v>
      </c>
      <c r="U117">
        <f t="shared" si="15"/>
        <v>8.1081932955555551</v>
      </c>
      <c r="X117" s="9"/>
      <c r="Y117" s="21">
        <v>1.28128</v>
      </c>
      <c r="Z117" s="21">
        <v>15.571099999999999</v>
      </c>
      <c r="AA117" s="21">
        <v>-1.4721700000000001E-2</v>
      </c>
      <c r="AB117" s="21">
        <v>107</v>
      </c>
      <c r="AC117" s="21">
        <v>1.2811300000000001</v>
      </c>
      <c r="AD117">
        <f t="shared" si="16"/>
        <v>18.174938271604937</v>
      </c>
      <c r="AE117">
        <f t="shared" si="17"/>
        <v>23.287184908641972</v>
      </c>
      <c r="AF117" s="9"/>
      <c r="AG117" s="21">
        <v>0.43884299999999998</v>
      </c>
      <c r="AH117" s="21">
        <v>19.430599999999998</v>
      </c>
      <c r="AI117" s="21">
        <v>-1.50116E-2</v>
      </c>
      <c r="AJ117" s="21">
        <v>107</v>
      </c>
      <c r="AK117" s="21">
        <v>0.43823200000000001</v>
      </c>
      <c r="AL117">
        <f t="shared" si="18"/>
        <v>18.532839506172838</v>
      </c>
      <c r="AM117">
        <f t="shared" si="19"/>
        <v>8.1330068874074062</v>
      </c>
      <c r="AP117" s="9"/>
      <c r="AQ117" s="21">
        <v>1.28128</v>
      </c>
      <c r="AR117" s="21">
        <v>24.955400000000001</v>
      </c>
      <c r="AS117" s="21">
        <v>-1.47461E-2</v>
      </c>
      <c r="AT117" s="21">
        <v>107</v>
      </c>
      <c r="AU117" s="21">
        <v>1.2808200000000001</v>
      </c>
      <c r="AV117">
        <f t="shared" si="20"/>
        <v>18.205061728395062</v>
      </c>
      <c r="AW117">
        <f t="shared" si="21"/>
        <v>23.325781491358025</v>
      </c>
      <c r="AX117" s="9"/>
      <c r="AY117" s="21">
        <v>0.43884299999999998</v>
      </c>
      <c r="AZ117" s="21">
        <v>28.814800000000002</v>
      </c>
      <c r="BA117" s="21">
        <v>-1.49902E-2</v>
      </c>
      <c r="BB117" s="21">
        <v>107</v>
      </c>
      <c r="BC117" s="21">
        <v>0.43826300000000001</v>
      </c>
      <c r="BD117">
        <f t="shared" si="22"/>
        <v>18.506419753086419</v>
      </c>
      <c r="BE117">
        <f t="shared" si="23"/>
        <v>8.1214127637037024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1.2762500000000001</v>
      </c>
      <c r="H118" s="21">
        <v>6.1659899999999999</v>
      </c>
      <c r="I118" s="21">
        <v>-1.47186E-2</v>
      </c>
      <c r="J118" s="21">
        <v>108</v>
      </c>
      <c r="K118" s="21">
        <v>1.27563</v>
      </c>
      <c r="L118">
        <f t="shared" si="12"/>
        <v>18.171111111111109</v>
      </c>
      <c r="M118">
        <f t="shared" si="13"/>
        <v>23.190880555555555</v>
      </c>
      <c r="N118" s="9"/>
      <c r="O118" s="21">
        <v>0.44387799999999999</v>
      </c>
      <c r="P118" s="21">
        <v>10.025499999999999</v>
      </c>
      <c r="Q118" s="21">
        <v>-1.49628E-2</v>
      </c>
      <c r="R118" s="21">
        <v>108</v>
      </c>
      <c r="S118" s="21">
        <v>0.44345099999999998</v>
      </c>
      <c r="T118">
        <f t="shared" si="14"/>
        <v>18.472592592592594</v>
      </c>
      <c r="U118">
        <f t="shared" si="15"/>
        <v>8.1995774548148148</v>
      </c>
      <c r="X118" s="9"/>
      <c r="Y118" s="21">
        <v>1.2762500000000001</v>
      </c>
      <c r="Z118" s="21">
        <v>15.581200000000001</v>
      </c>
      <c r="AA118" s="21">
        <v>-1.47247E-2</v>
      </c>
      <c r="AB118" s="21">
        <v>108</v>
      </c>
      <c r="AC118" s="21">
        <v>1.2753300000000001</v>
      </c>
      <c r="AD118">
        <f t="shared" si="16"/>
        <v>18.178641975308643</v>
      </c>
      <c r="AE118">
        <f t="shared" si="17"/>
        <v>23.200491820987658</v>
      </c>
      <c r="AF118" s="9"/>
      <c r="AG118" s="21">
        <v>0.44387799999999999</v>
      </c>
      <c r="AH118" s="21">
        <v>19.4407</v>
      </c>
      <c r="AI118" s="21">
        <v>-1.5014599999999999E-2</v>
      </c>
      <c r="AJ118" s="21">
        <v>108</v>
      </c>
      <c r="AK118" s="21">
        <v>0.443268</v>
      </c>
      <c r="AL118">
        <f t="shared" si="18"/>
        <v>18.536543209876541</v>
      </c>
      <c r="AM118">
        <f t="shared" si="19"/>
        <v>8.227963726913579</v>
      </c>
      <c r="AP118" s="9"/>
      <c r="AQ118" s="21">
        <v>1.2762500000000001</v>
      </c>
      <c r="AR118" s="21">
        <v>24.965399999999999</v>
      </c>
      <c r="AS118" s="21">
        <v>-1.47522E-2</v>
      </c>
      <c r="AT118" s="21">
        <v>108</v>
      </c>
      <c r="AU118" s="21">
        <v>1.27502</v>
      </c>
      <c r="AV118">
        <f t="shared" si="20"/>
        <v>18.212592592592593</v>
      </c>
      <c r="AW118">
        <f t="shared" si="21"/>
        <v>23.2438212962963</v>
      </c>
      <c r="AX118" s="9"/>
      <c r="AY118" s="21">
        <v>0.44387799999999999</v>
      </c>
      <c r="AZ118" s="21">
        <v>28.8249</v>
      </c>
      <c r="BA118" s="21">
        <v>-1.49902E-2</v>
      </c>
      <c r="BB118" s="21">
        <v>108</v>
      </c>
      <c r="BC118" s="21">
        <v>0.44332899999999997</v>
      </c>
      <c r="BD118">
        <f t="shared" si="22"/>
        <v>18.506419753086419</v>
      </c>
      <c r="BE118">
        <f t="shared" si="23"/>
        <v>8.2145925871604941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1.27121</v>
      </c>
      <c r="H119" s="21">
        <v>6.1760599999999997</v>
      </c>
      <c r="I119" s="21">
        <v>-1.4733899999999999E-2</v>
      </c>
      <c r="J119" s="21">
        <v>109</v>
      </c>
      <c r="K119" s="21">
        <v>1.27075</v>
      </c>
      <c r="L119">
        <f t="shared" si="12"/>
        <v>18.189999999999998</v>
      </c>
      <c r="M119">
        <f t="shared" si="13"/>
        <v>23.123309899999995</v>
      </c>
      <c r="N119" s="9"/>
      <c r="O119" s="21">
        <v>0.44891399999999998</v>
      </c>
      <c r="P119" s="21">
        <v>10.035500000000001</v>
      </c>
      <c r="Q119" s="21">
        <v>-1.49567E-2</v>
      </c>
      <c r="R119" s="21">
        <v>109</v>
      </c>
      <c r="S119" s="21">
        <v>0.44836399999999998</v>
      </c>
      <c r="T119">
        <f t="shared" si="14"/>
        <v>18.46506172839506</v>
      </c>
      <c r="U119">
        <f t="shared" si="15"/>
        <v>8.289224720740739</v>
      </c>
      <c r="X119" s="9"/>
      <c r="Y119" s="21">
        <v>1.27121</v>
      </c>
      <c r="Z119" s="21">
        <v>15.5913</v>
      </c>
      <c r="AA119" s="21">
        <v>-1.4727799999999999E-2</v>
      </c>
      <c r="AB119" s="21">
        <v>109</v>
      </c>
      <c r="AC119" s="21">
        <v>1.27075</v>
      </c>
      <c r="AD119">
        <f t="shared" si="16"/>
        <v>18.182469135802467</v>
      </c>
      <c r="AE119">
        <f t="shared" si="17"/>
        <v>23.113736590123455</v>
      </c>
      <c r="AF119" s="9"/>
      <c r="AG119" s="21">
        <v>0.44891399999999998</v>
      </c>
      <c r="AH119" s="21">
        <v>19.450700000000001</v>
      </c>
      <c r="AI119" s="21">
        <v>-1.50055E-2</v>
      </c>
      <c r="AJ119" s="21">
        <v>109</v>
      </c>
      <c r="AK119" s="21">
        <v>0.44827299999999998</v>
      </c>
      <c r="AL119">
        <f t="shared" si="18"/>
        <v>18.525308641975307</v>
      </c>
      <c r="AM119">
        <f t="shared" si="19"/>
        <v>8.3162704037037027</v>
      </c>
      <c r="AP119" s="9"/>
      <c r="AQ119" s="21">
        <v>1.27121</v>
      </c>
      <c r="AR119" s="21">
        <v>24.9755</v>
      </c>
      <c r="AS119" s="21">
        <v>-1.47583E-2</v>
      </c>
      <c r="AT119" s="21">
        <v>109</v>
      </c>
      <c r="AU119" s="21">
        <v>1.2704500000000001</v>
      </c>
      <c r="AV119">
        <f t="shared" si="20"/>
        <v>18.22012345679012</v>
      </c>
      <c r="AW119">
        <f t="shared" si="21"/>
        <v>23.161603139506166</v>
      </c>
      <c r="AX119" s="9"/>
      <c r="AY119" s="21">
        <v>0.44891399999999998</v>
      </c>
      <c r="AZ119" s="21">
        <v>28.835000000000001</v>
      </c>
      <c r="BA119" s="21">
        <v>-1.4996300000000001E-2</v>
      </c>
      <c r="BB119" s="21">
        <v>109</v>
      </c>
      <c r="BC119" s="21">
        <v>0.44833400000000001</v>
      </c>
      <c r="BD119">
        <f t="shared" si="22"/>
        <v>18.51395061728395</v>
      </c>
      <c r="BE119">
        <f t="shared" si="23"/>
        <v>8.3111716274074059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1.26617</v>
      </c>
      <c r="H120" s="21">
        <v>6.1861300000000004</v>
      </c>
      <c r="I120" s="21">
        <v>-1.4749099999999999E-2</v>
      </c>
      <c r="J120" s="21">
        <v>110</v>
      </c>
      <c r="K120" s="21">
        <v>1.26556</v>
      </c>
      <c r="L120">
        <f t="shared" si="12"/>
        <v>18.208765432098765</v>
      </c>
      <c r="M120">
        <f t="shared" si="13"/>
        <v>23.055392527160492</v>
      </c>
      <c r="N120" s="9"/>
      <c r="O120" s="21">
        <v>0.45394899999999999</v>
      </c>
      <c r="P120" s="21">
        <v>10.0456</v>
      </c>
      <c r="Q120" s="21">
        <v>-1.4947500000000001E-2</v>
      </c>
      <c r="R120" s="21">
        <v>110</v>
      </c>
      <c r="S120" s="21">
        <v>0.45336900000000002</v>
      </c>
      <c r="T120">
        <f t="shared" si="14"/>
        <v>18.453703703703706</v>
      </c>
      <c r="U120">
        <f t="shared" si="15"/>
        <v>8.3770403425925934</v>
      </c>
      <c r="X120" s="9"/>
      <c r="Y120" s="21">
        <v>1.26617</v>
      </c>
      <c r="Z120" s="21">
        <v>15.6013</v>
      </c>
      <c r="AA120" s="21">
        <v>-1.47247E-2</v>
      </c>
      <c r="AB120" s="21">
        <v>110</v>
      </c>
      <c r="AC120" s="21">
        <v>1.26556</v>
      </c>
      <c r="AD120">
        <f t="shared" si="16"/>
        <v>18.178641975308643</v>
      </c>
      <c r="AE120">
        <f t="shared" si="17"/>
        <v>23.017251109876547</v>
      </c>
      <c r="AF120" s="9"/>
      <c r="AG120" s="21">
        <v>0.45394899999999999</v>
      </c>
      <c r="AH120" s="21">
        <v>19.460799999999999</v>
      </c>
      <c r="AI120" s="21">
        <v>-1.5008499999999999E-2</v>
      </c>
      <c r="AJ120" s="21">
        <v>110</v>
      </c>
      <c r="AK120" s="21">
        <v>0.45343</v>
      </c>
      <c r="AL120">
        <f t="shared" si="18"/>
        <v>18.529012345679011</v>
      </c>
      <c r="AM120">
        <f t="shared" si="19"/>
        <v>8.4112266253086414</v>
      </c>
      <c r="AP120" s="9"/>
      <c r="AQ120" s="21">
        <v>1.26617</v>
      </c>
      <c r="AR120" s="21">
        <v>24.985600000000002</v>
      </c>
      <c r="AS120" s="21">
        <v>-1.47583E-2</v>
      </c>
      <c r="AT120" s="21">
        <v>110</v>
      </c>
      <c r="AU120" s="21">
        <v>1.26556</v>
      </c>
      <c r="AV120">
        <f t="shared" si="20"/>
        <v>18.22012345679012</v>
      </c>
      <c r="AW120">
        <f t="shared" si="21"/>
        <v>23.069773717283947</v>
      </c>
      <c r="AX120" s="9"/>
      <c r="AY120" s="21">
        <v>0.45394899999999999</v>
      </c>
      <c r="AZ120" s="21">
        <v>28.845099999999999</v>
      </c>
      <c r="BA120" s="21">
        <v>-1.5008499999999999E-2</v>
      </c>
      <c r="BB120" s="21">
        <v>110</v>
      </c>
      <c r="BC120" s="21">
        <v>0.45340000000000003</v>
      </c>
      <c r="BD120">
        <f t="shared" si="22"/>
        <v>18.529012345679011</v>
      </c>
      <c r="BE120">
        <f t="shared" si="23"/>
        <v>8.4112266253086414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1.2611399999999999</v>
      </c>
      <c r="H121" s="21">
        <v>6.1962000000000002</v>
      </c>
      <c r="I121" s="21">
        <v>-1.47583E-2</v>
      </c>
      <c r="J121" s="21">
        <v>111</v>
      </c>
      <c r="K121" s="21">
        <v>1.26068</v>
      </c>
      <c r="L121">
        <f t="shared" si="12"/>
        <v>18.22012345679012</v>
      </c>
      <c r="M121">
        <f t="shared" si="13"/>
        <v>22.978126496296291</v>
      </c>
      <c r="N121" s="9"/>
      <c r="O121" s="21">
        <v>0.458984</v>
      </c>
      <c r="P121" s="21">
        <v>10.0557</v>
      </c>
      <c r="Q121" s="21">
        <v>-1.49353E-2</v>
      </c>
      <c r="R121" s="21">
        <v>111</v>
      </c>
      <c r="S121" s="21">
        <v>0.45834399999999997</v>
      </c>
      <c r="T121">
        <f t="shared" si="14"/>
        <v>18.438641975308641</v>
      </c>
      <c r="U121">
        <f t="shared" si="15"/>
        <v>8.4630416483950608</v>
      </c>
      <c r="X121" s="9"/>
      <c r="Y121" s="21">
        <v>1.2611399999999999</v>
      </c>
      <c r="Z121" s="21">
        <v>15.6114</v>
      </c>
      <c r="AA121" s="21">
        <v>-1.4727799999999999E-2</v>
      </c>
      <c r="AB121" s="21">
        <v>111</v>
      </c>
      <c r="AC121" s="21">
        <v>1.26068</v>
      </c>
      <c r="AD121">
        <f t="shared" si="16"/>
        <v>18.182469135802467</v>
      </c>
      <c r="AE121">
        <f t="shared" si="17"/>
        <v>22.930639125925921</v>
      </c>
      <c r="AF121" s="9"/>
      <c r="AG121" s="21">
        <v>0.458984</v>
      </c>
      <c r="AH121" s="21">
        <v>19.4709</v>
      </c>
      <c r="AI121" s="21">
        <v>-1.4996300000000001E-2</v>
      </c>
      <c r="AJ121" s="21">
        <v>111</v>
      </c>
      <c r="AK121" s="21">
        <v>0.45831300000000003</v>
      </c>
      <c r="AL121">
        <f t="shared" si="18"/>
        <v>18.51395061728395</v>
      </c>
      <c r="AM121">
        <f t="shared" si="19"/>
        <v>8.4976071101234556</v>
      </c>
      <c r="AP121" s="9"/>
      <c r="AQ121" s="21">
        <v>1.2611399999999999</v>
      </c>
      <c r="AR121" s="21">
        <v>24.9956</v>
      </c>
      <c r="AS121" s="21">
        <v>-1.4767499999999999E-2</v>
      </c>
      <c r="AT121" s="21">
        <v>111</v>
      </c>
      <c r="AU121" s="21">
        <v>1.26007</v>
      </c>
      <c r="AV121">
        <f t="shared" si="20"/>
        <v>18.231481481481481</v>
      </c>
      <c r="AW121">
        <f t="shared" si="21"/>
        <v>22.992450555555553</v>
      </c>
      <c r="AX121" s="9"/>
      <c r="AY121" s="21">
        <v>0.458984</v>
      </c>
      <c r="AZ121" s="21">
        <v>28.8551</v>
      </c>
      <c r="BA121" s="21">
        <v>-1.50177E-2</v>
      </c>
      <c r="BB121" s="21">
        <v>111</v>
      </c>
      <c r="BC121" s="21">
        <v>0.458374</v>
      </c>
      <c r="BD121">
        <f t="shared" si="22"/>
        <v>18.540370370370372</v>
      </c>
      <c r="BE121">
        <f t="shared" si="23"/>
        <v>8.5097333540740756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1.2561</v>
      </c>
      <c r="H122" s="21">
        <v>6.20627</v>
      </c>
      <c r="I122" s="21">
        <v>-1.4761399999999999E-2</v>
      </c>
      <c r="J122" s="21">
        <v>112</v>
      </c>
      <c r="K122" s="21">
        <v>1.25519</v>
      </c>
      <c r="L122">
        <f t="shared" si="12"/>
        <v>18.22395061728395</v>
      </c>
      <c r="M122">
        <f t="shared" si="13"/>
        <v>22.891104370370371</v>
      </c>
      <c r="N122" s="9"/>
      <c r="O122" s="21">
        <v>0.46401999999999999</v>
      </c>
      <c r="P122" s="21">
        <v>10.065799999999999</v>
      </c>
      <c r="Q122" s="21">
        <v>-1.4932300000000001E-2</v>
      </c>
      <c r="R122" s="21">
        <v>112</v>
      </c>
      <c r="S122" s="21">
        <v>0.46340900000000002</v>
      </c>
      <c r="T122">
        <f t="shared" si="14"/>
        <v>18.434938271604938</v>
      </c>
      <c r="U122">
        <f t="shared" si="15"/>
        <v>8.5541800567901234</v>
      </c>
      <c r="X122" s="9"/>
      <c r="Y122" s="21">
        <v>1.2561</v>
      </c>
      <c r="Z122" s="21">
        <v>15.621499999999999</v>
      </c>
      <c r="AA122" s="21">
        <v>-1.4736900000000001E-2</v>
      </c>
      <c r="AB122" s="21">
        <v>112</v>
      </c>
      <c r="AC122" s="21">
        <v>1.25549</v>
      </c>
      <c r="AD122">
        <f t="shared" si="16"/>
        <v>18.193703703703704</v>
      </c>
      <c r="AE122">
        <f t="shared" si="17"/>
        <v>22.853111222222221</v>
      </c>
      <c r="AF122" s="9"/>
      <c r="AG122" s="21">
        <v>0.46401999999999999</v>
      </c>
      <c r="AH122" s="21">
        <v>19.481000000000002</v>
      </c>
      <c r="AI122" s="21">
        <v>-1.4993299999999999E-2</v>
      </c>
      <c r="AJ122" s="21">
        <v>112</v>
      </c>
      <c r="AK122" s="21">
        <v>0.46340900000000002</v>
      </c>
      <c r="AL122">
        <f t="shared" si="18"/>
        <v>18.510246913580243</v>
      </c>
      <c r="AM122">
        <f t="shared" si="19"/>
        <v>8.5891247728395044</v>
      </c>
      <c r="AP122" s="9"/>
      <c r="AQ122" s="21">
        <v>1.2561</v>
      </c>
      <c r="AR122" s="21">
        <v>25.005700000000001</v>
      </c>
      <c r="AS122" s="21">
        <v>-1.4767499999999999E-2</v>
      </c>
      <c r="AT122" s="21">
        <v>112</v>
      </c>
      <c r="AU122" s="21">
        <v>1.2558</v>
      </c>
      <c r="AV122">
        <f t="shared" si="20"/>
        <v>18.231481481481481</v>
      </c>
      <c r="AW122">
        <f t="shared" si="21"/>
        <v>22.90056388888889</v>
      </c>
      <c r="AX122" s="9"/>
      <c r="AY122" s="21">
        <v>0.46401999999999999</v>
      </c>
      <c r="AZ122" s="21">
        <v>28.865200000000002</v>
      </c>
      <c r="BA122" s="21">
        <v>-1.50238E-2</v>
      </c>
      <c r="BB122" s="21">
        <v>112</v>
      </c>
      <c r="BC122" s="21">
        <v>0.463501</v>
      </c>
      <c r="BD122">
        <f t="shared" si="22"/>
        <v>18.547901234567902</v>
      </c>
      <c r="BE122">
        <f t="shared" si="23"/>
        <v>8.6065971308641984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1.2510699999999999</v>
      </c>
      <c r="H123" s="21">
        <v>6.2163500000000003</v>
      </c>
      <c r="I123" s="21">
        <v>-1.4761399999999999E-2</v>
      </c>
      <c r="J123" s="21">
        <v>113</v>
      </c>
      <c r="K123" s="21">
        <v>1.25061</v>
      </c>
      <c r="L123">
        <f t="shared" si="12"/>
        <v>18.22395061728395</v>
      </c>
      <c r="M123">
        <f t="shared" si="13"/>
        <v>22.799437898765429</v>
      </c>
      <c r="N123" s="9"/>
      <c r="O123" s="21">
        <v>0.469055</v>
      </c>
      <c r="P123" s="21">
        <v>10.075799999999999</v>
      </c>
      <c r="Q123" s="21">
        <v>-1.4926099999999999E-2</v>
      </c>
      <c r="R123" s="21">
        <v>113</v>
      </c>
      <c r="S123" s="21">
        <v>0.468414</v>
      </c>
      <c r="T123">
        <f t="shared" si="14"/>
        <v>18.427283950617284</v>
      </c>
      <c r="U123">
        <f t="shared" si="15"/>
        <v>8.6434096734567891</v>
      </c>
      <c r="X123" s="9"/>
      <c r="Y123" s="21">
        <v>1.2510699999999999</v>
      </c>
      <c r="Z123" s="21">
        <v>15.631600000000001</v>
      </c>
      <c r="AA123" s="21">
        <v>-1.4742999999999999E-2</v>
      </c>
      <c r="AB123" s="21">
        <v>113</v>
      </c>
      <c r="AC123" s="21">
        <v>1.25092</v>
      </c>
      <c r="AD123">
        <f t="shared" si="16"/>
        <v>18.201234567901235</v>
      </c>
      <c r="AE123">
        <f t="shared" si="17"/>
        <v>22.771018530864197</v>
      </c>
      <c r="AF123" s="9"/>
      <c r="AG123" s="21">
        <v>0.469055</v>
      </c>
      <c r="AH123" s="21">
        <v>19.491</v>
      </c>
      <c r="AI123" s="21">
        <v>-1.4993299999999999E-2</v>
      </c>
      <c r="AJ123" s="21">
        <v>113</v>
      </c>
      <c r="AK123" s="21">
        <v>0.468414</v>
      </c>
      <c r="AL123">
        <f t="shared" si="18"/>
        <v>18.510246913580243</v>
      </c>
      <c r="AM123">
        <f t="shared" si="19"/>
        <v>8.68232386604938</v>
      </c>
      <c r="AP123" s="9"/>
      <c r="AQ123" s="21">
        <v>1.2510699999999999</v>
      </c>
      <c r="AR123" s="21">
        <v>25.015799999999999</v>
      </c>
      <c r="AS123" s="21">
        <v>-1.4767499999999999E-2</v>
      </c>
      <c r="AT123" s="21">
        <v>113</v>
      </c>
      <c r="AU123" s="21">
        <v>1.25092</v>
      </c>
      <c r="AV123">
        <f t="shared" si="20"/>
        <v>18.231481481481481</v>
      </c>
      <c r="AW123">
        <f t="shared" si="21"/>
        <v>22.808859537037034</v>
      </c>
      <c r="AX123" s="9"/>
      <c r="AY123" s="21">
        <v>0.469055</v>
      </c>
      <c r="AZ123" s="21">
        <v>28.875299999999999</v>
      </c>
      <c r="BA123" s="21">
        <v>-1.50177E-2</v>
      </c>
      <c r="BB123" s="21">
        <v>113</v>
      </c>
      <c r="BC123" s="21">
        <v>0.46838400000000002</v>
      </c>
      <c r="BD123">
        <f t="shared" si="22"/>
        <v>18.540370370370372</v>
      </c>
      <c r="BE123">
        <f t="shared" si="23"/>
        <v>8.6964534240740754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1.24603</v>
      </c>
      <c r="H124" s="21">
        <v>6.2264200000000001</v>
      </c>
      <c r="I124" s="21">
        <v>-1.47552E-2</v>
      </c>
      <c r="J124" s="21">
        <v>114</v>
      </c>
      <c r="K124" s="21">
        <v>1.24481</v>
      </c>
      <c r="L124">
        <f t="shared" si="12"/>
        <v>18.216296296296292</v>
      </c>
      <c r="M124">
        <f t="shared" si="13"/>
        <v>22.698051674074069</v>
      </c>
      <c r="N124" s="9"/>
      <c r="O124" s="21">
        <v>0.47409099999999998</v>
      </c>
      <c r="P124" s="21">
        <v>10.085900000000001</v>
      </c>
      <c r="Q124" s="21">
        <v>-1.4926099999999999E-2</v>
      </c>
      <c r="R124" s="21">
        <v>114</v>
      </c>
      <c r="S124" s="21">
        <v>0.47332800000000003</v>
      </c>
      <c r="T124">
        <f t="shared" si="14"/>
        <v>18.427283950617284</v>
      </c>
      <c r="U124">
        <f t="shared" si="15"/>
        <v>8.7362094754320978</v>
      </c>
      <c r="X124" s="9"/>
      <c r="Y124" s="21">
        <v>1.24603</v>
      </c>
      <c r="Z124" s="21">
        <v>15.6416</v>
      </c>
      <c r="AA124" s="21">
        <v>-1.4749099999999999E-2</v>
      </c>
      <c r="AB124" s="21">
        <v>114</v>
      </c>
      <c r="AC124" s="21">
        <v>1.24481</v>
      </c>
      <c r="AD124">
        <f t="shared" si="16"/>
        <v>18.208765432098765</v>
      </c>
      <c r="AE124">
        <f t="shared" si="17"/>
        <v>22.688667991358024</v>
      </c>
      <c r="AF124" s="9"/>
      <c r="AG124" s="21">
        <v>0.47409099999999998</v>
      </c>
      <c r="AH124" s="21">
        <v>19.501100000000001</v>
      </c>
      <c r="AI124" s="21">
        <v>-1.5002400000000001E-2</v>
      </c>
      <c r="AJ124" s="21">
        <v>114</v>
      </c>
      <c r="AK124" s="21">
        <v>0.47341899999999998</v>
      </c>
      <c r="AL124">
        <f t="shared" si="18"/>
        <v>18.521481481481484</v>
      </c>
      <c r="AM124">
        <f t="shared" si="19"/>
        <v>8.7808676770370386</v>
      </c>
      <c r="AP124" s="9"/>
      <c r="AQ124" s="21">
        <v>1.24603</v>
      </c>
      <c r="AR124" s="21">
        <v>25.0259</v>
      </c>
      <c r="AS124" s="21">
        <v>-1.47736E-2</v>
      </c>
      <c r="AT124" s="21">
        <v>114</v>
      </c>
      <c r="AU124" s="21">
        <v>1.24573</v>
      </c>
      <c r="AV124">
        <f t="shared" si="20"/>
        <v>18.239012345679011</v>
      </c>
      <c r="AW124">
        <f t="shared" si="21"/>
        <v>22.726356553086418</v>
      </c>
      <c r="AX124" s="9"/>
      <c r="AY124" s="21">
        <v>0.47409099999999998</v>
      </c>
      <c r="AZ124" s="21">
        <v>28.885300000000001</v>
      </c>
      <c r="BA124" s="21">
        <v>-1.5008499999999999E-2</v>
      </c>
      <c r="BB124" s="21">
        <v>114</v>
      </c>
      <c r="BC124" s="21">
        <v>0.47363300000000003</v>
      </c>
      <c r="BD124">
        <f t="shared" si="22"/>
        <v>18.529012345679011</v>
      </c>
      <c r="BE124">
        <f t="shared" si="23"/>
        <v>8.7844379919753077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1.2410000000000001</v>
      </c>
      <c r="H125" s="21">
        <v>6.2364899999999999</v>
      </c>
      <c r="I125" s="21">
        <v>-1.47522E-2</v>
      </c>
      <c r="J125" s="21">
        <v>115</v>
      </c>
      <c r="K125" s="21">
        <v>1.23993</v>
      </c>
      <c r="L125">
        <f t="shared" si="12"/>
        <v>18.212592592592593</v>
      </c>
      <c r="M125">
        <f t="shared" si="13"/>
        <v>22.601827407407409</v>
      </c>
      <c r="N125" s="9"/>
      <c r="O125" s="21">
        <v>0.479126</v>
      </c>
      <c r="P125" s="21">
        <v>10.096</v>
      </c>
      <c r="Q125" s="21">
        <v>-1.4926099999999999E-2</v>
      </c>
      <c r="R125" s="21">
        <v>115</v>
      </c>
      <c r="S125" s="21">
        <v>0.478516</v>
      </c>
      <c r="T125">
        <f t="shared" si="14"/>
        <v>18.427283950617284</v>
      </c>
      <c r="U125">
        <f t="shared" si="15"/>
        <v>8.8289908501234571</v>
      </c>
      <c r="X125" s="9"/>
      <c r="Y125" s="21">
        <v>1.2410000000000001</v>
      </c>
      <c r="Z125" s="21">
        <v>15.6517</v>
      </c>
      <c r="AA125" s="21">
        <v>-1.47522E-2</v>
      </c>
      <c r="AB125" s="21">
        <v>115</v>
      </c>
      <c r="AC125" s="21">
        <v>1.2402299999999999</v>
      </c>
      <c r="AD125">
        <f t="shared" si="16"/>
        <v>18.212592592592593</v>
      </c>
      <c r="AE125">
        <f t="shared" si="17"/>
        <v>22.601827407407409</v>
      </c>
      <c r="AF125" s="9"/>
      <c r="AG125" s="21">
        <v>0.479126</v>
      </c>
      <c r="AH125" s="21">
        <v>19.511199999999999</v>
      </c>
      <c r="AI125" s="21">
        <v>-1.50055E-2</v>
      </c>
      <c r="AJ125" s="21">
        <v>115</v>
      </c>
      <c r="AK125" s="21">
        <v>0.47848499999999999</v>
      </c>
      <c r="AL125">
        <f t="shared" si="18"/>
        <v>18.525308641975307</v>
      </c>
      <c r="AM125">
        <f t="shared" si="19"/>
        <v>8.875957028395062</v>
      </c>
      <c r="AP125" s="9"/>
      <c r="AQ125" s="21">
        <v>1.2410000000000001</v>
      </c>
      <c r="AR125" s="21">
        <v>25.035900000000002</v>
      </c>
      <c r="AS125" s="21">
        <v>-1.4770500000000001E-2</v>
      </c>
      <c r="AT125" s="21">
        <v>115</v>
      </c>
      <c r="AU125" s="21">
        <v>1.23993</v>
      </c>
      <c r="AV125">
        <f t="shared" si="20"/>
        <v>18.235185185185184</v>
      </c>
      <c r="AW125">
        <f t="shared" si="21"/>
        <v>22.629864814814816</v>
      </c>
      <c r="AX125" s="9"/>
      <c r="AY125" s="21">
        <v>0.479126</v>
      </c>
      <c r="AZ125" s="21">
        <v>28.895399999999999</v>
      </c>
      <c r="BA125" s="21">
        <v>-1.4993299999999999E-2</v>
      </c>
      <c r="BB125" s="21">
        <v>115</v>
      </c>
      <c r="BC125" s="21">
        <v>0.478516</v>
      </c>
      <c r="BD125">
        <f t="shared" si="22"/>
        <v>18.510246913580243</v>
      </c>
      <c r="BE125">
        <f t="shared" si="23"/>
        <v>8.8687405627160469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1.2359599999999999</v>
      </c>
      <c r="H126" s="21">
        <v>6.2465599999999997</v>
      </c>
      <c r="I126" s="21">
        <v>-1.47552E-2</v>
      </c>
      <c r="J126" s="21">
        <v>116</v>
      </c>
      <c r="K126" s="21">
        <v>1.23505</v>
      </c>
      <c r="L126">
        <f t="shared" si="12"/>
        <v>18.216296296296292</v>
      </c>
      <c r="M126">
        <f t="shared" si="13"/>
        <v>22.514613570370365</v>
      </c>
      <c r="N126" s="9"/>
      <c r="O126" s="21">
        <v>0.48416100000000001</v>
      </c>
      <c r="P126" s="21">
        <v>10.106</v>
      </c>
      <c r="Q126" s="21">
        <v>-1.4932300000000001E-2</v>
      </c>
      <c r="R126" s="21">
        <v>116</v>
      </c>
      <c r="S126" s="21">
        <v>0.48339799999999999</v>
      </c>
      <c r="T126">
        <f t="shared" si="14"/>
        <v>18.434938271604938</v>
      </c>
      <c r="U126">
        <f t="shared" si="15"/>
        <v>8.9254781485185184</v>
      </c>
      <c r="X126" s="9"/>
      <c r="Y126" s="21">
        <v>1.2359599999999999</v>
      </c>
      <c r="Z126" s="21">
        <v>15.661799999999999</v>
      </c>
      <c r="AA126" s="21">
        <v>-1.47583E-2</v>
      </c>
      <c r="AB126" s="21">
        <v>116</v>
      </c>
      <c r="AC126" s="21">
        <v>1.23505</v>
      </c>
      <c r="AD126">
        <f t="shared" si="16"/>
        <v>18.22012345679012</v>
      </c>
      <c r="AE126">
        <f t="shared" si="17"/>
        <v>22.519343787654314</v>
      </c>
      <c r="AF126" s="9"/>
      <c r="AG126" s="21">
        <v>0.48416100000000001</v>
      </c>
      <c r="AH126" s="21">
        <v>19.5212</v>
      </c>
      <c r="AI126" s="21">
        <v>-1.49994E-2</v>
      </c>
      <c r="AJ126" s="21">
        <v>116</v>
      </c>
      <c r="AK126" s="21">
        <v>0.48358200000000001</v>
      </c>
      <c r="AL126">
        <f t="shared" si="18"/>
        <v>18.517777777777777</v>
      </c>
      <c r="AM126">
        <f t="shared" si="19"/>
        <v>8.9655858066666667</v>
      </c>
      <c r="AP126" s="9"/>
      <c r="AQ126" s="21">
        <v>1.2359599999999999</v>
      </c>
      <c r="AR126" s="21">
        <v>25.045999999999999</v>
      </c>
      <c r="AS126" s="21">
        <v>-1.4776600000000001E-2</v>
      </c>
      <c r="AT126" s="21">
        <v>116</v>
      </c>
      <c r="AU126" s="21">
        <v>1.23505</v>
      </c>
      <c r="AV126">
        <f t="shared" si="20"/>
        <v>18.242716049382715</v>
      </c>
      <c r="AW126">
        <f t="shared" si="21"/>
        <v>22.547267328395058</v>
      </c>
      <c r="AX126" s="9"/>
      <c r="AY126" s="21">
        <v>0.48416100000000001</v>
      </c>
      <c r="AZ126" s="21">
        <v>28.9055</v>
      </c>
      <c r="BA126" s="21">
        <v>-1.49719E-2</v>
      </c>
      <c r="BB126" s="21">
        <v>116</v>
      </c>
      <c r="BC126" s="21">
        <v>0.48352099999999998</v>
      </c>
      <c r="BD126">
        <f t="shared" si="22"/>
        <v>18.483827160493824</v>
      </c>
      <c r="BE126">
        <f t="shared" si="23"/>
        <v>8.9491482418518498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1.2309300000000001</v>
      </c>
      <c r="H127" s="21">
        <v>6.2566300000000004</v>
      </c>
      <c r="I127" s="21">
        <v>-1.47552E-2</v>
      </c>
      <c r="J127" s="21">
        <v>117</v>
      </c>
      <c r="K127" s="21">
        <v>1.22986</v>
      </c>
      <c r="L127">
        <f t="shared" si="12"/>
        <v>18.216296296296292</v>
      </c>
      <c r="M127">
        <f t="shared" si="13"/>
        <v>22.422985599999997</v>
      </c>
      <c r="N127" s="9"/>
      <c r="O127" s="21">
        <v>0.48919699999999999</v>
      </c>
      <c r="P127" s="21">
        <v>10.116099999999999</v>
      </c>
      <c r="Q127" s="21">
        <v>-1.4944499999999999E-2</v>
      </c>
      <c r="R127" s="21">
        <v>117</v>
      </c>
      <c r="S127" s="21">
        <v>0.48858600000000002</v>
      </c>
      <c r="T127">
        <f t="shared" si="14"/>
        <v>18.45</v>
      </c>
      <c r="U127">
        <f t="shared" si="15"/>
        <v>9.0256846499999988</v>
      </c>
      <c r="X127" s="9"/>
      <c r="Y127" s="21">
        <v>1.2309300000000001</v>
      </c>
      <c r="Z127" s="21">
        <v>15.671799999999999</v>
      </c>
      <c r="AA127" s="21">
        <v>-1.47736E-2</v>
      </c>
      <c r="AB127" s="21">
        <v>117</v>
      </c>
      <c r="AC127" s="21">
        <v>1.2301599999999999</v>
      </c>
      <c r="AD127">
        <f t="shared" si="16"/>
        <v>18.239012345679011</v>
      </c>
      <c r="AE127">
        <f t="shared" si="17"/>
        <v>22.450947466666666</v>
      </c>
      <c r="AF127" s="9"/>
      <c r="AG127" s="21">
        <v>0.48919699999999999</v>
      </c>
      <c r="AH127" s="21">
        <v>19.531300000000002</v>
      </c>
      <c r="AI127" s="21">
        <v>-1.5002400000000001E-2</v>
      </c>
      <c r="AJ127" s="21">
        <v>117</v>
      </c>
      <c r="AK127" s="21">
        <v>0.48858600000000002</v>
      </c>
      <c r="AL127">
        <f t="shared" si="18"/>
        <v>18.521481481481484</v>
      </c>
      <c r="AM127">
        <f t="shared" si="19"/>
        <v>9.060653176296297</v>
      </c>
      <c r="AP127" s="9"/>
      <c r="AQ127" s="21">
        <v>1.2309300000000001</v>
      </c>
      <c r="AR127" s="21">
        <v>25.056100000000001</v>
      </c>
      <c r="AS127" s="21">
        <v>-1.4782699999999999E-2</v>
      </c>
      <c r="AT127" s="21">
        <v>117</v>
      </c>
      <c r="AU127" s="21">
        <v>1.2301599999999999</v>
      </c>
      <c r="AV127">
        <f t="shared" si="20"/>
        <v>18.250246913580245</v>
      </c>
      <c r="AW127">
        <f t="shared" si="21"/>
        <v>22.464776433333331</v>
      </c>
      <c r="AX127" s="9"/>
      <c r="AY127" s="21">
        <v>0.48919699999999999</v>
      </c>
      <c r="AZ127" s="21">
        <v>28.915600000000001</v>
      </c>
      <c r="BA127" s="21">
        <v>-1.49658E-2</v>
      </c>
      <c r="BB127" s="21">
        <v>117</v>
      </c>
      <c r="BC127" s="21">
        <v>0.48849500000000001</v>
      </c>
      <c r="BD127">
        <f t="shared" si="22"/>
        <v>18.476296296296297</v>
      </c>
      <c r="BE127">
        <f t="shared" si="23"/>
        <v>9.0385487192592588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1.2258899999999999</v>
      </c>
      <c r="H128" s="21">
        <v>6.2667000000000002</v>
      </c>
      <c r="I128" s="21">
        <v>-1.47583E-2</v>
      </c>
      <c r="J128" s="21">
        <v>118</v>
      </c>
      <c r="K128" s="21">
        <v>1.2252799999999999</v>
      </c>
      <c r="L128">
        <f t="shared" si="12"/>
        <v>18.22012345679012</v>
      </c>
      <c r="M128">
        <f t="shared" si="13"/>
        <v>22.335867144444439</v>
      </c>
      <c r="N128" s="9"/>
      <c r="O128" s="21">
        <v>0.494232</v>
      </c>
      <c r="P128" s="21">
        <v>10.126200000000001</v>
      </c>
      <c r="Q128" s="21">
        <v>-1.4959699999999999E-2</v>
      </c>
      <c r="R128" s="21">
        <v>118</v>
      </c>
      <c r="S128" s="21">
        <v>0.49365199999999998</v>
      </c>
      <c r="T128">
        <f t="shared" si="14"/>
        <v>18.468765432098763</v>
      </c>
      <c r="U128">
        <f t="shared" si="15"/>
        <v>9.127854877037036</v>
      </c>
      <c r="X128" s="9"/>
      <c r="Y128" s="21">
        <v>1.2258899999999999</v>
      </c>
      <c r="Z128" s="21">
        <v>15.681900000000001</v>
      </c>
      <c r="AA128" s="21">
        <v>-1.4776600000000001E-2</v>
      </c>
      <c r="AB128" s="21">
        <v>118</v>
      </c>
      <c r="AC128" s="21">
        <v>1.22498</v>
      </c>
      <c r="AD128">
        <f t="shared" si="16"/>
        <v>18.242716049382715</v>
      </c>
      <c r="AE128">
        <f t="shared" si="17"/>
        <v>22.363563177777774</v>
      </c>
      <c r="AF128" s="9"/>
      <c r="AG128" s="21">
        <v>0.494232</v>
      </c>
      <c r="AH128" s="21">
        <v>19.541399999999999</v>
      </c>
      <c r="AI128" s="21">
        <v>-1.5002400000000001E-2</v>
      </c>
      <c r="AJ128" s="21">
        <v>118</v>
      </c>
      <c r="AK128" s="21">
        <v>0.49374400000000002</v>
      </c>
      <c r="AL128">
        <f t="shared" si="18"/>
        <v>18.521481481481484</v>
      </c>
      <c r="AM128">
        <f t="shared" si="19"/>
        <v>9.1539088355555567</v>
      </c>
      <c r="AP128" s="9"/>
      <c r="AQ128" s="21">
        <v>1.2258899999999999</v>
      </c>
      <c r="AR128" s="21">
        <v>25.066099999999999</v>
      </c>
      <c r="AS128" s="21">
        <v>-1.47888E-2</v>
      </c>
      <c r="AT128" s="21">
        <v>118</v>
      </c>
      <c r="AU128" s="21">
        <v>1.2246699999999999</v>
      </c>
      <c r="AV128">
        <f t="shared" si="20"/>
        <v>18.257777777777775</v>
      </c>
      <c r="AW128">
        <f t="shared" si="21"/>
        <v>22.382027199999996</v>
      </c>
      <c r="AX128" s="9"/>
      <c r="AY128" s="21">
        <v>0.494232</v>
      </c>
      <c r="AZ128" s="21">
        <v>28.925599999999999</v>
      </c>
      <c r="BA128" s="21">
        <v>-1.49628E-2</v>
      </c>
      <c r="BB128" s="21">
        <v>118</v>
      </c>
      <c r="BC128" s="21">
        <v>0.49362200000000001</v>
      </c>
      <c r="BD128">
        <f t="shared" si="22"/>
        <v>18.472592592592594</v>
      </c>
      <c r="BE128">
        <f t="shared" si="23"/>
        <v>9.1297463822222227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1.2208600000000001</v>
      </c>
      <c r="H129" s="21">
        <v>6.27677</v>
      </c>
      <c r="I129" s="21">
        <v>-1.47522E-2</v>
      </c>
      <c r="J129" s="21">
        <v>119</v>
      </c>
      <c r="K129" s="21">
        <v>1.2197899999999999</v>
      </c>
      <c r="L129">
        <f t="shared" si="12"/>
        <v>18.212592592592593</v>
      </c>
      <c r="M129">
        <f t="shared" si="13"/>
        <v>22.235025792592594</v>
      </c>
      <c r="N129" s="9"/>
      <c r="O129" s="21">
        <v>0.49926799999999999</v>
      </c>
      <c r="P129" s="21">
        <v>10.136200000000001</v>
      </c>
      <c r="Q129" s="21">
        <v>-1.4959699999999999E-2</v>
      </c>
      <c r="R129" s="21">
        <v>119</v>
      </c>
      <c r="S129" s="21">
        <v>0.49865700000000002</v>
      </c>
      <c r="T129">
        <f t="shared" si="14"/>
        <v>18.468765432098763</v>
      </c>
      <c r="U129">
        <f t="shared" si="15"/>
        <v>9.220863579753086</v>
      </c>
      <c r="X129" s="9"/>
      <c r="Y129" s="21">
        <v>1.2208600000000001</v>
      </c>
      <c r="Z129" s="21">
        <v>15.692</v>
      </c>
      <c r="AA129" s="21">
        <v>-1.47736E-2</v>
      </c>
      <c r="AB129" s="21">
        <v>119</v>
      </c>
      <c r="AC129" s="21">
        <v>1.2200899999999999</v>
      </c>
      <c r="AD129">
        <f t="shared" si="16"/>
        <v>18.239012345679011</v>
      </c>
      <c r="AE129">
        <f t="shared" si="17"/>
        <v>22.267280612345679</v>
      </c>
      <c r="AF129" s="9"/>
      <c r="AG129" s="21">
        <v>0.49926799999999999</v>
      </c>
      <c r="AH129" s="21">
        <v>19.551500000000001</v>
      </c>
      <c r="AI129" s="21">
        <v>-1.49994E-2</v>
      </c>
      <c r="AJ129" s="21">
        <v>119</v>
      </c>
      <c r="AK129" s="21">
        <v>0.49865700000000002</v>
      </c>
      <c r="AL129">
        <f t="shared" si="18"/>
        <v>18.517777777777777</v>
      </c>
      <c r="AM129">
        <f t="shared" si="19"/>
        <v>9.2453338755555556</v>
      </c>
      <c r="AP129" s="9"/>
      <c r="AQ129" s="21">
        <v>1.2208600000000001</v>
      </c>
      <c r="AR129" s="21">
        <v>25.0762</v>
      </c>
      <c r="AS129" s="21">
        <v>-1.47949E-2</v>
      </c>
      <c r="AT129" s="21">
        <v>119</v>
      </c>
      <c r="AU129" s="21">
        <v>1.2203999999999999</v>
      </c>
      <c r="AV129">
        <f t="shared" si="20"/>
        <v>18.265308641975306</v>
      </c>
      <c r="AW129">
        <f t="shared" si="21"/>
        <v>22.299384708641973</v>
      </c>
      <c r="AX129" s="9"/>
      <c r="AY129" s="21">
        <v>0.49926799999999999</v>
      </c>
      <c r="AZ129" s="21">
        <v>28.935700000000001</v>
      </c>
      <c r="BA129" s="21">
        <v>-1.4975E-2</v>
      </c>
      <c r="BB129" s="21">
        <v>119</v>
      </c>
      <c r="BC129" s="21">
        <v>0.49853500000000001</v>
      </c>
      <c r="BD129">
        <f t="shared" si="22"/>
        <v>18.487654320987652</v>
      </c>
      <c r="BE129">
        <f t="shared" si="23"/>
        <v>9.2302941975308634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1.2158199999999999</v>
      </c>
      <c r="H130" s="21">
        <v>6.2868399999999998</v>
      </c>
      <c r="I130" s="21">
        <v>-1.4749099999999999E-2</v>
      </c>
      <c r="J130" s="21">
        <v>120</v>
      </c>
      <c r="K130" s="21">
        <v>1.2145999999999999</v>
      </c>
      <c r="L130">
        <f t="shared" si="12"/>
        <v>18.208765432098765</v>
      </c>
      <c r="M130">
        <f t="shared" si="13"/>
        <v>22.138581187654317</v>
      </c>
      <c r="N130" s="9"/>
      <c r="O130" s="21">
        <v>0.50430299999999995</v>
      </c>
      <c r="P130" s="21">
        <v>10.1463</v>
      </c>
      <c r="Q130" s="21">
        <v>-1.49506E-2</v>
      </c>
      <c r="R130" s="21">
        <v>120</v>
      </c>
      <c r="S130" s="21">
        <v>0.50375400000000004</v>
      </c>
      <c r="T130">
        <f t="shared" si="14"/>
        <v>18.45753086419753</v>
      </c>
      <c r="U130">
        <f t="shared" si="15"/>
        <v>9.3081881874074064</v>
      </c>
      <c r="X130" s="9"/>
      <c r="Y130" s="21">
        <v>1.2158199999999999</v>
      </c>
      <c r="Z130" s="21">
        <v>15.7021</v>
      </c>
      <c r="AA130" s="21">
        <v>-1.4767499999999999E-2</v>
      </c>
      <c r="AB130" s="21">
        <v>120</v>
      </c>
      <c r="AC130" s="21">
        <v>1.2152099999999999</v>
      </c>
      <c r="AD130">
        <f t="shared" si="16"/>
        <v>18.231481481481481</v>
      </c>
      <c r="AE130">
        <f t="shared" si="17"/>
        <v>22.166199814814814</v>
      </c>
      <c r="AF130" s="9"/>
      <c r="AG130" s="21">
        <v>0.50430299999999995</v>
      </c>
      <c r="AH130" s="21">
        <v>19.561499999999999</v>
      </c>
      <c r="AI130" s="21">
        <v>-1.4993299999999999E-2</v>
      </c>
      <c r="AJ130" s="21">
        <v>120</v>
      </c>
      <c r="AK130" s="21">
        <v>0.50353999999999999</v>
      </c>
      <c r="AL130">
        <f t="shared" si="18"/>
        <v>18.510246913580243</v>
      </c>
      <c r="AM130">
        <f t="shared" si="19"/>
        <v>9.3347730492592564</v>
      </c>
      <c r="AP130" s="9"/>
      <c r="AQ130" s="21">
        <v>1.2158199999999999</v>
      </c>
      <c r="AR130" s="21">
        <v>25.086300000000001</v>
      </c>
      <c r="AS130" s="21">
        <v>-1.47919E-2</v>
      </c>
      <c r="AT130" s="21">
        <v>120</v>
      </c>
      <c r="AU130" s="21">
        <v>1.2152099999999999</v>
      </c>
      <c r="AV130">
        <f t="shared" si="20"/>
        <v>18.261604938271603</v>
      </c>
      <c r="AW130">
        <f t="shared" si="21"/>
        <v>22.202824516049379</v>
      </c>
      <c r="AX130" s="9"/>
      <c r="AY130" s="21">
        <v>0.50430299999999995</v>
      </c>
      <c r="AZ130" s="21">
        <v>28.945799999999998</v>
      </c>
      <c r="BA130" s="21">
        <v>-1.4975E-2</v>
      </c>
      <c r="BB130" s="21">
        <v>120</v>
      </c>
      <c r="BC130" s="21">
        <v>0.50363199999999997</v>
      </c>
      <c r="BD130">
        <f t="shared" si="22"/>
        <v>18.487654320987652</v>
      </c>
      <c r="BE130">
        <f t="shared" si="23"/>
        <v>9.3233795370370345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1.21078</v>
      </c>
      <c r="H131" s="21">
        <v>6.2969099999999996</v>
      </c>
      <c r="I131" s="21">
        <v>-1.47461E-2</v>
      </c>
      <c r="J131" s="21">
        <v>121</v>
      </c>
      <c r="K131" s="21">
        <v>1.2100200000000001</v>
      </c>
      <c r="L131">
        <f t="shared" si="12"/>
        <v>18.205061728395062</v>
      </c>
      <c r="M131">
        <f t="shared" si="13"/>
        <v>22.042324639506173</v>
      </c>
      <c r="N131" s="9"/>
      <c r="O131" s="21">
        <v>0.50933799999999996</v>
      </c>
      <c r="P131" s="21">
        <v>10.1564</v>
      </c>
      <c r="Q131" s="21">
        <v>-1.4944499999999999E-2</v>
      </c>
      <c r="R131" s="21">
        <v>121</v>
      </c>
      <c r="S131" s="21">
        <v>0.50869799999999998</v>
      </c>
      <c r="T131">
        <f t="shared" si="14"/>
        <v>18.45</v>
      </c>
      <c r="U131">
        <f t="shared" si="15"/>
        <v>9.3972860999999988</v>
      </c>
      <c r="X131" s="9"/>
      <c r="Y131" s="21">
        <v>1.21078</v>
      </c>
      <c r="Z131" s="21">
        <v>15.7121</v>
      </c>
      <c r="AA131" s="21">
        <v>-1.47644E-2</v>
      </c>
      <c r="AB131" s="21">
        <v>121</v>
      </c>
      <c r="AC131" s="21">
        <v>1.2097199999999999</v>
      </c>
      <c r="AD131">
        <f t="shared" si="16"/>
        <v>18.227654320987654</v>
      </c>
      <c r="AE131">
        <f t="shared" si="17"/>
        <v>22.069679298765429</v>
      </c>
      <c r="AF131" s="9"/>
      <c r="AG131" s="21">
        <v>0.50933799999999996</v>
      </c>
      <c r="AH131" s="21">
        <v>19.5716</v>
      </c>
      <c r="AI131" s="21">
        <v>-1.4981100000000001E-2</v>
      </c>
      <c r="AJ131" s="21">
        <v>121</v>
      </c>
      <c r="AK131" s="21">
        <v>0.50866699999999998</v>
      </c>
      <c r="AL131">
        <f t="shared" si="18"/>
        <v>18.495185185185186</v>
      </c>
      <c r="AM131">
        <f t="shared" si="19"/>
        <v>9.4203006318518518</v>
      </c>
      <c r="AP131" s="9"/>
      <c r="AQ131" s="21">
        <v>1.21078</v>
      </c>
      <c r="AR131" s="21">
        <v>25.096399999999999</v>
      </c>
      <c r="AS131" s="21">
        <v>-1.47858E-2</v>
      </c>
      <c r="AT131" s="21">
        <v>121</v>
      </c>
      <c r="AU131" s="21">
        <v>1.2103299999999999</v>
      </c>
      <c r="AV131">
        <f t="shared" si="20"/>
        <v>18.254074074074072</v>
      </c>
      <c r="AW131">
        <f t="shared" si="21"/>
        <v>22.101667807407406</v>
      </c>
      <c r="AX131" s="9"/>
      <c r="AY131" s="21">
        <v>0.50933799999999996</v>
      </c>
      <c r="AZ131" s="21">
        <v>28.9558</v>
      </c>
      <c r="BA131" s="21">
        <v>-1.49689E-2</v>
      </c>
      <c r="BB131" s="21">
        <v>121</v>
      </c>
      <c r="BC131" s="21">
        <v>0.50869799999999998</v>
      </c>
      <c r="BD131">
        <f t="shared" si="22"/>
        <v>18.480123456790125</v>
      </c>
      <c r="BE131">
        <f t="shared" si="23"/>
        <v>9.4126291212345681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1.2057500000000001</v>
      </c>
      <c r="H132" s="21">
        <v>6.3069800000000003</v>
      </c>
      <c r="I132" s="21">
        <v>-1.47583E-2</v>
      </c>
      <c r="J132" s="21">
        <v>122</v>
      </c>
      <c r="K132" s="21">
        <v>1.2045300000000001</v>
      </c>
      <c r="L132">
        <f t="shared" si="12"/>
        <v>18.22012345679012</v>
      </c>
      <c r="M132">
        <f t="shared" si="13"/>
        <v>21.968913858024688</v>
      </c>
      <c r="N132" s="9"/>
      <c r="O132" s="21">
        <v>0.514374</v>
      </c>
      <c r="P132" s="21">
        <v>10.166499999999999</v>
      </c>
      <c r="Q132" s="21">
        <v>-1.49353E-2</v>
      </c>
      <c r="R132" s="21">
        <v>122</v>
      </c>
      <c r="S132" s="21">
        <v>0.51376299999999997</v>
      </c>
      <c r="T132">
        <f t="shared" si="14"/>
        <v>18.438641975308641</v>
      </c>
      <c r="U132">
        <f t="shared" si="15"/>
        <v>9.4843580274074064</v>
      </c>
      <c r="X132" s="9"/>
      <c r="Y132" s="21">
        <v>1.2057500000000001</v>
      </c>
      <c r="Z132" s="21">
        <v>15.722200000000001</v>
      </c>
      <c r="AA132" s="21">
        <v>-1.47736E-2</v>
      </c>
      <c r="AB132" s="21">
        <v>122</v>
      </c>
      <c r="AC132" s="21">
        <v>1.2051400000000001</v>
      </c>
      <c r="AD132">
        <f t="shared" si="16"/>
        <v>18.239012345679011</v>
      </c>
      <c r="AE132">
        <f t="shared" si="17"/>
        <v>21.991689135802471</v>
      </c>
      <c r="AF132" s="9"/>
      <c r="AG132" s="21">
        <v>0.514374</v>
      </c>
      <c r="AH132" s="21">
        <v>19.581700000000001</v>
      </c>
      <c r="AI132" s="21">
        <v>-1.4981100000000001E-2</v>
      </c>
      <c r="AJ132" s="21">
        <v>122</v>
      </c>
      <c r="AK132" s="21">
        <v>0.51367200000000002</v>
      </c>
      <c r="AL132">
        <f t="shared" si="18"/>
        <v>18.495185185185186</v>
      </c>
      <c r="AM132">
        <f t="shared" si="19"/>
        <v>9.5134423844444438</v>
      </c>
      <c r="AP132" s="9"/>
      <c r="AQ132" s="21">
        <v>1.2057500000000001</v>
      </c>
      <c r="AR132" s="21">
        <v>25.106400000000001</v>
      </c>
      <c r="AS132" s="21">
        <v>-1.47858E-2</v>
      </c>
      <c r="AT132" s="21">
        <v>122</v>
      </c>
      <c r="AU132" s="21">
        <v>1.2048300000000001</v>
      </c>
      <c r="AV132">
        <f t="shared" si="20"/>
        <v>18.254074074074072</v>
      </c>
      <c r="AW132">
        <f t="shared" si="21"/>
        <v>22.009849814814814</v>
      </c>
      <c r="AX132" s="9"/>
      <c r="AY132" s="21">
        <v>0.514374</v>
      </c>
      <c r="AZ132" s="21">
        <v>28.965900000000001</v>
      </c>
      <c r="BA132" s="21">
        <v>-1.49689E-2</v>
      </c>
      <c r="BB132" s="21">
        <v>122</v>
      </c>
      <c r="BC132" s="21">
        <v>0.51361100000000004</v>
      </c>
      <c r="BD132">
        <f t="shared" si="22"/>
        <v>18.480123456790125</v>
      </c>
      <c r="BE132">
        <f t="shared" si="23"/>
        <v>9.5056950229629642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1.2007099999999999</v>
      </c>
      <c r="H133" s="21">
        <v>6.3170599999999997</v>
      </c>
      <c r="I133" s="21">
        <v>-1.4770500000000001E-2</v>
      </c>
      <c r="J133" s="21">
        <v>123</v>
      </c>
      <c r="K133" s="21">
        <v>1.1999500000000001</v>
      </c>
      <c r="L133">
        <f t="shared" si="12"/>
        <v>18.235185185185184</v>
      </c>
      <c r="M133">
        <f t="shared" si="13"/>
        <v>21.895169203703702</v>
      </c>
      <c r="N133" s="9"/>
      <c r="O133" s="21">
        <v>0.51940900000000001</v>
      </c>
      <c r="P133" s="21">
        <v>10.176500000000001</v>
      </c>
      <c r="Q133" s="21">
        <v>-1.4941400000000001E-2</v>
      </c>
      <c r="R133" s="21">
        <v>123</v>
      </c>
      <c r="S133" s="21">
        <v>0.51876800000000001</v>
      </c>
      <c r="T133">
        <f t="shared" si="14"/>
        <v>18.446172839506172</v>
      </c>
      <c r="U133">
        <f t="shared" si="15"/>
        <v>9.5811081883950617</v>
      </c>
      <c r="X133" s="9"/>
      <c r="Y133" s="21">
        <v>1.2007099999999999</v>
      </c>
      <c r="Z133" s="21">
        <v>15.7323</v>
      </c>
      <c r="AA133" s="21">
        <v>-1.47858E-2</v>
      </c>
      <c r="AB133" s="21">
        <v>123</v>
      </c>
      <c r="AC133" s="21">
        <v>1.2002600000000001</v>
      </c>
      <c r="AD133">
        <f t="shared" si="16"/>
        <v>18.254074074074072</v>
      </c>
      <c r="AE133">
        <f t="shared" si="17"/>
        <v>21.917849281481477</v>
      </c>
      <c r="AF133" s="9"/>
      <c r="AG133" s="21">
        <v>0.51940900000000001</v>
      </c>
      <c r="AH133" s="21">
        <v>19.591699999999999</v>
      </c>
      <c r="AI133" s="21">
        <v>-1.4978E-2</v>
      </c>
      <c r="AJ133" s="21">
        <v>123</v>
      </c>
      <c r="AK133" s="21">
        <v>0.51876800000000001</v>
      </c>
      <c r="AL133">
        <f t="shared" si="18"/>
        <v>18.491358024691355</v>
      </c>
      <c r="AM133">
        <f t="shared" si="19"/>
        <v>9.6045777802469114</v>
      </c>
      <c r="AP133" s="9"/>
      <c r="AQ133" s="21">
        <v>1.2007099999999999</v>
      </c>
      <c r="AR133" s="21">
        <v>25.116499999999998</v>
      </c>
      <c r="AS133" s="21">
        <v>-1.47888E-2</v>
      </c>
      <c r="AT133" s="21">
        <v>123</v>
      </c>
      <c r="AU133" s="21">
        <v>1.1990400000000001</v>
      </c>
      <c r="AV133">
        <f t="shared" si="20"/>
        <v>18.257777777777775</v>
      </c>
      <c r="AW133">
        <f t="shared" si="21"/>
        <v>21.922296355555552</v>
      </c>
      <c r="AX133" s="9"/>
      <c r="AY133" s="21">
        <v>0.51940900000000001</v>
      </c>
      <c r="AZ133" s="21">
        <v>28.975999999999999</v>
      </c>
      <c r="BA133" s="21">
        <v>-1.49719E-2</v>
      </c>
      <c r="BB133" s="21">
        <v>123</v>
      </c>
      <c r="BC133" s="21">
        <v>0.51870700000000003</v>
      </c>
      <c r="BD133">
        <f t="shared" si="22"/>
        <v>18.483827160493824</v>
      </c>
      <c r="BE133">
        <f t="shared" si="23"/>
        <v>9.6006661816049377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1.1956800000000001</v>
      </c>
      <c r="H134" s="21">
        <v>6.3271300000000004</v>
      </c>
      <c r="I134" s="21">
        <v>-1.4776600000000001E-2</v>
      </c>
      <c r="J134" s="21">
        <v>124</v>
      </c>
      <c r="K134" s="21">
        <v>1.1950700000000001</v>
      </c>
      <c r="L134">
        <f t="shared" si="12"/>
        <v>18.242716049382715</v>
      </c>
      <c r="M134">
        <f t="shared" si="13"/>
        <v>21.812450725925924</v>
      </c>
      <c r="N134" s="9"/>
      <c r="O134" s="21">
        <v>0.52444500000000005</v>
      </c>
      <c r="P134" s="21">
        <v>10.1866</v>
      </c>
      <c r="Q134" s="21">
        <v>-1.4938399999999999E-2</v>
      </c>
      <c r="R134" s="21">
        <v>124</v>
      </c>
      <c r="S134" s="21">
        <v>0.52377300000000004</v>
      </c>
      <c r="T134">
        <f t="shared" si="14"/>
        <v>18.442469135802465</v>
      </c>
      <c r="U134">
        <f t="shared" si="15"/>
        <v>9.6720607259259257</v>
      </c>
      <c r="X134" s="9"/>
      <c r="Y134" s="21">
        <v>1.1956800000000001</v>
      </c>
      <c r="Z134" s="21">
        <v>15.7423</v>
      </c>
      <c r="AA134" s="21">
        <v>-1.47858E-2</v>
      </c>
      <c r="AB134" s="21">
        <v>124</v>
      </c>
      <c r="AC134" s="21">
        <v>1.19476</v>
      </c>
      <c r="AD134">
        <f t="shared" si="16"/>
        <v>18.254074074074072</v>
      </c>
      <c r="AE134">
        <f t="shared" si="17"/>
        <v>21.826031288888888</v>
      </c>
      <c r="AF134" s="9"/>
      <c r="AG134" s="21">
        <v>0.52444500000000005</v>
      </c>
      <c r="AH134" s="21">
        <v>19.601800000000001</v>
      </c>
      <c r="AI134" s="21">
        <v>-1.4981100000000001E-2</v>
      </c>
      <c r="AJ134" s="21">
        <v>124</v>
      </c>
      <c r="AK134" s="21">
        <v>0.52377300000000004</v>
      </c>
      <c r="AL134">
        <f t="shared" si="18"/>
        <v>18.495185185185186</v>
      </c>
      <c r="AM134">
        <f t="shared" si="19"/>
        <v>9.6997073944444452</v>
      </c>
      <c r="AP134" s="9"/>
      <c r="AQ134" s="21">
        <v>1.1956800000000001</v>
      </c>
      <c r="AR134" s="21">
        <v>25.1266</v>
      </c>
      <c r="AS134" s="21">
        <v>-1.47888E-2</v>
      </c>
      <c r="AT134" s="21">
        <v>124</v>
      </c>
      <c r="AU134" s="21">
        <v>1.19537</v>
      </c>
      <c r="AV134">
        <f t="shared" si="20"/>
        <v>18.257777777777775</v>
      </c>
      <c r="AW134">
        <f t="shared" si="21"/>
        <v>21.830459733333331</v>
      </c>
      <c r="AX134" s="9"/>
      <c r="AY134" s="21">
        <v>0.52444500000000005</v>
      </c>
      <c r="AZ134" s="21">
        <v>28.986000000000001</v>
      </c>
      <c r="BA134" s="21">
        <v>-1.4975E-2</v>
      </c>
      <c r="BB134" s="21">
        <v>124</v>
      </c>
      <c r="BC134" s="21">
        <v>0.52386500000000003</v>
      </c>
      <c r="BD134">
        <f t="shared" si="22"/>
        <v>18.487654320987652</v>
      </c>
      <c r="BE134">
        <f t="shared" si="23"/>
        <v>9.69575787037037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1.1906399999999999</v>
      </c>
      <c r="H135" s="21">
        <v>6.3372000000000002</v>
      </c>
      <c r="I135" s="21">
        <v>-1.47919E-2</v>
      </c>
      <c r="J135" s="21">
        <v>125</v>
      </c>
      <c r="K135" s="21">
        <v>1.18927</v>
      </c>
      <c r="L135">
        <f t="shared" si="12"/>
        <v>18.261604938271603</v>
      </c>
      <c r="M135">
        <f t="shared" si="13"/>
        <v>21.742997303703699</v>
      </c>
      <c r="N135" s="9"/>
      <c r="O135" s="21">
        <v>0.52947999999999995</v>
      </c>
      <c r="P135" s="21">
        <v>10.1967</v>
      </c>
      <c r="Q135" s="21">
        <v>-1.4932300000000001E-2</v>
      </c>
      <c r="R135" s="21">
        <v>125</v>
      </c>
      <c r="S135" s="21">
        <v>0.52886999999999995</v>
      </c>
      <c r="T135">
        <f t="shared" si="14"/>
        <v>18.434938271604938</v>
      </c>
      <c r="U135">
        <f t="shared" si="15"/>
        <v>9.760931116049381</v>
      </c>
      <c r="X135" s="9"/>
      <c r="Y135" s="21">
        <v>1.1906399999999999</v>
      </c>
      <c r="Z135" s="21">
        <v>15.7524</v>
      </c>
      <c r="AA135" s="21">
        <v>-1.4782699999999999E-2</v>
      </c>
      <c r="AB135" s="21">
        <v>125</v>
      </c>
      <c r="AC135" s="21">
        <v>1.18988</v>
      </c>
      <c r="AD135">
        <f t="shared" si="16"/>
        <v>18.250246913580245</v>
      </c>
      <c r="AE135">
        <f t="shared" si="17"/>
        <v>21.72947398518518</v>
      </c>
      <c r="AF135" s="9"/>
      <c r="AG135" s="21">
        <v>0.52947999999999995</v>
      </c>
      <c r="AH135" s="21">
        <v>19.611899999999999</v>
      </c>
      <c r="AI135" s="21">
        <v>-1.49902E-2</v>
      </c>
      <c r="AJ135" s="21">
        <v>125</v>
      </c>
      <c r="AK135" s="21">
        <v>0.52886999999999995</v>
      </c>
      <c r="AL135">
        <f t="shared" si="18"/>
        <v>18.506419753086419</v>
      </c>
      <c r="AM135">
        <f t="shared" si="19"/>
        <v>9.7987791308641956</v>
      </c>
      <c r="AP135" s="9"/>
      <c r="AQ135" s="21">
        <v>1.1906399999999999</v>
      </c>
      <c r="AR135" s="21">
        <v>25.136600000000001</v>
      </c>
      <c r="AS135" s="21">
        <v>-1.47888E-2</v>
      </c>
      <c r="AT135" s="21">
        <v>125</v>
      </c>
      <c r="AU135" s="21">
        <v>1.18866</v>
      </c>
      <c r="AV135">
        <f t="shared" si="20"/>
        <v>18.257777777777775</v>
      </c>
      <c r="AW135">
        <f t="shared" si="21"/>
        <v>21.738440533333328</v>
      </c>
      <c r="AX135" s="9"/>
      <c r="AY135" s="21">
        <v>0.52947999999999995</v>
      </c>
      <c r="AZ135" s="21">
        <v>28.996099999999998</v>
      </c>
      <c r="BA135" s="21">
        <v>-1.49628E-2</v>
      </c>
      <c r="BB135" s="21">
        <v>125</v>
      </c>
      <c r="BC135" s="21">
        <v>0.52880899999999997</v>
      </c>
      <c r="BD135">
        <f t="shared" si="22"/>
        <v>18.472592592592594</v>
      </c>
      <c r="BE135">
        <f t="shared" si="23"/>
        <v>9.7808683259259261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1.1856100000000001</v>
      </c>
      <c r="H136" s="21">
        <v>6.34727</v>
      </c>
      <c r="I136" s="21">
        <v>-1.4801E-2</v>
      </c>
      <c r="J136" s="21">
        <v>126</v>
      </c>
      <c r="K136" s="21">
        <v>1.1850000000000001</v>
      </c>
      <c r="L136">
        <f t="shared" si="12"/>
        <v>18.27283950617284</v>
      </c>
      <c r="M136">
        <f t="shared" si="13"/>
        <v>21.664461246913582</v>
      </c>
      <c r="N136" s="9"/>
      <c r="O136" s="21">
        <v>0.53451499999999996</v>
      </c>
      <c r="P136" s="21">
        <v>10.2067</v>
      </c>
      <c r="Q136" s="21">
        <v>-1.49353E-2</v>
      </c>
      <c r="R136" s="21">
        <v>126</v>
      </c>
      <c r="S136" s="21">
        <v>0.53390499999999996</v>
      </c>
      <c r="T136">
        <f t="shared" si="14"/>
        <v>18.438641975308641</v>
      </c>
      <c r="U136">
        <f t="shared" si="15"/>
        <v>9.855730715432097</v>
      </c>
      <c r="X136" s="9"/>
      <c r="Y136" s="21">
        <v>1.1856100000000001</v>
      </c>
      <c r="Z136" s="21">
        <v>15.762499999999999</v>
      </c>
      <c r="AA136" s="21">
        <v>-1.47919E-2</v>
      </c>
      <c r="AB136" s="21">
        <v>126</v>
      </c>
      <c r="AC136" s="21">
        <v>1.1853</v>
      </c>
      <c r="AD136">
        <f t="shared" si="16"/>
        <v>18.261604938271603</v>
      </c>
      <c r="AE136">
        <f t="shared" si="17"/>
        <v>21.651141430864197</v>
      </c>
      <c r="AF136" s="9"/>
      <c r="AG136" s="21">
        <v>0.53451499999999996</v>
      </c>
      <c r="AH136" s="21">
        <v>19.622</v>
      </c>
      <c r="AI136" s="21">
        <v>-1.49841E-2</v>
      </c>
      <c r="AJ136" s="21">
        <v>126</v>
      </c>
      <c r="AK136" s="21">
        <v>0.53387499999999999</v>
      </c>
      <c r="AL136">
        <f t="shared" si="18"/>
        <v>18.498888888888889</v>
      </c>
      <c r="AM136">
        <f t="shared" si="19"/>
        <v>9.8879335944444442</v>
      </c>
      <c r="AP136" s="9"/>
      <c r="AQ136" s="21">
        <v>1.1856100000000001</v>
      </c>
      <c r="AR136" s="21">
        <v>25.146699999999999</v>
      </c>
      <c r="AS136" s="21">
        <v>-1.47888E-2</v>
      </c>
      <c r="AT136" s="21">
        <v>126</v>
      </c>
      <c r="AU136" s="21">
        <v>1.18469</v>
      </c>
      <c r="AV136">
        <f t="shared" si="20"/>
        <v>18.257777777777775</v>
      </c>
      <c r="AW136">
        <f t="shared" si="21"/>
        <v>21.646603911111111</v>
      </c>
      <c r="AX136" s="9"/>
      <c r="AY136" s="21">
        <v>0.53451499999999996</v>
      </c>
      <c r="AZ136" s="21">
        <v>29.0062</v>
      </c>
      <c r="BA136" s="21">
        <v>-1.49628E-2</v>
      </c>
      <c r="BB136" s="21">
        <v>126</v>
      </c>
      <c r="BC136" s="21">
        <v>0.53390499999999996</v>
      </c>
      <c r="BD136">
        <f t="shared" si="22"/>
        <v>18.472592592592594</v>
      </c>
      <c r="BE136">
        <f t="shared" si="23"/>
        <v>9.8738778296296292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1.1805699999999999</v>
      </c>
      <c r="H137" s="21">
        <v>6.3573399999999998</v>
      </c>
      <c r="I137" s="21">
        <v>-1.48132E-2</v>
      </c>
      <c r="J137" s="21">
        <v>127</v>
      </c>
      <c r="K137" s="21">
        <v>1.17981</v>
      </c>
      <c r="L137">
        <f t="shared" si="12"/>
        <v>18.287901234567901</v>
      </c>
      <c r="M137">
        <f t="shared" si="13"/>
        <v>21.590147560493826</v>
      </c>
      <c r="N137" s="9"/>
      <c r="O137" s="21">
        <v>0.539551</v>
      </c>
      <c r="P137" s="21">
        <v>10.216799999999999</v>
      </c>
      <c r="Q137" s="21">
        <v>-1.49292E-2</v>
      </c>
      <c r="R137" s="21">
        <v>127</v>
      </c>
      <c r="S137" s="21">
        <v>0.53903199999999996</v>
      </c>
      <c r="T137">
        <f t="shared" si="14"/>
        <v>18.431111111111111</v>
      </c>
      <c r="U137">
        <f t="shared" si="15"/>
        <v>9.9445244311111107</v>
      </c>
      <c r="X137" s="9"/>
      <c r="Y137" s="21">
        <v>1.1805699999999999</v>
      </c>
      <c r="Z137" s="21">
        <v>15.772600000000001</v>
      </c>
      <c r="AA137" s="21">
        <v>-1.4798E-2</v>
      </c>
      <c r="AB137" s="21">
        <v>127</v>
      </c>
      <c r="AC137" s="21">
        <v>1.1795</v>
      </c>
      <c r="AD137">
        <f t="shared" si="16"/>
        <v>18.269135802469137</v>
      </c>
      <c r="AE137">
        <f t="shared" si="17"/>
        <v>21.567993654320986</v>
      </c>
      <c r="AF137" s="9"/>
      <c r="AG137" s="21">
        <v>0.539551</v>
      </c>
      <c r="AH137" s="21">
        <v>19.632000000000001</v>
      </c>
      <c r="AI137" s="21">
        <v>-1.4993299999999999E-2</v>
      </c>
      <c r="AJ137" s="21">
        <v>127</v>
      </c>
      <c r="AK137" s="21">
        <v>0.53893999999999997</v>
      </c>
      <c r="AL137">
        <f t="shared" si="18"/>
        <v>18.510246913580243</v>
      </c>
      <c r="AM137">
        <f t="shared" si="19"/>
        <v>9.9872222324691329</v>
      </c>
      <c r="AP137" s="9"/>
      <c r="AQ137" s="21">
        <v>1.1805699999999999</v>
      </c>
      <c r="AR137" s="21">
        <v>25.1568</v>
      </c>
      <c r="AS137" s="21">
        <v>-1.47858E-2</v>
      </c>
      <c r="AT137" s="21">
        <v>127</v>
      </c>
      <c r="AU137" s="21">
        <v>1.1795</v>
      </c>
      <c r="AV137">
        <f t="shared" si="20"/>
        <v>18.254074074074072</v>
      </c>
      <c r="AW137">
        <f t="shared" si="21"/>
        <v>21.550212229629626</v>
      </c>
      <c r="AX137" s="9"/>
      <c r="AY137" s="21">
        <v>0.539551</v>
      </c>
      <c r="AZ137" s="21">
        <v>29.016300000000001</v>
      </c>
      <c r="BA137" s="21">
        <v>-1.4981100000000001E-2</v>
      </c>
      <c r="BB137" s="21">
        <v>127</v>
      </c>
      <c r="BC137" s="21">
        <v>0.53897099999999998</v>
      </c>
      <c r="BD137">
        <f t="shared" si="22"/>
        <v>18.495185185185186</v>
      </c>
      <c r="BE137">
        <f t="shared" si="23"/>
        <v>9.9790956618518525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1.17554</v>
      </c>
      <c r="H138" s="21">
        <v>6.3674099999999996</v>
      </c>
      <c r="I138" s="21">
        <v>-1.4810200000000001E-2</v>
      </c>
      <c r="J138" s="21">
        <v>128</v>
      </c>
      <c r="K138" s="21">
        <v>1.17432</v>
      </c>
      <c r="L138">
        <f t="shared" si="12"/>
        <v>18.284197530864198</v>
      </c>
      <c r="M138">
        <f t="shared" si="13"/>
        <v>21.493805565432101</v>
      </c>
      <c r="N138" s="9"/>
      <c r="O138" s="21">
        <v>0.54458600000000001</v>
      </c>
      <c r="P138" s="21">
        <v>10.226900000000001</v>
      </c>
      <c r="Q138" s="21">
        <v>-1.49292E-2</v>
      </c>
      <c r="R138" s="21">
        <v>128</v>
      </c>
      <c r="S138" s="21">
        <v>0.54391500000000004</v>
      </c>
      <c r="T138">
        <f t="shared" si="14"/>
        <v>18.431111111111111</v>
      </c>
      <c r="U138">
        <f t="shared" si="15"/>
        <v>10.037325075555556</v>
      </c>
      <c r="X138" s="9"/>
      <c r="Y138" s="21">
        <v>1.17554</v>
      </c>
      <c r="Z138" s="21">
        <v>15.7826</v>
      </c>
      <c r="AA138" s="21">
        <v>-1.4801E-2</v>
      </c>
      <c r="AB138" s="21">
        <v>128</v>
      </c>
      <c r="AC138" s="21">
        <v>1.17493</v>
      </c>
      <c r="AD138">
        <f t="shared" si="16"/>
        <v>18.27283950617284</v>
      </c>
      <c r="AE138">
        <f t="shared" si="17"/>
        <v>21.480453753086422</v>
      </c>
      <c r="AF138" s="9"/>
      <c r="AG138" s="21">
        <v>0.54458600000000001</v>
      </c>
      <c r="AH138" s="21">
        <v>19.642099999999999</v>
      </c>
      <c r="AI138" s="21">
        <v>-1.5002400000000001E-2</v>
      </c>
      <c r="AJ138" s="21">
        <v>128</v>
      </c>
      <c r="AK138" s="21">
        <v>0.54397600000000002</v>
      </c>
      <c r="AL138">
        <f t="shared" si="18"/>
        <v>18.521481481481484</v>
      </c>
      <c r="AM138">
        <f t="shared" si="19"/>
        <v>10.086539514074076</v>
      </c>
      <c r="AP138" s="9"/>
      <c r="AQ138" s="21">
        <v>1.17554</v>
      </c>
      <c r="AR138" s="21">
        <v>25.166899999999998</v>
      </c>
      <c r="AS138" s="21">
        <v>-1.47919E-2</v>
      </c>
      <c r="AT138" s="21">
        <v>128</v>
      </c>
      <c r="AU138" s="21">
        <v>1.17432</v>
      </c>
      <c r="AV138">
        <f t="shared" si="20"/>
        <v>18.261604938271603</v>
      </c>
      <c r="AW138">
        <f t="shared" si="21"/>
        <v>21.467247069135801</v>
      </c>
      <c r="AX138" s="9"/>
      <c r="AY138" s="21">
        <v>0.54458600000000001</v>
      </c>
      <c r="AZ138" s="21">
        <v>29.026299999999999</v>
      </c>
      <c r="BA138" s="21">
        <v>-1.49841E-2</v>
      </c>
      <c r="BB138" s="21">
        <v>128</v>
      </c>
      <c r="BC138" s="21">
        <v>0.54394500000000001</v>
      </c>
      <c r="BD138">
        <f t="shared" si="22"/>
        <v>18.498888888888889</v>
      </c>
      <c r="BE138">
        <f t="shared" si="23"/>
        <v>10.074235904444445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1.1705000000000001</v>
      </c>
      <c r="H139" s="21">
        <v>6.3774800000000003</v>
      </c>
      <c r="I139" s="21">
        <v>-1.47949E-2</v>
      </c>
      <c r="J139" s="21">
        <v>129</v>
      </c>
      <c r="K139" s="21">
        <v>1.17004</v>
      </c>
      <c r="L139">
        <f t="shared" si="12"/>
        <v>18.265308641975306</v>
      </c>
      <c r="M139">
        <f t="shared" si="13"/>
        <v>21.379543765432096</v>
      </c>
      <c r="N139" s="9"/>
      <c r="O139" s="21">
        <v>0.54962200000000005</v>
      </c>
      <c r="P139" s="21">
        <v>10.237</v>
      </c>
      <c r="Q139" s="21">
        <v>-1.49292E-2</v>
      </c>
      <c r="R139" s="21">
        <v>129</v>
      </c>
      <c r="S139" s="21">
        <v>0.54895000000000005</v>
      </c>
      <c r="T139">
        <f t="shared" si="14"/>
        <v>18.431111111111111</v>
      </c>
      <c r="U139">
        <f t="shared" si="15"/>
        <v>10.130144151111113</v>
      </c>
      <c r="X139" s="9"/>
      <c r="Y139" s="21">
        <v>1.1705000000000001</v>
      </c>
      <c r="Z139" s="21">
        <v>15.7927</v>
      </c>
      <c r="AA139" s="21">
        <v>-1.4810200000000001E-2</v>
      </c>
      <c r="AB139" s="21">
        <v>129</v>
      </c>
      <c r="AC139" s="21">
        <v>1.17065</v>
      </c>
      <c r="AD139">
        <f t="shared" si="16"/>
        <v>18.284197530864198</v>
      </c>
      <c r="AE139">
        <f t="shared" si="17"/>
        <v>21.401653209876546</v>
      </c>
      <c r="AF139" s="9"/>
      <c r="AG139" s="21">
        <v>0.54962200000000005</v>
      </c>
      <c r="AH139" s="21">
        <v>19.652200000000001</v>
      </c>
      <c r="AI139" s="21">
        <v>-1.50177E-2</v>
      </c>
      <c r="AJ139" s="21">
        <v>129</v>
      </c>
      <c r="AK139" s="21">
        <v>0.54891999999999996</v>
      </c>
      <c r="AL139">
        <f t="shared" si="18"/>
        <v>18.540370370370372</v>
      </c>
      <c r="AM139">
        <f t="shared" si="19"/>
        <v>10.190195443703706</v>
      </c>
      <c r="AP139" s="9"/>
      <c r="AQ139" s="21">
        <v>1.1705000000000001</v>
      </c>
      <c r="AR139" s="21">
        <v>25.1769</v>
      </c>
      <c r="AS139" s="21">
        <v>-1.47919E-2</v>
      </c>
      <c r="AT139" s="21">
        <v>129</v>
      </c>
      <c r="AU139" s="21">
        <v>1.16974</v>
      </c>
      <c r="AV139">
        <f t="shared" si="20"/>
        <v>18.261604938271603</v>
      </c>
      <c r="AW139">
        <f t="shared" si="21"/>
        <v>21.375208580246913</v>
      </c>
      <c r="AX139" s="9"/>
      <c r="AY139" s="21">
        <v>0.54962200000000005</v>
      </c>
      <c r="AZ139" s="21">
        <v>29.0364</v>
      </c>
      <c r="BA139" s="21">
        <v>-1.4987199999999999E-2</v>
      </c>
      <c r="BB139" s="21">
        <v>129</v>
      </c>
      <c r="BC139" s="21">
        <v>0.54904200000000003</v>
      </c>
      <c r="BD139">
        <f t="shared" si="22"/>
        <v>18.502716049382713</v>
      </c>
      <c r="BE139">
        <f t="shared" si="23"/>
        <v>10.169499800493826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1.16547</v>
      </c>
      <c r="H140" s="21">
        <v>6.3875500000000001</v>
      </c>
      <c r="I140" s="21">
        <v>-1.47949E-2</v>
      </c>
      <c r="J140" s="21">
        <v>130</v>
      </c>
      <c r="K140" s="21">
        <v>1.16455</v>
      </c>
      <c r="L140">
        <f t="shared" ref="L140:L203" si="24">-I140/$F$2*1000</f>
        <v>18.265308641975306</v>
      </c>
      <c r="M140">
        <f t="shared" ref="M140:M203" si="25">L140*G140</f>
        <v>21.287669262962961</v>
      </c>
      <c r="N140" s="9"/>
      <c r="O140" s="21">
        <v>0.55465699999999996</v>
      </c>
      <c r="P140" s="21">
        <v>10.247</v>
      </c>
      <c r="Q140" s="21">
        <v>-1.49231E-2</v>
      </c>
      <c r="R140" s="21">
        <v>130</v>
      </c>
      <c r="S140" s="21">
        <v>0.553925</v>
      </c>
      <c r="T140">
        <f t="shared" ref="T140:T203" si="26">-Q140/$F$2*1000</f>
        <v>18.423580246913577</v>
      </c>
      <c r="U140">
        <f t="shared" ref="U140:U203" si="27">T140*O140</f>
        <v>10.218767749012343</v>
      </c>
      <c r="X140" s="9"/>
      <c r="Y140" s="21">
        <v>1.16547</v>
      </c>
      <c r="Z140" s="21">
        <v>15.8028</v>
      </c>
      <c r="AA140" s="21">
        <v>-1.48071E-2</v>
      </c>
      <c r="AB140" s="21">
        <v>130</v>
      </c>
      <c r="AC140" s="21">
        <v>1.16516</v>
      </c>
      <c r="AD140">
        <f t="shared" ref="AD140:AD203" si="28">-AA140/$F$2*1000</f>
        <v>18.28037037037037</v>
      </c>
      <c r="AE140">
        <f t="shared" ref="AE140:AE203" si="29">AD140*Y140</f>
        <v>21.305223255555557</v>
      </c>
      <c r="AF140" s="9"/>
      <c r="AG140" s="21">
        <v>0.55465699999999996</v>
      </c>
      <c r="AH140" s="21">
        <v>19.662199999999999</v>
      </c>
      <c r="AI140" s="21">
        <v>-1.50177E-2</v>
      </c>
      <c r="AJ140" s="21">
        <v>130</v>
      </c>
      <c r="AK140" s="21">
        <v>0.553925</v>
      </c>
      <c r="AL140">
        <f t="shared" ref="AL140:AL203" si="30">-AI140/$F$2*1000</f>
        <v>18.540370370370372</v>
      </c>
      <c r="AM140">
        <f t="shared" ref="AM140:AM203" si="31">AL140*AG140</f>
        <v>10.283546208518519</v>
      </c>
      <c r="AP140" s="9"/>
      <c r="AQ140" s="21">
        <v>1.16547</v>
      </c>
      <c r="AR140" s="21">
        <v>25.187000000000001</v>
      </c>
      <c r="AS140" s="21">
        <v>-1.4801E-2</v>
      </c>
      <c r="AT140" s="21">
        <v>130</v>
      </c>
      <c r="AU140" s="21">
        <v>1.16486</v>
      </c>
      <c r="AV140">
        <f t="shared" ref="AV140:AV203" si="32">-AS140/$F$2*1000</f>
        <v>18.27283950617284</v>
      </c>
      <c r="AW140">
        <f t="shared" ref="AW140:AW203" si="33">AV140*AQ140</f>
        <v>21.296446259259259</v>
      </c>
      <c r="AX140" s="9"/>
      <c r="AY140" s="21">
        <v>0.55465699999999996</v>
      </c>
      <c r="AZ140" s="21">
        <v>29.046500000000002</v>
      </c>
      <c r="BA140" s="21">
        <v>-1.4981100000000001E-2</v>
      </c>
      <c r="BB140" s="21">
        <v>130</v>
      </c>
      <c r="BC140" s="21">
        <v>0.55404699999999996</v>
      </c>
      <c r="BD140">
        <f t="shared" ref="BD140:BD203" si="34">-BA140/$F$2*1000</f>
        <v>18.495185185185186</v>
      </c>
      <c r="BE140">
        <f t="shared" ref="BE140:BE203" si="35">BD140*AY140</f>
        <v>10.258483929259258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1.1604300000000001</v>
      </c>
      <c r="H141" s="21">
        <v>6.3976199999999999</v>
      </c>
      <c r="I141" s="21">
        <v>-1.4798E-2</v>
      </c>
      <c r="J141" s="21">
        <v>131</v>
      </c>
      <c r="K141" s="21">
        <v>1.15967</v>
      </c>
      <c r="L141">
        <f t="shared" si="24"/>
        <v>18.269135802469137</v>
      </c>
      <c r="M141">
        <f t="shared" si="25"/>
        <v>21.200053259259263</v>
      </c>
      <c r="N141" s="9"/>
      <c r="O141" s="21">
        <v>0.55969199999999997</v>
      </c>
      <c r="P141" s="21">
        <v>10.257099999999999</v>
      </c>
      <c r="Q141" s="21">
        <v>-1.4926099999999999E-2</v>
      </c>
      <c r="R141" s="21">
        <v>131</v>
      </c>
      <c r="S141" s="21">
        <v>0.55908199999999997</v>
      </c>
      <c r="T141">
        <f t="shared" si="26"/>
        <v>18.427283950617284</v>
      </c>
      <c r="U141">
        <f t="shared" si="27"/>
        <v>10.313603408888888</v>
      </c>
      <c r="X141" s="9"/>
      <c r="Y141" s="21">
        <v>1.1604300000000001</v>
      </c>
      <c r="Z141" s="21">
        <v>15.812799999999999</v>
      </c>
      <c r="AA141" s="21">
        <v>-1.4810200000000001E-2</v>
      </c>
      <c r="AB141" s="21">
        <v>131</v>
      </c>
      <c r="AC141" s="21">
        <v>1.16028</v>
      </c>
      <c r="AD141">
        <f t="shared" si="28"/>
        <v>18.284197530864198</v>
      </c>
      <c r="AE141">
        <f t="shared" si="29"/>
        <v>21.217531340740742</v>
      </c>
      <c r="AF141" s="9"/>
      <c r="AG141" s="21">
        <v>0.55969199999999997</v>
      </c>
      <c r="AH141" s="21">
        <v>19.6723</v>
      </c>
      <c r="AI141" s="21">
        <v>-1.5008499999999999E-2</v>
      </c>
      <c r="AJ141" s="21">
        <v>131</v>
      </c>
      <c r="AK141" s="21">
        <v>0.55905199999999999</v>
      </c>
      <c r="AL141">
        <f t="shared" si="30"/>
        <v>18.529012345679011</v>
      </c>
      <c r="AM141">
        <f t="shared" si="31"/>
        <v>10.370539977777776</v>
      </c>
      <c r="AP141" s="9"/>
      <c r="AQ141" s="21">
        <v>1.1604300000000001</v>
      </c>
      <c r="AR141" s="21">
        <v>25.197099999999999</v>
      </c>
      <c r="AS141" s="21">
        <v>-1.48132E-2</v>
      </c>
      <c r="AT141" s="21">
        <v>131</v>
      </c>
      <c r="AU141" s="21">
        <v>1.15967</v>
      </c>
      <c r="AV141">
        <f t="shared" si="32"/>
        <v>18.287901234567901</v>
      </c>
      <c r="AW141">
        <f t="shared" si="33"/>
        <v>21.22182922962963</v>
      </c>
      <c r="AX141" s="9"/>
      <c r="AY141" s="21">
        <v>0.55969199999999997</v>
      </c>
      <c r="AZ141" s="21">
        <v>29.0565</v>
      </c>
      <c r="BA141" s="21">
        <v>-1.4978E-2</v>
      </c>
      <c r="BB141" s="21">
        <v>131</v>
      </c>
      <c r="BC141" s="21">
        <v>0.55917399999999995</v>
      </c>
      <c r="BD141">
        <f t="shared" si="34"/>
        <v>18.491358024691355</v>
      </c>
      <c r="BE141">
        <f t="shared" si="35"/>
        <v>10.349465155555553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1.1554</v>
      </c>
      <c r="H142" s="21">
        <v>6.4076899999999997</v>
      </c>
      <c r="I142" s="21">
        <v>-1.48071E-2</v>
      </c>
      <c r="J142" s="21">
        <v>132</v>
      </c>
      <c r="K142" s="21">
        <v>1.15479</v>
      </c>
      <c r="L142">
        <f t="shared" si="24"/>
        <v>18.28037037037037</v>
      </c>
      <c r="M142">
        <f t="shared" si="25"/>
        <v>21.121139925925927</v>
      </c>
      <c r="N142" s="9"/>
      <c r="O142" s="21">
        <v>0.56472800000000001</v>
      </c>
      <c r="P142" s="21">
        <v>10.267200000000001</v>
      </c>
      <c r="Q142" s="21">
        <v>-1.4932300000000001E-2</v>
      </c>
      <c r="R142" s="21">
        <v>132</v>
      </c>
      <c r="S142" s="21">
        <v>0.56402600000000003</v>
      </c>
      <c r="T142">
        <f t="shared" si="26"/>
        <v>18.434938271604938</v>
      </c>
      <c r="U142">
        <f t="shared" si="27"/>
        <v>10.410725820246913</v>
      </c>
      <c r="X142" s="9"/>
      <c r="Y142" s="21">
        <v>1.1554</v>
      </c>
      <c r="Z142" s="21">
        <v>15.822900000000001</v>
      </c>
      <c r="AA142" s="21">
        <v>-1.4804100000000001E-2</v>
      </c>
      <c r="AB142" s="21">
        <v>132</v>
      </c>
      <c r="AC142" s="21">
        <v>1.15448</v>
      </c>
      <c r="AD142">
        <f t="shared" si="28"/>
        <v>18.276666666666667</v>
      </c>
      <c r="AE142">
        <f t="shared" si="29"/>
        <v>21.116860666666668</v>
      </c>
      <c r="AF142" s="9"/>
      <c r="AG142" s="21">
        <v>0.56472800000000001</v>
      </c>
      <c r="AH142" s="21">
        <v>19.682400000000001</v>
      </c>
      <c r="AI142" s="21">
        <v>-1.50116E-2</v>
      </c>
      <c r="AJ142" s="21">
        <v>132</v>
      </c>
      <c r="AK142" s="21">
        <v>0.56408700000000001</v>
      </c>
      <c r="AL142">
        <f t="shared" si="30"/>
        <v>18.532839506172838</v>
      </c>
      <c r="AM142">
        <f t="shared" si="31"/>
        <v>10.466013388641974</v>
      </c>
      <c r="AP142" s="9"/>
      <c r="AQ142" s="21">
        <v>1.1554</v>
      </c>
      <c r="AR142" s="21">
        <v>25.207100000000001</v>
      </c>
      <c r="AS142" s="21">
        <v>-1.4816299999999999E-2</v>
      </c>
      <c r="AT142" s="21">
        <v>132</v>
      </c>
      <c r="AU142" s="21">
        <v>1.15479</v>
      </c>
      <c r="AV142">
        <f t="shared" si="32"/>
        <v>18.291728395061728</v>
      </c>
      <c r="AW142">
        <f t="shared" si="33"/>
        <v>21.134262987654321</v>
      </c>
      <c r="AX142" s="9"/>
      <c r="AY142" s="21">
        <v>0.56472800000000001</v>
      </c>
      <c r="AZ142" s="21">
        <v>29.066600000000001</v>
      </c>
      <c r="BA142" s="21">
        <v>-1.4975E-2</v>
      </c>
      <c r="BB142" s="21">
        <v>132</v>
      </c>
      <c r="BC142" s="21">
        <v>0.56408700000000001</v>
      </c>
      <c r="BD142">
        <f t="shared" si="34"/>
        <v>18.487654320987652</v>
      </c>
      <c r="BE142">
        <f t="shared" si="35"/>
        <v>10.440496049382714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1.15036</v>
      </c>
      <c r="H143" s="21">
        <v>6.41777</v>
      </c>
      <c r="I143" s="21">
        <v>-1.48132E-2</v>
      </c>
      <c r="J143" s="21">
        <v>133</v>
      </c>
      <c r="K143" s="21">
        <v>1.1496</v>
      </c>
      <c r="L143">
        <f t="shared" si="24"/>
        <v>18.287901234567901</v>
      </c>
      <c r="M143">
        <f t="shared" si="25"/>
        <v>21.037670064197531</v>
      </c>
      <c r="N143" s="9"/>
      <c r="O143" s="21">
        <v>0.56976300000000002</v>
      </c>
      <c r="P143" s="21">
        <v>10.277200000000001</v>
      </c>
      <c r="Q143" s="21">
        <v>-1.4938399999999999E-2</v>
      </c>
      <c r="R143" s="21">
        <v>133</v>
      </c>
      <c r="S143" s="21">
        <v>0.56912200000000002</v>
      </c>
      <c r="T143">
        <f t="shared" si="26"/>
        <v>18.442469135802465</v>
      </c>
      <c r="U143">
        <f t="shared" si="27"/>
        <v>10.50783654222222</v>
      </c>
      <c r="X143" s="9"/>
      <c r="Y143" s="21">
        <v>1.15036</v>
      </c>
      <c r="Z143" s="21">
        <v>15.833</v>
      </c>
      <c r="AA143" s="21">
        <v>-1.4816299999999999E-2</v>
      </c>
      <c r="AB143" s="21">
        <v>133</v>
      </c>
      <c r="AC143" s="21">
        <v>1.1498999999999999</v>
      </c>
      <c r="AD143">
        <f t="shared" si="28"/>
        <v>18.291728395061728</v>
      </c>
      <c r="AE143">
        <f t="shared" si="29"/>
        <v>21.04207267654321</v>
      </c>
      <c r="AF143" s="9"/>
      <c r="AG143" s="21">
        <v>0.56976300000000002</v>
      </c>
      <c r="AH143" s="21">
        <v>19.692499999999999</v>
      </c>
      <c r="AI143" s="21">
        <v>-1.50177E-2</v>
      </c>
      <c r="AJ143" s="21">
        <v>133</v>
      </c>
      <c r="AK143" s="21">
        <v>0.56912200000000002</v>
      </c>
      <c r="AL143">
        <f t="shared" si="30"/>
        <v>18.540370370370372</v>
      </c>
      <c r="AM143">
        <f t="shared" si="31"/>
        <v>10.563617043333334</v>
      </c>
      <c r="AP143" s="9"/>
      <c r="AQ143" s="21">
        <v>1.15036</v>
      </c>
      <c r="AR143" s="21">
        <v>25.217199999999998</v>
      </c>
      <c r="AS143" s="21">
        <v>-1.4822399999999999E-2</v>
      </c>
      <c r="AT143" s="21">
        <v>133</v>
      </c>
      <c r="AU143" s="21">
        <v>1.1496</v>
      </c>
      <c r="AV143">
        <f t="shared" si="32"/>
        <v>18.299259259259259</v>
      </c>
      <c r="AW143">
        <f t="shared" si="33"/>
        <v>21.050735881481483</v>
      </c>
      <c r="AX143" s="9"/>
      <c r="AY143" s="21">
        <v>0.56976300000000002</v>
      </c>
      <c r="AZ143" s="21">
        <v>29.076699999999999</v>
      </c>
      <c r="BA143" s="21">
        <v>-1.4978E-2</v>
      </c>
      <c r="BB143" s="21">
        <v>133</v>
      </c>
      <c r="BC143" s="21">
        <v>0.56909200000000004</v>
      </c>
      <c r="BD143">
        <f t="shared" si="34"/>
        <v>18.491358024691355</v>
      </c>
      <c r="BE143">
        <f t="shared" si="35"/>
        <v>10.53569162222222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1.1453199999999999</v>
      </c>
      <c r="H144" s="21">
        <v>6.4278399999999998</v>
      </c>
      <c r="I144" s="21">
        <v>-1.48132E-2</v>
      </c>
      <c r="J144" s="21">
        <v>134</v>
      </c>
      <c r="K144" s="21">
        <v>1.1440999999999999</v>
      </c>
      <c r="L144">
        <f t="shared" si="24"/>
        <v>18.287901234567901</v>
      </c>
      <c r="M144">
        <f t="shared" si="25"/>
        <v>20.945499041975307</v>
      </c>
      <c r="N144" s="9"/>
      <c r="O144" s="21">
        <v>0.57479899999999995</v>
      </c>
      <c r="P144" s="21">
        <v>10.2873</v>
      </c>
      <c r="Q144" s="21">
        <v>-1.49292E-2</v>
      </c>
      <c r="R144" s="21">
        <v>134</v>
      </c>
      <c r="S144" s="21">
        <v>0.57418800000000003</v>
      </c>
      <c r="T144">
        <f t="shared" si="26"/>
        <v>18.431111111111111</v>
      </c>
      <c r="U144">
        <f t="shared" si="27"/>
        <v>10.594184235555554</v>
      </c>
      <c r="X144" s="9"/>
      <c r="Y144" s="21">
        <v>1.1453199999999999</v>
      </c>
      <c r="Z144" s="21">
        <v>15.8431</v>
      </c>
      <c r="AA144" s="21">
        <v>-1.4822399999999999E-2</v>
      </c>
      <c r="AB144" s="21">
        <v>134</v>
      </c>
      <c r="AC144" s="21">
        <v>1.1447099999999999</v>
      </c>
      <c r="AD144">
        <f t="shared" si="28"/>
        <v>18.299259259259259</v>
      </c>
      <c r="AE144">
        <f t="shared" si="29"/>
        <v>20.958507614814813</v>
      </c>
      <c r="AF144" s="9"/>
      <c r="AG144" s="21">
        <v>0.57479899999999995</v>
      </c>
      <c r="AH144" s="21">
        <v>19.702500000000001</v>
      </c>
      <c r="AI144" s="21">
        <v>-1.5020800000000001E-2</v>
      </c>
      <c r="AJ144" s="21">
        <v>134</v>
      </c>
      <c r="AK144" s="21">
        <v>0.57409699999999997</v>
      </c>
      <c r="AL144">
        <f t="shared" si="30"/>
        <v>18.544197530864199</v>
      </c>
      <c r="AM144">
        <f t="shared" si="31"/>
        <v>10.65918619654321</v>
      </c>
      <c r="AP144" s="9"/>
      <c r="AQ144" s="21">
        <v>1.1453199999999999</v>
      </c>
      <c r="AR144" s="21">
        <v>25.2273</v>
      </c>
      <c r="AS144" s="21">
        <v>-1.4810200000000001E-2</v>
      </c>
      <c r="AT144" s="21">
        <v>134</v>
      </c>
      <c r="AU144" s="21">
        <v>1.1447099999999999</v>
      </c>
      <c r="AV144">
        <f t="shared" si="32"/>
        <v>18.284197530864198</v>
      </c>
      <c r="AW144">
        <f t="shared" si="33"/>
        <v>20.941257116049382</v>
      </c>
      <c r="AX144" s="9"/>
      <c r="AY144" s="21">
        <v>0.57479899999999995</v>
      </c>
      <c r="AZ144" s="21">
        <v>29.0868</v>
      </c>
      <c r="BA144" s="21">
        <v>-1.49902E-2</v>
      </c>
      <c r="BB144" s="21">
        <v>134</v>
      </c>
      <c r="BC144" s="21">
        <v>0.57412700000000005</v>
      </c>
      <c r="BD144">
        <f t="shared" si="34"/>
        <v>18.506419753086419</v>
      </c>
      <c r="BE144">
        <f t="shared" si="35"/>
        <v>10.63747156765432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1.14029</v>
      </c>
      <c r="H145" s="21">
        <v>6.4379099999999996</v>
      </c>
      <c r="I145" s="21">
        <v>-1.4822399999999999E-2</v>
      </c>
      <c r="J145" s="21">
        <v>135</v>
      </c>
      <c r="K145" s="21">
        <v>1.1395299999999999</v>
      </c>
      <c r="L145">
        <f t="shared" si="24"/>
        <v>18.299259259259259</v>
      </c>
      <c r="M145">
        <f t="shared" si="25"/>
        <v>20.866462340740739</v>
      </c>
      <c r="N145" s="9"/>
      <c r="O145" s="21">
        <v>0.57983399999999996</v>
      </c>
      <c r="P145" s="21">
        <v>10.2974</v>
      </c>
      <c r="Q145" s="21">
        <v>-1.49231E-2</v>
      </c>
      <c r="R145" s="21">
        <v>135</v>
      </c>
      <c r="S145" s="21">
        <v>0.57913199999999998</v>
      </c>
      <c r="T145">
        <f t="shared" si="26"/>
        <v>18.423580246913577</v>
      </c>
      <c r="U145">
        <f t="shared" si="27"/>
        <v>10.682618228888886</v>
      </c>
      <c r="X145" s="9"/>
      <c r="Y145" s="21">
        <v>1.14029</v>
      </c>
      <c r="Z145" s="21">
        <v>15.8531</v>
      </c>
      <c r="AA145" s="21">
        <v>-1.4819300000000001E-2</v>
      </c>
      <c r="AB145" s="21">
        <v>135</v>
      </c>
      <c r="AC145" s="21">
        <v>1.1392199999999999</v>
      </c>
      <c r="AD145">
        <f t="shared" si="28"/>
        <v>18.295432098765431</v>
      </c>
      <c r="AE145">
        <f t="shared" si="29"/>
        <v>20.862098267901235</v>
      </c>
      <c r="AF145" s="9"/>
      <c r="AG145" s="21">
        <v>0.57983399999999996</v>
      </c>
      <c r="AH145" s="21">
        <v>19.712599999999998</v>
      </c>
      <c r="AI145" s="21">
        <v>-1.50238E-2</v>
      </c>
      <c r="AJ145" s="21">
        <v>135</v>
      </c>
      <c r="AK145" s="21">
        <v>0.57916299999999998</v>
      </c>
      <c r="AL145">
        <f t="shared" si="30"/>
        <v>18.547901234567902</v>
      </c>
      <c r="AM145">
        <f t="shared" si="31"/>
        <v>10.754703764444445</v>
      </c>
      <c r="AP145" s="9"/>
      <c r="AQ145" s="21">
        <v>1.14029</v>
      </c>
      <c r="AR145" s="21">
        <v>25.237300000000001</v>
      </c>
      <c r="AS145" s="21">
        <v>-1.48071E-2</v>
      </c>
      <c r="AT145" s="21">
        <v>135</v>
      </c>
      <c r="AU145" s="21">
        <v>1.1395299999999999</v>
      </c>
      <c r="AV145">
        <f t="shared" si="32"/>
        <v>18.28037037037037</v>
      </c>
      <c r="AW145">
        <f t="shared" si="33"/>
        <v>20.844923529629629</v>
      </c>
      <c r="AX145" s="9"/>
      <c r="AY145" s="21">
        <v>0.57983399999999996</v>
      </c>
      <c r="AZ145" s="21">
        <v>29.096800000000002</v>
      </c>
      <c r="BA145" s="21">
        <v>-1.4987199999999999E-2</v>
      </c>
      <c r="BB145" s="21">
        <v>135</v>
      </c>
      <c r="BC145" s="21">
        <v>0.57919299999999996</v>
      </c>
      <c r="BD145">
        <f t="shared" si="34"/>
        <v>18.502716049382713</v>
      </c>
      <c r="BE145">
        <f t="shared" si="35"/>
        <v>10.728503857777776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1.1352500000000001</v>
      </c>
      <c r="H146" s="21">
        <v>6.4479800000000003</v>
      </c>
      <c r="I146" s="21">
        <v>-1.48285E-2</v>
      </c>
      <c r="J146" s="21">
        <v>136</v>
      </c>
      <c r="K146" s="21">
        <v>1.1343399999999999</v>
      </c>
      <c r="L146">
        <f t="shared" si="24"/>
        <v>18.306790123456789</v>
      </c>
      <c r="M146">
        <f t="shared" si="25"/>
        <v>20.782783487654321</v>
      </c>
      <c r="N146" s="9"/>
      <c r="O146" s="21">
        <v>0.58486899999999997</v>
      </c>
      <c r="P146" s="21">
        <v>10.307499999999999</v>
      </c>
      <c r="Q146" s="21">
        <v>-1.49292E-2</v>
      </c>
      <c r="R146" s="21">
        <v>136</v>
      </c>
      <c r="S146" s="21">
        <v>0.58431999999999995</v>
      </c>
      <c r="T146">
        <f t="shared" si="26"/>
        <v>18.431111111111111</v>
      </c>
      <c r="U146">
        <f t="shared" si="27"/>
        <v>10.779785524444444</v>
      </c>
      <c r="X146" s="9"/>
      <c r="Y146" s="21">
        <v>1.1352500000000001</v>
      </c>
      <c r="Z146" s="21">
        <v>15.863200000000001</v>
      </c>
      <c r="AA146" s="21">
        <v>-1.4825400000000001E-2</v>
      </c>
      <c r="AB146" s="21">
        <v>136</v>
      </c>
      <c r="AC146" s="21">
        <v>1.1343399999999999</v>
      </c>
      <c r="AD146">
        <f t="shared" si="28"/>
        <v>18.302962962962962</v>
      </c>
      <c r="AE146">
        <f t="shared" si="29"/>
        <v>20.778438703703703</v>
      </c>
      <c r="AF146" s="9"/>
      <c r="AG146" s="21">
        <v>0.58486899999999997</v>
      </c>
      <c r="AH146" s="21">
        <v>19.7227</v>
      </c>
      <c r="AI146" s="21">
        <v>-1.5020800000000001E-2</v>
      </c>
      <c r="AJ146" s="21">
        <v>136</v>
      </c>
      <c r="AK146" s="21">
        <v>0.58413700000000002</v>
      </c>
      <c r="AL146">
        <f t="shared" si="30"/>
        <v>18.544197530864199</v>
      </c>
      <c r="AM146">
        <f t="shared" si="31"/>
        <v>10.845926265679013</v>
      </c>
      <c r="AP146" s="9"/>
      <c r="AQ146" s="21">
        <v>1.1352500000000001</v>
      </c>
      <c r="AR146" s="21">
        <v>25.247399999999999</v>
      </c>
      <c r="AS146" s="21">
        <v>-1.48132E-2</v>
      </c>
      <c r="AT146" s="21">
        <v>136</v>
      </c>
      <c r="AU146" s="21">
        <v>1.1346400000000001</v>
      </c>
      <c r="AV146">
        <f t="shared" si="32"/>
        <v>18.287901234567901</v>
      </c>
      <c r="AW146">
        <f t="shared" si="33"/>
        <v>20.761339876543211</v>
      </c>
      <c r="AX146" s="9"/>
      <c r="AY146" s="21">
        <v>0.58486899999999997</v>
      </c>
      <c r="AZ146" s="21">
        <v>29.1069</v>
      </c>
      <c r="BA146" s="21">
        <v>-1.4996300000000001E-2</v>
      </c>
      <c r="BB146" s="21">
        <v>136</v>
      </c>
      <c r="BC146" s="21">
        <v>0.584229</v>
      </c>
      <c r="BD146">
        <f t="shared" si="34"/>
        <v>18.51395061728395</v>
      </c>
      <c r="BE146">
        <f t="shared" si="35"/>
        <v>10.828235783580245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1.13022</v>
      </c>
      <c r="H147" s="21">
        <v>6.4580500000000001</v>
      </c>
      <c r="I147" s="21">
        <v>-1.4837599999999999E-2</v>
      </c>
      <c r="J147" s="21">
        <v>137</v>
      </c>
      <c r="K147" s="21">
        <v>1.1300699999999999</v>
      </c>
      <c r="L147">
        <f t="shared" si="24"/>
        <v>18.318024691358023</v>
      </c>
      <c r="M147">
        <f t="shared" si="25"/>
        <v>20.703397866666663</v>
      </c>
      <c r="N147" s="9"/>
      <c r="O147" s="21">
        <v>0.58990500000000001</v>
      </c>
      <c r="P147" s="21">
        <v>10.317500000000001</v>
      </c>
      <c r="Q147" s="21">
        <v>-1.49292E-2</v>
      </c>
      <c r="R147" s="21">
        <v>137</v>
      </c>
      <c r="S147" s="21">
        <v>0.58935499999999996</v>
      </c>
      <c r="T147">
        <f t="shared" si="26"/>
        <v>18.431111111111111</v>
      </c>
      <c r="U147">
        <f t="shared" si="27"/>
        <v>10.872604600000001</v>
      </c>
      <c r="X147" s="9"/>
      <c r="Y147" s="21">
        <v>1.13022</v>
      </c>
      <c r="Z147" s="21">
        <v>15.8733</v>
      </c>
      <c r="AA147" s="21">
        <v>-1.48285E-2</v>
      </c>
      <c r="AB147" s="21">
        <v>137</v>
      </c>
      <c r="AC147" s="21">
        <v>1.1294599999999999</v>
      </c>
      <c r="AD147">
        <f t="shared" si="28"/>
        <v>18.306790123456789</v>
      </c>
      <c r="AE147">
        <f t="shared" si="29"/>
        <v>20.690700333333332</v>
      </c>
      <c r="AF147" s="9"/>
      <c r="AG147" s="21">
        <v>0.58990500000000001</v>
      </c>
      <c r="AH147" s="21">
        <v>19.732700000000001</v>
      </c>
      <c r="AI147" s="21">
        <v>-1.50238E-2</v>
      </c>
      <c r="AJ147" s="21">
        <v>137</v>
      </c>
      <c r="AK147" s="21">
        <v>0.58917200000000003</v>
      </c>
      <c r="AL147">
        <f t="shared" si="30"/>
        <v>18.547901234567902</v>
      </c>
      <c r="AM147">
        <f t="shared" si="31"/>
        <v>10.941499677777779</v>
      </c>
      <c r="AP147" s="9"/>
      <c r="AQ147" s="21">
        <v>1.13022</v>
      </c>
      <c r="AR147" s="21">
        <v>25.2575</v>
      </c>
      <c r="AS147" s="21">
        <v>-1.4822399999999999E-2</v>
      </c>
      <c r="AT147" s="21">
        <v>137</v>
      </c>
      <c r="AU147" s="21">
        <v>1.1291500000000001</v>
      </c>
      <c r="AV147">
        <f t="shared" si="32"/>
        <v>18.299259259259259</v>
      </c>
      <c r="AW147">
        <f t="shared" si="33"/>
        <v>20.682188799999999</v>
      </c>
      <c r="AX147" s="9"/>
      <c r="AY147" s="21">
        <v>0.58990500000000001</v>
      </c>
      <c r="AZ147" s="21">
        <v>29.117000000000001</v>
      </c>
      <c r="BA147" s="21">
        <v>-1.49994E-2</v>
      </c>
      <c r="BB147" s="21">
        <v>137</v>
      </c>
      <c r="BC147" s="21">
        <v>0.58926400000000001</v>
      </c>
      <c r="BD147">
        <f t="shared" si="34"/>
        <v>18.517777777777777</v>
      </c>
      <c r="BE147">
        <f t="shared" si="35"/>
        <v>10.923729699999999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1.1251800000000001</v>
      </c>
      <c r="H148" s="21">
        <v>6.4681199999999999</v>
      </c>
      <c r="I148" s="21">
        <v>-1.4837599999999999E-2</v>
      </c>
      <c r="J148" s="21">
        <v>138</v>
      </c>
      <c r="K148" s="21">
        <v>1.1236600000000001</v>
      </c>
      <c r="L148">
        <f t="shared" si="24"/>
        <v>18.318024691358023</v>
      </c>
      <c r="M148">
        <f t="shared" si="25"/>
        <v>20.61107502222222</v>
      </c>
      <c r="N148" s="9"/>
      <c r="O148" s="21">
        <v>0.59494000000000002</v>
      </c>
      <c r="P148" s="21">
        <v>10.3276</v>
      </c>
      <c r="Q148" s="21">
        <v>-1.4941400000000001E-2</v>
      </c>
      <c r="R148" s="21">
        <v>138</v>
      </c>
      <c r="S148" s="21">
        <v>0.59429900000000002</v>
      </c>
      <c r="T148">
        <f t="shared" si="26"/>
        <v>18.446172839506172</v>
      </c>
      <c r="U148">
        <f t="shared" si="27"/>
        <v>10.974366069135803</v>
      </c>
      <c r="X148" s="9"/>
      <c r="Y148" s="21">
        <v>1.1251800000000001</v>
      </c>
      <c r="Z148" s="21">
        <v>15.8833</v>
      </c>
      <c r="AA148" s="21">
        <v>-1.48407E-2</v>
      </c>
      <c r="AB148" s="21">
        <v>138</v>
      </c>
      <c r="AC148" s="21">
        <v>1.1245700000000001</v>
      </c>
      <c r="AD148">
        <f t="shared" si="28"/>
        <v>18.32185185185185</v>
      </c>
      <c r="AE148">
        <f t="shared" si="29"/>
        <v>20.615381266666667</v>
      </c>
      <c r="AF148" s="9"/>
      <c r="AG148" s="21">
        <v>0.59494000000000002</v>
      </c>
      <c r="AH148" s="21">
        <v>19.742799999999999</v>
      </c>
      <c r="AI148" s="21">
        <v>-1.50238E-2</v>
      </c>
      <c r="AJ148" s="21">
        <v>138</v>
      </c>
      <c r="AK148" s="21">
        <v>0.59433000000000002</v>
      </c>
      <c r="AL148">
        <f t="shared" si="30"/>
        <v>18.547901234567902</v>
      </c>
      <c r="AM148">
        <f t="shared" si="31"/>
        <v>11.034888360493829</v>
      </c>
      <c r="AP148" s="9"/>
      <c r="AQ148" s="21">
        <v>1.1251800000000001</v>
      </c>
      <c r="AR148" s="21">
        <v>25.267600000000002</v>
      </c>
      <c r="AS148" s="21">
        <v>-1.4831499999999999E-2</v>
      </c>
      <c r="AT148" s="21">
        <v>138</v>
      </c>
      <c r="AU148" s="21">
        <v>1.1242700000000001</v>
      </c>
      <c r="AV148">
        <f t="shared" si="32"/>
        <v>18.310493827160489</v>
      </c>
      <c r="AW148">
        <f t="shared" si="33"/>
        <v>20.602601444444439</v>
      </c>
      <c r="AX148" s="9"/>
      <c r="AY148" s="21">
        <v>0.59494000000000002</v>
      </c>
      <c r="AZ148" s="21">
        <v>29.126999999999999</v>
      </c>
      <c r="BA148" s="21">
        <v>-1.50116E-2</v>
      </c>
      <c r="BB148" s="21">
        <v>138</v>
      </c>
      <c r="BC148" s="21">
        <v>0.59436</v>
      </c>
      <c r="BD148">
        <f t="shared" si="34"/>
        <v>18.532839506172838</v>
      </c>
      <c r="BE148">
        <f t="shared" si="35"/>
        <v>11.025927535802468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1.12015</v>
      </c>
      <c r="H149" s="21">
        <v>6.4781899999999997</v>
      </c>
      <c r="I149" s="21">
        <v>-1.48407E-2</v>
      </c>
      <c r="J149" s="21">
        <v>139</v>
      </c>
      <c r="K149" s="21">
        <v>1.11938</v>
      </c>
      <c r="L149">
        <f t="shared" si="24"/>
        <v>18.32185185185185</v>
      </c>
      <c r="M149">
        <f t="shared" si="25"/>
        <v>20.52322235185185</v>
      </c>
      <c r="N149" s="9"/>
      <c r="O149" s="21">
        <v>0.59997599999999995</v>
      </c>
      <c r="P149" s="21">
        <v>10.3377</v>
      </c>
      <c r="Q149" s="21">
        <v>-1.49567E-2</v>
      </c>
      <c r="R149" s="21">
        <v>139</v>
      </c>
      <c r="S149" s="21">
        <v>0.59936500000000004</v>
      </c>
      <c r="T149">
        <f t="shared" si="26"/>
        <v>18.46506172839506</v>
      </c>
      <c r="U149">
        <f t="shared" si="27"/>
        <v>11.078593875555553</v>
      </c>
      <c r="X149" s="9"/>
      <c r="Y149" s="21">
        <v>1.12015</v>
      </c>
      <c r="Z149" s="21">
        <v>15.8934</v>
      </c>
      <c r="AA149" s="21">
        <v>-1.48529E-2</v>
      </c>
      <c r="AB149" s="21">
        <v>139</v>
      </c>
      <c r="AC149" s="21">
        <v>1.11938</v>
      </c>
      <c r="AD149">
        <f t="shared" si="28"/>
        <v>18.336913580246915</v>
      </c>
      <c r="AE149">
        <f t="shared" si="29"/>
        <v>20.54009374691358</v>
      </c>
      <c r="AF149" s="9"/>
      <c r="AG149" s="21">
        <v>0.59997599999999995</v>
      </c>
      <c r="AH149" s="21">
        <v>19.7529</v>
      </c>
      <c r="AI149" s="21">
        <v>-1.50238E-2</v>
      </c>
      <c r="AJ149" s="21">
        <v>139</v>
      </c>
      <c r="AK149" s="21">
        <v>0.59939600000000004</v>
      </c>
      <c r="AL149">
        <f t="shared" si="30"/>
        <v>18.547901234567902</v>
      </c>
      <c r="AM149">
        <f t="shared" si="31"/>
        <v>11.128295591111112</v>
      </c>
      <c r="AP149" s="9"/>
      <c r="AQ149" s="21">
        <v>1.12015</v>
      </c>
      <c r="AR149" s="21">
        <v>25.2776</v>
      </c>
      <c r="AS149" s="21">
        <v>-1.48407E-2</v>
      </c>
      <c r="AT149" s="21">
        <v>139</v>
      </c>
      <c r="AU149" s="21">
        <v>1.11938</v>
      </c>
      <c r="AV149">
        <f t="shared" si="32"/>
        <v>18.32185185185185</v>
      </c>
      <c r="AW149">
        <f t="shared" si="33"/>
        <v>20.52322235185185</v>
      </c>
      <c r="AX149" s="9"/>
      <c r="AY149" s="21">
        <v>0.59997599999999995</v>
      </c>
      <c r="AZ149" s="21">
        <v>29.1371</v>
      </c>
      <c r="BA149" s="21">
        <v>-1.50055E-2</v>
      </c>
      <c r="BB149" s="21">
        <v>139</v>
      </c>
      <c r="BC149" s="21">
        <v>0.59939600000000004</v>
      </c>
      <c r="BD149">
        <f t="shared" si="34"/>
        <v>18.525308641975307</v>
      </c>
      <c r="BE149">
        <f t="shared" si="35"/>
        <v>11.114740577777777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1.11511</v>
      </c>
      <c r="H150" s="21">
        <v>6.4882600000000004</v>
      </c>
      <c r="I150" s="21">
        <v>-1.4855999999999999E-2</v>
      </c>
      <c r="J150" s="21">
        <v>140</v>
      </c>
      <c r="K150" s="21">
        <v>1.1142000000000001</v>
      </c>
      <c r="L150">
        <f t="shared" si="24"/>
        <v>18.340740740740738</v>
      </c>
      <c r="M150">
        <f t="shared" si="25"/>
        <v>20.451943407407406</v>
      </c>
      <c r="N150" s="9"/>
      <c r="O150" s="21">
        <v>0.60501099999999997</v>
      </c>
      <c r="P150" s="21">
        <v>10.3477</v>
      </c>
      <c r="Q150" s="21">
        <v>-1.49719E-2</v>
      </c>
      <c r="R150" s="21">
        <v>140</v>
      </c>
      <c r="S150" s="21">
        <v>0.60427900000000001</v>
      </c>
      <c r="T150">
        <f t="shared" si="26"/>
        <v>18.483827160493824</v>
      </c>
      <c r="U150">
        <f t="shared" si="27"/>
        <v>11.182918754197528</v>
      </c>
      <c r="X150" s="9"/>
      <c r="Y150" s="21">
        <v>1.11511</v>
      </c>
      <c r="Z150" s="21">
        <v>15.903499999999999</v>
      </c>
      <c r="AA150" s="21">
        <v>-1.4865099999999999E-2</v>
      </c>
      <c r="AB150" s="21">
        <v>140</v>
      </c>
      <c r="AC150" s="21">
        <v>1.1145</v>
      </c>
      <c r="AD150">
        <f t="shared" si="28"/>
        <v>18.351975308641972</v>
      </c>
      <c r="AE150">
        <f t="shared" si="29"/>
        <v>20.46447118641975</v>
      </c>
      <c r="AF150" s="9"/>
      <c r="AG150" s="21">
        <v>0.60501099999999997</v>
      </c>
      <c r="AH150" s="21">
        <v>19.762899999999998</v>
      </c>
      <c r="AI150" s="21">
        <v>-1.5014599999999999E-2</v>
      </c>
      <c r="AJ150" s="21">
        <v>140</v>
      </c>
      <c r="AK150" s="21">
        <v>0.60436999999999996</v>
      </c>
      <c r="AL150">
        <f t="shared" si="30"/>
        <v>18.536543209876541</v>
      </c>
      <c r="AM150">
        <f t="shared" si="31"/>
        <v>11.214812543950615</v>
      </c>
      <c r="AP150" s="9"/>
      <c r="AQ150" s="21">
        <v>1.11511</v>
      </c>
      <c r="AR150" s="21">
        <v>25.287700000000001</v>
      </c>
      <c r="AS150" s="21">
        <v>-1.48468E-2</v>
      </c>
      <c r="AT150" s="21">
        <v>140</v>
      </c>
      <c r="AU150" s="21">
        <v>1.1142000000000001</v>
      </c>
      <c r="AV150">
        <f t="shared" si="32"/>
        <v>18.329382716049381</v>
      </c>
      <c r="AW150">
        <f t="shared" si="33"/>
        <v>20.439277960493826</v>
      </c>
      <c r="AX150" s="9"/>
      <c r="AY150" s="21">
        <v>0.60501099999999997</v>
      </c>
      <c r="AZ150" s="21">
        <v>29.147200000000002</v>
      </c>
      <c r="BA150" s="21">
        <v>-1.49994E-2</v>
      </c>
      <c r="BB150" s="21">
        <v>140</v>
      </c>
      <c r="BC150" s="21">
        <v>0.60440099999999997</v>
      </c>
      <c r="BD150">
        <f t="shared" si="34"/>
        <v>18.517777777777777</v>
      </c>
      <c r="BE150">
        <f t="shared" si="35"/>
        <v>11.203459251111109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1.11008</v>
      </c>
      <c r="H151" s="21">
        <v>6.4983300000000002</v>
      </c>
      <c r="I151" s="21">
        <v>-1.48682E-2</v>
      </c>
      <c r="J151" s="21">
        <v>141</v>
      </c>
      <c r="K151" s="21">
        <v>1.10931</v>
      </c>
      <c r="L151">
        <f t="shared" si="24"/>
        <v>18.355802469135799</v>
      </c>
      <c r="M151">
        <f t="shared" si="25"/>
        <v>20.376409204938266</v>
      </c>
      <c r="N151" s="9"/>
      <c r="O151" s="21">
        <v>0.61004599999999998</v>
      </c>
      <c r="P151" s="21">
        <v>10.357799999999999</v>
      </c>
      <c r="Q151" s="21">
        <v>-1.49719E-2</v>
      </c>
      <c r="R151" s="21">
        <v>141</v>
      </c>
      <c r="S151" s="21">
        <v>0.60952799999999996</v>
      </c>
      <c r="T151">
        <f t="shared" si="26"/>
        <v>18.483827160493824</v>
      </c>
      <c r="U151">
        <f t="shared" si="27"/>
        <v>11.275984823950616</v>
      </c>
      <c r="X151" s="9"/>
      <c r="Y151" s="21">
        <v>1.11008</v>
      </c>
      <c r="Z151" s="21">
        <v>15.913500000000001</v>
      </c>
      <c r="AA151" s="21">
        <v>-1.48682E-2</v>
      </c>
      <c r="AB151" s="21">
        <v>141</v>
      </c>
      <c r="AC151" s="21">
        <v>1.10931</v>
      </c>
      <c r="AD151">
        <f t="shared" si="28"/>
        <v>18.355802469135799</v>
      </c>
      <c r="AE151">
        <f t="shared" si="29"/>
        <v>20.376409204938266</v>
      </c>
      <c r="AF151" s="9"/>
      <c r="AG151" s="21">
        <v>0.61004599999999998</v>
      </c>
      <c r="AH151" s="21">
        <v>19.773</v>
      </c>
      <c r="AI151" s="21">
        <v>-1.5008499999999999E-2</v>
      </c>
      <c r="AJ151" s="21">
        <v>141</v>
      </c>
      <c r="AK151" s="21">
        <v>0.609406</v>
      </c>
      <c r="AL151">
        <f t="shared" si="30"/>
        <v>18.529012345679011</v>
      </c>
      <c r="AM151">
        <f t="shared" si="31"/>
        <v>11.303549865432098</v>
      </c>
      <c r="AP151" s="9"/>
      <c r="AQ151" s="21">
        <v>1.11008</v>
      </c>
      <c r="AR151" s="21">
        <v>25.297799999999999</v>
      </c>
      <c r="AS151" s="21">
        <v>-1.4843800000000001E-2</v>
      </c>
      <c r="AT151" s="21">
        <v>141</v>
      </c>
      <c r="AU151" s="21">
        <v>1.10931</v>
      </c>
      <c r="AV151">
        <f t="shared" si="32"/>
        <v>18.325679012345677</v>
      </c>
      <c r="AW151">
        <f t="shared" si="33"/>
        <v>20.34296975802469</v>
      </c>
      <c r="AX151" s="9"/>
      <c r="AY151" s="21">
        <v>0.61004599999999998</v>
      </c>
      <c r="AZ151" s="21">
        <v>29.157299999999999</v>
      </c>
      <c r="BA151" s="21">
        <v>-1.50055E-2</v>
      </c>
      <c r="BB151" s="21">
        <v>141</v>
      </c>
      <c r="BC151" s="21">
        <v>0.609406</v>
      </c>
      <c r="BD151">
        <f t="shared" si="34"/>
        <v>18.525308641975307</v>
      </c>
      <c r="BE151">
        <f t="shared" si="35"/>
        <v>11.301290435802468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1.10504</v>
      </c>
      <c r="H152" s="21">
        <v>6.5084</v>
      </c>
      <c r="I152" s="21">
        <v>-1.48804E-2</v>
      </c>
      <c r="J152" s="21">
        <v>142</v>
      </c>
      <c r="K152" s="21">
        <v>1.1041300000000001</v>
      </c>
      <c r="L152">
        <f t="shared" si="24"/>
        <v>18.370864197530864</v>
      </c>
      <c r="M152">
        <f t="shared" si="25"/>
        <v>20.300539772839507</v>
      </c>
      <c r="N152" s="9"/>
      <c r="O152" s="21">
        <v>0.61508200000000002</v>
      </c>
      <c r="P152" s="21">
        <v>10.367900000000001</v>
      </c>
      <c r="Q152" s="21">
        <v>-1.49841E-2</v>
      </c>
      <c r="R152" s="21">
        <v>142</v>
      </c>
      <c r="S152" s="21">
        <v>0.61462399999999995</v>
      </c>
      <c r="T152">
        <f t="shared" si="26"/>
        <v>18.498888888888889</v>
      </c>
      <c r="U152">
        <f t="shared" si="27"/>
        <v>11.378333575555557</v>
      </c>
      <c r="X152" s="9"/>
      <c r="Y152" s="21">
        <v>1.10504</v>
      </c>
      <c r="Z152" s="21">
        <v>15.9236</v>
      </c>
      <c r="AA152" s="21">
        <v>-1.4865099999999999E-2</v>
      </c>
      <c r="AB152" s="21">
        <v>142</v>
      </c>
      <c r="AC152" s="21">
        <v>1.1041300000000001</v>
      </c>
      <c r="AD152">
        <f t="shared" si="28"/>
        <v>18.351975308641972</v>
      </c>
      <c r="AE152">
        <f t="shared" si="29"/>
        <v>20.279666795061726</v>
      </c>
      <c r="AF152" s="9"/>
      <c r="AG152" s="21">
        <v>0.61508200000000002</v>
      </c>
      <c r="AH152" s="21">
        <v>19.783100000000001</v>
      </c>
      <c r="AI152" s="21">
        <v>-1.49994E-2</v>
      </c>
      <c r="AJ152" s="21">
        <v>142</v>
      </c>
      <c r="AK152" s="21">
        <v>0.61447099999999999</v>
      </c>
      <c r="AL152">
        <f t="shared" si="30"/>
        <v>18.517777777777777</v>
      </c>
      <c r="AM152">
        <f t="shared" si="31"/>
        <v>11.389951791111111</v>
      </c>
      <c r="AP152" s="9"/>
      <c r="AQ152" s="21">
        <v>1.10504</v>
      </c>
      <c r="AR152" s="21">
        <v>25.3078</v>
      </c>
      <c r="AS152" s="21">
        <v>-1.4831499999999999E-2</v>
      </c>
      <c r="AT152" s="21">
        <v>142</v>
      </c>
      <c r="AU152" s="21">
        <v>1.10382</v>
      </c>
      <c r="AV152">
        <f t="shared" si="32"/>
        <v>18.310493827160489</v>
      </c>
      <c r="AW152">
        <f t="shared" si="33"/>
        <v>20.233828098765425</v>
      </c>
      <c r="AX152" s="9"/>
      <c r="AY152" s="21">
        <v>0.61508200000000002</v>
      </c>
      <c r="AZ152" s="21">
        <v>29.167300000000001</v>
      </c>
      <c r="BA152" s="21">
        <v>-1.50055E-2</v>
      </c>
      <c r="BB152" s="21">
        <v>142</v>
      </c>
      <c r="BC152" s="21">
        <v>0.61444100000000001</v>
      </c>
      <c r="BD152">
        <f t="shared" si="34"/>
        <v>18.525308641975307</v>
      </c>
      <c r="BE152">
        <f t="shared" si="35"/>
        <v>11.394583890123457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1.1000099999999999</v>
      </c>
      <c r="H153" s="21">
        <v>6.5184800000000003</v>
      </c>
      <c r="I153" s="21">
        <v>-1.48895E-2</v>
      </c>
      <c r="J153" s="21">
        <v>143</v>
      </c>
      <c r="K153" s="21">
        <v>1.09894</v>
      </c>
      <c r="L153">
        <f t="shared" si="24"/>
        <v>18.382098765432101</v>
      </c>
      <c r="M153">
        <f t="shared" si="25"/>
        <v>20.220492462962962</v>
      </c>
      <c r="N153" s="9"/>
      <c r="O153" s="21">
        <v>0.62011700000000003</v>
      </c>
      <c r="P153" s="21">
        <v>10.378</v>
      </c>
      <c r="Q153" s="21">
        <v>-1.4978E-2</v>
      </c>
      <c r="R153" s="21">
        <v>143</v>
      </c>
      <c r="S153" s="21">
        <v>0.619537</v>
      </c>
      <c r="T153">
        <f t="shared" si="26"/>
        <v>18.491358024691355</v>
      </c>
      <c r="U153">
        <f t="shared" si="27"/>
        <v>11.466805464197529</v>
      </c>
      <c r="X153" s="9"/>
      <c r="Y153" s="21">
        <v>1.1000099999999999</v>
      </c>
      <c r="Z153" s="21">
        <v>15.9337</v>
      </c>
      <c r="AA153" s="21">
        <v>-1.48743E-2</v>
      </c>
      <c r="AB153" s="21">
        <v>143</v>
      </c>
      <c r="AC153" s="21">
        <v>1.09924</v>
      </c>
      <c r="AD153">
        <f t="shared" si="28"/>
        <v>18.363333333333333</v>
      </c>
      <c r="AE153">
        <f t="shared" si="29"/>
        <v>20.199850299999998</v>
      </c>
      <c r="AF153" s="9"/>
      <c r="AG153" s="21">
        <v>0.62011700000000003</v>
      </c>
      <c r="AH153" s="21">
        <v>19.793199999999999</v>
      </c>
      <c r="AI153" s="21">
        <v>-1.5002400000000001E-2</v>
      </c>
      <c r="AJ153" s="21">
        <v>143</v>
      </c>
      <c r="AK153" s="21">
        <v>0.61962899999999999</v>
      </c>
      <c r="AL153">
        <f t="shared" si="30"/>
        <v>18.521481481481484</v>
      </c>
      <c r="AM153">
        <f t="shared" si="31"/>
        <v>11.485485531851854</v>
      </c>
      <c r="AP153" s="9"/>
      <c r="AQ153" s="21">
        <v>1.1000099999999999</v>
      </c>
      <c r="AR153" s="21">
        <v>25.317900000000002</v>
      </c>
      <c r="AS153" s="21">
        <v>-1.4825400000000001E-2</v>
      </c>
      <c r="AT153" s="21">
        <v>143</v>
      </c>
      <c r="AU153" s="21">
        <v>1.09894</v>
      </c>
      <c r="AV153">
        <f t="shared" si="32"/>
        <v>18.302962962962962</v>
      </c>
      <c r="AW153">
        <f t="shared" si="33"/>
        <v>20.133442288888887</v>
      </c>
      <c r="AX153" s="9"/>
      <c r="AY153" s="21">
        <v>0.62011700000000003</v>
      </c>
      <c r="AZ153" s="21">
        <v>29.177399999999999</v>
      </c>
      <c r="BA153" s="21">
        <v>-1.5008499999999999E-2</v>
      </c>
      <c r="BB153" s="21">
        <v>143</v>
      </c>
      <c r="BC153" s="21">
        <v>0.61947600000000003</v>
      </c>
      <c r="BD153">
        <f t="shared" si="34"/>
        <v>18.529012345679011</v>
      </c>
      <c r="BE153">
        <f t="shared" si="35"/>
        <v>11.490155548765431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1.09497</v>
      </c>
      <c r="H154" s="21">
        <v>6.5285500000000001</v>
      </c>
      <c r="I154" s="21">
        <v>-1.4904799999999999E-2</v>
      </c>
      <c r="J154" s="21">
        <v>144</v>
      </c>
      <c r="K154" s="21">
        <v>1.09406</v>
      </c>
      <c r="L154">
        <f t="shared" si="24"/>
        <v>18.400987654320986</v>
      </c>
      <c r="M154">
        <f t="shared" si="25"/>
        <v>20.14852945185185</v>
      </c>
      <c r="N154" s="9"/>
      <c r="O154" s="21">
        <v>0.62515299999999996</v>
      </c>
      <c r="P154" s="21">
        <v>10.388</v>
      </c>
      <c r="Q154" s="21">
        <v>-1.49841E-2</v>
      </c>
      <c r="R154" s="21">
        <v>144</v>
      </c>
      <c r="S154" s="21">
        <v>0.62451199999999996</v>
      </c>
      <c r="T154">
        <f t="shared" si="26"/>
        <v>18.498888888888889</v>
      </c>
      <c r="U154">
        <f t="shared" si="27"/>
        <v>11.564635885555555</v>
      </c>
      <c r="X154" s="9"/>
      <c r="Y154" s="21">
        <v>1.09497</v>
      </c>
      <c r="Z154" s="21">
        <v>15.9438</v>
      </c>
      <c r="AA154" s="21">
        <v>-1.4871199999999999E-2</v>
      </c>
      <c r="AB154" s="21">
        <v>144</v>
      </c>
      <c r="AC154" s="21">
        <v>1.09406</v>
      </c>
      <c r="AD154">
        <f t="shared" si="28"/>
        <v>18.359506172839506</v>
      </c>
      <c r="AE154">
        <f t="shared" si="29"/>
        <v>20.103108474074073</v>
      </c>
      <c r="AF154" s="9"/>
      <c r="AG154" s="21">
        <v>0.62515299999999996</v>
      </c>
      <c r="AH154" s="21">
        <v>19.8032</v>
      </c>
      <c r="AI154" s="21">
        <v>-1.5002400000000001E-2</v>
      </c>
      <c r="AJ154" s="21">
        <v>144</v>
      </c>
      <c r="AK154" s="21">
        <v>0.62448099999999995</v>
      </c>
      <c r="AL154">
        <f t="shared" si="30"/>
        <v>18.521481481481484</v>
      </c>
      <c r="AM154">
        <f t="shared" si="31"/>
        <v>11.578759712592593</v>
      </c>
      <c r="AP154" s="9"/>
      <c r="AQ154" s="21">
        <v>1.09497</v>
      </c>
      <c r="AR154" s="21">
        <v>25.327999999999999</v>
      </c>
      <c r="AS154" s="21">
        <v>-1.4816299999999999E-2</v>
      </c>
      <c r="AT154" s="21">
        <v>144</v>
      </c>
      <c r="AU154" s="21">
        <v>1.09314</v>
      </c>
      <c r="AV154">
        <f t="shared" si="32"/>
        <v>18.291728395061728</v>
      </c>
      <c r="AW154">
        <f t="shared" si="33"/>
        <v>20.028893840740739</v>
      </c>
      <c r="AX154" s="9"/>
      <c r="AY154" s="21">
        <v>0.62515299999999996</v>
      </c>
      <c r="AZ154" s="21">
        <v>29.1875</v>
      </c>
      <c r="BA154" s="21">
        <v>-1.5002400000000001E-2</v>
      </c>
      <c r="BB154" s="21">
        <v>144</v>
      </c>
      <c r="BC154" s="21">
        <v>0.62441999999999998</v>
      </c>
      <c r="BD154">
        <f t="shared" si="34"/>
        <v>18.521481481481484</v>
      </c>
      <c r="BE154">
        <f t="shared" si="35"/>
        <v>11.578759712592593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1.0899399999999999</v>
      </c>
      <c r="H155" s="21">
        <v>6.5386199999999999</v>
      </c>
      <c r="I155" s="21">
        <v>-1.49017E-2</v>
      </c>
      <c r="J155" s="21">
        <v>145</v>
      </c>
      <c r="K155" s="21">
        <v>1.08887</v>
      </c>
      <c r="L155">
        <f t="shared" si="24"/>
        <v>18.397160493827158</v>
      </c>
      <c r="M155">
        <f t="shared" si="25"/>
        <v>20.051801108641971</v>
      </c>
      <c r="N155" s="9"/>
      <c r="O155" s="21">
        <v>0.63018799999999997</v>
      </c>
      <c r="P155" s="21">
        <v>10.398099999999999</v>
      </c>
      <c r="Q155" s="21">
        <v>-1.49902E-2</v>
      </c>
      <c r="R155" s="21">
        <v>145</v>
      </c>
      <c r="S155" s="21">
        <v>0.62954699999999997</v>
      </c>
      <c r="T155">
        <f t="shared" si="26"/>
        <v>18.506419753086419</v>
      </c>
      <c r="U155">
        <f t="shared" si="27"/>
        <v>11.662523651358024</v>
      </c>
      <c r="X155" s="9"/>
      <c r="Y155" s="21">
        <v>1.0899399999999999</v>
      </c>
      <c r="Z155" s="21">
        <v>15.953799999999999</v>
      </c>
      <c r="AA155" s="21">
        <v>-1.4871199999999999E-2</v>
      </c>
      <c r="AB155" s="21">
        <v>145</v>
      </c>
      <c r="AC155" s="21">
        <v>1.08856</v>
      </c>
      <c r="AD155">
        <f t="shared" si="28"/>
        <v>18.359506172839506</v>
      </c>
      <c r="AE155">
        <f t="shared" si="29"/>
        <v>20.010760158024688</v>
      </c>
      <c r="AF155" s="9"/>
      <c r="AG155" s="21">
        <v>0.63018799999999997</v>
      </c>
      <c r="AH155" s="21">
        <v>19.813300000000002</v>
      </c>
      <c r="AI155" s="21">
        <v>-1.4987199999999999E-2</v>
      </c>
      <c r="AJ155" s="21">
        <v>145</v>
      </c>
      <c r="AK155" s="21">
        <v>0.62957799999999997</v>
      </c>
      <c r="AL155">
        <f t="shared" si="30"/>
        <v>18.502716049382713</v>
      </c>
      <c r="AM155">
        <f t="shared" si="31"/>
        <v>11.660189621728392</v>
      </c>
      <c r="AP155" s="9"/>
      <c r="AQ155" s="21">
        <v>1.0899399999999999</v>
      </c>
      <c r="AR155" s="21">
        <v>25.338100000000001</v>
      </c>
      <c r="AS155" s="21">
        <v>-1.48132E-2</v>
      </c>
      <c r="AT155" s="21">
        <v>145</v>
      </c>
      <c r="AU155" s="21">
        <v>1.08917</v>
      </c>
      <c r="AV155">
        <f t="shared" si="32"/>
        <v>18.287901234567901</v>
      </c>
      <c r="AW155">
        <f t="shared" si="33"/>
        <v>19.932715071604935</v>
      </c>
      <c r="AX155" s="9"/>
      <c r="AY155" s="21">
        <v>0.63018799999999997</v>
      </c>
      <c r="AZ155" s="21">
        <v>29.197500000000002</v>
      </c>
      <c r="BA155" s="21">
        <v>-1.4993299999999999E-2</v>
      </c>
      <c r="BB155" s="21">
        <v>145</v>
      </c>
      <c r="BC155" s="21">
        <v>0.62960799999999995</v>
      </c>
      <c r="BD155">
        <f t="shared" si="34"/>
        <v>18.510246913580243</v>
      </c>
      <c r="BE155">
        <f t="shared" si="35"/>
        <v>11.664935481975306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1.0849</v>
      </c>
      <c r="H156" s="21">
        <v>6.5486899999999997</v>
      </c>
      <c r="I156" s="21">
        <v>-1.49017E-2</v>
      </c>
      <c r="J156" s="21">
        <v>146</v>
      </c>
      <c r="K156" s="21">
        <v>1.0845899999999999</v>
      </c>
      <c r="L156">
        <f t="shared" si="24"/>
        <v>18.397160493827158</v>
      </c>
      <c r="M156">
        <f t="shared" si="25"/>
        <v>19.959079419753085</v>
      </c>
      <c r="N156" s="9"/>
      <c r="O156" s="21">
        <v>0.63522299999999998</v>
      </c>
      <c r="P156" s="21">
        <v>10.408200000000001</v>
      </c>
      <c r="Q156" s="21">
        <v>-1.4987199999999999E-2</v>
      </c>
      <c r="R156" s="21">
        <v>146</v>
      </c>
      <c r="S156" s="21">
        <v>0.634521</v>
      </c>
      <c r="T156">
        <f t="shared" si="26"/>
        <v>18.502716049382713</v>
      </c>
      <c r="U156">
        <f t="shared" si="27"/>
        <v>11.753350797037035</v>
      </c>
      <c r="X156" s="9"/>
      <c r="Y156" s="21">
        <v>1.0849</v>
      </c>
      <c r="Z156" s="21">
        <v>15.963900000000001</v>
      </c>
      <c r="AA156" s="21">
        <v>-1.48773E-2</v>
      </c>
      <c r="AB156" s="21">
        <v>146</v>
      </c>
      <c r="AC156" s="21">
        <v>1.08429</v>
      </c>
      <c r="AD156">
        <f t="shared" si="28"/>
        <v>18.367037037037036</v>
      </c>
      <c r="AE156">
        <f t="shared" si="29"/>
        <v>19.926398481481481</v>
      </c>
      <c r="AF156" s="9"/>
      <c r="AG156" s="21">
        <v>0.63522299999999998</v>
      </c>
      <c r="AH156" s="21">
        <v>19.823399999999999</v>
      </c>
      <c r="AI156" s="21">
        <v>-1.4981100000000001E-2</v>
      </c>
      <c r="AJ156" s="21">
        <v>146</v>
      </c>
      <c r="AK156" s="21">
        <v>0.63458300000000001</v>
      </c>
      <c r="AL156">
        <f t="shared" si="30"/>
        <v>18.495185185185186</v>
      </c>
      <c r="AM156">
        <f t="shared" si="31"/>
        <v>11.748567018888888</v>
      </c>
      <c r="AP156" s="9"/>
      <c r="AQ156" s="21">
        <v>1.0849</v>
      </c>
      <c r="AR156" s="21">
        <v>25.348099999999999</v>
      </c>
      <c r="AS156" s="21">
        <v>-1.4825400000000001E-2</v>
      </c>
      <c r="AT156" s="21">
        <v>146</v>
      </c>
      <c r="AU156" s="21">
        <v>1.08429</v>
      </c>
      <c r="AV156">
        <f t="shared" si="32"/>
        <v>18.302962962962962</v>
      </c>
      <c r="AW156">
        <f t="shared" si="33"/>
        <v>19.856884518518516</v>
      </c>
      <c r="AX156" s="9"/>
      <c r="AY156" s="21">
        <v>0.63522299999999998</v>
      </c>
      <c r="AZ156" s="21">
        <v>29.207599999999999</v>
      </c>
      <c r="BA156" s="21">
        <v>-1.49841E-2</v>
      </c>
      <c r="BB156" s="21">
        <v>146</v>
      </c>
      <c r="BC156" s="21">
        <v>0.63461299999999998</v>
      </c>
      <c r="BD156">
        <f t="shared" si="34"/>
        <v>18.498888888888889</v>
      </c>
      <c r="BE156">
        <f t="shared" si="35"/>
        <v>11.750919696666665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1.07986</v>
      </c>
      <c r="H157" s="21">
        <v>6.5587600000000004</v>
      </c>
      <c r="I157" s="21">
        <v>-1.4907800000000001E-2</v>
      </c>
      <c r="J157" s="21">
        <v>147</v>
      </c>
      <c r="K157" s="21">
        <v>1.0784899999999999</v>
      </c>
      <c r="L157">
        <f t="shared" si="24"/>
        <v>18.404691358024692</v>
      </c>
      <c r="M157">
        <f t="shared" si="25"/>
        <v>19.874490009876546</v>
      </c>
      <c r="N157" s="9"/>
      <c r="O157" s="21">
        <v>0.64025900000000002</v>
      </c>
      <c r="P157" s="21">
        <v>10.418200000000001</v>
      </c>
      <c r="Q157" s="21">
        <v>-1.49841E-2</v>
      </c>
      <c r="R157" s="21">
        <v>147</v>
      </c>
      <c r="S157" s="21">
        <v>0.63964799999999999</v>
      </c>
      <c r="T157">
        <f t="shared" si="26"/>
        <v>18.498888888888889</v>
      </c>
      <c r="U157">
        <f t="shared" si="27"/>
        <v>11.844080101111111</v>
      </c>
      <c r="X157" s="9"/>
      <c r="Y157" s="21">
        <v>1.07986</v>
      </c>
      <c r="Z157" s="21">
        <v>15.974</v>
      </c>
      <c r="AA157" s="21">
        <v>-1.48865E-2</v>
      </c>
      <c r="AB157" s="21">
        <v>147</v>
      </c>
      <c r="AC157" s="21">
        <v>1.0788</v>
      </c>
      <c r="AD157">
        <f t="shared" si="28"/>
        <v>18.378395061728394</v>
      </c>
      <c r="AE157">
        <f t="shared" si="29"/>
        <v>19.846093691358025</v>
      </c>
      <c r="AF157" s="9"/>
      <c r="AG157" s="21">
        <v>0.64025900000000002</v>
      </c>
      <c r="AH157" s="21">
        <v>19.833400000000001</v>
      </c>
      <c r="AI157" s="21">
        <v>-1.4981100000000001E-2</v>
      </c>
      <c r="AJ157" s="21">
        <v>147</v>
      </c>
      <c r="AK157" s="21">
        <v>0.63964799999999999</v>
      </c>
      <c r="AL157">
        <f t="shared" si="30"/>
        <v>18.495185185185186</v>
      </c>
      <c r="AM157">
        <f t="shared" si="31"/>
        <v>11.841708771481482</v>
      </c>
      <c r="AP157" s="9"/>
      <c r="AQ157" s="21">
        <v>1.07986</v>
      </c>
      <c r="AR157" s="21">
        <v>25.3582</v>
      </c>
      <c r="AS157" s="21">
        <v>-1.48346E-2</v>
      </c>
      <c r="AT157" s="21">
        <v>147</v>
      </c>
      <c r="AU157" s="21">
        <v>1.0788</v>
      </c>
      <c r="AV157">
        <f t="shared" si="32"/>
        <v>18.31432098765432</v>
      </c>
      <c r="AW157">
        <f t="shared" si="33"/>
        <v>19.776902661728393</v>
      </c>
      <c r="AX157" s="9"/>
      <c r="AY157" s="21">
        <v>0.64025900000000002</v>
      </c>
      <c r="AZ157" s="21">
        <v>29.217700000000001</v>
      </c>
      <c r="BA157" s="21">
        <v>-1.4978E-2</v>
      </c>
      <c r="BB157" s="21">
        <v>147</v>
      </c>
      <c r="BC157" s="21">
        <v>0.63964799999999999</v>
      </c>
      <c r="BD157">
        <f t="shared" si="34"/>
        <v>18.491358024691355</v>
      </c>
      <c r="BE157">
        <f t="shared" si="35"/>
        <v>11.839258397530863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1.07483</v>
      </c>
      <c r="H158" s="21">
        <v>6.5688300000000002</v>
      </c>
      <c r="I158" s="21">
        <v>-1.4907800000000001E-2</v>
      </c>
      <c r="J158" s="21">
        <v>148</v>
      </c>
      <c r="K158" s="21">
        <v>1.07361</v>
      </c>
      <c r="L158">
        <f t="shared" si="24"/>
        <v>18.404691358024692</v>
      </c>
      <c r="M158">
        <f t="shared" si="25"/>
        <v>19.781914412345678</v>
      </c>
      <c r="N158" s="9"/>
      <c r="O158" s="21">
        <v>0.64529400000000003</v>
      </c>
      <c r="P158" s="21">
        <v>10.4283</v>
      </c>
      <c r="Q158" s="21">
        <v>-1.49841E-2</v>
      </c>
      <c r="R158" s="21">
        <v>148</v>
      </c>
      <c r="S158" s="21">
        <v>0.64471400000000001</v>
      </c>
      <c r="T158">
        <f t="shared" si="26"/>
        <v>18.498888888888889</v>
      </c>
      <c r="U158">
        <f t="shared" si="27"/>
        <v>11.937222006666667</v>
      </c>
      <c r="X158" s="9"/>
      <c r="Y158" s="21">
        <v>1.07483</v>
      </c>
      <c r="Z158" s="21">
        <v>15.984</v>
      </c>
      <c r="AA158" s="21">
        <v>-1.48895E-2</v>
      </c>
      <c r="AB158" s="21">
        <v>148</v>
      </c>
      <c r="AC158" s="21">
        <v>1.073</v>
      </c>
      <c r="AD158">
        <f t="shared" si="28"/>
        <v>18.382098765432101</v>
      </c>
      <c r="AE158">
        <f t="shared" si="29"/>
        <v>19.757631216049383</v>
      </c>
      <c r="AF158" s="9"/>
      <c r="AG158" s="21">
        <v>0.64529400000000003</v>
      </c>
      <c r="AH158" s="21">
        <v>19.843499999999999</v>
      </c>
      <c r="AI158" s="21">
        <v>-1.49841E-2</v>
      </c>
      <c r="AJ158" s="21">
        <v>148</v>
      </c>
      <c r="AK158" s="21">
        <v>0.64462299999999995</v>
      </c>
      <c r="AL158">
        <f t="shared" si="30"/>
        <v>18.498888888888889</v>
      </c>
      <c r="AM158">
        <f t="shared" si="31"/>
        <v>11.937222006666667</v>
      </c>
      <c r="AP158" s="9"/>
      <c r="AQ158" s="21">
        <v>1.07483</v>
      </c>
      <c r="AR158" s="21">
        <v>25.368300000000001</v>
      </c>
      <c r="AS158" s="21">
        <v>-1.4837599999999999E-2</v>
      </c>
      <c r="AT158" s="21">
        <v>148</v>
      </c>
      <c r="AU158" s="21">
        <v>1.07422</v>
      </c>
      <c r="AV158">
        <f t="shared" si="32"/>
        <v>18.318024691358023</v>
      </c>
      <c r="AW158">
        <f t="shared" si="33"/>
        <v>19.688762479012343</v>
      </c>
      <c r="AX158" s="9"/>
      <c r="AY158" s="21">
        <v>0.64529400000000003</v>
      </c>
      <c r="AZ158" s="21">
        <v>29.227799999999998</v>
      </c>
      <c r="BA158" s="21">
        <v>-1.4975E-2</v>
      </c>
      <c r="BB158" s="21">
        <v>148</v>
      </c>
      <c r="BC158" s="21">
        <v>0.64474500000000001</v>
      </c>
      <c r="BD158">
        <f t="shared" si="34"/>
        <v>18.487654320987652</v>
      </c>
      <c r="BE158">
        <f t="shared" si="35"/>
        <v>11.929972407407407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1.06979</v>
      </c>
      <c r="H159" s="21">
        <v>6.5789</v>
      </c>
      <c r="I159" s="21">
        <v>-1.4917E-2</v>
      </c>
      <c r="J159" s="21">
        <v>149</v>
      </c>
      <c r="K159" s="21">
        <v>1.06873</v>
      </c>
      <c r="L159">
        <f t="shared" si="24"/>
        <v>18.416049382716047</v>
      </c>
      <c r="M159">
        <f t="shared" si="25"/>
        <v>19.7013054691358</v>
      </c>
      <c r="N159" s="9"/>
      <c r="O159" s="21">
        <v>0.65032999999999996</v>
      </c>
      <c r="P159" s="21">
        <v>10.4384</v>
      </c>
      <c r="Q159" s="21">
        <v>-1.49719E-2</v>
      </c>
      <c r="R159" s="21">
        <v>149</v>
      </c>
      <c r="S159" s="21">
        <v>0.64978000000000002</v>
      </c>
      <c r="T159">
        <f t="shared" si="26"/>
        <v>18.483827160493824</v>
      </c>
      <c r="U159">
        <f t="shared" si="27"/>
        <v>12.020587317283947</v>
      </c>
      <c r="X159" s="9"/>
      <c r="Y159" s="21">
        <v>1.06979</v>
      </c>
      <c r="Z159" s="21">
        <v>15.9941</v>
      </c>
      <c r="AA159" s="21">
        <v>-1.48895E-2</v>
      </c>
      <c r="AB159" s="21">
        <v>149</v>
      </c>
      <c r="AC159" s="21">
        <v>1.0696399999999999</v>
      </c>
      <c r="AD159">
        <f t="shared" si="28"/>
        <v>18.382098765432101</v>
      </c>
      <c r="AE159">
        <f t="shared" si="29"/>
        <v>19.664985438271607</v>
      </c>
      <c r="AF159" s="9"/>
      <c r="AG159" s="21">
        <v>0.65032999999999996</v>
      </c>
      <c r="AH159" s="21">
        <v>19.8536</v>
      </c>
      <c r="AI159" s="21">
        <v>-1.49902E-2</v>
      </c>
      <c r="AJ159" s="21">
        <v>149</v>
      </c>
      <c r="AK159" s="21">
        <v>0.64962799999999998</v>
      </c>
      <c r="AL159">
        <f t="shared" si="30"/>
        <v>18.506419753086419</v>
      </c>
      <c r="AM159">
        <f t="shared" si="31"/>
        <v>12.03527995802469</v>
      </c>
      <c r="AP159" s="9"/>
      <c r="AQ159" s="21">
        <v>1.06979</v>
      </c>
      <c r="AR159" s="21">
        <v>25.378299999999999</v>
      </c>
      <c r="AS159" s="21">
        <v>-1.48529E-2</v>
      </c>
      <c r="AT159" s="21">
        <v>149</v>
      </c>
      <c r="AU159" s="21">
        <v>1.06873</v>
      </c>
      <c r="AV159">
        <f t="shared" si="32"/>
        <v>18.336913580246915</v>
      </c>
      <c r="AW159">
        <f t="shared" si="33"/>
        <v>19.616646779012346</v>
      </c>
      <c r="AX159" s="9"/>
      <c r="AY159" s="21">
        <v>0.65032999999999996</v>
      </c>
      <c r="AZ159" s="21">
        <v>29.2378</v>
      </c>
      <c r="BA159" s="21">
        <v>-1.49658E-2</v>
      </c>
      <c r="BB159" s="21">
        <v>149</v>
      </c>
      <c r="BC159" s="21">
        <v>0.64965799999999996</v>
      </c>
      <c r="BD159">
        <f t="shared" si="34"/>
        <v>18.476296296296297</v>
      </c>
      <c r="BE159">
        <f t="shared" si="35"/>
        <v>12.01568977037037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1.0647599999999999</v>
      </c>
      <c r="H160" s="21">
        <v>6.5889699999999998</v>
      </c>
      <c r="I160" s="21">
        <v>-1.49231E-2</v>
      </c>
      <c r="J160" s="21">
        <v>150</v>
      </c>
      <c r="K160" s="21">
        <v>1.0641499999999999</v>
      </c>
      <c r="L160">
        <f t="shared" si="24"/>
        <v>18.423580246913577</v>
      </c>
      <c r="M160">
        <f t="shared" si="25"/>
        <v>19.6166913037037</v>
      </c>
      <c r="N160" s="9"/>
      <c r="O160" s="21">
        <v>0.65536499999999998</v>
      </c>
      <c r="P160" s="21">
        <v>10.448399999999999</v>
      </c>
      <c r="Q160" s="21">
        <v>-1.49689E-2</v>
      </c>
      <c r="R160" s="21">
        <v>150</v>
      </c>
      <c r="S160" s="21">
        <v>0.654694</v>
      </c>
      <c r="T160">
        <f t="shared" si="26"/>
        <v>18.480123456790125</v>
      </c>
      <c r="U160">
        <f t="shared" si="27"/>
        <v>12.11122610925926</v>
      </c>
      <c r="X160" s="9"/>
      <c r="Y160" s="21">
        <v>1.0647599999999999</v>
      </c>
      <c r="Z160" s="21">
        <v>16.004200000000001</v>
      </c>
      <c r="AA160" s="21">
        <v>-1.4892600000000001E-2</v>
      </c>
      <c r="AB160" s="21">
        <v>150</v>
      </c>
      <c r="AC160" s="21">
        <v>1.0632299999999999</v>
      </c>
      <c r="AD160">
        <f t="shared" si="28"/>
        <v>18.385925925925928</v>
      </c>
      <c r="AE160">
        <f t="shared" si="29"/>
        <v>19.576598488888891</v>
      </c>
      <c r="AF160" s="9"/>
      <c r="AG160" s="21">
        <v>0.65536499999999998</v>
      </c>
      <c r="AH160" s="21">
        <v>19.863700000000001</v>
      </c>
      <c r="AI160" s="21">
        <v>-1.4987199999999999E-2</v>
      </c>
      <c r="AJ160" s="21">
        <v>150</v>
      </c>
      <c r="AK160" s="21">
        <v>0.65478499999999995</v>
      </c>
      <c r="AL160">
        <f t="shared" si="30"/>
        <v>18.502716049382713</v>
      </c>
      <c r="AM160">
        <f t="shared" si="31"/>
        <v>12.126032503703701</v>
      </c>
      <c r="AP160" s="9"/>
      <c r="AQ160" s="21">
        <v>1.0647599999999999</v>
      </c>
      <c r="AR160" s="21">
        <v>25.388400000000001</v>
      </c>
      <c r="AS160" s="21">
        <v>-1.4859000000000001E-2</v>
      </c>
      <c r="AT160" s="21">
        <v>150</v>
      </c>
      <c r="AU160" s="21">
        <v>1.0638399999999999</v>
      </c>
      <c r="AV160">
        <f t="shared" si="32"/>
        <v>18.344444444444445</v>
      </c>
      <c r="AW160">
        <f t="shared" si="33"/>
        <v>19.532430666666666</v>
      </c>
      <c r="AX160" s="9"/>
      <c r="AY160" s="21">
        <v>0.65536499999999998</v>
      </c>
      <c r="AZ160" s="21">
        <v>29.247900000000001</v>
      </c>
      <c r="BA160" s="21">
        <v>-1.4959699999999999E-2</v>
      </c>
      <c r="BB160" s="21">
        <v>150</v>
      </c>
      <c r="BC160" s="21">
        <v>0.65472399999999997</v>
      </c>
      <c r="BD160">
        <f t="shared" si="34"/>
        <v>18.468765432098763</v>
      </c>
      <c r="BE160">
        <f t="shared" si="35"/>
        <v>12.103782457407405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1.05972</v>
      </c>
      <c r="H161" s="21">
        <v>6.5990399999999996</v>
      </c>
      <c r="I161" s="21">
        <v>-1.4926099999999999E-2</v>
      </c>
      <c r="J161" s="21">
        <v>151</v>
      </c>
      <c r="K161" s="21">
        <v>1.0586500000000001</v>
      </c>
      <c r="L161">
        <f t="shared" si="24"/>
        <v>18.427283950617284</v>
      </c>
      <c r="M161">
        <f t="shared" si="25"/>
        <v>19.527761348148147</v>
      </c>
      <c r="N161" s="9"/>
      <c r="O161" s="21">
        <v>0.66039999999999999</v>
      </c>
      <c r="P161" s="21">
        <v>10.458500000000001</v>
      </c>
      <c r="Q161" s="21">
        <v>-1.49719E-2</v>
      </c>
      <c r="R161" s="21">
        <v>151</v>
      </c>
      <c r="S161" s="21">
        <v>0.65963700000000003</v>
      </c>
      <c r="T161">
        <f t="shared" si="26"/>
        <v>18.483827160493824</v>
      </c>
      <c r="U161">
        <f t="shared" si="27"/>
        <v>12.206719456790122</v>
      </c>
      <c r="X161" s="9"/>
      <c r="Y161" s="21">
        <v>1.05972</v>
      </c>
      <c r="Z161" s="21">
        <v>16.014299999999999</v>
      </c>
      <c r="AA161" s="21">
        <v>-1.49017E-2</v>
      </c>
      <c r="AB161" s="21">
        <v>151</v>
      </c>
      <c r="AC161" s="21">
        <v>1.0589599999999999</v>
      </c>
      <c r="AD161">
        <f t="shared" si="28"/>
        <v>18.397160493827158</v>
      </c>
      <c r="AE161">
        <f t="shared" si="29"/>
        <v>19.495838918518515</v>
      </c>
      <c r="AF161" s="9"/>
      <c r="AG161" s="21">
        <v>0.66039999999999999</v>
      </c>
      <c r="AH161" s="21">
        <v>19.873699999999999</v>
      </c>
      <c r="AI161" s="21">
        <v>-1.4987199999999999E-2</v>
      </c>
      <c r="AJ161" s="21">
        <v>151</v>
      </c>
      <c r="AK161" s="21">
        <v>0.65978999999999999</v>
      </c>
      <c r="AL161">
        <f t="shared" si="30"/>
        <v>18.502716049382713</v>
      </c>
      <c r="AM161">
        <f t="shared" si="31"/>
        <v>12.219193679012344</v>
      </c>
      <c r="AP161" s="9"/>
      <c r="AQ161" s="21">
        <v>1.05972</v>
      </c>
      <c r="AR161" s="21">
        <v>25.398499999999999</v>
      </c>
      <c r="AS161" s="21">
        <v>-1.4849899999999999E-2</v>
      </c>
      <c r="AT161" s="21">
        <v>151</v>
      </c>
      <c r="AU161" s="21">
        <v>1.0589599999999999</v>
      </c>
      <c r="AV161">
        <f t="shared" si="32"/>
        <v>18.333209876543208</v>
      </c>
      <c r="AW161">
        <f t="shared" si="33"/>
        <v>19.428069170370367</v>
      </c>
      <c r="AX161" s="9"/>
      <c r="AY161" s="21">
        <v>0.66039999999999999</v>
      </c>
      <c r="AZ161" s="21">
        <v>29.257999999999999</v>
      </c>
      <c r="BA161" s="21">
        <v>-1.4944499999999999E-2</v>
      </c>
      <c r="BB161" s="21">
        <v>151</v>
      </c>
      <c r="BC161" s="21">
        <v>0.65972900000000001</v>
      </c>
      <c r="BD161">
        <f t="shared" si="34"/>
        <v>18.45</v>
      </c>
      <c r="BE161">
        <f t="shared" si="35"/>
        <v>12.184379999999999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1.0546899999999999</v>
      </c>
      <c r="H162" s="21">
        <v>6.6091100000000003</v>
      </c>
      <c r="I162" s="21">
        <v>-1.4932300000000001E-2</v>
      </c>
      <c r="J162" s="21">
        <v>152</v>
      </c>
      <c r="K162" s="21">
        <v>1.0537700000000001</v>
      </c>
      <c r="L162">
        <f t="shared" si="24"/>
        <v>18.434938271604938</v>
      </c>
      <c r="M162">
        <f t="shared" si="25"/>
        <v>19.44314504567901</v>
      </c>
      <c r="N162" s="9"/>
      <c r="O162" s="21">
        <v>0.66543600000000003</v>
      </c>
      <c r="P162" s="21">
        <v>10.4686</v>
      </c>
      <c r="Q162" s="21">
        <v>-1.4975E-2</v>
      </c>
      <c r="R162" s="21">
        <v>152</v>
      </c>
      <c r="S162" s="21">
        <v>0.66476400000000002</v>
      </c>
      <c r="T162">
        <f t="shared" si="26"/>
        <v>18.487654320987652</v>
      </c>
      <c r="U162">
        <f t="shared" si="27"/>
        <v>12.302350740740739</v>
      </c>
      <c r="X162" s="9"/>
      <c r="Y162" s="21">
        <v>1.0546899999999999</v>
      </c>
      <c r="Z162" s="21">
        <v>16.0243</v>
      </c>
      <c r="AA162" s="21">
        <v>-1.4907800000000001E-2</v>
      </c>
      <c r="AB162" s="21">
        <v>152</v>
      </c>
      <c r="AC162" s="21">
        <v>1.0540799999999999</v>
      </c>
      <c r="AD162">
        <f t="shared" si="28"/>
        <v>18.404691358024692</v>
      </c>
      <c r="AE162">
        <f t="shared" si="29"/>
        <v>19.411243928395059</v>
      </c>
      <c r="AF162" s="9"/>
      <c r="AG162" s="21">
        <v>0.66543600000000003</v>
      </c>
      <c r="AH162" s="21">
        <v>19.883800000000001</v>
      </c>
      <c r="AI162" s="21">
        <v>-1.4975E-2</v>
      </c>
      <c r="AJ162" s="21">
        <v>152</v>
      </c>
      <c r="AK162" s="21">
        <v>0.664856</v>
      </c>
      <c r="AL162">
        <f t="shared" si="30"/>
        <v>18.487654320987652</v>
      </c>
      <c r="AM162">
        <f t="shared" si="31"/>
        <v>12.302350740740739</v>
      </c>
      <c r="AP162" s="9"/>
      <c r="AQ162" s="21">
        <v>1.0546899999999999</v>
      </c>
      <c r="AR162" s="21">
        <v>25.4086</v>
      </c>
      <c r="AS162" s="21">
        <v>-1.48529E-2</v>
      </c>
      <c r="AT162" s="21">
        <v>152</v>
      </c>
      <c r="AU162" s="21">
        <v>1.0537700000000001</v>
      </c>
      <c r="AV162">
        <f t="shared" si="32"/>
        <v>18.336913580246915</v>
      </c>
      <c r="AW162">
        <f t="shared" si="33"/>
        <v>19.339759383950618</v>
      </c>
      <c r="AX162" s="9"/>
      <c r="AY162" s="21">
        <v>0.66543600000000003</v>
      </c>
      <c r="AZ162" s="21">
        <v>29.268000000000001</v>
      </c>
      <c r="BA162" s="21">
        <v>-1.4926099999999999E-2</v>
      </c>
      <c r="BB162" s="21">
        <v>152</v>
      </c>
      <c r="BC162" s="21">
        <v>0.66461199999999998</v>
      </c>
      <c r="BD162">
        <f t="shared" si="34"/>
        <v>18.427283950617284</v>
      </c>
      <c r="BE162">
        <f t="shared" si="35"/>
        <v>12.262178122962963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1.04965</v>
      </c>
      <c r="H163" s="21">
        <v>6.6191899999999997</v>
      </c>
      <c r="I163" s="21">
        <v>-1.49353E-2</v>
      </c>
      <c r="J163" s="21">
        <v>153</v>
      </c>
      <c r="K163" s="21">
        <v>1.0485800000000001</v>
      </c>
      <c r="L163">
        <f t="shared" si="24"/>
        <v>18.438641975308641</v>
      </c>
      <c r="M163">
        <f t="shared" si="25"/>
        <v>19.354120549382714</v>
      </c>
      <c r="N163" s="9"/>
      <c r="O163" s="21">
        <v>0.67047100000000004</v>
      </c>
      <c r="P163" s="21">
        <v>10.4787</v>
      </c>
      <c r="Q163" s="21">
        <v>-1.4975E-2</v>
      </c>
      <c r="R163" s="21">
        <v>153</v>
      </c>
      <c r="S163" s="21">
        <v>0.66983000000000004</v>
      </c>
      <c r="T163">
        <f t="shared" si="26"/>
        <v>18.487654320987652</v>
      </c>
      <c r="U163">
        <f t="shared" si="27"/>
        <v>12.395436080246913</v>
      </c>
      <c r="X163" s="9"/>
      <c r="Y163" s="21">
        <v>1.04965</v>
      </c>
      <c r="Z163" s="21">
        <v>16.034400000000002</v>
      </c>
      <c r="AA163" s="21">
        <v>-1.4907800000000001E-2</v>
      </c>
      <c r="AB163" s="21">
        <v>153</v>
      </c>
      <c r="AC163" s="21">
        <v>1.0488900000000001</v>
      </c>
      <c r="AD163">
        <f t="shared" si="28"/>
        <v>18.404691358024692</v>
      </c>
      <c r="AE163">
        <f t="shared" si="29"/>
        <v>19.318484283950617</v>
      </c>
      <c r="AF163" s="9"/>
      <c r="AG163" s="21">
        <v>0.67047100000000004</v>
      </c>
      <c r="AH163" s="21">
        <v>19.893899999999999</v>
      </c>
      <c r="AI163" s="21">
        <v>-1.49689E-2</v>
      </c>
      <c r="AJ163" s="21">
        <v>153</v>
      </c>
      <c r="AK163" s="21">
        <v>0.66979999999999995</v>
      </c>
      <c r="AL163">
        <f t="shared" si="30"/>
        <v>18.480123456790125</v>
      </c>
      <c r="AM163">
        <f t="shared" si="31"/>
        <v>12.390386854197532</v>
      </c>
      <c r="AP163" s="9"/>
      <c r="AQ163" s="21">
        <v>1.04965</v>
      </c>
      <c r="AR163" s="21">
        <v>25.418600000000001</v>
      </c>
      <c r="AS163" s="21">
        <v>-1.4849899999999999E-2</v>
      </c>
      <c r="AT163" s="21">
        <v>153</v>
      </c>
      <c r="AU163" s="21">
        <v>1.0482800000000001</v>
      </c>
      <c r="AV163">
        <f t="shared" si="32"/>
        <v>18.333209876543208</v>
      </c>
      <c r="AW163">
        <f t="shared" si="33"/>
        <v>19.243453746913577</v>
      </c>
      <c r="AX163" s="9"/>
      <c r="AY163" s="21">
        <v>0.67047100000000004</v>
      </c>
      <c r="AZ163" s="21">
        <v>29.278099999999998</v>
      </c>
      <c r="BA163" s="21">
        <v>-1.4932300000000001E-2</v>
      </c>
      <c r="BB163" s="21">
        <v>153</v>
      </c>
      <c r="BC163" s="21">
        <v>0.66983000000000004</v>
      </c>
      <c r="BD163">
        <f t="shared" si="34"/>
        <v>18.434938271604938</v>
      </c>
      <c r="BE163">
        <f t="shared" si="35"/>
        <v>12.360091497901236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1.0446200000000001</v>
      </c>
      <c r="H164" s="21">
        <v>6.6292600000000004</v>
      </c>
      <c r="I164" s="21">
        <v>-1.4938399999999999E-2</v>
      </c>
      <c r="J164" s="21">
        <v>154</v>
      </c>
      <c r="K164" s="21">
        <v>1.0437000000000001</v>
      </c>
      <c r="L164">
        <f t="shared" si="24"/>
        <v>18.442469135802465</v>
      </c>
      <c r="M164">
        <f t="shared" si="25"/>
        <v>19.265372108641973</v>
      </c>
      <c r="N164" s="9"/>
      <c r="O164" s="21">
        <v>0.67550699999999997</v>
      </c>
      <c r="P164" s="21">
        <v>10.4887</v>
      </c>
      <c r="Q164" s="21">
        <v>-1.4978E-2</v>
      </c>
      <c r="R164" s="21">
        <v>154</v>
      </c>
      <c r="S164" s="21">
        <v>0.67486599999999997</v>
      </c>
      <c r="T164">
        <f t="shared" si="26"/>
        <v>18.491358024691355</v>
      </c>
      <c r="U164">
        <f t="shared" si="27"/>
        <v>12.491041785185182</v>
      </c>
      <c r="X164" s="9"/>
      <c r="Y164" s="21">
        <v>1.0446200000000001</v>
      </c>
      <c r="Z164" s="21">
        <v>16.044499999999999</v>
      </c>
      <c r="AA164" s="21">
        <v>-1.49109E-2</v>
      </c>
      <c r="AB164" s="21">
        <v>154</v>
      </c>
      <c r="AC164" s="21">
        <v>1.0440100000000001</v>
      </c>
      <c r="AD164">
        <f t="shared" si="28"/>
        <v>18.408518518518516</v>
      </c>
      <c r="AE164">
        <f t="shared" si="29"/>
        <v>19.229906614814816</v>
      </c>
      <c r="AF164" s="9"/>
      <c r="AG164" s="21">
        <v>0.67550699999999997</v>
      </c>
      <c r="AH164" s="21">
        <v>19.9039</v>
      </c>
      <c r="AI164" s="21">
        <v>-1.4975E-2</v>
      </c>
      <c r="AJ164" s="21">
        <v>154</v>
      </c>
      <c r="AK164" s="21">
        <v>0.67489600000000005</v>
      </c>
      <c r="AL164">
        <f t="shared" si="30"/>
        <v>18.487654320987652</v>
      </c>
      <c r="AM164">
        <f t="shared" si="31"/>
        <v>12.488539907407405</v>
      </c>
      <c r="AP164" s="9"/>
      <c r="AQ164" s="21">
        <v>1.0446200000000001</v>
      </c>
      <c r="AR164" s="21">
        <v>25.428699999999999</v>
      </c>
      <c r="AS164" s="21">
        <v>-1.4855999999999999E-2</v>
      </c>
      <c r="AT164" s="21">
        <v>154</v>
      </c>
      <c r="AU164" s="21">
        <v>1.0434000000000001</v>
      </c>
      <c r="AV164">
        <f t="shared" si="32"/>
        <v>18.340740740740738</v>
      </c>
      <c r="AW164">
        <f t="shared" si="33"/>
        <v>19.159104592592591</v>
      </c>
      <c r="AX164" s="9"/>
      <c r="AY164" s="21">
        <v>0.67550699999999997</v>
      </c>
      <c r="AZ164" s="21">
        <v>29.2882</v>
      </c>
      <c r="BA164" s="21">
        <v>-1.4938399999999999E-2</v>
      </c>
      <c r="BB164" s="21">
        <v>154</v>
      </c>
      <c r="BC164" s="21">
        <v>0.67495700000000003</v>
      </c>
      <c r="BD164">
        <f t="shared" si="34"/>
        <v>18.442469135802465</v>
      </c>
      <c r="BE164">
        <f t="shared" si="35"/>
        <v>12.458016998518515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1.0395799999999999</v>
      </c>
      <c r="H165" s="21">
        <v>6.6393300000000002</v>
      </c>
      <c r="I165" s="21">
        <v>-1.4932300000000001E-2</v>
      </c>
      <c r="J165" s="21">
        <v>155</v>
      </c>
      <c r="K165" s="21">
        <v>1.0382100000000001</v>
      </c>
      <c r="L165">
        <f t="shared" si="24"/>
        <v>18.434938271604938</v>
      </c>
      <c r="M165">
        <f t="shared" si="25"/>
        <v>19.164593128395062</v>
      </c>
      <c r="N165" s="9"/>
      <c r="O165" s="21">
        <v>0.68054199999999998</v>
      </c>
      <c r="P165" s="21">
        <v>10.498799999999999</v>
      </c>
      <c r="Q165" s="21">
        <v>-1.49841E-2</v>
      </c>
      <c r="R165" s="21">
        <v>155</v>
      </c>
      <c r="S165" s="21">
        <v>0.67996199999999996</v>
      </c>
      <c r="T165">
        <f t="shared" si="26"/>
        <v>18.498888888888889</v>
      </c>
      <c r="U165">
        <f t="shared" si="27"/>
        <v>12.589270842222222</v>
      </c>
      <c r="X165" s="9"/>
      <c r="Y165" s="21">
        <v>1.0395799999999999</v>
      </c>
      <c r="Z165" s="21">
        <v>16.054500000000001</v>
      </c>
      <c r="AA165" s="21">
        <v>-1.4917E-2</v>
      </c>
      <c r="AB165" s="21">
        <v>155</v>
      </c>
      <c r="AC165" s="21">
        <v>1.0388200000000001</v>
      </c>
      <c r="AD165">
        <f t="shared" si="28"/>
        <v>18.416049382716047</v>
      </c>
      <c r="AE165">
        <f t="shared" si="29"/>
        <v>19.144956617283945</v>
      </c>
      <c r="AF165" s="9"/>
      <c r="AG165" s="21">
        <v>0.68054199999999998</v>
      </c>
      <c r="AH165" s="21">
        <v>19.914000000000001</v>
      </c>
      <c r="AI165" s="21">
        <v>-1.49841E-2</v>
      </c>
      <c r="AJ165" s="21">
        <v>155</v>
      </c>
      <c r="AK165" s="21">
        <v>0.67990099999999998</v>
      </c>
      <c r="AL165">
        <f t="shared" si="30"/>
        <v>18.498888888888889</v>
      </c>
      <c r="AM165">
        <f t="shared" si="31"/>
        <v>12.589270842222222</v>
      </c>
      <c r="AP165" s="9"/>
      <c r="AQ165" s="21">
        <v>1.0395799999999999</v>
      </c>
      <c r="AR165" s="21">
        <v>25.438800000000001</v>
      </c>
      <c r="AS165" s="21">
        <v>-1.48621E-2</v>
      </c>
      <c r="AT165" s="21">
        <v>155</v>
      </c>
      <c r="AU165" s="21">
        <v>1.03851</v>
      </c>
      <c r="AV165">
        <f t="shared" si="32"/>
        <v>18.348271604938269</v>
      </c>
      <c r="AW165">
        <f t="shared" si="33"/>
        <v>19.074496195061723</v>
      </c>
      <c r="AX165" s="9"/>
      <c r="AY165" s="21">
        <v>0.68054199999999998</v>
      </c>
      <c r="AZ165" s="21">
        <v>29.298200000000001</v>
      </c>
      <c r="BA165" s="21">
        <v>-1.49506E-2</v>
      </c>
      <c r="BB165" s="21">
        <v>155</v>
      </c>
      <c r="BC165" s="21">
        <v>0.679871</v>
      </c>
      <c r="BD165">
        <f t="shared" si="34"/>
        <v>18.45753086419753</v>
      </c>
      <c r="BE165">
        <f t="shared" si="35"/>
        <v>12.561124969382714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1.0345500000000001</v>
      </c>
      <c r="H166" s="21">
        <v>6.6494</v>
      </c>
      <c r="I166" s="21">
        <v>-1.49353E-2</v>
      </c>
      <c r="J166" s="21">
        <v>156</v>
      </c>
      <c r="K166" s="21">
        <v>1.0333300000000001</v>
      </c>
      <c r="L166">
        <f t="shared" si="24"/>
        <v>18.438641975308641</v>
      </c>
      <c r="M166">
        <f t="shared" si="25"/>
        <v>19.075697055555558</v>
      </c>
      <c r="N166" s="9"/>
      <c r="O166" s="21">
        <v>0.68557699999999999</v>
      </c>
      <c r="P166" s="21">
        <v>10.508900000000001</v>
      </c>
      <c r="Q166" s="21">
        <v>-1.4996300000000001E-2</v>
      </c>
      <c r="R166" s="21">
        <v>156</v>
      </c>
      <c r="S166" s="21">
        <v>0.68490600000000001</v>
      </c>
      <c r="T166">
        <f t="shared" si="26"/>
        <v>18.51395061728395</v>
      </c>
      <c r="U166">
        <f t="shared" si="27"/>
        <v>12.692738722345679</v>
      </c>
      <c r="X166" s="9"/>
      <c r="Y166" s="21">
        <v>1.0345500000000001</v>
      </c>
      <c r="Z166" s="21">
        <v>16.064599999999999</v>
      </c>
      <c r="AA166" s="21">
        <v>-1.4919999999999999E-2</v>
      </c>
      <c r="AB166" s="21">
        <v>156</v>
      </c>
      <c r="AC166" s="21">
        <v>1.03363</v>
      </c>
      <c r="AD166">
        <f t="shared" si="28"/>
        <v>18.41975308641975</v>
      </c>
      <c r="AE166">
        <f t="shared" si="29"/>
        <v>19.056155555555552</v>
      </c>
      <c r="AF166" s="9"/>
      <c r="AG166" s="21">
        <v>0.68557699999999999</v>
      </c>
      <c r="AH166" s="21">
        <v>19.924099999999999</v>
      </c>
      <c r="AI166" s="21">
        <v>-1.5002400000000001E-2</v>
      </c>
      <c r="AJ166" s="21">
        <v>156</v>
      </c>
      <c r="AK166" s="21">
        <v>0.68493700000000002</v>
      </c>
      <c r="AL166">
        <f t="shared" si="30"/>
        <v>18.521481481481484</v>
      </c>
      <c r="AM166">
        <f t="shared" si="31"/>
        <v>12.697901709629631</v>
      </c>
      <c r="AP166" s="9"/>
      <c r="AQ166" s="21">
        <v>1.0345500000000001</v>
      </c>
      <c r="AR166" s="21">
        <v>25.448799999999999</v>
      </c>
      <c r="AS166" s="21">
        <v>-1.48621E-2</v>
      </c>
      <c r="AT166" s="21">
        <v>156</v>
      </c>
      <c r="AU166" s="21">
        <v>1.03363</v>
      </c>
      <c r="AV166">
        <f t="shared" si="32"/>
        <v>18.348271604938269</v>
      </c>
      <c r="AW166">
        <f t="shared" si="33"/>
        <v>18.982204388888889</v>
      </c>
      <c r="AX166" s="9"/>
      <c r="AY166" s="21">
        <v>0.68557699999999999</v>
      </c>
      <c r="AZ166" s="21">
        <v>29.308299999999999</v>
      </c>
      <c r="BA166" s="21">
        <v>-1.4947500000000001E-2</v>
      </c>
      <c r="BB166" s="21">
        <v>156</v>
      </c>
      <c r="BC166" s="21">
        <v>0.68490600000000001</v>
      </c>
      <c r="BD166">
        <f t="shared" si="34"/>
        <v>18.453703703703706</v>
      </c>
      <c r="BE166">
        <f t="shared" si="35"/>
        <v>12.651434824074075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1.0295099999999999</v>
      </c>
      <c r="H167" s="21">
        <v>6.6594699999999998</v>
      </c>
      <c r="I167" s="21">
        <v>-1.4932300000000001E-2</v>
      </c>
      <c r="J167" s="21">
        <v>157</v>
      </c>
      <c r="K167" s="21">
        <v>1.02844</v>
      </c>
      <c r="L167">
        <f t="shared" si="24"/>
        <v>18.434938271604938</v>
      </c>
      <c r="M167">
        <f t="shared" si="25"/>
        <v>18.978953299999997</v>
      </c>
      <c r="N167" s="9"/>
      <c r="O167" s="21">
        <v>0.69061300000000003</v>
      </c>
      <c r="P167" s="21">
        <v>10.5189</v>
      </c>
      <c r="Q167" s="21">
        <v>-1.4996300000000001E-2</v>
      </c>
      <c r="R167" s="21">
        <v>157</v>
      </c>
      <c r="S167" s="21">
        <v>0.69003300000000001</v>
      </c>
      <c r="T167">
        <f t="shared" si="26"/>
        <v>18.51395061728395</v>
      </c>
      <c r="U167">
        <f t="shared" si="27"/>
        <v>12.785974977654321</v>
      </c>
      <c r="X167" s="9"/>
      <c r="Y167" s="21">
        <v>1.0295099999999999</v>
      </c>
      <c r="Z167" s="21">
        <v>16.0747</v>
      </c>
      <c r="AA167" s="21">
        <v>-1.4917E-2</v>
      </c>
      <c r="AB167" s="21">
        <v>157</v>
      </c>
      <c r="AC167" s="21">
        <v>1.0281400000000001</v>
      </c>
      <c r="AD167">
        <f t="shared" si="28"/>
        <v>18.416049382716047</v>
      </c>
      <c r="AE167">
        <f t="shared" si="29"/>
        <v>18.959506999999995</v>
      </c>
      <c r="AF167" s="9"/>
      <c r="AG167" s="21">
        <v>0.69061300000000003</v>
      </c>
      <c r="AH167" s="21">
        <v>19.934200000000001</v>
      </c>
      <c r="AI167" s="21">
        <v>-1.5008499999999999E-2</v>
      </c>
      <c r="AJ167" s="21">
        <v>157</v>
      </c>
      <c r="AK167" s="21">
        <v>0.68997200000000003</v>
      </c>
      <c r="AL167">
        <f t="shared" si="30"/>
        <v>18.529012345679011</v>
      </c>
      <c r="AM167">
        <f t="shared" si="31"/>
        <v>12.796376803086419</v>
      </c>
      <c r="AP167" s="9"/>
      <c r="AQ167" s="21">
        <v>1.0295099999999999</v>
      </c>
      <c r="AR167" s="21">
        <v>25.4589</v>
      </c>
      <c r="AS167" s="21">
        <v>-1.4859000000000001E-2</v>
      </c>
      <c r="AT167" s="21">
        <v>157</v>
      </c>
      <c r="AU167" s="21">
        <v>1.0281400000000001</v>
      </c>
      <c r="AV167">
        <f t="shared" si="32"/>
        <v>18.344444444444445</v>
      </c>
      <c r="AW167">
        <f t="shared" si="33"/>
        <v>18.885788999999999</v>
      </c>
      <c r="AX167" s="9"/>
      <c r="AY167" s="21">
        <v>0.69061300000000003</v>
      </c>
      <c r="AZ167" s="21">
        <v>29.3184</v>
      </c>
      <c r="BA167" s="21">
        <v>-1.49506E-2</v>
      </c>
      <c r="BB167" s="21">
        <v>157</v>
      </c>
      <c r="BC167" s="21">
        <v>0.69009399999999999</v>
      </c>
      <c r="BD167">
        <f t="shared" si="34"/>
        <v>18.45753086419753</v>
      </c>
      <c r="BE167">
        <f t="shared" si="35"/>
        <v>12.74701076271605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1.0244800000000001</v>
      </c>
      <c r="H168" s="21">
        <v>6.6695399999999996</v>
      </c>
      <c r="I168" s="21">
        <v>-1.4932300000000001E-2</v>
      </c>
      <c r="J168" s="21">
        <v>158</v>
      </c>
      <c r="K168" s="21">
        <v>1.02325</v>
      </c>
      <c r="L168">
        <f t="shared" si="24"/>
        <v>18.434938271604938</v>
      </c>
      <c r="M168">
        <f t="shared" si="25"/>
        <v>18.886225560493827</v>
      </c>
      <c r="N168" s="9"/>
      <c r="O168" s="21">
        <v>0.69564800000000004</v>
      </c>
      <c r="P168" s="21">
        <v>10.529</v>
      </c>
      <c r="Q168" s="21">
        <v>-1.4981100000000001E-2</v>
      </c>
      <c r="R168" s="21">
        <v>158</v>
      </c>
      <c r="S168" s="21">
        <v>0.69500700000000004</v>
      </c>
      <c r="T168">
        <f t="shared" si="26"/>
        <v>18.495185185185186</v>
      </c>
      <c r="U168">
        <f t="shared" si="27"/>
        <v>12.866138583703705</v>
      </c>
      <c r="X168" s="9"/>
      <c r="Y168" s="21">
        <v>1.0244800000000001</v>
      </c>
      <c r="Z168" s="21">
        <v>16.084800000000001</v>
      </c>
      <c r="AA168" s="21">
        <v>-1.4917E-2</v>
      </c>
      <c r="AB168" s="21">
        <v>158</v>
      </c>
      <c r="AC168" s="21">
        <v>1.02386</v>
      </c>
      <c r="AD168">
        <f t="shared" si="28"/>
        <v>18.416049382716047</v>
      </c>
      <c r="AE168">
        <f t="shared" si="29"/>
        <v>18.866874271604935</v>
      </c>
      <c r="AF168" s="9"/>
      <c r="AG168" s="21">
        <v>0.69564800000000004</v>
      </c>
      <c r="AH168" s="21">
        <v>19.944199999999999</v>
      </c>
      <c r="AI168" s="21">
        <v>-1.50116E-2</v>
      </c>
      <c r="AJ168" s="21">
        <v>158</v>
      </c>
      <c r="AK168" s="21">
        <v>0.69503800000000004</v>
      </c>
      <c r="AL168">
        <f t="shared" si="30"/>
        <v>18.532839506172838</v>
      </c>
      <c r="AM168">
        <f t="shared" si="31"/>
        <v>12.892332736790124</v>
      </c>
      <c r="AP168" s="9"/>
      <c r="AQ168" s="21">
        <v>1.0244800000000001</v>
      </c>
      <c r="AR168" s="21">
        <v>25.469000000000001</v>
      </c>
      <c r="AS168" s="21">
        <v>-1.48621E-2</v>
      </c>
      <c r="AT168" s="21">
        <v>158</v>
      </c>
      <c r="AU168" s="21">
        <v>1.02356</v>
      </c>
      <c r="AV168">
        <f t="shared" si="32"/>
        <v>18.348271604938269</v>
      </c>
      <c r="AW168">
        <f t="shared" si="33"/>
        <v>18.797437293827159</v>
      </c>
      <c r="AX168" s="9"/>
      <c r="AY168" s="21">
        <v>0.69564800000000004</v>
      </c>
      <c r="AZ168" s="21">
        <v>29.328499999999998</v>
      </c>
      <c r="BA168" s="21">
        <v>-1.49567E-2</v>
      </c>
      <c r="BB168" s="21">
        <v>158</v>
      </c>
      <c r="BC168" s="21">
        <v>0.69491599999999998</v>
      </c>
      <c r="BD168">
        <f t="shared" si="34"/>
        <v>18.46506172839506</v>
      </c>
      <c r="BE168">
        <f t="shared" si="35"/>
        <v>12.845183261234567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1.0194399999999999</v>
      </c>
      <c r="H169" s="21">
        <v>6.6796100000000003</v>
      </c>
      <c r="I169" s="21">
        <v>-1.4938399999999999E-2</v>
      </c>
      <c r="J169" s="21">
        <v>159</v>
      </c>
      <c r="K169" s="21">
        <v>1.01868</v>
      </c>
      <c r="L169">
        <f t="shared" si="24"/>
        <v>18.442469135802465</v>
      </c>
      <c r="M169">
        <f t="shared" si="25"/>
        <v>18.800990735802465</v>
      </c>
      <c r="N169" s="9"/>
      <c r="O169" s="21">
        <v>0.70068399999999997</v>
      </c>
      <c r="P169" s="21">
        <v>10.539099999999999</v>
      </c>
      <c r="Q169" s="21">
        <v>-1.4959699999999999E-2</v>
      </c>
      <c r="R169" s="21">
        <v>159</v>
      </c>
      <c r="S169" s="21">
        <v>0.70007299999999995</v>
      </c>
      <c r="T169">
        <f t="shared" si="26"/>
        <v>18.468765432098763</v>
      </c>
      <c r="U169">
        <f t="shared" si="27"/>
        <v>12.940768438024689</v>
      </c>
      <c r="X169" s="9"/>
      <c r="Y169" s="21">
        <v>1.0194399999999999</v>
      </c>
      <c r="Z169" s="21">
        <v>16.094799999999999</v>
      </c>
      <c r="AA169" s="21">
        <v>-1.4913900000000001E-2</v>
      </c>
      <c r="AB169" s="21">
        <v>159</v>
      </c>
      <c r="AC169" s="21">
        <v>1.01868</v>
      </c>
      <c r="AD169">
        <f t="shared" si="28"/>
        <v>18.412222222222223</v>
      </c>
      <c r="AE169">
        <f t="shared" si="29"/>
        <v>18.770155822222222</v>
      </c>
      <c r="AF169" s="9"/>
      <c r="AG169" s="21">
        <v>0.70068399999999997</v>
      </c>
      <c r="AH169" s="21">
        <v>19.9543</v>
      </c>
      <c r="AI169" s="21">
        <v>-1.5014599999999999E-2</v>
      </c>
      <c r="AJ169" s="21">
        <v>159</v>
      </c>
      <c r="AK169" s="21">
        <v>0.70001199999999997</v>
      </c>
      <c r="AL169">
        <f t="shared" si="30"/>
        <v>18.536543209876541</v>
      </c>
      <c r="AM169">
        <f t="shared" si="31"/>
        <v>12.988259242469134</v>
      </c>
      <c r="AP169" s="9"/>
      <c r="AQ169" s="21">
        <v>1.0194399999999999</v>
      </c>
      <c r="AR169" s="21">
        <v>25.479099999999999</v>
      </c>
      <c r="AS169" s="21">
        <v>-1.48621E-2</v>
      </c>
      <c r="AT169" s="21">
        <v>159</v>
      </c>
      <c r="AU169" s="21">
        <v>1.01837</v>
      </c>
      <c r="AV169">
        <f t="shared" si="32"/>
        <v>18.348271604938269</v>
      </c>
      <c r="AW169">
        <f t="shared" si="33"/>
        <v>18.704962004938267</v>
      </c>
      <c r="AX169" s="9"/>
      <c r="AY169" s="21">
        <v>0.70068399999999997</v>
      </c>
      <c r="AZ169" s="21">
        <v>29.3385</v>
      </c>
      <c r="BA169" s="21">
        <v>-1.4959699999999999E-2</v>
      </c>
      <c r="BB169" s="21">
        <v>159</v>
      </c>
      <c r="BC169" s="21">
        <v>0.69998199999999999</v>
      </c>
      <c r="BD169">
        <f t="shared" si="34"/>
        <v>18.468765432098763</v>
      </c>
      <c r="BE169">
        <f t="shared" si="35"/>
        <v>12.940768438024689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1.0144</v>
      </c>
      <c r="H170" s="21">
        <v>6.6896800000000001</v>
      </c>
      <c r="I170" s="21">
        <v>-1.4938399999999999E-2</v>
      </c>
      <c r="J170" s="21">
        <v>160</v>
      </c>
      <c r="K170" s="21">
        <v>1.01288</v>
      </c>
      <c r="L170">
        <f t="shared" si="24"/>
        <v>18.442469135802465</v>
      </c>
      <c r="M170">
        <f t="shared" si="25"/>
        <v>18.708040691358022</v>
      </c>
      <c r="N170" s="9"/>
      <c r="O170" s="21">
        <v>0.70571899999999999</v>
      </c>
      <c r="P170" s="21">
        <v>10.549200000000001</v>
      </c>
      <c r="Q170" s="21">
        <v>-1.4953599999999999E-2</v>
      </c>
      <c r="R170" s="21">
        <v>160</v>
      </c>
      <c r="S170" s="21">
        <v>0.70507799999999998</v>
      </c>
      <c r="T170">
        <f t="shared" si="26"/>
        <v>18.461234567901233</v>
      </c>
      <c r="U170">
        <f t="shared" si="27"/>
        <v>13.02844399802469</v>
      </c>
      <c r="X170" s="9"/>
      <c r="Y170" s="21">
        <v>1.0144</v>
      </c>
      <c r="Z170" s="21">
        <v>16.104900000000001</v>
      </c>
      <c r="AA170" s="21">
        <v>-1.4913900000000001E-2</v>
      </c>
      <c r="AB170" s="21">
        <v>160</v>
      </c>
      <c r="AC170" s="21">
        <v>1.01318</v>
      </c>
      <c r="AD170">
        <f t="shared" si="28"/>
        <v>18.412222222222223</v>
      </c>
      <c r="AE170">
        <f t="shared" si="29"/>
        <v>18.677358222222221</v>
      </c>
      <c r="AF170" s="9"/>
      <c r="AG170" s="21">
        <v>0.70571899999999999</v>
      </c>
      <c r="AH170" s="21">
        <v>19.964400000000001</v>
      </c>
      <c r="AI170" s="21">
        <v>-1.5008499999999999E-2</v>
      </c>
      <c r="AJ170" s="21">
        <v>160</v>
      </c>
      <c r="AK170" s="21">
        <v>0.70510899999999999</v>
      </c>
      <c r="AL170">
        <f t="shared" si="30"/>
        <v>18.529012345679011</v>
      </c>
      <c r="AM170">
        <f t="shared" si="31"/>
        <v>13.076276063580245</v>
      </c>
      <c r="AP170" s="9"/>
      <c r="AQ170" s="21">
        <v>1.0144</v>
      </c>
      <c r="AR170" s="21">
        <v>25.489100000000001</v>
      </c>
      <c r="AS170" s="21">
        <v>-1.4859000000000001E-2</v>
      </c>
      <c r="AT170" s="21">
        <v>160</v>
      </c>
      <c r="AU170" s="21">
        <v>1.01318</v>
      </c>
      <c r="AV170">
        <f t="shared" si="32"/>
        <v>18.344444444444445</v>
      </c>
      <c r="AW170">
        <f t="shared" si="33"/>
        <v>18.608604444444445</v>
      </c>
      <c r="AX170" s="9"/>
      <c r="AY170" s="21">
        <v>0.70571899999999999</v>
      </c>
      <c r="AZ170" s="21">
        <v>29.348600000000001</v>
      </c>
      <c r="BA170" s="21">
        <v>-1.4953599999999999E-2</v>
      </c>
      <c r="BB170" s="21">
        <v>160</v>
      </c>
      <c r="BC170" s="21">
        <v>0.70510899999999999</v>
      </c>
      <c r="BD170">
        <f t="shared" si="34"/>
        <v>18.461234567901233</v>
      </c>
      <c r="BE170">
        <f t="shared" si="35"/>
        <v>13.02844399802469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1.0093700000000001</v>
      </c>
      <c r="H171" s="21">
        <v>6.6997499999999999</v>
      </c>
      <c r="I171" s="21">
        <v>-1.49353E-2</v>
      </c>
      <c r="J171" s="21">
        <v>161</v>
      </c>
      <c r="K171" s="21">
        <v>1.0083</v>
      </c>
      <c r="L171">
        <f t="shared" si="24"/>
        <v>18.438641975308641</v>
      </c>
      <c r="M171">
        <f t="shared" si="25"/>
        <v>18.611412050617286</v>
      </c>
      <c r="N171" s="9"/>
      <c r="O171" s="21">
        <v>0.710754</v>
      </c>
      <c r="P171" s="21">
        <v>10.559200000000001</v>
      </c>
      <c r="Q171" s="21">
        <v>-1.4947500000000001E-2</v>
      </c>
      <c r="R171" s="21">
        <v>161</v>
      </c>
      <c r="S171" s="21">
        <v>0.71011400000000002</v>
      </c>
      <c r="T171">
        <f t="shared" si="26"/>
        <v>18.453703703703706</v>
      </c>
      <c r="U171">
        <f t="shared" si="27"/>
        <v>13.116043722222225</v>
      </c>
      <c r="X171" s="9"/>
      <c r="Y171" s="21">
        <v>1.0093700000000001</v>
      </c>
      <c r="Z171" s="21">
        <v>16.114999999999998</v>
      </c>
      <c r="AA171" s="21">
        <v>-1.4913900000000001E-2</v>
      </c>
      <c r="AB171" s="21">
        <v>161</v>
      </c>
      <c r="AC171" s="21">
        <v>1.00861</v>
      </c>
      <c r="AD171">
        <f t="shared" si="28"/>
        <v>18.412222222222223</v>
      </c>
      <c r="AE171">
        <f t="shared" si="29"/>
        <v>18.584744744444446</v>
      </c>
      <c r="AF171" s="9"/>
      <c r="AG171" s="21">
        <v>0.710754</v>
      </c>
      <c r="AH171" s="21">
        <v>19.974399999999999</v>
      </c>
      <c r="AI171" s="21">
        <v>-1.50177E-2</v>
      </c>
      <c r="AJ171" s="21">
        <v>161</v>
      </c>
      <c r="AK171" s="21">
        <v>0.71011400000000002</v>
      </c>
      <c r="AL171">
        <f t="shared" si="30"/>
        <v>18.540370370370372</v>
      </c>
      <c r="AM171">
        <f t="shared" si="31"/>
        <v>13.177642402222224</v>
      </c>
      <c r="AP171" s="9"/>
      <c r="AQ171" s="21">
        <v>1.0093700000000001</v>
      </c>
      <c r="AR171" s="21">
        <v>25.499199999999998</v>
      </c>
      <c r="AS171" s="21">
        <v>-1.48621E-2</v>
      </c>
      <c r="AT171" s="21">
        <v>161</v>
      </c>
      <c r="AU171" s="21">
        <v>1.0083</v>
      </c>
      <c r="AV171">
        <f t="shared" si="32"/>
        <v>18.348271604938269</v>
      </c>
      <c r="AW171">
        <f t="shared" si="33"/>
        <v>18.520194909876544</v>
      </c>
      <c r="AX171" s="9"/>
      <c r="AY171" s="21">
        <v>0.710754</v>
      </c>
      <c r="AZ171" s="21">
        <v>29.358699999999999</v>
      </c>
      <c r="BA171" s="21">
        <v>-1.4959699999999999E-2</v>
      </c>
      <c r="BB171" s="21">
        <v>161</v>
      </c>
      <c r="BC171" s="21">
        <v>0.710144</v>
      </c>
      <c r="BD171">
        <f t="shared" si="34"/>
        <v>18.468765432098763</v>
      </c>
      <c r="BE171">
        <f t="shared" si="35"/>
        <v>13.126748905925924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1.0043299999999999</v>
      </c>
      <c r="H172" s="21">
        <v>6.7098199999999997</v>
      </c>
      <c r="I172" s="21">
        <v>-1.4944499999999999E-2</v>
      </c>
      <c r="J172" s="21">
        <v>162</v>
      </c>
      <c r="K172" s="21">
        <v>1.0031099999999999</v>
      </c>
      <c r="L172">
        <f t="shared" si="24"/>
        <v>18.45</v>
      </c>
      <c r="M172">
        <f t="shared" si="25"/>
        <v>18.529888499999998</v>
      </c>
      <c r="N172" s="9"/>
      <c r="O172" s="21">
        <v>0.71579000000000004</v>
      </c>
      <c r="P172" s="21">
        <v>10.5693</v>
      </c>
      <c r="Q172" s="21">
        <v>-1.4944499999999999E-2</v>
      </c>
      <c r="R172" s="21">
        <v>162</v>
      </c>
      <c r="S172" s="21">
        <v>0.71511800000000003</v>
      </c>
      <c r="T172">
        <f t="shared" si="26"/>
        <v>18.45</v>
      </c>
      <c r="U172">
        <f t="shared" si="27"/>
        <v>13.2063255</v>
      </c>
      <c r="X172" s="9"/>
      <c r="Y172" s="21">
        <v>1.0043299999999999</v>
      </c>
      <c r="Z172" s="21">
        <v>16.125</v>
      </c>
      <c r="AA172" s="21">
        <v>-1.4907800000000001E-2</v>
      </c>
      <c r="AB172" s="21">
        <v>162</v>
      </c>
      <c r="AC172" s="21">
        <v>1.00342</v>
      </c>
      <c r="AD172">
        <f t="shared" si="28"/>
        <v>18.404691358024692</v>
      </c>
      <c r="AE172">
        <f t="shared" si="29"/>
        <v>18.484383671604938</v>
      </c>
      <c r="AF172" s="9"/>
      <c r="AG172" s="21">
        <v>0.71579000000000004</v>
      </c>
      <c r="AH172" s="21">
        <v>19.984500000000001</v>
      </c>
      <c r="AI172" s="21">
        <v>-1.5026899999999999E-2</v>
      </c>
      <c r="AJ172" s="21">
        <v>162</v>
      </c>
      <c r="AK172" s="21">
        <v>0.71530199999999999</v>
      </c>
      <c r="AL172">
        <f t="shared" si="30"/>
        <v>18.551728395061726</v>
      </c>
      <c r="AM172">
        <f t="shared" si="31"/>
        <v>13.279141667901234</v>
      </c>
      <c r="AP172" s="9"/>
      <c r="AQ172" s="21">
        <v>1.0043299999999999</v>
      </c>
      <c r="AR172" s="21">
        <v>25.5093</v>
      </c>
      <c r="AS172" s="21">
        <v>-1.48773E-2</v>
      </c>
      <c r="AT172" s="21">
        <v>162</v>
      </c>
      <c r="AU172" s="21">
        <v>1.0037199999999999</v>
      </c>
      <c r="AV172">
        <f t="shared" si="32"/>
        <v>18.367037037037036</v>
      </c>
      <c r="AW172">
        <f t="shared" si="33"/>
        <v>18.446566307407405</v>
      </c>
      <c r="AX172" s="9"/>
      <c r="AY172" s="21">
        <v>0.71579000000000004</v>
      </c>
      <c r="AZ172" s="21">
        <v>29.3687</v>
      </c>
      <c r="BA172" s="21">
        <v>-1.49689E-2</v>
      </c>
      <c r="BB172" s="21">
        <v>162</v>
      </c>
      <c r="BC172" s="21">
        <v>0.71517900000000001</v>
      </c>
      <c r="BD172">
        <f t="shared" si="34"/>
        <v>18.480123456790125</v>
      </c>
      <c r="BE172">
        <f t="shared" si="35"/>
        <v>13.227887569135804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0.99929800000000002</v>
      </c>
      <c r="H173" s="21">
        <v>6.7199</v>
      </c>
      <c r="I173" s="21">
        <v>-1.49628E-2</v>
      </c>
      <c r="J173" s="21">
        <v>163</v>
      </c>
      <c r="K173" s="21">
        <v>0.99883999999999995</v>
      </c>
      <c r="L173">
        <f t="shared" si="24"/>
        <v>18.472592592592594</v>
      </c>
      <c r="M173">
        <f t="shared" si="25"/>
        <v>18.459624832592596</v>
      </c>
      <c r="N173" s="9"/>
      <c r="O173" s="21">
        <v>0.72082500000000005</v>
      </c>
      <c r="P173" s="21">
        <v>10.5794</v>
      </c>
      <c r="Q173" s="21">
        <v>-1.4944499999999999E-2</v>
      </c>
      <c r="R173" s="21">
        <v>163</v>
      </c>
      <c r="S173" s="21">
        <v>0.72012299999999996</v>
      </c>
      <c r="T173">
        <f t="shared" si="26"/>
        <v>18.45</v>
      </c>
      <c r="U173">
        <f t="shared" si="27"/>
        <v>13.29922125</v>
      </c>
      <c r="X173" s="9"/>
      <c r="Y173" s="21">
        <v>0.99929800000000002</v>
      </c>
      <c r="Z173" s="21">
        <v>16.135100000000001</v>
      </c>
      <c r="AA173" s="21">
        <v>-1.4917E-2</v>
      </c>
      <c r="AB173" s="21">
        <v>163</v>
      </c>
      <c r="AC173" s="21">
        <v>0.99761999999999995</v>
      </c>
      <c r="AD173">
        <f t="shared" si="28"/>
        <v>18.416049382716047</v>
      </c>
      <c r="AE173">
        <f t="shared" si="29"/>
        <v>18.403121316049379</v>
      </c>
      <c r="AF173" s="9"/>
      <c r="AG173" s="21">
        <v>0.72082500000000005</v>
      </c>
      <c r="AH173" s="21">
        <v>19.994599999999998</v>
      </c>
      <c r="AI173" s="21">
        <v>-1.5032999999999999E-2</v>
      </c>
      <c r="AJ173" s="21">
        <v>163</v>
      </c>
      <c r="AK173" s="21">
        <v>0.720306</v>
      </c>
      <c r="AL173">
        <f t="shared" si="30"/>
        <v>18.559259259259257</v>
      </c>
      <c r="AM173">
        <f t="shared" si="31"/>
        <v>13.377978055555555</v>
      </c>
      <c r="AP173" s="9"/>
      <c r="AQ173" s="21">
        <v>0.99929800000000002</v>
      </c>
      <c r="AR173" s="21">
        <v>25.519300000000001</v>
      </c>
      <c r="AS173" s="21">
        <v>-1.48804E-2</v>
      </c>
      <c r="AT173" s="21">
        <v>163</v>
      </c>
      <c r="AU173" s="21">
        <v>0.99822999999999995</v>
      </c>
      <c r="AV173">
        <f t="shared" si="32"/>
        <v>18.370864197530864</v>
      </c>
      <c r="AW173">
        <f t="shared" si="33"/>
        <v>18.357967850864199</v>
      </c>
      <c r="AX173" s="9"/>
      <c r="AY173" s="21">
        <v>0.72082500000000005</v>
      </c>
      <c r="AZ173" s="21">
        <v>29.378799999999998</v>
      </c>
      <c r="BA173" s="21">
        <v>-1.4975E-2</v>
      </c>
      <c r="BB173" s="21">
        <v>163</v>
      </c>
      <c r="BC173" s="21">
        <v>0.72021500000000005</v>
      </c>
      <c r="BD173">
        <f t="shared" si="34"/>
        <v>18.487654320987652</v>
      </c>
      <c r="BE173">
        <f t="shared" si="35"/>
        <v>13.326363425925924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0.99426300000000001</v>
      </c>
      <c r="H174" s="21">
        <v>6.7299699999999998</v>
      </c>
      <c r="I174" s="21">
        <v>-1.49719E-2</v>
      </c>
      <c r="J174" s="21">
        <v>164</v>
      </c>
      <c r="K174" s="21">
        <v>0.99334699999999998</v>
      </c>
      <c r="L174">
        <f t="shared" si="24"/>
        <v>18.483827160493824</v>
      </c>
      <c r="M174">
        <f t="shared" si="25"/>
        <v>18.377785444074071</v>
      </c>
      <c r="N174" s="9"/>
      <c r="O174" s="21">
        <v>0.72586099999999998</v>
      </c>
      <c r="P174" s="21">
        <v>10.589399999999999</v>
      </c>
      <c r="Q174" s="21">
        <v>-1.4944499999999999E-2</v>
      </c>
      <c r="R174" s="21">
        <v>164</v>
      </c>
      <c r="S174" s="21">
        <v>0.725159</v>
      </c>
      <c r="T174">
        <f t="shared" si="26"/>
        <v>18.45</v>
      </c>
      <c r="U174">
        <f t="shared" si="27"/>
        <v>13.39213545</v>
      </c>
      <c r="X174" s="9"/>
      <c r="Y174" s="21">
        <v>0.99426300000000001</v>
      </c>
      <c r="Z174" s="21">
        <v>16.145199999999999</v>
      </c>
      <c r="AA174" s="21">
        <v>-1.4926099999999999E-2</v>
      </c>
      <c r="AB174" s="21">
        <v>164</v>
      </c>
      <c r="AC174" s="21">
        <v>0.99365199999999998</v>
      </c>
      <c r="AD174">
        <f t="shared" si="28"/>
        <v>18.427283950617284</v>
      </c>
      <c r="AE174">
        <f t="shared" si="29"/>
        <v>18.321566622592592</v>
      </c>
      <c r="AF174" s="9"/>
      <c r="AG174" s="21">
        <v>0.72586099999999998</v>
      </c>
      <c r="AH174" s="21">
        <v>20.0047</v>
      </c>
      <c r="AI174" s="21">
        <v>-1.5026899999999999E-2</v>
      </c>
      <c r="AJ174" s="21">
        <v>164</v>
      </c>
      <c r="AK174" s="21">
        <v>0.72524999999999995</v>
      </c>
      <c r="AL174">
        <f t="shared" si="30"/>
        <v>18.551728395061726</v>
      </c>
      <c r="AM174">
        <f t="shared" si="31"/>
        <v>13.465976124567899</v>
      </c>
      <c r="AP174" s="9"/>
      <c r="AQ174" s="21">
        <v>0.99426300000000001</v>
      </c>
      <c r="AR174" s="21">
        <v>25.529399999999999</v>
      </c>
      <c r="AS174" s="21">
        <v>-1.48895E-2</v>
      </c>
      <c r="AT174" s="21">
        <v>164</v>
      </c>
      <c r="AU174" s="21">
        <v>0.99334699999999998</v>
      </c>
      <c r="AV174">
        <f t="shared" si="32"/>
        <v>18.382098765432101</v>
      </c>
      <c r="AW174">
        <f t="shared" si="33"/>
        <v>18.276640664814817</v>
      </c>
      <c r="AX174" s="9"/>
      <c r="AY174" s="21">
        <v>0.72586099999999998</v>
      </c>
      <c r="AZ174" s="21">
        <v>29.3889</v>
      </c>
      <c r="BA174" s="21">
        <v>-1.49689E-2</v>
      </c>
      <c r="BB174" s="21">
        <v>164</v>
      </c>
      <c r="BC174" s="21">
        <v>0.72531100000000004</v>
      </c>
      <c r="BD174">
        <f t="shared" si="34"/>
        <v>18.480123456790125</v>
      </c>
      <c r="BE174">
        <f t="shared" si="35"/>
        <v>13.414000892469137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0.98922699999999997</v>
      </c>
      <c r="H175" s="21">
        <v>6.7400399999999996</v>
      </c>
      <c r="I175" s="21">
        <v>-1.4981100000000001E-2</v>
      </c>
      <c r="J175" s="21">
        <v>165</v>
      </c>
      <c r="K175" s="21">
        <v>0.98785400000000001</v>
      </c>
      <c r="L175">
        <f t="shared" si="24"/>
        <v>18.495185185185186</v>
      </c>
      <c r="M175">
        <f t="shared" si="25"/>
        <v>18.295936555185186</v>
      </c>
      <c r="N175" s="9"/>
      <c r="O175" s="21">
        <v>0.73089599999999999</v>
      </c>
      <c r="P175" s="21">
        <v>10.599500000000001</v>
      </c>
      <c r="Q175" s="21">
        <v>-1.4944499999999999E-2</v>
      </c>
      <c r="R175" s="21">
        <v>165</v>
      </c>
      <c r="S175" s="21">
        <v>0.73022500000000001</v>
      </c>
      <c r="T175">
        <f t="shared" si="26"/>
        <v>18.45</v>
      </c>
      <c r="U175">
        <f t="shared" si="27"/>
        <v>13.4850312</v>
      </c>
      <c r="X175" s="9"/>
      <c r="Y175" s="21">
        <v>0.98922699999999997</v>
      </c>
      <c r="Z175" s="21">
        <v>16.1553</v>
      </c>
      <c r="AA175" s="21">
        <v>-1.4938399999999999E-2</v>
      </c>
      <c r="AB175" s="21">
        <v>165</v>
      </c>
      <c r="AC175" s="21">
        <v>0.98815900000000001</v>
      </c>
      <c r="AD175">
        <f t="shared" si="28"/>
        <v>18.442469135802465</v>
      </c>
      <c r="AE175">
        <f t="shared" si="29"/>
        <v>18.243788415802463</v>
      </c>
      <c r="AF175" s="9"/>
      <c r="AG175" s="21">
        <v>0.73089599999999999</v>
      </c>
      <c r="AH175" s="21">
        <v>20.014700000000001</v>
      </c>
      <c r="AI175" s="21">
        <v>-1.50177E-2</v>
      </c>
      <c r="AJ175" s="21">
        <v>165</v>
      </c>
      <c r="AK175" s="21">
        <v>0.73028599999999999</v>
      </c>
      <c r="AL175">
        <f t="shared" si="30"/>
        <v>18.540370370370372</v>
      </c>
      <c r="AM175">
        <f t="shared" si="31"/>
        <v>13.551082542222224</v>
      </c>
      <c r="AP175" s="9"/>
      <c r="AQ175" s="21">
        <v>0.98922699999999997</v>
      </c>
      <c r="AR175" s="21">
        <v>25.5395</v>
      </c>
      <c r="AS175" s="21">
        <v>-1.48895E-2</v>
      </c>
      <c r="AT175" s="21">
        <v>165</v>
      </c>
      <c r="AU175" s="21">
        <v>0.98785400000000001</v>
      </c>
      <c r="AV175">
        <f t="shared" si="32"/>
        <v>18.382098765432101</v>
      </c>
      <c r="AW175">
        <f t="shared" si="33"/>
        <v>18.184068415432101</v>
      </c>
      <c r="AX175" s="9"/>
      <c r="AY175" s="21">
        <v>0.73089599999999999</v>
      </c>
      <c r="AZ175" s="21">
        <v>29.399000000000001</v>
      </c>
      <c r="BA175" s="21">
        <v>-1.4959699999999999E-2</v>
      </c>
      <c r="BB175" s="21">
        <v>165</v>
      </c>
      <c r="BC175" s="21">
        <v>0.73022500000000001</v>
      </c>
      <c r="BD175">
        <f t="shared" si="34"/>
        <v>18.468765432098763</v>
      </c>
      <c r="BE175">
        <f t="shared" si="35"/>
        <v>13.498746779259257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0.98419199999999996</v>
      </c>
      <c r="H176" s="21">
        <v>6.7501100000000003</v>
      </c>
      <c r="I176" s="21">
        <v>-1.4987199999999999E-2</v>
      </c>
      <c r="J176" s="21">
        <v>166</v>
      </c>
      <c r="K176" s="21">
        <v>0.98297100000000004</v>
      </c>
      <c r="L176">
        <f t="shared" si="24"/>
        <v>18.502716049382713</v>
      </c>
      <c r="M176">
        <f t="shared" si="25"/>
        <v>18.210225114074071</v>
      </c>
      <c r="N176" s="9"/>
      <c r="O176" s="21">
        <v>0.735931</v>
      </c>
      <c r="P176" s="21">
        <v>10.6096</v>
      </c>
      <c r="Q176" s="21">
        <v>-1.4947500000000001E-2</v>
      </c>
      <c r="R176" s="21">
        <v>166</v>
      </c>
      <c r="S176" s="21">
        <v>0.73529100000000003</v>
      </c>
      <c r="T176">
        <f t="shared" si="26"/>
        <v>18.453703703703706</v>
      </c>
      <c r="U176">
        <f t="shared" si="27"/>
        <v>13.580652620370373</v>
      </c>
      <c r="X176" s="9"/>
      <c r="Y176" s="21">
        <v>0.98419199999999996</v>
      </c>
      <c r="Z176" s="21">
        <v>16.165299999999998</v>
      </c>
      <c r="AA176" s="21">
        <v>-1.4938399999999999E-2</v>
      </c>
      <c r="AB176" s="21">
        <v>166</v>
      </c>
      <c r="AC176" s="21">
        <v>0.98358199999999996</v>
      </c>
      <c r="AD176">
        <f t="shared" si="28"/>
        <v>18.442469135802465</v>
      </c>
      <c r="AE176">
        <f t="shared" si="29"/>
        <v>18.150930583703698</v>
      </c>
      <c r="AF176" s="9"/>
      <c r="AG176" s="21">
        <v>0.735931</v>
      </c>
      <c r="AH176" s="21">
        <v>20.024799999999999</v>
      </c>
      <c r="AI176" s="21">
        <v>-1.5008499999999999E-2</v>
      </c>
      <c r="AJ176" s="21">
        <v>166</v>
      </c>
      <c r="AK176" s="21">
        <v>0.73535200000000001</v>
      </c>
      <c r="AL176">
        <f t="shared" si="30"/>
        <v>18.529012345679011</v>
      </c>
      <c r="AM176">
        <f t="shared" si="31"/>
        <v>13.636074584567901</v>
      </c>
      <c r="AP176" s="9"/>
      <c r="AQ176" s="21">
        <v>0.98419199999999996</v>
      </c>
      <c r="AR176" s="21">
        <v>25.549499999999998</v>
      </c>
      <c r="AS176" s="21">
        <v>-1.48895E-2</v>
      </c>
      <c r="AT176" s="21">
        <v>166</v>
      </c>
      <c r="AU176" s="21">
        <v>0.98358199999999996</v>
      </c>
      <c r="AV176">
        <f t="shared" si="32"/>
        <v>18.382098765432101</v>
      </c>
      <c r="AW176">
        <f t="shared" si="33"/>
        <v>18.091514548148151</v>
      </c>
      <c r="AX176" s="9"/>
      <c r="AY176" s="21">
        <v>0.735931</v>
      </c>
      <c r="AZ176" s="21">
        <v>29.408999999999999</v>
      </c>
      <c r="BA176" s="21">
        <v>-1.4947500000000001E-2</v>
      </c>
      <c r="BB176" s="21">
        <v>166</v>
      </c>
      <c r="BC176" s="21">
        <v>0.73522900000000002</v>
      </c>
      <c r="BD176">
        <f t="shared" si="34"/>
        <v>18.453703703703706</v>
      </c>
      <c r="BE176">
        <f t="shared" si="35"/>
        <v>13.580652620370373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0.97915600000000003</v>
      </c>
      <c r="H177" s="21">
        <v>6.7601800000000001</v>
      </c>
      <c r="I177" s="21">
        <v>-1.49841E-2</v>
      </c>
      <c r="J177" s="21">
        <v>167</v>
      </c>
      <c r="K177" s="21">
        <v>0.97869899999999999</v>
      </c>
      <c r="L177">
        <f t="shared" si="24"/>
        <v>18.498888888888889</v>
      </c>
      <c r="M177">
        <f t="shared" si="25"/>
        <v>18.11329804888889</v>
      </c>
      <c r="N177" s="9"/>
      <c r="O177" s="21">
        <v>0.74096700000000004</v>
      </c>
      <c r="P177" s="21">
        <v>10.6197</v>
      </c>
      <c r="Q177" s="21">
        <v>-1.4941400000000001E-2</v>
      </c>
      <c r="R177" s="21">
        <v>167</v>
      </c>
      <c r="S177" s="21">
        <v>0.74029500000000004</v>
      </c>
      <c r="T177">
        <f t="shared" si="26"/>
        <v>18.446172839506172</v>
      </c>
      <c r="U177">
        <f t="shared" si="27"/>
        <v>13.66800535037037</v>
      </c>
      <c r="X177" s="9"/>
      <c r="Y177" s="21">
        <v>0.97915600000000003</v>
      </c>
      <c r="Z177" s="21">
        <v>16.1754</v>
      </c>
      <c r="AA177" s="21">
        <v>-1.49353E-2</v>
      </c>
      <c r="AB177" s="21">
        <v>167</v>
      </c>
      <c r="AC177" s="21">
        <v>0.97839399999999999</v>
      </c>
      <c r="AD177">
        <f t="shared" si="28"/>
        <v>18.438641975308641</v>
      </c>
      <c r="AE177">
        <f t="shared" si="29"/>
        <v>18.054306921975307</v>
      </c>
      <c r="AF177" s="9"/>
      <c r="AG177" s="21">
        <v>0.74096700000000004</v>
      </c>
      <c r="AH177" s="21">
        <v>20.0349</v>
      </c>
      <c r="AI177" s="21">
        <v>-1.49994E-2</v>
      </c>
      <c r="AJ177" s="21">
        <v>167</v>
      </c>
      <c r="AK177" s="21">
        <v>0.74038700000000002</v>
      </c>
      <c r="AL177">
        <f t="shared" si="30"/>
        <v>18.517777777777777</v>
      </c>
      <c r="AM177">
        <f t="shared" si="31"/>
        <v>13.721062246666667</v>
      </c>
      <c r="AP177" s="9"/>
      <c r="AQ177" s="21">
        <v>0.97915600000000003</v>
      </c>
      <c r="AR177" s="21">
        <v>25.5596</v>
      </c>
      <c r="AS177" s="21">
        <v>-1.48834E-2</v>
      </c>
      <c r="AT177" s="21">
        <v>167</v>
      </c>
      <c r="AU177" s="21">
        <v>0.97808799999999996</v>
      </c>
      <c r="AV177">
        <f t="shared" si="32"/>
        <v>18.374567901234567</v>
      </c>
      <c r="AW177">
        <f t="shared" si="33"/>
        <v>17.991568407901234</v>
      </c>
      <c r="AX177" s="9"/>
      <c r="AY177" s="21">
        <v>0.74096700000000004</v>
      </c>
      <c r="AZ177" s="21">
        <v>29.4191</v>
      </c>
      <c r="BA177" s="21">
        <v>-1.4938399999999999E-2</v>
      </c>
      <c r="BB177" s="21">
        <v>167</v>
      </c>
      <c r="BC177" s="21">
        <v>0.74035600000000001</v>
      </c>
      <c r="BD177">
        <f t="shared" si="34"/>
        <v>18.442469135802465</v>
      </c>
      <c r="BE177">
        <f t="shared" si="35"/>
        <v>13.665261028148146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0.97412100000000001</v>
      </c>
      <c r="H178" s="21">
        <v>6.7702499999999999</v>
      </c>
      <c r="I178" s="21">
        <v>-1.49902E-2</v>
      </c>
      <c r="J178" s="21">
        <v>168</v>
      </c>
      <c r="K178" s="21">
        <v>0.97289999999999999</v>
      </c>
      <c r="L178">
        <f t="shared" si="24"/>
        <v>18.506419753086419</v>
      </c>
      <c r="M178">
        <f t="shared" si="25"/>
        <v>18.027492116296298</v>
      </c>
      <c r="N178" s="9"/>
      <c r="O178" s="21">
        <v>0.74600200000000005</v>
      </c>
      <c r="P178" s="21">
        <v>10.6297</v>
      </c>
      <c r="Q178" s="21">
        <v>-1.4947500000000001E-2</v>
      </c>
      <c r="R178" s="21">
        <v>168</v>
      </c>
      <c r="S178" s="21">
        <v>0.74551400000000001</v>
      </c>
      <c r="T178">
        <f t="shared" si="26"/>
        <v>18.453703703703706</v>
      </c>
      <c r="U178">
        <f t="shared" si="27"/>
        <v>13.766499870370373</v>
      </c>
      <c r="X178" s="9"/>
      <c r="Y178" s="21">
        <v>0.97412100000000001</v>
      </c>
      <c r="Z178" s="21">
        <v>16.185500000000001</v>
      </c>
      <c r="AA178" s="21">
        <v>-1.4932300000000001E-2</v>
      </c>
      <c r="AB178" s="21">
        <v>168</v>
      </c>
      <c r="AC178" s="21">
        <v>0.97320600000000002</v>
      </c>
      <c r="AD178">
        <f t="shared" si="28"/>
        <v>18.434938271604938</v>
      </c>
      <c r="AE178">
        <f t="shared" si="29"/>
        <v>17.957860504074073</v>
      </c>
      <c r="AF178" s="9"/>
      <c r="AG178" s="21">
        <v>0.74600200000000005</v>
      </c>
      <c r="AH178" s="21">
        <v>20.044899999999998</v>
      </c>
      <c r="AI178" s="21">
        <v>-1.4996300000000001E-2</v>
      </c>
      <c r="AJ178" s="21">
        <v>168</v>
      </c>
      <c r="AK178" s="21">
        <v>0.74545300000000003</v>
      </c>
      <c r="AL178">
        <f t="shared" si="30"/>
        <v>18.51395061728395</v>
      </c>
      <c r="AM178">
        <f t="shared" si="31"/>
        <v>13.811444188395061</v>
      </c>
      <c r="AP178" s="9"/>
      <c r="AQ178" s="21">
        <v>0.97412100000000001</v>
      </c>
      <c r="AR178" s="21">
        <v>25.569700000000001</v>
      </c>
      <c r="AS178" s="21">
        <v>-1.48865E-2</v>
      </c>
      <c r="AT178" s="21">
        <v>168</v>
      </c>
      <c r="AU178" s="21">
        <v>0.97259499999999999</v>
      </c>
      <c r="AV178">
        <f t="shared" si="32"/>
        <v>18.378395061728394</v>
      </c>
      <c r="AW178">
        <f t="shared" si="33"/>
        <v>17.902780575925924</v>
      </c>
      <c r="AX178" s="9"/>
      <c r="AY178" s="21">
        <v>0.74600200000000005</v>
      </c>
      <c r="AZ178" s="21">
        <v>29.429200000000002</v>
      </c>
      <c r="BA178" s="21">
        <v>-1.49292E-2</v>
      </c>
      <c r="BB178" s="21">
        <v>168</v>
      </c>
      <c r="BC178" s="21">
        <v>0.74548300000000001</v>
      </c>
      <c r="BD178">
        <f t="shared" si="34"/>
        <v>18.431111111111111</v>
      </c>
      <c r="BE178">
        <f t="shared" si="35"/>
        <v>13.749645751111112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0.969086</v>
      </c>
      <c r="H179" s="21">
        <v>6.7803199999999997</v>
      </c>
      <c r="I179" s="21">
        <v>-1.4996300000000001E-2</v>
      </c>
      <c r="J179" s="21">
        <v>169</v>
      </c>
      <c r="K179" s="21">
        <v>0.96771200000000002</v>
      </c>
      <c r="L179">
        <f t="shared" si="24"/>
        <v>18.51395061728395</v>
      </c>
      <c r="M179">
        <f t="shared" si="25"/>
        <v>17.941610347901232</v>
      </c>
      <c r="N179" s="9"/>
      <c r="O179" s="21">
        <v>0.75103799999999998</v>
      </c>
      <c r="P179" s="21">
        <v>10.639799999999999</v>
      </c>
      <c r="Q179" s="21">
        <v>-1.49689E-2</v>
      </c>
      <c r="R179" s="21">
        <v>169</v>
      </c>
      <c r="S179" s="21">
        <v>0.75036599999999998</v>
      </c>
      <c r="T179">
        <f t="shared" si="26"/>
        <v>18.480123456790125</v>
      </c>
      <c r="U179">
        <f t="shared" si="27"/>
        <v>13.879274960740741</v>
      </c>
      <c r="X179" s="9"/>
      <c r="Y179" s="21">
        <v>0.969086</v>
      </c>
      <c r="Z179" s="21">
        <v>16.195499999999999</v>
      </c>
      <c r="AA179" s="21">
        <v>-1.4938399999999999E-2</v>
      </c>
      <c r="AB179" s="21">
        <v>169</v>
      </c>
      <c r="AC179" s="21">
        <v>0.96801800000000005</v>
      </c>
      <c r="AD179">
        <f t="shared" si="28"/>
        <v>18.442469135802465</v>
      </c>
      <c r="AE179">
        <f t="shared" si="29"/>
        <v>17.872338644938267</v>
      </c>
      <c r="AF179" s="9"/>
      <c r="AG179" s="21">
        <v>0.75103799999999998</v>
      </c>
      <c r="AH179" s="21">
        <v>20.055</v>
      </c>
      <c r="AI179" s="21">
        <v>-1.4993299999999999E-2</v>
      </c>
      <c r="AJ179" s="21">
        <v>169</v>
      </c>
      <c r="AK179" s="21">
        <v>0.75039699999999998</v>
      </c>
      <c r="AL179">
        <f t="shared" si="30"/>
        <v>18.510246913580243</v>
      </c>
      <c r="AM179">
        <f t="shared" si="31"/>
        <v>13.901898821481478</v>
      </c>
      <c r="AP179" s="9"/>
      <c r="AQ179" s="21">
        <v>0.969086</v>
      </c>
      <c r="AR179" s="21">
        <v>25.579799999999999</v>
      </c>
      <c r="AS179" s="21">
        <v>-1.48895E-2</v>
      </c>
      <c r="AT179" s="21">
        <v>169</v>
      </c>
      <c r="AU179" s="21">
        <v>0.96832300000000004</v>
      </c>
      <c r="AV179">
        <f t="shared" si="32"/>
        <v>18.382098765432101</v>
      </c>
      <c r="AW179">
        <f t="shared" si="33"/>
        <v>17.813834564197531</v>
      </c>
      <c r="AX179" s="9"/>
      <c r="AY179" s="21">
        <v>0.75103799999999998</v>
      </c>
      <c r="AZ179" s="21">
        <v>29.4392</v>
      </c>
      <c r="BA179" s="21">
        <v>-1.4926099999999999E-2</v>
      </c>
      <c r="BB179" s="21">
        <v>169</v>
      </c>
      <c r="BC179" s="21">
        <v>0.750305</v>
      </c>
      <c r="BD179">
        <f t="shared" si="34"/>
        <v>18.427283950617284</v>
      </c>
      <c r="BE179">
        <f t="shared" si="35"/>
        <v>13.839590483703704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0.96404999999999996</v>
      </c>
      <c r="H180" s="21">
        <v>6.7903900000000004</v>
      </c>
      <c r="I180" s="21">
        <v>-1.49902E-2</v>
      </c>
      <c r="J180" s="21">
        <v>170</v>
      </c>
      <c r="K180" s="21">
        <v>0.96313499999999996</v>
      </c>
      <c r="L180">
        <f t="shared" si="24"/>
        <v>18.506419753086419</v>
      </c>
      <c r="M180">
        <f t="shared" si="25"/>
        <v>17.841113962962961</v>
      </c>
      <c r="N180" s="9"/>
      <c r="O180" s="21">
        <v>0.756073</v>
      </c>
      <c r="P180" s="21">
        <v>10.649900000000001</v>
      </c>
      <c r="Q180" s="21">
        <v>-1.4978E-2</v>
      </c>
      <c r="R180" s="21">
        <v>170</v>
      </c>
      <c r="S180" s="21">
        <v>0.75531000000000004</v>
      </c>
      <c r="T180">
        <f t="shared" si="26"/>
        <v>18.491358024691355</v>
      </c>
      <c r="U180">
        <f t="shared" si="27"/>
        <v>13.980816535802466</v>
      </c>
      <c r="X180" s="9"/>
      <c r="Y180" s="21">
        <v>0.96404999999999996</v>
      </c>
      <c r="Z180" s="21">
        <v>16.2056</v>
      </c>
      <c r="AA180" s="21">
        <v>-1.4944499999999999E-2</v>
      </c>
      <c r="AB180" s="21">
        <v>170</v>
      </c>
      <c r="AC180" s="21">
        <v>0.96313499999999996</v>
      </c>
      <c r="AD180">
        <f t="shared" si="28"/>
        <v>18.45</v>
      </c>
      <c r="AE180">
        <f t="shared" si="29"/>
        <v>17.7867225</v>
      </c>
      <c r="AF180" s="9"/>
      <c r="AG180" s="21">
        <v>0.756073</v>
      </c>
      <c r="AH180" s="21">
        <v>20.065100000000001</v>
      </c>
      <c r="AI180" s="21">
        <v>-1.4996300000000001E-2</v>
      </c>
      <c r="AJ180" s="21">
        <v>170</v>
      </c>
      <c r="AK180" s="21">
        <v>0.75500500000000004</v>
      </c>
      <c r="AL180">
        <f t="shared" si="30"/>
        <v>18.51395061728395</v>
      </c>
      <c r="AM180">
        <f t="shared" si="31"/>
        <v>13.997898185061727</v>
      </c>
      <c r="AP180" s="9"/>
      <c r="AQ180" s="21">
        <v>0.96404999999999996</v>
      </c>
      <c r="AR180" s="21">
        <v>25.5898</v>
      </c>
      <c r="AS180" s="21">
        <v>-1.4898700000000001E-2</v>
      </c>
      <c r="AT180" s="21">
        <v>170</v>
      </c>
      <c r="AU180" s="21">
        <v>0.96313499999999996</v>
      </c>
      <c r="AV180">
        <f t="shared" si="32"/>
        <v>18.393456790123455</v>
      </c>
      <c r="AW180">
        <f t="shared" si="33"/>
        <v>17.732212018518517</v>
      </c>
      <c r="AX180" s="9"/>
      <c r="AY180" s="21">
        <v>0.756073</v>
      </c>
      <c r="AZ180" s="21">
        <v>29.449300000000001</v>
      </c>
      <c r="BA180" s="21">
        <v>-1.49231E-2</v>
      </c>
      <c r="BB180" s="21">
        <v>170</v>
      </c>
      <c r="BC180" s="21">
        <v>0.75500500000000004</v>
      </c>
      <c r="BD180">
        <f t="shared" si="34"/>
        <v>18.423580246913577</v>
      </c>
      <c r="BE180">
        <f t="shared" si="35"/>
        <v>13.92957158802469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0.95901499999999995</v>
      </c>
      <c r="H181" s="21">
        <v>6.8004600000000002</v>
      </c>
      <c r="I181" s="21">
        <v>-1.4987199999999999E-2</v>
      </c>
      <c r="J181" s="21">
        <v>171</v>
      </c>
      <c r="K181" s="21">
        <v>0.95794699999999999</v>
      </c>
      <c r="L181">
        <f t="shared" si="24"/>
        <v>18.502716049382713</v>
      </c>
      <c r="M181">
        <f t="shared" si="25"/>
        <v>17.744382232098761</v>
      </c>
      <c r="N181" s="9"/>
      <c r="O181" s="21">
        <v>0.76110800000000001</v>
      </c>
      <c r="P181" s="21">
        <v>10.6599</v>
      </c>
      <c r="Q181" s="21">
        <v>-1.4981100000000001E-2</v>
      </c>
      <c r="R181" s="21">
        <v>171</v>
      </c>
      <c r="S181" s="21">
        <v>0.76019300000000001</v>
      </c>
      <c r="T181">
        <f t="shared" si="26"/>
        <v>18.495185185185186</v>
      </c>
      <c r="U181">
        <f t="shared" si="27"/>
        <v>14.076833405925926</v>
      </c>
      <c r="X181" s="9"/>
      <c r="Y181" s="21">
        <v>0.95901499999999995</v>
      </c>
      <c r="Z181" s="21">
        <v>16.215699999999998</v>
      </c>
      <c r="AA181" s="21">
        <v>-1.49353E-2</v>
      </c>
      <c r="AB181" s="21">
        <v>171</v>
      </c>
      <c r="AC181" s="21">
        <v>0.95794699999999999</v>
      </c>
      <c r="AD181">
        <f t="shared" si="28"/>
        <v>18.438641975308641</v>
      </c>
      <c r="AE181">
        <f t="shared" si="29"/>
        <v>17.682934233950615</v>
      </c>
      <c r="AF181" s="9"/>
      <c r="AG181" s="21">
        <v>0.76110800000000001</v>
      </c>
      <c r="AH181" s="21">
        <v>20.075099999999999</v>
      </c>
      <c r="AI181" s="21">
        <v>-1.4996300000000001E-2</v>
      </c>
      <c r="AJ181" s="21">
        <v>171</v>
      </c>
      <c r="AK181" s="21">
        <v>0.75958300000000001</v>
      </c>
      <c r="AL181">
        <f t="shared" si="30"/>
        <v>18.51395061728395</v>
      </c>
      <c r="AM181">
        <f t="shared" si="31"/>
        <v>14.091115926419752</v>
      </c>
      <c r="AP181" s="9"/>
      <c r="AQ181" s="21">
        <v>0.95901499999999995</v>
      </c>
      <c r="AR181" s="21">
        <v>25.599900000000002</v>
      </c>
      <c r="AS181" s="21">
        <v>-1.4898700000000001E-2</v>
      </c>
      <c r="AT181" s="21">
        <v>171</v>
      </c>
      <c r="AU181" s="21">
        <v>0.95733599999999996</v>
      </c>
      <c r="AV181">
        <f t="shared" si="32"/>
        <v>18.393456790123455</v>
      </c>
      <c r="AW181">
        <f t="shared" si="33"/>
        <v>17.639600963580243</v>
      </c>
      <c r="AX181" s="9"/>
      <c r="AY181" s="21">
        <v>0.76110800000000001</v>
      </c>
      <c r="AZ181" s="21">
        <v>29.459399999999999</v>
      </c>
      <c r="BA181" s="21">
        <v>-1.4932300000000001E-2</v>
      </c>
      <c r="BB181" s="21">
        <v>171</v>
      </c>
      <c r="BC181" s="21">
        <v>0.75988800000000001</v>
      </c>
      <c r="BD181">
        <f t="shared" si="34"/>
        <v>18.434938271604938</v>
      </c>
      <c r="BE181">
        <f t="shared" si="35"/>
        <v>14.030978998024692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0.95397900000000002</v>
      </c>
      <c r="H182" s="21">
        <v>6.81053</v>
      </c>
      <c r="I182" s="21">
        <v>-1.49902E-2</v>
      </c>
      <c r="J182" s="21">
        <v>172</v>
      </c>
      <c r="K182" s="21">
        <v>0.95306400000000002</v>
      </c>
      <c r="L182">
        <f t="shared" si="24"/>
        <v>18.506419753086419</v>
      </c>
      <c r="M182">
        <f t="shared" si="25"/>
        <v>17.654735809629628</v>
      </c>
      <c r="N182" s="9"/>
      <c r="O182" s="21">
        <v>0.76614400000000005</v>
      </c>
      <c r="P182" s="21">
        <v>10.67</v>
      </c>
      <c r="Q182" s="21">
        <v>-1.4987199999999999E-2</v>
      </c>
      <c r="R182" s="21">
        <v>172</v>
      </c>
      <c r="S182" s="21">
        <v>0.76477099999999998</v>
      </c>
      <c r="T182">
        <f t="shared" si="26"/>
        <v>18.502716049382713</v>
      </c>
      <c r="U182">
        <f t="shared" si="27"/>
        <v>14.17574488493827</v>
      </c>
      <c r="X182" s="9"/>
      <c r="Y182" s="21">
        <v>0.95397900000000002</v>
      </c>
      <c r="Z182" s="21">
        <v>16.2257</v>
      </c>
      <c r="AA182" s="21">
        <v>-1.49292E-2</v>
      </c>
      <c r="AB182" s="21">
        <v>172</v>
      </c>
      <c r="AC182" s="21">
        <v>0.95336900000000002</v>
      </c>
      <c r="AD182">
        <f t="shared" si="28"/>
        <v>18.431111111111111</v>
      </c>
      <c r="AE182">
        <f t="shared" si="29"/>
        <v>17.582892946666668</v>
      </c>
      <c r="AF182" s="9"/>
      <c r="AG182" s="21">
        <v>0.76614400000000005</v>
      </c>
      <c r="AH182" s="21">
        <v>20.0852</v>
      </c>
      <c r="AI182" s="21">
        <v>-1.4996300000000001E-2</v>
      </c>
      <c r="AJ182" s="21">
        <v>172</v>
      </c>
      <c r="AK182" s="21">
        <v>0.76507599999999998</v>
      </c>
      <c r="AL182">
        <f t="shared" si="30"/>
        <v>18.51395061728395</v>
      </c>
      <c r="AM182">
        <f t="shared" si="31"/>
        <v>14.184352181728395</v>
      </c>
      <c r="AP182" s="9"/>
      <c r="AQ182" s="21">
        <v>0.95397900000000002</v>
      </c>
      <c r="AR182" s="21">
        <v>25.61</v>
      </c>
      <c r="AS182" s="21">
        <v>-1.4898700000000001E-2</v>
      </c>
      <c r="AT182" s="21">
        <v>172</v>
      </c>
      <c r="AU182" s="21">
        <v>0.95306400000000002</v>
      </c>
      <c r="AV182">
        <f t="shared" si="32"/>
        <v>18.393456790123455</v>
      </c>
      <c r="AW182">
        <f t="shared" si="33"/>
        <v>17.546971515185184</v>
      </c>
      <c r="AX182" s="9"/>
      <c r="AY182" s="21">
        <v>0.76614400000000005</v>
      </c>
      <c r="AZ182" s="21">
        <v>29.4695</v>
      </c>
      <c r="BA182" s="21">
        <v>-1.4947500000000001E-2</v>
      </c>
      <c r="BB182" s="21">
        <v>172</v>
      </c>
      <c r="BC182" s="21">
        <v>0.76538099999999998</v>
      </c>
      <c r="BD182">
        <f t="shared" si="34"/>
        <v>18.453703703703706</v>
      </c>
      <c r="BE182">
        <f t="shared" si="35"/>
        <v>14.138194370370373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0.94894400000000001</v>
      </c>
      <c r="H183" s="21">
        <v>6.8206100000000003</v>
      </c>
      <c r="I183" s="21">
        <v>-1.4993299999999999E-2</v>
      </c>
      <c r="J183" s="21">
        <v>173</v>
      </c>
      <c r="K183" s="21">
        <v>0.94848600000000005</v>
      </c>
      <c r="L183">
        <f t="shared" si="24"/>
        <v>18.510246913580243</v>
      </c>
      <c r="M183">
        <f t="shared" si="25"/>
        <v>17.56518774716049</v>
      </c>
      <c r="N183" s="9"/>
      <c r="O183" s="21">
        <v>0.77117899999999995</v>
      </c>
      <c r="P183" s="21">
        <v>10.680099999999999</v>
      </c>
      <c r="Q183" s="21">
        <v>-1.4978E-2</v>
      </c>
      <c r="R183" s="21">
        <v>173</v>
      </c>
      <c r="S183" s="21">
        <v>0.76995800000000003</v>
      </c>
      <c r="T183">
        <f t="shared" si="26"/>
        <v>18.491358024691355</v>
      </c>
      <c r="U183">
        <f t="shared" si="27"/>
        <v>14.260146990123454</v>
      </c>
      <c r="X183" s="9"/>
      <c r="Y183" s="21">
        <v>0.94894400000000001</v>
      </c>
      <c r="Z183" s="21">
        <v>16.235800000000001</v>
      </c>
      <c r="AA183" s="21">
        <v>-1.49231E-2</v>
      </c>
      <c r="AB183" s="21">
        <v>173</v>
      </c>
      <c r="AC183" s="21">
        <v>0.94787600000000005</v>
      </c>
      <c r="AD183">
        <f t="shared" si="28"/>
        <v>18.423580246913577</v>
      </c>
      <c r="AE183">
        <f t="shared" si="29"/>
        <v>17.482945933827157</v>
      </c>
      <c r="AF183" s="9"/>
      <c r="AG183" s="21">
        <v>0.77117899999999995</v>
      </c>
      <c r="AH183" s="21">
        <v>20.095300000000002</v>
      </c>
      <c r="AI183" s="21">
        <v>-1.4993299999999999E-2</v>
      </c>
      <c r="AJ183" s="21">
        <v>173</v>
      </c>
      <c r="AK183" s="21">
        <v>0.77026399999999995</v>
      </c>
      <c r="AL183">
        <f t="shared" si="30"/>
        <v>18.510246913580243</v>
      </c>
      <c r="AM183">
        <f t="shared" si="31"/>
        <v>14.274713704567898</v>
      </c>
      <c r="AP183" s="9"/>
      <c r="AQ183" s="21">
        <v>0.94894400000000001</v>
      </c>
      <c r="AR183" s="21">
        <v>25.62</v>
      </c>
      <c r="AS183" s="21">
        <v>-1.49017E-2</v>
      </c>
      <c r="AT183" s="21">
        <v>173</v>
      </c>
      <c r="AU183" s="21">
        <v>0.94787600000000005</v>
      </c>
      <c r="AV183">
        <f t="shared" si="32"/>
        <v>18.397160493827158</v>
      </c>
      <c r="AW183">
        <f t="shared" si="33"/>
        <v>17.457875067654317</v>
      </c>
      <c r="AX183" s="9"/>
      <c r="AY183" s="21">
        <v>0.77117899999999995</v>
      </c>
      <c r="AZ183" s="21">
        <v>29.479500000000002</v>
      </c>
      <c r="BA183" s="21">
        <v>-1.4953599999999999E-2</v>
      </c>
      <c r="BB183" s="21">
        <v>173</v>
      </c>
      <c r="BC183" s="21">
        <v>0.77026399999999995</v>
      </c>
      <c r="BD183">
        <f t="shared" si="34"/>
        <v>18.461234567901233</v>
      </c>
      <c r="BE183">
        <f t="shared" si="35"/>
        <v>14.236916412839504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0.943909</v>
      </c>
      <c r="H184" s="21">
        <v>6.8306800000000001</v>
      </c>
      <c r="I184" s="21">
        <v>-1.4987199999999999E-2</v>
      </c>
      <c r="J184" s="21">
        <v>174</v>
      </c>
      <c r="K184" s="21">
        <v>0.943604</v>
      </c>
      <c r="L184">
        <f t="shared" si="24"/>
        <v>18.502716049382713</v>
      </c>
      <c r="M184">
        <f t="shared" si="25"/>
        <v>17.464880203456786</v>
      </c>
      <c r="N184" s="9"/>
      <c r="O184" s="21">
        <v>0.77621499999999999</v>
      </c>
      <c r="P184" s="21">
        <v>10.690200000000001</v>
      </c>
      <c r="Q184" s="21">
        <v>-1.49841E-2</v>
      </c>
      <c r="R184" s="21">
        <v>174</v>
      </c>
      <c r="S184" s="21">
        <v>0.775146</v>
      </c>
      <c r="T184">
        <f t="shared" si="26"/>
        <v>18.498888888888889</v>
      </c>
      <c r="U184">
        <f t="shared" si="27"/>
        <v>14.359115038888888</v>
      </c>
      <c r="X184" s="9"/>
      <c r="Y184" s="21">
        <v>0.943909</v>
      </c>
      <c r="Z184" s="21">
        <v>16.245899999999999</v>
      </c>
      <c r="AA184" s="21">
        <v>-1.49292E-2</v>
      </c>
      <c r="AB184" s="21">
        <v>174</v>
      </c>
      <c r="AC184" s="21">
        <v>0.94299299999999997</v>
      </c>
      <c r="AD184">
        <f t="shared" si="28"/>
        <v>18.431111111111111</v>
      </c>
      <c r="AE184">
        <f t="shared" si="29"/>
        <v>17.397291657777778</v>
      </c>
      <c r="AF184" s="9"/>
      <c r="AG184" s="21">
        <v>0.77621499999999999</v>
      </c>
      <c r="AH184" s="21">
        <v>20.105399999999999</v>
      </c>
      <c r="AI184" s="21">
        <v>-1.4981100000000001E-2</v>
      </c>
      <c r="AJ184" s="21">
        <v>174</v>
      </c>
      <c r="AK184" s="21">
        <v>0.77545200000000003</v>
      </c>
      <c r="AL184">
        <f t="shared" si="30"/>
        <v>18.495185185185186</v>
      </c>
      <c r="AM184">
        <f t="shared" si="31"/>
        <v>14.356240168518518</v>
      </c>
      <c r="AP184" s="9"/>
      <c r="AQ184" s="21">
        <v>0.943909</v>
      </c>
      <c r="AR184" s="21">
        <v>25.630099999999999</v>
      </c>
      <c r="AS184" s="21">
        <v>-1.49109E-2</v>
      </c>
      <c r="AT184" s="21">
        <v>174</v>
      </c>
      <c r="AU184" s="21">
        <v>0.94329799999999997</v>
      </c>
      <c r="AV184">
        <f t="shared" si="32"/>
        <v>18.408518518518516</v>
      </c>
      <c r="AW184">
        <f t="shared" si="33"/>
        <v>17.375966306296295</v>
      </c>
      <c r="AX184" s="9"/>
      <c r="AY184" s="21">
        <v>0.77621499999999999</v>
      </c>
      <c r="AZ184" s="21">
        <v>29.489599999999999</v>
      </c>
      <c r="BA184" s="21">
        <v>-1.49567E-2</v>
      </c>
      <c r="BB184" s="21">
        <v>174</v>
      </c>
      <c r="BC184" s="21">
        <v>0.774841</v>
      </c>
      <c r="BD184">
        <f t="shared" si="34"/>
        <v>18.46506172839506</v>
      </c>
      <c r="BE184">
        <f t="shared" si="35"/>
        <v>14.332857889506171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0.93887299999999996</v>
      </c>
      <c r="H185" s="21">
        <v>6.8407499999999999</v>
      </c>
      <c r="I185" s="21">
        <v>-1.4996300000000001E-2</v>
      </c>
      <c r="J185" s="21">
        <v>175</v>
      </c>
      <c r="K185" s="21">
        <v>0.93811</v>
      </c>
      <c r="L185">
        <f t="shared" si="24"/>
        <v>18.51395061728395</v>
      </c>
      <c r="M185">
        <f t="shared" si="25"/>
        <v>17.382248357901233</v>
      </c>
      <c r="N185" s="9"/>
      <c r="O185" s="21">
        <v>0.78125</v>
      </c>
      <c r="P185" s="21">
        <v>10.700200000000001</v>
      </c>
      <c r="Q185" s="21">
        <v>-1.4978E-2</v>
      </c>
      <c r="R185" s="21">
        <v>175</v>
      </c>
      <c r="S185" s="21">
        <v>0.78033399999999997</v>
      </c>
      <c r="T185">
        <f t="shared" si="26"/>
        <v>18.491358024691355</v>
      </c>
      <c r="U185">
        <f t="shared" si="27"/>
        <v>14.446373456790122</v>
      </c>
      <c r="X185" s="9"/>
      <c r="Y185" s="21">
        <v>0.93887299999999996</v>
      </c>
      <c r="Z185" s="21">
        <v>16.256</v>
      </c>
      <c r="AA185" s="21">
        <v>-1.4938399999999999E-2</v>
      </c>
      <c r="AB185" s="21">
        <v>175</v>
      </c>
      <c r="AC185" s="21">
        <v>0.937805</v>
      </c>
      <c r="AD185">
        <f t="shared" si="28"/>
        <v>18.442469135802465</v>
      </c>
      <c r="AE185">
        <f t="shared" si="29"/>
        <v>17.315136324938265</v>
      </c>
      <c r="AF185" s="9"/>
      <c r="AG185" s="21">
        <v>0.78125</v>
      </c>
      <c r="AH185" s="21">
        <v>20.115400000000001</v>
      </c>
      <c r="AI185" s="21">
        <v>-1.4987199999999999E-2</v>
      </c>
      <c r="AJ185" s="21">
        <v>175</v>
      </c>
      <c r="AK185" s="21">
        <v>0.78064</v>
      </c>
      <c r="AL185">
        <f t="shared" si="30"/>
        <v>18.502716049382713</v>
      </c>
      <c r="AM185">
        <f t="shared" si="31"/>
        <v>14.455246913580243</v>
      </c>
      <c r="AP185" s="9"/>
      <c r="AQ185" s="21">
        <v>0.93887299999999996</v>
      </c>
      <c r="AR185" s="21">
        <v>25.6402</v>
      </c>
      <c r="AS185" s="21">
        <v>-1.4919999999999999E-2</v>
      </c>
      <c r="AT185" s="21">
        <v>175</v>
      </c>
      <c r="AU185" s="21">
        <v>0.93811</v>
      </c>
      <c r="AV185">
        <f t="shared" si="32"/>
        <v>18.41975308641975</v>
      </c>
      <c r="AW185">
        <f t="shared" si="33"/>
        <v>17.29380883950617</v>
      </c>
      <c r="AX185" s="9"/>
      <c r="AY185" s="21">
        <v>0.78125</v>
      </c>
      <c r="AZ185" s="21">
        <v>29.499700000000001</v>
      </c>
      <c r="BA185" s="21">
        <v>-1.4947500000000001E-2</v>
      </c>
      <c r="BB185" s="21">
        <v>175</v>
      </c>
      <c r="BC185" s="21">
        <v>0.78064</v>
      </c>
      <c r="BD185">
        <f t="shared" si="34"/>
        <v>18.453703703703706</v>
      </c>
      <c r="BE185">
        <f t="shared" si="35"/>
        <v>14.416956018518521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0.93383799999999995</v>
      </c>
      <c r="H186" s="21">
        <v>6.8508199999999997</v>
      </c>
      <c r="I186" s="21">
        <v>-1.5002400000000001E-2</v>
      </c>
      <c r="J186" s="21">
        <v>176</v>
      </c>
      <c r="K186" s="21">
        <v>0.93292200000000003</v>
      </c>
      <c r="L186">
        <f t="shared" si="24"/>
        <v>18.521481481481484</v>
      </c>
      <c r="M186">
        <f t="shared" si="25"/>
        <v>17.296063223703705</v>
      </c>
      <c r="N186" s="9"/>
      <c r="O186" s="21">
        <v>0.78628500000000001</v>
      </c>
      <c r="P186" s="21">
        <v>10.7103</v>
      </c>
      <c r="Q186" s="21">
        <v>-1.49841E-2</v>
      </c>
      <c r="R186" s="21">
        <v>176</v>
      </c>
      <c r="S186" s="21">
        <v>0.78521700000000005</v>
      </c>
      <c r="T186">
        <f t="shared" si="26"/>
        <v>18.498888888888889</v>
      </c>
      <c r="U186">
        <f t="shared" si="27"/>
        <v>14.54539885</v>
      </c>
      <c r="X186" s="9"/>
      <c r="Y186" s="21">
        <v>0.93383799999999995</v>
      </c>
      <c r="Z186" s="21">
        <v>16.265999999999998</v>
      </c>
      <c r="AA186" s="21">
        <v>-1.4944499999999999E-2</v>
      </c>
      <c r="AB186" s="21">
        <v>176</v>
      </c>
      <c r="AC186" s="21">
        <v>0.93231200000000003</v>
      </c>
      <c r="AD186">
        <f t="shared" si="28"/>
        <v>18.45</v>
      </c>
      <c r="AE186">
        <f t="shared" si="29"/>
        <v>17.229311099999997</v>
      </c>
      <c r="AF186" s="9"/>
      <c r="AG186" s="21">
        <v>0.78628500000000001</v>
      </c>
      <c r="AH186" s="21">
        <v>20.125499999999999</v>
      </c>
      <c r="AI186" s="21">
        <v>-1.49841E-2</v>
      </c>
      <c r="AJ186" s="21">
        <v>176</v>
      </c>
      <c r="AK186" s="21">
        <v>0.78521700000000005</v>
      </c>
      <c r="AL186">
        <f t="shared" si="30"/>
        <v>18.498888888888889</v>
      </c>
      <c r="AM186">
        <f t="shared" si="31"/>
        <v>14.54539885</v>
      </c>
      <c r="AP186" s="9"/>
      <c r="AQ186" s="21">
        <v>0.93383799999999995</v>
      </c>
      <c r="AR186" s="21">
        <v>25.650300000000001</v>
      </c>
      <c r="AS186" s="21">
        <v>-1.49353E-2</v>
      </c>
      <c r="AT186" s="21">
        <v>176</v>
      </c>
      <c r="AU186" s="21">
        <v>0.93261700000000003</v>
      </c>
      <c r="AV186">
        <f t="shared" si="32"/>
        <v>18.438641975308641</v>
      </c>
      <c r="AW186">
        <f t="shared" si="33"/>
        <v>17.218704544938269</v>
      </c>
      <c r="AX186" s="9"/>
      <c r="AY186" s="21">
        <v>0.78628500000000001</v>
      </c>
      <c r="AZ186" s="21">
        <v>29.509699999999999</v>
      </c>
      <c r="BA186" s="21">
        <v>-1.4938399999999999E-2</v>
      </c>
      <c r="BB186" s="21">
        <v>176</v>
      </c>
      <c r="BC186" s="21">
        <v>0.78521700000000005</v>
      </c>
      <c r="BD186">
        <f t="shared" si="34"/>
        <v>18.442469135802465</v>
      </c>
      <c r="BE186">
        <f t="shared" si="35"/>
        <v>14.501036844444442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0.92880200000000002</v>
      </c>
      <c r="H187" s="21">
        <v>6.8608900000000004</v>
      </c>
      <c r="I187" s="21">
        <v>-1.5014599999999999E-2</v>
      </c>
      <c r="J187" s="21">
        <v>177</v>
      </c>
      <c r="K187" s="21">
        <v>0.92803999999999998</v>
      </c>
      <c r="L187">
        <f t="shared" si="24"/>
        <v>18.536543209876541</v>
      </c>
      <c r="M187">
        <f t="shared" si="25"/>
        <v>17.216778406419753</v>
      </c>
      <c r="N187" s="9"/>
      <c r="O187" s="21">
        <v>0.79132100000000005</v>
      </c>
      <c r="P187" s="21">
        <v>10.7204</v>
      </c>
      <c r="Q187" s="21">
        <v>-1.49841E-2</v>
      </c>
      <c r="R187" s="21">
        <v>177</v>
      </c>
      <c r="S187" s="21">
        <v>0.78979500000000002</v>
      </c>
      <c r="T187">
        <f t="shared" si="26"/>
        <v>18.498888888888889</v>
      </c>
      <c r="U187">
        <f t="shared" si="27"/>
        <v>14.638559254444445</v>
      </c>
      <c r="X187" s="9"/>
      <c r="Y187" s="21">
        <v>0.92880200000000002</v>
      </c>
      <c r="Z187" s="21">
        <v>16.2761</v>
      </c>
      <c r="AA187" s="21">
        <v>-1.49567E-2</v>
      </c>
      <c r="AB187" s="21">
        <v>177</v>
      </c>
      <c r="AC187" s="21">
        <v>0.92712399999999995</v>
      </c>
      <c r="AD187">
        <f t="shared" si="28"/>
        <v>18.46506172839506</v>
      </c>
      <c r="AE187">
        <f t="shared" si="29"/>
        <v>17.150386263456788</v>
      </c>
      <c r="AF187" s="9"/>
      <c r="AG187" s="21">
        <v>0.79132100000000005</v>
      </c>
      <c r="AH187" s="21">
        <v>20.1356</v>
      </c>
      <c r="AI187" s="21">
        <v>-1.4987199999999999E-2</v>
      </c>
      <c r="AJ187" s="21">
        <v>177</v>
      </c>
      <c r="AK187" s="21">
        <v>0.79071000000000002</v>
      </c>
      <c r="AL187">
        <f t="shared" si="30"/>
        <v>18.502716049382713</v>
      </c>
      <c r="AM187">
        <f t="shared" si="31"/>
        <v>14.641587766913579</v>
      </c>
      <c r="AP187" s="9"/>
      <c r="AQ187" s="21">
        <v>0.92880200000000002</v>
      </c>
      <c r="AR187" s="21">
        <v>25.660299999999999</v>
      </c>
      <c r="AS187" s="21">
        <v>-1.4938399999999999E-2</v>
      </c>
      <c r="AT187" s="21">
        <v>177</v>
      </c>
      <c r="AU187" s="21">
        <v>0.92742899999999995</v>
      </c>
      <c r="AV187">
        <f t="shared" si="32"/>
        <v>18.442469135802465</v>
      </c>
      <c r="AW187">
        <f t="shared" si="33"/>
        <v>17.129402218271601</v>
      </c>
      <c r="AX187" s="9"/>
      <c r="AY187" s="21">
        <v>0.79132100000000005</v>
      </c>
      <c r="AZ187" s="21">
        <v>29.5198</v>
      </c>
      <c r="BA187" s="21">
        <v>-1.4941400000000001E-2</v>
      </c>
      <c r="BB187" s="21">
        <v>177</v>
      </c>
      <c r="BC187" s="21">
        <v>0.79071000000000002</v>
      </c>
      <c r="BD187">
        <f t="shared" si="34"/>
        <v>18.446172839506172</v>
      </c>
      <c r="BE187">
        <f t="shared" si="35"/>
        <v>14.596843937530865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0.923767</v>
      </c>
      <c r="H188" s="21">
        <v>6.8709600000000002</v>
      </c>
      <c r="I188" s="21">
        <v>-1.50177E-2</v>
      </c>
      <c r="J188" s="21">
        <v>178</v>
      </c>
      <c r="K188" s="21">
        <v>0.92315700000000001</v>
      </c>
      <c r="L188">
        <f t="shared" si="24"/>
        <v>18.540370370370372</v>
      </c>
      <c r="M188">
        <f t="shared" si="25"/>
        <v>17.126982315925929</v>
      </c>
      <c r="N188" s="9"/>
      <c r="O188" s="21">
        <v>0.79635599999999995</v>
      </c>
      <c r="P188" s="21">
        <v>10.730399999999999</v>
      </c>
      <c r="Q188" s="21">
        <v>-1.49841E-2</v>
      </c>
      <c r="R188" s="21">
        <v>178</v>
      </c>
      <c r="S188" s="21">
        <v>0.79528799999999999</v>
      </c>
      <c r="T188">
        <f t="shared" si="26"/>
        <v>18.498888888888889</v>
      </c>
      <c r="U188">
        <f t="shared" si="27"/>
        <v>14.731701159999998</v>
      </c>
      <c r="X188" s="9"/>
      <c r="Y188" s="21">
        <v>0.923767</v>
      </c>
      <c r="Z188" s="21">
        <v>16.286200000000001</v>
      </c>
      <c r="AA188" s="21">
        <v>-1.49658E-2</v>
      </c>
      <c r="AB188" s="21">
        <v>178</v>
      </c>
      <c r="AC188" s="21">
        <v>0.92346200000000001</v>
      </c>
      <c r="AD188">
        <f t="shared" si="28"/>
        <v>18.476296296296297</v>
      </c>
      <c r="AE188">
        <f t="shared" si="29"/>
        <v>17.06779280074074</v>
      </c>
      <c r="AF188" s="9"/>
      <c r="AG188" s="21">
        <v>0.79635599999999995</v>
      </c>
      <c r="AH188" s="21">
        <v>20.145600000000002</v>
      </c>
      <c r="AI188" s="21">
        <v>-1.5002400000000001E-2</v>
      </c>
      <c r="AJ188" s="21">
        <v>178</v>
      </c>
      <c r="AK188" s="21">
        <v>0.79559299999999999</v>
      </c>
      <c r="AL188">
        <f t="shared" si="30"/>
        <v>18.521481481481484</v>
      </c>
      <c r="AM188">
        <f t="shared" si="31"/>
        <v>14.749692906666667</v>
      </c>
      <c r="AP188" s="9"/>
      <c r="AQ188" s="21">
        <v>0.923767</v>
      </c>
      <c r="AR188" s="21">
        <v>25.670400000000001</v>
      </c>
      <c r="AS188" s="21">
        <v>-1.4926099999999999E-2</v>
      </c>
      <c r="AT188" s="21">
        <v>178</v>
      </c>
      <c r="AU188" s="21">
        <v>0.92285200000000001</v>
      </c>
      <c r="AV188">
        <f t="shared" si="32"/>
        <v>18.427283950617284</v>
      </c>
      <c r="AW188">
        <f t="shared" si="33"/>
        <v>17.022516813209876</v>
      </c>
      <c r="AX188" s="9"/>
      <c r="AY188" s="21">
        <v>0.79635599999999995</v>
      </c>
      <c r="AZ188" s="21">
        <v>29.529900000000001</v>
      </c>
      <c r="BA188" s="21">
        <v>-1.4938399999999999E-2</v>
      </c>
      <c r="BB188" s="21">
        <v>178</v>
      </c>
      <c r="BC188" s="21">
        <v>0.79559299999999999</v>
      </c>
      <c r="BD188">
        <f t="shared" si="34"/>
        <v>18.442469135802465</v>
      </c>
      <c r="BE188">
        <f t="shared" si="35"/>
        <v>14.686770951111107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0.91873199999999999</v>
      </c>
      <c r="H189" s="21">
        <v>6.88103</v>
      </c>
      <c r="I189" s="21">
        <v>-1.50177E-2</v>
      </c>
      <c r="J189" s="21">
        <v>179</v>
      </c>
      <c r="K189" s="21">
        <v>0.91796900000000003</v>
      </c>
      <c r="L189">
        <f t="shared" si="24"/>
        <v>18.540370370370372</v>
      </c>
      <c r="M189">
        <f t="shared" si="25"/>
        <v>17.033631551111114</v>
      </c>
      <c r="N189" s="9"/>
      <c r="O189" s="21">
        <v>0.80139199999999999</v>
      </c>
      <c r="P189" s="21">
        <v>10.740500000000001</v>
      </c>
      <c r="Q189" s="21">
        <v>-1.49841E-2</v>
      </c>
      <c r="R189" s="21">
        <v>179</v>
      </c>
      <c r="S189" s="21">
        <v>0.80078099999999997</v>
      </c>
      <c r="T189">
        <f t="shared" si="26"/>
        <v>18.498888888888889</v>
      </c>
      <c r="U189">
        <f t="shared" si="27"/>
        <v>14.824861564444443</v>
      </c>
      <c r="X189" s="9"/>
      <c r="Y189" s="21">
        <v>0.91873199999999999</v>
      </c>
      <c r="Z189" s="21">
        <v>16.296199999999999</v>
      </c>
      <c r="AA189" s="21">
        <v>-1.49902E-2</v>
      </c>
      <c r="AB189" s="21">
        <v>179</v>
      </c>
      <c r="AC189" s="21">
        <v>0.91796900000000003</v>
      </c>
      <c r="AD189">
        <f t="shared" si="28"/>
        <v>18.506419753086419</v>
      </c>
      <c r="AE189">
        <f t="shared" si="29"/>
        <v>17.002440032592592</v>
      </c>
      <c r="AF189" s="9"/>
      <c r="AG189" s="21">
        <v>0.80139199999999999</v>
      </c>
      <c r="AH189" s="21">
        <v>20.1557</v>
      </c>
      <c r="AI189" s="21">
        <v>-1.50116E-2</v>
      </c>
      <c r="AJ189" s="21">
        <v>179</v>
      </c>
      <c r="AK189" s="21">
        <v>0.80108599999999996</v>
      </c>
      <c r="AL189">
        <f t="shared" si="30"/>
        <v>18.532839506172838</v>
      </c>
      <c r="AM189">
        <f t="shared" si="31"/>
        <v>14.852069317530862</v>
      </c>
      <c r="AP189" s="9"/>
      <c r="AQ189" s="21">
        <v>0.91873199999999999</v>
      </c>
      <c r="AR189" s="21">
        <v>25.680499999999999</v>
      </c>
      <c r="AS189" s="21">
        <v>-1.49231E-2</v>
      </c>
      <c r="AT189" s="21">
        <v>179</v>
      </c>
      <c r="AU189" s="21">
        <v>0.91796900000000003</v>
      </c>
      <c r="AV189">
        <f t="shared" si="32"/>
        <v>18.423580246913577</v>
      </c>
      <c r="AW189">
        <f t="shared" si="33"/>
        <v>16.926332727407406</v>
      </c>
      <c r="AX189" s="9"/>
      <c r="AY189" s="21">
        <v>0.80139199999999999</v>
      </c>
      <c r="AZ189" s="21">
        <v>29.54</v>
      </c>
      <c r="BA189" s="21">
        <v>-1.4938399999999999E-2</v>
      </c>
      <c r="BB189" s="21">
        <v>179</v>
      </c>
      <c r="BC189" s="21">
        <v>0.80047599999999997</v>
      </c>
      <c r="BD189">
        <f t="shared" si="34"/>
        <v>18.442469135802465</v>
      </c>
      <c r="BE189">
        <f t="shared" si="35"/>
        <v>14.779647225679009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0.91369599999999995</v>
      </c>
      <c r="H190" s="21">
        <v>6.8910999999999998</v>
      </c>
      <c r="I190" s="21">
        <v>-1.50238E-2</v>
      </c>
      <c r="J190" s="21">
        <v>180</v>
      </c>
      <c r="K190" s="21">
        <v>0.91278099999999995</v>
      </c>
      <c r="L190">
        <f t="shared" si="24"/>
        <v>18.547901234567902</v>
      </c>
      <c r="M190">
        <f t="shared" si="25"/>
        <v>16.947143166419753</v>
      </c>
      <c r="N190" s="9"/>
      <c r="O190" s="21">
        <v>0.806427</v>
      </c>
      <c r="P190" s="21">
        <v>10.7506</v>
      </c>
      <c r="Q190" s="21">
        <v>-1.4975E-2</v>
      </c>
      <c r="R190" s="21">
        <v>180</v>
      </c>
      <c r="S190" s="21">
        <v>0.80566400000000005</v>
      </c>
      <c r="T190">
        <f t="shared" si="26"/>
        <v>18.487654320987652</v>
      </c>
      <c r="U190">
        <f t="shared" si="27"/>
        <v>14.908943611111109</v>
      </c>
      <c r="X190" s="9"/>
      <c r="Y190" s="21">
        <v>0.91369599999999995</v>
      </c>
      <c r="Z190" s="21">
        <v>16.3063</v>
      </c>
      <c r="AA190" s="21">
        <v>-1.50055E-2</v>
      </c>
      <c r="AB190" s="21">
        <v>180</v>
      </c>
      <c r="AC190" s="21">
        <v>0.91278099999999995</v>
      </c>
      <c r="AD190">
        <f t="shared" si="28"/>
        <v>18.525308641975307</v>
      </c>
      <c r="AE190">
        <f t="shared" si="29"/>
        <v>16.92650040493827</v>
      </c>
      <c r="AF190" s="9"/>
      <c r="AG190" s="21">
        <v>0.806427</v>
      </c>
      <c r="AH190" s="21">
        <v>20.165800000000001</v>
      </c>
      <c r="AI190" s="21">
        <v>-1.50116E-2</v>
      </c>
      <c r="AJ190" s="21">
        <v>180</v>
      </c>
      <c r="AK190" s="21">
        <v>0.80535900000000005</v>
      </c>
      <c r="AL190">
        <f t="shared" si="30"/>
        <v>18.532839506172838</v>
      </c>
      <c r="AM190">
        <f t="shared" si="31"/>
        <v>14.945382164444442</v>
      </c>
      <c r="AP190" s="9"/>
      <c r="AQ190" s="21">
        <v>0.91369599999999995</v>
      </c>
      <c r="AR190" s="21">
        <v>25.6905</v>
      </c>
      <c r="AS190" s="21">
        <v>-1.49353E-2</v>
      </c>
      <c r="AT190" s="21">
        <v>180</v>
      </c>
      <c r="AU190" s="21">
        <v>0.91278099999999995</v>
      </c>
      <c r="AV190">
        <f t="shared" si="32"/>
        <v>18.438641975308641</v>
      </c>
      <c r="AW190">
        <f t="shared" si="33"/>
        <v>16.847313418271604</v>
      </c>
      <c r="AX190" s="9"/>
      <c r="AY190" s="21">
        <v>0.806427</v>
      </c>
      <c r="AZ190" s="21">
        <v>29.55</v>
      </c>
      <c r="BA190" s="21">
        <v>-1.4941400000000001E-2</v>
      </c>
      <c r="BB190" s="21">
        <v>180</v>
      </c>
      <c r="BC190" s="21">
        <v>0.80474900000000005</v>
      </c>
      <c r="BD190">
        <f t="shared" si="34"/>
        <v>18.446172839506172</v>
      </c>
      <c r="BE190">
        <f t="shared" si="35"/>
        <v>14.875491824444444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0.90866100000000005</v>
      </c>
      <c r="H191" s="21">
        <v>6.9011699999999996</v>
      </c>
      <c r="I191" s="21">
        <v>-1.5026899999999999E-2</v>
      </c>
      <c r="J191" s="21">
        <v>181</v>
      </c>
      <c r="K191" s="21">
        <v>0.90728799999999998</v>
      </c>
      <c r="L191">
        <f t="shared" si="24"/>
        <v>18.551728395061726</v>
      </c>
      <c r="M191">
        <f t="shared" si="25"/>
        <v>16.857232075185184</v>
      </c>
      <c r="N191" s="9"/>
      <c r="O191" s="21">
        <v>0.81146200000000002</v>
      </c>
      <c r="P191" s="21">
        <v>10.7606</v>
      </c>
      <c r="Q191" s="21">
        <v>-1.4975E-2</v>
      </c>
      <c r="R191" s="21">
        <v>181</v>
      </c>
      <c r="S191" s="21">
        <v>0.80993700000000002</v>
      </c>
      <c r="T191">
        <f t="shared" si="26"/>
        <v>18.487654320987652</v>
      </c>
      <c r="U191">
        <f t="shared" si="27"/>
        <v>15.002028950617282</v>
      </c>
      <c r="X191" s="9"/>
      <c r="Y191" s="21">
        <v>0.90866100000000005</v>
      </c>
      <c r="Z191" s="21">
        <v>16.316400000000002</v>
      </c>
      <c r="AA191" s="21">
        <v>-1.50116E-2</v>
      </c>
      <c r="AB191" s="21">
        <v>181</v>
      </c>
      <c r="AC191" s="21">
        <v>0.90759299999999998</v>
      </c>
      <c r="AD191">
        <f t="shared" si="28"/>
        <v>18.532839506172838</v>
      </c>
      <c r="AE191">
        <f t="shared" si="29"/>
        <v>16.840068478518518</v>
      </c>
      <c r="AF191" s="9"/>
      <c r="AG191" s="21">
        <v>0.81146200000000002</v>
      </c>
      <c r="AH191" s="21">
        <v>20.175899999999999</v>
      </c>
      <c r="AI191" s="21">
        <v>-1.50116E-2</v>
      </c>
      <c r="AJ191" s="21">
        <v>181</v>
      </c>
      <c r="AK191" s="21">
        <v>0.81085200000000002</v>
      </c>
      <c r="AL191">
        <f t="shared" si="30"/>
        <v>18.532839506172838</v>
      </c>
      <c r="AM191">
        <f t="shared" si="31"/>
        <v>15.038695011358024</v>
      </c>
      <c r="AP191" s="9"/>
      <c r="AQ191" s="21">
        <v>0.90866100000000005</v>
      </c>
      <c r="AR191" s="21">
        <v>25.700600000000001</v>
      </c>
      <c r="AS191" s="21">
        <v>-1.4941400000000001E-2</v>
      </c>
      <c r="AT191" s="21">
        <v>181</v>
      </c>
      <c r="AU191" s="21">
        <v>0.90759299999999998</v>
      </c>
      <c r="AV191">
        <f t="shared" si="32"/>
        <v>18.446172839506172</v>
      </c>
      <c r="AW191">
        <f t="shared" si="33"/>
        <v>16.76131785851852</v>
      </c>
      <c r="AX191" s="9"/>
      <c r="AY191" s="21">
        <v>0.81146200000000002</v>
      </c>
      <c r="AZ191" s="21">
        <v>29.560099999999998</v>
      </c>
      <c r="BA191" s="21">
        <v>-1.49353E-2</v>
      </c>
      <c r="BB191" s="21">
        <v>181</v>
      </c>
      <c r="BC191" s="21">
        <v>0.81054700000000002</v>
      </c>
      <c r="BD191">
        <f t="shared" si="34"/>
        <v>18.438641975308641</v>
      </c>
      <c r="BE191">
        <f t="shared" si="35"/>
        <v>14.962257294567902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0.90362500000000001</v>
      </c>
      <c r="H192" s="21">
        <v>6.9112400000000003</v>
      </c>
      <c r="I192" s="21">
        <v>-1.5020800000000001E-2</v>
      </c>
      <c r="J192" s="21">
        <v>182</v>
      </c>
      <c r="K192" s="21">
        <v>0.90301500000000001</v>
      </c>
      <c r="L192">
        <f t="shared" si="24"/>
        <v>18.544197530864199</v>
      </c>
      <c r="M192">
        <f t="shared" si="25"/>
        <v>16.757000493827164</v>
      </c>
      <c r="N192" s="9"/>
      <c r="O192" s="21">
        <v>0.81649799999999995</v>
      </c>
      <c r="P192" s="21">
        <v>10.7707</v>
      </c>
      <c r="Q192" s="21">
        <v>-1.49689E-2</v>
      </c>
      <c r="R192" s="21">
        <v>182</v>
      </c>
      <c r="S192" s="21">
        <v>0.81542999999999999</v>
      </c>
      <c r="T192">
        <f t="shared" si="26"/>
        <v>18.480123456790125</v>
      </c>
      <c r="U192">
        <f t="shared" si="27"/>
        <v>15.088983842222222</v>
      </c>
      <c r="X192" s="9"/>
      <c r="Y192" s="21">
        <v>0.90362500000000001</v>
      </c>
      <c r="Z192" s="21">
        <v>16.326499999999999</v>
      </c>
      <c r="AA192" s="21">
        <v>-1.49994E-2</v>
      </c>
      <c r="AB192" s="21">
        <v>182</v>
      </c>
      <c r="AC192" s="21">
        <v>0.90301500000000001</v>
      </c>
      <c r="AD192">
        <f t="shared" si="28"/>
        <v>18.517777777777777</v>
      </c>
      <c r="AE192">
        <f t="shared" si="29"/>
        <v>16.733126944444443</v>
      </c>
      <c r="AF192" s="9"/>
      <c r="AG192" s="21">
        <v>0.81649799999999995</v>
      </c>
      <c r="AH192" s="21">
        <v>20.1859</v>
      </c>
      <c r="AI192" s="21">
        <v>-1.5008499999999999E-2</v>
      </c>
      <c r="AJ192" s="21">
        <v>182</v>
      </c>
      <c r="AK192" s="21">
        <v>0.81603999999999999</v>
      </c>
      <c r="AL192">
        <f t="shared" si="30"/>
        <v>18.529012345679011</v>
      </c>
      <c r="AM192">
        <f t="shared" si="31"/>
        <v>15.12890152222222</v>
      </c>
      <c r="AP192" s="9"/>
      <c r="AQ192" s="21">
        <v>0.90362500000000001</v>
      </c>
      <c r="AR192" s="21">
        <v>25.710699999999999</v>
      </c>
      <c r="AS192" s="21">
        <v>-1.4944499999999999E-2</v>
      </c>
      <c r="AT192" s="21">
        <v>182</v>
      </c>
      <c r="AU192" s="21">
        <v>0.90301500000000001</v>
      </c>
      <c r="AV192">
        <f t="shared" si="32"/>
        <v>18.45</v>
      </c>
      <c r="AW192">
        <f t="shared" si="33"/>
        <v>16.671881249999998</v>
      </c>
      <c r="AX192" s="9"/>
      <c r="AY192" s="21">
        <v>0.81649799999999995</v>
      </c>
      <c r="AZ192" s="21">
        <v>29.5702</v>
      </c>
      <c r="BA192" s="21">
        <v>-1.49292E-2</v>
      </c>
      <c r="BB192" s="21">
        <v>182</v>
      </c>
      <c r="BC192" s="21">
        <v>0.81542999999999999</v>
      </c>
      <c r="BD192">
        <f t="shared" si="34"/>
        <v>18.431111111111111</v>
      </c>
      <c r="BE192">
        <f t="shared" si="35"/>
        <v>15.048965359999999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0.89859</v>
      </c>
      <c r="H193" s="21">
        <v>6.9213199999999997</v>
      </c>
      <c r="I193" s="21">
        <v>-1.5014599999999999E-2</v>
      </c>
      <c r="J193" s="21">
        <v>183</v>
      </c>
      <c r="K193" s="21">
        <v>0.89782700000000004</v>
      </c>
      <c r="L193">
        <f t="shared" si="24"/>
        <v>18.536543209876541</v>
      </c>
      <c r="M193">
        <f t="shared" si="25"/>
        <v>16.656752362962962</v>
      </c>
      <c r="N193" s="9"/>
      <c r="O193" s="21">
        <v>0.82153299999999996</v>
      </c>
      <c r="P193" s="21">
        <v>10.780799999999999</v>
      </c>
      <c r="Q193" s="21">
        <v>-1.4953599999999999E-2</v>
      </c>
      <c r="R193" s="21">
        <v>183</v>
      </c>
      <c r="S193" s="21">
        <v>0.82061799999999996</v>
      </c>
      <c r="T193">
        <f t="shared" si="26"/>
        <v>18.461234567901233</v>
      </c>
      <c r="U193">
        <f t="shared" si="27"/>
        <v>15.166513418271602</v>
      </c>
      <c r="X193" s="9"/>
      <c r="Y193" s="21">
        <v>0.89859</v>
      </c>
      <c r="Z193" s="21">
        <v>16.336500000000001</v>
      </c>
      <c r="AA193" s="21">
        <v>-1.49902E-2</v>
      </c>
      <c r="AB193" s="21">
        <v>183</v>
      </c>
      <c r="AC193" s="21">
        <v>0.89782700000000004</v>
      </c>
      <c r="AD193">
        <f t="shared" si="28"/>
        <v>18.506419753086419</v>
      </c>
      <c r="AE193">
        <f t="shared" si="29"/>
        <v>16.629683725925926</v>
      </c>
      <c r="AF193" s="9"/>
      <c r="AG193" s="21">
        <v>0.82153299999999996</v>
      </c>
      <c r="AH193" s="21">
        <v>20.196000000000002</v>
      </c>
      <c r="AI193" s="21">
        <v>-1.49994E-2</v>
      </c>
      <c r="AJ193" s="21">
        <v>183</v>
      </c>
      <c r="AK193" s="21">
        <v>0.82092299999999996</v>
      </c>
      <c r="AL193">
        <f t="shared" si="30"/>
        <v>18.517777777777777</v>
      </c>
      <c r="AM193">
        <f t="shared" si="31"/>
        <v>15.212965531111109</v>
      </c>
      <c r="AP193" s="9"/>
      <c r="AQ193" s="21">
        <v>0.89859</v>
      </c>
      <c r="AR193" s="21">
        <v>25.720800000000001</v>
      </c>
      <c r="AS193" s="21">
        <v>-1.4944499999999999E-2</v>
      </c>
      <c r="AT193" s="21">
        <v>183</v>
      </c>
      <c r="AU193" s="21">
        <v>0.89782700000000004</v>
      </c>
      <c r="AV193">
        <f t="shared" si="32"/>
        <v>18.45</v>
      </c>
      <c r="AW193">
        <f t="shared" si="33"/>
        <v>16.578985499999998</v>
      </c>
      <c r="AX193" s="9"/>
      <c r="AY193" s="21">
        <v>0.82153299999999996</v>
      </c>
      <c r="AZ193" s="21">
        <v>29.580200000000001</v>
      </c>
      <c r="BA193" s="21">
        <v>-1.49292E-2</v>
      </c>
      <c r="BB193" s="21">
        <v>183</v>
      </c>
      <c r="BC193" s="21">
        <v>0.82061799999999996</v>
      </c>
      <c r="BD193">
        <f t="shared" si="34"/>
        <v>18.431111111111111</v>
      </c>
      <c r="BE193">
        <f t="shared" si="35"/>
        <v>15.141766004444444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0.89355499999999999</v>
      </c>
      <c r="H194" s="21">
        <v>6.9313900000000004</v>
      </c>
      <c r="I194" s="21">
        <v>-1.50055E-2</v>
      </c>
      <c r="J194" s="21">
        <v>184</v>
      </c>
      <c r="K194" s="21">
        <v>0.89263899999999996</v>
      </c>
      <c r="L194">
        <f t="shared" si="24"/>
        <v>18.525308641975307</v>
      </c>
      <c r="M194">
        <f t="shared" si="25"/>
        <v>16.553382163580245</v>
      </c>
      <c r="N194" s="9"/>
      <c r="O194" s="21">
        <v>0.826569</v>
      </c>
      <c r="P194" s="21">
        <v>10.790900000000001</v>
      </c>
      <c r="Q194" s="21">
        <v>-1.4947500000000001E-2</v>
      </c>
      <c r="R194" s="21">
        <v>184</v>
      </c>
      <c r="S194" s="21">
        <v>0.82580600000000004</v>
      </c>
      <c r="T194">
        <f t="shared" si="26"/>
        <v>18.453703703703706</v>
      </c>
      <c r="U194">
        <f t="shared" si="27"/>
        <v>15.253259416666669</v>
      </c>
      <c r="X194" s="9"/>
      <c r="Y194" s="21">
        <v>0.89355499999999999</v>
      </c>
      <c r="Z194" s="21">
        <v>16.346599999999999</v>
      </c>
      <c r="AA194" s="21">
        <v>-1.4993299999999999E-2</v>
      </c>
      <c r="AB194" s="21">
        <v>184</v>
      </c>
      <c r="AC194" s="21">
        <v>0.89324999999999999</v>
      </c>
      <c r="AD194">
        <f t="shared" si="28"/>
        <v>18.510246913580243</v>
      </c>
      <c r="AE194">
        <f t="shared" si="29"/>
        <v>16.539923680864195</v>
      </c>
      <c r="AF194" s="9"/>
      <c r="AG194" s="21">
        <v>0.826569</v>
      </c>
      <c r="AH194" s="21">
        <v>20.206099999999999</v>
      </c>
      <c r="AI194" s="21">
        <v>-1.4981100000000001E-2</v>
      </c>
      <c r="AJ194" s="21">
        <v>184</v>
      </c>
      <c r="AK194" s="21">
        <v>0.82580600000000004</v>
      </c>
      <c r="AL194">
        <f t="shared" si="30"/>
        <v>18.495185185185186</v>
      </c>
      <c r="AM194">
        <f t="shared" si="31"/>
        <v>15.287546723333334</v>
      </c>
      <c r="AP194" s="9"/>
      <c r="AQ194" s="21">
        <v>0.89355499999999999</v>
      </c>
      <c r="AR194" s="21">
        <v>25.730799999999999</v>
      </c>
      <c r="AS194" s="21">
        <v>-1.4947500000000001E-2</v>
      </c>
      <c r="AT194" s="21">
        <v>184</v>
      </c>
      <c r="AU194" s="21">
        <v>0.89263899999999996</v>
      </c>
      <c r="AV194">
        <f t="shared" si="32"/>
        <v>18.453703703703706</v>
      </c>
      <c r="AW194">
        <f t="shared" si="33"/>
        <v>16.489399212962965</v>
      </c>
      <c r="AX194" s="9"/>
      <c r="AY194" s="21">
        <v>0.826569</v>
      </c>
      <c r="AZ194" s="21">
        <v>29.590299999999999</v>
      </c>
      <c r="BA194" s="21">
        <v>-1.4926099999999999E-2</v>
      </c>
      <c r="BB194" s="21">
        <v>184</v>
      </c>
      <c r="BC194" s="21">
        <v>0.82519500000000001</v>
      </c>
      <c r="BD194">
        <f t="shared" si="34"/>
        <v>18.427283950617284</v>
      </c>
      <c r="BE194">
        <f t="shared" si="35"/>
        <v>15.231421667777777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0.88851899999999995</v>
      </c>
      <c r="H195" s="21">
        <v>6.9414600000000002</v>
      </c>
      <c r="I195" s="21">
        <v>-1.5014599999999999E-2</v>
      </c>
      <c r="J195" s="21">
        <v>185</v>
      </c>
      <c r="K195" s="21">
        <v>0.88714599999999999</v>
      </c>
      <c r="L195">
        <f t="shared" si="24"/>
        <v>18.536543209876541</v>
      </c>
      <c r="M195">
        <f t="shared" si="25"/>
        <v>16.470070836296294</v>
      </c>
      <c r="N195" s="9"/>
      <c r="O195" s="21">
        <v>0.83160400000000001</v>
      </c>
      <c r="P195" s="21">
        <v>10.8009</v>
      </c>
      <c r="Q195" s="21">
        <v>-1.4938399999999999E-2</v>
      </c>
      <c r="R195" s="21">
        <v>185</v>
      </c>
      <c r="S195" s="21">
        <v>0.83068799999999998</v>
      </c>
      <c r="T195">
        <f t="shared" si="26"/>
        <v>18.442469135802465</v>
      </c>
      <c r="U195">
        <f t="shared" si="27"/>
        <v>15.336831103209873</v>
      </c>
      <c r="X195" s="9"/>
      <c r="Y195" s="21">
        <v>0.88851899999999995</v>
      </c>
      <c r="Z195" s="21">
        <v>16.3567</v>
      </c>
      <c r="AA195" s="21">
        <v>-1.5002400000000001E-2</v>
      </c>
      <c r="AB195" s="21">
        <v>185</v>
      </c>
      <c r="AC195" s="21">
        <v>0.88745099999999999</v>
      </c>
      <c r="AD195">
        <f t="shared" si="28"/>
        <v>18.521481481481484</v>
      </c>
      <c r="AE195">
        <f t="shared" si="29"/>
        <v>16.456688204444447</v>
      </c>
      <c r="AF195" s="9"/>
      <c r="AG195" s="21">
        <v>0.83160400000000001</v>
      </c>
      <c r="AH195" s="21">
        <v>20.216100000000001</v>
      </c>
      <c r="AI195" s="21">
        <v>-1.49628E-2</v>
      </c>
      <c r="AJ195" s="21">
        <v>185</v>
      </c>
      <c r="AK195" s="21">
        <v>0.83068799999999998</v>
      </c>
      <c r="AL195">
        <f t="shared" si="30"/>
        <v>18.472592592592594</v>
      </c>
      <c r="AM195">
        <f t="shared" si="31"/>
        <v>15.361881890370372</v>
      </c>
      <c r="AP195" s="9"/>
      <c r="AQ195" s="21">
        <v>0.88851899999999995</v>
      </c>
      <c r="AR195" s="21">
        <v>25.7409</v>
      </c>
      <c r="AS195" s="21">
        <v>-1.49506E-2</v>
      </c>
      <c r="AT195" s="21">
        <v>185</v>
      </c>
      <c r="AU195" s="21">
        <v>0.88775599999999999</v>
      </c>
      <c r="AV195">
        <f t="shared" si="32"/>
        <v>18.45753086419753</v>
      </c>
      <c r="AW195">
        <f t="shared" si="33"/>
        <v>16.399866865925922</v>
      </c>
      <c r="AX195" s="9"/>
      <c r="AY195" s="21">
        <v>0.83160400000000001</v>
      </c>
      <c r="AZ195" s="21">
        <v>29.6004</v>
      </c>
      <c r="BA195" s="21">
        <v>-1.4919999999999999E-2</v>
      </c>
      <c r="BB195" s="21">
        <v>185</v>
      </c>
      <c r="BC195" s="21">
        <v>0.83160400000000001</v>
      </c>
      <c r="BD195">
        <f t="shared" si="34"/>
        <v>18.41975308641975</v>
      </c>
      <c r="BE195">
        <f t="shared" si="35"/>
        <v>15.317940345679009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0.88348400000000005</v>
      </c>
      <c r="H196" s="21">
        <v>6.95153</v>
      </c>
      <c r="I196" s="21">
        <v>-1.50177E-2</v>
      </c>
      <c r="J196" s="21">
        <v>186</v>
      </c>
      <c r="K196" s="21">
        <v>0.88195800000000002</v>
      </c>
      <c r="L196">
        <f t="shared" si="24"/>
        <v>18.540370370370372</v>
      </c>
      <c r="M196">
        <f t="shared" si="25"/>
        <v>16.380120576296299</v>
      </c>
      <c r="N196" s="9"/>
      <c r="O196" s="21">
        <v>0.83663900000000002</v>
      </c>
      <c r="P196" s="21">
        <v>10.811</v>
      </c>
      <c r="Q196" s="21">
        <v>-1.49353E-2</v>
      </c>
      <c r="R196" s="21">
        <v>186</v>
      </c>
      <c r="S196" s="21">
        <v>0.83557099999999995</v>
      </c>
      <c r="T196">
        <f t="shared" si="26"/>
        <v>18.438641975308641</v>
      </c>
      <c r="U196">
        <f t="shared" si="27"/>
        <v>15.426486983580247</v>
      </c>
      <c r="X196" s="9"/>
      <c r="Y196" s="21">
        <v>0.88348400000000005</v>
      </c>
      <c r="Z196" s="21">
        <v>16.366700000000002</v>
      </c>
      <c r="AA196" s="21">
        <v>-1.50177E-2</v>
      </c>
      <c r="AB196" s="21">
        <v>186</v>
      </c>
      <c r="AC196" s="21">
        <v>0.88226300000000002</v>
      </c>
      <c r="AD196">
        <f t="shared" si="28"/>
        <v>18.540370370370372</v>
      </c>
      <c r="AE196">
        <f t="shared" si="29"/>
        <v>16.380120576296299</v>
      </c>
      <c r="AF196" s="9"/>
      <c r="AG196" s="21">
        <v>0.83663900000000002</v>
      </c>
      <c r="AH196" s="21">
        <v>20.226199999999999</v>
      </c>
      <c r="AI196" s="21">
        <v>-1.4938399999999999E-2</v>
      </c>
      <c r="AJ196" s="21">
        <v>186</v>
      </c>
      <c r="AK196" s="21">
        <v>0.83587599999999995</v>
      </c>
      <c r="AL196">
        <f t="shared" si="30"/>
        <v>18.442469135802465</v>
      </c>
      <c r="AM196">
        <f t="shared" si="31"/>
        <v>15.42968893530864</v>
      </c>
      <c r="AP196" s="9"/>
      <c r="AQ196" s="21">
        <v>0.88348400000000005</v>
      </c>
      <c r="AR196" s="21">
        <v>25.751000000000001</v>
      </c>
      <c r="AS196" s="21">
        <v>-1.4953599999999999E-2</v>
      </c>
      <c r="AT196" s="21">
        <v>186</v>
      </c>
      <c r="AU196" s="21">
        <v>0.88226300000000002</v>
      </c>
      <c r="AV196">
        <f t="shared" si="32"/>
        <v>18.461234567901233</v>
      </c>
      <c r="AW196">
        <f t="shared" si="33"/>
        <v>16.310205360987652</v>
      </c>
      <c r="AX196" s="9"/>
      <c r="AY196" s="21">
        <v>0.83663900000000002</v>
      </c>
      <c r="AZ196" s="21">
        <v>29.610399999999998</v>
      </c>
      <c r="BA196" s="21">
        <v>-1.49231E-2</v>
      </c>
      <c r="BB196" s="21">
        <v>186</v>
      </c>
      <c r="BC196" s="21">
        <v>0.83587599999999995</v>
      </c>
      <c r="BD196">
        <f t="shared" si="34"/>
        <v>18.423580246913577</v>
      </c>
      <c r="BE196">
        <f t="shared" si="35"/>
        <v>15.413885754197528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0.87844800000000001</v>
      </c>
      <c r="H197" s="21">
        <v>6.9615999999999998</v>
      </c>
      <c r="I197" s="21">
        <v>-1.5020800000000001E-2</v>
      </c>
      <c r="J197" s="21">
        <v>187</v>
      </c>
      <c r="K197" s="21">
        <v>0.87707500000000005</v>
      </c>
      <c r="L197">
        <f t="shared" si="24"/>
        <v>18.544197530864199</v>
      </c>
      <c r="M197">
        <f t="shared" si="25"/>
        <v>16.290113232592596</v>
      </c>
      <c r="N197" s="9"/>
      <c r="O197" s="21">
        <v>0.84167499999999995</v>
      </c>
      <c r="P197" s="21">
        <v>10.821099999999999</v>
      </c>
      <c r="Q197" s="21">
        <v>-1.49292E-2</v>
      </c>
      <c r="R197" s="21">
        <v>187</v>
      </c>
      <c r="S197" s="21">
        <v>0.84075900000000003</v>
      </c>
      <c r="T197">
        <f t="shared" si="26"/>
        <v>18.431111111111111</v>
      </c>
      <c r="U197">
        <f t="shared" si="27"/>
        <v>15.513005444444444</v>
      </c>
      <c r="X197" s="9"/>
      <c r="Y197" s="21">
        <v>0.87844800000000001</v>
      </c>
      <c r="Z197" s="21">
        <v>16.376799999999999</v>
      </c>
      <c r="AA197" s="21">
        <v>-1.50238E-2</v>
      </c>
      <c r="AB197" s="21">
        <v>187</v>
      </c>
      <c r="AC197" s="21">
        <v>0.87738000000000005</v>
      </c>
      <c r="AD197">
        <f t="shared" si="28"/>
        <v>18.547901234567902</v>
      </c>
      <c r="AE197">
        <f t="shared" si="29"/>
        <v>16.293366743703704</v>
      </c>
      <c r="AF197" s="9"/>
      <c r="AG197" s="21">
        <v>0.84167499999999995</v>
      </c>
      <c r="AH197" s="21">
        <v>20.2363</v>
      </c>
      <c r="AI197" s="21">
        <v>-1.49353E-2</v>
      </c>
      <c r="AJ197" s="21">
        <v>187</v>
      </c>
      <c r="AK197" s="21">
        <v>0.84075900000000003</v>
      </c>
      <c r="AL197">
        <f t="shared" si="30"/>
        <v>18.438641975308641</v>
      </c>
      <c r="AM197">
        <f t="shared" si="31"/>
        <v>15.5193439845679</v>
      </c>
      <c r="AP197" s="9"/>
      <c r="AQ197" s="21">
        <v>0.87844800000000001</v>
      </c>
      <c r="AR197" s="21">
        <v>25.760999999999999</v>
      </c>
      <c r="AS197" s="21">
        <v>-1.49628E-2</v>
      </c>
      <c r="AT197" s="21">
        <v>187</v>
      </c>
      <c r="AU197" s="21">
        <v>0.87707500000000005</v>
      </c>
      <c r="AV197">
        <f t="shared" si="32"/>
        <v>18.472592592592594</v>
      </c>
      <c r="AW197">
        <f t="shared" si="33"/>
        <v>16.227212017777781</v>
      </c>
      <c r="AX197" s="9"/>
      <c r="AY197" s="21">
        <v>0.84167499999999995</v>
      </c>
      <c r="AZ197" s="21">
        <v>29.6205</v>
      </c>
      <c r="BA197" s="21">
        <v>-1.49353E-2</v>
      </c>
      <c r="BB197" s="21">
        <v>187</v>
      </c>
      <c r="BC197" s="21">
        <v>0.84136999999999995</v>
      </c>
      <c r="BD197">
        <f t="shared" si="34"/>
        <v>18.438641975308641</v>
      </c>
      <c r="BE197">
        <f t="shared" si="35"/>
        <v>15.5193439845679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0.87341299999999999</v>
      </c>
      <c r="H198" s="21">
        <v>6.9716699999999996</v>
      </c>
      <c r="I198" s="21">
        <v>-1.50177E-2</v>
      </c>
      <c r="J198" s="21">
        <v>188</v>
      </c>
      <c r="K198" s="21">
        <v>0.872498</v>
      </c>
      <c r="L198">
        <f t="shared" si="24"/>
        <v>18.540370370370372</v>
      </c>
      <c r="M198">
        <f t="shared" si="25"/>
        <v>16.193400506296296</v>
      </c>
      <c r="N198" s="9"/>
      <c r="O198" s="21">
        <v>0.84670999999999996</v>
      </c>
      <c r="P198" s="21">
        <v>10.831099999999999</v>
      </c>
      <c r="Q198" s="21">
        <v>-1.4941400000000001E-2</v>
      </c>
      <c r="R198" s="21">
        <v>188</v>
      </c>
      <c r="S198" s="21">
        <v>0.845947</v>
      </c>
      <c r="T198">
        <f t="shared" si="26"/>
        <v>18.446172839506172</v>
      </c>
      <c r="U198">
        <f t="shared" si="27"/>
        <v>15.61855900493827</v>
      </c>
      <c r="X198" s="9"/>
      <c r="Y198" s="21">
        <v>0.87341299999999999</v>
      </c>
      <c r="Z198" s="21">
        <v>16.386900000000001</v>
      </c>
      <c r="AA198" s="21">
        <v>-1.5029900000000001E-2</v>
      </c>
      <c r="AB198" s="21">
        <v>188</v>
      </c>
      <c r="AC198" s="21">
        <v>0.872498</v>
      </c>
      <c r="AD198">
        <f t="shared" si="28"/>
        <v>18.555432098765429</v>
      </c>
      <c r="AE198">
        <f t="shared" si="29"/>
        <v>16.206555615679012</v>
      </c>
      <c r="AF198" s="9"/>
      <c r="AG198" s="21">
        <v>0.84670999999999996</v>
      </c>
      <c r="AH198" s="21">
        <v>20.246400000000001</v>
      </c>
      <c r="AI198" s="21">
        <v>-1.4932300000000001E-2</v>
      </c>
      <c r="AJ198" s="21">
        <v>188</v>
      </c>
      <c r="AK198" s="21">
        <v>0.84533700000000001</v>
      </c>
      <c r="AL198">
        <f t="shared" si="30"/>
        <v>18.434938271604938</v>
      </c>
      <c r="AM198">
        <f t="shared" si="31"/>
        <v>15.609046583950617</v>
      </c>
      <c r="AP198" s="9"/>
      <c r="AQ198" s="21">
        <v>0.87341299999999999</v>
      </c>
      <c r="AR198" s="21">
        <v>25.771100000000001</v>
      </c>
      <c r="AS198" s="21">
        <v>-1.49719E-2</v>
      </c>
      <c r="AT198" s="21">
        <v>188</v>
      </c>
      <c r="AU198" s="21">
        <v>0.872803</v>
      </c>
      <c r="AV198">
        <f t="shared" si="32"/>
        <v>18.483827160493824</v>
      </c>
      <c r="AW198">
        <f t="shared" si="33"/>
        <v>16.144014931728393</v>
      </c>
      <c r="AX198" s="9"/>
      <c r="AY198" s="21">
        <v>0.84670999999999996</v>
      </c>
      <c r="AZ198" s="21">
        <v>29.630600000000001</v>
      </c>
      <c r="BA198" s="21">
        <v>-1.4944499999999999E-2</v>
      </c>
      <c r="BB198" s="21">
        <v>188</v>
      </c>
      <c r="BC198" s="21">
        <v>0.845642</v>
      </c>
      <c r="BD198">
        <f t="shared" si="34"/>
        <v>18.45</v>
      </c>
      <c r="BE198">
        <f t="shared" si="35"/>
        <v>15.621799499999998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0.86837799999999998</v>
      </c>
      <c r="H199" s="21">
        <v>6.9817400000000003</v>
      </c>
      <c r="I199" s="21">
        <v>-1.5008499999999999E-2</v>
      </c>
      <c r="J199" s="21">
        <v>189</v>
      </c>
      <c r="K199" s="21">
        <v>0.86761500000000003</v>
      </c>
      <c r="L199">
        <f t="shared" si="24"/>
        <v>18.529012345679011</v>
      </c>
      <c r="M199">
        <f t="shared" si="25"/>
        <v>16.090186682716048</v>
      </c>
      <c r="N199" s="9"/>
      <c r="O199" s="21">
        <v>0.851746</v>
      </c>
      <c r="P199" s="21">
        <v>10.841200000000001</v>
      </c>
      <c r="Q199" s="21">
        <v>-1.4953599999999999E-2</v>
      </c>
      <c r="R199" s="21">
        <v>189</v>
      </c>
      <c r="S199" s="21">
        <v>0.85052499999999998</v>
      </c>
      <c r="T199">
        <f t="shared" si="26"/>
        <v>18.461234567901233</v>
      </c>
      <c r="U199">
        <f t="shared" si="27"/>
        <v>15.724282698271603</v>
      </c>
      <c r="X199" s="9"/>
      <c r="Y199" s="21">
        <v>0.86837799999999998</v>
      </c>
      <c r="Z199" s="21">
        <v>16.396999999999998</v>
      </c>
      <c r="AA199" s="21">
        <v>-1.5032999999999999E-2</v>
      </c>
      <c r="AB199" s="21">
        <v>189</v>
      </c>
      <c r="AC199" s="21">
        <v>0.86761500000000003</v>
      </c>
      <c r="AD199">
        <f t="shared" si="28"/>
        <v>18.559259259259257</v>
      </c>
      <c r="AE199">
        <f t="shared" si="29"/>
        <v>16.116452437037033</v>
      </c>
      <c r="AF199" s="9"/>
      <c r="AG199" s="21">
        <v>0.851746</v>
      </c>
      <c r="AH199" s="21">
        <v>20.256399999999999</v>
      </c>
      <c r="AI199" s="21">
        <v>-1.4932300000000001E-2</v>
      </c>
      <c r="AJ199" s="21">
        <v>189</v>
      </c>
      <c r="AK199" s="21">
        <v>0.851746</v>
      </c>
      <c r="AL199">
        <f t="shared" si="30"/>
        <v>18.434938271604938</v>
      </c>
      <c r="AM199">
        <f t="shared" si="31"/>
        <v>15.70188493308642</v>
      </c>
      <c r="AP199" s="9"/>
      <c r="AQ199" s="21">
        <v>0.86837799999999998</v>
      </c>
      <c r="AR199" s="21">
        <v>25.781199999999998</v>
      </c>
      <c r="AS199" s="21">
        <v>-1.49689E-2</v>
      </c>
      <c r="AT199" s="21">
        <v>189</v>
      </c>
      <c r="AU199" s="21">
        <v>0.86761500000000003</v>
      </c>
      <c r="AV199">
        <f t="shared" si="32"/>
        <v>18.480123456790125</v>
      </c>
      <c r="AW199">
        <f t="shared" si="33"/>
        <v>16.047732647160494</v>
      </c>
      <c r="AX199" s="9"/>
      <c r="AY199" s="21">
        <v>0.851746</v>
      </c>
      <c r="AZ199" s="21">
        <v>29.640699999999999</v>
      </c>
      <c r="BA199" s="21">
        <v>-1.49506E-2</v>
      </c>
      <c r="BB199" s="21">
        <v>189</v>
      </c>
      <c r="BC199" s="21">
        <v>0.85082999999999998</v>
      </c>
      <c r="BD199">
        <f t="shared" si="34"/>
        <v>18.45753086419753</v>
      </c>
      <c r="BE199">
        <f t="shared" si="35"/>
        <v>15.721128083456788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0.86334200000000005</v>
      </c>
      <c r="H200" s="21">
        <v>6.9918100000000001</v>
      </c>
      <c r="I200" s="21">
        <v>-1.50055E-2</v>
      </c>
      <c r="J200" s="21">
        <v>190</v>
      </c>
      <c r="K200" s="21">
        <v>0.86303700000000005</v>
      </c>
      <c r="L200">
        <f t="shared" si="24"/>
        <v>18.525308641975307</v>
      </c>
      <c r="M200">
        <f t="shared" si="25"/>
        <v>15.993677013580246</v>
      </c>
      <c r="N200" s="9"/>
      <c r="O200" s="21">
        <v>0.85678100000000001</v>
      </c>
      <c r="P200" s="21">
        <v>10.8513</v>
      </c>
      <c r="Q200" s="21">
        <v>-1.49628E-2</v>
      </c>
      <c r="R200" s="21">
        <v>190</v>
      </c>
      <c r="S200" s="21">
        <v>0.85571299999999995</v>
      </c>
      <c r="T200">
        <f t="shared" si="26"/>
        <v>18.472592592592594</v>
      </c>
      <c r="U200">
        <f t="shared" si="27"/>
        <v>15.826966354074075</v>
      </c>
      <c r="X200" s="9"/>
      <c r="Y200" s="21">
        <v>0.86334200000000005</v>
      </c>
      <c r="Z200" s="21">
        <v>16.407</v>
      </c>
      <c r="AA200" s="21">
        <v>-1.5026899999999999E-2</v>
      </c>
      <c r="AB200" s="21">
        <v>190</v>
      </c>
      <c r="AC200" s="21">
        <v>0.86242700000000005</v>
      </c>
      <c r="AD200">
        <f t="shared" si="28"/>
        <v>18.551728395061726</v>
      </c>
      <c r="AE200">
        <f t="shared" si="29"/>
        <v>16.016486296049383</v>
      </c>
      <c r="AF200" s="9"/>
      <c r="AG200" s="21">
        <v>0.85678100000000001</v>
      </c>
      <c r="AH200" s="21">
        <v>20.266500000000001</v>
      </c>
      <c r="AI200" s="21">
        <v>-1.49353E-2</v>
      </c>
      <c r="AJ200" s="21">
        <v>190</v>
      </c>
      <c r="AK200" s="21">
        <v>0.85601799999999995</v>
      </c>
      <c r="AL200">
        <f t="shared" si="30"/>
        <v>18.438641975308641</v>
      </c>
      <c r="AM200">
        <f t="shared" si="31"/>
        <v>15.797878110246913</v>
      </c>
      <c r="AP200" s="9"/>
      <c r="AQ200" s="21">
        <v>0.86334200000000005</v>
      </c>
      <c r="AR200" s="21">
        <v>25.7913</v>
      </c>
      <c r="AS200" s="21">
        <v>-1.49658E-2</v>
      </c>
      <c r="AT200" s="21">
        <v>190</v>
      </c>
      <c r="AU200" s="21">
        <v>0.86181600000000003</v>
      </c>
      <c r="AV200">
        <f t="shared" si="32"/>
        <v>18.476296296296297</v>
      </c>
      <c r="AW200">
        <f t="shared" si="33"/>
        <v>15.951362597037038</v>
      </c>
      <c r="AX200" s="9"/>
      <c r="AY200" s="21">
        <v>0.85678100000000001</v>
      </c>
      <c r="AZ200" s="21">
        <v>29.650700000000001</v>
      </c>
      <c r="BA200" s="21">
        <v>-1.4941400000000001E-2</v>
      </c>
      <c r="BB200" s="21">
        <v>190</v>
      </c>
      <c r="BC200" s="21">
        <v>0.85632299999999995</v>
      </c>
      <c r="BD200">
        <f t="shared" si="34"/>
        <v>18.446172839506172</v>
      </c>
      <c r="BE200">
        <f t="shared" si="35"/>
        <v>15.804330411604937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0.85830700000000004</v>
      </c>
      <c r="H201" s="21">
        <v>7.0018799999999999</v>
      </c>
      <c r="I201" s="21">
        <v>-1.5008499999999999E-2</v>
      </c>
      <c r="J201" s="21">
        <v>191</v>
      </c>
      <c r="K201" s="21">
        <v>0.85754399999999997</v>
      </c>
      <c r="L201">
        <f t="shared" si="24"/>
        <v>18.529012345679011</v>
      </c>
      <c r="M201">
        <f t="shared" si="25"/>
        <v>15.903580999382715</v>
      </c>
      <c r="N201" s="9"/>
      <c r="O201" s="21">
        <v>0.86181600000000003</v>
      </c>
      <c r="P201" s="21">
        <v>10.8614</v>
      </c>
      <c r="Q201" s="21">
        <v>-1.49719E-2</v>
      </c>
      <c r="R201" s="21">
        <v>191</v>
      </c>
      <c r="S201" s="21">
        <v>0.86090100000000003</v>
      </c>
      <c r="T201">
        <f t="shared" si="26"/>
        <v>18.483827160493824</v>
      </c>
      <c r="U201">
        <f t="shared" si="27"/>
        <v>15.929657988148145</v>
      </c>
      <c r="X201" s="9"/>
      <c r="Y201" s="21">
        <v>0.85830700000000004</v>
      </c>
      <c r="Z201" s="21">
        <v>16.417100000000001</v>
      </c>
      <c r="AA201" s="21">
        <v>-1.5020800000000001E-2</v>
      </c>
      <c r="AB201" s="21">
        <v>191</v>
      </c>
      <c r="AC201" s="21">
        <v>0.85784899999999997</v>
      </c>
      <c r="AD201">
        <f t="shared" si="28"/>
        <v>18.544197530864199</v>
      </c>
      <c r="AE201">
        <f t="shared" si="29"/>
        <v>15.916614550123459</v>
      </c>
      <c r="AF201" s="9"/>
      <c r="AG201" s="21">
        <v>0.86181600000000003</v>
      </c>
      <c r="AH201" s="21">
        <v>20.276599999999998</v>
      </c>
      <c r="AI201" s="21">
        <v>-1.49353E-2</v>
      </c>
      <c r="AJ201" s="21">
        <v>191</v>
      </c>
      <c r="AK201" s="21">
        <v>0.86090100000000003</v>
      </c>
      <c r="AL201">
        <f t="shared" si="30"/>
        <v>18.438641975308641</v>
      </c>
      <c r="AM201">
        <f t="shared" si="31"/>
        <v>15.890716672592593</v>
      </c>
      <c r="AP201" s="9"/>
      <c r="AQ201" s="21">
        <v>0.85830700000000004</v>
      </c>
      <c r="AR201" s="21">
        <v>25.801300000000001</v>
      </c>
      <c r="AS201" s="21">
        <v>-1.49689E-2</v>
      </c>
      <c r="AT201" s="21">
        <v>191</v>
      </c>
      <c r="AU201" s="21">
        <v>0.85754399999999997</v>
      </c>
      <c r="AV201">
        <f t="shared" si="32"/>
        <v>18.480123456790125</v>
      </c>
      <c r="AW201">
        <f t="shared" si="33"/>
        <v>15.861619323827162</v>
      </c>
      <c r="AX201" s="9"/>
      <c r="AY201" s="21">
        <v>0.86181600000000003</v>
      </c>
      <c r="AZ201" s="21">
        <v>29.660799999999998</v>
      </c>
      <c r="BA201" s="21">
        <v>-1.4941400000000001E-2</v>
      </c>
      <c r="BB201" s="21">
        <v>191</v>
      </c>
      <c r="BC201" s="21">
        <v>0.86151100000000003</v>
      </c>
      <c r="BD201">
        <f t="shared" si="34"/>
        <v>18.446172839506172</v>
      </c>
      <c r="BE201">
        <f t="shared" si="35"/>
        <v>15.897206891851852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0.853271</v>
      </c>
      <c r="H202" s="21">
        <v>7.0119499999999997</v>
      </c>
      <c r="I202" s="21">
        <v>-1.50116E-2</v>
      </c>
      <c r="J202" s="21">
        <v>192</v>
      </c>
      <c r="K202" s="21">
        <v>0.852966</v>
      </c>
      <c r="L202">
        <f t="shared" si="24"/>
        <v>18.532839506172838</v>
      </c>
      <c r="M202">
        <f t="shared" si="25"/>
        <v>15.813534498271604</v>
      </c>
      <c r="N202" s="9"/>
      <c r="O202" s="21">
        <v>0.86685199999999996</v>
      </c>
      <c r="P202" s="21">
        <v>10.8714</v>
      </c>
      <c r="Q202" s="21">
        <v>-1.49719E-2</v>
      </c>
      <c r="R202" s="21">
        <v>192</v>
      </c>
      <c r="S202" s="21">
        <v>0.866089</v>
      </c>
      <c r="T202">
        <f t="shared" si="26"/>
        <v>18.483827160493824</v>
      </c>
      <c r="U202">
        <f t="shared" si="27"/>
        <v>16.022742541728391</v>
      </c>
      <c r="X202" s="9"/>
      <c r="Y202" s="21">
        <v>0.853271</v>
      </c>
      <c r="Z202" s="21">
        <v>16.427199999999999</v>
      </c>
      <c r="AA202" s="21">
        <v>-1.50116E-2</v>
      </c>
      <c r="AB202" s="21">
        <v>192</v>
      </c>
      <c r="AC202" s="21">
        <v>0.852356</v>
      </c>
      <c r="AD202">
        <f t="shared" si="28"/>
        <v>18.532839506172838</v>
      </c>
      <c r="AE202">
        <f t="shared" si="29"/>
        <v>15.813534498271604</v>
      </c>
      <c r="AF202" s="9"/>
      <c r="AG202" s="21">
        <v>0.86685199999999996</v>
      </c>
      <c r="AH202" s="21">
        <v>20.2866</v>
      </c>
      <c r="AI202" s="21">
        <v>-1.4947500000000001E-2</v>
      </c>
      <c r="AJ202" s="21">
        <v>192</v>
      </c>
      <c r="AK202" s="21">
        <v>0.865479</v>
      </c>
      <c r="AL202">
        <f t="shared" si="30"/>
        <v>18.453703703703706</v>
      </c>
      <c r="AM202">
        <f t="shared" si="31"/>
        <v>15.996629962962965</v>
      </c>
      <c r="AP202" s="9"/>
      <c r="AQ202" s="21">
        <v>0.853271</v>
      </c>
      <c r="AR202" s="21">
        <v>25.811399999999999</v>
      </c>
      <c r="AS202" s="21">
        <v>-1.49628E-2</v>
      </c>
      <c r="AT202" s="21">
        <v>192</v>
      </c>
      <c r="AU202" s="21">
        <v>0.852661</v>
      </c>
      <c r="AV202">
        <f t="shared" si="32"/>
        <v>18.472592592592594</v>
      </c>
      <c r="AW202">
        <f t="shared" si="33"/>
        <v>15.762127554074075</v>
      </c>
      <c r="AX202" s="9"/>
      <c r="AY202" s="21">
        <v>0.86685199999999996</v>
      </c>
      <c r="AZ202" s="21">
        <v>29.6709</v>
      </c>
      <c r="BA202" s="21">
        <v>-1.4932300000000001E-2</v>
      </c>
      <c r="BB202" s="21">
        <v>192</v>
      </c>
      <c r="BC202" s="21">
        <v>0.866394</v>
      </c>
      <c r="BD202">
        <f t="shared" si="34"/>
        <v>18.434938271604938</v>
      </c>
      <c r="BE202">
        <f t="shared" si="35"/>
        <v>15.980363110617283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0.84823599999999999</v>
      </c>
      <c r="H203" s="21">
        <v>7.02203</v>
      </c>
      <c r="I203" s="21">
        <v>-1.50055E-2</v>
      </c>
      <c r="J203" s="21">
        <v>193</v>
      </c>
      <c r="K203" s="21">
        <v>0.84747300000000003</v>
      </c>
      <c r="L203">
        <f t="shared" si="24"/>
        <v>18.525308641975307</v>
      </c>
      <c r="M203">
        <f t="shared" si="25"/>
        <v>15.713833701234567</v>
      </c>
      <c r="N203" s="9"/>
      <c r="O203" s="21">
        <v>0.87188699999999997</v>
      </c>
      <c r="P203" s="21">
        <v>10.881500000000001</v>
      </c>
      <c r="Q203" s="21">
        <v>-1.49719E-2</v>
      </c>
      <c r="R203" s="21">
        <v>193</v>
      </c>
      <c r="S203" s="21">
        <v>0.87097199999999997</v>
      </c>
      <c r="T203">
        <f t="shared" si="26"/>
        <v>18.483827160493824</v>
      </c>
      <c r="U203">
        <f t="shared" si="27"/>
        <v>16.11580861148148</v>
      </c>
      <c r="X203" s="9"/>
      <c r="Y203" s="21">
        <v>0.84823599999999999</v>
      </c>
      <c r="Z203" s="21">
        <v>16.437200000000001</v>
      </c>
      <c r="AA203" s="21">
        <v>-1.4996300000000001E-2</v>
      </c>
      <c r="AB203" s="21">
        <v>193</v>
      </c>
      <c r="AC203" s="21">
        <v>0.84716800000000003</v>
      </c>
      <c r="AD203">
        <f t="shared" si="28"/>
        <v>18.51395061728395</v>
      </c>
      <c r="AE203">
        <f t="shared" si="29"/>
        <v>15.704199415802469</v>
      </c>
      <c r="AF203" s="9"/>
      <c r="AG203" s="21">
        <v>0.87188699999999997</v>
      </c>
      <c r="AH203" s="21">
        <v>20.296700000000001</v>
      </c>
      <c r="AI203" s="21">
        <v>-1.49506E-2</v>
      </c>
      <c r="AJ203" s="21">
        <v>193</v>
      </c>
      <c r="AK203" s="21">
        <v>0.87127699999999997</v>
      </c>
      <c r="AL203">
        <f t="shared" si="30"/>
        <v>18.45753086419753</v>
      </c>
      <c r="AM203">
        <f t="shared" si="31"/>
        <v>16.092881212592591</v>
      </c>
      <c r="AP203" s="9"/>
      <c r="AQ203" s="21">
        <v>0.84823599999999999</v>
      </c>
      <c r="AR203" s="21">
        <v>25.8215</v>
      </c>
      <c r="AS203" s="21">
        <v>-1.4941400000000001E-2</v>
      </c>
      <c r="AT203" s="21">
        <v>193</v>
      </c>
      <c r="AU203" s="21">
        <v>0.84747300000000003</v>
      </c>
      <c r="AV203">
        <f t="shared" si="32"/>
        <v>18.446172839506172</v>
      </c>
      <c r="AW203">
        <f t="shared" si="33"/>
        <v>15.646707864691358</v>
      </c>
      <c r="AX203" s="9"/>
      <c r="AY203" s="21">
        <v>0.87188699999999997</v>
      </c>
      <c r="AZ203" s="21">
        <v>29.680900000000001</v>
      </c>
      <c r="BA203" s="21">
        <v>-1.49292E-2</v>
      </c>
      <c r="BB203" s="21">
        <v>193</v>
      </c>
      <c r="BC203" s="21">
        <v>0.87127699999999997</v>
      </c>
      <c r="BD203">
        <f t="shared" si="34"/>
        <v>18.431111111111111</v>
      </c>
      <c r="BE203">
        <f t="shared" si="35"/>
        <v>16.069846173333332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0.84320099999999998</v>
      </c>
      <c r="H204" s="21">
        <v>7.0320999999999998</v>
      </c>
      <c r="I204" s="21">
        <v>-1.49902E-2</v>
      </c>
      <c r="J204" s="21">
        <v>194</v>
      </c>
      <c r="K204" s="21">
        <v>0.84228499999999995</v>
      </c>
      <c r="L204">
        <f t="shared" ref="L204:L267" si="36">-I204/$F$2*1000</f>
        <v>18.506419753086419</v>
      </c>
      <c r="M204">
        <f t="shared" ref="M204:M267" si="37">L204*G204</f>
        <v>15.604631642222222</v>
      </c>
      <c r="N204" s="9"/>
      <c r="O204" s="21">
        <v>0.87692300000000001</v>
      </c>
      <c r="P204" s="21">
        <v>10.8916</v>
      </c>
      <c r="Q204" s="21">
        <v>-1.49689E-2</v>
      </c>
      <c r="R204" s="21">
        <v>194</v>
      </c>
      <c r="S204" s="21">
        <v>0.87524400000000002</v>
      </c>
      <c r="T204">
        <f t="shared" ref="T204:T267" si="38">-Q204/$F$2*1000</f>
        <v>18.480123456790125</v>
      </c>
      <c r="U204">
        <f t="shared" ref="U204:U267" si="39">T204*O204</f>
        <v>16.205645302098766</v>
      </c>
      <c r="X204" s="9"/>
      <c r="Y204" s="21">
        <v>0.84320099999999998</v>
      </c>
      <c r="Z204" s="21">
        <v>16.447299999999998</v>
      </c>
      <c r="AA204" s="21">
        <v>-1.49841E-2</v>
      </c>
      <c r="AB204" s="21">
        <v>194</v>
      </c>
      <c r="AC204" s="21">
        <v>0.84258999999999995</v>
      </c>
      <c r="AD204">
        <f t="shared" ref="AD204:AD267" si="40">-AA204/$F$2*1000</f>
        <v>18.498888888888889</v>
      </c>
      <c r="AE204">
        <f t="shared" ref="AE204:AE267" si="41">AD204*Y204</f>
        <v>15.598281609999999</v>
      </c>
      <c r="AF204" s="9"/>
      <c r="AG204" s="21">
        <v>0.87692300000000001</v>
      </c>
      <c r="AH204" s="21">
        <v>20.306799999999999</v>
      </c>
      <c r="AI204" s="21">
        <v>-1.49658E-2</v>
      </c>
      <c r="AJ204" s="21">
        <v>194</v>
      </c>
      <c r="AK204" s="21">
        <v>0.87585400000000002</v>
      </c>
      <c r="AL204">
        <f t="shared" ref="AL204:AL267" si="42">-AI204/$F$2*1000</f>
        <v>18.476296296296297</v>
      </c>
      <c r="AM204">
        <f t="shared" ref="AM204:AM267" si="43">AL204*AG204</f>
        <v>16.202289177037038</v>
      </c>
      <c r="AP204" s="9"/>
      <c r="AQ204" s="21">
        <v>0.84320099999999998</v>
      </c>
      <c r="AR204" s="21">
        <v>25.831499999999998</v>
      </c>
      <c r="AS204" s="21">
        <v>-1.4932300000000001E-2</v>
      </c>
      <c r="AT204" s="21">
        <v>194</v>
      </c>
      <c r="AU204" s="21">
        <v>0.84258999999999995</v>
      </c>
      <c r="AV204">
        <f t="shared" ref="AV204:AV267" si="44">-AS204/$F$2*1000</f>
        <v>18.434938271604938</v>
      </c>
      <c r="AW204">
        <f t="shared" ref="AW204:AW267" si="45">AV204*AQ204</f>
        <v>15.544358385555554</v>
      </c>
      <c r="AX204" s="9"/>
      <c r="AY204" s="21">
        <v>0.87692300000000001</v>
      </c>
      <c r="AZ204" s="21">
        <v>29.690999999999999</v>
      </c>
      <c r="BA204" s="21">
        <v>-1.49231E-2</v>
      </c>
      <c r="BB204" s="21">
        <v>194</v>
      </c>
      <c r="BC204" s="21">
        <v>0.87616000000000005</v>
      </c>
      <c r="BD204">
        <f t="shared" ref="BD204:BD267" si="46">-BA204/$F$2*1000</f>
        <v>18.423580246913577</v>
      </c>
      <c r="BE204">
        <f t="shared" ref="BE204:BE267" si="47">BD204*AY204</f>
        <v>16.156061260864195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0.83816500000000005</v>
      </c>
      <c r="H205" s="21">
        <v>7.0421699999999996</v>
      </c>
      <c r="I205" s="21">
        <v>-1.49841E-2</v>
      </c>
      <c r="J205" s="21">
        <v>195</v>
      </c>
      <c r="K205" s="21">
        <v>0.83740199999999998</v>
      </c>
      <c r="L205">
        <f t="shared" si="36"/>
        <v>18.498888888888889</v>
      </c>
      <c r="M205">
        <f t="shared" si="37"/>
        <v>15.505121205555556</v>
      </c>
      <c r="N205" s="9"/>
      <c r="O205" s="21">
        <v>0.88195800000000002</v>
      </c>
      <c r="P205" s="21">
        <v>10.9016</v>
      </c>
      <c r="Q205" s="21">
        <v>-1.4975E-2</v>
      </c>
      <c r="R205" s="21">
        <v>195</v>
      </c>
      <c r="S205" s="21">
        <v>0.88104199999999999</v>
      </c>
      <c r="T205">
        <f t="shared" si="38"/>
        <v>18.487654320987652</v>
      </c>
      <c r="U205">
        <f t="shared" si="39"/>
        <v>16.305334629629627</v>
      </c>
      <c r="X205" s="9"/>
      <c r="Y205" s="21">
        <v>0.83816500000000005</v>
      </c>
      <c r="Z205" s="21">
        <v>16.4574</v>
      </c>
      <c r="AA205" s="21">
        <v>-1.4975E-2</v>
      </c>
      <c r="AB205" s="21">
        <v>195</v>
      </c>
      <c r="AC205" s="21">
        <v>0.83770800000000001</v>
      </c>
      <c r="AD205">
        <f t="shared" si="40"/>
        <v>18.487654320987652</v>
      </c>
      <c r="AE205">
        <f t="shared" si="41"/>
        <v>15.495704783950616</v>
      </c>
      <c r="AF205" s="9"/>
      <c r="AG205" s="21">
        <v>0.88195800000000002</v>
      </c>
      <c r="AH205" s="21">
        <v>20.3169</v>
      </c>
      <c r="AI205" s="21">
        <v>-1.49719E-2</v>
      </c>
      <c r="AJ205" s="21">
        <v>195</v>
      </c>
      <c r="AK205" s="21">
        <v>0.88165300000000002</v>
      </c>
      <c r="AL205">
        <f t="shared" si="42"/>
        <v>18.483827160493824</v>
      </c>
      <c r="AM205">
        <f t="shared" si="43"/>
        <v>16.301959234814813</v>
      </c>
      <c r="AP205" s="9"/>
      <c r="AQ205" s="21">
        <v>0.83816500000000005</v>
      </c>
      <c r="AR205" s="21">
        <v>25.8416</v>
      </c>
      <c r="AS205" s="21">
        <v>-1.49506E-2</v>
      </c>
      <c r="AT205" s="21">
        <v>195</v>
      </c>
      <c r="AU205" s="21">
        <v>0.83709699999999998</v>
      </c>
      <c r="AV205">
        <f t="shared" si="44"/>
        <v>18.45753086419753</v>
      </c>
      <c r="AW205">
        <f t="shared" si="45"/>
        <v>15.470456356790123</v>
      </c>
      <c r="AX205" s="9"/>
      <c r="AY205" s="21">
        <v>0.88195800000000002</v>
      </c>
      <c r="AZ205" s="21">
        <v>29.7011</v>
      </c>
      <c r="BA205" s="21">
        <v>-1.4917E-2</v>
      </c>
      <c r="BB205" s="21">
        <v>195</v>
      </c>
      <c r="BC205" s="21">
        <v>0.88104199999999999</v>
      </c>
      <c r="BD205">
        <f t="shared" si="46"/>
        <v>18.416049382716047</v>
      </c>
      <c r="BE205">
        <f t="shared" si="47"/>
        <v>16.242182081481481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0.83313000000000004</v>
      </c>
      <c r="H206" s="21">
        <v>7.0522400000000003</v>
      </c>
      <c r="I206" s="21">
        <v>-1.4987199999999999E-2</v>
      </c>
      <c r="J206" s="21">
        <v>196</v>
      </c>
      <c r="K206" s="21">
        <v>0.83221400000000001</v>
      </c>
      <c r="L206">
        <f t="shared" si="36"/>
        <v>18.502716049382713</v>
      </c>
      <c r="M206">
        <f t="shared" si="37"/>
        <v>15.415167822222219</v>
      </c>
      <c r="N206" s="9"/>
      <c r="O206" s="21">
        <v>0.88699300000000003</v>
      </c>
      <c r="P206" s="21">
        <v>10.9117</v>
      </c>
      <c r="Q206" s="21">
        <v>-1.4953599999999999E-2</v>
      </c>
      <c r="R206" s="21">
        <v>196</v>
      </c>
      <c r="S206" s="21">
        <v>0.88592499999999996</v>
      </c>
      <c r="T206">
        <f t="shared" si="38"/>
        <v>18.461234567901233</v>
      </c>
      <c r="U206">
        <f t="shared" si="39"/>
        <v>16.37498583308642</v>
      </c>
      <c r="X206" s="9"/>
      <c r="Y206" s="21">
        <v>0.83313000000000004</v>
      </c>
      <c r="Z206" s="21">
        <v>16.467500000000001</v>
      </c>
      <c r="AA206" s="21">
        <v>-1.4975E-2</v>
      </c>
      <c r="AB206" s="21">
        <v>196</v>
      </c>
      <c r="AC206" s="21">
        <v>0.83252000000000004</v>
      </c>
      <c r="AD206">
        <f t="shared" si="40"/>
        <v>18.487654320987652</v>
      </c>
      <c r="AE206">
        <f t="shared" si="41"/>
        <v>15.402619444444444</v>
      </c>
      <c r="AF206" s="9"/>
      <c r="AG206" s="21">
        <v>0.88699300000000003</v>
      </c>
      <c r="AH206" s="21">
        <v>20.326899999999998</v>
      </c>
      <c r="AI206" s="21">
        <v>-1.49719E-2</v>
      </c>
      <c r="AJ206" s="21">
        <v>196</v>
      </c>
      <c r="AK206" s="21">
        <v>0.88622999999999996</v>
      </c>
      <c r="AL206">
        <f t="shared" si="42"/>
        <v>18.483827160493824</v>
      </c>
      <c r="AM206">
        <f t="shared" si="43"/>
        <v>16.395025304567898</v>
      </c>
      <c r="AP206" s="9"/>
      <c r="AQ206" s="21">
        <v>0.83313000000000004</v>
      </c>
      <c r="AR206" s="21">
        <v>25.851700000000001</v>
      </c>
      <c r="AS206" s="21">
        <v>-1.4959699999999999E-2</v>
      </c>
      <c r="AT206" s="21">
        <v>196</v>
      </c>
      <c r="AU206" s="21">
        <v>0.83221400000000001</v>
      </c>
      <c r="AV206">
        <f t="shared" si="44"/>
        <v>18.468765432098763</v>
      </c>
      <c r="AW206">
        <f t="shared" si="45"/>
        <v>15.386882544444443</v>
      </c>
      <c r="AX206" s="9"/>
      <c r="AY206" s="21">
        <v>0.88699300000000003</v>
      </c>
      <c r="AZ206" s="21">
        <v>29.711200000000002</v>
      </c>
      <c r="BA206" s="21">
        <v>-1.4917E-2</v>
      </c>
      <c r="BB206" s="21">
        <v>196</v>
      </c>
      <c r="BC206" s="21">
        <v>0.88561999999999996</v>
      </c>
      <c r="BD206">
        <f t="shared" si="46"/>
        <v>18.416049382716047</v>
      </c>
      <c r="BE206">
        <f t="shared" si="47"/>
        <v>16.334906890123456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0.828094</v>
      </c>
      <c r="H207" s="21">
        <v>7.0623100000000001</v>
      </c>
      <c r="I207" s="21">
        <v>-1.4987199999999999E-2</v>
      </c>
      <c r="J207" s="21">
        <v>197</v>
      </c>
      <c r="K207" s="21">
        <v>0.82733199999999996</v>
      </c>
      <c r="L207">
        <f t="shared" si="36"/>
        <v>18.502716049382713</v>
      </c>
      <c r="M207">
        <f t="shared" si="37"/>
        <v>15.321988144197528</v>
      </c>
      <c r="N207" s="9"/>
      <c r="O207" s="21">
        <v>0.89202899999999996</v>
      </c>
      <c r="P207" s="21">
        <v>10.921799999999999</v>
      </c>
      <c r="Q207" s="21">
        <v>-1.49353E-2</v>
      </c>
      <c r="R207" s="21">
        <v>197</v>
      </c>
      <c r="S207" s="21">
        <v>0.89080800000000004</v>
      </c>
      <c r="T207">
        <f t="shared" si="38"/>
        <v>18.438641975308641</v>
      </c>
      <c r="U207">
        <f t="shared" si="39"/>
        <v>16.447803362592591</v>
      </c>
      <c r="X207" s="9"/>
      <c r="Y207" s="21">
        <v>0.828094</v>
      </c>
      <c r="Z207" s="21">
        <v>16.477499999999999</v>
      </c>
      <c r="AA207" s="21">
        <v>-1.49841E-2</v>
      </c>
      <c r="AB207" s="21">
        <v>197</v>
      </c>
      <c r="AC207" s="21">
        <v>0.82763699999999996</v>
      </c>
      <c r="AD207">
        <f t="shared" si="40"/>
        <v>18.498888888888889</v>
      </c>
      <c r="AE207">
        <f t="shared" si="41"/>
        <v>15.318818895555555</v>
      </c>
      <c r="AF207" s="9"/>
      <c r="AG207" s="21">
        <v>0.89202899999999996</v>
      </c>
      <c r="AH207" s="21">
        <v>20.337</v>
      </c>
      <c r="AI207" s="21">
        <v>-1.4959699999999999E-2</v>
      </c>
      <c r="AJ207" s="21">
        <v>197</v>
      </c>
      <c r="AK207" s="21">
        <v>0.89111300000000004</v>
      </c>
      <c r="AL207">
        <f t="shared" si="42"/>
        <v>18.468765432098763</v>
      </c>
      <c r="AM207">
        <f t="shared" si="43"/>
        <v>16.474674359629628</v>
      </c>
      <c r="AP207" s="9"/>
      <c r="AQ207" s="21">
        <v>0.828094</v>
      </c>
      <c r="AR207" s="21">
        <v>25.861699999999999</v>
      </c>
      <c r="AS207" s="21">
        <v>-1.49689E-2</v>
      </c>
      <c r="AT207" s="21">
        <v>197</v>
      </c>
      <c r="AU207" s="21">
        <v>0.82763699999999996</v>
      </c>
      <c r="AV207">
        <f t="shared" si="44"/>
        <v>18.480123456790125</v>
      </c>
      <c r="AW207">
        <f t="shared" si="45"/>
        <v>15.303279353827161</v>
      </c>
      <c r="AX207" s="9"/>
      <c r="AY207" s="21">
        <v>0.89202899999999996</v>
      </c>
      <c r="AZ207" s="21">
        <v>29.7212</v>
      </c>
      <c r="BA207" s="21">
        <v>-1.4907800000000001E-2</v>
      </c>
      <c r="BB207" s="21">
        <v>197</v>
      </c>
      <c r="BC207" s="21">
        <v>0.89141800000000004</v>
      </c>
      <c r="BD207">
        <f t="shared" si="46"/>
        <v>18.404691358024692</v>
      </c>
      <c r="BE207">
        <f t="shared" si="47"/>
        <v>16.417518427407408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0.82305899999999999</v>
      </c>
      <c r="H208" s="21">
        <v>7.0723799999999999</v>
      </c>
      <c r="I208" s="21">
        <v>-1.4975E-2</v>
      </c>
      <c r="J208" s="21">
        <v>198</v>
      </c>
      <c r="K208" s="21">
        <v>0.82214399999999999</v>
      </c>
      <c r="L208">
        <f t="shared" si="36"/>
        <v>18.487654320987652</v>
      </c>
      <c r="M208">
        <f t="shared" si="37"/>
        <v>15.216430277777775</v>
      </c>
      <c r="N208" s="9"/>
      <c r="O208" s="21">
        <v>0.89706399999999997</v>
      </c>
      <c r="P208" s="21">
        <v>10.931900000000001</v>
      </c>
      <c r="Q208" s="21">
        <v>-1.49231E-2</v>
      </c>
      <c r="R208" s="21">
        <v>198</v>
      </c>
      <c r="S208" s="21">
        <v>0.89599600000000001</v>
      </c>
      <c r="T208">
        <f t="shared" si="38"/>
        <v>18.423580246913577</v>
      </c>
      <c r="U208">
        <f t="shared" si="39"/>
        <v>16.527130590617279</v>
      </c>
      <c r="X208" s="9"/>
      <c r="Y208" s="21">
        <v>0.82305899999999999</v>
      </c>
      <c r="Z208" s="21">
        <v>16.4876</v>
      </c>
      <c r="AA208" s="21">
        <v>-1.49841E-2</v>
      </c>
      <c r="AB208" s="21">
        <v>198</v>
      </c>
      <c r="AC208" s="21">
        <v>0.82214399999999999</v>
      </c>
      <c r="AD208">
        <f t="shared" si="40"/>
        <v>18.498888888888889</v>
      </c>
      <c r="AE208">
        <f t="shared" si="41"/>
        <v>15.22567699</v>
      </c>
      <c r="AF208" s="9"/>
      <c r="AG208" s="21">
        <v>0.89706399999999997</v>
      </c>
      <c r="AH208" s="21">
        <v>20.347100000000001</v>
      </c>
      <c r="AI208" s="21">
        <v>-1.4959699999999999E-2</v>
      </c>
      <c r="AJ208" s="21">
        <v>198</v>
      </c>
      <c r="AK208" s="21">
        <v>0.89660600000000001</v>
      </c>
      <c r="AL208">
        <f t="shared" si="42"/>
        <v>18.468765432098763</v>
      </c>
      <c r="AM208">
        <f t="shared" si="43"/>
        <v>16.567664593580243</v>
      </c>
      <c r="AP208" s="9"/>
      <c r="AQ208" s="21">
        <v>0.82305899999999999</v>
      </c>
      <c r="AR208" s="21">
        <v>25.8718</v>
      </c>
      <c r="AS208" s="21">
        <v>-1.49689E-2</v>
      </c>
      <c r="AT208" s="21">
        <v>198</v>
      </c>
      <c r="AU208" s="21">
        <v>0.82275399999999999</v>
      </c>
      <c r="AV208">
        <f t="shared" si="44"/>
        <v>18.480123456790125</v>
      </c>
      <c r="AW208">
        <f t="shared" si="45"/>
        <v>15.210231932222223</v>
      </c>
      <c r="AX208" s="9"/>
      <c r="AY208" s="21">
        <v>0.89706399999999997</v>
      </c>
      <c r="AZ208" s="21">
        <v>29.731300000000001</v>
      </c>
      <c r="BA208" s="21">
        <v>-1.4898700000000001E-2</v>
      </c>
      <c r="BB208" s="21">
        <v>198</v>
      </c>
      <c r="BC208" s="21">
        <v>0.89569100000000001</v>
      </c>
      <c r="BD208">
        <f t="shared" si="46"/>
        <v>18.393456790123455</v>
      </c>
      <c r="BE208">
        <f t="shared" si="47"/>
        <v>16.500107921975307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0.81802399999999997</v>
      </c>
      <c r="H209" s="21">
        <v>7.0824499999999997</v>
      </c>
      <c r="I209" s="21">
        <v>-1.4975E-2</v>
      </c>
      <c r="J209" s="21">
        <v>199</v>
      </c>
      <c r="K209" s="21">
        <v>0.81695600000000002</v>
      </c>
      <c r="L209">
        <f t="shared" si="36"/>
        <v>18.487654320987652</v>
      </c>
      <c r="M209">
        <f t="shared" si="37"/>
        <v>15.123344938271602</v>
      </c>
      <c r="N209" s="9"/>
      <c r="O209" s="21">
        <v>0.90210000000000001</v>
      </c>
      <c r="P209" s="21">
        <v>10.9419</v>
      </c>
      <c r="Q209" s="21">
        <v>-1.4917E-2</v>
      </c>
      <c r="R209" s="21">
        <v>199</v>
      </c>
      <c r="S209" s="21">
        <v>0.90179399999999998</v>
      </c>
      <c r="T209">
        <f t="shared" si="38"/>
        <v>18.416049382716047</v>
      </c>
      <c r="U209">
        <f t="shared" si="39"/>
        <v>16.613118148148146</v>
      </c>
      <c r="X209" s="9"/>
      <c r="Y209" s="21">
        <v>0.81802399999999997</v>
      </c>
      <c r="Z209" s="21">
        <v>16.497699999999998</v>
      </c>
      <c r="AA209" s="21">
        <v>-1.4975E-2</v>
      </c>
      <c r="AB209" s="21">
        <v>199</v>
      </c>
      <c r="AC209" s="21">
        <v>0.81695600000000002</v>
      </c>
      <c r="AD209">
        <f t="shared" si="40"/>
        <v>18.487654320987652</v>
      </c>
      <c r="AE209">
        <f t="shared" si="41"/>
        <v>15.123344938271602</v>
      </c>
      <c r="AF209" s="9"/>
      <c r="AG209" s="21">
        <v>0.90210000000000001</v>
      </c>
      <c r="AH209" s="21">
        <v>20.357099999999999</v>
      </c>
      <c r="AI209" s="21">
        <v>-1.4953599999999999E-2</v>
      </c>
      <c r="AJ209" s="21">
        <v>199</v>
      </c>
      <c r="AK209" s="21">
        <v>0.90118399999999999</v>
      </c>
      <c r="AL209">
        <f t="shared" si="42"/>
        <v>18.461234567901233</v>
      </c>
      <c r="AM209">
        <f t="shared" si="43"/>
        <v>16.653879703703701</v>
      </c>
      <c r="AP209" s="9"/>
      <c r="AQ209" s="21">
        <v>0.81802399999999997</v>
      </c>
      <c r="AR209" s="21">
        <v>25.881900000000002</v>
      </c>
      <c r="AS209" s="21">
        <v>-1.49628E-2</v>
      </c>
      <c r="AT209" s="21">
        <v>199</v>
      </c>
      <c r="AU209" s="21">
        <v>0.81695600000000002</v>
      </c>
      <c r="AV209">
        <f t="shared" si="44"/>
        <v>18.472592592592594</v>
      </c>
      <c r="AW209">
        <f t="shared" si="45"/>
        <v>15.111024082962963</v>
      </c>
      <c r="AX209" s="9"/>
      <c r="AY209" s="21">
        <v>0.90210000000000001</v>
      </c>
      <c r="AZ209" s="21">
        <v>29.741399999999999</v>
      </c>
      <c r="BA209" s="21">
        <v>-1.4904799999999999E-2</v>
      </c>
      <c r="BB209" s="21">
        <v>199</v>
      </c>
      <c r="BC209" s="21">
        <v>0.90118399999999999</v>
      </c>
      <c r="BD209">
        <f t="shared" si="46"/>
        <v>18.400987654320986</v>
      </c>
      <c r="BE209">
        <f t="shared" si="47"/>
        <v>16.599530962962962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0.81298800000000004</v>
      </c>
      <c r="H210" s="21">
        <v>7.0925200000000004</v>
      </c>
      <c r="I210" s="21">
        <v>-1.49689E-2</v>
      </c>
      <c r="J210" s="21">
        <v>200</v>
      </c>
      <c r="K210" s="21">
        <v>0.81207300000000004</v>
      </c>
      <c r="L210">
        <f t="shared" si="36"/>
        <v>18.480123456790125</v>
      </c>
      <c r="M210">
        <f t="shared" si="37"/>
        <v>15.024118608888891</v>
      </c>
      <c r="N210" s="9"/>
      <c r="O210" s="21">
        <v>0.90713500000000002</v>
      </c>
      <c r="P210" s="21">
        <v>10.952</v>
      </c>
      <c r="Q210" s="21">
        <v>-1.4917E-2</v>
      </c>
      <c r="R210" s="21">
        <v>200</v>
      </c>
      <c r="S210" s="21">
        <v>0.90637199999999996</v>
      </c>
      <c r="T210">
        <f t="shared" si="38"/>
        <v>18.416049382716047</v>
      </c>
      <c r="U210">
        <f t="shared" si="39"/>
        <v>16.705842956790121</v>
      </c>
      <c r="X210" s="9"/>
      <c r="Y210" s="21">
        <v>0.81298800000000004</v>
      </c>
      <c r="Z210" s="21">
        <v>16.5077</v>
      </c>
      <c r="AA210" s="21">
        <v>-1.49719E-2</v>
      </c>
      <c r="AB210" s="21">
        <v>200</v>
      </c>
      <c r="AC210" s="21">
        <v>0.81237800000000004</v>
      </c>
      <c r="AD210">
        <f t="shared" si="40"/>
        <v>18.483827160493824</v>
      </c>
      <c r="AE210">
        <f t="shared" si="41"/>
        <v>15.027129675555553</v>
      </c>
      <c r="AF210" s="9"/>
      <c r="AG210" s="21">
        <v>0.90713500000000002</v>
      </c>
      <c r="AH210" s="21">
        <v>20.3672</v>
      </c>
      <c r="AI210" s="21">
        <v>-1.4947500000000001E-2</v>
      </c>
      <c r="AJ210" s="21">
        <v>200</v>
      </c>
      <c r="AK210" s="21">
        <v>0.90637199999999996</v>
      </c>
      <c r="AL210">
        <f t="shared" si="42"/>
        <v>18.453703703703706</v>
      </c>
      <c r="AM210">
        <f t="shared" si="43"/>
        <v>16.740000509259261</v>
      </c>
      <c r="AP210" s="9"/>
      <c r="AQ210" s="21">
        <v>0.81298800000000004</v>
      </c>
      <c r="AR210" s="21">
        <v>25.891999999999999</v>
      </c>
      <c r="AS210" s="21">
        <v>-1.49689E-2</v>
      </c>
      <c r="AT210" s="21">
        <v>200</v>
      </c>
      <c r="AU210" s="21">
        <v>0.81207300000000004</v>
      </c>
      <c r="AV210">
        <f t="shared" si="44"/>
        <v>18.480123456790125</v>
      </c>
      <c r="AW210">
        <f t="shared" si="45"/>
        <v>15.024118608888891</v>
      </c>
      <c r="AX210" s="9"/>
      <c r="AY210" s="21">
        <v>0.90713500000000002</v>
      </c>
      <c r="AZ210" s="21">
        <v>29.7514</v>
      </c>
      <c r="BA210" s="21">
        <v>-1.4892600000000001E-2</v>
      </c>
      <c r="BB210" s="21">
        <v>200</v>
      </c>
      <c r="BC210" s="21">
        <v>0.90637199999999996</v>
      </c>
      <c r="BD210">
        <f t="shared" si="46"/>
        <v>18.385925925925928</v>
      </c>
      <c r="BE210">
        <f t="shared" si="47"/>
        <v>16.678516914814818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0.80795300000000003</v>
      </c>
      <c r="H211" s="21">
        <v>7.1025900000000002</v>
      </c>
      <c r="I211" s="21">
        <v>-1.49628E-2</v>
      </c>
      <c r="J211" s="21">
        <v>201</v>
      </c>
      <c r="K211" s="21">
        <v>0.80688499999999996</v>
      </c>
      <c r="L211">
        <f t="shared" si="36"/>
        <v>18.472592592592594</v>
      </c>
      <c r="M211">
        <f t="shared" si="37"/>
        <v>14.924986602962965</v>
      </c>
      <c r="N211" s="9"/>
      <c r="O211" s="21">
        <v>0.91217000000000004</v>
      </c>
      <c r="P211" s="21">
        <v>10.9621</v>
      </c>
      <c r="Q211" s="21">
        <v>-1.4917E-2</v>
      </c>
      <c r="R211" s="21">
        <v>201</v>
      </c>
      <c r="S211" s="21">
        <v>0.91186500000000004</v>
      </c>
      <c r="T211">
        <f t="shared" si="38"/>
        <v>18.416049382716047</v>
      </c>
      <c r="U211">
        <f t="shared" si="39"/>
        <v>16.798567765432097</v>
      </c>
      <c r="X211" s="9"/>
      <c r="Y211" s="21">
        <v>0.80795300000000003</v>
      </c>
      <c r="Z211" s="21">
        <v>16.517800000000001</v>
      </c>
      <c r="AA211" s="21">
        <v>-1.49658E-2</v>
      </c>
      <c r="AB211" s="21">
        <v>201</v>
      </c>
      <c r="AC211" s="21">
        <v>0.80718999999999996</v>
      </c>
      <c r="AD211">
        <f t="shared" si="40"/>
        <v>18.476296296296297</v>
      </c>
      <c r="AE211">
        <f t="shared" si="41"/>
        <v>14.927979021481482</v>
      </c>
      <c r="AF211" s="9"/>
      <c r="AG211" s="21">
        <v>0.91217000000000004</v>
      </c>
      <c r="AH211" s="21">
        <v>20.377300000000002</v>
      </c>
      <c r="AI211" s="21">
        <v>-1.49567E-2</v>
      </c>
      <c r="AJ211" s="21">
        <v>201</v>
      </c>
      <c r="AK211" s="21">
        <v>0.91095000000000004</v>
      </c>
      <c r="AL211">
        <f t="shared" si="42"/>
        <v>18.46506172839506</v>
      </c>
      <c r="AM211">
        <f t="shared" si="43"/>
        <v>16.843275356790123</v>
      </c>
      <c r="AP211" s="9"/>
      <c r="AQ211" s="21">
        <v>0.80795300000000003</v>
      </c>
      <c r="AR211" s="21">
        <v>25.902000000000001</v>
      </c>
      <c r="AS211" s="21">
        <v>-1.49689E-2</v>
      </c>
      <c r="AT211" s="21">
        <v>201</v>
      </c>
      <c r="AU211" s="21">
        <v>0.80718999999999996</v>
      </c>
      <c r="AV211">
        <f t="shared" si="44"/>
        <v>18.480123456790125</v>
      </c>
      <c r="AW211">
        <f t="shared" si="45"/>
        <v>14.931071187283953</v>
      </c>
      <c r="AX211" s="9"/>
      <c r="AY211" s="21">
        <v>0.91217000000000004</v>
      </c>
      <c r="AZ211" s="21">
        <v>29.761500000000002</v>
      </c>
      <c r="BA211" s="21">
        <v>-1.48895E-2</v>
      </c>
      <c r="BB211" s="21">
        <v>201</v>
      </c>
      <c r="BC211" s="21">
        <v>0.91156000000000004</v>
      </c>
      <c r="BD211">
        <f t="shared" si="46"/>
        <v>18.382098765432101</v>
      </c>
      <c r="BE211">
        <f t="shared" si="47"/>
        <v>16.767599030864201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0.80291699999999999</v>
      </c>
      <c r="H212" s="21">
        <v>7.11266</v>
      </c>
      <c r="I212" s="21">
        <v>-1.49658E-2</v>
      </c>
      <c r="J212" s="21">
        <v>202</v>
      </c>
      <c r="K212" s="21">
        <v>0.80200199999999999</v>
      </c>
      <c r="L212">
        <f t="shared" si="36"/>
        <v>18.476296296296297</v>
      </c>
      <c r="M212">
        <f t="shared" si="37"/>
        <v>14.834932393333334</v>
      </c>
      <c r="N212" s="9"/>
      <c r="O212" s="21">
        <v>0.91720599999999997</v>
      </c>
      <c r="P212" s="21">
        <v>10.972099999999999</v>
      </c>
      <c r="Q212" s="21">
        <v>-1.4904799999999999E-2</v>
      </c>
      <c r="R212" s="21">
        <v>202</v>
      </c>
      <c r="S212" s="21">
        <v>0.91674800000000001</v>
      </c>
      <c r="T212">
        <f t="shared" si="38"/>
        <v>18.400987654320986</v>
      </c>
      <c r="U212">
        <f t="shared" si="39"/>
        <v>16.877496282469135</v>
      </c>
      <c r="X212" s="9"/>
      <c r="Y212" s="21">
        <v>0.80291699999999999</v>
      </c>
      <c r="Z212" s="21">
        <v>16.527899999999999</v>
      </c>
      <c r="AA212" s="21">
        <v>-1.49506E-2</v>
      </c>
      <c r="AB212" s="21">
        <v>202</v>
      </c>
      <c r="AC212" s="21">
        <v>0.80200199999999999</v>
      </c>
      <c r="AD212">
        <f t="shared" si="40"/>
        <v>18.45753086419753</v>
      </c>
      <c r="AE212">
        <f t="shared" si="41"/>
        <v>14.819865308888888</v>
      </c>
      <c r="AF212" s="9"/>
      <c r="AG212" s="21">
        <v>0.91720599999999997</v>
      </c>
      <c r="AH212" s="21">
        <v>20.3873</v>
      </c>
      <c r="AI212" s="21">
        <v>-1.4953599999999999E-2</v>
      </c>
      <c r="AJ212" s="21">
        <v>202</v>
      </c>
      <c r="AK212" s="21">
        <v>0.91674800000000001</v>
      </c>
      <c r="AL212">
        <f t="shared" si="42"/>
        <v>18.461234567901233</v>
      </c>
      <c r="AM212">
        <f t="shared" si="43"/>
        <v>16.932755113086419</v>
      </c>
      <c r="AP212" s="9"/>
      <c r="AQ212" s="21">
        <v>0.80291699999999999</v>
      </c>
      <c r="AR212" s="21">
        <v>25.912099999999999</v>
      </c>
      <c r="AS212" s="21">
        <v>-1.49689E-2</v>
      </c>
      <c r="AT212" s="21">
        <v>202</v>
      </c>
      <c r="AU212" s="21">
        <v>0.80200199999999999</v>
      </c>
      <c r="AV212">
        <f t="shared" si="44"/>
        <v>18.480123456790125</v>
      </c>
      <c r="AW212">
        <f t="shared" si="45"/>
        <v>14.838005285555557</v>
      </c>
      <c r="AX212" s="9"/>
      <c r="AY212" s="21">
        <v>0.91720599999999997</v>
      </c>
      <c r="AZ212" s="21">
        <v>29.771599999999999</v>
      </c>
      <c r="BA212" s="21">
        <v>-1.48804E-2</v>
      </c>
      <c r="BB212" s="21">
        <v>202</v>
      </c>
      <c r="BC212" s="21">
        <v>0.91613800000000001</v>
      </c>
      <c r="BD212">
        <f t="shared" si="46"/>
        <v>18.370864197530864</v>
      </c>
      <c r="BE212">
        <f t="shared" si="47"/>
        <v>16.849866867160493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0.79788199999999998</v>
      </c>
      <c r="H213" s="21">
        <v>7.1227400000000003</v>
      </c>
      <c r="I213" s="21">
        <v>-1.49719E-2</v>
      </c>
      <c r="J213" s="21">
        <v>203</v>
      </c>
      <c r="K213" s="21">
        <v>0.79742400000000002</v>
      </c>
      <c r="L213">
        <f t="shared" si="36"/>
        <v>18.483827160493824</v>
      </c>
      <c r="M213">
        <f t="shared" si="37"/>
        <v>14.747912982469133</v>
      </c>
      <c r="N213" s="9"/>
      <c r="O213" s="21">
        <v>0.92224099999999998</v>
      </c>
      <c r="P213" s="21">
        <v>10.982200000000001</v>
      </c>
      <c r="Q213" s="21">
        <v>-1.49017E-2</v>
      </c>
      <c r="R213" s="21">
        <v>203</v>
      </c>
      <c r="S213" s="21">
        <v>0.92163099999999998</v>
      </c>
      <c r="T213">
        <f t="shared" si="38"/>
        <v>18.397160493827158</v>
      </c>
      <c r="U213">
        <f t="shared" si="39"/>
        <v>16.966615690987652</v>
      </c>
      <c r="X213" s="9"/>
      <c r="Y213" s="21">
        <v>0.79788199999999998</v>
      </c>
      <c r="Z213" s="21">
        <v>16.5379</v>
      </c>
      <c r="AA213" s="21">
        <v>-1.49628E-2</v>
      </c>
      <c r="AB213" s="21">
        <v>203</v>
      </c>
      <c r="AC213" s="21">
        <v>0.79650900000000002</v>
      </c>
      <c r="AD213">
        <f t="shared" si="40"/>
        <v>18.472592592592594</v>
      </c>
      <c r="AE213">
        <f t="shared" si="41"/>
        <v>14.738949122962964</v>
      </c>
      <c r="AF213" s="9"/>
      <c r="AG213" s="21">
        <v>0.92224099999999998</v>
      </c>
      <c r="AH213" s="21">
        <v>20.397400000000001</v>
      </c>
      <c r="AI213" s="21">
        <v>-1.49506E-2</v>
      </c>
      <c r="AJ213" s="21">
        <v>203</v>
      </c>
      <c r="AK213" s="21">
        <v>0.92132599999999998</v>
      </c>
      <c r="AL213">
        <f t="shared" si="42"/>
        <v>18.45753086419753</v>
      </c>
      <c r="AM213">
        <f t="shared" si="43"/>
        <v>17.022291721728394</v>
      </c>
      <c r="AP213" s="9"/>
      <c r="AQ213" s="21">
        <v>0.79788199999999998</v>
      </c>
      <c r="AR213" s="21">
        <v>25.9222</v>
      </c>
      <c r="AS213" s="21">
        <v>-1.4975E-2</v>
      </c>
      <c r="AT213" s="21">
        <v>203</v>
      </c>
      <c r="AU213" s="21">
        <v>0.79681400000000002</v>
      </c>
      <c r="AV213">
        <f t="shared" si="44"/>
        <v>18.487654320987652</v>
      </c>
      <c r="AW213">
        <f t="shared" si="45"/>
        <v>14.750966604938268</v>
      </c>
      <c r="AX213" s="9"/>
      <c r="AY213" s="21">
        <v>0.92224099999999998</v>
      </c>
      <c r="AZ213" s="21">
        <v>29.781700000000001</v>
      </c>
      <c r="BA213" s="21">
        <v>-1.48804E-2</v>
      </c>
      <c r="BB213" s="21">
        <v>203</v>
      </c>
      <c r="BC213" s="21">
        <v>0.92193599999999998</v>
      </c>
      <c r="BD213">
        <f t="shared" si="46"/>
        <v>18.370864197530864</v>
      </c>
      <c r="BE213">
        <f t="shared" si="47"/>
        <v>16.942364168395059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0.79284699999999997</v>
      </c>
      <c r="H214" s="21">
        <v>7.1328100000000001</v>
      </c>
      <c r="I214" s="21">
        <v>-1.4987199999999999E-2</v>
      </c>
      <c r="J214" s="21">
        <v>204</v>
      </c>
      <c r="K214" s="21">
        <v>0.79193100000000005</v>
      </c>
      <c r="L214">
        <f t="shared" si="36"/>
        <v>18.502716049382713</v>
      </c>
      <c r="M214">
        <f t="shared" si="37"/>
        <v>14.669822911604935</v>
      </c>
      <c r="N214" s="9"/>
      <c r="O214" s="21">
        <v>0.92727700000000002</v>
      </c>
      <c r="P214" s="21">
        <v>10.9923</v>
      </c>
      <c r="Q214" s="21">
        <v>-1.4904799999999999E-2</v>
      </c>
      <c r="R214" s="21">
        <v>204</v>
      </c>
      <c r="S214" s="21">
        <v>0.92651399999999995</v>
      </c>
      <c r="T214">
        <f t="shared" si="38"/>
        <v>18.400987654320986</v>
      </c>
      <c r="U214">
        <f t="shared" si="39"/>
        <v>17.062812629135802</v>
      </c>
      <c r="X214" s="9"/>
      <c r="Y214" s="21">
        <v>0.79284699999999997</v>
      </c>
      <c r="Z214" s="21">
        <v>16.547999999999998</v>
      </c>
      <c r="AA214" s="21">
        <v>-1.49628E-2</v>
      </c>
      <c r="AB214" s="21">
        <v>204</v>
      </c>
      <c r="AC214" s="21">
        <v>0.79223600000000005</v>
      </c>
      <c r="AD214">
        <f t="shared" si="40"/>
        <v>18.472592592592594</v>
      </c>
      <c r="AE214">
        <f t="shared" si="41"/>
        <v>14.645939619259259</v>
      </c>
      <c r="AF214" s="9"/>
      <c r="AG214" s="21">
        <v>0.92727700000000002</v>
      </c>
      <c r="AH214" s="21">
        <v>20.407499999999999</v>
      </c>
      <c r="AI214" s="21">
        <v>-1.49506E-2</v>
      </c>
      <c r="AJ214" s="21">
        <v>204</v>
      </c>
      <c r="AK214" s="21">
        <v>0.92559800000000003</v>
      </c>
      <c r="AL214">
        <f t="shared" si="42"/>
        <v>18.45753086419753</v>
      </c>
      <c r="AM214">
        <f t="shared" si="43"/>
        <v>17.115243847160492</v>
      </c>
      <c r="AP214" s="9"/>
      <c r="AQ214" s="21">
        <v>0.79284699999999997</v>
      </c>
      <c r="AR214" s="21">
        <v>25.932200000000002</v>
      </c>
      <c r="AS214" s="21">
        <v>-1.4959699999999999E-2</v>
      </c>
      <c r="AT214" s="21">
        <v>204</v>
      </c>
      <c r="AU214" s="21">
        <v>0.79162600000000005</v>
      </c>
      <c r="AV214">
        <f t="shared" si="44"/>
        <v>18.468765432098763</v>
      </c>
      <c r="AW214">
        <f t="shared" si="45"/>
        <v>14.642905266543208</v>
      </c>
      <c r="AX214" s="9"/>
      <c r="AY214" s="21">
        <v>0.92727700000000002</v>
      </c>
      <c r="AZ214" s="21">
        <v>29.791699999999999</v>
      </c>
      <c r="BA214" s="21">
        <v>-1.48834E-2</v>
      </c>
      <c r="BB214" s="21">
        <v>204</v>
      </c>
      <c r="BC214" s="21">
        <v>0.92651399999999995</v>
      </c>
      <c r="BD214">
        <f t="shared" si="46"/>
        <v>18.374567901234567</v>
      </c>
      <c r="BE214">
        <f t="shared" si="47"/>
        <v>17.038314199753085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0.78781100000000004</v>
      </c>
      <c r="H215" s="21">
        <v>7.1428799999999999</v>
      </c>
      <c r="I215" s="21">
        <v>-1.4996300000000001E-2</v>
      </c>
      <c r="J215" s="21">
        <v>205</v>
      </c>
      <c r="K215" s="21">
        <v>0.78704799999999997</v>
      </c>
      <c r="L215">
        <f t="shared" si="36"/>
        <v>18.51395061728395</v>
      </c>
      <c r="M215">
        <f t="shared" si="37"/>
        <v>14.585493949753086</v>
      </c>
      <c r="N215" s="9"/>
      <c r="O215" s="21">
        <v>0.93231200000000003</v>
      </c>
      <c r="P215" s="21">
        <v>11.0024</v>
      </c>
      <c r="Q215" s="21">
        <v>-1.4907800000000001E-2</v>
      </c>
      <c r="R215" s="21">
        <v>205</v>
      </c>
      <c r="S215" s="21">
        <v>0.93170200000000003</v>
      </c>
      <c r="T215">
        <f t="shared" si="38"/>
        <v>18.404691358024692</v>
      </c>
      <c r="U215">
        <f t="shared" si="39"/>
        <v>17.158914609382716</v>
      </c>
      <c r="X215" s="9"/>
      <c r="Y215" s="21">
        <v>0.78781100000000004</v>
      </c>
      <c r="Z215" s="21">
        <v>16.5581</v>
      </c>
      <c r="AA215" s="21">
        <v>-1.49658E-2</v>
      </c>
      <c r="AB215" s="21">
        <v>205</v>
      </c>
      <c r="AC215" s="21">
        <v>0.787354</v>
      </c>
      <c r="AD215">
        <f t="shared" si="40"/>
        <v>18.476296296296297</v>
      </c>
      <c r="AE215">
        <f t="shared" si="41"/>
        <v>14.555829461481483</v>
      </c>
      <c r="AF215" s="9"/>
      <c r="AG215" s="21">
        <v>0.93231200000000003</v>
      </c>
      <c r="AH215" s="21">
        <v>20.4176</v>
      </c>
      <c r="AI215" s="21">
        <v>-1.4947500000000001E-2</v>
      </c>
      <c r="AJ215" s="21">
        <v>205</v>
      </c>
      <c r="AK215" s="21">
        <v>0.931396</v>
      </c>
      <c r="AL215">
        <f t="shared" si="42"/>
        <v>18.453703703703706</v>
      </c>
      <c r="AM215">
        <f t="shared" si="43"/>
        <v>17.204609407407411</v>
      </c>
      <c r="AP215" s="9"/>
      <c r="AQ215" s="21">
        <v>0.78781100000000004</v>
      </c>
      <c r="AR215" s="21">
        <v>25.942299999999999</v>
      </c>
      <c r="AS215" s="21">
        <v>-1.49658E-2</v>
      </c>
      <c r="AT215" s="21">
        <v>205</v>
      </c>
      <c r="AU215" s="21">
        <v>0.78674299999999997</v>
      </c>
      <c r="AV215">
        <f t="shared" si="44"/>
        <v>18.476296296296297</v>
      </c>
      <c r="AW215">
        <f t="shared" si="45"/>
        <v>14.555829461481483</v>
      </c>
      <c r="AX215" s="9"/>
      <c r="AY215" s="21">
        <v>0.93231200000000003</v>
      </c>
      <c r="AZ215" s="21">
        <v>29.8018</v>
      </c>
      <c r="BA215" s="21">
        <v>-1.48895E-2</v>
      </c>
      <c r="BB215" s="21">
        <v>205</v>
      </c>
      <c r="BC215" s="21">
        <v>0.931396</v>
      </c>
      <c r="BD215">
        <f t="shared" si="46"/>
        <v>18.382098765432101</v>
      </c>
      <c r="BE215">
        <f t="shared" si="47"/>
        <v>17.137851264197533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0.78277600000000003</v>
      </c>
      <c r="H216" s="21">
        <v>7.1529499999999997</v>
      </c>
      <c r="I216" s="21">
        <v>-1.50055E-2</v>
      </c>
      <c r="J216" s="21">
        <v>206</v>
      </c>
      <c r="K216" s="21">
        <v>0.78216600000000003</v>
      </c>
      <c r="L216">
        <f t="shared" si="36"/>
        <v>18.525308641975307</v>
      </c>
      <c r="M216">
        <f t="shared" si="37"/>
        <v>14.501166997530865</v>
      </c>
      <c r="N216" s="9"/>
      <c r="O216" s="21">
        <v>0.93734700000000004</v>
      </c>
      <c r="P216" s="21">
        <v>11.0124</v>
      </c>
      <c r="Q216" s="21">
        <v>-1.4907800000000001E-2</v>
      </c>
      <c r="R216" s="21">
        <v>206</v>
      </c>
      <c r="S216" s="21">
        <v>0.93627899999999997</v>
      </c>
      <c r="T216">
        <f t="shared" si="38"/>
        <v>18.404691358024692</v>
      </c>
      <c r="U216">
        <f t="shared" si="39"/>
        <v>17.251582230370371</v>
      </c>
      <c r="X216" s="9"/>
      <c r="Y216" s="21">
        <v>0.78277600000000003</v>
      </c>
      <c r="Z216" s="21">
        <v>16.568200000000001</v>
      </c>
      <c r="AA216" s="21">
        <v>-1.49689E-2</v>
      </c>
      <c r="AB216" s="21">
        <v>206</v>
      </c>
      <c r="AC216" s="21">
        <v>0.78186</v>
      </c>
      <c r="AD216">
        <f t="shared" si="40"/>
        <v>18.480123456790125</v>
      </c>
      <c r="AE216">
        <f t="shared" si="41"/>
        <v>14.465797119012347</v>
      </c>
      <c r="AF216" s="9"/>
      <c r="AG216" s="21">
        <v>0.93734700000000004</v>
      </c>
      <c r="AH216" s="21">
        <v>20.427600000000002</v>
      </c>
      <c r="AI216" s="21">
        <v>-1.4938399999999999E-2</v>
      </c>
      <c r="AJ216" s="21">
        <v>206</v>
      </c>
      <c r="AK216" s="21">
        <v>0.93627899999999997</v>
      </c>
      <c r="AL216">
        <f t="shared" si="42"/>
        <v>18.442469135802465</v>
      </c>
      <c r="AM216">
        <f t="shared" si="43"/>
        <v>17.286993117037035</v>
      </c>
      <c r="AP216" s="9"/>
      <c r="AQ216" s="21">
        <v>0.78277600000000003</v>
      </c>
      <c r="AR216" s="21">
        <v>25.952400000000001</v>
      </c>
      <c r="AS216" s="21">
        <v>-1.49567E-2</v>
      </c>
      <c r="AT216" s="21">
        <v>206</v>
      </c>
      <c r="AU216" s="21">
        <v>0.78216600000000003</v>
      </c>
      <c r="AV216">
        <f t="shared" si="44"/>
        <v>18.46506172839506</v>
      </c>
      <c r="AW216">
        <f t="shared" si="45"/>
        <v>14.454007159506173</v>
      </c>
      <c r="AX216" s="9"/>
      <c r="AY216" s="21">
        <v>0.93734700000000004</v>
      </c>
      <c r="AZ216" s="21">
        <v>29.811900000000001</v>
      </c>
      <c r="BA216" s="21">
        <v>-1.48865E-2</v>
      </c>
      <c r="BB216" s="21">
        <v>206</v>
      </c>
      <c r="BC216" s="21">
        <v>0.937195</v>
      </c>
      <c r="BD216">
        <f t="shared" si="46"/>
        <v>18.378395061728394</v>
      </c>
      <c r="BE216">
        <f t="shared" si="47"/>
        <v>17.226933475925925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0.77773999999999999</v>
      </c>
      <c r="H217" s="21">
        <v>7.1630200000000004</v>
      </c>
      <c r="I217" s="21">
        <v>-1.5008499999999999E-2</v>
      </c>
      <c r="J217" s="21">
        <v>207</v>
      </c>
      <c r="K217" s="21">
        <v>0.77606200000000003</v>
      </c>
      <c r="L217">
        <f t="shared" si="36"/>
        <v>18.529012345679011</v>
      </c>
      <c r="M217">
        <f t="shared" si="37"/>
        <v>14.410754061728394</v>
      </c>
      <c r="N217" s="9"/>
      <c r="O217" s="21">
        <v>0.94238299999999997</v>
      </c>
      <c r="P217" s="21">
        <v>11.022500000000001</v>
      </c>
      <c r="Q217" s="21">
        <v>-1.4904799999999999E-2</v>
      </c>
      <c r="R217" s="21">
        <v>207</v>
      </c>
      <c r="S217" s="21">
        <v>0.94177200000000005</v>
      </c>
      <c r="T217">
        <f t="shared" si="38"/>
        <v>18.400987654320986</v>
      </c>
      <c r="U217">
        <f t="shared" si="39"/>
        <v>17.340777948641971</v>
      </c>
      <c r="X217" s="9"/>
      <c r="Y217" s="21">
        <v>0.77773999999999999</v>
      </c>
      <c r="Z217" s="21">
        <v>16.578199999999999</v>
      </c>
      <c r="AA217" s="21">
        <v>-1.49689E-2</v>
      </c>
      <c r="AB217" s="21">
        <v>207</v>
      </c>
      <c r="AC217" s="21">
        <v>0.77697799999999995</v>
      </c>
      <c r="AD217">
        <f t="shared" si="40"/>
        <v>18.480123456790125</v>
      </c>
      <c r="AE217">
        <f t="shared" si="41"/>
        <v>14.372731217283951</v>
      </c>
      <c r="AF217" s="9"/>
      <c r="AG217" s="21">
        <v>0.94238299999999997</v>
      </c>
      <c r="AH217" s="21">
        <v>20.4377</v>
      </c>
      <c r="AI217" s="21">
        <v>-1.49292E-2</v>
      </c>
      <c r="AJ217" s="21">
        <v>207</v>
      </c>
      <c r="AK217" s="21">
        <v>0.94177200000000005</v>
      </c>
      <c r="AL217">
        <f t="shared" si="42"/>
        <v>18.431111111111111</v>
      </c>
      <c r="AM217">
        <f t="shared" si="43"/>
        <v>17.369165782222222</v>
      </c>
      <c r="AP217" s="9"/>
      <c r="AQ217" s="21">
        <v>0.77773999999999999</v>
      </c>
      <c r="AR217" s="21">
        <v>25.962499999999999</v>
      </c>
      <c r="AS217" s="21">
        <v>-1.49658E-2</v>
      </c>
      <c r="AT217" s="21">
        <v>207</v>
      </c>
      <c r="AU217" s="21">
        <v>0.77667200000000003</v>
      </c>
      <c r="AV217">
        <f t="shared" si="44"/>
        <v>18.476296296296297</v>
      </c>
      <c r="AW217">
        <f t="shared" si="45"/>
        <v>14.369754681481481</v>
      </c>
      <c r="AX217" s="9"/>
      <c r="AY217" s="21">
        <v>0.94238299999999997</v>
      </c>
      <c r="AZ217" s="21">
        <v>29.821899999999999</v>
      </c>
      <c r="BA217" s="21">
        <v>-1.48834E-2</v>
      </c>
      <c r="BB217" s="21">
        <v>207</v>
      </c>
      <c r="BC217" s="21">
        <v>0.94146700000000005</v>
      </c>
      <c r="BD217">
        <f t="shared" si="46"/>
        <v>18.374567901234567</v>
      </c>
      <c r="BE217">
        <f t="shared" si="47"/>
        <v>17.315880422469135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0.77270499999999998</v>
      </c>
      <c r="H218" s="21">
        <v>7.1730900000000002</v>
      </c>
      <c r="I218" s="21">
        <v>-1.50055E-2</v>
      </c>
      <c r="J218" s="21">
        <v>208</v>
      </c>
      <c r="K218" s="21">
        <v>0.77178999999999998</v>
      </c>
      <c r="L218">
        <f t="shared" si="36"/>
        <v>18.525308641975307</v>
      </c>
      <c r="M218">
        <f t="shared" si="37"/>
        <v>14.31459861419753</v>
      </c>
      <c r="N218" s="9"/>
      <c r="O218" s="21">
        <v>0.94741799999999998</v>
      </c>
      <c r="P218" s="21">
        <v>11.0326</v>
      </c>
      <c r="Q218" s="21">
        <v>-1.49017E-2</v>
      </c>
      <c r="R218" s="21">
        <v>208</v>
      </c>
      <c r="S218" s="21">
        <v>0.94635000000000002</v>
      </c>
      <c r="T218">
        <f t="shared" si="38"/>
        <v>18.397160493827158</v>
      </c>
      <c r="U218">
        <f t="shared" si="39"/>
        <v>17.429801000740738</v>
      </c>
      <c r="X218" s="9"/>
      <c r="Y218" s="21">
        <v>0.77270499999999998</v>
      </c>
      <c r="Z218" s="21">
        <v>16.5883</v>
      </c>
      <c r="AA218" s="21">
        <v>-1.49689E-2</v>
      </c>
      <c r="AB218" s="21">
        <v>208</v>
      </c>
      <c r="AC218" s="21">
        <v>0.77209499999999998</v>
      </c>
      <c r="AD218">
        <f t="shared" si="40"/>
        <v>18.480123456790125</v>
      </c>
      <c r="AE218">
        <f t="shared" si="41"/>
        <v>14.279683795679013</v>
      </c>
      <c r="AF218" s="9"/>
      <c r="AG218" s="21">
        <v>0.94741799999999998</v>
      </c>
      <c r="AH218" s="21">
        <v>20.447800000000001</v>
      </c>
      <c r="AI218" s="21">
        <v>-1.4917E-2</v>
      </c>
      <c r="AJ218" s="21">
        <v>208</v>
      </c>
      <c r="AK218" s="21">
        <v>0.94696000000000002</v>
      </c>
      <c r="AL218">
        <f t="shared" si="42"/>
        <v>18.416049382716047</v>
      </c>
      <c r="AM218">
        <f t="shared" si="43"/>
        <v>17.44769667407407</v>
      </c>
      <c r="AP218" s="9"/>
      <c r="AQ218" s="21">
        <v>0.77270499999999998</v>
      </c>
      <c r="AR218" s="21">
        <v>25.9725</v>
      </c>
      <c r="AS218" s="21">
        <v>-1.49689E-2</v>
      </c>
      <c r="AT218" s="21">
        <v>208</v>
      </c>
      <c r="AU218" s="21">
        <v>0.77117899999999995</v>
      </c>
      <c r="AV218">
        <f t="shared" si="44"/>
        <v>18.480123456790125</v>
      </c>
      <c r="AW218">
        <f t="shared" si="45"/>
        <v>14.279683795679013</v>
      </c>
      <c r="AX218" s="9"/>
      <c r="AY218" s="21">
        <v>0.94741799999999998</v>
      </c>
      <c r="AZ218" s="21">
        <v>29.832000000000001</v>
      </c>
      <c r="BA218" s="21">
        <v>-1.48895E-2</v>
      </c>
      <c r="BB218" s="21">
        <v>208</v>
      </c>
      <c r="BC218" s="21">
        <v>0.94635000000000002</v>
      </c>
      <c r="BD218">
        <f t="shared" si="46"/>
        <v>18.382098765432101</v>
      </c>
      <c r="BE218">
        <f t="shared" si="47"/>
        <v>17.415531248148149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0.76766999999999996</v>
      </c>
      <c r="H219" s="21">
        <v>7.18316</v>
      </c>
      <c r="I219" s="21">
        <v>-1.4993299999999999E-2</v>
      </c>
      <c r="J219" s="21">
        <v>209</v>
      </c>
      <c r="K219" s="21">
        <v>0.76721200000000001</v>
      </c>
      <c r="L219">
        <f t="shared" si="36"/>
        <v>18.510246913580243</v>
      </c>
      <c r="M219">
        <f t="shared" si="37"/>
        <v>14.209761248148144</v>
      </c>
      <c r="N219" s="9"/>
      <c r="O219" s="21">
        <v>0.95245400000000002</v>
      </c>
      <c r="P219" s="21">
        <v>11.0426</v>
      </c>
      <c r="Q219" s="21">
        <v>-1.48895E-2</v>
      </c>
      <c r="R219" s="21">
        <v>209</v>
      </c>
      <c r="S219" s="21">
        <v>0.95153799999999999</v>
      </c>
      <c r="T219">
        <f t="shared" si="38"/>
        <v>18.382098765432101</v>
      </c>
      <c r="U219">
        <f t="shared" si="39"/>
        <v>17.508103497530868</v>
      </c>
      <c r="X219" s="9"/>
      <c r="Y219" s="21">
        <v>0.76766999999999996</v>
      </c>
      <c r="Z219" s="21">
        <v>16.598400000000002</v>
      </c>
      <c r="AA219" s="21">
        <v>-1.49567E-2</v>
      </c>
      <c r="AB219" s="21">
        <v>209</v>
      </c>
      <c r="AC219" s="21">
        <v>0.76690700000000001</v>
      </c>
      <c r="AD219">
        <f t="shared" si="40"/>
        <v>18.46506172839506</v>
      </c>
      <c r="AE219">
        <f t="shared" si="41"/>
        <v>14.175073937037036</v>
      </c>
      <c r="AF219" s="9"/>
      <c r="AG219" s="21">
        <v>0.95245400000000002</v>
      </c>
      <c r="AH219" s="21">
        <v>20.457799999999999</v>
      </c>
      <c r="AI219" s="21">
        <v>-1.49231E-2</v>
      </c>
      <c r="AJ219" s="21">
        <v>209</v>
      </c>
      <c r="AK219" s="21">
        <v>0.95153799999999999</v>
      </c>
      <c r="AL219">
        <f t="shared" si="42"/>
        <v>18.423580246913577</v>
      </c>
      <c r="AM219">
        <f t="shared" si="43"/>
        <v>17.547612700493826</v>
      </c>
      <c r="AP219" s="9"/>
      <c r="AQ219" s="21">
        <v>0.76766999999999996</v>
      </c>
      <c r="AR219" s="21">
        <v>25.982600000000001</v>
      </c>
      <c r="AS219" s="21">
        <v>-1.49628E-2</v>
      </c>
      <c r="AT219" s="21">
        <v>209</v>
      </c>
      <c r="AU219" s="21">
        <v>0.76690700000000001</v>
      </c>
      <c r="AV219">
        <f t="shared" si="44"/>
        <v>18.472592592592594</v>
      </c>
      <c r="AW219">
        <f t="shared" si="45"/>
        <v>14.180855155555555</v>
      </c>
      <c r="AX219" s="9"/>
      <c r="AY219" s="21">
        <v>0.95245400000000002</v>
      </c>
      <c r="AZ219" s="21">
        <v>29.842099999999999</v>
      </c>
      <c r="BA219" s="21">
        <v>-1.48865E-2</v>
      </c>
      <c r="BB219" s="21">
        <v>209</v>
      </c>
      <c r="BC219" s="21">
        <v>0.95153799999999999</v>
      </c>
      <c r="BD219">
        <f t="shared" si="46"/>
        <v>18.378395061728394</v>
      </c>
      <c r="BE219">
        <f t="shared" si="47"/>
        <v>17.504575890123455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0.76263400000000003</v>
      </c>
      <c r="H220" s="21">
        <v>7.1932299999999998</v>
      </c>
      <c r="I220" s="21">
        <v>-1.4993299999999999E-2</v>
      </c>
      <c r="J220" s="21">
        <v>210</v>
      </c>
      <c r="K220" s="21">
        <v>0.76141400000000004</v>
      </c>
      <c r="L220">
        <f t="shared" si="36"/>
        <v>18.510246913580243</v>
      </c>
      <c r="M220">
        <f t="shared" si="37"/>
        <v>14.116543644691356</v>
      </c>
      <c r="N220" s="9"/>
      <c r="O220" s="21">
        <v>0.95748900000000003</v>
      </c>
      <c r="P220" s="21">
        <v>11.0527</v>
      </c>
      <c r="Q220" s="21">
        <v>-1.48865E-2</v>
      </c>
      <c r="R220" s="21">
        <v>210</v>
      </c>
      <c r="S220" s="21">
        <v>0.95672599999999997</v>
      </c>
      <c r="T220">
        <f t="shared" si="38"/>
        <v>18.378395061728394</v>
      </c>
      <c r="U220">
        <f t="shared" si="39"/>
        <v>17.597111109259259</v>
      </c>
      <c r="X220" s="9"/>
      <c r="Y220" s="21">
        <v>0.76263400000000003</v>
      </c>
      <c r="Z220" s="21">
        <v>16.6084</v>
      </c>
      <c r="AA220" s="21">
        <v>-1.4953599999999999E-2</v>
      </c>
      <c r="AB220" s="21">
        <v>210</v>
      </c>
      <c r="AC220" s="21">
        <v>0.76202400000000003</v>
      </c>
      <c r="AD220">
        <f t="shared" si="40"/>
        <v>18.461234567901233</v>
      </c>
      <c r="AE220">
        <f t="shared" si="41"/>
        <v>14.079165163456789</v>
      </c>
      <c r="AF220" s="9"/>
      <c r="AG220" s="21">
        <v>0.95748900000000003</v>
      </c>
      <c r="AH220" s="21">
        <v>20.4679</v>
      </c>
      <c r="AI220" s="21">
        <v>-1.49292E-2</v>
      </c>
      <c r="AJ220" s="21">
        <v>210</v>
      </c>
      <c r="AK220" s="21">
        <v>0.95642099999999997</v>
      </c>
      <c r="AL220">
        <f t="shared" si="42"/>
        <v>18.431111111111111</v>
      </c>
      <c r="AM220">
        <f t="shared" si="43"/>
        <v>17.647586146666669</v>
      </c>
      <c r="AP220" s="9"/>
      <c r="AQ220" s="21">
        <v>0.76263400000000003</v>
      </c>
      <c r="AR220" s="21">
        <v>25.992699999999999</v>
      </c>
      <c r="AS220" s="21">
        <v>-1.49628E-2</v>
      </c>
      <c r="AT220" s="21">
        <v>210</v>
      </c>
      <c r="AU220" s="21">
        <v>0.76171900000000003</v>
      </c>
      <c r="AV220">
        <f t="shared" si="44"/>
        <v>18.472592592592594</v>
      </c>
      <c r="AW220">
        <f t="shared" si="45"/>
        <v>14.087827179259261</v>
      </c>
      <c r="AX220" s="9"/>
      <c r="AY220" s="21">
        <v>0.95748900000000003</v>
      </c>
      <c r="AZ220" s="21">
        <v>29.8522</v>
      </c>
      <c r="BA220" s="21">
        <v>-1.48895E-2</v>
      </c>
      <c r="BB220" s="21">
        <v>210</v>
      </c>
      <c r="BC220" s="21">
        <v>0.95642099999999997</v>
      </c>
      <c r="BD220">
        <f t="shared" si="46"/>
        <v>18.382098765432101</v>
      </c>
      <c r="BE220">
        <f t="shared" si="47"/>
        <v>17.600657364814818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0.75759900000000002</v>
      </c>
      <c r="H221" s="21">
        <v>7.2032999999999996</v>
      </c>
      <c r="I221" s="21">
        <v>-1.4996300000000001E-2</v>
      </c>
      <c r="J221" s="21">
        <v>211</v>
      </c>
      <c r="K221" s="21">
        <v>0.75714099999999995</v>
      </c>
      <c r="L221">
        <f t="shared" si="36"/>
        <v>18.51395061728395</v>
      </c>
      <c r="M221">
        <f t="shared" si="37"/>
        <v>14.026150473703703</v>
      </c>
      <c r="N221" s="9"/>
      <c r="O221" s="21">
        <v>0.96252400000000005</v>
      </c>
      <c r="P221" s="21">
        <v>11.062799999999999</v>
      </c>
      <c r="Q221" s="21">
        <v>-1.48956E-2</v>
      </c>
      <c r="R221" s="21">
        <v>211</v>
      </c>
      <c r="S221" s="21">
        <v>0.96160900000000005</v>
      </c>
      <c r="T221">
        <f t="shared" si="38"/>
        <v>18.389629629629628</v>
      </c>
      <c r="U221">
        <f t="shared" si="39"/>
        <v>17.700459869629629</v>
      </c>
      <c r="X221" s="9"/>
      <c r="Y221" s="21">
        <v>0.75759900000000002</v>
      </c>
      <c r="Z221" s="21">
        <v>16.618500000000001</v>
      </c>
      <c r="AA221" s="21">
        <v>-1.49506E-2</v>
      </c>
      <c r="AB221" s="21">
        <v>211</v>
      </c>
      <c r="AC221" s="21">
        <v>0.75714099999999995</v>
      </c>
      <c r="AD221">
        <f t="shared" si="40"/>
        <v>18.45753086419753</v>
      </c>
      <c r="AE221">
        <f t="shared" si="41"/>
        <v>13.983406925185184</v>
      </c>
      <c r="AF221" s="9"/>
      <c r="AG221" s="21">
        <v>0.96252400000000005</v>
      </c>
      <c r="AH221" s="21">
        <v>20.478000000000002</v>
      </c>
      <c r="AI221" s="21">
        <v>-1.4938399999999999E-2</v>
      </c>
      <c r="AJ221" s="21">
        <v>211</v>
      </c>
      <c r="AK221" s="21">
        <v>0.96191400000000005</v>
      </c>
      <c r="AL221">
        <f t="shared" si="42"/>
        <v>18.442469135802465</v>
      </c>
      <c r="AM221">
        <f t="shared" si="43"/>
        <v>17.751319162469134</v>
      </c>
      <c r="AP221" s="9"/>
      <c r="AQ221" s="21">
        <v>0.75759900000000002</v>
      </c>
      <c r="AR221" s="21">
        <v>26.002700000000001</v>
      </c>
      <c r="AS221" s="21">
        <v>-1.4959699999999999E-2</v>
      </c>
      <c r="AT221" s="21">
        <v>211</v>
      </c>
      <c r="AU221" s="21">
        <v>0.75714099999999995</v>
      </c>
      <c r="AV221">
        <f t="shared" si="44"/>
        <v>18.468765432098763</v>
      </c>
      <c r="AW221">
        <f t="shared" si="45"/>
        <v>13.991918222592592</v>
      </c>
      <c r="AX221" s="9"/>
      <c r="AY221" s="21">
        <v>0.96252400000000005</v>
      </c>
      <c r="AZ221" s="21">
        <v>29.862200000000001</v>
      </c>
      <c r="BA221" s="21">
        <v>-1.48834E-2</v>
      </c>
      <c r="BB221" s="21">
        <v>211</v>
      </c>
      <c r="BC221" s="21">
        <v>0.96191400000000005</v>
      </c>
      <c r="BD221">
        <f t="shared" si="46"/>
        <v>18.374567901234567</v>
      </c>
      <c r="BE221">
        <f t="shared" si="47"/>
        <v>17.685962594567901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0.75256299999999998</v>
      </c>
      <c r="H222" s="21">
        <v>7.2133700000000003</v>
      </c>
      <c r="I222" s="21">
        <v>-1.5008499999999999E-2</v>
      </c>
      <c r="J222" s="21">
        <v>212</v>
      </c>
      <c r="K222" s="21">
        <v>0.75164799999999998</v>
      </c>
      <c r="L222">
        <f t="shared" si="36"/>
        <v>18.529012345679011</v>
      </c>
      <c r="M222">
        <f t="shared" si="37"/>
        <v>13.944249117901233</v>
      </c>
      <c r="N222" s="9"/>
      <c r="O222" s="21">
        <v>0.96755999999999998</v>
      </c>
      <c r="P222" s="21">
        <v>11.072900000000001</v>
      </c>
      <c r="Q222" s="21">
        <v>-1.48956E-2</v>
      </c>
      <c r="R222" s="21">
        <v>212</v>
      </c>
      <c r="S222" s="21">
        <v>0.96618700000000002</v>
      </c>
      <c r="T222">
        <f t="shared" si="38"/>
        <v>18.389629629629628</v>
      </c>
      <c r="U222">
        <f t="shared" si="39"/>
        <v>17.793070044444441</v>
      </c>
      <c r="X222" s="9"/>
      <c r="Y222" s="21">
        <v>0.75256299999999998</v>
      </c>
      <c r="Z222" s="21">
        <v>16.628599999999999</v>
      </c>
      <c r="AA222" s="21">
        <v>-1.4953599999999999E-2</v>
      </c>
      <c r="AB222" s="21">
        <v>212</v>
      </c>
      <c r="AC222" s="21">
        <v>0.75134299999999998</v>
      </c>
      <c r="AD222">
        <f t="shared" si="40"/>
        <v>18.461234567901233</v>
      </c>
      <c r="AE222">
        <f t="shared" si="41"/>
        <v>13.893242070123454</v>
      </c>
      <c r="AF222" s="9"/>
      <c r="AG222" s="21">
        <v>0.96755999999999998</v>
      </c>
      <c r="AH222" s="21">
        <v>20.488099999999999</v>
      </c>
      <c r="AI222" s="21">
        <v>-1.4941400000000001E-2</v>
      </c>
      <c r="AJ222" s="21">
        <v>212</v>
      </c>
      <c r="AK222" s="21">
        <v>0.96679700000000002</v>
      </c>
      <c r="AL222">
        <f t="shared" si="42"/>
        <v>18.446172839506172</v>
      </c>
      <c r="AM222">
        <f t="shared" si="43"/>
        <v>17.847778992592591</v>
      </c>
      <c r="AP222" s="9"/>
      <c r="AQ222" s="21">
        <v>0.75256299999999998</v>
      </c>
      <c r="AR222" s="21">
        <v>26.012799999999999</v>
      </c>
      <c r="AS222" s="21">
        <v>-1.49506E-2</v>
      </c>
      <c r="AT222" s="21">
        <v>212</v>
      </c>
      <c r="AU222" s="21">
        <v>0.75195299999999998</v>
      </c>
      <c r="AV222">
        <f t="shared" si="44"/>
        <v>18.45753086419753</v>
      </c>
      <c r="AW222">
        <f t="shared" si="45"/>
        <v>13.890454799753085</v>
      </c>
      <c r="AX222" s="9"/>
      <c r="AY222" s="21">
        <v>0.96755999999999998</v>
      </c>
      <c r="AZ222" s="21">
        <v>29.872299999999999</v>
      </c>
      <c r="BA222" s="21">
        <v>-1.48804E-2</v>
      </c>
      <c r="BB222" s="21">
        <v>212</v>
      </c>
      <c r="BC222" s="21">
        <v>0.96588099999999999</v>
      </c>
      <c r="BD222">
        <f t="shared" si="46"/>
        <v>18.370864197530864</v>
      </c>
      <c r="BE222">
        <f t="shared" si="47"/>
        <v>17.774913362962963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0.74752799999999997</v>
      </c>
      <c r="H223" s="21">
        <v>7.2234499999999997</v>
      </c>
      <c r="I223" s="21">
        <v>-1.50116E-2</v>
      </c>
      <c r="J223" s="21">
        <v>213</v>
      </c>
      <c r="K223" s="21">
        <v>0.74685699999999999</v>
      </c>
      <c r="L223">
        <f t="shared" si="36"/>
        <v>18.532839506172838</v>
      </c>
      <c r="M223">
        <f t="shared" si="37"/>
        <v>13.853816450370369</v>
      </c>
      <c r="N223" s="9"/>
      <c r="O223" s="21">
        <v>0.97259499999999999</v>
      </c>
      <c r="P223" s="21">
        <v>11.0829</v>
      </c>
      <c r="Q223" s="21">
        <v>-1.48834E-2</v>
      </c>
      <c r="R223" s="21">
        <v>213</v>
      </c>
      <c r="S223" s="21">
        <v>0.97167999999999999</v>
      </c>
      <c r="T223">
        <f t="shared" si="38"/>
        <v>18.374567901234567</v>
      </c>
      <c r="U223">
        <f t="shared" si="39"/>
        <v>17.871012867901232</v>
      </c>
      <c r="X223" s="9"/>
      <c r="Y223" s="21">
        <v>0.74752799999999997</v>
      </c>
      <c r="Z223" s="21">
        <v>16.6387</v>
      </c>
      <c r="AA223" s="21">
        <v>-1.49567E-2</v>
      </c>
      <c r="AB223" s="21">
        <v>213</v>
      </c>
      <c r="AC223" s="21">
        <v>0.74682599999999999</v>
      </c>
      <c r="AD223">
        <f t="shared" si="40"/>
        <v>18.46506172839506</v>
      </c>
      <c r="AE223">
        <f t="shared" si="41"/>
        <v>13.803150663703702</v>
      </c>
      <c r="AF223" s="9"/>
      <c r="AG223" s="21">
        <v>0.97259499999999999</v>
      </c>
      <c r="AH223" s="21">
        <v>20.498100000000001</v>
      </c>
      <c r="AI223" s="21">
        <v>-1.49506E-2</v>
      </c>
      <c r="AJ223" s="21">
        <v>213</v>
      </c>
      <c r="AK223" s="21">
        <v>0.97137499999999999</v>
      </c>
      <c r="AL223">
        <f t="shared" si="42"/>
        <v>18.45753086419753</v>
      </c>
      <c r="AM223">
        <f t="shared" si="43"/>
        <v>17.951702230864196</v>
      </c>
      <c r="AP223" s="9"/>
      <c r="AQ223" s="21">
        <v>0.74752799999999997</v>
      </c>
      <c r="AR223" s="21">
        <v>26.0229</v>
      </c>
      <c r="AS223" s="21">
        <v>-1.4938399999999999E-2</v>
      </c>
      <c r="AT223" s="21">
        <v>213</v>
      </c>
      <c r="AU223" s="21">
        <v>0.74691799999999997</v>
      </c>
      <c r="AV223">
        <f t="shared" si="44"/>
        <v>18.442469135802465</v>
      </c>
      <c r="AW223">
        <f t="shared" si="45"/>
        <v>13.786262068148146</v>
      </c>
      <c r="AX223" s="9"/>
      <c r="AY223" s="21">
        <v>0.97259499999999999</v>
      </c>
      <c r="AZ223" s="21">
        <v>29.882400000000001</v>
      </c>
      <c r="BA223" s="21">
        <v>-1.48865E-2</v>
      </c>
      <c r="BB223" s="21">
        <v>213</v>
      </c>
      <c r="BC223" s="21">
        <v>0.97167999999999999</v>
      </c>
      <c r="BD223">
        <f t="shared" si="46"/>
        <v>18.378395061728394</v>
      </c>
      <c r="BE223">
        <f t="shared" si="47"/>
        <v>17.874735145061727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0.74249299999999996</v>
      </c>
      <c r="H224" s="21">
        <v>7.2335200000000004</v>
      </c>
      <c r="I224" s="21">
        <v>-1.5014599999999999E-2</v>
      </c>
      <c r="J224" s="21">
        <v>214</v>
      </c>
      <c r="K224" s="21">
        <v>0.74191300000000004</v>
      </c>
      <c r="L224">
        <f t="shared" si="36"/>
        <v>18.536543209876541</v>
      </c>
      <c r="M224">
        <f t="shared" si="37"/>
        <v>13.763253577530861</v>
      </c>
      <c r="N224" s="9"/>
      <c r="O224" s="21">
        <v>0.97763100000000003</v>
      </c>
      <c r="P224" s="21">
        <v>11.093</v>
      </c>
      <c r="Q224" s="21">
        <v>-1.48743E-2</v>
      </c>
      <c r="R224" s="21">
        <v>214</v>
      </c>
      <c r="S224" s="21">
        <v>0.97686799999999996</v>
      </c>
      <c r="T224">
        <f t="shared" si="38"/>
        <v>18.363333333333333</v>
      </c>
      <c r="U224">
        <f t="shared" si="39"/>
        <v>17.95256393</v>
      </c>
      <c r="X224" s="9"/>
      <c r="Y224" s="21">
        <v>0.74249299999999996</v>
      </c>
      <c r="Z224" s="21">
        <v>16.648700000000002</v>
      </c>
      <c r="AA224" s="21">
        <v>-1.4953599999999999E-2</v>
      </c>
      <c r="AB224" s="21">
        <v>214</v>
      </c>
      <c r="AC224" s="21">
        <v>0.74185199999999996</v>
      </c>
      <c r="AD224">
        <f t="shared" si="40"/>
        <v>18.461234567901233</v>
      </c>
      <c r="AE224">
        <f t="shared" si="41"/>
        <v>13.707337438024689</v>
      </c>
      <c r="AF224" s="9"/>
      <c r="AG224" s="21">
        <v>0.97763100000000003</v>
      </c>
      <c r="AH224" s="21">
        <v>20.508199999999999</v>
      </c>
      <c r="AI224" s="21">
        <v>-1.4947500000000001E-2</v>
      </c>
      <c r="AJ224" s="21">
        <v>214</v>
      </c>
      <c r="AK224" s="21">
        <v>0.97656299999999996</v>
      </c>
      <c r="AL224">
        <f t="shared" si="42"/>
        <v>18.453703703703706</v>
      </c>
      <c r="AM224">
        <f t="shared" si="43"/>
        <v>18.040912805555557</v>
      </c>
      <c r="AP224" s="9"/>
      <c r="AQ224" s="21">
        <v>0.74249299999999996</v>
      </c>
      <c r="AR224" s="21">
        <v>26.033000000000001</v>
      </c>
      <c r="AS224" s="21">
        <v>-1.4947500000000001E-2</v>
      </c>
      <c r="AT224" s="21">
        <v>214</v>
      </c>
      <c r="AU224" s="21">
        <v>0.74185199999999996</v>
      </c>
      <c r="AV224">
        <f t="shared" si="44"/>
        <v>18.453703703703706</v>
      </c>
      <c r="AW224">
        <f t="shared" si="45"/>
        <v>13.701745824074075</v>
      </c>
      <c r="AX224" s="9"/>
      <c r="AY224" s="21">
        <v>0.97763100000000003</v>
      </c>
      <c r="AZ224" s="21">
        <v>29.892399999999999</v>
      </c>
      <c r="BA224" s="21">
        <v>-1.48865E-2</v>
      </c>
      <c r="BB224" s="21">
        <v>214</v>
      </c>
      <c r="BC224" s="21">
        <v>0.97625700000000004</v>
      </c>
      <c r="BD224">
        <f t="shared" si="46"/>
        <v>18.378395061728394</v>
      </c>
      <c r="BE224">
        <f t="shared" si="47"/>
        <v>17.967288742592594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0.73745700000000003</v>
      </c>
      <c r="H225" s="21">
        <v>7.2435900000000002</v>
      </c>
      <c r="I225" s="21">
        <v>-1.5008499999999999E-2</v>
      </c>
      <c r="J225" s="21">
        <v>215</v>
      </c>
      <c r="K225" s="21">
        <v>0.736877</v>
      </c>
      <c r="L225">
        <f t="shared" si="36"/>
        <v>18.529012345679011</v>
      </c>
      <c r="M225">
        <f t="shared" si="37"/>
        <v>13.664349857407407</v>
      </c>
      <c r="N225" s="9"/>
      <c r="O225" s="21">
        <v>0.98266600000000004</v>
      </c>
      <c r="P225" s="21">
        <v>11.1031</v>
      </c>
      <c r="Q225" s="21">
        <v>-1.4871199999999999E-2</v>
      </c>
      <c r="R225" s="21">
        <v>215</v>
      </c>
      <c r="S225" s="21">
        <v>0.98144500000000001</v>
      </c>
      <c r="T225">
        <f t="shared" si="38"/>
        <v>18.359506172839506</v>
      </c>
      <c r="U225">
        <f t="shared" si="39"/>
        <v>18.041262492839508</v>
      </c>
      <c r="X225" s="9"/>
      <c r="Y225" s="21">
        <v>0.73745700000000003</v>
      </c>
      <c r="Z225" s="21">
        <v>16.658799999999999</v>
      </c>
      <c r="AA225" s="21">
        <v>-1.4953599999999999E-2</v>
      </c>
      <c r="AB225" s="21">
        <v>215</v>
      </c>
      <c r="AC225" s="21">
        <v>0.73696899999999999</v>
      </c>
      <c r="AD225">
        <f t="shared" si="40"/>
        <v>18.461234567901233</v>
      </c>
      <c r="AE225">
        <f t="shared" si="41"/>
        <v>13.614366660740741</v>
      </c>
      <c r="AF225" s="9"/>
      <c r="AG225" s="21">
        <v>0.98266600000000004</v>
      </c>
      <c r="AH225" s="21">
        <v>20.5183</v>
      </c>
      <c r="AI225" s="21">
        <v>-1.4947500000000001E-2</v>
      </c>
      <c r="AJ225" s="21">
        <v>215</v>
      </c>
      <c r="AK225" s="21">
        <v>0.98175000000000001</v>
      </c>
      <c r="AL225">
        <f t="shared" si="42"/>
        <v>18.453703703703706</v>
      </c>
      <c r="AM225">
        <f t="shared" si="43"/>
        <v>18.133827203703706</v>
      </c>
      <c r="AP225" s="9"/>
      <c r="AQ225" s="21">
        <v>0.73745700000000003</v>
      </c>
      <c r="AR225" s="21">
        <v>26.042999999999999</v>
      </c>
      <c r="AS225" s="21">
        <v>-1.4953599999999999E-2</v>
      </c>
      <c r="AT225" s="21">
        <v>215</v>
      </c>
      <c r="AU225" s="21">
        <v>0.73681600000000003</v>
      </c>
      <c r="AV225">
        <f t="shared" si="44"/>
        <v>18.461234567901233</v>
      </c>
      <c r="AW225">
        <f t="shared" si="45"/>
        <v>13.614366660740741</v>
      </c>
      <c r="AX225" s="9"/>
      <c r="AY225" s="21">
        <v>0.98266600000000004</v>
      </c>
      <c r="AZ225" s="21">
        <v>29.9025</v>
      </c>
      <c r="BA225" s="21">
        <v>-1.48773E-2</v>
      </c>
      <c r="BB225" s="21">
        <v>215</v>
      </c>
      <c r="BC225" s="21">
        <v>0.98175000000000001</v>
      </c>
      <c r="BD225">
        <f t="shared" si="46"/>
        <v>18.367037037037036</v>
      </c>
      <c r="BE225">
        <f t="shared" si="47"/>
        <v>18.048662817037037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0.73242200000000002</v>
      </c>
      <c r="H226" s="21">
        <v>7.25366</v>
      </c>
      <c r="I226" s="21">
        <v>-1.5002400000000001E-2</v>
      </c>
      <c r="J226" s="21">
        <v>216</v>
      </c>
      <c r="K226" s="21">
        <v>0.73165899999999995</v>
      </c>
      <c r="L226">
        <f t="shared" si="36"/>
        <v>18.521481481481484</v>
      </c>
      <c r="M226">
        <f t="shared" si="37"/>
        <v>13.565540509629631</v>
      </c>
      <c r="N226" s="9"/>
      <c r="O226" s="21">
        <v>0.98770100000000005</v>
      </c>
      <c r="P226" s="21">
        <v>11.113099999999999</v>
      </c>
      <c r="Q226" s="21">
        <v>-1.48682E-2</v>
      </c>
      <c r="R226" s="21">
        <v>216</v>
      </c>
      <c r="S226" s="21">
        <v>0.98693799999999998</v>
      </c>
      <c r="T226">
        <f t="shared" si="38"/>
        <v>18.355802469135799</v>
      </c>
      <c r="U226">
        <f t="shared" si="39"/>
        <v>18.130044454567898</v>
      </c>
      <c r="X226" s="9"/>
      <c r="Y226" s="21">
        <v>0.73242200000000002</v>
      </c>
      <c r="Z226" s="21">
        <v>16.668900000000001</v>
      </c>
      <c r="AA226" s="21">
        <v>-1.49506E-2</v>
      </c>
      <c r="AB226" s="21">
        <v>216</v>
      </c>
      <c r="AC226" s="21">
        <v>0.73178100000000001</v>
      </c>
      <c r="AD226">
        <f t="shared" si="40"/>
        <v>18.45753086419753</v>
      </c>
      <c r="AE226">
        <f t="shared" si="41"/>
        <v>13.518701670617283</v>
      </c>
      <c r="AF226" s="9"/>
      <c r="AG226" s="21">
        <v>0.98770100000000005</v>
      </c>
      <c r="AH226" s="21">
        <v>20.528300000000002</v>
      </c>
      <c r="AI226" s="21">
        <v>-1.4947500000000001E-2</v>
      </c>
      <c r="AJ226" s="21">
        <v>216</v>
      </c>
      <c r="AK226" s="21">
        <v>0.98663299999999998</v>
      </c>
      <c r="AL226">
        <f t="shared" si="42"/>
        <v>18.453703703703706</v>
      </c>
      <c r="AM226">
        <f t="shared" si="43"/>
        <v>18.226741601851856</v>
      </c>
      <c r="AP226" s="9"/>
      <c r="AQ226" s="21">
        <v>0.73242200000000002</v>
      </c>
      <c r="AR226" s="21">
        <v>26.053100000000001</v>
      </c>
      <c r="AS226" s="21">
        <v>-1.49658E-2</v>
      </c>
      <c r="AT226" s="21">
        <v>216</v>
      </c>
      <c r="AU226" s="21">
        <v>0.73168900000000003</v>
      </c>
      <c r="AV226">
        <f t="shared" si="44"/>
        <v>18.476296296296297</v>
      </c>
      <c r="AW226">
        <f t="shared" si="45"/>
        <v>13.532445885925927</v>
      </c>
      <c r="AX226" s="9"/>
      <c r="AY226" s="21">
        <v>0.98770100000000005</v>
      </c>
      <c r="AZ226" s="21">
        <v>29.912600000000001</v>
      </c>
      <c r="BA226" s="21">
        <v>-1.48743E-2</v>
      </c>
      <c r="BB226" s="21">
        <v>216</v>
      </c>
      <c r="BC226" s="21">
        <v>0.98663299999999998</v>
      </c>
      <c r="BD226">
        <f t="shared" si="46"/>
        <v>18.363333333333333</v>
      </c>
      <c r="BE226">
        <f t="shared" si="47"/>
        <v>18.137482696666666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0.72738599999999998</v>
      </c>
      <c r="H227" s="21">
        <v>7.2637299999999998</v>
      </c>
      <c r="I227" s="21">
        <v>-1.49902E-2</v>
      </c>
      <c r="J227" s="21">
        <v>217</v>
      </c>
      <c r="K227" s="21">
        <v>0.726746</v>
      </c>
      <c r="L227">
        <f t="shared" si="36"/>
        <v>18.506419753086419</v>
      </c>
      <c r="M227">
        <f t="shared" si="37"/>
        <v>13.461310638518517</v>
      </c>
      <c r="N227" s="9"/>
      <c r="O227" s="21">
        <v>0.99273699999999998</v>
      </c>
      <c r="P227" s="21">
        <v>11.123200000000001</v>
      </c>
      <c r="Q227" s="21">
        <v>-1.48773E-2</v>
      </c>
      <c r="R227" s="21">
        <v>217</v>
      </c>
      <c r="S227" s="21">
        <v>0.99212599999999995</v>
      </c>
      <c r="T227">
        <f t="shared" si="38"/>
        <v>18.367037037037036</v>
      </c>
      <c r="U227">
        <f t="shared" si="39"/>
        <v>18.233637247037034</v>
      </c>
      <c r="X227" s="9"/>
      <c r="Y227" s="21">
        <v>0.72738599999999998</v>
      </c>
      <c r="Z227" s="21">
        <v>16.678899999999999</v>
      </c>
      <c r="AA227" s="21">
        <v>-1.4941400000000001E-2</v>
      </c>
      <c r="AB227" s="21">
        <v>217</v>
      </c>
      <c r="AC227" s="21">
        <v>0.72668500000000003</v>
      </c>
      <c r="AD227">
        <f t="shared" si="40"/>
        <v>18.446172839506172</v>
      </c>
      <c r="AE227">
        <f t="shared" si="41"/>
        <v>13.417487877037036</v>
      </c>
      <c r="AF227" s="9"/>
      <c r="AG227" s="21">
        <v>0.99273699999999998</v>
      </c>
      <c r="AH227" s="21">
        <v>20.538399999999999</v>
      </c>
      <c r="AI227" s="21">
        <v>-1.4947500000000001E-2</v>
      </c>
      <c r="AJ227" s="21">
        <v>217</v>
      </c>
      <c r="AK227" s="21">
        <v>0.99182099999999995</v>
      </c>
      <c r="AL227">
        <f t="shared" si="42"/>
        <v>18.453703703703706</v>
      </c>
      <c r="AM227">
        <f t="shared" si="43"/>
        <v>18.319674453703705</v>
      </c>
      <c r="AP227" s="9"/>
      <c r="AQ227" s="21">
        <v>0.72738599999999998</v>
      </c>
      <c r="AR227" s="21">
        <v>26.063199999999998</v>
      </c>
      <c r="AS227" s="21">
        <v>-1.4981100000000001E-2</v>
      </c>
      <c r="AT227" s="21">
        <v>217</v>
      </c>
      <c r="AU227" s="21">
        <v>0.72677599999999998</v>
      </c>
      <c r="AV227">
        <f t="shared" si="44"/>
        <v>18.495185185185186</v>
      </c>
      <c r="AW227">
        <f t="shared" si="45"/>
        <v>13.45313877111111</v>
      </c>
      <c r="AX227" s="9"/>
      <c r="AY227" s="21">
        <v>0.99273699999999998</v>
      </c>
      <c r="AZ227" s="21">
        <v>29.922699999999999</v>
      </c>
      <c r="BA227" s="21">
        <v>-1.48743E-2</v>
      </c>
      <c r="BB227" s="21">
        <v>217</v>
      </c>
      <c r="BC227" s="21">
        <v>0.99273699999999998</v>
      </c>
      <c r="BD227">
        <f t="shared" si="46"/>
        <v>18.363333333333333</v>
      </c>
      <c r="BE227">
        <f t="shared" si="47"/>
        <v>18.229960443333333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0.72235099999999997</v>
      </c>
      <c r="H228" s="21">
        <v>7.2737999999999996</v>
      </c>
      <c r="I228" s="21">
        <v>-1.4996300000000001E-2</v>
      </c>
      <c r="J228" s="21">
        <v>218</v>
      </c>
      <c r="K228" s="21">
        <v>0.72174099999999997</v>
      </c>
      <c r="L228">
        <f t="shared" si="36"/>
        <v>18.51395061728395</v>
      </c>
      <c r="M228">
        <f t="shared" si="37"/>
        <v>13.373570742345677</v>
      </c>
      <c r="N228" s="9"/>
      <c r="O228" s="21">
        <v>0.99777199999999999</v>
      </c>
      <c r="P228" s="21">
        <v>11.1333</v>
      </c>
      <c r="Q228" s="21">
        <v>-1.48773E-2</v>
      </c>
      <c r="R228" s="21">
        <v>218</v>
      </c>
      <c r="S228" s="21">
        <v>0.99700900000000003</v>
      </c>
      <c r="T228">
        <f t="shared" si="38"/>
        <v>18.367037037037036</v>
      </c>
      <c r="U228">
        <f t="shared" si="39"/>
        <v>18.326115278518518</v>
      </c>
      <c r="X228" s="9"/>
      <c r="Y228" s="21">
        <v>0.72235099999999997</v>
      </c>
      <c r="Z228" s="21">
        <v>16.689</v>
      </c>
      <c r="AA228" s="21">
        <v>-1.49506E-2</v>
      </c>
      <c r="AB228" s="21">
        <v>218</v>
      </c>
      <c r="AC228" s="21">
        <v>0.72170999999999996</v>
      </c>
      <c r="AD228">
        <f t="shared" si="40"/>
        <v>18.45753086419753</v>
      </c>
      <c r="AE228">
        <f t="shared" si="41"/>
        <v>13.332815877283949</v>
      </c>
      <c r="AF228" s="9"/>
      <c r="AG228" s="21">
        <v>0.99777199999999999</v>
      </c>
      <c r="AH228" s="21">
        <v>20.548500000000001</v>
      </c>
      <c r="AI228" s="21">
        <v>-1.4941400000000001E-2</v>
      </c>
      <c r="AJ228" s="21">
        <v>218</v>
      </c>
      <c r="AK228" s="21">
        <v>0.99731400000000003</v>
      </c>
      <c r="AL228">
        <f t="shared" si="42"/>
        <v>18.446172839506172</v>
      </c>
      <c r="AM228">
        <f t="shared" si="43"/>
        <v>18.405074766419752</v>
      </c>
      <c r="AP228" s="9"/>
      <c r="AQ228" s="21">
        <v>0.72235099999999997</v>
      </c>
      <c r="AR228" s="21">
        <v>26.0732</v>
      </c>
      <c r="AS228" s="21">
        <v>-1.4981100000000001E-2</v>
      </c>
      <c r="AT228" s="21">
        <v>218</v>
      </c>
      <c r="AU228" s="21">
        <v>0.72170999999999996</v>
      </c>
      <c r="AV228">
        <f t="shared" si="44"/>
        <v>18.495185185185186</v>
      </c>
      <c r="AW228">
        <f t="shared" si="45"/>
        <v>13.360015513703704</v>
      </c>
      <c r="AX228" s="9"/>
      <c r="AY228" s="21">
        <v>0.99777199999999999</v>
      </c>
      <c r="AZ228" s="21">
        <v>29.932700000000001</v>
      </c>
      <c r="BA228" s="21">
        <v>-1.48804E-2</v>
      </c>
      <c r="BB228" s="21">
        <v>218</v>
      </c>
      <c r="BC228" s="21">
        <v>0.99700900000000003</v>
      </c>
      <c r="BD228">
        <f t="shared" si="46"/>
        <v>18.370864197530864</v>
      </c>
      <c r="BE228">
        <f t="shared" si="47"/>
        <v>18.329933912098763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0.71731599999999995</v>
      </c>
      <c r="H229" s="21">
        <v>7.2838700000000003</v>
      </c>
      <c r="I229" s="21">
        <v>-1.5008499999999999E-2</v>
      </c>
      <c r="J229" s="21">
        <v>219</v>
      </c>
      <c r="K229" s="21">
        <v>0.71676600000000001</v>
      </c>
      <c r="L229">
        <f t="shared" si="36"/>
        <v>18.529012345679011</v>
      </c>
      <c r="M229">
        <f t="shared" si="37"/>
        <v>13.291157019753085</v>
      </c>
      <c r="N229" s="9"/>
      <c r="O229" s="21">
        <v>1.00281</v>
      </c>
      <c r="P229" s="21">
        <v>11.1433</v>
      </c>
      <c r="Q229" s="21">
        <v>-1.48834E-2</v>
      </c>
      <c r="R229" s="21">
        <v>219</v>
      </c>
      <c r="S229" s="21">
        <v>1.0012799999999999</v>
      </c>
      <c r="T229">
        <f t="shared" si="38"/>
        <v>18.374567901234567</v>
      </c>
      <c r="U229">
        <f t="shared" si="39"/>
        <v>18.426200437037036</v>
      </c>
      <c r="X229" s="9"/>
      <c r="Y229" s="21">
        <v>0.71731599999999995</v>
      </c>
      <c r="Z229" s="21">
        <v>16.699100000000001</v>
      </c>
      <c r="AA229" s="21">
        <v>-1.4953599999999999E-2</v>
      </c>
      <c r="AB229" s="21">
        <v>219</v>
      </c>
      <c r="AC229" s="21">
        <v>0.71673600000000004</v>
      </c>
      <c r="AD229">
        <f t="shared" si="40"/>
        <v>18.461234567901233</v>
      </c>
      <c r="AE229">
        <f t="shared" si="41"/>
        <v>13.242538935308639</v>
      </c>
      <c r="AF229" s="9"/>
      <c r="AG229" s="21">
        <v>1.00281</v>
      </c>
      <c r="AH229" s="21">
        <v>20.558599999999998</v>
      </c>
      <c r="AI229" s="21">
        <v>-1.4938399999999999E-2</v>
      </c>
      <c r="AJ229" s="21">
        <v>219</v>
      </c>
      <c r="AK229" s="21">
        <v>1.00159</v>
      </c>
      <c r="AL229">
        <f t="shared" si="42"/>
        <v>18.442469135802465</v>
      </c>
      <c r="AM229">
        <f t="shared" si="43"/>
        <v>18.494292474074069</v>
      </c>
      <c r="AP229" s="9"/>
      <c r="AQ229" s="21">
        <v>0.71731599999999995</v>
      </c>
      <c r="AR229" s="21">
        <v>26.083300000000001</v>
      </c>
      <c r="AS229" s="21">
        <v>-1.4978E-2</v>
      </c>
      <c r="AT229" s="21">
        <v>219</v>
      </c>
      <c r="AU229" s="21">
        <v>0.71664399999999995</v>
      </c>
      <c r="AV229">
        <f t="shared" si="44"/>
        <v>18.491358024691355</v>
      </c>
      <c r="AW229">
        <f t="shared" si="45"/>
        <v>13.264146972839503</v>
      </c>
      <c r="AX229" s="9"/>
      <c r="AY229" s="21">
        <v>1.00281</v>
      </c>
      <c r="AZ229" s="21">
        <v>29.942799999999998</v>
      </c>
      <c r="BA229" s="21">
        <v>-1.48865E-2</v>
      </c>
      <c r="BB229" s="21">
        <v>219</v>
      </c>
      <c r="BC229" s="21">
        <v>1.0018899999999999</v>
      </c>
      <c r="BD229">
        <f t="shared" si="46"/>
        <v>18.378395061728394</v>
      </c>
      <c r="BE229">
        <f t="shared" si="47"/>
        <v>18.430038351851852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0.71228000000000002</v>
      </c>
      <c r="H230" s="21">
        <v>7.2939400000000001</v>
      </c>
      <c r="I230" s="21">
        <v>-1.50177E-2</v>
      </c>
      <c r="J230" s="21">
        <v>220</v>
      </c>
      <c r="K230" s="21">
        <v>0.71167000000000002</v>
      </c>
      <c r="L230">
        <f t="shared" si="36"/>
        <v>18.540370370370372</v>
      </c>
      <c r="M230">
        <f t="shared" si="37"/>
        <v>13.205935007407408</v>
      </c>
      <c r="N230" s="9"/>
      <c r="O230" s="21">
        <v>1.0078400000000001</v>
      </c>
      <c r="P230" s="21">
        <v>11.1534</v>
      </c>
      <c r="Q230" s="21">
        <v>-1.48865E-2</v>
      </c>
      <c r="R230" s="21">
        <v>220</v>
      </c>
      <c r="S230" s="21">
        <v>1.0067699999999999</v>
      </c>
      <c r="T230">
        <f t="shared" si="38"/>
        <v>18.378395061728394</v>
      </c>
      <c r="U230">
        <f t="shared" si="39"/>
        <v>18.522481679012348</v>
      </c>
      <c r="X230" s="9"/>
      <c r="Y230" s="21">
        <v>0.71228000000000002</v>
      </c>
      <c r="Z230" s="21">
        <v>16.709199999999999</v>
      </c>
      <c r="AA230" s="21">
        <v>-1.49506E-2</v>
      </c>
      <c r="AB230" s="21">
        <v>220</v>
      </c>
      <c r="AC230" s="21">
        <v>0.71154799999999996</v>
      </c>
      <c r="AD230">
        <f t="shared" si="40"/>
        <v>18.45753086419753</v>
      </c>
      <c r="AE230">
        <f t="shared" si="41"/>
        <v>13.146930083950616</v>
      </c>
      <c r="AF230" s="9"/>
      <c r="AG230" s="21">
        <v>1.0078400000000001</v>
      </c>
      <c r="AH230" s="21">
        <v>20.5686</v>
      </c>
      <c r="AI230" s="21">
        <v>-1.4941400000000001E-2</v>
      </c>
      <c r="AJ230" s="21">
        <v>220</v>
      </c>
      <c r="AK230" s="21">
        <v>1.0067699999999999</v>
      </c>
      <c r="AL230">
        <f t="shared" si="42"/>
        <v>18.446172839506172</v>
      </c>
      <c r="AM230">
        <f t="shared" si="43"/>
        <v>18.590790834567901</v>
      </c>
      <c r="AP230" s="9"/>
      <c r="AQ230" s="21">
        <v>0.71228000000000002</v>
      </c>
      <c r="AR230" s="21">
        <v>26.093399999999999</v>
      </c>
      <c r="AS230" s="21">
        <v>-1.49719E-2</v>
      </c>
      <c r="AT230" s="21">
        <v>220</v>
      </c>
      <c r="AU230" s="21">
        <v>0.71163900000000002</v>
      </c>
      <c r="AV230">
        <f t="shared" si="44"/>
        <v>18.483827160493824</v>
      </c>
      <c r="AW230">
        <f t="shared" si="45"/>
        <v>13.165660409876542</v>
      </c>
      <c r="AX230" s="9"/>
      <c r="AY230" s="21">
        <v>1.0078400000000001</v>
      </c>
      <c r="AZ230" s="21">
        <v>29.9529</v>
      </c>
      <c r="BA230" s="21">
        <v>-1.48895E-2</v>
      </c>
      <c r="BB230" s="21">
        <v>220</v>
      </c>
      <c r="BC230" s="21">
        <v>1.00708</v>
      </c>
      <c r="BD230">
        <f t="shared" si="46"/>
        <v>18.382098765432101</v>
      </c>
      <c r="BE230">
        <f t="shared" si="47"/>
        <v>18.526214419753089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0.70724500000000001</v>
      </c>
      <c r="H231" s="21">
        <v>7.3040099999999999</v>
      </c>
      <c r="I231" s="21">
        <v>-1.5029900000000001E-2</v>
      </c>
      <c r="J231" s="21">
        <v>221</v>
      </c>
      <c r="K231" s="21">
        <v>0.70678700000000005</v>
      </c>
      <c r="L231">
        <f t="shared" si="36"/>
        <v>18.555432098765429</v>
      </c>
      <c r="M231">
        <f t="shared" si="37"/>
        <v>13.123236574691356</v>
      </c>
      <c r="N231" s="9"/>
      <c r="O231" s="21">
        <v>1.01288</v>
      </c>
      <c r="P231" s="21">
        <v>11.163500000000001</v>
      </c>
      <c r="Q231" s="21">
        <v>-1.48804E-2</v>
      </c>
      <c r="R231" s="21">
        <v>221</v>
      </c>
      <c r="S231" s="21">
        <v>1.01227</v>
      </c>
      <c r="T231">
        <f t="shared" si="38"/>
        <v>18.370864197530864</v>
      </c>
      <c r="U231">
        <f t="shared" si="39"/>
        <v>18.607480928395063</v>
      </c>
      <c r="X231" s="9"/>
      <c r="Y231" s="21">
        <v>0.70724500000000001</v>
      </c>
      <c r="Z231" s="21">
        <v>16.719200000000001</v>
      </c>
      <c r="AA231" s="21">
        <v>-1.49353E-2</v>
      </c>
      <c r="AB231" s="21">
        <v>221</v>
      </c>
      <c r="AC231" s="21">
        <v>0.70666499999999999</v>
      </c>
      <c r="AD231">
        <f t="shared" si="40"/>
        <v>18.438641975308641</v>
      </c>
      <c r="AE231">
        <f t="shared" si="41"/>
        <v>13.040637343827161</v>
      </c>
      <c r="AF231" s="9"/>
      <c r="AG231" s="21">
        <v>1.01288</v>
      </c>
      <c r="AH231" s="21">
        <v>20.578700000000001</v>
      </c>
      <c r="AI231" s="21">
        <v>-1.49353E-2</v>
      </c>
      <c r="AJ231" s="21">
        <v>221</v>
      </c>
      <c r="AK231" s="21">
        <v>1.01166</v>
      </c>
      <c r="AL231">
        <f t="shared" si="42"/>
        <v>18.438641975308641</v>
      </c>
      <c r="AM231">
        <f t="shared" si="43"/>
        <v>18.676131683950615</v>
      </c>
      <c r="AP231" s="9"/>
      <c r="AQ231" s="21">
        <v>0.70724500000000001</v>
      </c>
      <c r="AR231" s="21">
        <v>26.1035</v>
      </c>
      <c r="AS231" s="21">
        <v>-1.49689E-2</v>
      </c>
      <c r="AT231" s="21">
        <v>221</v>
      </c>
      <c r="AU231" s="21">
        <v>0.70660400000000001</v>
      </c>
      <c r="AV231">
        <f t="shared" si="44"/>
        <v>18.480123456790125</v>
      </c>
      <c r="AW231">
        <f t="shared" si="45"/>
        <v>13.069974914197532</v>
      </c>
      <c r="AX231" s="9"/>
      <c r="AY231" s="21">
        <v>1.01288</v>
      </c>
      <c r="AZ231" s="21">
        <v>29.962900000000001</v>
      </c>
      <c r="BA231" s="21">
        <v>-1.4892600000000001E-2</v>
      </c>
      <c r="BB231" s="21">
        <v>221</v>
      </c>
      <c r="BC231" s="21">
        <v>1.01196</v>
      </c>
      <c r="BD231">
        <f t="shared" si="46"/>
        <v>18.385925925925928</v>
      </c>
      <c r="BE231">
        <f t="shared" si="47"/>
        <v>18.622736651851856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0.70220899999999997</v>
      </c>
      <c r="H232" s="21">
        <v>7.3140799999999997</v>
      </c>
      <c r="I232" s="21">
        <v>-1.50513E-2</v>
      </c>
      <c r="J232" s="21">
        <v>222</v>
      </c>
      <c r="K232" s="21">
        <v>0.70153799999999999</v>
      </c>
      <c r="L232">
        <f t="shared" si="36"/>
        <v>18.581851851851848</v>
      </c>
      <c r="M232">
        <f t="shared" si="37"/>
        <v>13.048343607037033</v>
      </c>
      <c r="N232" s="9"/>
      <c r="O232" s="21">
        <v>1.0179100000000001</v>
      </c>
      <c r="P232" s="21">
        <v>11.1736</v>
      </c>
      <c r="Q232" s="21">
        <v>-1.48895E-2</v>
      </c>
      <c r="R232" s="21">
        <v>222</v>
      </c>
      <c r="S232" s="21">
        <v>1.01685</v>
      </c>
      <c r="T232">
        <f t="shared" si="38"/>
        <v>18.382098765432101</v>
      </c>
      <c r="U232">
        <f t="shared" si="39"/>
        <v>18.711322154320992</v>
      </c>
      <c r="X232" s="9"/>
      <c r="Y232" s="21">
        <v>0.70220899999999997</v>
      </c>
      <c r="Z232" s="21">
        <v>16.729299999999999</v>
      </c>
      <c r="AA232" s="21">
        <v>-1.4944499999999999E-2</v>
      </c>
      <c r="AB232" s="21">
        <v>222</v>
      </c>
      <c r="AC232" s="21">
        <v>0.701569</v>
      </c>
      <c r="AD232">
        <f t="shared" si="40"/>
        <v>18.45</v>
      </c>
      <c r="AE232">
        <f t="shared" si="41"/>
        <v>12.95575605</v>
      </c>
      <c r="AF232" s="9"/>
      <c r="AG232" s="21">
        <v>1.0179100000000001</v>
      </c>
      <c r="AH232" s="21">
        <v>20.588799999999999</v>
      </c>
      <c r="AI232" s="21">
        <v>-1.49353E-2</v>
      </c>
      <c r="AJ232" s="21">
        <v>222</v>
      </c>
      <c r="AK232" s="21">
        <v>1.01685</v>
      </c>
      <c r="AL232">
        <f t="shared" si="42"/>
        <v>18.438641975308641</v>
      </c>
      <c r="AM232">
        <f t="shared" si="43"/>
        <v>18.768878053086421</v>
      </c>
      <c r="AP232" s="9"/>
      <c r="AQ232" s="21">
        <v>0.70220899999999997</v>
      </c>
      <c r="AR232" s="21">
        <v>26.113499999999998</v>
      </c>
      <c r="AS232" s="21">
        <v>-1.4975E-2</v>
      </c>
      <c r="AT232" s="21">
        <v>222</v>
      </c>
      <c r="AU232" s="21">
        <v>0.70150800000000002</v>
      </c>
      <c r="AV232">
        <f t="shared" si="44"/>
        <v>18.487654320987652</v>
      </c>
      <c r="AW232">
        <f t="shared" si="45"/>
        <v>12.982197253086417</v>
      </c>
      <c r="AX232" s="9"/>
      <c r="AY232" s="21">
        <v>1.0179100000000001</v>
      </c>
      <c r="AZ232" s="21">
        <v>29.972999999999999</v>
      </c>
      <c r="BA232" s="21">
        <v>-1.4892600000000001E-2</v>
      </c>
      <c r="BB232" s="21">
        <v>222</v>
      </c>
      <c r="BC232" s="21">
        <v>1.01715</v>
      </c>
      <c r="BD232">
        <f t="shared" si="46"/>
        <v>18.385925925925928</v>
      </c>
      <c r="BE232">
        <f t="shared" si="47"/>
        <v>18.715217859259262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0.69717399999999996</v>
      </c>
      <c r="H233" s="21">
        <v>7.32416</v>
      </c>
      <c r="I233" s="21">
        <v>-1.50604E-2</v>
      </c>
      <c r="J233" s="21">
        <v>223</v>
      </c>
      <c r="K233" s="21">
        <v>0.69656399999999996</v>
      </c>
      <c r="L233">
        <f t="shared" si="36"/>
        <v>18.593086419753085</v>
      </c>
      <c r="M233">
        <f t="shared" si="37"/>
        <v>12.962616431604937</v>
      </c>
      <c r="N233" s="9"/>
      <c r="O233" s="21">
        <v>1.02295</v>
      </c>
      <c r="P233" s="21">
        <v>11.1836</v>
      </c>
      <c r="Q233" s="21">
        <v>-1.48895E-2</v>
      </c>
      <c r="R233" s="21">
        <v>223</v>
      </c>
      <c r="S233" s="21">
        <v>1.02203</v>
      </c>
      <c r="T233">
        <f t="shared" si="38"/>
        <v>18.382098765432101</v>
      </c>
      <c r="U233">
        <f t="shared" si="39"/>
        <v>18.803967932098768</v>
      </c>
      <c r="X233" s="9"/>
      <c r="Y233" s="21">
        <v>0.69717399999999996</v>
      </c>
      <c r="Z233" s="21">
        <v>16.7394</v>
      </c>
      <c r="AA233" s="21">
        <v>-1.49567E-2</v>
      </c>
      <c r="AB233" s="21">
        <v>223</v>
      </c>
      <c r="AC233" s="21">
        <v>0.69650299999999998</v>
      </c>
      <c r="AD233">
        <f t="shared" si="40"/>
        <v>18.46506172839506</v>
      </c>
      <c r="AE233">
        <f t="shared" si="41"/>
        <v>12.873360945432097</v>
      </c>
      <c r="AF233" s="9"/>
      <c r="AG233" s="21">
        <v>1.02295</v>
      </c>
      <c r="AH233" s="21">
        <v>20.598800000000001</v>
      </c>
      <c r="AI233" s="21">
        <v>-1.49292E-2</v>
      </c>
      <c r="AJ233" s="21">
        <v>223</v>
      </c>
      <c r="AK233" s="21">
        <v>1.02234</v>
      </c>
      <c r="AL233">
        <f t="shared" si="42"/>
        <v>18.431111111111111</v>
      </c>
      <c r="AM233">
        <f t="shared" si="43"/>
        <v>18.85410511111111</v>
      </c>
      <c r="AP233" s="9"/>
      <c r="AQ233" s="21">
        <v>0.69717399999999996</v>
      </c>
      <c r="AR233" s="21">
        <v>26.1236</v>
      </c>
      <c r="AS233" s="21">
        <v>-1.49841E-2</v>
      </c>
      <c r="AT233" s="21">
        <v>223</v>
      </c>
      <c r="AU233" s="21">
        <v>0.69656399999999996</v>
      </c>
      <c r="AV233">
        <f t="shared" si="44"/>
        <v>18.498888888888889</v>
      </c>
      <c r="AW233">
        <f t="shared" si="45"/>
        <v>12.896944362222222</v>
      </c>
      <c r="AX233" s="9"/>
      <c r="AY233" s="21">
        <v>1.02295</v>
      </c>
      <c r="AZ233" s="21">
        <v>29.9831</v>
      </c>
      <c r="BA233" s="21">
        <v>-1.48865E-2</v>
      </c>
      <c r="BB233" s="21">
        <v>223</v>
      </c>
      <c r="BC233" s="21">
        <v>1.02234</v>
      </c>
      <c r="BD233">
        <f t="shared" si="46"/>
        <v>18.378395061728394</v>
      </c>
      <c r="BE233">
        <f t="shared" si="47"/>
        <v>18.800179228395063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0.69213899999999995</v>
      </c>
      <c r="H234" s="21">
        <v>7.3342299999999998</v>
      </c>
      <c r="I234" s="21">
        <v>-1.50604E-2</v>
      </c>
      <c r="J234" s="21">
        <v>224</v>
      </c>
      <c r="K234" s="21">
        <v>0.69146700000000005</v>
      </c>
      <c r="L234">
        <f t="shared" si="36"/>
        <v>18.593086419753085</v>
      </c>
      <c r="M234">
        <f t="shared" si="37"/>
        <v>12.86900024148148</v>
      </c>
      <c r="N234" s="9"/>
      <c r="O234" s="21">
        <v>1.0279799999999999</v>
      </c>
      <c r="P234" s="21">
        <v>11.1937</v>
      </c>
      <c r="Q234" s="21">
        <v>-1.48956E-2</v>
      </c>
      <c r="R234" s="21">
        <v>224</v>
      </c>
      <c r="S234" s="21">
        <v>1.0269200000000001</v>
      </c>
      <c r="T234">
        <f t="shared" si="38"/>
        <v>18.389629629629628</v>
      </c>
      <c r="U234">
        <f t="shared" si="39"/>
        <v>18.904171466666664</v>
      </c>
      <c r="X234" s="9"/>
      <c r="Y234" s="21">
        <v>0.69213899999999995</v>
      </c>
      <c r="Z234" s="21">
        <v>16.749400000000001</v>
      </c>
      <c r="AA234" s="21">
        <v>-1.49628E-2</v>
      </c>
      <c r="AB234" s="21">
        <v>224</v>
      </c>
      <c r="AC234" s="21">
        <v>0.69146700000000005</v>
      </c>
      <c r="AD234">
        <f t="shared" si="40"/>
        <v>18.472592592592594</v>
      </c>
      <c r="AE234">
        <f t="shared" si="41"/>
        <v>12.785601764444445</v>
      </c>
      <c r="AF234" s="9"/>
      <c r="AG234" s="21">
        <v>1.0279799999999999</v>
      </c>
      <c r="AH234" s="21">
        <v>20.608899999999998</v>
      </c>
      <c r="AI234" s="21">
        <v>-1.4913900000000001E-2</v>
      </c>
      <c r="AJ234" s="21">
        <v>224</v>
      </c>
      <c r="AK234" s="21">
        <v>1.02661</v>
      </c>
      <c r="AL234">
        <f t="shared" si="42"/>
        <v>18.412222222222223</v>
      </c>
      <c r="AM234">
        <f t="shared" si="43"/>
        <v>18.927396199999997</v>
      </c>
      <c r="AP234" s="9"/>
      <c r="AQ234" s="21">
        <v>0.69213899999999995</v>
      </c>
      <c r="AR234" s="21">
        <v>26.133700000000001</v>
      </c>
      <c r="AS234" s="21">
        <v>-1.49902E-2</v>
      </c>
      <c r="AT234" s="21">
        <v>224</v>
      </c>
      <c r="AU234" s="21">
        <v>0.69149799999999995</v>
      </c>
      <c r="AV234">
        <f t="shared" si="44"/>
        <v>18.506419753086419</v>
      </c>
      <c r="AW234">
        <f t="shared" si="45"/>
        <v>12.809014861481479</v>
      </c>
      <c r="AX234" s="9"/>
      <c r="AY234" s="21">
        <v>1.0279799999999999</v>
      </c>
      <c r="AZ234" s="21">
        <v>29.993099999999998</v>
      </c>
      <c r="BA234" s="21">
        <v>-1.48804E-2</v>
      </c>
      <c r="BB234" s="21">
        <v>224</v>
      </c>
      <c r="BC234" s="21">
        <v>1.0275300000000001</v>
      </c>
      <c r="BD234">
        <f t="shared" si="46"/>
        <v>18.370864197530864</v>
      </c>
      <c r="BE234">
        <f t="shared" si="47"/>
        <v>18.884880977777776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0.68710300000000002</v>
      </c>
      <c r="H235" s="21">
        <v>7.3442999999999996</v>
      </c>
      <c r="I235" s="21">
        <v>-1.50513E-2</v>
      </c>
      <c r="J235" s="21">
        <v>225</v>
      </c>
      <c r="K235" s="21">
        <v>0.68640100000000004</v>
      </c>
      <c r="L235">
        <f t="shared" si="36"/>
        <v>18.581851851851848</v>
      </c>
      <c r="M235">
        <f t="shared" si="37"/>
        <v>12.767646152962961</v>
      </c>
      <c r="N235" s="9"/>
      <c r="O235" s="21">
        <v>1.03302</v>
      </c>
      <c r="P235" s="21">
        <v>11.203799999999999</v>
      </c>
      <c r="Q235" s="21">
        <v>-1.48895E-2</v>
      </c>
      <c r="R235" s="21">
        <v>225</v>
      </c>
      <c r="S235" s="21">
        <v>1.03241</v>
      </c>
      <c r="T235">
        <f t="shared" si="38"/>
        <v>18.382098765432101</v>
      </c>
      <c r="U235">
        <f t="shared" si="39"/>
        <v>18.989075666666668</v>
      </c>
      <c r="X235" s="9"/>
      <c r="Y235" s="21">
        <v>0.68710300000000002</v>
      </c>
      <c r="Z235" s="21">
        <v>16.759499999999999</v>
      </c>
      <c r="AA235" s="21">
        <v>-1.49628E-2</v>
      </c>
      <c r="AB235" s="21">
        <v>225</v>
      </c>
      <c r="AC235" s="21">
        <v>0.68646200000000002</v>
      </c>
      <c r="AD235">
        <f t="shared" si="40"/>
        <v>18.472592592592594</v>
      </c>
      <c r="AE235">
        <f t="shared" si="41"/>
        <v>12.692573788148149</v>
      </c>
      <c r="AF235" s="9"/>
      <c r="AG235" s="21">
        <v>1.03302</v>
      </c>
      <c r="AH235" s="21">
        <v>20.619</v>
      </c>
      <c r="AI235" s="21">
        <v>-1.49017E-2</v>
      </c>
      <c r="AJ235" s="21">
        <v>225</v>
      </c>
      <c r="AK235" s="21">
        <v>1.0311900000000001</v>
      </c>
      <c r="AL235">
        <f t="shared" si="42"/>
        <v>18.397160493827158</v>
      </c>
      <c r="AM235">
        <f t="shared" si="43"/>
        <v>19.004634733333333</v>
      </c>
      <c r="AP235" s="9"/>
      <c r="AQ235" s="21">
        <v>0.68710300000000002</v>
      </c>
      <c r="AR235" s="21">
        <v>26.143699999999999</v>
      </c>
      <c r="AS235" s="21">
        <v>-1.49841E-2</v>
      </c>
      <c r="AT235" s="21">
        <v>225</v>
      </c>
      <c r="AU235" s="21">
        <v>0.68649300000000002</v>
      </c>
      <c r="AV235">
        <f t="shared" si="44"/>
        <v>18.498888888888889</v>
      </c>
      <c r="AW235">
        <f t="shared" si="45"/>
        <v>12.710642052222223</v>
      </c>
      <c r="AX235" s="9"/>
      <c r="AY235" s="21">
        <v>1.03302</v>
      </c>
      <c r="AZ235" s="21">
        <v>30.0032</v>
      </c>
      <c r="BA235" s="21">
        <v>-1.48743E-2</v>
      </c>
      <c r="BB235" s="21">
        <v>225</v>
      </c>
      <c r="BC235" s="21">
        <v>1.0321</v>
      </c>
      <c r="BD235">
        <f t="shared" si="46"/>
        <v>18.363333333333333</v>
      </c>
      <c r="BE235">
        <f t="shared" si="47"/>
        <v>18.9696906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0.68206800000000001</v>
      </c>
      <c r="H236" s="21">
        <v>7.3543700000000003</v>
      </c>
      <c r="I236" s="21">
        <v>-1.50574E-2</v>
      </c>
      <c r="J236" s="21">
        <v>226</v>
      </c>
      <c r="K236" s="21">
        <v>0.68124399999999996</v>
      </c>
      <c r="L236">
        <f t="shared" si="36"/>
        <v>18.589382716049382</v>
      </c>
      <c r="M236">
        <f t="shared" si="37"/>
        <v>12.679223090370369</v>
      </c>
      <c r="N236" s="9"/>
      <c r="O236" s="21">
        <v>1.03806</v>
      </c>
      <c r="P236" s="21">
        <v>11.213800000000001</v>
      </c>
      <c r="Q236" s="21">
        <v>-1.48956E-2</v>
      </c>
      <c r="R236" s="21">
        <v>226</v>
      </c>
      <c r="S236" s="21">
        <v>1.03668</v>
      </c>
      <c r="T236">
        <f t="shared" si="38"/>
        <v>18.389629629629628</v>
      </c>
      <c r="U236">
        <f t="shared" si="39"/>
        <v>19.08953893333333</v>
      </c>
      <c r="X236" s="9"/>
      <c r="Y236" s="21">
        <v>0.68206800000000001</v>
      </c>
      <c r="Z236" s="21">
        <v>16.769600000000001</v>
      </c>
      <c r="AA236" s="21">
        <v>-1.49628E-2</v>
      </c>
      <c r="AB236" s="21">
        <v>226</v>
      </c>
      <c r="AC236" s="21">
        <v>0.68145800000000001</v>
      </c>
      <c r="AD236">
        <f t="shared" si="40"/>
        <v>18.472592592592594</v>
      </c>
      <c r="AE236">
        <f t="shared" si="41"/>
        <v>12.599564284444446</v>
      </c>
      <c r="AF236" s="9"/>
      <c r="AG236" s="21">
        <v>1.03806</v>
      </c>
      <c r="AH236" s="21">
        <v>20.629100000000001</v>
      </c>
      <c r="AI236" s="21">
        <v>-1.4898700000000001E-2</v>
      </c>
      <c r="AJ236" s="21">
        <v>226</v>
      </c>
      <c r="AK236" s="21">
        <v>1.0369900000000001</v>
      </c>
      <c r="AL236">
        <f t="shared" si="42"/>
        <v>18.393456790123455</v>
      </c>
      <c r="AM236">
        <f t="shared" si="43"/>
        <v>19.093511755555554</v>
      </c>
      <c r="AP236" s="9"/>
      <c r="AQ236" s="21">
        <v>0.68206800000000001</v>
      </c>
      <c r="AR236" s="21">
        <v>26.1538</v>
      </c>
      <c r="AS236" s="21">
        <v>-1.4978E-2</v>
      </c>
      <c r="AT236" s="21">
        <v>226</v>
      </c>
      <c r="AU236" s="21">
        <v>0.681427</v>
      </c>
      <c r="AV236">
        <f t="shared" si="44"/>
        <v>18.491358024691355</v>
      </c>
      <c r="AW236">
        <f t="shared" si="45"/>
        <v>12.612363585185182</v>
      </c>
      <c r="AX236" s="9"/>
      <c r="AY236" s="21">
        <v>1.03806</v>
      </c>
      <c r="AZ236" s="21">
        <v>30.013300000000001</v>
      </c>
      <c r="BA236" s="21">
        <v>-1.48621E-2</v>
      </c>
      <c r="BB236" s="21">
        <v>226</v>
      </c>
      <c r="BC236" s="21">
        <v>1.03729</v>
      </c>
      <c r="BD236">
        <f t="shared" si="46"/>
        <v>18.348271604938269</v>
      </c>
      <c r="BE236">
        <f t="shared" si="47"/>
        <v>19.04660682222222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0.67703199999999997</v>
      </c>
      <c r="H237" s="21">
        <v>7.3644400000000001</v>
      </c>
      <c r="I237" s="21">
        <v>-1.5063500000000001E-2</v>
      </c>
      <c r="J237" s="21">
        <v>227</v>
      </c>
      <c r="K237" s="21">
        <v>0.67645299999999997</v>
      </c>
      <c r="L237">
        <f t="shared" si="36"/>
        <v>18.596913580246913</v>
      </c>
      <c r="M237">
        <f t="shared" si="37"/>
        <v>12.590705595061728</v>
      </c>
      <c r="N237" s="9"/>
      <c r="O237" s="21">
        <v>1.0430900000000001</v>
      </c>
      <c r="P237" s="21">
        <v>11.2239</v>
      </c>
      <c r="Q237" s="21">
        <v>-1.49017E-2</v>
      </c>
      <c r="R237" s="21">
        <v>227</v>
      </c>
      <c r="S237" s="21">
        <v>1.0421800000000001</v>
      </c>
      <c r="T237">
        <f t="shared" si="38"/>
        <v>18.397160493827158</v>
      </c>
      <c r="U237">
        <f t="shared" si="39"/>
        <v>19.189894139506173</v>
      </c>
      <c r="X237" s="9"/>
      <c r="Y237" s="21">
        <v>0.67703199999999997</v>
      </c>
      <c r="Z237" s="21">
        <v>16.779699999999998</v>
      </c>
      <c r="AA237" s="21">
        <v>-1.4959699999999999E-2</v>
      </c>
      <c r="AB237" s="21">
        <v>227</v>
      </c>
      <c r="AC237" s="21">
        <v>0.67636099999999999</v>
      </c>
      <c r="AD237">
        <f t="shared" si="40"/>
        <v>18.468765432098763</v>
      </c>
      <c r="AE237">
        <f t="shared" si="41"/>
        <v>12.50394519802469</v>
      </c>
      <c r="AF237" s="9"/>
      <c r="AG237" s="21">
        <v>1.0430900000000001</v>
      </c>
      <c r="AH237" s="21">
        <v>20.639099999999999</v>
      </c>
      <c r="AI237" s="21">
        <v>-1.48865E-2</v>
      </c>
      <c r="AJ237" s="21">
        <v>227</v>
      </c>
      <c r="AK237" s="21">
        <v>1.0418700000000001</v>
      </c>
      <c r="AL237">
        <f t="shared" si="42"/>
        <v>18.378395061728394</v>
      </c>
      <c r="AM237">
        <f t="shared" si="43"/>
        <v>19.170320104938273</v>
      </c>
      <c r="AP237" s="9"/>
      <c r="AQ237" s="21">
        <v>0.67703199999999997</v>
      </c>
      <c r="AR237" s="21">
        <v>26.163900000000002</v>
      </c>
      <c r="AS237" s="21">
        <v>-1.4975E-2</v>
      </c>
      <c r="AT237" s="21">
        <v>227</v>
      </c>
      <c r="AU237" s="21">
        <v>0.67627000000000004</v>
      </c>
      <c r="AV237">
        <f t="shared" si="44"/>
        <v>18.487654320987652</v>
      </c>
      <c r="AW237">
        <f t="shared" si="45"/>
        <v>12.51673358024691</v>
      </c>
      <c r="AX237" s="9"/>
      <c r="AY237" s="21">
        <v>1.0430900000000001</v>
      </c>
      <c r="AZ237" s="21">
        <v>30.023399999999999</v>
      </c>
      <c r="BA237" s="21">
        <v>-1.48468E-2</v>
      </c>
      <c r="BB237" s="21">
        <v>227</v>
      </c>
      <c r="BC237" s="21">
        <v>1.0418700000000001</v>
      </c>
      <c r="BD237">
        <f t="shared" si="46"/>
        <v>18.329382716049381</v>
      </c>
      <c r="BE237">
        <f t="shared" si="47"/>
        <v>19.119195817283948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0.67199699999999996</v>
      </c>
      <c r="H238" s="21">
        <v>7.3745099999999999</v>
      </c>
      <c r="I238" s="21">
        <v>-1.50665E-2</v>
      </c>
      <c r="J238" s="21">
        <v>228</v>
      </c>
      <c r="K238" s="21">
        <v>0.671265</v>
      </c>
      <c r="L238">
        <f t="shared" si="36"/>
        <v>18.600617283950616</v>
      </c>
      <c r="M238">
        <f t="shared" si="37"/>
        <v>12.499559012962962</v>
      </c>
      <c r="N238" s="9"/>
      <c r="O238" s="21">
        <v>1.04813</v>
      </c>
      <c r="P238" s="21">
        <v>11.234</v>
      </c>
      <c r="Q238" s="21">
        <v>-1.4892600000000001E-2</v>
      </c>
      <c r="R238" s="21">
        <v>228</v>
      </c>
      <c r="S238" s="21">
        <v>1.0470600000000001</v>
      </c>
      <c r="T238">
        <f t="shared" si="38"/>
        <v>18.385925925925928</v>
      </c>
      <c r="U238">
        <f t="shared" si="39"/>
        <v>19.270840540740743</v>
      </c>
      <c r="X238" s="9"/>
      <c r="Y238" s="21">
        <v>0.67199699999999996</v>
      </c>
      <c r="Z238" s="21">
        <v>16.7897</v>
      </c>
      <c r="AA238" s="21">
        <v>-1.49567E-2</v>
      </c>
      <c r="AB238" s="21">
        <v>228</v>
      </c>
      <c r="AC238" s="21">
        <v>0.67144800000000004</v>
      </c>
      <c r="AD238">
        <f t="shared" si="40"/>
        <v>18.46506172839506</v>
      </c>
      <c r="AE238">
        <f t="shared" si="41"/>
        <v>12.408466086296295</v>
      </c>
      <c r="AF238" s="9"/>
      <c r="AG238" s="21">
        <v>1.04813</v>
      </c>
      <c r="AH238" s="21">
        <v>20.6492</v>
      </c>
      <c r="AI238" s="21">
        <v>-1.4871199999999999E-2</v>
      </c>
      <c r="AJ238" s="21">
        <v>228</v>
      </c>
      <c r="AK238" s="21">
        <v>1.0476700000000001</v>
      </c>
      <c r="AL238">
        <f t="shared" si="42"/>
        <v>18.359506172839506</v>
      </c>
      <c r="AM238">
        <f t="shared" si="43"/>
        <v>19.24314920493827</v>
      </c>
      <c r="AP238" s="9"/>
      <c r="AQ238" s="21">
        <v>0.67199699999999996</v>
      </c>
      <c r="AR238" s="21">
        <v>26.173999999999999</v>
      </c>
      <c r="AS238" s="21">
        <v>-1.4981100000000001E-2</v>
      </c>
      <c r="AT238" s="21">
        <v>228</v>
      </c>
      <c r="AU238" s="21">
        <v>0.67141700000000004</v>
      </c>
      <c r="AV238">
        <f t="shared" si="44"/>
        <v>18.495185185185186</v>
      </c>
      <c r="AW238">
        <f t="shared" si="45"/>
        <v>12.428708958888889</v>
      </c>
      <c r="AX238" s="9"/>
      <c r="AY238" s="21">
        <v>1.04813</v>
      </c>
      <c r="AZ238" s="21">
        <v>30.0334</v>
      </c>
      <c r="BA238" s="21">
        <v>-1.48407E-2</v>
      </c>
      <c r="BB238" s="21">
        <v>228</v>
      </c>
      <c r="BC238" s="21">
        <v>1.0476700000000001</v>
      </c>
      <c r="BD238">
        <f t="shared" si="46"/>
        <v>18.32185185185185</v>
      </c>
      <c r="BE238">
        <f t="shared" si="47"/>
        <v>19.20368258148148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0.66696200000000005</v>
      </c>
      <c r="H239" s="21">
        <v>7.3845799999999997</v>
      </c>
      <c r="I239" s="21">
        <v>-1.5069600000000001E-2</v>
      </c>
      <c r="J239" s="21">
        <v>229</v>
      </c>
      <c r="K239" s="21">
        <v>0.66638200000000003</v>
      </c>
      <c r="L239">
        <f t="shared" si="36"/>
        <v>18.604444444444443</v>
      </c>
      <c r="M239">
        <f t="shared" si="37"/>
        <v>12.408457475555556</v>
      </c>
      <c r="N239" s="9"/>
      <c r="O239" s="21">
        <v>1.0531600000000001</v>
      </c>
      <c r="P239" s="21">
        <v>11.2441</v>
      </c>
      <c r="Q239" s="21">
        <v>-1.48895E-2</v>
      </c>
      <c r="R239" s="21">
        <v>229</v>
      </c>
      <c r="S239" s="21">
        <v>1.0522499999999999</v>
      </c>
      <c r="T239">
        <f t="shared" si="38"/>
        <v>18.382098765432101</v>
      </c>
      <c r="U239">
        <f t="shared" si="39"/>
        <v>19.359291135802472</v>
      </c>
      <c r="X239" s="9"/>
      <c r="Y239" s="21">
        <v>0.66696200000000005</v>
      </c>
      <c r="Z239" s="21">
        <v>16.799800000000001</v>
      </c>
      <c r="AA239" s="21">
        <v>-1.49628E-2</v>
      </c>
      <c r="AB239" s="21">
        <v>229</v>
      </c>
      <c r="AC239" s="21">
        <v>0.66638200000000003</v>
      </c>
      <c r="AD239">
        <f t="shared" si="40"/>
        <v>18.472592592592594</v>
      </c>
      <c r="AE239">
        <f t="shared" si="41"/>
        <v>12.320517300740743</v>
      </c>
      <c r="AF239" s="9"/>
      <c r="AG239" s="21">
        <v>1.0531600000000001</v>
      </c>
      <c r="AH239" s="21">
        <v>20.659300000000002</v>
      </c>
      <c r="AI239" s="21">
        <v>-1.4865099999999999E-2</v>
      </c>
      <c r="AJ239" s="21">
        <v>229</v>
      </c>
      <c r="AK239" s="21">
        <v>1.0522499999999999</v>
      </c>
      <c r="AL239">
        <f t="shared" si="42"/>
        <v>18.351975308641972</v>
      </c>
      <c r="AM239">
        <f t="shared" si="43"/>
        <v>19.327566316049381</v>
      </c>
      <c r="AP239" s="9"/>
      <c r="AQ239" s="21">
        <v>0.66696200000000005</v>
      </c>
      <c r="AR239" s="21">
        <v>26.184000000000001</v>
      </c>
      <c r="AS239" s="21">
        <v>-1.4981100000000001E-2</v>
      </c>
      <c r="AT239" s="21">
        <v>229</v>
      </c>
      <c r="AU239" s="21">
        <v>0.666412</v>
      </c>
      <c r="AV239">
        <f t="shared" si="44"/>
        <v>18.495185185185186</v>
      </c>
      <c r="AW239">
        <f t="shared" si="45"/>
        <v>12.335585701481483</v>
      </c>
      <c r="AX239" s="9"/>
      <c r="AY239" s="21">
        <v>1.0531600000000001</v>
      </c>
      <c r="AZ239" s="21">
        <v>30.043500000000002</v>
      </c>
      <c r="BA239" s="21">
        <v>-1.48468E-2</v>
      </c>
      <c r="BB239" s="21">
        <v>229</v>
      </c>
      <c r="BC239" s="21">
        <v>1.0525500000000001</v>
      </c>
      <c r="BD239">
        <f t="shared" si="46"/>
        <v>18.329382716049381</v>
      </c>
      <c r="BE239">
        <f t="shared" si="47"/>
        <v>19.303772701234568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0.66192600000000001</v>
      </c>
      <c r="H240" s="21">
        <v>7.3946500000000004</v>
      </c>
      <c r="I240" s="21">
        <v>-1.5069600000000001E-2</v>
      </c>
      <c r="J240" s="21">
        <v>230</v>
      </c>
      <c r="K240" s="21">
        <v>0.66128500000000001</v>
      </c>
      <c r="L240">
        <f t="shared" si="36"/>
        <v>18.604444444444443</v>
      </c>
      <c r="M240">
        <f t="shared" si="37"/>
        <v>12.314765493333333</v>
      </c>
      <c r="N240" s="9"/>
      <c r="O240" s="21">
        <v>1.0582</v>
      </c>
      <c r="P240" s="21">
        <v>11.254099999999999</v>
      </c>
      <c r="Q240" s="21">
        <v>-1.48743E-2</v>
      </c>
      <c r="R240" s="21">
        <v>230</v>
      </c>
      <c r="S240" s="21">
        <v>1.0574300000000001</v>
      </c>
      <c r="T240">
        <f t="shared" si="38"/>
        <v>18.363333333333333</v>
      </c>
      <c r="U240">
        <f t="shared" si="39"/>
        <v>19.432079333333334</v>
      </c>
      <c r="X240" s="9"/>
      <c r="Y240" s="21">
        <v>0.66192600000000001</v>
      </c>
      <c r="Z240" s="21">
        <v>16.809899999999999</v>
      </c>
      <c r="AA240" s="21">
        <v>-1.49658E-2</v>
      </c>
      <c r="AB240" s="21">
        <v>230</v>
      </c>
      <c r="AC240" s="21">
        <v>0.66134599999999999</v>
      </c>
      <c r="AD240">
        <f t="shared" si="40"/>
        <v>18.476296296296297</v>
      </c>
      <c r="AE240">
        <f t="shared" si="41"/>
        <v>12.229940902222223</v>
      </c>
      <c r="AF240" s="9"/>
      <c r="AG240" s="21">
        <v>1.0582</v>
      </c>
      <c r="AH240" s="21">
        <v>20.6693</v>
      </c>
      <c r="AI240" s="21">
        <v>-1.48621E-2</v>
      </c>
      <c r="AJ240" s="21">
        <v>230</v>
      </c>
      <c r="AK240" s="21">
        <v>1.0574300000000001</v>
      </c>
      <c r="AL240">
        <f t="shared" si="42"/>
        <v>18.348271604938269</v>
      </c>
      <c r="AM240">
        <f t="shared" si="43"/>
        <v>19.416141012345676</v>
      </c>
      <c r="AP240" s="9"/>
      <c r="AQ240" s="21">
        <v>0.66192600000000001</v>
      </c>
      <c r="AR240" s="21">
        <v>26.194099999999999</v>
      </c>
      <c r="AS240" s="21">
        <v>-1.49719E-2</v>
      </c>
      <c r="AT240" s="21">
        <v>230</v>
      </c>
      <c r="AU240" s="21">
        <v>0.66128500000000001</v>
      </c>
      <c r="AV240">
        <f t="shared" si="44"/>
        <v>18.483827160493824</v>
      </c>
      <c r="AW240">
        <f t="shared" si="45"/>
        <v>12.234925777037036</v>
      </c>
      <c r="AX240" s="9"/>
      <c r="AY240" s="21">
        <v>1.0582</v>
      </c>
      <c r="AZ240" s="21">
        <v>30.053599999999999</v>
      </c>
      <c r="BA240" s="21">
        <v>-1.4843800000000001E-2</v>
      </c>
      <c r="BB240" s="21">
        <v>230</v>
      </c>
      <c r="BC240" s="21">
        <v>1.0568200000000001</v>
      </c>
      <c r="BD240">
        <f t="shared" si="46"/>
        <v>18.325679012345677</v>
      </c>
      <c r="BE240">
        <f t="shared" si="47"/>
        <v>19.392233530864196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0.656891</v>
      </c>
      <c r="H241" s="21">
        <v>7.4047200000000002</v>
      </c>
      <c r="I241" s="21">
        <v>-1.50665E-2</v>
      </c>
      <c r="J241" s="21">
        <v>231</v>
      </c>
      <c r="K241" s="21">
        <v>0.65634199999999998</v>
      </c>
      <c r="L241">
        <f t="shared" si="36"/>
        <v>18.600617283950616</v>
      </c>
      <c r="M241">
        <f t="shared" si="37"/>
        <v>12.218578088271604</v>
      </c>
      <c r="N241" s="9"/>
      <c r="O241" s="21">
        <v>1.0632299999999999</v>
      </c>
      <c r="P241" s="21">
        <v>11.264200000000001</v>
      </c>
      <c r="Q241" s="21">
        <v>-1.4865099999999999E-2</v>
      </c>
      <c r="R241" s="21">
        <v>231</v>
      </c>
      <c r="S241" s="21">
        <v>1.0623199999999999</v>
      </c>
      <c r="T241">
        <f t="shared" si="38"/>
        <v>18.351975308641972</v>
      </c>
      <c r="U241">
        <f t="shared" si="39"/>
        <v>19.512370707407403</v>
      </c>
      <c r="X241" s="9"/>
      <c r="Y241" s="21">
        <v>0.656891</v>
      </c>
      <c r="Z241" s="21">
        <v>16.819900000000001</v>
      </c>
      <c r="AA241" s="21">
        <v>-1.4975E-2</v>
      </c>
      <c r="AB241" s="21">
        <v>231</v>
      </c>
      <c r="AC241" s="21">
        <v>0.65634199999999998</v>
      </c>
      <c r="AD241">
        <f t="shared" si="40"/>
        <v>18.487654320987652</v>
      </c>
      <c r="AE241">
        <f t="shared" si="41"/>
        <v>12.1443737345679</v>
      </c>
      <c r="AF241" s="9"/>
      <c r="AG241" s="21">
        <v>1.0632299999999999</v>
      </c>
      <c r="AH241" s="21">
        <v>20.679400000000001</v>
      </c>
      <c r="AI241" s="21">
        <v>-1.4865099999999999E-2</v>
      </c>
      <c r="AJ241" s="21">
        <v>231</v>
      </c>
      <c r="AK241" s="21">
        <v>1.0623199999999999</v>
      </c>
      <c r="AL241">
        <f t="shared" si="42"/>
        <v>18.351975308641972</v>
      </c>
      <c r="AM241">
        <f t="shared" si="43"/>
        <v>19.512370707407403</v>
      </c>
      <c r="AP241" s="9"/>
      <c r="AQ241" s="21">
        <v>0.656891</v>
      </c>
      <c r="AR241" s="21">
        <v>26.2042</v>
      </c>
      <c r="AS241" s="21">
        <v>-1.49658E-2</v>
      </c>
      <c r="AT241" s="21">
        <v>231</v>
      </c>
      <c r="AU241" s="21">
        <v>0.656219</v>
      </c>
      <c r="AV241">
        <f t="shared" si="44"/>
        <v>18.476296296296297</v>
      </c>
      <c r="AW241">
        <f t="shared" si="45"/>
        <v>12.136912750370371</v>
      </c>
      <c r="AX241" s="9"/>
      <c r="AY241" s="21">
        <v>1.0632299999999999</v>
      </c>
      <c r="AZ241" s="21">
        <v>30.063600000000001</v>
      </c>
      <c r="BA241" s="21">
        <v>-1.48407E-2</v>
      </c>
      <c r="BB241" s="21">
        <v>231</v>
      </c>
      <c r="BC241" s="21">
        <v>1.0629299999999999</v>
      </c>
      <c r="BD241">
        <f t="shared" si="46"/>
        <v>18.32185185185185</v>
      </c>
      <c r="BE241">
        <f t="shared" si="47"/>
        <v>19.48034254444444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0.65185499999999996</v>
      </c>
      <c r="H242" s="21">
        <v>7.41479</v>
      </c>
      <c r="I242" s="21">
        <v>-1.50574E-2</v>
      </c>
      <c r="J242" s="21">
        <v>232</v>
      </c>
      <c r="K242" s="21">
        <v>0.65115400000000001</v>
      </c>
      <c r="L242">
        <f t="shared" si="36"/>
        <v>18.589382716049382</v>
      </c>
      <c r="M242">
        <f t="shared" si="37"/>
        <v>12.11758207037037</v>
      </c>
      <c r="N242" s="9"/>
      <c r="O242" s="21">
        <v>1.0682700000000001</v>
      </c>
      <c r="P242" s="21">
        <v>11.2743</v>
      </c>
      <c r="Q242" s="21">
        <v>-1.4859000000000001E-2</v>
      </c>
      <c r="R242" s="21">
        <v>232</v>
      </c>
      <c r="S242" s="21">
        <v>1.0671999999999999</v>
      </c>
      <c r="T242">
        <f t="shared" si="38"/>
        <v>18.344444444444445</v>
      </c>
      <c r="U242">
        <f t="shared" si="39"/>
        <v>19.596819666666669</v>
      </c>
      <c r="X242" s="9"/>
      <c r="Y242" s="21">
        <v>0.65185499999999996</v>
      </c>
      <c r="Z242" s="21">
        <v>16.829999999999998</v>
      </c>
      <c r="AA242" s="21">
        <v>-1.49841E-2</v>
      </c>
      <c r="AB242" s="21">
        <v>232</v>
      </c>
      <c r="AC242" s="21">
        <v>0.65133700000000005</v>
      </c>
      <c r="AD242">
        <f t="shared" si="40"/>
        <v>18.498888888888889</v>
      </c>
      <c r="AE242">
        <f t="shared" si="41"/>
        <v>12.058593216666665</v>
      </c>
      <c r="AF242" s="9"/>
      <c r="AG242" s="21">
        <v>1.0682700000000001</v>
      </c>
      <c r="AH242" s="21">
        <v>20.689499999999999</v>
      </c>
      <c r="AI242" s="21">
        <v>-1.4859000000000001E-2</v>
      </c>
      <c r="AJ242" s="21">
        <v>232</v>
      </c>
      <c r="AK242" s="21">
        <v>1.0671999999999999</v>
      </c>
      <c r="AL242">
        <f t="shared" si="42"/>
        <v>18.344444444444445</v>
      </c>
      <c r="AM242">
        <f t="shared" si="43"/>
        <v>19.596819666666669</v>
      </c>
      <c r="AP242" s="9"/>
      <c r="AQ242" s="21">
        <v>0.65185499999999996</v>
      </c>
      <c r="AR242" s="21">
        <v>26.214200000000002</v>
      </c>
      <c r="AS242" s="21">
        <v>-1.49628E-2</v>
      </c>
      <c r="AT242" s="21">
        <v>232</v>
      </c>
      <c r="AU242" s="21">
        <v>0.65118399999999999</v>
      </c>
      <c r="AV242">
        <f t="shared" si="44"/>
        <v>18.472592592592594</v>
      </c>
      <c r="AW242">
        <f t="shared" si="45"/>
        <v>12.041451844444445</v>
      </c>
      <c r="AX242" s="9"/>
      <c r="AY242" s="21">
        <v>1.0682700000000001</v>
      </c>
      <c r="AZ242" s="21">
        <v>30.073699999999999</v>
      </c>
      <c r="BA242" s="21">
        <v>-1.4837599999999999E-2</v>
      </c>
      <c r="BB242" s="21">
        <v>232</v>
      </c>
      <c r="BC242" s="21">
        <v>1.0671999999999999</v>
      </c>
      <c r="BD242">
        <f t="shared" si="46"/>
        <v>18.318024691358023</v>
      </c>
      <c r="BE242">
        <f t="shared" si="47"/>
        <v>19.568596237037035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0.64681999999999995</v>
      </c>
      <c r="H243" s="21">
        <v>7.4248700000000003</v>
      </c>
      <c r="I243" s="21">
        <v>-1.50543E-2</v>
      </c>
      <c r="J243" s="21">
        <v>233</v>
      </c>
      <c r="K243" s="21">
        <v>0.64624000000000004</v>
      </c>
      <c r="L243">
        <f t="shared" si="36"/>
        <v>18.585555555555555</v>
      </c>
      <c r="M243">
        <f t="shared" si="37"/>
        <v>12.021509044444443</v>
      </c>
      <c r="N243" s="9"/>
      <c r="O243" s="21">
        <v>1.0732999999999999</v>
      </c>
      <c r="P243" s="21">
        <v>11.2843</v>
      </c>
      <c r="Q243" s="21">
        <v>-1.4865099999999999E-2</v>
      </c>
      <c r="R243" s="21">
        <v>233</v>
      </c>
      <c r="S243" s="21">
        <v>1.07178</v>
      </c>
      <c r="T243">
        <f t="shared" si="38"/>
        <v>18.351975308641972</v>
      </c>
      <c r="U243">
        <f t="shared" si="39"/>
        <v>19.697175098765427</v>
      </c>
      <c r="X243" s="9"/>
      <c r="Y243" s="21">
        <v>0.64681999999999995</v>
      </c>
      <c r="Z243" s="21">
        <v>16.8401</v>
      </c>
      <c r="AA243" s="21">
        <v>-1.49902E-2</v>
      </c>
      <c r="AB243" s="21">
        <v>233</v>
      </c>
      <c r="AC243" s="21">
        <v>0.64614899999999997</v>
      </c>
      <c r="AD243">
        <f t="shared" si="40"/>
        <v>18.506419753086419</v>
      </c>
      <c r="AE243">
        <f t="shared" si="41"/>
        <v>11.970322424691357</v>
      </c>
      <c r="AF243" s="9"/>
      <c r="AG243" s="21">
        <v>1.0732999999999999</v>
      </c>
      <c r="AH243" s="21">
        <v>20.6996</v>
      </c>
      <c r="AI243" s="21">
        <v>-1.48621E-2</v>
      </c>
      <c r="AJ243" s="21">
        <v>233</v>
      </c>
      <c r="AK243" s="21">
        <v>1.0726899999999999</v>
      </c>
      <c r="AL243">
        <f t="shared" si="42"/>
        <v>18.348271604938269</v>
      </c>
      <c r="AM243">
        <f t="shared" si="43"/>
        <v>19.693199913580241</v>
      </c>
      <c r="AP243" s="9"/>
      <c r="AQ243" s="21">
        <v>0.64681999999999995</v>
      </c>
      <c r="AR243" s="21">
        <v>26.224299999999999</v>
      </c>
      <c r="AS243" s="21">
        <v>-1.49567E-2</v>
      </c>
      <c r="AT243" s="21">
        <v>233</v>
      </c>
      <c r="AU243" s="21">
        <v>0.64624000000000004</v>
      </c>
      <c r="AV243">
        <f t="shared" si="44"/>
        <v>18.46506172839506</v>
      </c>
      <c r="AW243">
        <f t="shared" si="45"/>
        <v>11.943571227160492</v>
      </c>
      <c r="AX243" s="9"/>
      <c r="AY243" s="21">
        <v>1.0732999999999999</v>
      </c>
      <c r="AZ243" s="21">
        <v>30.0838</v>
      </c>
      <c r="BA243" s="21">
        <v>-1.48285E-2</v>
      </c>
      <c r="BB243" s="21">
        <v>233</v>
      </c>
      <c r="BC243" s="21">
        <v>1.0720799999999999</v>
      </c>
      <c r="BD243">
        <f t="shared" si="46"/>
        <v>18.306790123456789</v>
      </c>
      <c r="BE243">
        <f t="shared" si="47"/>
        <v>19.648677839506171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0.64178500000000005</v>
      </c>
      <c r="H244" s="21">
        <v>7.4349400000000001</v>
      </c>
      <c r="I244" s="21">
        <v>-1.5048199999999999E-2</v>
      </c>
      <c r="J244" s="21">
        <v>234</v>
      </c>
      <c r="K244" s="21">
        <v>0.64114400000000005</v>
      </c>
      <c r="L244">
        <f t="shared" si="36"/>
        <v>18.578024691358021</v>
      </c>
      <c r="M244">
        <f t="shared" si="37"/>
        <v>11.923097576543208</v>
      </c>
      <c r="N244" s="9"/>
      <c r="O244" s="21">
        <v>1.0783400000000001</v>
      </c>
      <c r="P244" s="21">
        <v>11.2944</v>
      </c>
      <c r="Q244" s="21">
        <v>-1.4865099999999999E-2</v>
      </c>
      <c r="R244" s="21">
        <v>234</v>
      </c>
      <c r="S244" s="21">
        <v>1.07758</v>
      </c>
      <c r="T244">
        <f t="shared" si="38"/>
        <v>18.351975308641972</v>
      </c>
      <c r="U244">
        <f t="shared" si="39"/>
        <v>19.789669054320985</v>
      </c>
      <c r="X244" s="9"/>
      <c r="Y244" s="21">
        <v>0.64178500000000005</v>
      </c>
      <c r="Z244" s="21">
        <v>16.850200000000001</v>
      </c>
      <c r="AA244" s="21">
        <v>-1.4996300000000001E-2</v>
      </c>
      <c r="AB244" s="21">
        <v>234</v>
      </c>
      <c r="AC244" s="21">
        <v>0.64114400000000005</v>
      </c>
      <c r="AD244">
        <f t="shared" si="40"/>
        <v>18.51395061728395</v>
      </c>
      <c r="AE244">
        <f t="shared" si="41"/>
        <v>11.881975796913581</v>
      </c>
      <c r="AF244" s="9"/>
      <c r="AG244" s="21">
        <v>1.0783400000000001</v>
      </c>
      <c r="AH244" s="21">
        <v>20.709599999999998</v>
      </c>
      <c r="AI244" s="21">
        <v>-1.4859000000000001E-2</v>
      </c>
      <c r="AJ244" s="21">
        <v>234</v>
      </c>
      <c r="AK244" s="21">
        <v>1.07758</v>
      </c>
      <c r="AL244">
        <f t="shared" si="42"/>
        <v>18.344444444444445</v>
      </c>
      <c r="AM244">
        <f t="shared" si="43"/>
        <v>19.781548222222224</v>
      </c>
      <c r="AP244" s="9"/>
      <c r="AQ244" s="21">
        <v>0.64178500000000005</v>
      </c>
      <c r="AR244" s="21">
        <v>26.234400000000001</v>
      </c>
      <c r="AS244" s="21">
        <v>-1.49567E-2</v>
      </c>
      <c r="AT244" s="21">
        <v>234</v>
      </c>
      <c r="AU244" s="21">
        <v>0.64114400000000005</v>
      </c>
      <c r="AV244">
        <f t="shared" si="44"/>
        <v>18.46506172839506</v>
      </c>
      <c r="AW244">
        <f t="shared" si="45"/>
        <v>11.850599641358025</v>
      </c>
      <c r="AX244" s="9"/>
      <c r="AY244" s="21">
        <v>1.0783400000000001</v>
      </c>
      <c r="AZ244" s="21">
        <v>30.093900000000001</v>
      </c>
      <c r="BA244" s="21">
        <v>-1.4819300000000001E-2</v>
      </c>
      <c r="BB244" s="21">
        <v>234</v>
      </c>
      <c r="BC244" s="21">
        <v>1.0772699999999999</v>
      </c>
      <c r="BD244">
        <f t="shared" si="46"/>
        <v>18.295432098765431</v>
      </c>
      <c r="BE244">
        <f t="shared" si="47"/>
        <v>19.728696249382718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0.63674900000000001</v>
      </c>
      <c r="H245" s="21">
        <v>7.4450099999999999</v>
      </c>
      <c r="I245" s="21">
        <v>-1.5048199999999999E-2</v>
      </c>
      <c r="J245" s="21">
        <v>235</v>
      </c>
      <c r="K245" s="21">
        <v>0.63607800000000003</v>
      </c>
      <c r="L245">
        <f t="shared" si="36"/>
        <v>18.578024691358021</v>
      </c>
      <c r="M245">
        <f t="shared" si="37"/>
        <v>11.829538644197529</v>
      </c>
      <c r="N245" s="9"/>
      <c r="O245" s="21">
        <v>1.0833699999999999</v>
      </c>
      <c r="P245" s="21">
        <v>11.304500000000001</v>
      </c>
      <c r="Q245" s="21">
        <v>-1.48529E-2</v>
      </c>
      <c r="R245" s="21">
        <v>235</v>
      </c>
      <c r="S245" s="21">
        <v>1.08246</v>
      </c>
      <c r="T245">
        <f t="shared" si="38"/>
        <v>18.336913580246915</v>
      </c>
      <c r="U245">
        <f t="shared" si="39"/>
        <v>19.865662065432097</v>
      </c>
      <c r="X245" s="9"/>
      <c r="Y245" s="21">
        <v>0.63674900000000001</v>
      </c>
      <c r="Z245" s="21">
        <v>16.860199999999999</v>
      </c>
      <c r="AA245" s="21">
        <v>-1.4993299999999999E-2</v>
      </c>
      <c r="AB245" s="21">
        <v>235</v>
      </c>
      <c r="AC245" s="21">
        <v>0.63610800000000001</v>
      </c>
      <c r="AD245">
        <f t="shared" si="40"/>
        <v>18.510246913580243</v>
      </c>
      <c r="AE245">
        <f t="shared" si="41"/>
        <v>11.786381211975307</v>
      </c>
      <c r="AF245" s="9"/>
      <c r="AG245" s="21">
        <v>1.0833699999999999</v>
      </c>
      <c r="AH245" s="21">
        <v>20.7197</v>
      </c>
      <c r="AI245" s="21">
        <v>-1.48682E-2</v>
      </c>
      <c r="AJ245" s="21">
        <v>235</v>
      </c>
      <c r="AK245" s="21">
        <v>1.08307</v>
      </c>
      <c r="AL245">
        <f t="shared" si="42"/>
        <v>18.355802469135799</v>
      </c>
      <c r="AM245">
        <f t="shared" si="43"/>
        <v>19.88612572098765</v>
      </c>
      <c r="AP245" s="9"/>
      <c r="AQ245" s="21">
        <v>0.63674900000000001</v>
      </c>
      <c r="AR245" s="21">
        <v>26.244399999999999</v>
      </c>
      <c r="AS245" s="21">
        <v>-1.49628E-2</v>
      </c>
      <c r="AT245" s="21">
        <v>235</v>
      </c>
      <c r="AU245" s="21">
        <v>0.63622999999999996</v>
      </c>
      <c r="AV245">
        <f t="shared" si="44"/>
        <v>18.472592592592594</v>
      </c>
      <c r="AW245">
        <f t="shared" si="45"/>
        <v>11.762404860740743</v>
      </c>
      <c r="AX245" s="9"/>
      <c r="AY245" s="21">
        <v>1.0833699999999999</v>
      </c>
      <c r="AZ245" s="21">
        <v>30.103899999999999</v>
      </c>
      <c r="BA245" s="21">
        <v>-1.4810200000000001E-2</v>
      </c>
      <c r="BB245" s="21">
        <v>235</v>
      </c>
      <c r="BC245" s="21">
        <v>1.0827599999999999</v>
      </c>
      <c r="BD245">
        <f t="shared" si="46"/>
        <v>18.284197530864198</v>
      </c>
      <c r="BE245">
        <f t="shared" si="47"/>
        <v>19.808551079012346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0.631714</v>
      </c>
      <c r="H246" s="21">
        <v>7.4550799999999997</v>
      </c>
      <c r="I246" s="21">
        <v>-1.50452E-2</v>
      </c>
      <c r="J246" s="21">
        <v>236</v>
      </c>
      <c r="K246" s="21">
        <v>0.63104199999999999</v>
      </c>
      <c r="L246">
        <f t="shared" si="36"/>
        <v>18.574320987654321</v>
      </c>
      <c r="M246">
        <f t="shared" si="37"/>
        <v>11.733658608395062</v>
      </c>
      <c r="N246" s="9"/>
      <c r="O246" s="21">
        <v>1.0884100000000001</v>
      </c>
      <c r="P246" s="21">
        <v>11.3146</v>
      </c>
      <c r="Q246" s="21">
        <v>-1.4843800000000001E-2</v>
      </c>
      <c r="R246" s="21">
        <v>236</v>
      </c>
      <c r="S246" s="21">
        <v>1.08795</v>
      </c>
      <c r="T246">
        <f t="shared" si="38"/>
        <v>18.325679012345677</v>
      </c>
      <c r="U246">
        <f t="shared" si="39"/>
        <v>19.945852293827162</v>
      </c>
      <c r="X246" s="9"/>
      <c r="Y246" s="21">
        <v>0.631714</v>
      </c>
      <c r="Z246" s="21">
        <v>16.8703</v>
      </c>
      <c r="AA246" s="21">
        <v>-1.4993299999999999E-2</v>
      </c>
      <c r="AB246" s="21">
        <v>236</v>
      </c>
      <c r="AC246" s="21">
        <v>0.63113399999999997</v>
      </c>
      <c r="AD246">
        <f t="shared" si="40"/>
        <v>18.510246913580243</v>
      </c>
      <c r="AE246">
        <f t="shared" si="41"/>
        <v>11.69318211876543</v>
      </c>
      <c r="AF246" s="9"/>
      <c r="AG246" s="21">
        <v>1.0884100000000001</v>
      </c>
      <c r="AH246" s="21">
        <v>20.729800000000001</v>
      </c>
      <c r="AI246" s="21">
        <v>-1.4871199999999999E-2</v>
      </c>
      <c r="AJ246" s="21">
        <v>236</v>
      </c>
      <c r="AK246" s="21">
        <v>1.08704</v>
      </c>
      <c r="AL246">
        <f t="shared" si="42"/>
        <v>18.359506172839506</v>
      </c>
      <c r="AM246">
        <f t="shared" si="43"/>
        <v>19.982670113580248</v>
      </c>
      <c r="AP246" s="9"/>
      <c r="AQ246" s="21">
        <v>0.631714</v>
      </c>
      <c r="AR246" s="21">
        <v>26.2545</v>
      </c>
      <c r="AS246" s="21">
        <v>-1.4978E-2</v>
      </c>
      <c r="AT246" s="21">
        <v>236</v>
      </c>
      <c r="AU246" s="21">
        <v>0.63101200000000002</v>
      </c>
      <c r="AV246">
        <f t="shared" si="44"/>
        <v>18.491358024691355</v>
      </c>
      <c r="AW246">
        <f t="shared" si="45"/>
        <v>11.681249743209875</v>
      </c>
      <c r="AX246" s="9"/>
      <c r="AY246" s="21">
        <v>1.0884100000000001</v>
      </c>
      <c r="AZ246" s="21">
        <v>30.114000000000001</v>
      </c>
      <c r="BA246" s="21">
        <v>-1.4810200000000001E-2</v>
      </c>
      <c r="BB246" s="21">
        <v>236</v>
      </c>
      <c r="BC246" s="21">
        <v>1.08795</v>
      </c>
      <c r="BD246">
        <f t="shared" si="46"/>
        <v>18.284197530864198</v>
      </c>
      <c r="BE246">
        <f t="shared" si="47"/>
        <v>19.900703434567902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0.62667799999999996</v>
      </c>
      <c r="H247" s="21">
        <v>7.4651500000000004</v>
      </c>
      <c r="I247" s="21">
        <v>-1.5042099999999999E-2</v>
      </c>
      <c r="J247" s="21">
        <v>237</v>
      </c>
      <c r="K247" s="21">
        <v>0.62603799999999998</v>
      </c>
      <c r="L247">
        <f t="shared" si="36"/>
        <v>18.570493827160494</v>
      </c>
      <c r="M247">
        <f t="shared" si="37"/>
        <v>11.637719930617283</v>
      </c>
      <c r="N247" s="9"/>
      <c r="O247" s="21">
        <v>1.09344</v>
      </c>
      <c r="P247" s="21">
        <v>11.3246</v>
      </c>
      <c r="Q247" s="21">
        <v>-1.48468E-2</v>
      </c>
      <c r="R247" s="21">
        <v>237</v>
      </c>
      <c r="S247" s="21">
        <v>1.09253</v>
      </c>
      <c r="T247">
        <f t="shared" si="38"/>
        <v>18.329382716049381</v>
      </c>
      <c r="U247">
        <f t="shared" si="39"/>
        <v>20.042080237037034</v>
      </c>
      <c r="X247" s="9"/>
      <c r="Y247" s="21">
        <v>0.62667799999999996</v>
      </c>
      <c r="Z247" s="21">
        <v>16.880400000000002</v>
      </c>
      <c r="AA247" s="21">
        <v>-1.4993299999999999E-2</v>
      </c>
      <c r="AB247" s="21">
        <v>237</v>
      </c>
      <c r="AC247" s="21">
        <v>0.62603799999999998</v>
      </c>
      <c r="AD247">
        <f t="shared" si="40"/>
        <v>18.510246913580243</v>
      </c>
      <c r="AE247">
        <f t="shared" si="41"/>
        <v>11.599964515308638</v>
      </c>
      <c r="AF247" s="9"/>
      <c r="AG247" s="21">
        <v>1.09344</v>
      </c>
      <c r="AH247" s="21">
        <v>20.739799999999999</v>
      </c>
      <c r="AI247" s="21">
        <v>-1.48621E-2</v>
      </c>
      <c r="AJ247" s="21">
        <v>237</v>
      </c>
      <c r="AK247" s="21">
        <v>1.09222</v>
      </c>
      <c r="AL247">
        <f t="shared" si="42"/>
        <v>18.348271604938269</v>
      </c>
      <c r="AM247">
        <f t="shared" si="43"/>
        <v>20.062734103703701</v>
      </c>
      <c r="AP247" s="9"/>
      <c r="AQ247" s="21">
        <v>0.62667799999999996</v>
      </c>
      <c r="AR247" s="21">
        <v>26.264600000000002</v>
      </c>
      <c r="AS247" s="21">
        <v>-1.4993299999999999E-2</v>
      </c>
      <c r="AT247" s="21">
        <v>237</v>
      </c>
      <c r="AU247" s="21">
        <v>0.62619000000000002</v>
      </c>
      <c r="AV247">
        <f t="shared" si="44"/>
        <v>18.510246913580243</v>
      </c>
      <c r="AW247">
        <f t="shared" si="45"/>
        <v>11.599964515308638</v>
      </c>
      <c r="AX247" s="9"/>
      <c r="AY247" s="21">
        <v>1.09344</v>
      </c>
      <c r="AZ247" s="21">
        <v>30.124099999999999</v>
      </c>
      <c r="BA247" s="21">
        <v>-1.4816299999999999E-2</v>
      </c>
      <c r="BB247" s="21">
        <v>237</v>
      </c>
      <c r="BC247" s="21">
        <v>1.09253</v>
      </c>
      <c r="BD247">
        <f t="shared" si="46"/>
        <v>18.291728395061728</v>
      </c>
      <c r="BE247">
        <f t="shared" si="47"/>
        <v>20.000907496296296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0.62164299999999995</v>
      </c>
      <c r="H248" s="21">
        <v>7.4752200000000002</v>
      </c>
      <c r="I248" s="21">
        <v>-1.5036000000000001E-2</v>
      </c>
      <c r="J248" s="21">
        <v>238</v>
      </c>
      <c r="K248" s="21">
        <v>0.62103299999999995</v>
      </c>
      <c r="L248">
        <f t="shared" si="36"/>
        <v>18.562962962962963</v>
      </c>
      <c r="M248">
        <f t="shared" si="37"/>
        <v>11.539535985185184</v>
      </c>
      <c r="N248" s="9"/>
      <c r="O248" s="21">
        <v>1.0984799999999999</v>
      </c>
      <c r="P248" s="21">
        <v>11.3347</v>
      </c>
      <c r="Q248" s="21">
        <v>-1.4849899999999999E-2</v>
      </c>
      <c r="R248" s="21">
        <v>238</v>
      </c>
      <c r="S248" s="21">
        <v>1.09772</v>
      </c>
      <c r="T248">
        <f t="shared" si="38"/>
        <v>18.333209876543208</v>
      </c>
      <c r="U248">
        <f t="shared" si="39"/>
        <v>20.13866438518518</v>
      </c>
      <c r="X248" s="9"/>
      <c r="Y248" s="21">
        <v>0.62164299999999995</v>
      </c>
      <c r="Z248" s="21">
        <v>16.8904</v>
      </c>
      <c r="AA248" s="21">
        <v>-1.4996300000000001E-2</v>
      </c>
      <c r="AB248" s="21">
        <v>238</v>
      </c>
      <c r="AC248" s="21">
        <v>0.62103299999999995</v>
      </c>
      <c r="AD248">
        <f t="shared" si="40"/>
        <v>18.51395061728395</v>
      </c>
      <c r="AE248">
        <f t="shared" si="41"/>
        <v>11.509067803580246</v>
      </c>
      <c r="AF248" s="9"/>
      <c r="AG248" s="21">
        <v>1.0984799999999999</v>
      </c>
      <c r="AH248" s="21">
        <v>20.7499</v>
      </c>
      <c r="AI248" s="21">
        <v>-1.48621E-2</v>
      </c>
      <c r="AJ248" s="21">
        <v>238</v>
      </c>
      <c r="AK248" s="21">
        <v>1.09772</v>
      </c>
      <c r="AL248">
        <f t="shared" si="42"/>
        <v>18.348271604938269</v>
      </c>
      <c r="AM248">
        <f t="shared" si="43"/>
        <v>20.155209392592589</v>
      </c>
      <c r="AP248" s="9"/>
      <c r="AQ248" s="21">
        <v>0.62164299999999995</v>
      </c>
      <c r="AR248" s="21">
        <v>26.274699999999999</v>
      </c>
      <c r="AS248" s="21">
        <v>-1.49994E-2</v>
      </c>
      <c r="AT248" s="21">
        <v>238</v>
      </c>
      <c r="AU248" s="21">
        <v>0.62100200000000005</v>
      </c>
      <c r="AV248">
        <f t="shared" si="44"/>
        <v>18.517777777777777</v>
      </c>
      <c r="AW248">
        <f t="shared" si="45"/>
        <v>11.511446931111109</v>
      </c>
      <c r="AX248" s="9"/>
      <c r="AY248" s="21">
        <v>1.0984799999999999</v>
      </c>
      <c r="AZ248" s="21">
        <v>30.1341</v>
      </c>
      <c r="BA248" s="21">
        <v>-1.4816299999999999E-2</v>
      </c>
      <c r="BB248" s="21">
        <v>238</v>
      </c>
      <c r="BC248" s="21">
        <v>1.09741</v>
      </c>
      <c r="BD248">
        <f t="shared" si="46"/>
        <v>18.291728395061728</v>
      </c>
      <c r="BE248">
        <f t="shared" si="47"/>
        <v>20.093097807407407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0.61660800000000004</v>
      </c>
      <c r="H249" s="21">
        <v>7.48529</v>
      </c>
      <c r="I249" s="21">
        <v>-1.5029900000000001E-2</v>
      </c>
      <c r="J249" s="21">
        <v>239</v>
      </c>
      <c r="K249" s="21">
        <v>0.61584499999999998</v>
      </c>
      <c r="L249">
        <f t="shared" si="36"/>
        <v>18.555432098765429</v>
      </c>
      <c r="M249">
        <f t="shared" si="37"/>
        <v>11.441427875555554</v>
      </c>
      <c r="N249" s="9"/>
      <c r="O249" s="21">
        <v>1.1035200000000001</v>
      </c>
      <c r="P249" s="21">
        <v>11.344799999999999</v>
      </c>
      <c r="Q249" s="21">
        <v>-1.48529E-2</v>
      </c>
      <c r="R249" s="21">
        <v>239</v>
      </c>
      <c r="S249" s="21">
        <v>1.10321</v>
      </c>
      <c r="T249">
        <f t="shared" si="38"/>
        <v>18.336913580246915</v>
      </c>
      <c r="U249">
        <f t="shared" si="39"/>
        <v>20.235150874074076</v>
      </c>
      <c r="X249" s="9"/>
      <c r="Y249" s="21">
        <v>0.61660800000000004</v>
      </c>
      <c r="Z249" s="21">
        <v>16.900500000000001</v>
      </c>
      <c r="AA249" s="21">
        <v>-1.5002400000000001E-2</v>
      </c>
      <c r="AB249" s="21">
        <v>239</v>
      </c>
      <c r="AC249" s="21">
        <v>0.61602800000000002</v>
      </c>
      <c r="AD249">
        <f t="shared" si="40"/>
        <v>18.521481481481484</v>
      </c>
      <c r="AE249">
        <f t="shared" si="41"/>
        <v>11.420493653333336</v>
      </c>
      <c r="AF249" s="9"/>
      <c r="AG249" s="21">
        <v>1.1035200000000001</v>
      </c>
      <c r="AH249" s="21">
        <v>20.76</v>
      </c>
      <c r="AI249" s="21">
        <v>-1.4849899999999999E-2</v>
      </c>
      <c r="AJ249" s="21">
        <v>239</v>
      </c>
      <c r="AK249" s="21">
        <v>1.1026</v>
      </c>
      <c r="AL249">
        <f t="shared" si="42"/>
        <v>18.333209876543208</v>
      </c>
      <c r="AM249">
        <f t="shared" si="43"/>
        <v>20.231063762962961</v>
      </c>
      <c r="AP249" s="9"/>
      <c r="AQ249" s="21">
        <v>0.61660800000000004</v>
      </c>
      <c r="AR249" s="21">
        <v>26.284700000000001</v>
      </c>
      <c r="AS249" s="21">
        <v>-1.4996300000000001E-2</v>
      </c>
      <c r="AT249" s="21">
        <v>239</v>
      </c>
      <c r="AU249" s="21">
        <v>0.61605799999999999</v>
      </c>
      <c r="AV249">
        <f t="shared" si="44"/>
        <v>18.51395061728395</v>
      </c>
      <c r="AW249">
        <f t="shared" si="45"/>
        <v>11.415850062222223</v>
      </c>
      <c r="AX249" s="9"/>
      <c r="AY249" s="21">
        <v>1.1035200000000001</v>
      </c>
      <c r="AZ249" s="21">
        <v>30.144200000000001</v>
      </c>
      <c r="BA249" s="21">
        <v>-1.4816299999999999E-2</v>
      </c>
      <c r="BB249" s="21">
        <v>239</v>
      </c>
      <c r="BC249" s="21">
        <v>1.1026</v>
      </c>
      <c r="BD249">
        <f t="shared" si="46"/>
        <v>18.291728395061728</v>
      </c>
      <c r="BE249">
        <f t="shared" si="47"/>
        <v>20.185288118518521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0.611572</v>
      </c>
      <c r="H250" s="21">
        <v>7.4953599999999998</v>
      </c>
      <c r="I250" s="21">
        <v>-1.50238E-2</v>
      </c>
      <c r="J250" s="21">
        <v>240</v>
      </c>
      <c r="K250" s="21">
        <v>0.61099199999999998</v>
      </c>
      <c r="L250">
        <f t="shared" si="36"/>
        <v>18.547901234567902</v>
      </c>
      <c r="M250">
        <f t="shared" si="37"/>
        <v>11.343377053827162</v>
      </c>
      <c r="N250" s="9"/>
      <c r="O250" s="21">
        <v>1.1085499999999999</v>
      </c>
      <c r="P250" s="21">
        <v>11.354799999999999</v>
      </c>
      <c r="Q250" s="21">
        <v>-1.48468E-2</v>
      </c>
      <c r="R250" s="21">
        <v>240</v>
      </c>
      <c r="S250" s="21">
        <v>1.10748</v>
      </c>
      <c r="T250">
        <f t="shared" si="38"/>
        <v>18.329382716049381</v>
      </c>
      <c r="U250">
        <f t="shared" si="39"/>
        <v>20.319037209876541</v>
      </c>
      <c r="X250" s="9"/>
      <c r="Y250" s="21">
        <v>0.611572</v>
      </c>
      <c r="Z250" s="21">
        <v>16.910599999999999</v>
      </c>
      <c r="AA250" s="21">
        <v>-1.50177E-2</v>
      </c>
      <c r="AB250" s="21">
        <v>240</v>
      </c>
      <c r="AC250" s="21">
        <v>0.610931</v>
      </c>
      <c r="AD250">
        <f t="shared" si="40"/>
        <v>18.540370370370372</v>
      </c>
      <c r="AE250">
        <f t="shared" si="41"/>
        <v>11.33877138814815</v>
      </c>
      <c r="AF250" s="9"/>
      <c r="AG250" s="21">
        <v>1.1085499999999999</v>
      </c>
      <c r="AH250" s="21">
        <v>20.77</v>
      </c>
      <c r="AI250" s="21">
        <v>-1.4855999999999999E-2</v>
      </c>
      <c r="AJ250" s="21">
        <v>240</v>
      </c>
      <c r="AK250" s="21">
        <v>1.1071800000000001</v>
      </c>
      <c r="AL250">
        <f t="shared" si="42"/>
        <v>18.340740740740738</v>
      </c>
      <c r="AM250">
        <f t="shared" si="43"/>
        <v>20.331628148148145</v>
      </c>
      <c r="AP250" s="9"/>
      <c r="AQ250" s="21">
        <v>0.611572</v>
      </c>
      <c r="AR250" s="21">
        <v>26.294799999999999</v>
      </c>
      <c r="AS250" s="21">
        <v>-1.50055E-2</v>
      </c>
      <c r="AT250" s="21">
        <v>240</v>
      </c>
      <c r="AU250" s="21">
        <v>0.61105299999999996</v>
      </c>
      <c r="AV250">
        <f t="shared" si="44"/>
        <v>18.525308641975307</v>
      </c>
      <c r="AW250">
        <f t="shared" si="45"/>
        <v>11.329560056790124</v>
      </c>
      <c r="AX250" s="9"/>
      <c r="AY250" s="21">
        <v>1.1085499999999999</v>
      </c>
      <c r="AZ250" s="21">
        <v>30.154299999999999</v>
      </c>
      <c r="BA250" s="21">
        <v>-1.48071E-2</v>
      </c>
      <c r="BB250" s="21">
        <v>240</v>
      </c>
      <c r="BC250" s="21">
        <v>1.1077900000000001</v>
      </c>
      <c r="BD250">
        <f t="shared" si="46"/>
        <v>18.28037037037037</v>
      </c>
      <c r="BE250">
        <f t="shared" si="47"/>
        <v>20.264704574074074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0.60653699999999999</v>
      </c>
      <c r="H251" s="21">
        <v>7.5054299999999996</v>
      </c>
      <c r="I251" s="21">
        <v>-1.5014599999999999E-2</v>
      </c>
      <c r="J251" s="21">
        <v>241</v>
      </c>
      <c r="K251" s="21">
        <v>0.60598799999999997</v>
      </c>
      <c r="L251">
        <f t="shared" si="36"/>
        <v>18.536543209876541</v>
      </c>
      <c r="M251">
        <f t="shared" si="37"/>
        <v>11.243099308888887</v>
      </c>
      <c r="N251" s="9"/>
      <c r="O251" s="21">
        <v>1.1135900000000001</v>
      </c>
      <c r="P251" s="21">
        <v>11.3649</v>
      </c>
      <c r="Q251" s="21">
        <v>-1.48468E-2</v>
      </c>
      <c r="R251" s="21">
        <v>241</v>
      </c>
      <c r="S251" s="21">
        <v>1.1129800000000001</v>
      </c>
      <c r="T251">
        <f t="shared" si="38"/>
        <v>18.329382716049381</v>
      </c>
      <c r="U251">
        <f t="shared" si="39"/>
        <v>20.411417298765432</v>
      </c>
      <c r="X251" s="9"/>
      <c r="Y251" s="21">
        <v>0.60653699999999999</v>
      </c>
      <c r="Z251" s="21">
        <v>16.9206</v>
      </c>
      <c r="AA251" s="21">
        <v>-1.5029900000000001E-2</v>
      </c>
      <c r="AB251" s="21">
        <v>241</v>
      </c>
      <c r="AC251" s="21">
        <v>0.60580400000000001</v>
      </c>
      <c r="AD251">
        <f t="shared" si="40"/>
        <v>18.555432098765429</v>
      </c>
      <c r="AE251">
        <f t="shared" si="41"/>
        <v>11.254556118888887</v>
      </c>
      <c r="AF251" s="9"/>
      <c r="AG251" s="21">
        <v>1.1135900000000001</v>
      </c>
      <c r="AH251" s="21">
        <v>20.780100000000001</v>
      </c>
      <c r="AI251" s="21">
        <v>-1.4859000000000001E-2</v>
      </c>
      <c r="AJ251" s="21">
        <v>241</v>
      </c>
      <c r="AK251" s="21">
        <v>1.11328</v>
      </c>
      <c r="AL251">
        <f t="shared" si="42"/>
        <v>18.344444444444445</v>
      </c>
      <c r="AM251">
        <f t="shared" si="43"/>
        <v>20.428189888888891</v>
      </c>
      <c r="AP251" s="9"/>
      <c r="AQ251" s="21">
        <v>0.60653699999999999</v>
      </c>
      <c r="AR251" s="21">
        <v>26.3049</v>
      </c>
      <c r="AS251" s="21">
        <v>-1.50116E-2</v>
      </c>
      <c r="AT251" s="21">
        <v>241</v>
      </c>
      <c r="AU251" s="21">
        <v>0.60586499999999999</v>
      </c>
      <c r="AV251">
        <f t="shared" si="44"/>
        <v>18.532839506172838</v>
      </c>
      <c r="AW251">
        <f t="shared" si="45"/>
        <v>11.240852875555554</v>
      </c>
      <c r="AX251" s="9"/>
      <c r="AY251" s="21">
        <v>1.1135900000000001</v>
      </c>
      <c r="AZ251" s="21">
        <v>30.164400000000001</v>
      </c>
      <c r="BA251" s="21">
        <v>-1.4804100000000001E-2</v>
      </c>
      <c r="BB251" s="21">
        <v>241</v>
      </c>
      <c r="BC251" s="21">
        <v>1.11267</v>
      </c>
      <c r="BD251">
        <f t="shared" si="46"/>
        <v>18.276666666666667</v>
      </c>
      <c r="BE251">
        <f t="shared" si="47"/>
        <v>20.352713233333336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0.60150099999999995</v>
      </c>
      <c r="H252" s="21">
        <v>7.5155000000000003</v>
      </c>
      <c r="I252" s="21">
        <v>-1.50055E-2</v>
      </c>
      <c r="J252" s="21">
        <v>242</v>
      </c>
      <c r="K252" s="21">
        <v>0.60089099999999995</v>
      </c>
      <c r="L252">
        <f t="shared" si="36"/>
        <v>18.525308641975307</v>
      </c>
      <c r="M252">
        <f t="shared" si="37"/>
        <v>11.142991673456789</v>
      </c>
      <c r="N252" s="9"/>
      <c r="O252" s="21">
        <v>1.1186199999999999</v>
      </c>
      <c r="P252" s="21">
        <v>11.375</v>
      </c>
      <c r="Q252" s="21">
        <v>-1.4843800000000001E-2</v>
      </c>
      <c r="R252" s="21">
        <v>242</v>
      </c>
      <c r="S252" s="21">
        <v>1.11755</v>
      </c>
      <c r="T252">
        <f t="shared" si="38"/>
        <v>18.325679012345677</v>
      </c>
      <c r="U252">
        <f t="shared" si="39"/>
        <v>20.499471056790121</v>
      </c>
      <c r="X252" s="9"/>
      <c r="Y252" s="21">
        <v>0.60150099999999995</v>
      </c>
      <c r="Z252" s="21">
        <v>16.930700000000002</v>
      </c>
      <c r="AA252" s="21">
        <v>-1.5042099999999999E-2</v>
      </c>
      <c r="AB252" s="21">
        <v>242</v>
      </c>
      <c r="AC252" s="21">
        <v>0.60092199999999996</v>
      </c>
      <c r="AD252">
        <f t="shared" si="40"/>
        <v>18.570493827160494</v>
      </c>
      <c r="AE252">
        <f t="shared" si="41"/>
        <v>11.170170607530864</v>
      </c>
      <c r="AF252" s="9"/>
      <c r="AG252" s="21">
        <v>1.1186199999999999</v>
      </c>
      <c r="AH252" s="21">
        <v>20.790199999999999</v>
      </c>
      <c r="AI252" s="21">
        <v>-1.48621E-2</v>
      </c>
      <c r="AJ252" s="21">
        <v>242</v>
      </c>
      <c r="AK252" s="21">
        <v>1.11755</v>
      </c>
      <c r="AL252">
        <f t="shared" si="42"/>
        <v>18.348271604938269</v>
      </c>
      <c r="AM252">
        <f t="shared" si="43"/>
        <v>20.524743582716045</v>
      </c>
      <c r="AP252" s="9"/>
      <c r="AQ252" s="21">
        <v>0.60150099999999995</v>
      </c>
      <c r="AR252" s="21">
        <v>26.314900000000002</v>
      </c>
      <c r="AS252" s="21">
        <v>-1.50116E-2</v>
      </c>
      <c r="AT252" s="21">
        <v>242</v>
      </c>
      <c r="AU252" s="21">
        <v>0.60092199999999996</v>
      </c>
      <c r="AV252">
        <f t="shared" si="44"/>
        <v>18.532839506172838</v>
      </c>
      <c r="AW252">
        <f t="shared" si="45"/>
        <v>11.147521495802467</v>
      </c>
      <c r="AX252" s="9"/>
      <c r="AY252" s="21">
        <v>1.1186199999999999</v>
      </c>
      <c r="AZ252" s="21">
        <v>30.174399999999999</v>
      </c>
      <c r="BA252" s="21">
        <v>-1.4804100000000001E-2</v>
      </c>
      <c r="BB252" s="21">
        <v>242</v>
      </c>
      <c r="BC252" s="21">
        <v>1.1178600000000001</v>
      </c>
      <c r="BD252">
        <f t="shared" si="46"/>
        <v>18.276666666666667</v>
      </c>
      <c r="BE252">
        <f t="shared" si="47"/>
        <v>20.444644866666668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0.59646600000000005</v>
      </c>
      <c r="H253" s="21">
        <v>7.5255799999999997</v>
      </c>
      <c r="I253" s="21">
        <v>-1.50116E-2</v>
      </c>
      <c r="J253" s="21">
        <v>243</v>
      </c>
      <c r="K253" s="21">
        <v>0.59582500000000005</v>
      </c>
      <c r="L253">
        <f t="shared" si="36"/>
        <v>18.532839506172838</v>
      </c>
      <c r="M253">
        <f t="shared" si="37"/>
        <v>11.054208648888888</v>
      </c>
      <c r="N253" s="9"/>
      <c r="O253" s="21">
        <v>1.1236600000000001</v>
      </c>
      <c r="P253" s="21">
        <v>11.3851</v>
      </c>
      <c r="Q253" s="21">
        <v>-1.48407E-2</v>
      </c>
      <c r="R253" s="21">
        <v>243</v>
      </c>
      <c r="S253" s="21">
        <v>1.1230500000000001</v>
      </c>
      <c r="T253">
        <f t="shared" si="38"/>
        <v>18.32185185185185</v>
      </c>
      <c r="U253">
        <f t="shared" si="39"/>
        <v>20.587532051851852</v>
      </c>
      <c r="X253" s="9"/>
      <c r="Y253" s="21">
        <v>0.59646600000000005</v>
      </c>
      <c r="Z253" s="21">
        <v>16.940799999999999</v>
      </c>
      <c r="AA253" s="21">
        <v>-1.50513E-2</v>
      </c>
      <c r="AB253" s="21">
        <v>243</v>
      </c>
      <c r="AC253" s="21">
        <v>0.59579499999999996</v>
      </c>
      <c r="AD253">
        <f t="shared" si="40"/>
        <v>18.581851851851848</v>
      </c>
      <c r="AE253">
        <f t="shared" si="41"/>
        <v>11.083442846666665</v>
      </c>
      <c r="AF253" s="9"/>
      <c r="AG253" s="21">
        <v>1.1236600000000001</v>
      </c>
      <c r="AH253" s="21">
        <v>20.8003</v>
      </c>
      <c r="AI253" s="21">
        <v>-1.4859000000000001E-2</v>
      </c>
      <c r="AJ253" s="21">
        <v>243</v>
      </c>
      <c r="AK253" s="21">
        <v>1.1233500000000001</v>
      </c>
      <c r="AL253">
        <f t="shared" si="42"/>
        <v>18.344444444444445</v>
      </c>
      <c r="AM253">
        <f t="shared" si="43"/>
        <v>20.612918444444446</v>
      </c>
      <c r="AP253" s="9"/>
      <c r="AQ253" s="21">
        <v>0.59646600000000005</v>
      </c>
      <c r="AR253" s="21">
        <v>26.324999999999999</v>
      </c>
      <c r="AS253" s="21">
        <v>-1.5014599999999999E-2</v>
      </c>
      <c r="AT253" s="21">
        <v>243</v>
      </c>
      <c r="AU253" s="21">
        <v>0.59582500000000005</v>
      </c>
      <c r="AV253">
        <f t="shared" si="44"/>
        <v>18.536543209876541</v>
      </c>
      <c r="AW253">
        <f t="shared" si="45"/>
        <v>11.056417782222223</v>
      </c>
      <c r="AX253" s="9"/>
      <c r="AY253" s="21">
        <v>1.1236600000000001</v>
      </c>
      <c r="AZ253" s="21">
        <v>30.1845</v>
      </c>
      <c r="BA253" s="21">
        <v>-1.4804100000000001E-2</v>
      </c>
      <c r="BB253" s="21">
        <v>243</v>
      </c>
      <c r="BC253" s="21">
        <v>1.1227400000000001</v>
      </c>
      <c r="BD253">
        <f t="shared" si="46"/>
        <v>18.276666666666667</v>
      </c>
      <c r="BE253">
        <f t="shared" si="47"/>
        <v>20.536759266666671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0.59143100000000004</v>
      </c>
      <c r="H254" s="21">
        <v>7.5356500000000004</v>
      </c>
      <c r="I254" s="21">
        <v>-1.50055E-2</v>
      </c>
      <c r="J254" s="21">
        <v>244</v>
      </c>
      <c r="K254" s="21">
        <v>0.59075900000000003</v>
      </c>
      <c r="L254">
        <f t="shared" si="36"/>
        <v>18.525308641975307</v>
      </c>
      <c r="M254">
        <f t="shared" si="37"/>
        <v>10.956441815432099</v>
      </c>
      <c r="N254" s="9"/>
      <c r="O254" s="21">
        <v>1.12869</v>
      </c>
      <c r="P254" s="21">
        <v>11.395099999999999</v>
      </c>
      <c r="Q254" s="21">
        <v>-1.4837599999999999E-2</v>
      </c>
      <c r="R254" s="21">
        <v>244</v>
      </c>
      <c r="S254" s="21">
        <v>1.1285400000000001</v>
      </c>
      <c r="T254">
        <f t="shared" si="38"/>
        <v>18.318024691358023</v>
      </c>
      <c r="U254">
        <f t="shared" si="39"/>
        <v>20.675371288888886</v>
      </c>
      <c r="X254" s="9"/>
      <c r="Y254" s="21">
        <v>0.59143100000000004</v>
      </c>
      <c r="Z254" s="21">
        <v>16.950900000000001</v>
      </c>
      <c r="AA254" s="21">
        <v>-1.50543E-2</v>
      </c>
      <c r="AB254" s="21">
        <v>244</v>
      </c>
      <c r="AC254" s="21">
        <v>0.59079000000000004</v>
      </c>
      <c r="AD254">
        <f t="shared" si="40"/>
        <v>18.585555555555555</v>
      </c>
      <c r="AE254">
        <f t="shared" si="41"/>
        <v>10.992073707777777</v>
      </c>
      <c r="AF254" s="9"/>
      <c r="AG254" s="21">
        <v>1.12869</v>
      </c>
      <c r="AH254" s="21">
        <v>20.810300000000002</v>
      </c>
      <c r="AI254" s="21">
        <v>-1.4849899999999999E-2</v>
      </c>
      <c r="AJ254" s="21">
        <v>244</v>
      </c>
      <c r="AK254" s="21">
        <v>1.1282300000000001</v>
      </c>
      <c r="AL254">
        <f t="shared" si="42"/>
        <v>18.333209876543208</v>
      </c>
      <c r="AM254">
        <f t="shared" si="43"/>
        <v>20.692510655555552</v>
      </c>
      <c r="AP254" s="9"/>
      <c r="AQ254" s="21">
        <v>0.59143100000000004</v>
      </c>
      <c r="AR254" s="21">
        <v>26.335100000000001</v>
      </c>
      <c r="AS254" s="21">
        <v>-1.5014599999999999E-2</v>
      </c>
      <c r="AT254" s="21">
        <v>244</v>
      </c>
      <c r="AU254" s="21">
        <v>0.59085100000000002</v>
      </c>
      <c r="AV254">
        <f t="shared" si="44"/>
        <v>18.536543209876541</v>
      </c>
      <c r="AW254">
        <f t="shared" si="45"/>
        <v>10.963086287160493</v>
      </c>
      <c r="AX254" s="9"/>
      <c r="AY254" s="21">
        <v>1.12869</v>
      </c>
      <c r="AZ254" s="21">
        <v>30.194600000000001</v>
      </c>
      <c r="BA254" s="21">
        <v>-1.4816299999999999E-2</v>
      </c>
      <c r="BB254" s="21">
        <v>244</v>
      </c>
      <c r="BC254" s="21">
        <v>1.1276200000000001</v>
      </c>
      <c r="BD254">
        <f t="shared" si="46"/>
        <v>18.291728395061728</v>
      </c>
      <c r="BE254">
        <f t="shared" si="47"/>
        <v>20.645690922222222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0.586395</v>
      </c>
      <c r="H255" s="21">
        <v>7.5457200000000002</v>
      </c>
      <c r="I255" s="21">
        <v>-1.4996300000000001E-2</v>
      </c>
      <c r="J255" s="21">
        <v>245</v>
      </c>
      <c r="K255" s="21">
        <v>0.58572400000000002</v>
      </c>
      <c r="L255">
        <f t="shared" si="36"/>
        <v>18.51395061728395</v>
      </c>
      <c r="M255">
        <f t="shared" si="37"/>
        <v>10.856488072222222</v>
      </c>
      <c r="N255" s="9"/>
      <c r="O255" s="21">
        <v>1.1337299999999999</v>
      </c>
      <c r="P255" s="21">
        <v>11.405200000000001</v>
      </c>
      <c r="Q255" s="21">
        <v>-1.48285E-2</v>
      </c>
      <c r="R255" s="21">
        <v>245</v>
      </c>
      <c r="S255" s="21">
        <v>1.1322000000000001</v>
      </c>
      <c r="T255">
        <f t="shared" si="38"/>
        <v>18.306790123456789</v>
      </c>
      <c r="U255">
        <f t="shared" si="39"/>
        <v>20.754957166666664</v>
      </c>
      <c r="X255" s="9"/>
      <c r="Y255" s="21">
        <v>0.586395</v>
      </c>
      <c r="Z255" s="21">
        <v>16.960899999999999</v>
      </c>
      <c r="AA255" s="21">
        <v>-1.50513E-2</v>
      </c>
      <c r="AB255" s="21">
        <v>245</v>
      </c>
      <c r="AC255" s="21">
        <v>0.58581499999999997</v>
      </c>
      <c r="AD255">
        <f t="shared" si="40"/>
        <v>18.581851851851848</v>
      </c>
      <c r="AE255">
        <f t="shared" si="41"/>
        <v>10.896305016666664</v>
      </c>
      <c r="AF255" s="9"/>
      <c r="AG255" s="21">
        <v>1.1337299999999999</v>
      </c>
      <c r="AH255" s="21">
        <v>20.820399999999999</v>
      </c>
      <c r="AI255" s="21">
        <v>-1.48468E-2</v>
      </c>
      <c r="AJ255" s="21">
        <v>245</v>
      </c>
      <c r="AK255" s="21">
        <v>1.1331199999999999</v>
      </c>
      <c r="AL255">
        <f t="shared" si="42"/>
        <v>18.329382716049381</v>
      </c>
      <c r="AM255">
        <f t="shared" si="43"/>
        <v>20.780571066666663</v>
      </c>
      <c r="AP255" s="9"/>
      <c r="AQ255" s="21">
        <v>0.586395</v>
      </c>
      <c r="AR255" s="21">
        <v>26.345199999999998</v>
      </c>
      <c r="AS255" s="21">
        <v>-1.50116E-2</v>
      </c>
      <c r="AT255" s="21">
        <v>245</v>
      </c>
      <c r="AU255" s="21">
        <v>0.58581499999999997</v>
      </c>
      <c r="AV255">
        <f t="shared" si="44"/>
        <v>18.532839506172838</v>
      </c>
      <c r="AW255">
        <f t="shared" si="45"/>
        <v>10.867564422222221</v>
      </c>
      <c r="AX255" s="9"/>
      <c r="AY255" s="21">
        <v>1.1337299999999999</v>
      </c>
      <c r="AZ255" s="21">
        <v>30.204599999999999</v>
      </c>
      <c r="BA255" s="21">
        <v>-1.4825400000000001E-2</v>
      </c>
      <c r="BB255" s="21">
        <v>245</v>
      </c>
      <c r="BC255" s="21">
        <v>1.1334200000000001</v>
      </c>
      <c r="BD255">
        <f t="shared" si="46"/>
        <v>18.302962962962962</v>
      </c>
      <c r="BE255">
        <f t="shared" si="47"/>
        <v>20.750618199999998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0.58135999999999999</v>
      </c>
      <c r="H256" s="21">
        <v>7.55579</v>
      </c>
      <c r="I256" s="21">
        <v>-1.4993299999999999E-2</v>
      </c>
      <c r="J256" s="21">
        <v>246</v>
      </c>
      <c r="K256" s="21">
        <v>0.58071899999999999</v>
      </c>
      <c r="L256">
        <f t="shared" si="36"/>
        <v>18.510246913580243</v>
      </c>
      <c r="M256">
        <f t="shared" si="37"/>
        <v>10.761117145679011</v>
      </c>
      <c r="N256" s="9"/>
      <c r="O256" s="21">
        <v>1.13876</v>
      </c>
      <c r="P256" s="21">
        <v>11.4153</v>
      </c>
      <c r="Q256" s="21">
        <v>-1.4819300000000001E-2</v>
      </c>
      <c r="R256" s="21">
        <v>246</v>
      </c>
      <c r="S256" s="21">
        <v>1.1383099999999999</v>
      </c>
      <c r="T256">
        <f t="shared" si="38"/>
        <v>18.295432098765431</v>
      </c>
      <c r="U256">
        <f t="shared" si="39"/>
        <v>20.834106256790122</v>
      </c>
      <c r="X256" s="9"/>
      <c r="Y256" s="21">
        <v>0.58135999999999999</v>
      </c>
      <c r="Z256" s="21">
        <v>16.971</v>
      </c>
      <c r="AA256" s="21">
        <v>-1.5036000000000001E-2</v>
      </c>
      <c r="AB256" s="21">
        <v>246</v>
      </c>
      <c r="AC256" s="21">
        <v>0.58065800000000001</v>
      </c>
      <c r="AD256">
        <f t="shared" si="40"/>
        <v>18.562962962962963</v>
      </c>
      <c r="AE256">
        <f t="shared" si="41"/>
        <v>10.791764148148149</v>
      </c>
      <c r="AF256" s="9"/>
      <c r="AG256" s="21">
        <v>1.13876</v>
      </c>
      <c r="AH256" s="21">
        <v>20.830500000000001</v>
      </c>
      <c r="AI256" s="21">
        <v>-1.4849899999999999E-2</v>
      </c>
      <c r="AJ256" s="21">
        <v>246</v>
      </c>
      <c r="AK256" s="21">
        <v>1.1376999999999999</v>
      </c>
      <c r="AL256">
        <f t="shared" si="42"/>
        <v>18.333209876543208</v>
      </c>
      <c r="AM256">
        <f t="shared" si="43"/>
        <v>20.877126079012342</v>
      </c>
      <c r="AP256" s="9"/>
      <c r="AQ256" s="21">
        <v>0.58135999999999999</v>
      </c>
      <c r="AR256" s="21">
        <v>26.3552</v>
      </c>
      <c r="AS256" s="21">
        <v>-1.50055E-2</v>
      </c>
      <c r="AT256" s="21">
        <v>246</v>
      </c>
      <c r="AU256" s="21">
        <v>0.58074999999999999</v>
      </c>
      <c r="AV256">
        <f t="shared" si="44"/>
        <v>18.525308641975307</v>
      </c>
      <c r="AW256">
        <f t="shared" si="45"/>
        <v>10.769873432098764</v>
      </c>
      <c r="AX256" s="9"/>
      <c r="AY256" s="21">
        <v>1.13876</v>
      </c>
      <c r="AZ256" s="21">
        <v>30.214700000000001</v>
      </c>
      <c r="BA256" s="21">
        <v>-1.48346E-2</v>
      </c>
      <c r="BB256" s="21">
        <v>246</v>
      </c>
      <c r="BC256" s="21">
        <v>1.1383099999999999</v>
      </c>
      <c r="BD256">
        <f t="shared" si="46"/>
        <v>18.31432098765432</v>
      </c>
      <c r="BE256">
        <f t="shared" si="47"/>
        <v>20.855616167901232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0.57632399999999995</v>
      </c>
      <c r="H257" s="21">
        <v>7.5658599999999998</v>
      </c>
      <c r="I257" s="21">
        <v>-1.5002400000000001E-2</v>
      </c>
      <c r="J257" s="21">
        <v>247</v>
      </c>
      <c r="K257" s="21">
        <v>0.57571399999999995</v>
      </c>
      <c r="L257">
        <f t="shared" si="36"/>
        <v>18.521481481481484</v>
      </c>
      <c r="M257">
        <f t="shared" si="37"/>
        <v>10.674374293333333</v>
      </c>
      <c r="N257" s="9"/>
      <c r="O257" s="21">
        <v>1.1437999999999999</v>
      </c>
      <c r="P257" s="21">
        <v>11.4253</v>
      </c>
      <c r="Q257" s="21">
        <v>-1.4810200000000001E-2</v>
      </c>
      <c r="R257" s="21">
        <v>247</v>
      </c>
      <c r="S257" s="21">
        <v>1.1425799999999999</v>
      </c>
      <c r="T257">
        <f t="shared" si="38"/>
        <v>18.284197530864198</v>
      </c>
      <c r="U257">
        <f t="shared" si="39"/>
        <v>20.913465135802468</v>
      </c>
      <c r="X257" s="9"/>
      <c r="Y257" s="21">
        <v>0.57632399999999995</v>
      </c>
      <c r="Z257" s="21">
        <v>16.981100000000001</v>
      </c>
      <c r="AA257" s="21">
        <v>-1.5029900000000001E-2</v>
      </c>
      <c r="AB257" s="21">
        <v>247</v>
      </c>
      <c r="AC257" s="21">
        <v>0.57571399999999995</v>
      </c>
      <c r="AD257">
        <f t="shared" si="40"/>
        <v>18.555432098765429</v>
      </c>
      <c r="AE257">
        <f t="shared" si="41"/>
        <v>10.693940848888886</v>
      </c>
      <c r="AF257" s="9"/>
      <c r="AG257" s="21">
        <v>1.1437999999999999</v>
      </c>
      <c r="AH257" s="21">
        <v>20.840499999999999</v>
      </c>
      <c r="AI257" s="21">
        <v>-1.48529E-2</v>
      </c>
      <c r="AJ257" s="21">
        <v>247</v>
      </c>
      <c r="AK257" s="21">
        <v>1.1431899999999999</v>
      </c>
      <c r="AL257">
        <f t="shared" si="42"/>
        <v>18.336913580246915</v>
      </c>
      <c r="AM257">
        <f t="shared" si="43"/>
        <v>20.973761753086418</v>
      </c>
      <c r="AP257" s="9"/>
      <c r="AQ257" s="21">
        <v>0.57632399999999995</v>
      </c>
      <c r="AR257" s="21">
        <v>26.365300000000001</v>
      </c>
      <c r="AS257" s="21">
        <v>-1.5008499999999999E-2</v>
      </c>
      <c r="AT257" s="21">
        <v>247</v>
      </c>
      <c r="AU257" s="21">
        <v>0.57574499999999995</v>
      </c>
      <c r="AV257">
        <f t="shared" si="44"/>
        <v>18.529012345679011</v>
      </c>
      <c r="AW257">
        <f t="shared" si="45"/>
        <v>10.678714511111108</v>
      </c>
      <c r="AX257" s="9"/>
      <c r="AY257" s="21">
        <v>1.1437999999999999</v>
      </c>
      <c r="AZ257" s="21">
        <v>30.224799999999998</v>
      </c>
      <c r="BA257" s="21">
        <v>-1.4837599999999999E-2</v>
      </c>
      <c r="BB257" s="21">
        <v>247</v>
      </c>
      <c r="BC257" s="21">
        <v>1.1431899999999999</v>
      </c>
      <c r="BD257">
        <f t="shared" si="46"/>
        <v>18.318024691358023</v>
      </c>
      <c r="BE257">
        <f t="shared" si="47"/>
        <v>20.952156641975304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0.57128900000000005</v>
      </c>
      <c r="H258" s="21">
        <v>7.5759299999999996</v>
      </c>
      <c r="I258" s="21">
        <v>-1.50177E-2</v>
      </c>
      <c r="J258" s="21">
        <v>248</v>
      </c>
      <c r="K258" s="21">
        <v>0.57064800000000004</v>
      </c>
      <c r="L258">
        <f t="shared" si="36"/>
        <v>18.540370370370372</v>
      </c>
      <c r="M258">
        <f t="shared" si="37"/>
        <v>10.59190964851852</v>
      </c>
      <c r="N258" s="9"/>
      <c r="O258" s="21">
        <v>1.14883</v>
      </c>
      <c r="P258" s="21">
        <v>11.4354</v>
      </c>
      <c r="Q258" s="21">
        <v>-1.4801E-2</v>
      </c>
      <c r="R258" s="21">
        <v>248</v>
      </c>
      <c r="S258" s="21">
        <v>1.14838</v>
      </c>
      <c r="T258">
        <f t="shared" si="38"/>
        <v>18.27283950617284</v>
      </c>
      <c r="U258">
        <f t="shared" si="39"/>
        <v>20.992386209876543</v>
      </c>
      <c r="X258" s="9"/>
      <c r="Y258" s="21">
        <v>0.57128900000000005</v>
      </c>
      <c r="Z258" s="21">
        <v>16.991099999999999</v>
      </c>
      <c r="AA258" s="21">
        <v>-1.5029900000000001E-2</v>
      </c>
      <c r="AB258" s="21">
        <v>248</v>
      </c>
      <c r="AC258" s="21">
        <v>0.57061799999999996</v>
      </c>
      <c r="AD258">
        <f t="shared" si="40"/>
        <v>18.555432098765429</v>
      </c>
      <c r="AE258">
        <f t="shared" si="41"/>
        <v>10.600514248271605</v>
      </c>
      <c r="AF258" s="9"/>
      <c r="AG258" s="21">
        <v>1.14883</v>
      </c>
      <c r="AH258" s="21">
        <v>20.8506</v>
      </c>
      <c r="AI258" s="21">
        <v>-1.48468E-2</v>
      </c>
      <c r="AJ258" s="21">
        <v>248</v>
      </c>
      <c r="AK258" s="21">
        <v>1.14838</v>
      </c>
      <c r="AL258">
        <f t="shared" si="42"/>
        <v>18.329382716049381</v>
      </c>
      <c r="AM258">
        <f t="shared" si="43"/>
        <v>21.057344745679011</v>
      </c>
      <c r="AP258" s="9"/>
      <c r="AQ258" s="21">
        <v>0.57128900000000005</v>
      </c>
      <c r="AR258" s="21">
        <v>26.375399999999999</v>
      </c>
      <c r="AS258" s="21">
        <v>-1.50055E-2</v>
      </c>
      <c r="AT258" s="21">
        <v>248</v>
      </c>
      <c r="AU258" s="21">
        <v>0.57061799999999996</v>
      </c>
      <c r="AV258">
        <f t="shared" si="44"/>
        <v>18.525308641975307</v>
      </c>
      <c r="AW258">
        <f t="shared" si="45"/>
        <v>10.583305048765432</v>
      </c>
      <c r="AX258" s="9"/>
      <c r="AY258" s="21">
        <v>1.14883</v>
      </c>
      <c r="AZ258" s="21">
        <v>30.2349</v>
      </c>
      <c r="BA258" s="21">
        <v>-1.48285E-2</v>
      </c>
      <c r="BB258" s="21">
        <v>248</v>
      </c>
      <c r="BC258" s="21">
        <v>1.1480699999999999</v>
      </c>
      <c r="BD258">
        <f t="shared" si="46"/>
        <v>18.306790123456789</v>
      </c>
      <c r="BE258">
        <f t="shared" si="47"/>
        <v>21.031389697530862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0.56625400000000004</v>
      </c>
      <c r="H259" s="21">
        <v>7.5860000000000003</v>
      </c>
      <c r="I259" s="21">
        <v>-1.5032999999999999E-2</v>
      </c>
      <c r="J259" s="21">
        <v>249</v>
      </c>
      <c r="K259" s="21">
        <v>0.56555200000000005</v>
      </c>
      <c r="L259">
        <f t="shared" si="36"/>
        <v>18.559259259259257</v>
      </c>
      <c r="M259">
        <f t="shared" si="37"/>
        <v>10.509254792592591</v>
      </c>
      <c r="N259" s="9"/>
      <c r="O259" s="21">
        <v>1.15387</v>
      </c>
      <c r="P259" s="21">
        <v>11.445499999999999</v>
      </c>
      <c r="Q259" s="21">
        <v>-1.4782699999999999E-2</v>
      </c>
      <c r="R259" s="21">
        <v>249</v>
      </c>
      <c r="S259" s="21">
        <v>1.1529499999999999</v>
      </c>
      <c r="T259">
        <f t="shared" si="38"/>
        <v>18.250246913580245</v>
      </c>
      <c r="U259">
        <f t="shared" si="39"/>
        <v>21.058412406172835</v>
      </c>
      <c r="X259" s="9"/>
      <c r="Y259" s="21">
        <v>0.56625400000000004</v>
      </c>
      <c r="Z259" s="21">
        <v>17.001200000000001</v>
      </c>
      <c r="AA259" s="21">
        <v>-1.5020800000000001E-2</v>
      </c>
      <c r="AB259" s="21">
        <v>249</v>
      </c>
      <c r="AC259" s="21">
        <v>0.56558200000000003</v>
      </c>
      <c r="AD259">
        <f t="shared" si="40"/>
        <v>18.544197530864199</v>
      </c>
      <c r="AE259">
        <f t="shared" si="41"/>
        <v>10.500726028641976</v>
      </c>
      <c r="AF259" s="9"/>
      <c r="AG259" s="21">
        <v>1.15387</v>
      </c>
      <c r="AH259" s="21">
        <v>20.860700000000001</v>
      </c>
      <c r="AI259" s="21">
        <v>-1.4843800000000001E-2</v>
      </c>
      <c r="AJ259" s="21">
        <v>249</v>
      </c>
      <c r="AK259" s="21">
        <v>1.15265</v>
      </c>
      <c r="AL259">
        <f t="shared" si="42"/>
        <v>18.325679012345677</v>
      </c>
      <c r="AM259">
        <f t="shared" si="43"/>
        <v>21.145451241975305</v>
      </c>
      <c r="AP259" s="9"/>
      <c r="AQ259" s="21">
        <v>0.56625400000000004</v>
      </c>
      <c r="AR259" s="21">
        <v>26.385400000000001</v>
      </c>
      <c r="AS259" s="21">
        <v>-1.49841E-2</v>
      </c>
      <c r="AT259" s="21">
        <v>249</v>
      </c>
      <c r="AU259" s="21">
        <v>0.56558200000000003</v>
      </c>
      <c r="AV259">
        <f t="shared" si="44"/>
        <v>18.498888888888889</v>
      </c>
      <c r="AW259">
        <f t="shared" si="45"/>
        <v>10.475069828888889</v>
      </c>
      <c r="AX259" s="9"/>
      <c r="AY259" s="21">
        <v>1.15387</v>
      </c>
      <c r="AZ259" s="21">
        <v>30.244900000000001</v>
      </c>
      <c r="BA259" s="21">
        <v>-1.4810200000000001E-2</v>
      </c>
      <c r="BB259" s="21">
        <v>249</v>
      </c>
      <c r="BC259" s="21">
        <v>1.15326</v>
      </c>
      <c r="BD259">
        <f t="shared" si="46"/>
        <v>18.284197530864198</v>
      </c>
      <c r="BE259">
        <f t="shared" si="47"/>
        <v>21.097587004938269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0.56121799999999999</v>
      </c>
      <c r="H260" s="21">
        <v>7.5960700000000001</v>
      </c>
      <c r="I260" s="21">
        <v>-1.50513E-2</v>
      </c>
      <c r="J260" s="21">
        <v>250</v>
      </c>
      <c r="K260" s="21">
        <v>0.56054700000000002</v>
      </c>
      <c r="L260">
        <f t="shared" si="36"/>
        <v>18.581851851851848</v>
      </c>
      <c r="M260">
        <f t="shared" si="37"/>
        <v>10.428469732592591</v>
      </c>
      <c r="N260" s="9"/>
      <c r="O260" s="21">
        <v>1.1589100000000001</v>
      </c>
      <c r="P260" s="21">
        <v>11.455500000000001</v>
      </c>
      <c r="Q260" s="21">
        <v>-1.47736E-2</v>
      </c>
      <c r="R260" s="21">
        <v>250</v>
      </c>
      <c r="S260" s="21">
        <v>1.15845</v>
      </c>
      <c r="T260">
        <f t="shared" si="38"/>
        <v>18.239012345679011</v>
      </c>
      <c r="U260">
        <f t="shared" si="39"/>
        <v>21.137373797530866</v>
      </c>
      <c r="X260" s="9"/>
      <c r="Y260" s="21">
        <v>0.56121799999999999</v>
      </c>
      <c r="Z260" s="21">
        <v>17.011299999999999</v>
      </c>
      <c r="AA260" s="21">
        <v>-1.5008499999999999E-2</v>
      </c>
      <c r="AB260" s="21">
        <v>250</v>
      </c>
      <c r="AC260" s="21">
        <v>0.560608</v>
      </c>
      <c r="AD260">
        <f t="shared" si="40"/>
        <v>18.529012345679011</v>
      </c>
      <c r="AE260">
        <f t="shared" si="41"/>
        <v>10.398815250617282</v>
      </c>
      <c r="AF260" s="9"/>
      <c r="AG260" s="21">
        <v>1.1589100000000001</v>
      </c>
      <c r="AH260" s="21">
        <v>20.870799999999999</v>
      </c>
      <c r="AI260" s="21">
        <v>-1.48285E-2</v>
      </c>
      <c r="AJ260" s="21">
        <v>250</v>
      </c>
      <c r="AK260" s="21">
        <v>1.15784</v>
      </c>
      <c r="AL260">
        <f t="shared" si="42"/>
        <v>18.306790123456789</v>
      </c>
      <c r="AM260">
        <f t="shared" si="43"/>
        <v>21.215922141975309</v>
      </c>
      <c r="AP260" s="9"/>
      <c r="AQ260" s="21">
        <v>0.56121799999999999</v>
      </c>
      <c r="AR260" s="21">
        <v>26.395499999999998</v>
      </c>
      <c r="AS260" s="21">
        <v>-1.4981100000000001E-2</v>
      </c>
      <c r="AT260" s="21">
        <v>250</v>
      </c>
      <c r="AU260" s="21">
        <v>0.56054700000000002</v>
      </c>
      <c r="AV260">
        <f t="shared" si="44"/>
        <v>18.495185185185186</v>
      </c>
      <c r="AW260">
        <f t="shared" si="45"/>
        <v>10.37983083925926</v>
      </c>
      <c r="AX260" s="9"/>
      <c r="AY260" s="21">
        <v>1.1589100000000001</v>
      </c>
      <c r="AZ260" s="21">
        <v>30.254999999999999</v>
      </c>
      <c r="BA260" s="21">
        <v>-1.47888E-2</v>
      </c>
      <c r="BB260" s="21">
        <v>250</v>
      </c>
      <c r="BC260" s="21">
        <v>1.15784</v>
      </c>
      <c r="BD260">
        <f t="shared" si="46"/>
        <v>18.257777777777775</v>
      </c>
      <c r="BE260">
        <f t="shared" si="47"/>
        <v>21.159121244444442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0.55618299999999998</v>
      </c>
      <c r="H261" s="21">
        <v>7.6061399999999999</v>
      </c>
      <c r="I261" s="21">
        <v>-1.5048199999999999E-2</v>
      </c>
      <c r="J261" s="21">
        <v>251</v>
      </c>
      <c r="K261" s="21">
        <v>0.55551099999999998</v>
      </c>
      <c r="L261">
        <f t="shared" si="36"/>
        <v>18.578024691358021</v>
      </c>
      <c r="M261">
        <f t="shared" si="37"/>
        <v>10.332781506913578</v>
      </c>
      <c r="N261" s="9"/>
      <c r="O261" s="21">
        <v>1.16394</v>
      </c>
      <c r="P261" s="21">
        <v>11.4656</v>
      </c>
      <c r="Q261" s="21">
        <v>-1.4770500000000001E-2</v>
      </c>
      <c r="R261" s="21">
        <v>251</v>
      </c>
      <c r="S261" s="21">
        <v>1.1630199999999999</v>
      </c>
      <c r="T261">
        <f t="shared" si="38"/>
        <v>18.235185185185184</v>
      </c>
      <c r="U261">
        <f t="shared" si="39"/>
        <v>21.224661444444443</v>
      </c>
      <c r="X261" s="9"/>
      <c r="Y261" s="21">
        <v>0.55618299999999998</v>
      </c>
      <c r="Z261" s="21">
        <v>17.0214</v>
      </c>
      <c r="AA261" s="21">
        <v>-1.5002400000000001E-2</v>
      </c>
      <c r="AB261" s="21">
        <v>251</v>
      </c>
      <c r="AC261" s="21">
        <v>0.55557299999999998</v>
      </c>
      <c r="AD261">
        <f t="shared" si="40"/>
        <v>18.521481481481484</v>
      </c>
      <c r="AE261">
        <f t="shared" si="41"/>
        <v>10.301333134814815</v>
      </c>
      <c r="AF261" s="9"/>
      <c r="AG261" s="21">
        <v>1.16394</v>
      </c>
      <c r="AH261" s="21">
        <v>20.880800000000001</v>
      </c>
      <c r="AI261" s="21">
        <v>-1.4810200000000001E-2</v>
      </c>
      <c r="AJ261" s="21">
        <v>251</v>
      </c>
      <c r="AK261" s="21">
        <v>1.1630199999999999</v>
      </c>
      <c r="AL261">
        <f t="shared" si="42"/>
        <v>18.284197530864198</v>
      </c>
      <c r="AM261">
        <f t="shared" si="43"/>
        <v>21.281708874074074</v>
      </c>
      <c r="AP261" s="9"/>
      <c r="AQ261" s="21">
        <v>0.55618299999999998</v>
      </c>
      <c r="AR261" s="21">
        <v>26.4056</v>
      </c>
      <c r="AS261" s="21">
        <v>-1.4981100000000001E-2</v>
      </c>
      <c r="AT261" s="21">
        <v>251</v>
      </c>
      <c r="AU261" s="21">
        <v>0.55554199999999998</v>
      </c>
      <c r="AV261">
        <f t="shared" si="44"/>
        <v>18.495185185185186</v>
      </c>
      <c r="AW261">
        <f t="shared" si="45"/>
        <v>10.286707581851852</v>
      </c>
      <c r="AX261" s="9"/>
      <c r="AY261" s="21">
        <v>1.16394</v>
      </c>
      <c r="AZ261" s="21">
        <v>30.2651</v>
      </c>
      <c r="BA261" s="21">
        <v>-1.4776600000000001E-2</v>
      </c>
      <c r="BB261" s="21">
        <v>251</v>
      </c>
      <c r="BC261" s="21">
        <v>1.1630199999999999</v>
      </c>
      <c r="BD261">
        <f t="shared" si="46"/>
        <v>18.242716049382715</v>
      </c>
      <c r="BE261">
        <f t="shared" si="47"/>
        <v>21.233426918518518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0.55114700000000005</v>
      </c>
      <c r="H262" s="21">
        <v>7.6162099999999997</v>
      </c>
      <c r="I262" s="21">
        <v>-1.50391E-2</v>
      </c>
      <c r="J262" s="21">
        <v>252</v>
      </c>
      <c r="K262" s="21">
        <v>0.55056799999999995</v>
      </c>
      <c r="L262">
        <f t="shared" si="36"/>
        <v>18.566790123456791</v>
      </c>
      <c r="M262">
        <f t="shared" si="37"/>
        <v>10.233030676172842</v>
      </c>
      <c r="N262" s="9"/>
      <c r="O262" s="21">
        <v>1.1689799999999999</v>
      </c>
      <c r="P262" s="21">
        <v>11.4757</v>
      </c>
      <c r="Q262" s="21">
        <v>-1.4767499999999999E-2</v>
      </c>
      <c r="R262" s="21">
        <v>252</v>
      </c>
      <c r="S262" s="21">
        <v>1.16791</v>
      </c>
      <c r="T262">
        <f t="shared" si="38"/>
        <v>18.231481481481481</v>
      </c>
      <c r="U262">
        <f t="shared" si="39"/>
        <v>21.312237222222219</v>
      </c>
      <c r="X262" s="9"/>
      <c r="Y262" s="21">
        <v>0.55114700000000005</v>
      </c>
      <c r="Z262" s="21">
        <v>17.031400000000001</v>
      </c>
      <c r="AA262" s="21">
        <v>-1.50116E-2</v>
      </c>
      <c r="AB262" s="21">
        <v>252</v>
      </c>
      <c r="AC262" s="21">
        <v>0.55047599999999997</v>
      </c>
      <c r="AD262">
        <f t="shared" si="40"/>
        <v>18.532839506172838</v>
      </c>
      <c r="AE262">
        <f t="shared" si="41"/>
        <v>10.214318895308642</v>
      </c>
      <c r="AF262" s="9"/>
      <c r="AG262" s="21">
        <v>1.1689799999999999</v>
      </c>
      <c r="AH262" s="21">
        <v>20.890899999999998</v>
      </c>
      <c r="AI262" s="21">
        <v>-1.48071E-2</v>
      </c>
      <c r="AJ262" s="21">
        <v>252</v>
      </c>
      <c r="AK262" s="21">
        <v>1.16791</v>
      </c>
      <c r="AL262">
        <f t="shared" si="42"/>
        <v>18.28037037037037</v>
      </c>
      <c r="AM262">
        <f t="shared" si="43"/>
        <v>21.369387355555553</v>
      </c>
      <c r="AP262" s="9"/>
      <c r="AQ262" s="21">
        <v>0.55114700000000005</v>
      </c>
      <c r="AR262" s="21">
        <v>26.415700000000001</v>
      </c>
      <c r="AS262" s="21">
        <v>-1.4975E-2</v>
      </c>
      <c r="AT262" s="21">
        <v>252</v>
      </c>
      <c r="AU262" s="21">
        <v>0.55050699999999997</v>
      </c>
      <c r="AV262">
        <f t="shared" si="44"/>
        <v>18.487654320987652</v>
      </c>
      <c r="AW262">
        <f t="shared" si="45"/>
        <v>10.189415216049381</v>
      </c>
      <c r="AX262" s="9"/>
      <c r="AY262" s="21">
        <v>1.1689799999999999</v>
      </c>
      <c r="AZ262" s="21">
        <v>30.275099999999998</v>
      </c>
      <c r="BA262" s="21">
        <v>-1.4770500000000001E-2</v>
      </c>
      <c r="BB262" s="21">
        <v>252</v>
      </c>
      <c r="BC262" s="21">
        <v>1.16821</v>
      </c>
      <c r="BD262">
        <f t="shared" si="46"/>
        <v>18.235185185185184</v>
      </c>
      <c r="BE262">
        <f t="shared" si="47"/>
        <v>21.316566777777776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0.54611200000000004</v>
      </c>
      <c r="H263" s="21">
        <v>7.62629</v>
      </c>
      <c r="I263" s="21">
        <v>-1.5032999999999999E-2</v>
      </c>
      <c r="J263" s="21">
        <v>253</v>
      </c>
      <c r="K263" s="21">
        <v>0.545319</v>
      </c>
      <c r="L263">
        <f t="shared" si="36"/>
        <v>18.559259259259257</v>
      </c>
      <c r="M263">
        <f t="shared" si="37"/>
        <v>10.135434192592593</v>
      </c>
      <c r="N263" s="9"/>
      <c r="O263" s="21">
        <v>1.17401</v>
      </c>
      <c r="P263" s="21">
        <v>11.485799999999999</v>
      </c>
      <c r="Q263" s="21">
        <v>-1.47644E-2</v>
      </c>
      <c r="R263" s="21">
        <v>253</v>
      </c>
      <c r="S263" s="21">
        <v>1.17249</v>
      </c>
      <c r="T263">
        <f t="shared" si="38"/>
        <v>18.227654320987654</v>
      </c>
      <c r="U263">
        <f t="shared" si="39"/>
        <v>21.399448449382714</v>
      </c>
      <c r="X263" s="9"/>
      <c r="Y263" s="21">
        <v>0.54611200000000004</v>
      </c>
      <c r="Z263" s="21">
        <v>17.041499999999999</v>
      </c>
      <c r="AA263" s="21">
        <v>-1.5029900000000001E-2</v>
      </c>
      <c r="AB263" s="21">
        <v>253</v>
      </c>
      <c r="AC263" s="21">
        <v>0.54550200000000004</v>
      </c>
      <c r="AD263">
        <f t="shared" si="40"/>
        <v>18.555432098765429</v>
      </c>
      <c r="AE263">
        <f t="shared" si="41"/>
        <v>10.133344134320987</v>
      </c>
      <c r="AF263" s="9"/>
      <c r="AG263" s="21">
        <v>1.17401</v>
      </c>
      <c r="AH263" s="21">
        <v>20.901</v>
      </c>
      <c r="AI263" s="21">
        <v>-1.4798E-2</v>
      </c>
      <c r="AJ263" s="21">
        <v>253</v>
      </c>
      <c r="AK263" s="21">
        <v>1.17249</v>
      </c>
      <c r="AL263">
        <f t="shared" si="42"/>
        <v>18.269135802469137</v>
      </c>
      <c r="AM263">
        <f t="shared" si="43"/>
        <v>21.448148123456793</v>
      </c>
      <c r="AP263" s="9"/>
      <c r="AQ263" s="21">
        <v>0.54611200000000004</v>
      </c>
      <c r="AR263" s="21">
        <v>26.425699999999999</v>
      </c>
      <c r="AS263" s="21">
        <v>-1.4975E-2</v>
      </c>
      <c r="AT263" s="21">
        <v>253</v>
      </c>
      <c r="AU263" s="21">
        <v>0.54544099999999995</v>
      </c>
      <c r="AV263">
        <f t="shared" si="44"/>
        <v>18.487654320987652</v>
      </c>
      <c r="AW263">
        <f t="shared" si="45"/>
        <v>10.096329876543209</v>
      </c>
      <c r="AX263" s="9"/>
      <c r="AY263" s="21">
        <v>1.17401</v>
      </c>
      <c r="AZ263" s="21">
        <v>30.2852</v>
      </c>
      <c r="BA263" s="21">
        <v>-1.47644E-2</v>
      </c>
      <c r="BB263" s="21">
        <v>253</v>
      </c>
      <c r="BC263" s="21">
        <v>1.1734</v>
      </c>
      <c r="BD263">
        <f t="shared" si="46"/>
        <v>18.227654320987654</v>
      </c>
      <c r="BE263">
        <f t="shared" si="47"/>
        <v>21.399448449382714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0.54107700000000003</v>
      </c>
      <c r="H264" s="21">
        <v>7.6363599999999998</v>
      </c>
      <c r="I264" s="21">
        <v>-1.50238E-2</v>
      </c>
      <c r="J264" s="21">
        <v>254</v>
      </c>
      <c r="K264" s="21">
        <v>0.54040500000000002</v>
      </c>
      <c r="L264">
        <f t="shared" si="36"/>
        <v>18.547901234567902</v>
      </c>
      <c r="M264">
        <f t="shared" si="37"/>
        <v>10.035842756296297</v>
      </c>
      <c r="N264" s="9"/>
      <c r="O264" s="21">
        <v>1.1790499999999999</v>
      </c>
      <c r="P264" s="21">
        <v>11.495799999999999</v>
      </c>
      <c r="Q264" s="21">
        <v>-1.47644E-2</v>
      </c>
      <c r="R264" s="21">
        <v>254</v>
      </c>
      <c r="S264" s="21">
        <v>1.17828</v>
      </c>
      <c r="T264">
        <f t="shared" si="38"/>
        <v>18.227654320987654</v>
      </c>
      <c r="U264">
        <f t="shared" si="39"/>
        <v>21.491315827160491</v>
      </c>
      <c r="X264" s="9"/>
      <c r="Y264" s="21">
        <v>0.54107700000000003</v>
      </c>
      <c r="Z264" s="21">
        <v>17.051600000000001</v>
      </c>
      <c r="AA264" s="21">
        <v>-1.5042099999999999E-2</v>
      </c>
      <c r="AB264" s="21">
        <v>254</v>
      </c>
      <c r="AC264" s="21">
        <v>0.54037500000000005</v>
      </c>
      <c r="AD264">
        <f t="shared" si="40"/>
        <v>18.570493827160494</v>
      </c>
      <c r="AE264">
        <f t="shared" si="41"/>
        <v>10.048067088518518</v>
      </c>
      <c r="AF264" s="9"/>
      <c r="AG264" s="21">
        <v>1.1790499999999999</v>
      </c>
      <c r="AH264" s="21">
        <v>20.911000000000001</v>
      </c>
      <c r="AI264" s="21">
        <v>-1.4798E-2</v>
      </c>
      <c r="AJ264" s="21">
        <v>254</v>
      </c>
      <c r="AK264" s="21">
        <v>1.17798</v>
      </c>
      <c r="AL264">
        <f t="shared" si="42"/>
        <v>18.269135802469137</v>
      </c>
      <c r="AM264">
        <f t="shared" si="43"/>
        <v>21.540224567901234</v>
      </c>
      <c r="AP264" s="9"/>
      <c r="AQ264" s="21">
        <v>0.54107700000000003</v>
      </c>
      <c r="AR264" s="21">
        <v>26.4358</v>
      </c>
      <c r="AS264" s="21">
        <v>-1.4978E-2</v>
      </c>
      <c r="AT264" s="21">
        <v>254</v>
      </c>
      <c r="AU264" s="21">
        <v>0.54037500000000005</v>
      </c>
      <c r="AV264">
        <f t="shared" si="44"/>
        <v>18.491358024691355</v>
      </c>
      <c r="AW264">
        <f t="shared" si="45"/>
        <v>10.005248525925925</v>
      </c>
      <c r="AX264" s="9"/>
      <c r="AY264" s="21">
        <v>1.1790499999999999</v>
      </c>
      <c r="AZ264" s="21">
        <v>30.295300000000001</v>
      </c>
      <c r="BA264" s="21">
        <v>-1.4770500000000001E-2</v>
      </c>
      <c r="BB264" s="21">
        <v>254</v>
      </c>
      <c r="BC264" s="21">
        <v>1.17798</v>
      </c>
      <c r="BD264">
        <f t="shared" si="46"/>
        <v>18.235185185185184</v>
      </c>
      <c r="BE264">
        <f t="shared" si="47"/>
        <v>21.500195092592591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0.53604099999999999</v>
      </c>
      <c r="H265" s="21">
        <v>7.6464299999999996</v>
      </c>
      <c r="I265" s="21">
        <v>-1.50177E-2</v>
      </c>
      <c r="J265" s="21">
        <v>255</v>
      </c>
      <c r="K265" s="21">
        <v>0.53543099999999999</v>
      </c>
      <c r="L265">
        <f t="shared" si="36"/>
        <v>18.540370370370372</v>
      </c>
      <c r="M265">
        <f t="shared" si="37"/>
        <v>9.9383986737037038</v>
      </c>
      <c r="N265" s="9"/>
      <c r="O265" s="21">
        <v>1.18408</v>
      </c>
      <c r="P265" s="21">
        <v>11.5059</v>
      </c>
      <c r="Q265" s="21">
        <v>-1.4761399999999999E-2</v>
      </c>
      <c r="R265" s="21">
        <v>255</v>
      </c>
      <c r="S265" s="21">
        <v>1.1831700000000001</v>
      </c>
      <c r="T265">
        <f t="shared" si="38"/>
        <v>18.22395061728395</v>
      </c>
      <c r="U265">
        <f t="shared" si="39"/>
        <v>21.578615446913581</v>
      </c>
      <c r="X265" s="9"/>
      <c r="Y265" s="21">
        <v>0.53604099999999999</v>
      </c>
      <c r="Z265" s="21">
        <v>17.061599999999999</v>
      </c>
      <c r="AA265" s="21">
        <v>-1.50513E-2</v>
      </c>
      <c r="AB265" s="21">
        <v>255</v>
      </c>
      <c r="AC265" s="21">
        <v>0.53543099999999999</v>
      </c>
      <c r="AD265">
        <f t="shared" si="40"/>
        <v>18.581851851851848</v>
      </c>
      <c r="AE265">
        <f t="shared" si="41"/>
        <v>9.9606344485185154</v>
      </c>
      <c r="AF265" s="9"/>
      <c r="AG265" s="21">
        <v>1.18408</v>
      </c>
      <c r="AH265" s="21">
        <v>20.921099999999999</v>
      </c>
      <c r="AI265" s="21">
        <v>-1.47949E-2</v>
      </c>
      <c r="AJ265" s="21">
        <v>255</v>
      </c>
      <c r="AK265" s="21">
        <v>1.1831700000000001</v>
      </c>
      <c r="AL265">
        <f t="shared" si="42"/>
        <v>18.265308641975306</v>
      </c>
      <c r="AM265">
        <f t="shared" si="43"/>
        <v>21.627586656790122</v>
      </c>
      <c r="AP265" s="9"/>
      <c r="AQ265" s="21">
        <v>0.53604099999999999</v>
      </c>
      <c r="AR265" s="21">
        <v>26.445900000000002</v>
      </c>
      <c r="AS265" s="21">
        <v>-1.4987199999999999E-2</v>
      </c>
      <c r="AT265" s="21">
        <v>255</v>
      </c>
      <c r="AU265" s="21">
        <v>0.53543099999999999</v>
      </c>
      <c r="AV265">
        <f t="shared" si="44"/>
        <v>18.502716049382713</v>
      </c>
      <c r="AW265">
        <f t="shared" si="45"/>
        <v>9.9182144138271582</v>
      </c>
      <c r="AX265" s="9"/>
      <c r="AY265" s="21">
        <v>1.18408</v>
      </c>
      <c r="AZ265" s="21">
        <v>30.305299999999999</v>
      </c>
      <c r="BA265" s="21">
        <v>-1.4767499999999999E-2</v>
      </c>
      <c r="BB265" s="21">
        <v>255</v>
      </c>
      <c r="BC265" s="21">
        <v>1.1831700000000001</v>
      </c>
      <c r="BD265">
        <f t="shared" si="46"/>
        <v>18.231481481481481</v>
      </c>
      <c r="BE265">
        <f t="shared" si="47"/>
        <v>21.587532592592591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0.53100599999999998</v>
      </c>
      <c r="H266" s="21">
        <v>7.6565000000000003</v>
      </c>
      <c r="I266" s="21">
        <v>-1.50116E-2</v>
      </c>
      <c r="J266" s="21">
        <v>256</v>
      </c>
      <c r="K266" s="21">
        <v>0.53033399999999997</v>
      </c>
      <c r="L266">
        <f t="shared" si="36"/>
        <v>18.532839506172838</v>
      </c>
      <c r="M266">
        <f t="shared" si="37"/>
        <v>9.8410489748148144</v>
      </c>
      <c r="N266" s="9"/>
      <c r="O266" s="21">
        <v>1.18912</v>
      </c>
      <c r="P266" s="21">
        <v>11.516</v>
      </c>
      <c r="Q266" s="21">
        <v>-1.47552E-2</v>
      </c>
      <c r="R266" s="21">
        <v>256</v>
      </c>
      <c r="S266" s="21">
        <v>1.18835</v>
      </c>
      <c r="T266">
        <f t="shared" si="38"/>
        <v>18.216296296296292</v>
      </c>
      <c r="U266">
        <f t="shared" si="39"/>
        <v>21.661362251851845</v>
      </c>
      <c r="X266" s="9"/>
      <c r="Y266" s="21">
        <v>0.53100599999999998</v>
      </c>
      <c r="Z266" s="21">
        <v>17.0717</v>
      </c>
      <c r="AA266" s="21">
        <v>-1.50543E-2</v>
      </c>
      <c r="AB266" s="21">
        <v>256</v>
      </c>
      <c r="AC266" s="21">
        <v>0.53033399999999997</v>
      </c>
      <c r="AD266">
        <f t="shared" si="40"/>
        <v>18.585555555555555</v>
      </c>
      <c r="AE266">
        <f t="shared" si="41"/>
        <v>9.8690415133333325</v>
      </c>
      <c r="AF266" s="9"/>
      <c r="AG266" s="21">
        <v>1.18912</v>
      </c>
      <c r="AH266" s="21">
        <v>20.9312</v>
      </c>
      <c r="AI266" s="21">
        <v>-1.4782699999999999E-2</v>
      </c>
      <c r="AJ266" s="21">
        <v>256</v>
      </c>
      <c r="AK266" s="21">
        <v>1.18835</v>
      </c>
      <c r="AL266">
        <f t="shared" si="42"/>
        <v>18.250246913580245</v>
      </c>
      <c r="AM266">
        <f t="shared" si="43"/>
        <v>21.701733609876541</v>
      </c>
      <c r="AP266" s="9"/>
      <c r="AQ266" s="21">
        <v>0.53100599999999998</v>
      </c>
      <c r="AR266" s="21">
        <v>26.4559</v>
      </c>
      <c r="AS266" s="21">
        <v>-1.4987199999999999E-2</v>
      </c>
      <c r="AT266" s="21">
        <v>256</v>
      </c>
      <c r="AU266" s="21">
        <v>0.53024300000000002</v>
      </c>
      <c r="AV266">
        <f t="shared" si="44"/>
        <v>18.502716049382713</v>
      </c>
      <c r="AW266">
        <f t="shared" si="45"/>
        <v>9.8250532385185156</v>
      </c>
      <c r="AX266" s="9"/>
      <c r="AY266" s="21">
        <v>1.18912</v>
      </c>
      <c r="AZ266" s="21">
        <v>30.3154</v>
      </c>
      <c r="BA266" s="21">
        <v>-1.47644E-2</v>
      </c>
      <c r="BB266" s="21">
        <v>256</v>
      </c>
      <c r="BC266" s="21">
        <v>1.18835</v>
      </c>
      <c r="BD266">
        <f t="shared" si="46"/>
        <v>18.227654320987654</v>
      </c>
      <c r="BE266">
        <f t="shared" si="47"/>
        <v>21.674868306172836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0.52597000000000005</v>
      </c>
      <c r="H267" s="21">
        <v>7.6665700000000001</v>
      </c>
      <c r="I267" s="21">
        <v>-1.49994E-2</v>
      </c>
      <c r="J267" s="21">
        <v>257</v>
      </c>
      <c r="K267" s="21">
        <v>0.52536000000000005</v>
      </c>
      <c r="L267">
        <f t="shared" si="36"/>
        <v>18.517777777777777</v>
      </c>
      <c r="M267">
        <f t="shared" si="37"/>
        <v>9.7397955777777785</v>
      </c>
      <c r="N267" s="9"/>
      <c r="O267" s="21">
        <v>1.19415</v>
      </c>
      <c r="P267" s="21">
        <v>11.526</v>
      </c>
      <c r="Q267" s="21">
        <v>-1.4749099999999999E-2</v>
      </c>
      <c r="R267" s="21">
        <v>257</v>
      </c>
      <c r="S267" s="21">
        <v>1.1932400000000001</v>
      </c>
      <c r="T267">
        <f t="shared" si="38"/>
        <v>18.208765432098765</v>
      </c>
      <c r="U267">
        <f t="shared" si="39"/>
        <v>21.743997240740743</v>
      </c>
      <c r="X267" s="9"/>
      <c r="Y267" s="21">
        <v>0.52597000000000005</v>
      </c>
      <c r="Z267" s="21">
        <v>17.081800000000001</v>
      </c>
      <c r="AA267" s="21">
        <v>-1.50513E-2</v>
      </c>
      <c r="AB267" s="21">
        <v>257</v>
      </c>
      <c r="AC267" s="21">
        <v>0.52529899999999996</v>
      </c>
      <c r="AD267">
        <f t="shared" si="40"/>
        <v>18.581851851851848</v>
      </c>
      <c r="AE267">
        <f t="shared" si="41"/>
        <v>9.7734966185185179</v>
      </c>
      <c r="AF267" s="9"/>
      <c r="AG267" s="21">
        <v>1.19415</v>
      </c>
      <c r="AH267" s="21">
        <v>20.941299999999998</v>
      </c>
      <c r="AI267" s="21">
        <v>-1.4767499999999999E-2</v>
      </c>
      <c r="AJ267" s="21">
        <v>257</v>
      </c>
      <c r="AK267" s="21">
        <v>1.19293</v>
      </c>
      <c r="AL267">
        <f t="shared" si="42"/>
        <v>18.231481481481481</v>
      </c>
      <c r="AM267">
        <f t="shared" si="43"/>
        <v>21.771123611111111</v>
      </c>
      <c r="AP267" s="9"/>
      <c r="AQ267" s="21">
        <v>0.52597000000000005</v>
      </c>
      <c r="AR267" s="21">
        <v>26.466000000000001</v>
      </c>
      <c r="AS267" s="21">
        <v>-1.4975E-2</v>
      </c>
      <c r="AT267" s="21">
        <v>257</v>
      </c>
      <c r="AU267" s="21">
        <v>0.52526899999999999</v>
      </c>
      <c r="AV267">
        <f t="shared" si="44"/>
        <v>18.487654320987652</v>
      </c>
      <c r="AW267">
        <f t="shared" si="45"/>
        <v>9.7239515432098766</v>
      </c>
      <c r="AX267" s="9"/>
      <c r="AY267" s="21">
        <v>1.19415</v>
      </c>
      <c r="AZ267" s="21">
        <v>30.325500000000002</v>
      </c>
      <c r="BA267" s="21">
        <v>-1.47552E-2</v>
      </c>
      <c r="BB267" s="21">
        <v>257</v>
      </c>
      <c r="BC267" s="21">
        <v>1.19293</v>
      </c>
      <c r="BD267">
        <f t="shared" si="46"/>
        <v>18.216296296296292</v>
      </c>
      <c r="BE267">
        <f t="shared" si="47"/>
        <v>21.75299022222222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0.52093500000000004</v>
      </c>
      <c r="H268" s="21">
        <v>7.6766399999999999</v>
      </c>
      <c r="I268" s="21">
        <v>-1.49902E-2</v>
      </c>
      <c r="J268" s="21">
        <v>258</v>
      </c>
      <c r="K268" s="21">
        <v>0.52026399999999995</v>
      </c>
      <c r="L268">
        <f t="shared" ref="L268:L331" si="48">-I268/$F$2*1000</f>
        <v>18.506419753086419</v>
      </c>
      <c r="M268">
        <f t="shared" ref="M268:M331" si="49">L268*G268</f>
        <v>9.6406417740740746</v>
      </c>
      <c r="N268" s="9"/>
      <c r="O268" s="21">
        <v>1.19919</v>
      </c>
      <c r="P268" s="21">
        <v>11.536099999999999</v>
      </c>
      <c r="Q268" s="21">
        <v>-1.4742999999999999E-2</v>
      </c>
      <c r="R268" s="21">
        <v>258</v>
      </c>
      <c r="S268" s="21">
        <v>1.1990400000000001</v>
      </c>
      <c r="T268">
        <f t="shared" ref="T268:T331" si="50">-Q268/$F$2*1000</f>
        <v>18.201234567901235</v>
      </c>
      <c r="U268">
        <f t="shared" ref="U268:U331" si="51">T268*O268</f>
        <v>21.826738481481481</v>
      </c>
      <c r="X268" s="9"/>
      <c r="Y268" s="21">
        <v>0.52093500000000004</v>
      </c>
      <c r="Z268" s="21">
        <v>17.091899999999999</v>
      </c>
      <c r="AA268" s="21">
        <v>-1.50452E-2</v>
      </c>
      <c r="AB268" s="21">
        <v>258</v>
      </c>
      <c r="AC268" s="21">
        <v>0.52026399999999995</v>
      </c>
      <c r="AD268">
        <f t="shared" ref="AD268:AD331" si="52">-AA268/$F$2*1000</f>
        <v>18.574320987654321</v>
      </c>
      <c r="AE268">
        <f t="shared" ref="AE268:AE331" si="53">AD268*Y268</f>
        <v>9.676013903703705</v>
      </c>
      <c r="AF268" s="9"/>
      <c r="AG268" s="21">
        <v>1.19919</v>
      </c>
      <c r="AH268" s="21">
        <v>20.9513</v>
      </c>
      <c r="AI268" s="21">
        <v>-1.47644E-2</v>
      </c>
      <c r="AJ268" s="21">
        <v>258</v>
      </c>
      <c r="AK268" s="21">
        <v>1.1984300000000001</v>
      </c>
      <c r="AL268">
        <f t="shared" ref="AL268:AL331" si="54">-AI268/$F$2*1000</f>
        <v>18.227654320987654</v>
      </c>
      <c r="AM268">
        <f t="shared" ref="AM268:AM331" si="55">AL268*AG268</f>
        <v>21.858420785185185</v>
      </c>
      <c r="AP268" s="9"/>
      <c r="AQ268" s="21">
        <v>0.52093500000000004</v>
      </c>
      <c r="AR268" s="21">
        <v>26.476099999999999</v>
      </c>
      <c r="AS268" s="21">
        <v>-1.4959699999999999E-2</v>
      </c>
      <c r="AT268" s="21">
        <v>258</v>
      </c>
      <c r="AU268" s="21">
        <v>0.52041599999999999</v>
      </c>
      <c r="AV268">
        <f t="shared" ref="AV268:AV331" si="56">-AS268/$F$2*1000</f>
        <v>18.468765432098763</v>
      </c>
      <c r="AW268">
        <f t="shared" ref="AW268:AW331" si="57">AV268*AQ268</f>
        <v>9.6210263203703708</v>
      </c>
      <c r="AX268" s="9"/>
      <c r="AY268" s="21">
        <v>1.19919</v>
      </c>
      <c r="AZ268" s="21">
        <v>30.335599999999999</v>
      </c>
      <c r="BA268" s="21">
        <v>-1.47461E-2</v>
      </c>
      <c r="BB268" s="21">
        <v>258</v>
      </c>
      <c r="BC268" s="21">
        <v>1.1981200000000001</v>
      </c>
      <c r="BD268">
        <f t="shared" ref="BD268:BD331" si="58">-BA268/$F$2*1000</f>
        <v>18.205061728395062</v>
      </c>
      <c r="BE268">
        <f t="shared" ref="BE268:BE331" si="59">BD268*AY268</f>
        <v>21.831327974074075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0.51590000000000003</v>
      </c>
      <c r="H269" s="21">
        <v>7.6867099999999997</v>
      </c>
      <c r="I269" s="21">
        <v>-1.49902E-2</v>
      </c>
      <c r="J269" s="21">
        <v>259</v>
      </c>
      <c r="K269" s="21">
        <v>0.51525900000000002</v>
      </c>
      <c r="L269">
        <f t="shared" si="48"/>
        <v>18.506419753086419</v>
      </c>
      <c r="M269">
        <f t="shared" si="49"/>
        <v>9.5474619506172846</v>
      </c>
      <c r="N269" s="9"/>
      <c r="O269" s="21">
        <v>1.2042200000000001</v>
      </c>
      <c r="P269" s="21">
        <v>11.546200000000001</v>
      </c>
      <c r="Q269" s="21">
        <v>-1.474E-2</v>
      </c>
      <c r="R269" s="21">
        <v>259</v>
      </c>
      <c r="S269" s="21">
        <v>1.2033100000000001</v>
      </c>
      <c r="T269">
        <f t="shared" si="50"/>
        <v>18.197530864197528</v>
      </c>
      <c r="U269">
        <f t="shared" si="51"/>
        <v>21.913830617283949</v>
      </c>
      <c r="X269" s="9"/>
      <c r="Y269" s="21">
        <v>0.51590000000000003</v>
      </c>
      <c r="Z269" s="21">
        <v>17.101900000000001</v>
      </c>
      <c r="AA269" s="21">
        <v>-1.5042099999999999E-2</v>
      </c>
      <c r="AB269" s="21">
        <v>259</v>
      </c>
      <c r="AC269" s="21">
        <v>0.51522800000000002</v>
      </c>
      <c r="AD269">
        <f t="shared" si="52"/>
        <v>18.570493827160494</v>
      </c>
      <c r="AE269">
        <f t="shared" si="53"/>
        <v>9.5805177654320985</v>
      </c>
      <c r="AF269" s="9"/>
      <c r="AG269" s="21">
        <v>1.2042200000000001</v>
      </c>
      <c r="AH269" s="21">
        <v>20.961400000000001</v>
      </c>
      <c r="AI269" s="21">
        <v>-1.47522E-2</v>
      </c>
      <c r="AJ269" s="21">
        <v>259</v>
      </c>
      <c r="AK269" s="21">
        <v>1.2036100000000001</v>
      </c>
      <c r="AL269">
        <f t="shared" si="54"/>
        <v>18.212592592592593</v>
      </c>
      <c r="AM269">
        <f t="shared" si="55"/>
        <v>21.931968251851853</v>
      </c>
      <c r="AP269" s="9"/>
      <c r="AQ269" s="21">
        <v>0.51590000000000003</v>
      </c>
      <c r="AR269" s="21">
        <v>26.4862</v>
      </c>
      <c r="AS269" s="21">
        <v>-1.4938399999999999E-2</v>
      </c>
      <c r="AT269" s="21">
        <v>259</v>
      </c>
      <c r="AU269" s="21">
        <v>0.51522800000000002</v>
      </c>
      <c r="AV269">
        <f t="shared" si="56"/>
        <v>18.442469135802465</v>
      </c>
      <c r="AW269">
        <f t="shared" si="57"/>
        <v>9.5144698271604931</v>
      </c>
      <c r="AX269" s="9"/>
      <c r="AY269" s="21">
        <v>1.2042200000000001</v>
      </c>
      <c r="AZ269" s="21">
        <v>30.345600000000001</v>
      </c>
      <c r="BA269" s="21">
        <v>-1.4742999999999999E-2</v>
      </c>
      <c r="BB269" s="21">
        <v>259</v>
      </c>
      <c r="BC269" s="21">
        <v>1.2030000000000001</v>
      </c>
      <c r="BD269">
        <f t="shared" si="58"/>
        <v>18.201234567901235</v>
      </c>
      <c r="BE269">
        <f t="shared" si="59"/>
        <v>21.918290691358028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0.51086399999999998</v>
      </c>
      <c r="H270" s="21">
        <v>7.6967800000000004</v>
      </c>
      <c r="I270" s="21">
        <v>-1.4987199999999999E-2</v>
      </c>
      <c r="J270" s="21">
        <v>260</v>
      </c>
      <c r="K270" s="21">
        <v>0.51028399999999996</v>
      </c>
      <c r="L270">
        <f t="shared" si="48"/>
        <v>18.502716049382713</v>
      </c>
      <c r="M270">
        <f t="shared" si="49"/>
        <v>9.4523715318518491</v>
      </c>
      <c r="N270" s="9"/>
      <c r="O270" s="21">
        <v>1.20926</v>
      </c>
      <c r="P270" s="21">
        <v>11.5563</v>
      </c>
      <c r="Q270" s="21">
        <v>-1.4721700000000001E-2</v>
      </c>
      <c r="R270" s="21">
        <v>260</v>
      </c>
      <c r="S270" s="21">
        <v>1.2084999999999999</v>
      </c>
      <c r="T270">
        <f t="shared" si="50"/>
        <v>18.174938271604937</v>
      </c>
      <c r="U270">
        <f t="shared" si="51"/>
        <v>21.978225854320986</v>
      </c>
      <c r="X270" s="9"/>
      <c r="Y270" s="21">
        <v>0.51086399999999998</v>
      </c>
      <c r="Z270" s="21">
        <v>17.111999999999998</v>
      </c>
      <c r="AA270" s="21">
        <v>-1.5032999999999999E-2</v>
      </c>
      <c r="AB270" s="21">
        <v>260</v>
      </c>
      <c r="AC270" s="21">
        <v>0.51019300000000001</v>
      </c>
      <c r="AD270">
        <f t="shared" si="52"/>
        <v>18.559259259259257</v>
      </c>
      <c r="AE270">
        <f t="shared" si="53"/>
        <v>9.481257422222221</v>
      </c>
      <c r="AF270" s="9"/>
      <c r="AG270" s="21">
        <v>1.20926</v>
      </c>
      <c r="AH270" s="21">
        <v>20.971499999999999</v>
      </c>
      <c r="AI270" s="21">
        <v>-1.4736900000000001E-2</v>
      </c>
      <c r="AJ270" s="21">
        <v>260</v>
      </c>
      <c r="AK270" s="21">
        <v>1.2078899999999999</v>
      </c>
      <c r="AL270">
        <f t="shared" si="54"/>
        <v>18.193703703703704</v>
      </c>
      <c r="AM270">
        <f t="shared" si="55"/>
        <v>22.00091814074074</v>
      </c>
      <c r="AP270" s="9"/>
      <c r="AQ270" s="21">
        <v>0.51086399999999998</v>
      </c>
      <c r="AR270" s="21">
        <v>26.496200000000002</v>
      </c>
      <c r="AS270" s="21">
        <v>-1.49506E-2</v>
      </c>
      <c r="AT270" s="21">
        <v>260</v>
      </c>
      <c r="AU270" s="21">
        <v>0.51028399999999996</v>
      </c>
      <c r="AV270">
        <f t="shared" si="56"/>
        <v>18.45753086419753</v>
      </c>
      <c r="AW270">
        <f t="shared" si="57"/>
        <v>9.4292880474074057</v>
      </c>
      <c r="AX270" s="9"/>
      <c r="AY270" s="21">
        <v>1.20926</v>
      </c>
      <c r="AZ270" s="21">
        <v>30.355699999999999</v>
      </c>
      <c r="BA270" s="21">
        <v>-1.4736900000000001E-2</v>
      </c>
      <c r="BB270" s="21">
        <v>260</v>
      </c>
      <c r="BC270" s="21">
        <v>1.2084999999999999</v>
      </c>
      <c r="BD270">
        <f t="shared" si="58"/>
        <v>18.193703703703704</v>
      </c>
      <c r="BE270">
        <f t="shared" si="59"/>
        <v>22.00091814074074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0.50582899999999997</v>
      </c>
      <c r="H271" s="21">
        <v>7.7068500000000002</v>
      </c>
      <c r="I271" s="21">
        <v>-1.4981100000000001E-2</v>
      </c>
      <c r="J271" s="21">
        <v>261</v>
      </c>
      <c r="K271" s="21">
        <v>0.50527999999999995</v>
      </c>
      <c r="L271">
        <f t="shared" si="48"/>
        <v>18.495185185185186</v>
      </c>
      <c r="M271">
        <f t="shared" si="49"/>
        <v>9.3554010270370362</v>
      </c>
      <c r="N271" s="9"/>
      <c r="O271" s="21">
        <v>1.2142900000000001</v>
      </c>
      <c r="P271" s="21">
        <v>11.5663</v>
      </c>
      <c r="Q271" s="21">
        <v>-1.47095E-2</v>
      </c>
      <c r="R271" s="21">
        <v>261</v>
      </c>
      <c r="S271" s="21">
        <v>1.2133799999999999</v>
      </c>
      <c r="T271">
        <f t="shared" si="50"/>
        <v>18.159876543209876</v>
      </c>
      <c r="U271">
        <f t="shared" si="51"/>
        <v>22.051356487654321</v>
      </c>
      <c r="X271" s="9"/>
      <c r="Y271" s="21">
        <v>0.50582899999999997</v>
      </c>
      <c r="Z271" s="21">
        <v>17.1221</v>
      </c>
      <c r="AA271" s="21">
        <v>-1.50391E-2</v>
      </c>
      <c r="AB271" s="21">
        <v>261</v>
      </c>
      <c r="AC271" s="21">
        <v>0.50515699999999997</v>
      </c>
      <c r="AD271">
        <f t="shared" si="52"/>
        <v>18.566790123456791</v>
      </c>
      <c r="AE271">
        <f t="shared" si="53"/>
        <v>9.3916208813580244</v>
      </c>
      <c r="AF271" s="9"/>
      <c r="AG271" s="21">
        <v>1.2142900000000001</v>
      </c>
      <c r="AH271" s="21">
        <v>20.9815</v>
      </c>
      <c r="AI271" s="21">
        <v>-1.4721700000000001E-2</v>
      </c>
      <c r="AJ271" s="21">
        <v>261</v>
      </c>
      <c r="AK271" s="21">
        <v>1.2130700000000001</v>
      </c>
      <c r="AL271">
        <f t="shared" si="54"/>
        <v>18.174938271604937</v>
      </c>
      <c r="AM271">
        <f t="shared" si="55"/>
        <v>22.06964579382716</v>
      </c>
      <c r="AP271" s="9"/>
      <c r="AQ271" s="21">
        <v>0.50582899999999997</v>
      </c>
      <c r="AR271" s="21">
        <v>26.5063</v>
      </c>
      <c r="AS271" s="21">
        <v>-1.49658E-2</v>
      </c>
      <c r="AT271" s="21">
        <v>261</v>
      </c>
      <c r="AU271" s="21">
        <v>0.50531000000000004</v>
      </c>
      <c r="AV271">
        <f t="shared" si="56"/>
        <v>18.476296296296297</v>
      </c>
      <c r="AW271">
        <f t="shared" si="57"/>
        <v>9.3458464792592597</v>
      </c>
      <c r="AX271" s="9"/>
      <c r="AY271" s="21">
        <v>1.2142900000000001</v>
      </c>
      <c r="AZ271" s="21">
        <v>30.3658</v>
      </c>
      <c r="BA271" s="21">
        <v>-1.4736900000000001E-2</v>
      </c>
      <c r="BB271" s="21">
        <v>261</v>
      </c>
      <c r="BC271" s="21">
        <v>1.2133799999999999</v>
      </c>
      <c r="BD271">
        <f t="shared" si="58"/>
        <v>18.193703703703704</v>
      </c>
      <c r="BE271">
        <f t="shared" si="59"/>
        <v>22.092432470370372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0.50079300000000004</v>
      </c>
      <c r="H272" s="21">
        <v>7.71692</v>
      </c>
      <c r="I272" s="21">
        <v>-1.4987199999999999E-2</v>
      </c>
      <c r="J272" s="21">
        <v>262</v>
      </c>
      <c r="K272" s="21">
        <v>0.50012199999999996</v>
      </c>
      <c r="L272">
        <f t="shared" si="48"/>
        <v>18.502716049382713</v>
      </c>
      <c r="M272">
        <f t="shared" si="49"/>
        <v>9.2660306785185167</v>
      </c>
      <c r="N272" s="9"/>
      <c r="O272" s="21">
        <v>1.21933</v>
      </c>
      <c r="P272" s="21">
        <v>11.5764</v>
      </c>
      <c r="Q272" s="21">
        <v>-1.4700299999999999E-2</v>
      </c>
      <c r="R272" s="21">
        <v>262</v>
      </c>
      <c r="S272" s="21">
        <v>1.2188699999999999</v>
      </c>
      <c r="T272">
        <f t="shared" si="50"/>
        <v>18.148518518518514</v>
      </c>
      <c r="U272">
        <f t="shared" si="51"/>
        <v>22.129033085185181</v>
      </c>
      <c r="X272" s="9"/>
      <c r="Y272" s="21">
        <v>0.50079300000000004</v>
      </c>
      <c r="Z272" s="21">
        <v>17.132100000000001</v>
      </c>
      <c r="AA272" s="21">
        <v>-1.5036000000000001E-2</v>
      </c>
      <c r="AB272" s="21">
        <v>262</v>
      </c>
      <c r="AC272" s="21">
        <v>0.50006099999999998</v>
      </c>
      <c r="AD272">
        <f t="shared" si="52"/>
        <v>18.562962962962963</v>
      </c>
      <c r="AE272">
        <f t="shared" si="53"/>
        <v>9.2962019111111118</v>
      </c>
      <c r="AF272" s="9"/>
      <c r="AG272" s="21">
        <v>1.21933</v>
      </c>
      <c r="AH272" s="21">
        <v>20.991599999999998</v>
      </c>
      <c r="AI272" s="21">
        <v>-1.4715600000000001E-2</v>
      </c>
      <c r="AJ272" s="21">
        <v>262</v>
      </c>
      <c r="AK272" s="21">
        <v>1.2185699999999999</v>
      </c>
      <c r="AL272">
        <f t="shared" si="54"/>
        <v>18.167407407407406</v>
      </c>
      <c r="AM272">
        <f t="shared" si="55"/>
        <v>22.152064874074075</v>
      </c>
      <c r="AP272" s="9"/>
      <c r="AQ272" s="21">
        <v>0.50079300000000004</v>
      </c>
      <c r="AR272" s="21">
        <v>26.516400000000001</v>
      </c>
      <c r="AS272" s="21">
        <v>-1.4975E-2</v>
      </c>
      <c r="AT272" s="21">
        <v>262</v>
      </c>
      <c r="AU272" s="21">
        <v>0.50012199999999996</v>
      </c>
      <c r="AV272">
        <f t="shared" si="56"/>
        <v>18.487654320987652</v>
      </c>
      <c r="AW272">
        <f t="shared" si="57"/>
        <v>9.2584878703703701</v>
      </c>
      <c r="AX272" s="9"/>
      <c r="AY272" s="21">
        <v>1.21933</v>
      </c>
      <c r="AZ272" s="21">
        <v>30.375800000000002</v>
      </c>
      <c r="BA272" s="21">
        <v>-1.4727799999999999E-2</v>
      </c>
      <c r="BB272" s="21">
        <v>262</v>
      </c>
      <c r="BC272" s="21">
        <v>1.2185699999999999</v>
      </c>
      <c r="BD272">
        <f t="shared" si="58"/>
        <v>18.182469135802467</v>
      </c>
      <c r="BE272">
        <f t="shared" si="59"/>
        <v>22.170430091358021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0.49575799999999998</v>
      </c>
      <c r="H273" s="21">
        <v>7.7270000000000003</v>
      </c>
      <c r="I273" s="21">
        <v>-1.4987199999999999E-2</v>
      </c>
      <c r="J273" s="21">
        <v>263</v>
      </c>
      <c r="K273" s="21">
        <v>0.49520900000000001</v>
      </c>
      <c r="L273">
        <f t="shared" si="48"/>
        <v>18.502716049382713</v>
      </c>
      <c r="M273">
        <f t="shared" si="49"/>
        <v>9.1728695032098742</v>
      </c>
      <c r="N273" s="9"/>
      <c r="O273" s="21">
        <v>1.22437</v>
      </c>
      <c r="P273" s="21">
        <v>11.586499999999999</v>
      </c>
      <c r="Q273" s="21">
        <v>-1.4688100000000001E-2</v>
      </c>
      <c r="R273" s="21">
        <v>263</v>
      </c>
      <c r="S273" s="21">
        <v>1.2240599999999999</v>
      </c>
      <c r="T273">
        <f t="shared" si="50"/>
        <v>18.133456790123457</v>
      </c>
      <c r="U273">
        <f t="shared" si="51"/>
        <v>22.202060490123458</v>
      </c>
      <c r="X273" s="9"/>
      <c r="Y273" s="21">
        <v>0.49575799999999998</v>
      </c>
      <c r="Z273" s="21">
        <v>17.142199999999999</v>
      </c>
      <c r="AA273" s="21">
        <v>-1.5032999999999999E-2</v>
      </c>
      <c r="AB273" s="21">
        <v>263</v>
      </c>
      <c r="AC273" s="21">
        <v>0.49511699999999997</v>
      </c>
      <c r="AD273">
        <f t="shared" si="52"/>
        <v>18.559259259259257</v>
      </c>
      <c r="AE273">
        <f t="shared" si="53"/>
        <v>9.2009012518518496</v>
      </c>
      <c r="AF273" s="9"/>
      <c r="AG273" s="21">
        <v>1.22437</v>
      </c>
      <c r="AH273" s="21">
        <v>21.0017</v>
      </c>
      <c r="AI273" s="21">
        <v>-1.47095E-2</v>
      </c>
      <c r="AJ273" s="21">
        <v>263</v>
      </c>
      <c r="AK273" s="21">
        <v>1.2234499999999999</v>
      </c>
      <c r="AL273">
        <f t="shared" si="54"/>
        <v>18.159876543209876</v>
      </c>
      <c r="AM273">
        <f t="shared" si="55"/>
        <v>22.234408043209875</v>
      </c>
      <c r="AP273" s="9"/>
      <c r="AQ273" s="21">
        <v>0.49575799999999998</v>
      </c>
      <c r="AR273" s="21">
        <v>26.526399999999999</v>
      </c>
      <c r="AS273" s="21">
        <v>-1.4981100000000001E-2</v>
      </c>
      <c r="AT273" s="21">
        <v>263</v>
      </c>
      <c r="AU273" s="21">
        <v>0.49514799999999998</v>
      </c>
      <c r="AV273">
        <f t="shared" si="56"/>
        <v>18.495185185185186</v>
      </c>
      <c r="AW273">
        <f t="shared" si="57"/>
        <v>9.1691360170370366</v>
      </c>
      <c r="AX273" s="9"/>
      <c r="AY273" s="21">
        <v>1.22437</v>
      </c>
      <c r="AZ273" s="21">
        <v>30.385899999999999</v>
      </c>
      <c r="BA273" s="21">
        <v>-1.4727799999999999E-2</v>
      </c>
      <c r="BB273" s="21">
        <v>263</v>
      </c>
      <c r="BC273" s="21">
        <v>1.2234499999999999</v>
      </c>
      <c r="BD273">
        <f t="shared" si="58"/>
        <v>18.182469135802467</v>
      </c>
      <c r="BE273">
        <f t="shared" si="59"/>
        <v>22.262069735802466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0.49072300000000002</v>
      </c>
      <c r="H274" s="21">
        <v>7.7370700000000001</v>
      </c>
      <c r="I274" s="21">
        <v>-1.4987199999999999E-2</v>
      </c>
      <c r="J274" s="21">
        <v>264</v>
      </c>
      <c r="K274" s="21">
        <v>0.49008200000000002</v>
      </c>
      <c r="L274">
        <f t="shared" si="48"/>
        <v>18.502716049382713</v>
      </c>
      <c r="M274">
        <f t="shared" si="49"/>
        <v>9.0797083279012334</v>
      </c>
      <c r="N274" s="9"/>
      <c r="O274" s="21">
        <v>1.2294</v>
      </c>
      <c r="P274" s="21">
        <v>11.596500000000001</v>
      </c>
      <c r="Q274" s="21">
        <v>-1.4678999999999999E-2</v>
      </c>
      <c r="R274" s="21">
        <v>264</v>
      </c>
      <c r="S274" s="21">
        <v>1.22864</v>
      </c>
      <c r="T274">
        <f t="shared" si="50"/>
        <v>18.12222222222222</v>
      </c>
      <c r="U274">
        <f t="shared" si="51"/>
        <v>22.279459999999997</v>
      </c>
      <c r="X274" s="9"/>
      <c r="Y274" s="21">
        <v>0.49072300000000002</v>
      </c>
      <c r="Z274" s="21">
        <v>17.1523</v>
      </c>
      <c r="AA274" s="21">
        <v>-1.5029900000000001E-2</v>
      </c>
      <c r="AB274" s="21">
        <v>264</v>
      </c>
      <c r="AC274" s="21">
        <v>0.49011199999999999</v>
      </c>
      <c r="AD274">
        <f t="shared" si="52"/>
        <v>18.555432098765429</v>
      </c>
      <c r="AE274">
        <f t="shared" si="53"/>
        <v>9.105577305802468</v>
      </c>
      <c r="AF274" s="9"/>
      <c r="AG274" s="21">
        <v>1.2294</v>
      </c>
      <c r="AH274" s="21">
        <v>21.011800000000001</v>
      </c>
      <c r="AI274" s="21">
        <v>-1.47064E-2</v>
      </c>
      <c r="AJ274" s="21">
        <v>264</v>
      </c>
      <c r="AK274" s="21">
        <v>1.2289399999999999</v>
      </c>
      <c r="AL274">
        <f t="shared" si="54"/>
        <v>18.156049382716049</v>
      </c>
      <c r="AM274">
        <f t="shared" si="55"/>
        <v>22.32104711111111</v>
      </c>
      <c r="AP274" s="9"/>
      <c r="AQ274" s="21">
        <v>0.49072300000000002</v>
      </c>
      <c r="AR274" s="21">
        <v>26.5365</v>
      </c>
      <c r="AS274" s="21">
        <v>-1.4993299999999999E-2</v>
      </c>
      <c r="AT274" s="21">
        <v>264</v>
      </c>
      <c r="AU274" s="21">
        <v>0.49008200000000002</v>
      </c>
      <c r="AV274">
        <f t="shared" si="56"/>
        <v>18.510246913580243</v>
      </c>
      <c r="AW274">
        <f t="shared" si="57"/>
        <v>9.0834038961728378</v>
      </c>
      <c r="AX274" s="9"/>
      <c r="AY274" s="21">
        <v>1.2294</v>
      </c>
      <c r="AZ274" s="21">
        <v>30.396000000000001</v>
      </c>
      <c r="BA274" s="21">
        <v>-1.47247E-2</v>
      </c>
      <c r="BB274" s="21">
        <v>264</v>
      </c>
      <c r="BC274" s="21">
        <v>1.22864</v>
      </c>
      <c r="BD274">
        <f t="shared" si="58"/>
        <v>18.178641975308643</v>
      </c>
      <c r="BE274">
        <f t="shared" si="59"/>
        <v>22.348822444444448</v>
      </c>
    </row>
    <row r="275" spans="6:101" x14ac:dyDescent="0.25">
      <c r="F275" s="9"/>
      <c r="G275" s="21">
        <v>0.48568699999999998</v>
      </c>
      <c r="H275" s="21">
        <v>7.7471399999999999</v>
      </c>
      <c r="I275" s="21">
        <v>-1.4981100000000001E-2</v>
      </c>
      <c r="J275" s="21">
        <v>265</v>
      </c>
      <c r="K275" s="21">
        <v>0.48513800000000001</v>
      </c>
      <c r="L275">
        <f t="shared" si="48"/>
        <v>18.495185185185186</v>
      </c>
      <c r="M275">
        <f t="shared" si="49"/>
        <v>8.982871007037037</v>
      </c>
      <c r="N275" s="9"/>
      <c r="O275" s="21">
        <v>1.23444</v>
      </c>
      <c r="P275" s="21">
        <v>11.6066</v>
      </c>
      <c r="Q275" s="21">
        <v>-1.4672899999999999E-2</v>
      </c>
      <c r="R275" s="21">
        <v>265</v>
      </c>
      <c r="S275" s="21">
        <v>1.23383</v>
      </c>
      <c r="T275">
        <f t="shared" si="50"/>
        <v>18.11469135802469</v>
      </c>
      <c r="U275">
        <f t="shared" si="51"/>
        <v>22.361499599999998</v>
      </c>
      <c r="X275" s="9"/>
      <c r="Y275" s="21">
        <v>0.48568699999999998</v>
      </c>
      <c r="Z275" s="21">
        <v>17.162400000000002</v>
      </c>
      <c r="AA275" s="21">
        <v>-1.5026899999999999E-2</v>
      </c>
      <c r="AB275" s="21">
        <v>265</v>
      </c>
      <c r="AC275" s="21">
        <v>0.485016</v>
      </c>
      <c r="AD275">
        <f t="shared" si="52"/>
        <v>18.551728395061726</v>
      </c>
      <c r="AE275">
        <f t="shared" si="53"/>
        <v>9.0103333090123439</v>
      </c>
      <c r="AF275" s="9"/>
      <c r="AG275" s="21">
        <v>1.23444</v>
      </c>
      <c r="AH275" s="21">
        <v>21.021799999999999</v>
      </c>
      <c r="AI275" s="21">
        <v>-1.47186E-2</v>
      </c>
      <c r="AJ275" s="21">
        <v>265</v>
      </c>
      <c r="AK275" s="21">
        <v>1.2335199999999999</v>
      </c>
      <c r="AL275">
        <f t="shared" si="54"/>
        <v>18.171111111111109</v>
      </c>
      <c r="AM275">
        <f t="shared" si="55"/>
        <v>22.431146399999999</v>
      </c>
      <c r="AP275" s="9"/>
      <c r="AQ275" s="21">
        <v>0.48568699999999998</v>
      </c>
      <c r="AR275" s="21">
        <v>26.546600000000002</v>
      </c>
      <c r="AS275" s="21">
        <v>-1.49994E-2</v>
      </c>
      <c r="AT275" s="21">
        <v>265</v>
      </c>
      <c r="AU275" s="21">
        <v>0.48495500000000002</v>
      </c>
      <c r="AV275">
        <f t="shared" si="56"/>
        <v>18.517777777777777</v>
      </c>
      <c r="AW275">
        <f t="shared" si="57"/>
        <v>8.9938439355555548</v>
      </c>
      <c r="AX275" s="9"/>
      <c r="AY275" s="21">
        <v>1.23444</v>
      </c>
      <c r="AZ275" s="21">
        <v>30.406099999999999</v>
      </c>
      <c r="BA275" s="21">
        <v>-1.4727799999999999E-2</v>
      </c>
      <c r="BB275" s="21">
        <v>265</v>
      </c>
      <c r="BC275" s="21">
        <v>1.23383</v>
      </c>
      <c r="BD275">
        <f t="shared" si="58"/>
        <v>18.182469135802467</v>
      </c>
      <c r="BE275">
        <f t="shared" si="59"/>
        <v>22.445167199999997</v>
      </c>
    </row>
    <row r="276" spans="6:101" x14ac:dyDescent="0.25">
      <c r="F276" s="9"/>
      <c r="G276" s="21">
        <v>0.48065200000000002</v>
      </c>
      <c r="H276" s="21">
        <v>7.7572099999999997</v>
      </c>
      <c r="I276" s="21">
        <v>-1.4981100000000001E-2</v>
      </c>
      <c r="J276" s="21">
        <v>266</v>
      </c>
      <c r="K276" s="21">
        <v>0.480072</v>
      </c>
      <c r="L276">
        <f t="shared" si="48"/>
        <v>18.495185185185186</v>
      </c>
      <c r="M276">
        <f t="shared" si="49"/>
        <v>8.8897477496296311</v>
      </c>
      <c r="N276" s="9"/>
      <c r="O276" s="21">
        <v>1.2394700000000001</v>
      </c>
      <c r="P276" s="21">
        <v>11.6167</v>
      </c>
      <c r="Q276" s="21">
        <v>-1.46698E-2</v>
      </c>
      <c r="R276" s="21">
        <v>266</v>
      </c>
      <c r="S276" s="21">
        <v>1.23932</v>
      </c>
      <c r="T276">
        <f t="shared" si="50"/>
        <v>18.110864197530866</v>
      </c>
      <c r="U276">
        <f t="shared" si="51"/>
        <v>22.447872846913583</v>
      </c>
      <c r="X276" s="9"/>
      <c r="Y276" s="21">
        <v>0.48065200000000002</v>
      </c>
      <c r="Z276" s="21">
        <v>17.1724</v>
      </c>
      <c r="AA276" s="21">
        <v>-1.50238E-2</v>
      </c>
      <c r="AB276" s="21">
        <v>266</v>
      </c>
      <c r="AC276" s="21">
        <v>0.47998000000000002</v>
      </c>
      <c r="AD276">
        <f t="shared" si="52"/>
        <v>18.547901234567902</v>
      </c>
      <c r="AE276">
        <f t="shared" si="53"/>
        <v>8.915085824197531</v>
      </c>
      <c r="AF276" s="9"/>
      <c r="AG276" s="21">
        <v>1.2394700000000001</v>
      </c>
      <c r="AH276" s="21">
        <v>21.0319</v>
      </c>
      <c r="AI276" s="21">
        <v>-1.47186E-2</v>
      </c>
      <c r="AJ276" s="21">
        <v>266</v>
      </c>
      <c r="AK276" s="21">
        <v>1.23871</v>
      </c>
      <c r="AL276">
        <f t="shared" si="54"/>
        <v>18.171111111111109</v>
      </c>
      <c r="AM276">
        <f t="shared" si="55"/>
        <v>22.522547088888889</v>
      </c>
      <c r="AP276" s="9"/>
      <c r="AQ276" s="21">
        <v>0.48065200000000002</v>
      </c>
      <c r="AR276" s="21">
        <v>26.5566</v>
      </c>
      <c r="AS276" s="21">
        <v>-1.50055E-2</v>
      </c>
      <c r="AT276" s="21">
        <v>266</v>
      </c>
      <c r="AU276" s="21">
        <v>0.48001100000000002</v>
      </c>
      <c r="AV276">
        <f t="shared" si="56"/>
        <v>18.525308641975307</v>
      </c>
      <c r="AW276">
        <f t="shared" si="57"/>
        <v>8.904226649382716</v>
      </c>
      <c r="AX276" s="9"/>
      <c r="AY276" s="21">
        <v>1.2394700000000001</v>
      </c>
      <c r="AZ276" s="21">
        <v>30.4161</v>
      </c>
      <c r="BA276" s="21">
        <v>-1.4727799999999999E-2</v>
      </c>
      <c r="BB276" s="21">
        <v>266</v>
      </c>
      <c r="BC276" s="21">
        <v>1.2381</v>
      </c>
      <c r="BD276">
        <f t="shared" si="58"/>
        <v>18.182469135802467</v>
      </c>
      <c r="BE276">
        <f t="shared" si="59"/>
        <v>22.536625019753085</v>
      </c>
    </row>
    <row r="277" spans="6:101" x14ac:dyDescent="0.25">
      <c r="F277" s="9"/>
      <c r="G277" s="21">
        <v>0.47561599999999998</v>
      </c>
      <c r="H277" s="21">
        <v>7.7672800000000004</v>
      </c>
      <c r="I277" s="21">
        <v>-1.4978E-2</v>
      </c>
      <c r="J277" s="21">
        <v>267</v>
      </c>
      <c r="K277" s="21">
        <v>0.47494500000000001</v>
      </c>
      <c r="L277">
        <f t="shared" si="48"/>
        <v>18.491358024691355</v>
      </c>
      <c r="M277">
        <f t="shared" si="49"/>
        <v>8.794785738271603</v>
      </c>
      <c r="N277" s="9"/>
      <c r="O277" s="21">
        <v>1.24451</v>
      </c>
      <c r="P277" s="21">
        <v>11.626799999999999</v>
      </c>
      <c r="Q277" s="21">
        <v>-1.4660599999999999E-2</v>
      </c>
      <c r="R277" s="21">
        <v>267</v>
      </c>
      <c r="S277" s="21">
        <v>1.2442</v>
      </c>
      <c r="T277">
        <f t="shared" si="50"/>
        <v>18.099506172839504</v>
      </c>
      <c r="U277">
        <f t="shared" si="51"/>
        <v>22.525016427160491</v>
      </c>
      <c r="X277" s="9"/>
      <c r="Y277" s="21">
        <v>0.47561599999999998</v>
      </c>
      <c r="Z277" s="21">
        <v>17.182500000000001</v>
      </c>
      <c r="AA277" s="21">
        <v>-1.5014599999999999E-2</v>
      </c>
      <c r="AB277" s="21">
        <v>267</v>
      </c>
      <c r="AC277" s="21">
        <v>0.47503699999999999</v>
      </c>
      <c r="AD277">
        <f t="shared" si="52"/>
        <v>18.536543209876541</v>
      </c>
      <c r="AE277">
        <f t="shared" si="53"/>
        <v>8.8162765353086403</v>
      </c>
      <c r="AF277" s="9"/>
      <c r="AG277" s="21">
        <v>1.24451</v>
      </c>
      <c r="AH277" s="21">
        <v>21.042000000000002</v>
      </c>
      <c r="AI277" s="21">
        <v>-1.4715600000000001E-2</v>
      </c>
      <c r="AJ277" s="21">
        <v>267</v>
      </c>
      <c r="AK277" s="21">
        <v>1.24359</v>
      </c>
      <c r="AL277">
        <f t="shared" si="54"/>
        <v>18.167407407407406</v>
      </c>
      <c r="AM277">
        <f t="shared" si="55"/>
        <v>22.609520192592591</v>
      </c>
      <c r="AP277" s="9"/>
      <c r="AQ277" s="21">
        <v>0.47561599999999998</v>
      </c>
      <c r="AR277" s="21">
        <v>26.566700000000001</v>
      </c>
      <c r="AS277" s="21">
        <v>-1.5020800000000001E-2</v>
      </c>
      <c r="AT277" s="21">
        <v>267</v>
      </c>
      <c r="AU277" s="21">
        <v>0.47509800000000002</v>
      </c>
      <c r="AV277">
        <f t="shared" si="56"/>
        <v>18.544197530864199</v>
      </c>
      <c r="AW277">
        <f t="shared" si="57"/>
        <v>8.8199170528395072</v>
      </c>
      <c r="AX277" s="9"/>
      <c r="AY277" s="21">
        <v>1.24451</v>
      </c>
      <c r="AZ277" s="21">
        <v>30.426200000000001</v>
      </c>
      <c r="BA277" s="21">
        <v>-1.4727799999999999E-2</v>
      </c>
      <c r="BB277" s="21">
        <v>267</v>
      </c>
      <c r="BC277" s="21">
        <v>1.24359</v>
      </c>
      <c r="BD277">
        <f t="shared" si="58"/>
        <v>18.182469135802467</v>
      </c>
      <c r="BE277">
        <f t="shared" si="59"/>
        <v>22.628264664197527</v>
      </c>
    </row>
    <row r="278" spans="6:101" x14ac:dyDescent="0.25">
      <c r="F278" s="9"/>
      <c r="G278" s="21">
        <v>0.47058100000000003</v>
      </c>
      <c r="H278" s="21">
        <v>7.7773500000000002</v>
      </c>
      <c r="I278" s="21">
        <v>-1.4975E-2</v>
      </c>
      <c r="J278" s="21">
        <v>268</v>
      </c>
      <c r="K278" s="21">
        <v>0.47003200000000001</v>
      </c>
      <c r="L278">
        <f t="shared" si="48"/>
        <v>18.487654320987652</v>
      </c>
      <c r="M278">
        <f t="shared" si="49"/>
        <v>8.6999388580246908</v>
      </c>
      <c r="N278" s="9"/>
      <c r="O278" s="21">
        <v>1.2495400000000001</v>
      </c>
      <c r="P278" s="21">
        <v>11.636799999999999</v>
      </c>
      <c r="Q278" s="21">
        <v>-1.46576E-2</v>
      </c>
      <c r="R278" s="21">
        <v>268</v>
      </c>
      <c r="S278" s="21">
        <v>1.24939</v>
      </c>
      <c r="T278">
        <f t="shared" si="50"/>
        <v>18.095802469135801</v>
      </c>
      <c r="U278">
        <f t="shared" si="51"/>
        <v>22.61142901728395</v>
      </c>
      <c r="X278" s="9"/>
      <c r="Y278" s="21">
        <v>0.47058100000000003</v>
      </c>
      <c r="Z278" s="21">
        <v>17.192599999999999</v>
      </c>
      <c r="AA278" s="21">
        <v>-1.50116E-2</v>
      </c>
      <c r="AB278" s="21">
        <v>268</v>
      </c>
      <c r="AC278" s="21">
        <v>0.47006199999999998</v>
      </c>
      <c r="AD278">
        <f t="shared" si="52"/>
        <v>18.532839506172838</v>
      </c>
      <c r="AE278">
        <f t="shared" si="53"/>
        <v>8.7212021476543207</v>
      </c>
      <c r="AF278" s="9"/>
      <c r="AG278" s="21">
        <v>1.2495400000000001</v>
      </c>
      <c r="AH278" s="21">
        <v>21.052</v>
      </c>
      <c r="AI278" s="21">
        <v>-1.47095E-2</v>
      </c>
      <c r="AJ278" s="21">
        <v>268</v>
      </c>
      <c r="AK278" s="21">
        <v>1.24847</v>
      </c>
      <c r="AL278">
        <f t="shared" si="54"/>
        <v>18.159876543209876</v>
      </c>
      <c r="AM278">
        <f t="shared" si="55"/>
        <v>22.69149213580247</v>
      </c>
      <c r="AP278" s="9"/>
      <c r="AQ278" s="21">
        <v>0.47058100000000003</v>
      </c>
      <c r="AR278" s="21">
        <v>26.576799999999999</v>
      </c>
      <c r="AS278" s="21">
        <v>-1.5020800000000001E-2</v>
      </c>
      <c r="AT278" s="21">
        <v>268</v>
      </c>
      <c r="AU278" s="21">
        <v>0.47006199999999998</v>
      </c>
      <c r="AV278">
        <f t="shared" si="56"/>
        <v>18.544197530864199</v>
      </c>
      <c r="AW278">
        <f t="shared" si="57"/>
        <v>8.7265470182716065</v>
      </c>
      <c r="AX278" s="9"/>
      <c r="AY278" s="21">
        <v>1.2495400000000001</v>
      </c>
      <c r="AZ278" s="21">
        <v>30.436299999999999</v>
      </c>
      <c r="BA278" s="21">
        <v>-1.4721700000000001E-2</v>
      </c>
      <c r="BB278" s="21">
        <v>268</v>
      </c>
      <c r="BC278" s="21">
        <v>1.24878</v>
      </c>
      <c r="BD278">
        <f t="shared" si="58"/>
        <v>18.174938271604937</v>
      </c>
      <c r="BE278">
        <f t="shared" si="59"/>
        <v>22.710312367901235</v>
      </c>
    </row>
    <row r="279" spans="6:101" x14ac:dyDescent="0.25">
      <c r="F279" s="9"/>
      <c r="G279" s="21">
        <v>0.46554600000000002</v>
      </c>
      <c r="H279" s="21">
        <v>7.78742</v>
      </c>
      <c r="I279" s="21">
        <v>-1.49841E-2</v>
      </c>
      <c r="J279" s="21">
        <v>269</v>
      </c>
      <c r="K279" s="21">
        <v>0.46493499999999999</v>
      </c>
      <c r="L279">
        <f t="shared" si="48"/>
        <v>18.498888888888889</v>
      </c>
      <c r="M279">
        <f t="shared" si="49"/>
        <v>8.6120837266666665</v>
      </c>
      <c r="N279" s="9"/>
      <c r="O279" s="21">
        <v>1.25458</v>
      </c>
      <c r="P279" s="21">
        <v>11.6469</v>
      </c>
      <c r="Q279" s="21">
        <v>-1.46576E-2</v>
      </c>
      <c r="R279" s="21">
        <v>269</v>
      </c>
      <c r="S279" s="21">
        <v>1.25336</v>
      </c>
      <c r="T279">
        <f t="shared" si="50"/>
        <v>18.095802469135801</v>
      </c>
      <c r="U279">
        <f t="shared" si="51"/>
        <v>22.702631861728396</v>
      </c>
      <c r="X279" s="9"/>
      <c r="Y279" s="21">
        <v>0.46554600000000002</v>
      </c>
      <c r="Z279" s="21">
        <v>17.2026</v>
      </c>
      <c r="AA279" s="21">
        <v>-1.50116E-2</v>
      </c>
      <c r="AB279" s="21">
        <v>269</v>
      </c>
      <c r="AC279" s="21">
        <v>0.46493499999999999</v>
      </c>
      <c r="AD279">
        <f t="shared" si="52"/>
        <v>18.532839506172838</v>
      </c>
      <c r="AE279">
        <f t="shared" si="53"/>
        <v>8.6278893007407405</v>
      </c>
      <c r="AF279" s="9"/>
      <c r="AG279" s="21">
        <v>1.25458</v>
      </c>
      <c r="AH279" s="21">
        <v>21.062100000000001</v>
      </c>
      <c r="AI279" s="21">
        <v>-1.4700299999999999E-2</v>
      </c>
      <c r="AJ279" s="21">
        <v>269</v>
      </c>
      <c r="AK279" s="21">
        <v>1.25366</v>
      </c>
      <c r="AL279">
        <f t="shared" si="54"/>
        <v>18.148518518518514</v>
      </c>
      <c r="AM279">
        <f t="shared" si="55"/>
        <v>22.768768362962959</v>
      </c>
      <c r="AP279" s="9"/>
      <c r="AQ279" s="21">
        <v>0.46554600000000002</v>
      </c>
      <c r="AR279" s="21">
        <v>26.5869</v>
      </c>
      <c r="AS279" s="21">
        <v>-1.50238E-2</v>
      </c>
      <c r="AT279" s="21">
        <v>269</v>
      </c>
      <c r="AU279" s="21">
        <v>0.46490500000000001</v>
      </c>
      <c r="AV279">
        <f t="shared" si="56"/>
        <v>18.547901234567902</v>
      </c>
      <c r="AW279">
        <f t="shared" si="57"/>
        <v>8.6349012281481485</v>
      </c>
      <c r="AX279" s="9"/>
      <c r="AY279" s="21">
        <v>1.25458</v>
      </c>
      <c r="AZ279" s="21">
        <v>30.446300000000001</v>
      </c>
      <c r="BA279" s="21">
        <v>-1.47186E-2</v>
      </c>
      <c r="BB279" s="21">
        <v>269</v>
      </c>
      <c r="BC279" s="21">
        <v>1.25397</v>
      </c>
      <c r="BD279">
        <f t="shared" si="58"/>
        <v>18.171111111111109</v>
      </c>
      <c r="BE279">
        <f t="shared" si="59"/>
        <v>22.797112577777778</v>
      </c>
    </row>
    <row r="280" spans="6:101" x14ac:dyDescent="0.25">
      <c r="F280" s="9"/>
      <c r="G280" s="21">
        <v>0.46050999999999997</v>
      </c>
      <c r="H280" s="21">
        <v>7.7974899999999998</v>
      </c>
      <c r="I280" s="21">
        <v>-1.4993299999999999E-2</v>
      </c>
      <c r="J280" s="21">
        <v>270</v>
      </c>
      <c r="K280" s="21">
        <v>0.45993000000000001</v>
      </c>
      <c r="L280">
        <f t="shared" si="48"/>
        <v>18.510246913580243</v>
      </c>
      <c r="M280">
        <f t="shared" si="49"/>
        <v>8.524153806172837</v>
      </c>
      <c r="N280" s="9"/>
      <c r="O280" s="21">
        <v>1.2596099999999999</v>
      </c>
      <c r="P280" s="21">
        <v>11.657</v>
      </c>
      <c r="Q280" s="21">
        <v>-1.4654500000000001E-2</v>
      </c>
      <c r="R280" s="21">
        <v>270</v>
      </c>
      <c r="S280" s="21">
        <v>1.25885</v>
      </c>
      <c r="T280">
        <f t="shared" si="50"/>
        <v>18.091975308641977</v>
      </c>
      <c r="U280">
        <f t="shared" si="51"/>
        <v>22.78883301851852</v>
      </c>
      <c r="X280" s="9"/>
      <c r="Y280" s="21">
        <v>0.46050999999999997</v>
      </c>
      <c r="Z280" s="21">
        <v>17.212700000000002</v>
      </c>
      <c r="AA280" s="21">
        <v>-1.50177E-2</v>
      </c>
      <c r="AB280" s="21">
        <v>270</v>
      </c>
      <c r="AC280" s="21">
        <v>0.459839</v>
      </c>
      <c r="AD280">
        <f t="shared" si="52"/>
        <v>18.540370370370372</v>
      </c>
      <c r="AE280">
        <f t="shared" si="53"/>
        <v>8.5380259592592598</v>
      </c>
      <c r="AF280" s="9"/>
      <c r="AG280" s="21">
        <v>1.2596099999999999</v>
      </c>
      <c r="AH280" s="21">
        <v>21.072199999999999</v>
      </c>
      <c r="AI280" s="21">
        <v>-1.46912E-2</v>
      </c>
      <c r="AJ280" s="21">
        <v>270</v>
      </c>
      <c r="AK280" s="21">
        <v>1.25854</v>
      </c>
      <c r="AL280">
        <f t="shared" si="54"/>
        <v>18.137283950617284</v>
      </c>
      <c r="AM280">
        <f t="shared" si="55"/>
        <v>22.845904237037036</v>
      </c>
      <c r="AP280" s="9"/>
      <c r="AQ280" s="21">
        <v>0.46050999999999997</v>
      </c>
      <c r="AR280" s="21">
        <v>26.596900000000002</v>
      </c>
      <c r="AS280" s="21">
        <v>-1.5020800000000001E-2</v>
      </c>
      <c r="AT280" s="21">
        <v>270</v>
      </c>
      <c r="AU280" s="21">
        <v>0.45989999999999998</v>
      </c>
      <c r="AV280">
        <f t="shared" si="56"/>
        <v>18.544197530864199</v>
      </c>
      <c r="AW280">
        <f t="shared" si="57"/>
        <v>8.5397884049382711</v>
      </c>
      <c r="AX280" s="9"/>
      <c r="AY280" s="21">
        <v>1.2596099999999999</v>
      </c>
      <c r="AZ280" s="21">
        <v>30.456399999999999</v>
      </c>
      <c r="BA280" s="21">
        <v>-1.47095E-2</v>
      </c>
      <c r="BB280" s="21">
        <v>270</v>
      </c>
      <c r="BC280" s="21">
        <v>1.25885</v>
      </c>
      <c r="BD280">
        <f t="shared" si="58"/>
        <v>18.159876543209876</v>
      </c>
      <c r="BE280">
        <f t="shared" si="59"/>
        <v>22.874362092592591</v>
      </c>
    </row>
    <row r="281" spans="6:101" x14ac:dyDescent="0.25">
      <c r="F281" s="9"/>
      <c r="G281" s="21">
        <v>0.45547500000000002</v>
      </c>
      <c r="H281" s="21">
        <v>7.8075599999999996</v>
      </c>
      <c r="I281" s="21">
        <v>-1.5008499999999999E-2</v>
      </c>
      <c r="J281" s="21">
        <v>271</v>
      </c>
      <c r="K281" s="21">
        <v>0.45486500000000002</v>
      </c>
      <c r="L281">
        <f t="shared" si="48"/>
        <v>18.529012345679011</v>
      </c>
      <c r="M281">
        <f t="shared" si="49"/>
        <v>8.4395018981481478</v>
      </c>
      <c r="N281" s="9"/>
      <c r="O281" s="21">
        <v>1.2646500000000001</v>
      </c>
      <c r="P281" s="21">
        <v>11.667</v>
      </c>
      <c r="Q281" s="21">
        <v>-1.4645399999999999E-2</v>
      </c>
      <c r="R281" s="21">
        <v>271</v>
      </c>
      <c r="S281" s="21">
        <v>1.2640400000000001</v>
      </c>
      <c r="T281">
        <f t="shared" si="50"/>
        <v>18.080740740740737</v>
      </c>
      <c r="U281">
        <f t="shared" si="51"/>
        <v>22.865808777777772</v>
      </c>
      <c r="X281" s="9"/>
      <c r="Y281" s="21">
        <v>0.45547500000000002</v>
      </c>
      <c r="Z281" s="21">
        <v>17.222799999999999</v>
      </c>
      <c r="AA281" s="21">
        <v>-1.5020800000000001E-2</v>
      </c>
      <c r="AB281" s="21">
        <v>271</v>
      </c>
      <c r="AC281" s="21">
        <v>0.45498699999999997</v>
      </c>
      <c r="AD281">
        <f t="shared" si="52"/>
        <v>18.544197530864199</v>
      </c>
      <c r="AE281">
        <f t="shared" si="53"/>
        <v>8.4464183703703721</v>
      </c>
      <c r="AF281" s="9"/>
      <c r="AG281" s="21">
        <v>1.2646500000000001</v>
      </c>
      <c r="AH281" s="21">
        <v>21.0822</v>
      </c>
      <c r="AI281" s="21">
        <v>-1.46759E-2</v>
      </c>
      <c r="AJ281" s="21">
        <v>271</v>
      </c>
      <c r="AK281" s="21">
        <v>1.26434</v>
      </c>
      <c r="AL281">
        <f t="shared" si="54"/>
        <v>18.118395061728396</v>
      </c>
      <c r="AM281">
        <f t="shared" si="55"/>
        <v>22.913428314814816</v>
      </c>
      <c r="AP281" s="9"/>
      <c r="AQ281" s="21">
        <v>0.45547500000000002</v>
      </c>
      <c r="AR281" s="21">
        <v>26.606999999999999</v>
      </c>
      <c r="AS281" s="21">
        <v>-1.50116E-2</v>
      </c>
      <c r="AT281" s="21">
        <v>271</v>
      </c>
      <c r="AU281" s="21">
        <v>0.45480300000000001</v>
      </c>
      <c r="AV281">
        <f t="shared" si="56"/>
        <v>18.532839506172838</v>
      </c>
      <c r="AW281">
        <f t="shared" si="57"/>
        <v>8.4412450740740734</v>
      </c>
      <c r="AX281" s="9"/>
      <c r="AY281" s="21">
        <v>1.2646500000000001</v>
      </c>
      <c r="AZ281" s="21">
        <v>30.4665</v>
      </c>
      <c r="BA281" s="21">
        <v>-1.46973E-2</v>
      </c>
      <c r="BB281" s="21">
        <v>271</v>
      </c>
      <c r="BC281" s="21">
        <v>1.26434</v>
      </c>
      <c r="BD281">
        <f t="shared" si="58"/>
        <v>18.144814814814815</v>
      </c>
      <c r="BE281">
        <f t="shared" si="59"/>
        <v>22.946840055555558</v>
      </c>
    </row>
    <row r="282" spans="6:101" x14ac:dyDescent="0.25">
      <c r="F282" s="9"/>
      <c r="G282" s="21">
        <v>0.45043899999999998</v>
      </c>
      <c r="H282" s="21">
        <v>7.8176300000000003</v>
      </c>
      <c r="I282" s="21">
        <v>-1.50116E-2</v>
      </c>
      <c r="J282" s="21">
        <v>272</v>
      </c>
      <c r="K282" s="21">
        <v>0.44985999999999998</v>
      </c>
      <c r="L282">
        <f t="shared" si="48"/>
        <v>18.532839506172838</v>
      </c>
      <c r="M282">
        <f t="shared" si="49"/>
        <v>8.3479136943209866</v>
      </c>
      <c r="N282" s="9"/>
      <c r="O282" s="21">
        <v>1.2696799999999999</v>
      </c>
      <c r="P282" s="21">
        <v>11.677099999999999</v>
      </c>
      <c r="Q282" s="21">
        <v>-1.4639299999999999E-2</v>
      </c>
      <c r="R282" s="21">
        <v>272</v>
      </c>
      <c r="S282" s="21">
        <v>1.26892</v>
      </c>
      <c r="T282">
        <f t="shared" si="50"/>
        <v>18.07320987654321</v>
      </c>
      <c r="U282">
        <f t="shared" si="51"/>
        <v>22.94719311604938</v>
      </c>
      <c r="X282" s="9"/>
      <c r="Y282" s="21">
        <v>0.45043899999999998</v>
      </c>
      <c r="Z282" s="21">
        <v>17.232800000000001</v>
      </c>
      <c r="AA282" s="21">
        <v>-1.5014599999999999E-2</v>
      </c>
      <c r="AB282" s="21">
        <v>272</v>
      </c>
      <c r="AC282" s="21">
        <v>0.44992100000000002</v>
      </c>
      <c r="AD282">
        <f t="shared" si="52"/>
        <v>18.536543209876541</v>
      </c>
      <c r="AE282">
        <f t="shared" si="53"/>
        <v>8.349581986913579</v>
      </c>
      <c r="AF282" s="9"/>
      <c r="AG282" s="21">
        <v>1.2696799999999999</v>
      </c>
      <c r="AH282" s="21">
        <v>21.092300000000002</v>
      </c>
      <c r="AI282" s="21">
        <v>-1.46667E-2</v>
      </c>
      <c r="AJ282" s="21">
        <v>272</v>
      </c>
      <c r="AK282" s="21">
        <v>1.2686200000000001</v>
      </c>
      <c r="AL282">
        <f t="shared" si="54"/>
        <v>18.107037037037035</v>
      </c>
      <c r="AM282">
        <f t="shared" si="55"/>
        <v>22.990142785185181</v>
      </c>
      <c r="AP282" s="9"/>
      <c r="AQ282" s="21">
        <v>0.45043899999999998</v>
      </c>
      <c r="AR282" s="21">
        <v>26.617100000000001</v>
      </c>
      <c r="AS282" s="21">
        <v>-1.50055E-2</v>
      </c>
      <c r="AT282" s="21">
        <v>272</v>
      </c>
      <c r="AU282" s="21">
        <v>0.44973800000000003</v>
      </c>
      <c r="AV282">
        <f t="shared" si="56"/>
        <v>18.525308641975307</v>
      </c>
      <c r="AW282">
        <f t="shared" si="57"/>
        <v>8.344521499382715</v>
      </c>
      <c r="AX282" s="9"/>
      <c r="AY282" s="21">
        <v>1.2696799999999999</v>
      </c>
      <c r="AZ282" s="21">
        <v>30.476600000000001</v>
      </c>
      <c r="BA282" s="21">
        <v>-1.4682000000000001E-2</v>
      </c>
      <c r="BB282" s="21">
        <v>272</v>
      </c>
      <c r="BC282" s="21">
        <v>1.26892</v>
      </c>
      <c r="BD282">
        <f t="shared" si="58"/>
        <v>18.125925925925923</v>
      </c>
      <c r="BE282">
        <f t="shared" si="59"/>
        <v>23.014125629629625</v>
      </c>
    </row>
    <row r="283" spans="6:101" x14ac:dyDescent="0.25">
      <c r="F283" s="9"/>
      <c r="G283" s="21">
        <v>0.44540400000000002</v>
      </c>
      <c r="H283" s="21">
        <v>7.8277099999999997</v>
      </c>
      <c r="I283" s="21">
        <v>-1.50116E-2</v>
      </c>
      <c r="J283" s="21">
        <v>273</v>
      </c>
      <c r="K283" s="21">
        <v>0.44476300000000002</v>
      </c>
      <c r="L283">
        <f t="shared" si="48"/>
        <v>18.532839506172838</v>
      </c>
      <c r="M283">
        <f t="shared" si="49"/>
        <v>8.2546008474074064</v>
      </c>
      <c r="N283" s="9"/>
      <c r="O283" s="21">
        <v>1.2747200000000001</v>
      </c>
      <c r="P283" s="21">
        <v>11.687200000000001</v>
      </c>
      <c r="Q283" s="21">
        <v>-1.4627100000000001E-2</v>
      </c>
      <c r="R283" s="21">
        <v>273</v>
      </c>
      <c r="S283" s="21">
        <v>1.2735000000000001</v>
      </c>
      <c r="T283">
        <f t="shared" si="50"/>
        <v>18.058148148148145</v>
      </c>
      <c r="U283">
        <f t="shared" si="51"/>
        <v>23.019082607407405</v>
      </c>
      <c r="X283" s="9"/>
      <c r="Y283" s="21">
        <v>0.44540400000000002</v>
      </c>
      <c r="Z283" s="21">
        <v>17.242899999999999</v>
      </c>
      <c r="AA283" s="21">
        <v>-1.5008499999999999E-2</v>
      </c>
      <c r="AB283" s="21">
        <v>273</v>
      </c>
      <c r="AC283" s="21">
        <v>0.44470199999999999</v>
      </c>
      <c r="AD283">
        <f t="shared" si="52"/>
        <v>18.529012345679011</v>
      </c>
      <c r="AE283">
        <f t="shared" si="53"/>
        <v>8.2528962148148146</v>
      </c>
      <c r="AF283" s="9"/>
      <c r="AG283" s="21">
        <v>1.2747200000000001</v>
      </c>
      <c r="AH283" s="21">
        <v>21.102399999999999</v>
      </c>
      <c r="AI283" s="21">
        <v>-1.4660599999999999E-2</v>
      </c>
      <c r="AJ283" s="21">
        <v>273</v>
      </c>
      <c r="AK283" s="21">
        <v>1.2741100000000001</v>
      </c>
      <c r="AL283">
        <f t="shared" si="54"/>
        <v>18.099506172839504</v>
      </c>
      <c r="AM283">
        <f t="shared" si="55"/>
        <v>23.071802508641973</v>
      </c>
      <c r="AP283" s="9"/>
      <c r="AQ283" s="21">
        <v>0.44540400000000002</v>
      </c>
      <c r="AR283" s="21">
        <v>26.627099999999999</v>
      </c>
      <c r="AS283" s="21">
        <v>-1.5014599999999999E-2</v>
      </c>
      <c r="AT283" s="21">
        <v>273</v>
      </c>
      <c r="AU283" s="21">
        <v>0.44476300000000002</v>
      </c>
      <c r="AV283">
        <f t="shared" si="56"/>
        <v>18.536543209876541</v>
      </c>
      <c r="AW283">
        <f t="shared" si="57"/>
        <v>8.2562504918518513</v>
      </c>
      <c r="AX283" s="9"/>
      <c r="AY283" s="21">
        <v>1.2747200000000001</v>
      </c>
      <c r="AZ283" s="21">
        <v>30.486599999999999</v>
      </c>
      <c r="BA283" s="21">
        <v>-1.46698E-2</v>
      </c>
      <c r="BB283" s="21">
        <v>273</v>
      </c>
      <c r="BC283" s="21">
        <v>1.27441</v>
      </c>
      <c r="BD283">
        <f t="shared" si="58"/>
        <v>18.110864197530866</v>
      </c>
      <c r="BE283">
        <f t="shared" si="59"/>
        <v>23.086280809876545</v>
      </c>
    </row>
    <row r="284" spans="6:101" x14ac:dyDescent="0.25">
      <c r="F284" s="9"/>
      <c r="G284" s="21">
        <v>0.44036900000000001</v>
      </c>
      <c r="H284" s="21">
        <v>7.8377800000000004</v>
      </c>
      <c r="I284" s="21">
        <v>-1.5020800000000001E-2</v>
      </c>
      <c r="J284" s="21">
        <v>274</v>
      </c>
      <c r="K284" s="21">
        <v>0.439606</v>
      </c>
      <c r="L284">
        <f t="shared" si="48"/>
        <v>18.544197530864199</v>
      </c>
      <c r="M284">
        <f t="shared" si="49"/>
        <v>8.166289722469136</v>
      </c>
      <c r="N284" s="9"/>
      <c r="O284" s="21">
        <v>1.2797499999999999</v>
      </c>
      <c r="P284" s="21">
        <v>11.6973</v>
      </c>
      <c r="Q284" s="21">
        <v>-1.46088E-2</v>
      </c>
      <c r="R284" s="21">
        <v>274</v>
      </c>
      <c r="S284" s="21">
        <v>1.2793000000000001</v>
      </c>
      <c r="T284">
        <f t="shared" si="50"/>
        <v>18.035555555555554</v>
      </c>
      <c r="U284">
        <f t="shared" si="51"/>
        <v>23.081002222222221</v>
      </c>
      <c r="X284" s="9"/>
      <c r="Y284" s="21">
        <v>0.44036900000000001</v>
      </c>
      <c r="Z284" s="21">
        <v>17.253</v>
      </c>
      <c r="AA284" s="21">
        <v>-1.50055E-2</v>
      </c>
      <c r="AB284" s="21">
        <v>274</v>
      </c>
      <c r="AC284" s="21">
        <v>0.43975799999999998</v>
      </c>
      <c r="AD284">
        <f t="shared" si="52"/>
        <v>18.525308641975307</v>
      </c>
      <c r="AE284">
        <f t="shared" si="53"/>
        <v>8.1579716413580243</v>
      </c>
      <c r="AF284" s="9"/>
      <c r="AG284" s="21">
        <v>1.2797499999999999</v>
      </c>
      <c r="AH284" s="21">
        <v>21.112500000000001</v>
      </c>
      <c r="AI284" s="21">
        <v>-1.4654500000000001E-2</v>
      </c>
      <c r="AJ284" s="21">
        <v>274</v>
      </c>
      <c r="AK284" s="21">
        <v>1.2796000000000001</v>
      </c>
      <c r="AL284">
        <f t="shared" si="54"/>
        <v>18.091975308641977</v>
      </c>
      <c r="AM284">
        <f t="shared" si="55"/>
        <v>23.153205401234569</v>
      </c>
      <c r="AP284" s="9"/>
      <c r="AQ284" s="21">
        <v>0.44036900000000001</v>
      </c>
      <c r="AR284" s="21">
        <v>26.6372</v>
      </c>
      <c r="AS284" s="21">
        <v>-1.5026899999999999E-2</v>
      </c>
      <c r="AT284" s="21">
        <v>274</v>
      </c>
      <c r="AU284" s="21">
        <v>0.43975799999999998</v>
      </c>
      <c r="AV284">
        <f t="shared" si="56"/>
        <v>18.551728395061726</v>
      </c>
      <c r="AW284">
        <f t="shared" si="57"/>
        <v>8.1696060816049378</v>
      </c>
      <c r="AX284" s="9"/>
      <c r="AY284" s="21">
        <v>1.2797499999999999</v>
      </c>
      <c r="AZ284" s="21">
        <v>30.496700000000001</v>
      </c>
      <c r="BA284" s="21">
        <v>-1.46576E-2</v>
      </c>
      <c r="BB284" s="21">
        <v>274</v>
      </c>
      <c r="BC284" s="21">
        <v>1.2796000000000001</v>
      </c>
      <c r="BD284">
        <f t="shared" si="58"/>
        <v>18.095802469135801</v>
      </c>
      <c r="BE284">
        <f t="shared" si="59"/>
        <v>23.15810320987654</v>
      </c>
    </row>
    <row r="285" spans="6:101" x14ac:dyDescent="0.25">
      <c r="F285" s="9"/>
      <c r="G285" s="21">
        <v>0.43533300000000003</v>
      </c>
      <c r="H285" s="21">
        <v>7.8478500000000002</v>
      </c>
      <c r="I285" s="21">
        <v>-1.50238E-2</v>
      </c>
      <c r="J285" s="21">
        <v>275</v>
      </c>
      <c r="K285" s="21">
        <v>0.43472300000000003</v>
      </c>
      <c r="L285">
        <f t="shared" si="48"/>
        <v>18.547901234567902</v>
      </c>
      <c r="M285">
        <f t="shared" si="49"/>
        <v>8.0745134881481491</v>
      </c>
      <c r="N285" s="9"/>
      <c r="O285" s="21">
        <v>1.2847900000000001</v>
      </c>
      <c r="P285" s="21">
        <v>11.7073</v>
      </c>
      <c r="Q285" s="21">
        <v>-1.45966E-2</v>
      </c>
      <c r="R285" s="21">
        <v>275</v>
      </c>
      <c r="S285" s="21">
        <v>1.2838700000000001</v>
      </c>
      <c r="T285">
        <f t="shared" si="50"/>
        <v>18.020493827160493</v>
      </c>
      <c r="U285">
        <f t="shared" si="51"/>
        <v>23.152550264197533</v>
      </c>
      <c r="X285" s="9"/>
      <c r="Y285" s="21">
        <v>0.43533300000000003</v>
      </c>
      <c r="Z285" s="21">
        <v>17.263100000000001</v>
      </c>
      <c r="AA285" s="21">
        <v>-1.50116E-2</v>
      </c>
      <c r="AB285" s="21">
        <v>275</v>
      </c>
      <c r="AC285" s="21">
        <v>0.434784</v>
      </c>
      <c r="AD285">
        <f t="shared" si="52"/>
        <v>18.532839506172838</v>
      </c>
      <c r="AE285">
        <f t="shared" si="53"/>
        <v>8.0679566207407412</v>
      </c>
      <c r="AF285" s="9"/>
      <c r="AG285" s="21">
        <v>1.2847900000000001</v>
      </c>
      <c r="AH285" s="21">
        <v>21.122499999999999</v>
      </c>
      <c r="AI285" s="21">
        <v>-1.4645399999999999E-2</v>
      </c>
      <c r="AJ285" s="21">
        <v>275</v>
      </c>
      <c r="AK285" s="21">
        <v>1.2844800000000001</v>
      </c>
      <c r="AL285">
        <f t="shared" si="54"/>
        <v>18.080740740740737</v>
      </c>
      <c r="AM285">
        <f t="shared" si="55"/>
        <v>23.229954896296292</v>
      </c>
      <c r="AP285" s="9"/>
      <c r="AQ285" s="21">
        <v>0.43533300000000003</v>
      </c>
      <c r="AR285" s="21">
        <v>26.647300000000001</v>
      </c>
      <c r="AS285" s="21">
        <v>-1.5048199999999999E-2</v>
      </c>
      <c r="AT285" s="21">
        <v>275</v>
      </c>
      <c r="AU285" s="21">
        <v>0.434753</v>
      </c>
      <c r="AV285">
        <f t="shared" si="56"/>
        <v>18.578024691358021</v>
      </c>
      <c r="AW285">
        <f t="shared" si="57"/>
        <v>8.0876272229629613</v>
      </c>
      <c r="AX285" s="9"/>
      <c r="AY285" s="21">
        <v>1.2847900000000001</v>
      </c>
      <c r="AZ285" s="21">
        <v>30.506799999999998</v>
      </c>
      <c r="BA285" s="21">
        <v>-1.4645399999999999E-2</v>
      </c>
      <c r="BB285" s="21">
        <v>275</v>
      </c>
      <c r="BC285" s="21">
        <v>1.2841800000000001</v>
      </c>
      <c r="BD285">
        <f t="shared" si="58"/>
        <v>18.080740740740737</v>
      </c>
      <c r="BE285">
        <f t="shared" si="59"/>
        <v>23.229954896296292</v>
      </c>
    </row>
    <row r="286" spans="6:101" x14ac:dyDescent="0.25">
      <c r="F286" s="9"/>
      <c r="G286" s="21">
        <v>0.43029800000000001</v>
      </c>
      <c r="H286" s="21">
        <v>7.85792</v>
      </c>
      <c r="I286" s="21">
        <v>-1.5026899999999999E-2</v>
      </c>
      <c r="J286" s="21">
        <v>276</v>
      </c>
      <c r="K286" s="21">
        <v>0.42971799999999999</v>
      </c>
      <c r="L286">
        <f t="shared" si="48"/>
        <v>18.551728395061726</v>
      </c>
      <c r="M286">
        <f t="shared" si="49"/>
        <v>7.9827716249382705</v>
      </c>
      <c r="N286" s="9"/>
      <c r="O286" s="21">
        <v>1.28983</v>
      </c>
      <c r="P286" s="21">
        <v>11.7174</v>
      </c>
      <c r="Q286" s="21">
        <v>-1.45813E-2</v>
      </c>
      <c r="R286" s="21">
        <v>276</v>
      </c>
      <c r="S286" s="21">
        <v>1.2887599999999999</v>
      </c>
      <c r="T286">
        <f t="shared" si="50"/>
        <v>18.001604938271605</v>
      </c>
      <c r="U286">
        <f t="shared" si="51"/>
        <v>23.219010097530866</v>
      </c>
      <c r="X286" s="9"/>
      <c r="Y286" s="21">
        <v>0.43029800000000001</v>
      </c>
      <c r="Z286" s="21">
        <v>17.273099999999999</v>
      </c>
      <c r="AA286" s="21">
        <v>-1.50055E-2</v>
      </c>
      <c r="AB286" s="21">
        <v>276</v>
      </c>
      <c r="AC286" s="21">
        <v>0.42968800000000001</v>
      </c>
      <c r="AD286">
        <f t="shared" si="52"/>
        <v>18.525308641975307</v>
      </c>
      <c r="AE286">
        <f t="shared" si="53"/>
        <v>7.971403258024691</v>
      </c>
      <c r="AF286" s="9"/>
      <c r="AG286" s="21">
        <v>1.28983</v>
      </c>
      <c r="AH286" s="21">
        <v>21.1326</v>
      </c>
      <c r="AI286" s="21">
        <v>-1.46301E-2</v>
      </c>
      <c r="AJ286" s="21">
        <v>276</v>
      </c>
      <c r="AK286" s="21">
        <v>1.2893699999999999</v>
      </c>
      <c r="AL286">
        <f t="shared" si="54"/>
        <v>18.061851851851848</v>
      </c>
      <c r="AM286">
        <f t="shared" si="55"/>
        <v>23.296718374074072</v>
      </c>
      <c r="AP286" s="9"/>
      <c r="AQ286" s="21">
        <v>0.43029800000000001</v>
      </c>
      <c r="AR286" s="21">
        <v>26.657399999999999</v>
      </c>
      <c r="AS286" s="21">
        <v>-1.50513E-2</v>
      </c>
      <c r="AT286" s="21">
        <v>276</v>
      </c>
      <c r="AU286" s="21">
        <v>0.42971799999999999</v>
      </c>
      <c r="AV286">
        <f t="shared" si="56"/>
        <v>18.581851851851848</v>
      </c>
      <c r="AW286">
        <f t="shared" si="57"/>
        <v>7.9957336881481469</v>
      </c>
      <c r="AX286" s="9"/>
      <c r="AY286" s="21">
        <v>1.28983</v>
      </c>
      <c r="AZ286" s="21">
        <v>30.5168</v>
      </c>
      <c r="BA286" s="21">
        <v>-1.4627100000000001E-2</v>
      </c>
      <c r="BB286" s="21">
        <v>276</v>
      </c>
      <c r="BC286" s="21">
        <v>1.2896700000000001</v>
      </c>
      <c r="BD286">
        <f t="shared" si="58"/>
        <v>18.058148148148145</v>
      </c>
      <c r="BE286">
        <f t="shared" si="59"/>
        <v>23.291941225925925</v>
      </c>
    </row>
    <row r="287" spans="6:101" x14ac:dyDescent="0.25">
      <c r="F287" s="9"/>
      <c r="G287" s="21">
        <v>0.42526199999999997</v>
      </c>
      <c r="H287" s="21">
        <v>7.8679899999999998</v>
      </c>
      <c r="I287" s="21">
        <v>-1.50238E-2</v>
      </c>
      <c r="J287" s="21">
        <v>277</v>
      </c>
      <c r="K287" s="21">
        <v>0.424622</v>
      </c>
      <c r="L287">
        <f t="shared" si="48"/>
        <v>18.547901234567902</v>
      </c>
      <c r="M287">
        <f t="shared" si="49"/>
        <v>7.8877175748148147</v>
      </c>
      <c r="N287" s="9"/>
      <c r="O287" s="21">
        <v>1.2948599999999999</v>
      </c>
      <c r="P287" s="21">
        <v>11.727499999999999</v>
      </c>
      <c r="Q287" s="21">
        <v>-1.4563E-2</v>
      </c>
      <c r="R287" s="21">
        <v>277</v>
      </c>
      <c r="S287" s="21">
        <v>1.2939499999999999</v>
      </c>
      <c r="T287">
        <f t="shared" si="50"/>
        <v>17.979012345679013</v>
      </c>
      <c r="U287">
        <f t="shared" si="51"/>
        <v>23.280303925925924</v>
      </c>
      <c r="X287" s="9"/>
      <c r="Y287" s="21">
        <v>0.42526199999999997</v>
      </c>
      <c r="Z287" s="21">
        <v>17.283200000000001</v>
      </c>
      <c r="AA287" s="21">
        <v>-1.50055E-2</v>
      </c>
      <c r="AB287" s="21">
        <v>277</v>
      </c>
      <c r="AC287" s="21">
        <v>0.42465199999999997</v>
      </c>
      <c r="AD287">
        <f t="shared" si="52"/>
        <v>18.525308641975307</v>
      </c>
      <c r="AE287">
        <f t="shared" si="53"/>
        <v>7.878109803703703</v>
      </c>
      <c r="AF287" s="9"/>
      <c r="AG287" s="21">
        <v>1.2948599999999999</v>
      </c>
      <c r="AH287" s="21">
        <v>21.142700000000001</v>
      </c>
      <c r="AI287" s="21">
        <v>-1.4605699999999999E-2</v>
      </c>
      <c r="AJ287" s="21">
        <v>277</v>
      </c>
      <c r="AK287" s="21">
        <v>1.2939499999999999</v>
      </c>
      <c r="AL287">
        <f t="shared" si="54"/>
        <v>18.031728395061727</v>
      </c>
      <c r="AM287">
        <f t="shared" si="55"/>
        <v>23.348563829629626</v>
      </c>
      <c r="AP287" s="9"/>
      <c r="AQ287" s="21">
        <v>0.42526199999999997</v>
      </c>
      <c r="AR287" s="21">
        <v>26.667400000000001</v>
      </c>
      <c r="AS287" s="21">
        <v>-1.50513E-2</v>
      </c>
      <c r="AT287" s="21">
        <v>277</v>
      </c>
      <c r="AU287" s="21">
        <v>0.42471300000000001</v>
      </c>
      <c r="AV287">
        <f t="shared" si="56"/>
        <v>18.581851851851848</v>
      </c>
      <c r="AW287">
        <f t="shared" si="57"/>
        <v>7.90215548222222</v>
      </c>
      <c r="AX287" s="9"/>
      <c r="AY287" s="21">
        <v>1.2948599999999999</v>
      </c>
      <c r="AZ287" s="21">
        <v>30.526900000000001</v>
      </c>
      <c r="BA287" s="21">
        <v>-1.4611799999999999E-2</v>
      </c>
      <c r="BB287" s="21">
        <v>277</v>
      </c>
      <c r="BC287" s="21">
        <v>1.2939499999999999</v>
      </c>
      <c r="BD287">
        <f t="shared" si="58"/>
        <v>18.039259259259257</v>
      </c>
      <c r="BE287">
        <f t="shared" si="59"/>
        <v>23.358315244444441</v>
      </c>
    </row>
    <row r="288" spans="6:101" x14ac:dyDescent="0.25">
      <c r="F288" s="9"/>
      <c r="G288" s="21">
        <v>0.42022700000000002</v>
      </c>
      <c r="H288" s="21">
        <v>7.8780599999999996</v>
      </c>
      <c r="I288" s="21">
        <v>-1.5032999999999999E-2</v>
      </c>
      <c r="J288" s="21">
        <v>278</v>
      </c>
      <c r="K288" s="21">
        <v>0.41964699999999999</v>
      </c>
      <c r="L288">
        <f t="shared" si="48"/>
        <v>18.559259259259257</v>
      </c>
      <c r="M288">
        <f t="shared" si="49"/>
        <v>7.7991018407407395</v>
      </c>
      <c r="N288" s="9"/>
      <c r="O288" s="21">
        <v>1.2999000000000001</v>
      </c>
      <c r="P288" s="21">
        <v>11.737500000000001</v>
      </c>
      <c r="Q288" s="21">
        <v>-1.4544700000000001E-2</v>
      </c>
      <c r="R288" s="21">
        <v>278</v>
      </c>
      <c r="S288" s="21">
        <v>1.2994399999999999</v>
      </c>
      <c r="T288">
        <f t="shared" si="50"/>
        <v>17.956419753086422</v>
      </c>
      <c r="U288">
        <f t="shared" si="51"/>
        <v>23.341550037037042</v>
      </c>
      <c r="X288" s="9"/>
      <c r="Y288" s="21">
        <v>0.42022700000000002</v>
      </c>
      <c r="Z288" s="21">
        <v>17.293299999999999</v>
      </c>
      <c r="AA288" s="21">
        <v>-1.50116E-2</v>
      </c>
      <c r="AB288" s="21">
        <v>278</v>
      </c>
      <c r="AC288" s="21">
        <v>0.41964699999999999</v>
      </c>
      <c r="AD288">
        <f t="shared" si="52"/>
        <v>18.532839506172838</v>
      </c>
      <c r="AE288">
        <f t="shared" si="53"/>
        <v>7.7879995471604939</v>
      </c>
      <c r="AF288" s="9"/>
      <c r="AG288" s="21">
        <v>1.2999000000000001</v>
      </c>
      <c r="AH288" s="21">
        <v>21.152699999999999</v>
      </c>
      <c r="AI288" s="21">
        <v>-1.4584400000000001E-2</v>
      </c>
      <c r="AJ288" s="21">
        <v>278</v>
      </c>
      <c r="AK288" s="21">
        <v>1.2991299999999999</v>
      </c>
      <c r="AL288">
        <f t="shared" si="54"/>
        <v>18.005432098765432</v>
      </c>
      <c r="AM288">
        <f t="shared" si="55"/>
        <v>23.405261185185186</v>
      </c>
      <c r="AP288" s="9"/>
      <c r="AQ288" s="21">
        <v>0.42022700000000002</v>
      </c>
      <c r="AR288" s="21">
        <v>26.677499999999998</v>
      </c>
      <c r="AS288" s="21">
        <v>-1.50513E-2</v>
      </c>
      <c r="AT288" s="21">
        <v>278</v>
      </c>
      <c r="AU288" s="21">
        <v>0.41955599999999998</v>
      </c>
      <c r="AV288">
        <f t="shared" si="56"/>
        <v>18.581851851851848</v>
      </c>
      <c r="AW288">
        <f t="shared" si="57"/>
        <v>7.8085958581481467</v>
      </c>
      <c r="AX288" s="9"/>
      <c r="AY288" s="21">
        <v>1.2999000000000001</v>
      </c>
      <c r="AZ288" s="21">
        <v>30.536999999999999</v>
      </c>
      <c r="BA288" s="21">
        <v>-1.46027E-2</v>
      </c>
      <c r="BB288" s="21">
        <v>278</v>
      </c>
      <c r="BC288" s="21">
        <v>1.2994399999999999</v>
      </c>
      <c r="BD288">
        <f t="shared" si="58"/>
        <v>18.028024691358024</v>
      </c>
      <c r="BE288">
        <f t="shared" si="59"/>
        <v>23.434629296296297</v>
      </c>
    </row>
    <row r="289" spans="6:57" x14ac:dyDescent="0.25">
      <c r="F289" s="9"/>
      <c r="G289" s="21">
        <v>0.41519200000000001</v>
      </c>
      <c r="H289" s="21">
        <v>7.8881300000000003</v>
      </c>
      <c r="I289" s="21">
        <v>-1.5032999999999999E-2</v>
      </c>
      <c r="J289" s="21">
        <v>279</v>
      </c>
      <c r="K289" s="21">
        <v>0.414551</v>
      </c>
      <c r="L289">
        <f t="shared" si="48"/>
        <v>18.559259259259257</v>
      </c>
      <c r="M289">
        <f t="shared" si="49"/>
        <v>7.7056559703703691</v>
      </c>
      <c r="N289" s="9"/>
      <c r="O289" s="21">
        <v>1.3049299999999999</v>
      </c>
      <c r="P289" s="21">
        <v>11.7476</v>
      </c>
      <c r="Q289" s="21">
        <v>-1.45294E-2</v>
      </c>
      <c r="R289" s="21">
        <v>279</v>
      </c>
      <c r="S289" s="21">
        <v>1.3043199999999999</v>
      </c>
      <c r="T289">
        <f t="shared" si="50"/>
        <v>17.93753086419753</v>
      </c>
      <c r="U289">
        <f t="shared" si="51"/>
        <v>23.407222150617283</v>
      </c>
      <c r="X289" s="9"/>
      <c r="Y289" s="21">
        <v>0.41519200000000001</v>
      </c>
      <c r="Z289" s="21">
        <v>17.3033</v>
      </c>
      <c r="AA289" s="21">
        <v>-1.50177E-2</v>
      </c>
      <c r="AB289" s="21">
        <v>279</v>
      </c>
      <c r="AC289" s="21">
        <v>0.41461199999999998</v>
      </c>
      <c r="AD289">
        <f t="shared" si="52"/>
        <v>18.540370370370372</v>
      </c>
      <c r="AE289">
        <f t="shared" si="53"/>
        <v>7.6978134548148152</v>
      </c>
      <c r="AF289" s="9"/>
      <c r="AG289" s="21">
        <v>1.3049299999999999</v>
      </c>
      <c r="AH289" s="21">
        <v>21.162800000000001</v>
      </c>
      <c r="AI289" s="21">
        <v>-1.45691E-2</v>
      </c>
      <c r="AJ289" s="21">
        <v>279</v>
      </c>
      <c r="AK289" s="21">
        <v>1.30402</v>
      </c>
      <c r="AL289">
        <f t="shared" si="54"/>
        <v>17.98654320987654</v>
      </c>
      <c r="AM289">
        <f t="shared" si="55"/>
        <v>23.471179830864191</v>
      </c>
      <c r="AP289" s="9"/>
      <c r="AQ289" s="21">
        <v>0.41519200000000001</v>
      </c>
      <c r="AR289" s="21">
        <v>26.6876</v>
      </c>
      <c r="AS289" s="21">
        <v>-1.5048199999999999E-2</v>
      </c>
      <c r="AT289" s="21">
        <v>279</v>
      </c>
      <c r="AU289" s="21">
        <v>0.41458099999999998</v>
      </c>
      <c r="AV289">
        <f t="shared" si="56"/>
        <v>18.578024691358021</v>
      </c>
      <c r="AW289">
        <f t="shared" si="57"/>
        <v>7.7134472276543198</v>
      </c>
      <c r="AX289" s="9"/>
      <c r="AY289" s="21">
        <v>1.3049299999999999</v>
      </c>
      <c r="AZ289" s="21">
        <v>30.5471</v>
      </c>
      <c r="BA289" s="21">
        <v>-1.4590499999999999E-2</v>
      </c>
      <c r="BB289" s="21">
        <v>279</v>
      </c>
      <c r="BC289" s="21">
        <v>1.30463</v>
      </c>
      <c r="BD289">
        <f t="shared" si="58"/>
        <v>18.012962962962959</v>
      </c>
      <c r="BE289">
        <f t="shared" si="59"/>
        <v>23.505655759259252</v>
      </c>
    </row>
    <row r="290" spans="6:57" x14ac:dyDescent="0.25">
      <c r="F290" s="9"/>
      <c r="G290" s="21">
        <v>0.41015600000000002</v>
      </c>
      <c r="H290" s="21">
        <v>7.8982000000000001</v>
      </c>
      <c r="I290" s="21">
        <v>-1.5020800000000001E-2</v>
      </c>
      <c r="J290" s="21">
        <v>280</v>
      </c>
      <c r="K290" s="21">
        <v>0.40951500000000002</v>
      </c>
      <c r="L290">
        <f t="shared" si="48"/>
        <v>18.544197530864199</v>
      </c>
      <c r="M290">
        <f t="shared" si="49"/>
        <v>7.6060138824691368</v>
      </c>
      <c r="N290" s="9"/>
      <c r="O290" s="21">
        <v>1.3099700000000001</v>
      </c>
      <c r="P290" s="21">
        <v>11.7577</v>
      </c>
      <c r="Q290" s="21">
        <v>-1.4517199999999999E-2</v>
      </c>
      <c r="R290" s="21">
        <v>280</v>
      </c>
      <c r="S290" s="21">
        <v>1.30951</v>
      </c>
      <c r="T290">
        <f t="shared" si="50"/>
        <v>17.922469135802466</v>
      </c>
      <c r="U290">
        <f t="shared" si="51"/>
        <v>23.477896893827157</v>
      </c>
      <c r="X290" s="9"/>
      <c r="Y290" s="21">
        <v>0.41015600000000002</v>
      </c>
      <c r="Z290" s="21">
        <v>17.313400000000001</v>
      </c>
      <c r="AA290" s="21">
        <v>-1.5026899999999999E-2</v>
      </c>
      <c r="AB290" s="21">
        <v>280</v>
      </c>
      <c r="AC290" s="21">
        <v>0.40963699999999997</v>
      </c>
      <c r="AD290">
        <f t="shared" si="52"/>
        <v>18.551728395061726</v>
      </c>
      <c r="AE290">
        <f t="shared" si="53"/>
        <v>7.6091027116049377</v>
      </c>
      <c r="AF290" s="9"/>
      <c r="AG290" s="21">
        <v>1.3099700000000001</v>
      </c>
      <c r="AH290" s="21">
        <v>21.172899999999998</v>
      </c>
      <c r="AI290" s="21">
        <v>-1.4559900000000001E-2</v>
      </c>
      <c r="AJ290" s="21">
        <v>280</v>
      </c>
      <c r="AK290" s="21">
        <v>1.3089</v>
      </c>
      <c r="AL290">
        <f t="shared" si="54"/>
        <v>17.975185185185186</v>
      </c>
      <c r="AM290">
        <f t="shared" si="55"/>
        <v>23.546953337037039</v>
      </c>
      <c r="AP290" s="9"/>
      <c r="AQ290" s="21">
        <v>0.41015600000000002</v>
      </c>
      <c r="AR290" s="21">
        <v>26.697600000000001</v>
      </c>
      <c r="AS290" s="21">
        <v>-1.5032999999999999E-2</v>
      </c>
      <c r="AT290" s="21">
        <v>280</v>
      </c>
      <c r="AU290" s="21">
        <v>0.409576</v>
      </c>
      <c r="AV290">
        <f t="shared" si="56"/>
        <v>18.559259259259257</v>
      </c>
      <c r="AW290">
        <f t="shared" si="57"/>
        <v>7.6121915407407403</v>
      </c>
      <c r="AX290" s="9"/>
      <c r="AY290" s="21">
        <v>1.3099700000000001</v>
      </c>
      <c r="AZ290" s="21">
        <v>30.557099999999998</v>
      </c>
      <c r="BA290" s="21">
        <v>-1.45691E-2</v>
      </c>
      <c r="BB290" s="21">
        <v>280</v>
      </c>
      <c r="BC290" s="21">
        <v>1.30951</v>
      </c>
      <c r="BD290">
        <f t="shared" si="58"/>
        <v>17.98654320987654</v>
      </c>
      <c r="BE290">
        <f t="shared" si="59"/>
        <v>23.561832008641971</v>
      </c>
    </row>
    <row r="291" spans="6:57" x14ac:dyDescent="0.25">
      <c r="F291" s="9"/>
      <c r="G291" s="21">
        <v>0.40512100000000001</v>
      </c>
      <c r="H291" s="21">
        <v>7.9082699999999999</v>
      </c>
      <c r="I291" s="21">
        <v>-1.5014599999999999E-2</v>
      </c>
      <c r="J291" s="21">
        <v>281</v>
      </c>
      <c r="K291" s="21">
        <v>0.40454099999999998</v>
      </c>
      <c r="L291">
        <f t="shared" si="48"/>
        <v>18.536543209876541</v>
      </c>
      <c r="M291">
        <f t="shared" si="49"/>
        <v>7.5095429217283947</v>
      </c>
      <c r="N291" s="9"/>
      <c r="O291" s="21">
        <v>1.3149999999999999</v>
      </c>
      <c r="P291" s="21">
        <v>11.7677</v>
      </c>
      <c r="Q291" s="21">
        <v>-1.4508099999999999E-2</v>
      </c>
      <c r="R291" s="21">
        <v>281</v>
      </c>
      <c r="S291" s="21">
        <v>1.3149999999999999</v>
      </c>
      <c r="T291">
        <f t="shared" si="50"/>
        <v>17.911234567901232</v>
      </c>
      <c r="U291">
        <f t="shared" si="51"/>
        <v>23.553273456790119</v>
      </c>
      <c r="X291" s="9"/>
      <c r="Y291" s="21">
        <v>0.40512100000000001</v>
      </c>
      <c r="Z291" s="21">
        <v>17.323499999999999</v>
      </c>
      <c r="AA291" s="21">
        <v>-1.5029900000000001E-2</v>
      </c>
      <c r="AB291" s="21">
        <v>281</v>
      </c>
      <c r="AC291" s="21">
        <v>0.40460200000000002</v>
      </c>
      <c r="AD291">
        <f t="shared" si="52"/>
        <v>18.555432098765429</v>
      </c>
      <c r="AE291">
        <f t="shared" si="53"/>
        <v>7.5171952072839501</v>
      </c>
      <c r="AF291" s="9"/>
      <c r="AG291" s="21">
        <v>1.3149999999999999</v>
      </c>
      <c r="AH291" s="21">
        <v>21.183</v>
      </c>
      <c r="AI291" s="21">
        <v>-1.4563E-2</v>
      </c>
      <c r="AJ291" s="21">
        <v>281</v>
      </c>
      <c r="AK291" s="21">
        <v>1.31409</v>
      </c>
      <c r="AL291">
        <f t="shared" si="54"/>
        <v>17.979012345679013</v>
      </c>
      <c r="AM291">
        <f t="shared" si="55"/>
        <v>23.642401234567902</v>
      </c>
      <c r="AP291" s="9"/>
      <c r="AQ291" s="21">
        <v>0.40512100000000001</v>
      </c>
      <c r="AR291" s="21">
        <v>26.707699999999999</v>
      </c>
      <c r="AS291" s="21">
        <v>-1.5026899999999999E-2</v>
      </c>
      <c r="AT291" s="21">
        <v>281</v>
      </c>
      <c r="AU291" s="21">
        <v>0.40454099999999998</v>
      </c>
      <c r="AV291">
        <f t="shared" si="56"/>
        <v>18.551728395061726</v>
      </c>
      <c r="AW291">
        <f t="shared" si="57"/>
        <v>7.5156947591358021</v>
      </c>
      <c r="AX291" s="9"/>
      <c r="AY291" s="21">
        <v>1.3149999999999999</v>
      </c>
      <c r="AZ291" s="21">
        <v>30.5672</v>
      </c>
      <c r="BA291" s="21">
        <v>-1.4556899999999999E-2</v>
      </c>
      <c r="BB291" s="21">
        <v>281</v>
      </c>
      <c r="BC291" s="21">
        <v>1.3143899999999999</v>
      </c>
      <c r="BD291">
        <f t="shared" si="58"/>
        <v>17.971481481481479</v>
      </c>
      <c r="BE291">
        <f t="shared" si="59"/>
        <v>23.632498148148144</v>
      </c>
    </row>
    <row r="292" spans="6:57" x14ac:dyDescent="0.25">
      <c r="F292" s="9"/>
      <c r="G292" s="21">
        <v>0.40008500000000002</v>
      </c>
      <c r="H292" s="21">
        <v>7.9183399999999997</v>
      </c>
      <c r="I292" s="21">
        <v>-1.5020800000000001E-2</v>
      </c>
      <c r="J292" s="21">
        <v>282</v>
      </c>
      <c r="K292" s="21">
        <v>0.39947500000000002</v>
      </c>
      <c r="L292">
        <f t="shared" si="48"/>
        <v>18.544197530864199</v>
      </c>
      <c r="M292">
        <f t="shared" si="49"/>
        <v>7.419255269135804</v>
      </c>
      <c r="N292" s="9"/>
      <c r="O292" s="21">
        <v>1.3200400000000001</v>
      </c>
      <c r="P292" s="21">
        <v>11.777799999999999</v>
      </c>
      <c r="Q292" s="21">
        <v>-1.4501999999999999E-2</v>
      </c>
      <c r="R292" s="21">
        <v>282</v>
      </c>
      <c r="S292" s="21">
        <v>1.31897</v>
      </c>
      <c r="T292">
        <f t="shared" si="50"/>
        <v>17.903703703703702</v>
      </c>
      <c r="U292">
        <f t="shared" si="51"/>
        <v>23.633605037037036</v>
      </c>
      <c r="X292" s="9"/>
      <c r="Y292" s="21">
        <v>0.40008500000000002</v>
      </c>
      <c r="Z292" s="21">
        <v>17.333600000000001</v>
      </c>
      <c r="AA292" s="21">
        <v>-1.50513E-2</v>
      </c>
      <c r="AB292" s="21">
        <v>282</v>
      </c>
      <c r="AC292" s="21">
        <v>0.39944499999999999</v>
      </c>
      <c r="AD292">
        <f t="shared" si="52"/>
        <v>18.581851851851848</v>
      </c>
      <c r="AE292">
        <f t="shared" si="53"/>
        <v>7.4343201981481473</v>
      </c>
      <c r="AF292" s="9"/>
      <c r="AG292" s="21">
        <v>1.3200400000000001</v>
      </c>
      <c r="AH292" s="21">
        <v>21.193000000000001</v>
      </c>
      <c r="AI292" s="21">
        <v>-1.4556899999999999E-2</v>
      </c>
      <c r="AJ292" s="21">
        <v>282</v>
      </c>
      <c r="AK292" s="21">
        <v>1.31958</v>
      </c>
      <c r="AL292">
        <f t="shared" si="54"/>
        <v>17.971481481481479</v>
      </c>
      <c r="AM292">
        <f t="shared" si="55"/>
        <v>23.723074414814814</v>
      </c>
      <c r="AP292" s="9"/>
      <c r="AQ292" s="21">
        <v>0.40008500000000002</v>
      </c>
      <c r="AR292" s="21">
        <v>26.7178</v>
      </c>
      <c r="AS292" s="21">
        <v>-1.50238E-2</v>
      </c>
      <c r="AT292" s="21">
        <v>282</v>
      </c>
      <c r="AU292" s="21">
        <v>0.39947500000000002</v>
      </c>
      <c r="AV292">
        <f t="shared" si="56"/>
        <v>18.547901234567902</v>
      </c>
      <c r="AW292">
        <f t="shared" si="57"/>
        <v>7.4207370654320997</v>
      </c>
      <c r="AX292" s="9"/>
      <c r="AY292" s="21">
        <v>1.3200400000000001</v>
      </c>
      <c r="AZ292" s="21">
        <v>30.577300000000001</v>
      </c>
      <c r="BA292" s="21">
        <v>-1.4550799999999999E-2</v>
      </c>
      <c r="BB292" s="21">
        <v>282</v>
      </c>
      <c r="BC292" s="21">
        <v>1.31897</v>
      </c>
      <c r="BD292">
        <f t="shared" si="58"/>
        <v>17.963950617283949</v>
      </c>
      <c r="BE292">
        <f t="shared" si="59"/>
        <v>23.713133372839504</v>
      </c>
    </row>
    <row r="293" spans="6:57" x14ac:dyDescent="0.25">
      <c r="F293" s="9"/>
      <c r="G293" s="21">
        <v>0.39505000000000001</v>
      </c>
      <c r="H293" s="21">
        <v>7.92842</v>
      </c>
      <c r="I293" s="21">
        <v>-1.50177E-2</v>
      </c>
      <c r="J293" s="21">
        <v>283</v>
      </c>
      <c r="K293" s="21">
        <v>0.39456200000000002</v>
      </c>
      <c r="L293">
        <f t="shared" si="48"/>
        <v>18.540370370370372</v>
      </c>
      <c r="M293">
        <f t="shared" si="49"/>
        <v>7.3243733148148156</v>
      </c>
      <c r="N293" s="9"/>
      <c r="O293" s="21">
        <v>1.32507</v>
      </c>
      <c r="P293" s="21">
        <v>11.7879</v>
      </c>
      <c r="Q293" s="21">
        <v>-1.4483599999999999E-2</v>
      </c>
      <c r="R293" s="21">
        <v>283</v>
      </c>
      <c r="S293" s="21">
        <v>1.32446</v>
      </c>
      <c r="T293">
        <f t="shared" si="50"/>
        <v>17.880987654320986</v>
      </c>
      <c r="U293">
        <f t="shared" si="51"/>
        <v>23.69356031111111</v>
      </c>
      <c r="X293" s="9"/>
      <c r="Y293" s="21">
        <v>0.39505000000000001</v>
      </c>
      <c r="Z293" s="21">
        <v>17.343599999999999</v>
      </c>
      <c r="AA293" s="21">
        <v>-1.5069600000000001E-2</v>
      </c>
      <c r="AB293" s="21">
        <v>283</v>
      </c>
      <c r="AC293" s="21">
        <v>0.39444000000000001</v>
      </c>
      <c r="AD293">
        <f t="shared" si="52"/>
        <v>18.604444444444443</v>
      </c>
      <c r="AE293">
        <f t="shared" si="53"/>
        <v>7.3496857777777773</v>
      </c>
      <c r="AF293" s="9"/>
      <c r="AG293" s="21">
        <v>1.32507</v>
      </c>
      <c r="AH293" s="21">
        <v>21.203099999999999</v>
      </c>
      <c r="AI293" s="21">
        <v>-1.45416E-2</v>
      </c>
      <c r="AJ293" s="21">
        <v>283</v>
      </c>
      <c r="AK293" s="21">
        <v>1.32446</v>
      </c>
      <c r="AL293">
        <f t="shared" si="54"/>
        <v>17.952592592592595</v>
      </c>
      <c r="AM293">
        <f t="shared" si="55"/>
        <v>23.78844186666667</v>
      </c>
      <c r="AP293" s="9"/>
      <c r="AQ293" s="21">
        <v>0.39505000000000001</v>
      </c>
      <c r="AR293" s="21">
        <v>26.727900000000002</v>
      </c>
      <c r="AS293" s="21">
        <v>-1.50177E-2</v>
      </c>
      <c r="AT293" s="21">
        <v>283</v>
      </c>
      <c r="AU293" s="21">
        <v>0.39446999999999999</v>
      </c>
      <c r="AV293">
        <f t="shared" si="56"/>
        <v>18.540370370370372</v>
      </c>
      <c r="AW293">
        <f t="shared" si="57"/>
        <v>7.3243733148148156</v>
      </c>
      <c r="AX293" s="9"/>
      <c r="AY293" s="21">
        <v>1.32507</v>
      </c>
      <c r="AZ293" s="21">
        <v>30.587299999999999</v>
      </c>
      <c r="BA293" s="21">
        <v>-1.45355E-2</v>
      </c>
      <c r="BB293" s="21">
        <v>283</v>
      </c>
      <c r="BC293" s="21">
        <v>1.32385</v>
      </c>
      <c r="BD293">
        <f t="shared" si="58"/>
        <v>17.945061728395061</v>
      </c>
      <c r="BE293">
        <f t="shared" si="59"/>
        <v>23.778462944444442</v>
      </c>
    </row>
    <row r="294" spans="6:57" x14ac:dyDescent="0.25">
      <c r="F294" s="9"/>
      <c r="G294" s="21">
        <v>0.390015</v>
      </c>
      <c r="H294" s="21">
        <v>7.9384899999999998</v>
      </c>
      <c r="I294" s="21">
        <v>-1.50238E-2</v>
      </c>
      <c r="J294" s="21">
        <v>284</v>
      </c>
      <c r="K294" s="21">
        <v>0.38952599999999998</v>
      </c>
      <c r="L294">
        <f t="shared" si="48"/>
        <v>18.547901234567902</v>
      </c>
      <c r="M294">
        <f t="shared" si="49"/>
        <v>7.2339597000000007</v>
      </c>
      <c r="N294" s="9"/>
      <c r="O294" s="21">
        <v>1.3301099999999999</v>
      </c>
      <c r="P294" s="21">
        <v>11.798</v>
      </c>
      <c r="Q294" s="21">
        <v>-1.4477500000000001E-2</v>
      </c>
      <c r="R294" s="21">
        <v>284</v>
      </c>
      <c r="S294" s="21">
        <v>1.32935</v>
      </c>
      <c r="T294">
        <f t="shared" si="50"/>
        <v>17.873456790123456</v>
      </c>
      <c r="U294">
        <f t="shared" si="51"/>
        <v>23.773663611111107</v>
      </c>
      <c r="X294" s="9"/>
      <c r="Y294" s="21">
        <v>0.390015</v>
      </c>
      <c r="Z294" s="21">
        <v>17.3537</v>
      </c>
      <c r="AA294" s="21">
        <v>-1.50726E-2</v>
      </c>
      <c r="AB294" s="21">
        <v>284</v>
      </c>
      <c r="AC294" s="21">
        <v>0.38931300000000002</v>
      </c>
      <c r="AD294">
        <f t="shared" si="52"/>
        <v>18.60814814814815</v>
      </c>
      <c r="AE294">
        <f t="shared" si="53"/>
        <v>7.2574569000000002</v>
      </c>
      <c r="AF294" s="9"/>
      <c r="AG294" s="21">
        <v>1.3301099999999999</v>
      </c>
      <c r="AH294" s="21">
        <v>21.213200000000001</v>
      </c>
      <c r="AI294" s="21">
        <v>-1.45264E-2</v>
      </c>
      <c r="AJ294" s="21">
        <v>284</v>
      </c>
      <c r="AK294" s="21">
        <v>1.32996</v>
      </c>
      <c r="AL294">
        <f t="shared" si="54"/>
        <v>17.933827160493827</v>
      </c>
      <c r="AM294">
        <f t="shared" si="55"/>
        <v>23.853962844444442</v>
      </c>
      <c r="AP294" s="9"/>
      <c r="AQ294" s="21">
        <v>0.390015</v>
      </c>
      <c r="AR294" s="21">
        <v>26.7379</v>
      </c>
      <c r="AS294" s="21">
        <v>-1.50116E-2</v>
      </c>
      <c r="AT294" s="21">
        <v>284</v>
      </c>
      <c r="AU294" s="21">
        <v>0.389374</v>
      </c>
      <c r="AV294">
        <f t="shared" si="56"/>
        <v>18.532839506172838</v>
      </c>
      <c r="AW294">
        <f t="shared" si="57"/>
        <v>7.2280853999999994</v>
      </c>
      <c r="AX294" s="9"/>
      <c r="AY294" s="21">
        <v>1.3301099999999999</v>
      </c>
      <c r="AZ294" s="21">
        <v>30.5974</v>
      </c>
      <c r="BA294" s="21">
        <v>-1.45294E-2</v>
      </c>
      <c r="BB294" s="21">
        <v>284</v>
      </c>
      <c r="BC294" s="21">
        <v>1.32935</v>
      </c>
      <c r="BD294">
        <f t="shared" si="58"/>
        <v>17.93753086419753</v>
      </c>
      <c r="BE294">
        <f t="shared" si="59"/>
        <v>23.858889177777776</v>
      </c>
    </row>
    <row r="295" spans="6:57" x14ac:dyDescent="0.25">
      <c r="F295" s="9"/>
      <c r="G295" s="21">
        <v>0.38497900000000002</v>
      </c>
      <c r="H295" s="21">
        <v>7.9485599999999996</v>
      </c>
      <c r="I295" s="21">
        <v>-1.5020800000000001E-2</v>
      </c>
      <c r="J295" s="21">
        <v>285</v>
      </c>
      <c r="K295" s="21">
        <v>0.38433800000000001</v>
      </c>
      <c r="L295">
        <f t="shared" si="48"/>
        <v>18.544197530864199</v>
      </c>
      <c r="M295">
        <f t="shared" si="49"/>
        <v>7.1391266212345688</v>
      </c>
      <c r="N295" s="9"/>
      <c r="O295" s="21">
        <v>1.33514</v>
      </c>
      <c r="P295" s="21">
        <v>11.808</v>
      </c>
      <c r="Q295" s="21">
        <v>-1.4477500000000001E-2</v>
      </c>
      <c r="R295" s="21">
        <v>285</v>
      </c>
      <c r="S295" s="21">
        <v>1.33453</v>
      </c>
      <c r="T295">
        <f t="shared" si="50"/>
        <v>17.873456790123456</v>
      </c>
      <c r="U295">
        <f t="shared" si="51"/>
        <v>23.863567098765429</v>
      </c>
      <c r="X295" s="9"/>
      <c r="Y295" s="21">
        <v>0.38497900000000002</v>
      </c>
      <c r="Z295" s="21">
        <v>17.363800000000001</v>
      </c>
      <c r="AA295" s="21">
        <v>-1.5075699999999999E-2</v>
      </c>
      <c r="AB295" s="21">
        <v>285</v>
      </c>
      <c r="AC295" s="21">
        <v>0.384521</v>
      </c>
      <c r="AD295">
        <f t="shared" si="52"/>
        <v>18.611975308641973</v>
      </c>
      <c r="AE295">
        <f t="shared" si="53"/>
        <v>7.1652196423456784</v>
      </c>
      <c r="AF295" s="9"/>
      <c r="AG295" s="21">
        <v>1.33514</v>
      </c>
      <c r="AH295" s="21">
        <v>21.223199999999999</v>
      </c>
      <c r="AI295" s="21">
        <v>-1.4508099999999999E-2</v>
      </c>
      <c r="AJ295" s="21">
        <v>285</v>
      </c>
      <c r="AK295" s="21">
        <v>1.33484</v>
      </c>
      <c r="AL295">
        <f t="shared" si="54"/>
        <v>17.911234567901232</v>
      </c>
      <c r="AM295">
        <f t="shared" si="55"/>
        <v>23.91400572098765</v>
      </c>
      <c r="AP295" s="9"/>
      <c r="AQ295" s="21">
        <v>0.38497900000000002</v>
      </c>
      <c r="AR295" s="21">
        <v>26.748000000000001</v>
      </c>
      <c r="AS295" s="21">
        <v>-1.50116E-2</v>
      </c>
      <c r="AT295" s="21">
        <v>285</v>
      </c>
      <c r="AU295" s="21">
        <v>0.38436900000000002</v>
      </c>
      <c r="AV295">
        <f t="shared" si="56"/>
        <v>18.532839506172838</v>
      </c>
      <c r="AW295">
        <f t="shared" si="57"/>
        <v>7.1347540202469135</v>
      </c>
      <c r="AX295" s="9"/>
      <c r="AY295" s="21">
        <v>1.33514</v>
      </c>
      <c r="AZ295" s="21">
        <v>30.607500000000002</v>
      </c>
      <c r="BA295" s="21">
        <v>-1.45264E-2</v>
      </c>
      <c r="BB295" s="21">
        <v>285</v>
      </c>
      <c r="BC295" s="21">
        <v>1.33453</v>
      </c>
      <c r="BD295">
        <f t="shared" si="58"/>
        <v>17.933827160493827</v>
      </c>
      <c r="BE295">
        <f t="shared" si="59"/>
        <v>23.944169995061728</v>
      </c>
    </row>
    <row r="296" spans="6:57" x14ac:dyDescent="0.25">
      <c r="F296" s="9"/>
      <c r="G296" s="21">
        <v>0.379944</v>
      </c>
      <c r="H296" s="21">
        <v>7.9586300000000003</v>
      </c>
      <c r="I296" s="21">
        <v>-1.5029900000000001E-2</v>
      </c>
      <c r="J296" s="21">
        <v>286</v>
      </c>
      <c r="K296" s="21">
        <v>0.37936399999999998</v>
      </c>
      <c r="L296">
        <f t="shared" si="48"/>
        <v>18.555432098765429</v>
      </c>
      <c r="M296">
        <f t="shared" si="49"/>
        <v>7.0500250933333319</v>
      </c>
      <c r="N296" s="9"/>
      <c r="O296" s="21">
        <v>1.3401799999999999</v>
      </c>
      <c r="P296" s="21">
        <v>11.818099999999999</v>
      </c>
      <c r="Q296" s="21">
        <v>-1.4477500000000001E-2</v>
      </c>
      <c r="R296" s="21">
        <v>286</v>
      </c>
      <c r="S296" s="21">
        <v>1.3394200000000001</v>
      </c>
      <c r="T296">
        <f t="shared" si="50"/>
        <v>17.873456790123456</v>
      </c>
      <c r="U296">
        <f t="shared" si="51"/>
        <v>23.953649320987651</v>
      </c>
      <c r="X296" s="9"/>
      <c r="Y296" s="21">
        <v>0.379944</v>
      </c>
      <c r="Z296" s="21">
        <v>17.373799999999999</v>
      </c>
      <c r="AA296" s="21">
        <v>-1.5081799999999999E-2</v>
      </c>
      <c r="AB296" s="21">
        <v>286</v>
      </c>
      <c r="AC296" s="21">
        <v>0.37936399999999998</v>
      </c>
      <c r="AD296">
        <f t="shared" si="52"/>
        <v>18.619506172839504</v>
      </c>
      <c r="AE296">
        <f t="shared" si="53"/>
        <v>7.0743696533333322</v>
      </c>
      <c r="AF296" s="9"/>
      <c r="AG296" s="21">
        <v>1.3401799999999999</v>
      </c>
      <c r="AH296" s="21">
        <v>21.2333</v>
      </c>
      <c r="AI296" s="21">
        <v>-1.44928E-2</v>
      </c>
      <c r="AJ296" s="21">
        <v>286</v>
      </c>
      <c r="AK296" s="21">
        <v>1.3394200000000001</v>
      </c>
      <c r="AL296">
        <f t="shared" si="54"/>
        <v>17.892345679012344</v>
      </c>
      <c r="AM296">
        <f t="shared" si="55"/>
        <v>23.97896383209876</v>
      </c>
      <c r="AP296" s="9"/>
      <c r="AQ296" s="21">
        <v>0.379944</v>
      </c>
      <c r="AR296" s="21">
        <v>26.758099999999999</v>
      </c>
      <c r="AS296" s="21">
        <v>-1.50055E-2</v>
      </c>
      <c r="AT296" s="21">
        <v>286</v>
      </c>
      <c r="AU296" s="21">
        <v>0.37948599999999999</v>
      </c>
      <c r="AV296">
        <f t="shared" si="56"/>
        <v>18.525308641975307</v>
      </c>
      <c r="AW296">
        <f t="shared" si="57"/>
        <v>7.0385798666666659</v>
      </c>
      <c r="AX296" s="9"/>
      <c r="AY296" s="21">
        <v>1.3401799999999999</v>
      </c>
      <c r="AZ296" s="21">
        <v>30.6175</v>
      </c>
      <c r="BA296" s="21">
        <v>-1.45142E-2</v>
      </c>
      <c r="BB296" s="21">
        <v>286</v>
      </c>
      <c r="BC296" s="21">
        <v>1.33911</v>
      </c>
      <c r="BD296">
        <f t="shared" si="58"/>
        <v>17.918765432098763</v>
      </c>
      <c r="BE296">
        <f t="shared" si="59"/>
        <v>24.014371056790118</v>
      </c>
    </row>
    <row r="297" spans="6:57" x14ac:dyDescent="0.25">
      <c r="F297" s="9"/>
      <c r="G297" s="21">
        <v>0.37490800000000002</v>
      </c>
      <c r="H297" s="21">
        <v>7.9687000000000001</v>
      </c>
      <c r="I297" s="21">
        <v>-1.5026899999999999E-2</v>
      </c>
      <c r="J297" s="21">
        <v>287</v>
      </c>
      <c r="K297" s="21">
        <v>0.37432900000000002</v>
      </c>
      <c r="L297">
        <f t="shared" si="48"/>
        <v>18.551728395061726</v>
      </c>
      <c r="M297">
        <f t="shared" si="49"/>
        <v>6.9551913891358019</v>
      </c>
      <c r="N297" s="9"/>
      <c r="O297" s="21">
        <v>1.34521</v>
      </c>
      <c r="P297" s="21">
        <v>11.828200000000001</v>
      </c>
      <c r="Q297" s="21">
        <v>-1.4471400000000001E-2</v>
      </c>
      <c r="R297" s="21">
        <v>287</v>
      </c>
      <c r="S297" s="21">
        <v>1.34399</v>
      </c>
      <c r="T297">
        <f t="shared" si="50"/>
        <v>17.865925925925925</v>
      </c>
      <c r="U297">
        <f t="shared" si="51"/>
        <v>24.033422214814813</v>
      </c>
      <c r="X297" s="9"/>
      <c r="Y297" s="21">
        <v>0.37490800000000002</v>
      </c>
      <c r="Z297" s="21">
        <v>17.383900000000001</v>
      </c>
      <c r="AA297" s="21">
        <v>-1.5094E-2</v>
      </c>
      <c r="AB297" s="21">
        <v>287</v>
      </c>
      <c r="AC297" s="21">
        <v>0.37432900000000002</v>
      </c>
      <c r="AD297">
        <f t="shared" si="52"/>
        <v>18.634567901234568</v>
      </c>
      <c r="AE297">
        <f t="shared" si="53"/>
        <v>6.9862485827160503</v>
      </c>
      <c r="AF297" s="9"/>
      <c r="AG297" s="21">
        <v>1.34521</v>
      </c>
      <c r="AH297" s="21">
        <v>21.243400000000001</v>
      </c>
      <c r="AI297" s="21">
        <v>-1.4477500000000001E-2</v>
      </c>
      <c r="AJ297" s="21">
        <v>287</v>
      </c>
      <c r="AK297" s="21">
        <v>1.3443000000000001</v>
      </c>
      <c r="AL297">
        <f t="shared" si="54"/>
        <v>17.873456790123456</v>
      </c>
      <c r="AM297">
        <f t="shared" si="55"/>
        <v>24.043552808641973</v>
      </c>
      <c r="AP297" s="9"/>
      <c r="AQ297" s="21">
        <v>0.37490800000000002</v>
      </c>
      <c r="AR297" s="21">
        <v>26.7681</v>
      </c>
      <c r="AS297" s="21">
        <v>-1.49994E-2</v>
      </c>
      <c r="AT297" s="21">
        <v>287</v>
      </c>
      <c r="AU297" s="21">
        <v>0.374359</v>
      </c>
      <c r="AV297">
        <f t="shared" si="56"/>
        <v>18.517777777777777</v>
      </c>
      <c r="AW297">
        <f t="shared" si="57"/>
        <v>6.9424630311111111</v>
      </c>
      <c r="AX297" s="9"/>
      <c r="AY297" s="21">
        <v>1.34521</v>
      </c>
      <c r="AZ297" s="21">
        <v>30.627600000000001</v>
      </c>
      <c r="BA297" s="21">
        <v>-1.4505000000000001E-2</v>
      </c>
      <c r="BB297" s="21">
        <v>287</v>
      </c>
      <c r="BC297" s="21">
        <v>1.3446</v>
      </c>
      <c r="BD297">
        <f t="shared" si="58"/>
        <v>17.907407407407408</v>
      </c>
      <c r="BE297">
        <f t="shared" si="59"/>
        <v>24.089223518518519</v>
      </c>
    </row>
    <row r="298" spans="6:57" x14ac:dyDescent="0.25">
      <c r="F298" s="9"/>
      <c r="G298" s="21">
        <v>0.36987300000000001</v>
      </c>
      <c r="H298" s="21">
        <v>7.9787699999999999</v>
      </c>
      <c r="I298" s="21">
        <v>-1.5020800000000001E-2</v>
      </c>
      <c r="J298" s="21">
        <v>288</v>
      </c>
      <c r="K298" s="21">
        <v>0.36932399999999999</v>
      </c>
      <c r="L298">
        <f t="shared" si="48"/>
        <v>18.544197530864199</v>
      </c>
      <c r="M298">
        <f t="shared" si="49"/>
        <v>6.8589979733333344</v>
      </c>
      <c r="N298" s="9"/>
      <c r="O298" s="21">
        <v>1.35025</v>
      </c>
      <c r="P298" s="21">
        <v>11.838200000000001</v>
      </c>
      <c r="Q298" s="21">
        <v>-1.4456200000000001E-2</v>
      </c>
      <c r="R298" s="21">
        <v>288</v>
      </c>
      <c r="S298" s="21">
        <v>1.34918</v>
      </c>
      <c r="T298">
        <f t="shared" si="50"/>
        <v>17.847160493827161</v>
      </c>
      <c r="U298">
        <f t="shared" si="51"/>
        <v>24.098128456790125</v>
      </c>
      <c r="X298" s="9"/>
      <c r="Y298" s="21">
        <v>0.36987300000000001</v>
      </c>
      <c r="Z298" s="21">
        <v>17.393999999999998</v>
      </c>
      <c r="AA298" s="21">
        <v>-1.51001E-2</v>
      </c>
      <c r="AB298" s="21">
        <v>288</v>
      </c>
      <c r="AC298" s="21">
        <v>0.36926300000000001</v>
      </c>
      <c r="AD298">
        <f t="shared" si="52"/>
        <v>18.642098765432099</v>
      </c>
      <c r="AE298">
        <f t="shared" si="53"/>
        <v>6.8952089966666668</v>
      </c>
      <c r="AF298" s="9"/>
      <c r="AG298" s="21">
        <v>1.35025</v>
      </c>
      <c r="AH298" s="21">
        <v>21.253499999999999</v>
      </c>
      <c r="AI298" s="21">
        <v>-1.4462300000000001E-2</v>
      </c>
      <c r="AJ298" s="21">
        <v>288</v>
      </c>
      <c r="AK298" s="21">
        <v>1.34918</v>
      </c>
      <c r="AL298">
        <f t="shared" si="54"/>
        <v>17.854691358024692</v>
      </c>
      <c r="AM298">
        <f t="shared" si="55"/>
        <v>24.10829700617284</v>
      </c>
      <c r="AP298" s="9"/>
      <c r="AQ298" s="21">
        <v>0.36987300000000001</v>
      </c>
      <c r="AR298" s="21">
        <v>26.778199999999998</v>
      </c>
      <c r="AS298" s="21">
        <v>-1.49994E-2</v>
      </c>
      <c r="AT298" s="21">
        <v>288</v>
      </c>
      <c r="AU298" s="21">
        <v>0.36920199999999997</v>
      </c>
      <c r="AV298">
        <f t="shared" si="56"/>
        <v>18.517777777777777</v>
      </c>
      <c r="AW298">
        <f t="shared" si="57"/>
        <v>6.8492260199999997</v>
      </c>
      <c r="AX298" s="9"/>
      <c r="AY298" s="21">
        <v>1.35025</v>
      </c>
      <c r="AZ298" s="21">
        <v>30.637699999999999</v>
      </c>
      <c r="BA298" s="21">
        <v>-1.4489699999999999E-2</v>
      </c>
      <c r="BB298" s="21">
        <v>288</v>
      </c>
      <c r="BC298" s="21">
        <v>1.34979</v>
      </c>
      <c r="BD298">
        <f t="shared" si="58"/>
        <v>17.888518518518516</v>
      </c>
      <c r="BE298">
        <f t="shared" si="59"/>
        <v>24.153972129629626</v>
      </c>
    </row>
    <row r="299" spans="6:57" x14ac:dyDescent="0.25">
      <c r="F299" s="9"/>
      <c r="G299" s="21">
        <v>0.364838</v>
      </c>
      <c r="H299" s="21">
        <v>7.9888399999999997</v>
      </c>
      <c r="I299" s="21">
        <v>-1.50177E-2</v>
      </c>
      <c r="J299" s="21">
        <v>289</v>
      </c>
      <c r="K299" s="21">
        <v>0.36425800000000003</v>
      </c>
      <c r="L299">
        <f t="shared" si="48"/>
        <v>18.540370370370372</v>
      </c>
      <c r="M299">
        <f t="shared" si="49"/>
        <v>6.7642316451851858</v>
      </c>
      <c r="N299" s="9"/>
      <c r="O299" s="21">
        <v>1.3552900000000001</v>
      </c>
      <c r="P299" s="21">
        <v>11.8483</v>
      </c>
      <c r="Q299" s="21">
        <v>-1.4434799999999999E-2</v>
      </c>
      <c r="R299" s="21">
        <v>289</v>
      </c>
      <c r="S299" s="21">
        <v>1.3543700000000001</v>
      </c>
      <c r="T299">
        <f t="shared" si="50"/>
        <v>17.820740740740739</v>
      </c>
      <c r="U299">
        <f t="shared" si="51"/>
        <v>24.152271718518517</v>
      </c>
      <c r="X299" s="9"/>
      <c r="Y299" s="21">
        <v>0.364838</v>
      </c>
      <c r="Z299" s="21">
        <v>17.4041</v>
      </c>
      <c r="AA299" s="21">
        <v>-1.51031E-2</v>
      </c>
      <c r="AB299" s="21">
        <v>289</v>
      </c>
      <c r="AC299" s="21">
        <v>0.364288</v>
      </c>
      <c r="AD299">
        <f t="shared" si="52"/>
        <v>18.645802469135798</v>
      </c>
      <c r="AE299">
        <f t="shared" si="53"/>
        <v>6.8026972812345665</v>
      </c>
      <c r="AF299" s="9"/>
      <c r="AG299" s="21">
        <v>1.3552900000000001</v>
      </c>
      <c r="AH299" s="21">
        <v>21.263500000000001</v>
      </c>
      <c r="AI299" s="21">
        <v>-1.4447E-2</v>
      </c>
      <c r="AJ299" s="21">
        <v>289</v>
      </c>
      <c r="AK299" s="21">
        <v>1.3543700000000001</v>
      </c>
      <c r="AL299">
        <f t="shared" si="54"/>
        <v>17.8358024691358</v>
      </c>
      <c r="AM299">
        <f t="shared" si="55"/>
        <v>24.172684728395058</v>
      </c>
      <c r="AP299" s="9"/>
      <c r="AQ299" s="21">
        <v>0.364838</v>
      </c>
      <c r="AR299" s="21">
        <v>26.7883</v>
      </c>
      <c r="AS299" s="21">
        <v>-1.5002400000000001E-2</v>
      </c>
      <c r="AT299" s="21">
        <v>289</v>
      </c>
      <c r="AU299" s="21">
        <v>0.36425800000000003</v>
      </c>
      <c r="AV299">
        <f t="shared" si="56"/>
        <v>18.521481481481484</v>
      </c>
      <c r="AW299">
        <f t="shared" si="57"/>
        <v>6.7573402607407411</v>
      </c>
      <c r="AX299" s="9"/>
      <c r="AY299" s="21">
        <v>1.3552900000000001</v>
      </c>
      <c r="AZ299" s="21">
        <v>30.6478</v>
      </c>
      <c r="BA299" s="21">
        <v>-1.44653E-2</v>
      </c>
      <c r="BB299" s="21">
        <v>289</v>
      </c>
      <c r="BC299" s="21">
        <v>1.3543700000000001</v>
      </c>
      <c r="BD299">
        <f t="shared" si="58"/>
        <v>17.858395061728395</v>
      </c>
      <c r="BE299">
        <f t="shared" si="59"/>
        <v>24.203304243209878</v>
      </c>
    </row>
    <row r="300" spans="6:57" x14ac:dyDescent="0.25">
      <c r="F300" s="9"/>
      <c r="G300" s="21">
        <v>0.35980200000000001</v>
      </c>
      <c r="H300" s="21">
        <v>7.9989100000000004</v>
      </c>
      <c r="I300" s="21">
        <v>-1.50116E-2</v>
      </c>
      <c r="J300" s="21">
        <v>290</v>
      </c>
      <c r="K300" s="21">
        <v>0.35913099999999998</v>
      </c>
      <c r="L300">
        <f t="shared" si="48"/>
        <v>18.532839506172838</v>
      </c>
      <c r="M300">
        <f t="shared" si="49"/>
        <v>6.6681527199999993</v>
      </c>
      <c r="N300" s="9"/>
      <c r="O300" s="21">
        <v>1.36032</v>
      </c>
      <c r="P300" s="21">
        <v>11.8584</v>
      </c>
      <c r="Q300" s="21">
        <v>-1.44165E-2</v>
      </c>
      <c r="R300" s="21">
        <v>290</v>
      </c>
      <c r="S300" s="21">
        <v>1.3592500000000001</v>
      </c>
      <c r="T300">
        <f t="shared" si="50"/>
        <v>17.798148148148147</v>
      </c>
      <c r="U300">
        <f t="shared" si="51"/>
        <v>24.211176888888886</v>
      </c>
      <c r="X300" s="9"/>
      <c r="Y300" s="21">
        <v>0.35980200000000001</v>
      </c>
      <c r="Z300" s="21">
        <v>17.414100000000001</v>
      </c>
      <c r="AA300" s="21">
        <v>-1.5109300000000001E-2</v>
      </c>
      <c r="AB300" s="21">
        <v>290</v>
      </c>
      <c r="AC300" s="21">
        <v>0.35931400000000002</v>
      </c>
      <c r="AD300">
        <f t="shared" si="52"/>
        <v>18.653456790123457</v>
      </c>
      <c r="AE300">
        <f t="shared" si="53"/>
        <v>6.7115510600000006</v>
      </c>
      <c r="AF300" s="9"/>
      <c r="AG300" s="21">
        <v>1.36032</v>
      </c>
      <c r="AH300" s="21">
        <v>21.273599999999998</v>
      </c>
      <c r="AI300" s="21">
        <v>-1.4428699999999999E-2</v>
      </c>
      <c r="AJ300" s="21">
        <v>290</v>
      </c>
      <c r="AK300" s="21">
        <v>1.3592500000000001</v>
      </c>
      <c r="AL300">
        <f t="shared" si="54"/>
        <v>17.813209876543205</v>
      </c>
      <c r="AM300">
        <f t="shared" si="55"/>
        <v>24.231665659259253</v>
      </c>
      <c r="AP300" s="9"/>
      <c r="AQ300" s="21">
        <v>0.35980200000000001</v>
      </c>
      <c r="AR300" s="21">
        <v>26.798400000000001</v>
      </c>
      <c r="AS300" s="21">
        <v>-1.5008499999999999E-2</v>
      </c>
      <c r="AT300" s="21">
        <v>290</v>
      </c>
      <c r="AU300" s="21">
        <v>0.35919200000000001</v>
      </c>
      <c r="AV300">
        <f t="shared" si="56"/>
        <v>18.529012345679011</v>
      </c>
      <c r="AW300">
        <f t="shared" si="57"/>
        <v>6.6667756999999996</v>
      </c>
      <c r="AX300" s="9"/>
      <c r="AY300" s="21">
        <v>1.36032</v>
      </c>
      <c r="AZ300" s="21">
        <v>30.657800000000002</v>
      </c>
      <c r="BA300" s="21">
        <v>-1.4434799999999999E-2</v>
      </c>
      <c r="BB300" s="21">
        <v>290</v>
      </c>
      <c r="BC300" s="21">
        <v>1.3601700000000001</v>
      </c>
      <c r="BD300">
        <f t="shared" si="58"/>
        <v>17.820740740740739</v>
      </c>
      <c r="BE300">
        <f t="shared" si="59"/>
        <v>24.241910044444442</v>
      </c>
    </row>
    <row r="301" spans="6:57" x14ac:dyDescent="0.25">
      <c r="F301" s="9"/>
      <c r="G301" s="21">
        <v>0.354767</v>
      </c>
      <c r="H301" s="21">
        <v>8.0089799999999993</v>
      </c>
      <c r="I301" s="21">
        <v>-1.5008499999999999E-2</v>
      </c>
      <c r="J301" s="21">
        <v>291</v>
      </c>
      <c r="K301" s="21">
        <v>0.35433999999999999</v>
      </c>
      <c r="L301">
        <f t="shared" si="48"/>
        <v>18.529012345679011</v>
      </c>
      <c r="M301">
        <f t="shared" si="49"/>
        <v>6.5734821228395059</v>
      </c>
      <c r="N301" s="9"/>
      <c r="O301" s="21">
        <v>1.3653599999999999</v>
      </c>
      <c r="P301" s="21">
        <v>11.868499999999999</v>
      </c>
      <c r="Q301" s="21">
        <v>-1.44043E-2</v>
      </c>
      <c r="R301" s="21">
        <v>291</v>
      </c>
      <c r="S301" s="21">
        <v>1.3650500000000001</v>
      </c>
      <c r="T301">
        <f t="shared" si="50"/>
        <v>17.783086419753086</v>
      </c>
      <c r="U301">
        <f t="shared" si="51"/>
        <v>24.280314874074072</v>
      </c>
      <c r="X301" s="9"/>
      <c r="Y301" s="21">
        <v>0.354767</v>
      </c>
      <c r="Z301" s="21">
        <v>17.424199999999999</v>
      </c>
      <c r="AA301" s="21">
        <v>-1.51062E-2</v>
      </c>
      <c r="AB301" s="21">
        <v>291</v>
      </c>
      <c r="AC301" s="21">
        <v>0.35421799999999998</v>
      </c>
      <c r="AD301">
        <f t="shared" si="52"/>
        <v>18.649629629629626</v>
      </c>
      <c r="AE301">
        <f t="shared" si="53"/>
        <v>6.616273154814813</v>
      </c>
      <c r="AF301" s="9"/>
      <c r="AG301" s="21">
        <v>1.3653599999999999</v>
      </c>
      <c r="AH301" s="21">
        <v>21.2837</v>
      </c>
      <c r="AI301" s="21">
        <v>-1.4413499999999999E-2</v>
      </c>
      <c r="AJ301" s="21">
        <v>291</v>
      </c>
      <c r="AK301" s="21">
        <v>1.3644400000000001</v>
      </c>
      <c r="AL301">
        <f t="shared" si="54"/>
        <v>17.794444444444444</v>
      </c>
      <c r="AM301">
        <f t="shared" si="55"/>
        <v>24.295822666666666</v>
      </c>
      <c r="AP301" s="9"/>
      <c r="AQ301" s="21">
        <v>0.354767</v>
      </c>
      <c r="AR301" s="21">
        <v>26.808399999999999</v>
      </c>
      <c r="AS301" s="21">
        <v>-1.5008499999999999E-2</v>
      </c>
      <c r="AT301" s="21">
        <v>291</v>
      </c>
      <c r="AU301" s="21">
        <v>0.35437000000000002</v>
      </c>
      <c r="AV301">
        <f t="shared" si="56"/>
        <v>18.529012345679011</v>
      </c>
      <c r="AW301">
        <f t="shared" si="57"/>
        <v>6.5734821228395059</v>
      </c>
      <c r="AX301" s="9"/>
      <c r="AY301" s="21">
        <v>1.3653599999999999</v>
      </c>
      <c r="AZ301" s="21">
        <v>30.667899999999999</v>
      </c>
      <c r="BA301" s="21">
        <v>-1.4413499999999999E-2</v>
      </c>
      <c r="BB301" s="21">
        <v>291</v>
      </c>
      <c r="BC301" s="21">
        <v>1.3644400000000001</v>
      </c>
      <c r="BD301">
        <f t="shared" si="58"/>
        <v>17.794444444444444</v>
      </c>
      <c r="BE301">
        <f t="shared" si="59"/>
        <v>24.295822666666666</v>
      </c>
    </row>
    <row r="302" spans="6:57" x14ac:dyDescent="0.25">
      <c r="F302" s="9"/>
      <c r="G302" s="21">
        <v>0.34973100000000001</v>
      </c>
      <c r="H302" s="21">
        <v>8.01905</v>
      </c>
      <c r="I302" s="21">
        <v>-1.5002400000000001E-2</v>
      </c>
      <c r="J302" s="21">
        <v>292</v>
      </c>
      <c r="K302" s="21">
        <v>0.34912100000000001</v>
      </c>
      <c r="L302">
        <f t="shared" si="48"/>
        <v>18.521481481481484</v>
      </c>
      <c r="M302">
        <f t="shared" si="49"/>
        <v>6.4775362400000009</v>
      </c>
      <c r="N302" s="9"/>
      <c r="O302" s="21">
        <v>1.37039</v>
      </c>
      <c r="P302" s="21">
        <v>11.878500000000001</v>
      </c>
      <c r="Q302" s="21">
        <v>-1.4395099999999999E-2</v>
      </c>
      <c r="R302" s="21">
        <v>292</v>
      </c>
      <c r="S302" s="21">
        <v>1.3696299999999999</v>
      </c>
      <c r="T302">
        <f t="shared" si="50"/>
        <v>17.771728395061729</v>
      </c>
      <c r="U302">
        <f t="shared" si="51"/>
        <v>24.354198875308644</v>
      </c>
      <c r="X302" s="9"/>
      <c r="Y302" s="21">
        <v>0.34973100000000001</v>
      </c>
      <c r="Z302" s="21">
        <v>17.4343</v>
      </c>
      <c r="AA302" s="21">
        <v>-1.5090900000000001E-2</v>
      </c>
      <c r="AB302" s="21">
        <v>292</v>
      </c>
      <c r="AC302" s="21">
        <v>0.34903000000000001</v>
      </c>
      <c r="AD302">
        <f t="shared" si="52"/>
        <v>18.630740740740741</v>
      </c>
      <c r="AE302">
        <f t="shared" si="53"/>
        <v>6.5157475900000001</v>
      </c>
      <c r="AF302" s="9"/>
      <c r="AG302" s="21">
        <v>1.37039</v>
      </c>
      <c r="AH302" s="21">
        <v>21.293700000000001</v>
      </c>
      <c r="AI302" s="21">
        <v>-1.4401199999999999E-2</v>
      </c>
      <c r="AJ302" s="21">
        <v>292</v>
      </c>
      <c r="AK302" s="21">
        <v>1.3699300000000001</v>
      </c>
      <c r="AL302">
        <f t="shared" si="54"/>
        <v>17.779259259259259</v>
      </c>
      <c r="AM302">
        <f t="shared" si="55"/>
        <v>24.364519096296295</v>
      </c>
      <c r="AP302" s="9"/>
      <c r="AQ302" s="21">
        <v>0.34973100000000001</v>
      </c>
      <c r="AR302" s="21">
        <v>26.8185</v>
      </c>
      <c r="AS302" s="21">
        <v>-1.50055E-2</v>
      </c>
      <c r="AT302" s="21">
        <v>292</v>
      </c>
      <c r="AU302" s="21">
        <v>0.34912100000000001</v>
      </c>
      <c r="AV302">
        <f t="shared" si="56"/>
        <v>18.525308641975307</v>
      </c>
      <c r="AW302">
        <f t="shared" si="57"/>
        <v>6.4788747166666667</v>
      </c>
      <c r="AX302" s="9"/>
      <c r="AY302" s="21">
        <v>1.37039</v>
      </c>
      <c r="AZ302" s="21">
        <v>30.678000000000001</v>
      </c>
      <c r="BA302" s="21">
        <v>-1.43982E-2</v>
      </c>
      <c r="BB302" s="21">
        <v>292</v>
      </c>
      <c r="BC302" s="21">
        <v>1.3696299999999999</v>
      </c>
      <c r="BD302">
        <f t="shared" si="58"/>
        <v>17.775555555555556</v>
      </c>
      <c r="BE302">
        <f t="shared" si="59"/>
        <v>24.359443577777778</v>
      </c>
    </row>
    <row r="303" spans="6:57" x14ac:dyDescent="0.25">
      <c r="F303" s="9"/>
      <c r="G303" s="21">
        <v>0.344696</v>
      </c>
      <c r="H303" s="21">
        <v>8.0291300000000003</v>
      </c>
      <c r="I303" s="21">
        <v>-1.4996300000000001E-2</v>
      </c>
      <c r="J303" s="21">
        <v>293</v>
      </c>
      <c r="K303" s="21">
        <v>0.344086</v>
      </c>
      <c r="L303">
        <f t="shared" si="48"/>
        <v>18.51395061728395</v>
      </c>
      <c r="M303">
        <f t="shared" si="49"/>
        <v>6.3816847219753088</v>
      </c>
      <c r="N303" s="9"/>
      <c r="O303" s="21">
        <v>1.3754299999999999</v>
      </c>
      <c r="P303" s="21">
        <v>11.8886</v>
      </c>
      <c r="Q303" s="21">
        <v>-1.43768E-2</v>
      </c>
      <c r="R303" s="21">
        <v>293</v>
      </c>
      <c r="S303" s="21">
        <v>1.3748199999999999</v>
      </c>
      <c r="T303">
        <f t="shared" si="50"/>
        <v>17.749135802469137</v>
      </c>
      <c r="U303">
        <f t="shared" si="51"/>
        <v>24.412693856790124</v>
      </c>
      <c r="X303" s="9"/>
      <c r="Y303" s="21">
        <v>0.344696</v>
      </c>
      <c r="Z303" s="21">
        <v>17.444299999999998</v>
      </c>
      <c r="AA303" s="21">
        <v>-1.50787E-2</v>
      </c>
      <c r="AB303" s="21">
        <v>293</v>
      </c>
      <c r="AC303" s="21">
        <v>0.34399400000000002</v>
      </c>
      <c r="AD303">
        <f t="shared" si="52"/>
        <v>18.61567901234568</v>
      </c>
      <c r="AE303">
        <f t="shared" si="53"/>
        <v>6.4167500928395063</v>
      </c>
      <c r="AF303" s="9"/>
      <c r="AG303" s="21">
        <v>1.3754299999999999</v>
      </c>
      <c r="AH303" s="21">
        <v>21.303799999999999</v>
      </c>
      <c r="AI303" s="21">
        <v>-1.43921E-2</v>
      </c>
      <c r="AJ303" s="21">
        <v>293</v>
      </c>
      <c r="AK303" s="21">
        <v>1.3748199999999999</v>
      </c>
      <c r="AL303">
        <f t="shared" si="54"/>
        <v>17.768024691358022</v>
      </c>
      <c r="AM303">
        <f t="shared" si="55"/>
        <v>24.438674201234562</v>
      </c>
      <c r="AP303" s="9"/>
      <c r="AQ303" s="21">
        <v>0.344696</v>
      </c>
      <c r="AR303" s="21">
        <v>26.828600000000002</v>
      </c>
      <c r="AS303" s="21">
        <v>-1.50055E-2</v>
      </c>
      <c r="AT303" s="21">
        <v>293</v>
      </c>
      <c r="AU303" s="21">
        <v>0.34402500000000003</v>
      </c>
      <c r="AV303">
        <f t="shared" si="56"/>
        <v>18.525308641975307</v>
      </c>
      <c r="AW303">
        <f t="shared" si="57"/>
        <v>6.3855997876543205</v>
      </c>
      <c r="AX303" s="9"/>
      <c r="AY303" s="21">
        <v>1.3754299999999999</v>
      </c>
      <c r="AZ303" s="21">
        <v>30.687999999999999</v>
      </c>
      <c r="BA303" s="21">
        <v>-1.4379899999999999E-2</v>
      </c>
      <c r="BB303" s="21">
        <v>293</v>
      </c>
      <c r="BC303" s="21">
        <v>1.3748199999999999</v>
      </c>
      <c r="BD303">
        <f t="shared" si="58"/>
        <v>17.752962962962961</v>
      </c>
      <c r="BE303">
        <f t="shared" si="59"/>
        <v>24.417957848148145</v>
      </c>
    </row>
    <row r="304" spans="6:57" x14ac:dyDescent="0.25">
      <c r="F304" s="9"/>
      <c r="G304" s="21">
        <v>0.33966099999999999</v>
      </c>
      <c r="H304" s="21">
        <v>8.0391999999999992</v>
      </c>
      <c r="I304" s="21">
        <v>-1.4993299999999999E-2</v>
      </c>
      <c r="J304" s="21">
        <v>294</v>
      </c>
      <c r="K304" s="21">
        <v>0.33892800000000001</v>
      </c>
      <c r="L304">
        <f t="shared" si="48"/>
        <v>18.510246913580243</v>
      </c>
      <c r="M304">
        <f t="shared" si="49"/>
        <v>6.2872089769135791</v>
      </c>
      <c r="N304" s="9"/>
      <c r="O304" s="21">
        <v>1.38046</v>
      </c>
      <c r="P304" s="21">
        <v>11.8987</v>
      </c>
      <c r="Q304" s="21">
        <v>-1.4367700000000001E-2</v>
      </c>
      <c r="R304" s="21">
        <v>294</v>
      </c>
      <c r="S304" s="21">
        <v>1.38</v>
      </c>
      <c r="T304">
        <f t="shared" si="50"/>
        <v>17.7379012345679</v>
      </c>
      <c r="U304">
        <f t="shared" si="51"/>
        <v>24.486463138271603</v>
      </c>
      <c r="X304" s="9"/>
      <c r="Y304" s="21">
        <v>0.33966099999999999</v>
      </c>
      <c r="Z304" s="21">
        <v>17.4544</v>
      </c>
      <c r="AA304" s="21">
        <v>-1.5075699999999999E-2</v>
      </c>
      <c r="AB304" s="21">
        <v>294</v>
      </c>
      <c r="AC304" s="21">
        <v>0.33908100000000002</v>
      </c>
      <c r="AD304">
        <f t="shared" si="52"/>
        <v>18.611975308641973</v>
      </c>
      <c r="AE304">
        <f t="shared" si="53"/>
        <v>6.3217621453086412</v>
      </c>
      <c r="AF304" s="9"/>
      <c r="AG304" s="21">
        <v>1.38046</v>
      </c>
      <c r="AH304" s="21">
        <v>21.3139</v>
      </c>
      <c r="AI304" s="21">
        <v>-1.4379899999999999E-2</v>
      </c>
      <c r="AJ304" s="21">
        <v>294</v>
      </c>
      <c r="AK304" s="21">
        <v>1.3787799999999999</v>
      </c>
      <c r="AL304">
        <f t="shared" si="54"/>
        <v>17.752962962962961</v>
      </c>
      <c r="AM304">
        <f t="shared" si="55"/>
        <v>24.507255251851848</v>
      </c>
      <c r="AP304" s="9"/>
      <c r="AQ304" s="21">
        <v>0.33966099999999999</v>
      </c>
      <c r="AR304" s="21">
        <v>26.8386</v>
      </c>
      <c r="AS304" s="21">
        <v>-1.4993299999999999E-2</v>
      </c>
      <c r="AT304" s="21">
        <v>294</v>
      </c>
      <c r="AU304" s="21">
        <v>0.33917199999999997</v>
      </c>
      <c r="AV304">
        <f t="shared" si="56"/>
        <v>18.510246913580243</v>
      </c>
      <c r="AW304">
        <f t="shared" si="57"/>
        <v>6.2872089769135791</v>
      </c>
      <c r="AX304" s="9"/>
      <c r="AY304" s="21">
        <v>1.38046</v>
      </c>
      <c r="AZ304" s="21">
        <v>30.6981</v>
      </c>
      <c r="BA304" s="21">
        <v>-1.43616E-2</v>
      </c>
      <c r="BB304" s="21">
        <v>294</v>
      </c>
      <c r="BC304" s="21">
        <v>1.38</v>
      </c>
      <c r="BD304">
        <f t="shared" si="58"/>
        <v>17.73037037037037</v>
      </c>
      <c r="BE304">
        <f t="shared" si="59"/>
        <v>24.476067081481482</v>
      </c>
    </row>
    <row r="305" spans="6:57" x14ac:dyDescent="0.25">
      <c r="F305" s="9"/>
      <c r="G305" s="21">
        <v>0.33462500000000001</v>
      </c>
      <c r="H305" s="21">
        <v>8.0492699999999999</v>
      </c>
      <c r="I305" s="21">
        <v>-1.5002400000000001E-2</v>
      </c>
      <c r="J305" s="21">
        <v>295</v>
      </c>
      <c r="K305" s="21">
        <v>0.33404499999999998</v>
      </c>
      <c r="L305">
        <f t="shared" si="48"/>
        <v>18.521481481481484</v>
      </c>
      <c r="M305">
        <f t="shared" si="49"/>
        <v>6.1977507407407417</v>
      </c>
      <c r="N305" s="9"/>
      <c r="O305" s="21">
        <v>1.3855</v>
      </c>
      <c r="P305" s="21">
        <v>11.9087</v>
      </c>
      <c r="Q305" s="21">
        <v>-1.43585E-2</v>
      </c>
      <c r="R305" s="21">
        <v>295</v>
      </c>
      <c r="S305" s="21">
        <v>1.3845799999999999</v>
      </c>
      <c r="T305">
        <f t="shared" si="50"/>
        <v>17.726543209876542</v>
      </c>
      <c r="U305">
        <f t="shared" si="51"/>
        <v>24.560125617283948</v>
      </c>
      <c r="X305" s="9"/>
      <c r="Y305" s="21">
        <v>0.33462500000000001</v>
      </c>
      <c r="Z305" s="21">
        <v>17.464500000000001</v>
      </c>
      <c r="AA305" s="21">
        <v>-1.5075699999999999E-2</v>
      </c>
      <c r="AB305" s="21">
        <v>295</v>
      </c>
      <c r="AC305" s="21">
        <v>0.33404499999999998</v>
      </c>
      <c r="AD305">
        <f t="shared" si="52"/>
        <v>18.611975308641973</v>
      </c>
      <c r="AE305">
        <f t="shared" si="53"/>
        <v>6.2280322376543209</v>
      </c>
      <c r="AF305" s="9"/>
      <c r="AG305" s="21">
        <v>1.3855</v>
      </c>
      <c r="AH305" s="21">
        <v>21.324000000000002</v>
      </c>
      <c r="AI305" s="21">
        <v>-1.43707E-2</v>
      </c>
      <c r="AJ305" s="21">
        <v>295</v>
      </c>
      <c r="AK305" s="21">
        <v>1.38489</v>
      </c>
      <c r="AL305">
        <f t="shared" si="54"/>
        <v>17.741604938271603</v>
      </c>
      <c r="AM305">
        <f t="shared" si="55"/>
        <v>24.580993641975304</v>
      </c>
      <c r="AP305" s="9"/>
      <c r="AQ305" s="21">
        <v>0.33462500000000001</v>
      </c>
      <c r="AR305" s="21">
        <v>26.848700000000001</v>
      </c>
      <c r="AS305" s="21">
        <v>-1.49994E-2</v>
      </c>
      <c r="AT305" s="21">
        <v>295</v>
      </c>
      <c r="AU305" s="21">
        <v>0.33407599999999998</v>
      </c>
      <c r="AV305">
        <f t="shared" si="56"/>
        <v>18.517777777777777</v>
      </c>
      <c r="AW305">
        <f t="shared" si="57"/>
        <v>6.1965113888888883</v>
      </c>
      <c r="AX305" s="9"/>
      <c r="AY305" s="21">
        <v>1.3855</v>
      </c>
      <c r="AZ305" s="21">
        <v>30.708200000000001</v>
      </c>
      <c r="BA305" s="21">
        <v>-1.43433E-2</v>
      </c>
      <c r="BB305" s="21">
        <v>295</v>
      </c>
      <c r="BC305" s="21">
        <v>1.3851899999999999</v>
      </c>
      <c r="BD305">
        <f t="shared" si="58"/>
        <v>17.707777777777778</v>
      </c>
      <c r="BE305">
        <f t="shared" si="59"/>
        <v>24.53412611111111</v>
      </c>
    </row>
    <row r="306" spans="6:57" x14ac:dyDescent="0.25">
      <c r="F306" s="9"/>
      <c r="G306" s="21">
        <v>0.32958999999999999</v>
      </c>
      <c r="H306" s="21">
        <v>8.0593400000000006</v>
      </c>
      <c r="I306" s="21">
        <v>-1.5014599999999999E-2</v>
      </c>
      <c r="J306" s="21">
        <v>296</v>
      </c>
      <c r="K306" s="21">
        <v>0.32910200000000001</v>
      </c>
      <c r="L306">
        <f t="shared" si="48"/>
        <v>18.536543209876541</v>
      </c>
      <c r="M306">
        <f t="shared" si="49"/>
        <v>6.109459276543209</v>
      </c>
      <c r="N306" s="9"/>
      <c r="O306" s="21">
        <v>1.39053</v>
      </c>
      <c r="P306" s="21">
        <v>11.918799999999999</v>
      </c>
      <c r="Q306" s="21">
        <v>-1.43433E-2</v>
      </c>
      <c r="R306" s="21">
        <v>296</v>
      </c>
      <c r="S306" s="21">
        <v>1.3897699999999999</v>
      </c>
      <c r="T306">
        <f t="shared" si="50"/>
        <v>17.707777777777778</v>
      </c>
      <c r="U306">
        <f t="shared" si="51"/>
        <v>24.623196233333335</v>
      </c>
      <c r="X306" s="9"/>
      <c r="Y306" s="21">
        <v>0.32958999999999999</v>
      </c>
      <c r="Z306" s="21">
        <v>17.474599999999999</v>
      </c>
      <c r="AA306" s="21">
        <v>-1.50726E-2</v>
      </c>
      <c r="AB306" s="21">
        <v>296</v>
      </c>
      <c r="AC306" s="21">
        <v>0.32901000000000002</v>
      </c>
      <c r="AD306">
        <f t="shared" si="52"/>
        <v>18.60814814814815</v>
      </c>
      <c r="AE306">
        <f t="shared" si="53"/>
        <v>6.1330595481481485</v>
      </c>
      <c r="AF306" s="9"/>
      <c r="AG306" s="21">
        <v>1.39053</v>
      </c>
      <c r="AH306" s="21">
        <v>21.334</v>
      </c>
      <c r="AI306" s="21">
        <v>-1.43555E-2</v>
      </c>
      <c r="AJ306" s="21">
        <v>296</v>
      </c>
      <c r="AK306" s="21">
        <v>1.38947</v>
      </c>
      <c r="AL306">
        <f t="shared" si="54"/>
        <v>17.722839506172836</v>
      </c>
      <c r="AM306">
        <f t="shared" si="55"/>
        <v>24.644140018518513</v>
      </c>
      <c r="AP306" s="9"/>
      <c r="AQ306" s="21">
        <v>0.32958999999999999</v>
      </c>
      <c r="AR306" s="21">
        <v>26.858799999999999</v>
      </c>
      <c r="AS306" s="21">
        <v>-1.5014599999999999E-2</v>
      </c>
      <c r="AT306" s="21">
        <v>296</v>
      </c>
      <c r="AU306" s="21">
        <v>0.32897900000000002</v>
      </c>
      <c r="AV306">
        <f t="shared" si="56"/>
        <v>18.536543209876541</v>
      </c>
      <c r="AW306">
        <f t="shared" si="57"/>
        <v>6.109459276543209</v>
      </c>
      <c r="AX306" s="9"/>
      <c r="AY306" s="21">
        <v>1.39053</v>
      </c>
      <c r="AZ306" s="21">
        <v>30.718299999999999</v>
      </c>
      <c r="BA306" s="21">
        <v>-1.4324999999999999E-2</v>
      </c>
      <c r="BB306" s="21">
        <v>296</v>
      </c>
      <c r="BC306" s="21">
        <v>1.39008</v>
      </c>
      <c r="BD306">
        <f t="shared" si="58"/>
        <v>17.685185185185183</v>
      </c>
      <c r="BE306">
        <f t="shared" si="59"/>
        <v>24.591780555555555</v>
      </c>
    </row>
    <row r="307" spans="6:57" x14ac:dyDescent="0.25">
      <c r="F307" s="9"/>
      <c r="G307" s="21">
        <v>0.32455400000000001</v>
      </c>
      <c r="H307" s="21">
        <v>8.0694099999999995</v>
      </c>
      <c r="I307" s="21">
        <v>-1.5020800000000001E-2</v>
      </c>
      <c r="J307" s="21">
        <v>297</v>
      </c>
      <c r="K307" s="21">
        <v>0.32397500000000001</v>
      </c>
      <c r="L307">
        <f t="shared" si="48"/>
        <v>18.544197530864199</v>
      </c>
      <c r="M307">
        <f t="shared" si="49"/>
        <v>6.0185934854320999</v>
      </c>
      <c r="N307" s="9"/>
      <c r="O307" s="21">
        <v>1.39557</v>
      </c>
      <c r="P307" s="21">
        <v>11.928900000000001</v>
      </c>
      <c r="Q307" s="21">
        <v>-1.43188E-2</v>
      </c>
      <c r="R307" s="21">
        <v>297</v>
      </c>
      <c r="S307" s="21">
        <v>1.3946499999999999</v>
      </c>
      <c r="T307">
        <f t="shared" si="50"/>
        <v>17.677530864197529</v>
      </c>
      <c r="U307">
        <f t="shared" si="51"/>
        <v>24.670231748148144</v>
      </c>
      <c r="X307" s="9"/>
      <c r="Y307" s="21">
        <v>0.32455400000000001</v>
      </c>
      <c r="Z307" s="21">
        <v>17.4846</v>
      </c>
      <c r="AA307" s="21">
        <v>-1.50726E-2</v>
      </c>
      <c r="AB307" s="21">
        <v>297</v>
      </c>
      <c r="AC307" s="21">
        <v>0.32394400000000001</v>
      </c>
      <c r="AD307">
        <f t="shared" si="52"/>
        <v>18.60814814814815</v>
      </c>
      <c r="AE307">
        <f t="shared" si="53"/>
        <v>6.0393489140740746</v>
      </c>
      <c r="AF307" s="9"/>
      <c r="AG307" s="21">
        <v>1.39557</v>
      </c>
      <c r="AH307" s="21">
        <v>21.344100000000001</v>
      </c>
      <c r="AI307" s="21">
        <v>-1.43372E-2</v>
      </c>
      <c r="AJ307" s="21">
        <v>297</v>
      </c>
      <c r="AK307" s="21">
        <v>1.39496</v>
      </c>
      <c r="AL307">
        <f t="shared" si="54"/>
        <v>17.700246913580244</v>
      </c>
      <c r="AM307">
        <f t="shared" si="55"/>
        <v>24.701933585185181</v>
      </c>
      <c r="AP307" s="9"/>
      <c r="AQ307" s="21">
        <v>0.32455400000000001</v>
      </c>
      <c r="AR307" s="21">
        <v>26.8688</v>
      </c>
      <c r="AS307" s="21">
        <v>-1.50238E-2</v>
      </c>
      <c r="AT307" s="21">
        <v>297</v>
      </c>
      <c r="AU307" s="21">
        <v>0.32403599999999999</v>
      </c>
      <c r="AV307">
        <f t="shared" si="56"/>
        <v>18.547901234567902</v>
      </c>
      <c r="AW307">
        <f t="shared" si="57"/>
        <v>6.0197955372839509</v>
      </c>
      <c r="AX307" s="9"/>
      <c r="AY307" s="21">
        <v>1.39557</v>
      </c>
      <c r="AZ307" s="21">
        <v>30.728300000000001</v>
      </c>
      <c r="BA307" s="21">
        <v>-1.4312699999999999E-2</v>
      </c>
      <c r="BB307" s="21">
        <v>297</v>
      </c>
      <c r="BC307" s="21">
        <v>1.39496</v>
      </c>
      <c r="BD307">
        <f t="shared" si="58"/>
        <v>17.669999999999998</v>
      </c>
      <c r="BE307">
        <f t="shared" si="59"/>
        <v>24.659721899999997</v>
      </c>
    </row>
    <row r="308" spans="6:57" x14ac:dyDescent="0.25">
      <c r="F308" s="9"/>
      <c r="G308" s="21">
        <v>0.319519</v>
      </c>
      <c r="H308" s="21">
        <v>8.0794800000000002</v>
      </c>
      <c r="I308" s="21">
        <v>-1.5029900000000001E-2</v>
      </c>
      <c r="J308" s="21">
        <v>298</v>
      </c>
      <c r="K308" s="21">
        <v>0.31893899999999997</v>
      </c>
      <c r="L308">
        <f t="shared" si="48"/>
        <v>18.555432098765429</v>
      </c>
      <c r="M308">
        <f t="shared" si="49"/>
        <v>5.9288131087654312</v>
      </c>
      <c r="N308" s="9"/>
      <c r="O308" s="21">
        <v>1.4006000000000001</v>
      </c>
      <c r="P308" s="21">
        <v>11.939</v>
      </c>
      <c r="Q308" s="21">
        <v>-1.4291399999999999E-2</v>
      </c>
      <c r="R308" s="21">
        <v>298</v>
      </c>
      <c r="S308" s="21">
        <v>1.40015</v>
      </c>
      <c r="T308">
        <f t="shared" si="50"/>
        <v>17.643703703703704</v>
      </c>
      <c r="U308">
        <f t="shared" si="51"/>
        <v>24.711771407407408</v>
      </c>
      <c r="X308" s="9"/>
      <c r="Y308" s="21">
        <v>0.319519</v>
      </c>
      <c r="Z308" s="21">
        <v>17.494700000000002</v>
      </c>
      <c r="AA308" s="21">
        <v>-1.5069600000000001E-2</v>
      </c>
      <c r="AB308" s="21">
        <v>298</v>
      </c>
      <c r="AC308" s="21">
        <v>0.31887799999999999</v>
      </c>
      <c r="AD308">
        <f t="shared" si="52"/>
        <v>18.604444444444443</v>
      </c>
      <c r="AE308">
        <f t="shared" si="53"/>
        <v>5.944473484444444</v>
      </c>
      <c r="AF308" s="9"/>
      <c r="AG308" s="21">
        <v>1.4006000000000001</v>
      </c>
      <c r="AH308" s="21">
        <v>21.354199999999999</v>
      </c>
      <c r="AI308" s="21">
        <v>-1.43158E-2</v>
      </c>
      <c r="AJ308" s="21">
        <v>298</v>
      </c>
      <c r="AK308" s="21">
        <v>1.39923</v>
      </c>
      <c r="AL308">
        <f t="shared" si="54"/>
        <v>17.673827160493826</v>
      </c>
      <c r="AM308">
        <f t="shared" si="55"/>
        <v>24.753962320987654</v>
      </c>
      <c r="AP308" s="9"/>
      <c r="AQ308" s="21">
        <v>0.319519</v>
      </c>
      <c r="AR308" s="21">
        <v>26.878900000000002</v>
      </c>
      <c r="AS308" s="21">
        <v>-1.5036000000000001E-2</v>
      </c>
      <c r="AT308" s="21">
        <v>298</v>
      </c>
      <c r="AU308" s="21">
        <v>0.31893899999999997</v>
      </c>
      <c r="AV308">
        <f t="shared" si="56"/>
        <v>18.562962962962963</v>
      </c>
      <c r="AW308">
        <f t="shared" si="57"/>
        <v>5.9312193629629633</v>
      </c>
      <c r="AX308" s="9"/>
      <c r="AY308" s="21">
        <v>1.4006000000000001</v>
      </c>
      <c r="AZ308" s="21">
        <v>30.738399999999999</v>
      </c>
      <c r="BA308" s="21">
        <v>-1.4294400000000001E-2</v>
      </c>
      <c r="BB308" s="21">
        <v>298</v>
      </c>
      <c r="BC308" s="21">
        <v>1.40015</v>
      </c>
      <c r="BD308">
        <f t="shared" si="58"/>
        <v>17.647407407407407</v>
      </c>
      <c r="BE308">
        <f t="shared" si="59"/>
        <v>24.716958814814816</v>
      </c>
    </row>
    <row r="309" spans="6:57" x14ac:dyDescent="0.25">
      <c r="F309" s="9"/>
      <c r="G309" s="21">
        <v>0.31448399999999999</v>
      </c>
      <c r="H309" s="21">
        <v>8.0895499999999991</v>
      </c>
      <c r="I309" s="21">
        <v>-1.5032999999999999E-2</v>
      </c>
      <c r="J309" s="21">
        <v>299</v>
      </c>
      <c r="K309" s="21">
        <v>0.31396499999999999</v>
      </c>
      <c r="L309">
        <f t="shared" si="48"/>
        <v>18.559259259259257</v>
      </c>
      <c r="M309">
        <f t="shared" si="49"/>
        <v>5.8365900888888875</v>
      </c>
      <c r="N309" s="9"/>
      <c r="O309" s="21">
        <v>1.40564</v>
      </c>
      <c r="P309" s="21">
        <v>11.949</v>
      </c>
      <c r="Q309" s="21">
        <v>-1.42761E-2</v>
      </c>
      <c r="R309" s="21">
        <v>299</v>
      </c>
      <c r="S309" s="21">
        <v>1.40533</v>
      </c>
      <c r="T309">
        <f t="shared" si="50"/>
        <v>17.624814814814812</v>
      </c>
      <c r="U309">
        <f t="shared" si="51"/>
        <v>24.774144696296293</v>
      </c>
      <c r="X309" s="9"/>
      <c r="Y309" s="21">
        <v>0.31448399999999999</v>
      </c>
      <c r="Z309" s="21">
        <v>17.504799999999999</v>
      </c>
      <c r="AA309" s="21">
        <v>-1.5063500000000001E-2</v>
      </c>
      <c r="AB309" s="21">
        <v>299</v>
      </c>
      <c r="AC309" s="21">
        <v>0.31384299999999998</v>
      </c>
      <c r="AD309">
        <f t="shared" si="52"/>
        <v>18.596913580246913</v>
      </c>
      <c r="AE309">
        <f t="shared" si="53"/>
        <v>5.8484317703703699</v>
      </c>
      <c r="AF309" s="9"/>
      <c r="AG309" s="21">
        <v>1.40564</v>
      </c>
      <c r="AH309" s="21">
        <v>21.3642</v>
      </c>
      <c r="AI309" s="21">
        <v>-1.4297499999999999E-2</v>
      </c>
      <c r="AJ309" s="21">
        <v>299</v>
      </c>
      <c r="AK309" s="21">
        <v>1.40533</v>
      </c>
      <c r="AL309">
        <f t="shared" si="54"/>
        <v>17.651234567901231</v>
      </c>
      <c r="AM309">
        <f t="shared" si="55"/>
        <v>24.811281358024686</v>
      </c>
      <c r="AP309" s="9"/>
      <c r="AQ309" s="21">
        <v>0.31448399999999999</v>
      </c>
      <c r="AR309" s="21">
        <v>26.888999999999999</v>
      </c>
      <c r="AS309" s="21">
        <v>-1.50391E-2</v>
      </c>
      <c r="AT309" s="21">
        <v>299</v>
      </c>
      <c r="AU309" s="21">
        <v>0.31393399999999999</v>
      </c>
      <c r="AV309">
        <f t="shared" si="56"/>
        <v>18.566790123456791</v>
      </c>
      <c r="AW309">
        <f t="shared" si="57"/>
        <v>5.8389584251851847</v>
      </c>
      <c r="AX309" s="9"/>
      <c r="AY309" s="21">
        <v>1.40564</v>
      </c>
      <c r="AZ309" s="21">
        <v>30.7485</v>
      </c>
      <c r="BA309" s="21">
        <v>-1.4285300000000001E-2</v>
      </c>
      <c r="BB309" s="21">
        <v>299</v>
      </c>
      <c r="BC309" s="21">
        <v>1.40533</v>
      </c>
      <c r="BD309">
        <f t="shared" si="58"/>
        <v>17.636172839506173</v>
      </c>
      <c r="BE309">
        <f t="shared" si="59"/>
        <v>24.790109990123458</v>
      </c>
    </row>
    <row r="310" spans="6:57" x14ac:dyDescent="0.25">
      <c r="F310" s="9"/>
      <c r="G310" s="21">
        <v>0.309448</v>
      </c>
      <c r="H310" s="21">
        <v>8.0996199999999998</v>
      </c>
      <c r="I310" s="21">
        <v>-1.5036000000000001E-2</v>
      </c>
      <c r="J310" s="21">
        <v>300</v>
      </c>
      <c r="K310" s="21">
        <v>0.30889899999999998</v>
      </c>
      <c r="L310">
        <f t="shared" si="48"/>
        <v>18.562962962962963</v>
      </c>
      <c r="M310">
        <f t="shared" si="49"/>
        <v>5.7442717629629634</v>
      </c>
      <c r="N310" s="9"/>
      <c r="O310" s="21">
        <v>1.4106799999999999</v>
      </c>
      <c r="P310" s="21">
        <v>11.959099999999999</v>
      </c>
      <c r="Q310" s="21">
        <v>-1.42487E-2</v>
      </c>
      <c r="R310" s="21">
        <v>300</v>
      </c>
      <c r="S310" s="21">
        <v>1.41022</v>
      </c>
      <c r="T310">
        <f t="shared" si="50"/>
        <v>17.590987654320987</v>
      </c>
      <c r="U310">
        <f t="shared" si="51"/>
        <v>24.81525446419753</v>
      </c>
      <c r="X310" s="9"/>
      <c r="Y310" s="21">
        <v>0.309448</v>
      </c>
      <c r="Z310" s="21">
        <v>17.514800000000001</v>
      </c>
      <c r="AA310" s="21">
        <v>-1.50665E-2</v>
      </c>
      <c r="AB310" s="21">
        <v>300</v>
      </c>
      <c r="AC310" s="21">
        <v>0.30886799999999998</v>
      </c>
      <c r="AD310">
        <f t="shared" si="52"/>
        <v>18.600617283950616</v>
      </c>
      <c r="AE310">
        <f t="shared" si="53"/>
        <v>5.75592381728395</v>
      </c>
      <c r="AF310" s="9"/>
      <c r="AG310" s="21">
        <v>1.4106799999999999</v>
      </c>
      <c r="AH310" s="21">
        <v>21.374300000000002</v>
      </c>
      <c r="AI310" s="21">
        <v>-1.4291399999999999E-2</v>
      </c>
      <c r="AJ310" s="21">
        <v>300</v>
      </c>
      <c r="AK310" s="21">
        <v>1.41022</v>
      </c>
      <c r="AL310">
        <f t="shared" si="54"/>
        <v>17.643703703703704</v>
      </c>
      <c r="AM310">
        <f t="shared" si="55"/>
        <v>24.88961994074074</v>
      </c>
      <c r="AP310" s="9"/>
      <c r="AQ310" s="21">
        <v>0.309448</v>
      </c>
      <c r="AR310" s="21">
        <v>26.899100000000001</v>
      </c>
      <c r="AS310" s="21">
        <v>-1.5032999999999999E-2</v>
      </c>
      <c r="AT310" s="21">
        <v>300</v>
      </c>
      <c r="AU310" s="21">
        <v>0.308838</v>
      </c>
      <c r="AV310">
        <f t="shared" si="56"/>
        <v>18.559259259259257</v>
      </c>
      <c r="AW310">
        <f t="shared" si="57"/>
        <v>5.7431256592592588</v>
      </c>
      <c r="AX310" s="9"/>
      <c r="AY310" s="21">
        <v>1.4106799999999999</v>
      </c>
      <c r="AZ310" s="21">
        <v>30.758500000000002</v>
      </c>
      <c r="BA310" s="21">
        <v>-1.4267E-2</v>
      </c>
      <c r="BB310" s="21">
        <v>300</v>
      </c>
      <c r="BC310" s="21">
        <v>1.40991</v>
      </c>
      <c r="BD310">
        <f t="shared" si="58"/>
        <v>17.613580246913582</v>
      </c>
      <c r="BE310">
        <f t="shared" si="59"/>
        <v>24.847125382716051</v>
      </c>
    </row>
    <row r="311" spans="6:57" x14ac:dyDescent="0.25">
      <c r="F311" s="9"/>
      <c r="G311" s="21">
        <v>0.30441299999999999</v>
      </c>
      <c r="H311" s="21">
        <v>8.1096900000000005</v>
      </c>
      <c r="I311" s="21">
        <v>-1.50452E-2</v>
      </c>
      <c r="J311" s="21">
        <v>301</v>
      </c>
      <c r="K311" s="21">
        <v>0.30386400000000002</v>
      </c>
      <c r="L311">
        <f t="shared" si="48"/>
        <v>18.574320987654321</v>
      </c>
      <c r="M311">
        <f t="shared" si="49"/>
        <v>5.6542647748148145</v>
      </c>
      <c r="N311" s="9"/>
      <c r="O311" s="21">
        <v>1.41571</v>
      </c>
      <c r="P311" s="21">
        <v>11.969200000000001</v>
      </c>
      <c r="Q311" s="21">
        <v>-1.4236499999999999E-2</v>
      </c>
      <c r="R311" s="21">
        <v>301</v>
      </c>
      <c r="S311" s="21">
        <v>1.4151</v>
      </c>
      <c r="T311">
        <f t="shared" si="50"/>
        <v>17.575925925925926</v>
      </c>
      <c r="U311">
        <f t="shared" si="51"/>
        <v>24.882414092592594</v>
      </c>
      <c r="X311" s="9"/>
      <c r="Y311" s="21">
        <v>0.30441299999999999</v>
      </c>
      <c r="Z311" s="21">
        <v>17.524899999999999</v>
      </c>
      <c r="AA311" s="21">
        <v>-1.50513E-2</v>
      </c>
      <c r="AB311" s="21">
        <v>301</v>
      </c>
      <c r="AC311" s="21">
        <v>0.30383300000000002</v>
      </c>
      <c r="AD311">
        <f t="shared" si="52"/>
        <v>18.581851851851848</v>
      </c>
      <c r="AE311">
        <f t="shared" si="53"/>
        <v>5.6565572677777762</v>
      </c>
      <c r="AF311" s="9"/>
      <c r="AG311" s="21">
        <v>1.41571</v>
      </c>
      <c r="AH311" s="21">
        <v>21.384399999999999</v>
      </c>
      <c r="AI311" s="21">
        <v>-1.42761E-2</v>
      </c>
      <c r="AJ311" s="21">
        <v>301</v>
      </c>
      <c r="AK311" s="21">
        <v>1.4154100000000001</v>
      </c>
      <c r="AL311">
        <f t="shared" si="54"/>
        <v>17.624814814814812</v>
      </c>
      <c r="AM311">
        <f t="shared" si="55"/>
        <v>24.951626581481477</v>
      </c>
      <c r="AP311" s="9"/>
      <c r="AQ311" s="21">
        <v>0.30441299999999999</v>
      </c>
      <c r="AR311" s="21">
        <v>26.909099999999999</v>
      </c>
      <c r="AS311" s="21">
        <v>-1.5032999999999999E-2</v>
      </c>
      <c r="AT311" s="21">
        <v>301</v>
      </c>
      <c r="AU311" s="21">
        <v>0.30371100000000001</v>
      </c>
      <c r="AV311">
        <f t="shared" si="56"/>
        <v>18.559259259259257</v>
      </c>
      <c r="AW311">
        <f t="shared" si="57"/>
        <v>5.6496797888888883</v>
      </c>
      <c r="AX311" s="9"/>
      <c r="AY311" s="21">
        <v>1.41571</v>
      </c>
      <c r="AZ311" s="21">
        <v>30.768599999999999</v>
      </c>
      <c r="BA311" s="21">
        <v>-1.42395E-2</v>
      </c>
      <c r="BB311" s="21">
        <v>301</v>
      </c>
      <c r="BC311" s="21">
        <v>1.41479</v>
      </c>
      <c r="BD311">
        <f t="shared" si="58"/>
        <v>17.579629629629629</v>
      </c>
      <c r="BE311">
        <f t="shared" si="59"/>
        <v>24.887657462962963</v>
      </c>
    </row>
    <row r="312" spans="6:57" x14ac:dyDescent="0.25">
      <c r="F312" s="9"/>
      <c r="G312" s="21">
        <v>0.299377</v>
      </c>
      <c r="H312" s="21">
        <v>8.1197599999999994</v>
      </c>
      <c r="I312" s="21">
        <v>-1.5042099999999999E-2</v>
      </c>
      <c r="J312" s="21">
        <v>302</v>
      </c>
      <c r="K312" s="21">
        <v>0.29879800000000001</v>
      </c>
      <c r="L312">
        <f t="shared" si="48"/>
        <v>18.570493827160494</v>
      </c>
      <c r="M312">
        <f t="shared" si="49"/>
        <v>5.5595787304938273</v>
      </c>
      <c r="N312" s="9"/>
      <c r="O312" s="21">
        <v>1.42075</v>
      </c>
      <c r="P312" s="21">
        <v>11.979200000000001</v>
      </c>
      <c r="Q312" s="21">
        <v>-1.42273E-2</v>
      </c>
      <c r="R312" s="21">
        <v>302</v>
      </c>
      <c r="S312" s="21">
        <v>1.41998</v>
      </c>
      <c r="T312">
        <f t="shared" si="50"/>
        <v>17.564567901234565</v>
      </c>
      <c r="U312">
        <f t="shared" si="51"/>
        <v>24.954859845679007</v>
      </c>
      <c r="X312" s="9"/>
      <c r="Y312" s="21">
        <v>0.299377</v>
      </c>
      <c r="Z312" s="21">
        <v>17.535</v>
      </c>
      <c r="AA312" s="21">
        <v>-1.5042099999999999E-2</v>
      </c>
      <c r="AB312" s="21">
        <v>302</v>
      </c>
      <c r="AC312" s="21">
        <v>0.29879800000000001</v>
      </c>
      <c r="AD312">
        <f t="shared" si="52"/>
        <v>18.570493827160494</v>
      </c>
      <c r="AE312">
        <f t="shared" si="53"/>
        <v>5.5595787304938273</v>
      </c>
      <c r="AF312" s="9"/>
      <c r="AG312" s="21">
        <v>1.42075</v>
      </c>
      <c r="AH312" s="21">
        <v>21.394400000000001</v>
      </c>
      <c r="AI312" s="21">
        <v>-1.42609E-2</v>
      </c>
      <c r="AJ312" s="21">
        <v>302</v>
      </c>
      <c r="AK312" s="21">
        <v>1.4202900000000001</v>
      </c>
      <c r="AL312">
        <f t="shared" si="54"/>
        <v>17.606049382716048</v>
      </c>
      <c r="AM312">
        <f t="shared" si="55"/>
        <v>25.013794660493826</v>
      </c>
      <c r="AP312" s="9"/>
      <c r="AQ312" s="21">
        <v>0.299377</v>
      </c>
      <c r="AR312" s="21">
        <v>26.9192</v>
      </c>
      <c r="AS312" s="21">
        <v>-1.5032999999999999E-2</v>
      </c>
      <c r="AT312" s="21">
        <v>302</v>
      </c>
      <c r="AU312" s="21">
        <v>0.29870600000000003</v>
      </c>
      <c r="AV312">
        <f t="shared" si="56"/>
        <v>18.559259259259257</v>
      </c>
      <c r="AW312">
        <f t="shared" si="57"/>
        <v>5.5562153592592587</v>
      </c>
      <c r="AX312" s="9"/>
      <c r="AY312" s="21">
        <v>1.42075</v>
      </c>
      <c r="AZ312" s="21">
        <v>30.778700000000001</v>
      </c>
      <c r="BA312" s="21">
        <v>-1.4224199999999999E-2</v>
      </c>
      <c r="BB312" s="21">
        <v>302</v>
      </c>
      <c r="BC312" s="21">
        <v>1.4202900000000001</v>
      </c>
      <c r="BD312">
        <f t="shared" si="58"/>
        <v>17.560740740740737</v>
      </c>
      <c r="BE312">
        <f t="shared" si="59"/>
        <v>24.9494224074074</v>
      </c>
    </row>
    <row r="313" spans="6:57" x14ac:dyDescent="0.25">
      <c r="F313" s="9"/>
      <c r="G313" s="21">
        <v>0.29434199999999999</v>
      </c>
      <c r="H313" s="21">
        <v>8.1298399999999997</v>
      </c>
      <c r="I313" s="21">
        <v>-1.5036000000000001E-2</v>
      </c>
      <c r="J313" s="21">
        <v>303</v>
      </c>
      <c r="K313" s="21">
        <v>0.29370099999999999</v>
      </c>
      <c r="L313">
        <f t="shared" si="48"/>
        <v>18.562962962962963</v>
      </c>
      <c r="M313">
        <f t="shared" si="49"/>
        <v>5.4638596444444447</v>
      </c>
      <c r="N313" s="9"/>
      <c r="O313" s="21">
        <v>1.42578</v>
      </c>
      <c r="P313" s="21">
        <v>11.9893</v>
      </c>
      <c r="Q313" s="21">
        <v>-1.4208999999999999E-2</v>
      </c>
      <c r="R313" s="21">
        <v>303</v>
      </c>
      <c r="S313" s="21">
        <v>1.42517</v>
      </c>
      <c r="T313">
        <f t="shared" si="50"/>
        <v>17.541975308641973</v>
      </c>
      <c r="U313">
        <f t="shared" si="51"/>
        <v>25.010997555555555</v>
      </c>
      <c r="X313" s="9"/>
      <c r="Y313" s="21">
        <v>0.29434199999999999</v>
      </c>
      <c r="Z313" s="21">
        <v>17.545000000000002</v>
      </c>
      <c r="AA313" s="21">
        <v>-1.5032999999999999E-2</v>
      </c>
      <c r="AB313" s="21">
        <v>303</v>
      </c>
      <c r="AC313" s="21">
        <v>0.293549</v>
      </c>
      <c r="AD313">
        <f t="shared" si="52"/>
        <v>18.559259259259257</v>
      </c>
      <c r="AE313">
        <f t="shared" si="53"/>
        <v>5.4627694888888882</v>
      </c>
      <c r="AF313" s="9"/>
      <c r="AG313" s="21">
        <v>1.42578</v>
      </c>
      <c r="AH313" s="21">
        <v>21.404499999999999</v>
      </c>
      <c r="AI313" s="21">
        <v>-1.4236499999999999E-2</v>
      </c>
      <c r="AJ313" s="21">
        <v>303</v>
      </c>
      <c r="AK313" s="21">
        <v>1.4248700000000001</v>
      </c>
      <c r="AL313">
        <f t="shared" si="54"/>
        <v>17.575925925925926</v>
      </c>
      <c r="AM313">
        <f t="shared" si="55"/>
        <v>25.059403666666668</v>
      </c>
      <c r="AP313" s="9"/>
      <c r="AQ313" s="21">
        <v>0.29434199999999999</v>
      </c>
      <c r="AR313" s="21">
        <v>26.929300000000001</v>
      </c>
      <c r="AS313" s="21">
        <v>-1.5026899999999999E-2</v>
      </c>
      <c r="AT313" s="21">
        <v>303</v>
      </c>
      <c r="AU313" s="21">
        <v>0.29373199999999999</v>
      </c>
      <c r="AV313">
        <f t="shared" si="56"/>
        <v>18.551728395061726</v>
      </c>
      <c r="AW313">
        <f t="shared" si="57"/>
        <v>5.4605528392592584</v>
      </c>
      <c r="AX313" s="9"/>
      <c r="AY313" s="21">
        <v>1.42578</v>
      </c>
      <c r="AZ313" s="21">
        <v>30.788799999999998</v>
      </c>
      <c r="BA313" s="21">
        <v>-1.42059E-2</v>
      </c>
      <c r="BB313" s="21">
        <v>303</v>
      </c>
      <c r="BC313" s="21">
        <v>1.4248700000000001</v>
      </c>
      <c r="BD313">
        <f t="shared" si="58"/>
        <v>17.538148148148146</v>
      </c>
      <c r="BE313">
        <f t="shared" si="59"/>
        <v>25.005540866666664</v>
      </c>
    </row>
    <row r="314" spans="6:57" x14ac:dyDescent="0.25">
      <c r="F314" s="9"/>
      <c r="G314" s="21">
        <v>0.28930699999999998</v>
      </c>
      <c r="H314" s="21">
        <v>8.1399100000000004</v>
      </c>
      <c r="I314" s="21">
        <v>-1.5029900000000001E-2</v>
      </c>
      <c r="J314" s="21">
        <v>304</v>
      </c>
      <c r="K314" s="21">
        <v>0.28863499999999997</v>
      </c>
      <c r="L314">
        <f t="shared" si="48"/>
        <v>18.555432098765429</v>
      </c>
      <c r="M314">
        <f t="shared" si="49"/>
        <v>5.3682163941975301</v>
      </c>
      <c r="N314" s="9"/>
      <c r="O314" s="21">
        <v>1.43082</v>
      </c>
      <c r="P314" s="21">
        <v>11.9994</v>
      </c>
      <c r="Q314" s="21">
        <v>-1.4190700000000001E-2</v>
      </c>
      <c r="R314" s="21">
        <v>304</v>
      </c>
      <c r="S314" s="21">
        <v>1.43005</v>
      </c>
      <c r="T314">
        <f t="shared" si="50"/>
        <v>17.519382716049382</v>
      </c>
      <c r="U314">
        <f t="shared" si="51"/>
        <v>25.067083177777775</v>
      </c>
      <c r="X314" s="9"/>
      <c r="Y314" s="21">
        <v>0.28930699999999998</v>
      </c>
      <c r="Z314" s="21">
        <v>17.555099999999999</v>
      </c>
      <c r="AA314" s="21">
        <v>-1.50391E-2</v>
      </c>
      <c r="AB314" s="21">
        <v>304</v>
      </c>
      <c r="AC314" s="21">
        <v>0.28878799999999999</v>
      </c>
      <c r="AD314">
        <f t="shared" si="52"/>
        <v>18.566790123456791</v>
      </c>
      <c r="AE314">
        <f t="shared" si="53"/>
        <v>5.3715023502469137</v>
      </c>
      <c r="AF314" s="9"/>
      <c r="AG314" s="21">
        <v>1.43082</v>
      </c>
      <c r="AH314" s="21">
        <v>21.4146</v>
      </c>
      <c r="AI314" s="21">
        <v>-1.42059E-2</v>
      </c>
      <c r="AJ314" s="21">
        <v>304</v>
      </c>
      <c r="AK314" s="21">
        <v>1.4303600000000001</v>
      </c>
      <c r="AL314">
        <f t="shared" si="54"/>
        <v>17.538148148148146</v>
      </c>
      <c r="AM314">
        <f t="shared" si="55"/>
        <v>25.09393313333333</v>
      </c>
      <c r="AP314" s="9"/>
      <c r="AQ314" s="21">
        <v>0.28930699999999998</v>
      </c>
      <c r="AR314" s="21">
        <v>26.939299999999999</v>
      </c>
      <c r="AS314" s="21">
        <v>-1.5029900000000001E-2</v>
      </c>
      <c r="AT314" s="21">
        <v>304</v>
      </c>
      <c r="AU314" s="21">
        <v>0.28866599999999998</v>
      </c>
      <c r="AV314">
        <f t="shared" si="56"/>
        <v>18.555432098765429</v>
      </c>
      <c r="AW314">
        <f t="shared" si="57"/>
        <v>5.3682163941975301</v>
      </c>
      <c r="AX314" s="9"/>
      <c r="AY314" s="21">
        <v>1.43082</v>
      </c>
      <c r="AZ314" s="21">
        <v>30.7988</v>
      </c>
      <c r="BA314" s="21">
        <v>-1.41937E-2</v>
      </c>
      <c r="BB314" s="21">
        <v>304</v>
      </c>
      <c r="BC314" s="21">
        <v>1.43005</v>
      </c>
      <c r="BD314">
        <f t="shared" si="58"/>
        <v>17.523086419753085</v>
      </c>
      <c r="BE314">
        <f t="shared" si="59"/>
        <v>25.072382511111108</v>
      </c>
    </row>
    <row r="315" spans="6:57" x14ac:dyDescent="0.25">
      <c r="F315" s="9"/>
      <c r="G315" s="21">
        <v>0.284271</v>
      </c>
      <c r="H315" s="21">
        <v>8.1499799999999993</v>
      </c>
      <c r="I315" s="21">
        <v>-1.5036000000000001E-2</v>
      </c>
      <c r="J315" s="21">
        <v>305</v>
      </c>
      <c r="K315" s="21">
        <v>0.28369100000000003</v>
      </c>
      <c r="L315">
        <f t="shared" si="48"/>
        <v>18.562962962962963</v>
      </c>
      <c r="M315">
        <f t="shared" si="49"/>
        <v>5.2769120444444448</v>
      </c>
      <c r="N315" s="9"/>
      <c r="O315" s="21">
        <v>1.4358500000000001</v>
      </c>
      <c r="P315" s="21">
        <v>12.009499999999999</v>
      </c>
      <c r="Q315" s="21">
        <v>-1.4163200000000001E-2</v>
      </c>
      <c r="R315" s="21">
        <v>305</v>
      </c>
      <c r="S315" s="21">
        <v>1.4352400000000001</v>
      </c>
      <c r="T315">
        <f t="shared" si="50"/>
        <v>17.485432098765433</v>
      </c>
      <c r="U315">
        <f t="shared" si="51"/>
        <v>25.106457679012347</v>
      </c>
      <c r="X315" s="9"/>
      <c r="Y315" s="21">
        <v>0.284271</v>
      </c>
      <c r="Z315" s="21">
        <v>17.565200000000001</v>
      </c>
      <c r="AA315" s="21">
        <v>-1.5042099999999999E-2</v>
      </c>
      <c r="AB315" s="21">
        <v>305</v>
      </c>
      <c r="AC315" s="21">
        <v>0.28362999999999999</v>
      </c>
      <c r="AD315">
        <f t="shared" si="52"/>
        <v>18.570493827160494</v>
      </c>
      <c r="AE315">
        <f t="shared" si="53"/>
        <v>5.279052850740741</v>
      </c>
      <c r="AF315" s="9"/>
      <c r="AG315" s="21">
        <v>1.4358500000000001</v>
      </c>
      <c r="AH315" s="21">
        <v>21.424700000000001</v>
      </c>
      <c r="AI315" s="21">
        <v>-1.41846E-2</v>
      </c>
      <c r="AJ315" s="21">
        <v>305</v>
      </c>
      <c r="AK315" s="21">
        <v>1.4349400000000001</v>
      </c>
      <c r="AL315">
        <f t="shared" si="54"/>
        <v>17.511851851851851</v>
      </c>
      <c r="AM315">
        <f t="shared" si="55"/>
        <v>25.144392481481482</v>
      </c>
      <c r="AP315" s="9"/>
      <c r="AQ315" s="21">
        <v>0.284271</v>
      </c>
      <c r="AR315" s="21">
        <v>26.949400000000001</v>
      </c>
      <c r="AS315" s="21">
        <v>-1.5036000000000001E-2</v>
      </c>
      <c r="AT315" s="21">
        <v>305</v>
      </c>
      <c r="AU315" s="21">
        <v>0.28360000000000002</v>
      </c>
      <c r="AV315">
        <f t="shared" si="56"/>
        <v>18.562962962962963</v>
      </c>
      <c r="AW315">
        <f t="shared" si="57"/>
        <v>5.2769120444444448</v>
      </c>
      <c r="AX315" s="9"/>
      <c r="AY315" s="21">
        <v>1.4358500000000001</v>
      </c>
      <c r="AZ315" s="21">
        <v>30.808900000000001</v>
      </c>
      <c r="BA315" s="21">
        <v>-1.4175399999999999E-2</v>
      </c>
      <c r="BB315" s="21">
        <v>305</v>
      </c>
      <c r="BC315" s="21">
        <v>1.4352400000000001</v>
      </c>
      <c r="BD315">
        <f t="shared" si="58"/>
        <v>17.500493827160494</v>
      </c>
      <c r="BE315">
        <f t="shared" si="59"/>
        <v>25.128084061728394</v>
      </c>
    </row>
    <row r="316" spans="6:57" x14ac:dyDescent="0.25">
      <c r="F316" s="9"/>
      <c r="G316" s="21">
        <v>0.27923599999999998</v>
      </c>
      <c r="H316" s="21">
        <v>8.16005</v>
      </c>
      <c r="I316" s="21">
        <v>-1.5032999999999999E-2</v>
      </c>
      <c r="J316" s="21">
        <v>306</v>
      </c>
      <c r="K316" s="21">
        <v>0.27865600000000001</v>
      </c>
      <c r="L316">
        <f t="shared" si="48"/>
        <v>18.559259259259257</v>
      </c>
      <c r="M316">
        <f t="shared" si="49"/>
        <v>5.1824133185185177</v>
      </c>
      <c r="N316" s="9"/>
      <c r="O316" s="21">
        <v>1.44089</v>
      </c>
      <c r="P316" s="21">
        <v>12.019500000000001</v>
      </c>
      <c r="Q316" s="21">
        <v>-1.41388E-2</v>
      </c>
      <c r="R316" s="21">
        <v>306</v>
      </c>
      <c r="S316" s="21">
        <v>1.4398200000000001</v>
      </c>
      <c r="T316">
        <f t="shared" si="50"/>
        <v>17.455308641975307</v>
      </c>
      <c r="U316">
        <f t="shared" si="51"/>
        <v>25.1511796691358</v>
      </c>
      <c r="X316" s="9"/>
      <c r="Y316" s="21">
        <v>0.27923599999999998</v>
      </c>
      <c r="Z316" s="21">
        <v>17.575299999999999</v>
      </c>
      <c r="AA316" s="21">
        <v>-1.5042099999999999E-2</v>
      </c>
      <c r="AB316" s="21">
        <v>306</v>
      </c>
      <c r="AC316" s="21">
        <v>0.27862500000000001</v>
      </c>
      <c r="AD316">
        <f t="shared" si="52"/>
        <v>18.570493827160494</v>
      </c>
      <c r="AE316">
        <f t="shared" si="53"/>
        <v>5.1855504143209874</v>
      </c>
      <c r="AF316" s="9"/>
      <c r="AG316" s="21">
        <v>1.44089</v>
      </c>
      <c r="AH316" s="21">
        <v>21.434699999999999</v>
      </c>
      <c r="AI316" s="21">
        <v>-1.41602E-2</v>
      </c>
      <c r="AJ316" s="21">
        <v>306</v>
      </c>
      <c r="AK316" s="21">
        <v>1.4404300000000001</v>
      </c>
      <c r="AL316">
        <f t="shared" si="54"/>
        <v>17.481728395061729</v>
      </c>
      <c r="AM316">
        <f t="shared" si="55"/>
        <v>25.189247627160494</v>
      </c>
      <c r="AP316" s="9"/>
      <c r="AQ316" s="21">
        <v>0.27923599999999998</v>
      </c>
      <c r="AR316" s="21">
        <v>26.959499999999998</v>
      </c>
      <c r="AS316" s="21">
        <v>-1.5042099999999999E-2</v>
      </c>
      <c r="AT316" s="21">
        <v>306</v>
      </c>
      <c r="AU316" s="21">
        <v>0.27871699999999999</v>
      </c>
      <c r="AV316">
        <f t="shared" si="56"/>
        <v>18.570493827160494</v>
      </c>
      <c r="AW316">
        <f t="shared" si="57"/>
        <v>5.1855504143209874</v>
      </c>
      <c r="AX316" s="9"/>
      <c r="AY316" s="21">
        <v>1.44089</v>
      </c>
      <c r="AZ316" s="21">
        <v>30.818999999999999</v>
      </c>
      <c r="BA316" s="21">
        <v>-1.41479E-2</v>
      </c>
      <c r="BB316" s="21">
        <v>306</v>
      </c>
      <c r="BC316" s="21">
        <v>1.4404300000000001</v>
      </c>
      <c r="BD316">
        <f t="shared" si="58"/>
        <v>17.466543209876541</v>
      </c>
      <c r="BE316">
        <f t="shared" si="59"/>
        <v>25.167367445679009</v>
      </c>
    </row>
    <row r="317" spans="6:57" x14ac:dyDescent="0.25">
      <c r="F317" s="9"/>
      <c r="G317" s="21">
        <v>0.2742</v>
      </c>
      <c r="H317" s="21">
        <v>8.1701200000000007</v>
      </c>
      <c r="I317" s="21">
        <v>-1.5036000000000001E-2</v>
      </c>
      <c r="J317" s="21">
        <v>307</v>
      </c>
      <c r="K317" s="21">
        <v>0.27371200000000001</v>
      </c>
      <c r="L317">
        <f t="shared" si="48"/>
        <v>18.562962962962963</v>
      </c>
      <c r="M317">
        <f t="shared" si="49"/>
        <v>5.089964444444445</v>
      </c>
      <c r="N317" s="9"/>
      <c r="O317" s="21">
        <v>1.4459200000000001</v>
      </c>
      <c r="P317" s="21">
        <v>12.0296</v>
      </c>
      <c r="Q317" s="21">
        <v>-1.41113E-2</v>
      </c>
      <c r="R317" s="21">
        <v>307</v>
      </c>
      <c r="S317" s="21">
        <v>1.4456199999999999</v>
      </c>
      <c r="T317">
        <f t="shared" si="50"/>
        <v>17.421358024691358</v>
      </c>
      <c r="U317">
        <f t="shared" si="51"/>
        <v>25.18988999506173</v>
      </c>
      <c r="X317" s="9"/>
      <c r="Y317" s="21">
        <v>0.2742</v>
      </c>
      <c r="Z317" s="21">
        <v>17.5853</v>
      </c>
      <c r="AA317" s="21">
        <v>-1.5048199999999999E-2</v>
      </c>
      <c r="AB317" s="21">
        <v>307</v>
      </c>
      <c r="AC317" s="21">
        <v>0.273621</v>
      </c>
      <c r="AD317">
        <f t="shared" si="52"/>
        <v>18.578024691358021</v>
      </c>
      <c r="AE317">
        <f t="shared" si="53"/>
        <v>5.0940943703703692</v>
      </c>
      <c r="AF317" s="9"/>
      <c r="AG317" s="21">
        <v>1.4459200000000001</v>
      </c>
      <c r="AH317" s="21">
        <v>21.444800000000001</v>
      </c>
      <c r="AI317" s="21">
        <v>-1.4135699999999999E-2</v>
      </c>
      <c r="AJ317" s="21">
        <v>307</v>
      </c>
      <c r="AK317" s="21">
        <v>1.4453100000000001</v>
      </c>
      <c r="AL317">
        <f t="shared" si="54"/>
        <v>17.45148148148148</v>
      </c>
      <c r="AM317">
        <f t="shared" si="55"/>
        <v>25.233446103703702</v>
      </c>
      <c r="AP317" s="9"/>
      <c r="AQ317" s="21">
        <v>0.2742</v>
      </c>
      <c r="AR317" s="21">
        <v>26.9696</v>
      </c>
      <c r="AS317" s="21">
        <v>-1.50513E-2</v>
      </c>
      <c r="AT317" s="21">
        <v>307</v>
      </c>
      <c r="AU317" s="21">
        <v>0.27359</v>
      </c>
      <c r="AV317">
        <f t="shared" si="56"/>
        <v>18.581851851851848</v>
      </c>
      <c r="AW317">
        <f t="shared" si="57"/>
        <v>5.0951437777777766</v>
      </c>
      <c r="AX317" s="9"/>
      <c r="AY317" s="21">
        <v>1.4459200000000001</v>
      </c>
      <c r="AZ317" s="21">
        <v>30.829000000000001</v>
      </c>
      <c r="BA317" s="21">
        <v>-1.4120499999999999E-2</v>
      </c>
      <c r="BB317" s="21">
        <v>307</v>
      </c>
      <c r="BC317" s="21">
        <v>1.4456199999999999</v>
      </c>
      <c r="BD317">
        <f t="shared" si="58"/>
        <v>17.432716049382716</v>
      </c>
      <c r="BE317">
        <f t="shared" si="59"/>
        <v>25.206312790123459</v>
      </c>
    </row>
    <row r="318" spans="6:57" x14ac:dyDescent="0.25">
      <c r="F318" s="9"/>
      <c r="G318" s="21">
        <v>0.26916499999999999</v>
      </c>
      <c r="H318" s="21">
        <v>8.1801899999999996</v>
      </c>
      <c r="I318" s="21">
        <v>-1.5029900000000001E-2</v>
      </c>
      <c r="J318" s="21">
        <v>308</v>
      </c>
      <c r="K318" s="21">
        <v>0.26852399999999998</v>
      </c>
      <c r="L318">
        <f t="shared" si="48"/>
        <v>18.555432098765429</v>
      </c>
      <c r="M318">
        <f t="shared" si="49"/>
        <v>4.9944728808641967</v>
      </c>
      <c r="N318" s="9"/>
      <c r="O318" s="21">
        <v>1.45096</v>
      </c>
      <c r="P318" s="21">
        <v>12.0397</v>
      </c>
      <c r="Q318" s="21">
        <v>-1.4080799999999999E-2</v>
      </c>
      <c r="R318" s="21">
        <v>308</v>
      </c>
      <c r="S318" s="21">
        <v>1.4504999999999999</v>
      </c>
      <c r="T318">
        <f t="shared" si="50"/>
        <v>17.383703703703702</v>
      </c>
      <c r="U318">
        <f t="shared" si="51"/>
        <v>25.223058725925924</v>
      </c>
      <c r="X318" s="9"/>
      <c r="Y318" s="21">
        <v>0.26916499999999999</v>
      </c>
      <c r="Z318" s="21">
        <v>17.595400000000001</v>
      </c>
      <c r="AA318" s="21">
        <v>-1.50543E-2</v>
      </c>
      <c r="AB318" s="21">
        <v>308</v>
      </c>
      <c r="AC318" s="21">
        <v>0.26855499999999999</v>
      </c>
      <c r="AD318">
        <f t="shared" si="52"/>
        <v>18.585555555555555</v>
      </c>
      <c r="AE318">
        <f t="shared" si="53"/>
        <v>5.002581061111111</v>
      </c>
      <c r="AF318" s="9"/>
      <c r="AG318" s="21">
        <v>1.45096</v>
      </c>
      <c r="AH318" s="21">
        <v>21.454899999999999</v>
      </c>
      <c r="AI318" s="21">
        <v>-1.4114399999999999E-2</v>
      </c>
      <c r="AJ318" s="21">
        <v>308</v>
      </c>
      <c r="AK318" s="21">
        <v>1.4504999999999999</v>
      </c>
      <c r="AL318">
        <f t="shared" si="54"/>
        <v>17.425185185185182</v>
      </c>
      <c r="AM318">
        <f t="shared" si="55"/>
        <v>25.283246696296292</v>
      </c>
      <c r="AP318" s="9"/>
      <c r="AQ318" s="21">
        <v>0.26916499999999999</v>
      </c>
      <c r="AR318" s="21">
        <v>26.979600000000001</v>
      </c>
      <c r="AS318" s="21">
        <v>-1.5048199999999999E-2</v>
      </c>
      <c r="AT318" s="21">
        <v>308</v>
      </c>
      <c r="AU318" s="21">
        <v>0.26843299999999998</v>
      </c>
      <c r="AV318">
        <f t="shared" si="56"/>
        <v>18.578024691358021</v>
      </c>
      <c r="AW318">
        <f t="shared" si="57"/>
        <v>5.0005540160493815</v>
      </c>
      <c r="AX318" s="9"/>
      <c r="AY318" s="21">
        <v>1.45096</v>
      </c>
      <c r="AZ318" s="21">
        <v>30.839099999999998</v>
      </c>
      <c r="BA318" s="21">
        <v>-1.4093E-2</v>
      </c>
      <c r="BB318" s="21">
        <v>308</v>
      </c>
      <c r="BC318" s="21">
        <v>1.4498899999999999</v>
      </c>
      <c r="BD318">
        <f t="shared" si="58"/>
        <v>17.398765432098763</v>
      </c>
      <c r="BE318">
        <f t="shared" si="59"/>
        <v>25.244912691358021</v>
      </c>
    </row>
    <row r="319" spans="6:57" x14ac:dyDescent="0.25">
      <c r="F319" s="9"/>
      <c r="G319" s="21">
        <v>0.26412999999999998</v>
      </c>
      <c r="H319" s="21">
        <v>8.1902600000000003</v>
      </c>
      <c r="I319" s="21">
        <v>-1.50116E-2</v>
      </c>
      <c r="J319" s="21">
        <v>309</v>
      </c>
      <c r="K319" s="21">
        <v>0.263519</v>
      </c>
      <c r="L319">
        <f t="shared" si="48"/>
        <v>18.532839506172838</v>
      </c>
      <c r="M319">
        <f t="shared" si="49"/>
        <v>4.8950788987654317</v>
      </c>
      <c r="N319" s="9"/>
      <c r="O319" s="21">
        <v>1.4559899999999999</v>
      </c>
      <c r="P319" s="21">
        <v>12.0497</v>
      </c>
      <c r="Q319" s="21">
        <v>-1.40442E-2</v>
      </c>
      <c r="R319" s="21">
        <v>309</v>
      </c>
      <c r="S319" s="21">
        <v>1.4556899999999999</v>
      </c>
      <c r="T319">
        <f t="shared" si="50"/>
        <v>17.338518518518516</v>
      </c>
      <c r="U319">
        <f t="shared" si="51"/>
        <v>25.244709577777773</v>
      </c>
      <c r="X319" s="9"/>
      <c r="Y319" s="21">
        <v>0.26412999999999998</v>
      </c>
      <c r="Z319" s="21">
        <v>17.605499999999999</v>
      </c>
      <c r="AA319" s="21">
        <v>-1.5069600000000001E-2</v>
      </c>
      <c r="AB319" s="21">
        <v>309</v>
      </c>
      <c r="AC319" s="21">
        <v>0.26364100000000001</v>
      </c>
      <c r="AD319">
        <f t="shared" si="52"/>
        <v>18.604444444444443</v>
      </c>
      <c r="AE319">
        <f t="shared" si="53"/>
        <v>4.9139919111111103</v>
      </c>
      <c r="AF319" s="9"/>
      <c r="AG319" s="21">
        <v>1.4559899999999999</v>
      </c>
      <c r="AH319" s="21">
        <v>21.4649</v>
      </c>
      <c r="AI319" s="21">
        <v>-1.4093E-2</v>
      </c>
      <c r="AJ319" s="21">
        <v>309</v>
      </c>
      <c r="AK319" s="21">
        <v>1.4553799999999999</v>
      </c>
      <c r="AL319">
        <f t="shared" si="54"/>
        <v>17.398765432098763</v>
      </c>
      <c r="AM319">
        <f t="shared" si="55"/>
        <v>25.332428481481475</v>
      </c>
      <c r="AP319" s="9"/>
      <c r="AQ319" s="21">
        <v>0.26412999999999998</v>
      </c>
      <c r="AR319" s="21">
        <v>26.989699999999999</v>
      </c>
      <c r="AS319" s="21">
        <v>-1.5042099999999999E-2</v>
      </c>
      <c r="AT319" s="21">
        <v>309</v>
      </c>
      <c r="AU319" s="21">
        <v>0.26348899999999997</v>
      </c>
      <c r="AV319">
        <f t="shared" si="56"/>
        <v>18.570493827160494</v>
      </c>
      <c r="AW319">
        <f t="shared" si="57"/>
        <v>4.9050245345679011</v>
      </c>
      <c r="AX319" s="9"/>
      <c r="AY319" s="21">
        <v>1.4559899999999999</v>
      </c>
      <c r="AZ319" s="21">
        <v>30.8492</v>
      </c>
      <c r="BA319" s="21">
        <v>-1.4068600000000001E-2</v>
      </c>
      <c r="BB319" s="21">
        <v>309</v>
      </c>
      <c r="BC319" s="21">
        <v>1.4556899999999999</v>
      </c>
      <c r="BD319">
        <f t="shared" si="58"/>
        <v>17.368641975308641</v>
      </c>
      <c r="BE319">
        <f t="shared" si="59"/>
        <v>25.288569029629627</v>
      </c>
    </row>
    <row r="320" spans="6:57" x14ac:dyDescent="0.25">
      <c r="F320" s="9"/>
      <c r="G320" s="21">
        <v>0.25909399999999999</v>
      </c>
      <c r="H320" s="21">
        <v>8.2003299999999992</v>
      </c>
      <c r="I320" s="21">
        <v>-1.5002400000000001E-2</v>
      </c>
      <c r="J320" s="21">
        <v>310</v>
      </c>
      <c r="K320" s="21">
        <v>0.25845299999999999</v>
      </c>
      <c r="L320">
        <f t="shared" si="48"/>
        <v>18.521481481481484</v>
      </c>
      <c r="M320">
        <f t="shared" si="49"/>
        <v>4.7988047229629638</v>
      </c>
      <c r="N320" s="9"/>
      <c r="O320" s="21">
        <v>1.4610300000000001</v>
      </c>
      <c r="P320" s="21">
        <v>12.059799999999999</v>
      </c>
      <c r="Q320" s="21">
        <v>-1.4019800000000001E-2</v>
      </c>
      <c r="R320" s="21">
        <v>310</v>
      </c>
      <c r="S320" s="21">
        <v>1.4605699999999999</v>
      </c>
      <c r="T320">
        <f t="shared" si="50"/>
        <v>17.308395061728394</v>
      </c>
      <c r="U320">
        <f t="shared" si="51"/>
        <v>25.288084437037035</v>
      </c>
      <c r="X320" s="9"/>
      <c r="Y320" s="21">
        <v>0.25909399999999999</v>
      </c>
      <c r="Z320" s="21">
        <v>17.615500000000001</v>
      </c>
      <c r="AA320" s="21">
        <v>-1.5081799999999999E-2</v>
      </c>
      <c r="AB320" s="21">
        <v>310</v>
      </c>
      <c r="AC320" s="21">
        <v>0.25845299999999999</v>
      </c>
      <c r="AD320">
        <f t="shared" si="52"/>
        <v>18.619506172839504</v>
      </c>
      <c r="AE320">
        <f t="shared" si="53"/>
        <v>4.8242023323456786</v>
      </c>
      <c r="AF320" s="9"/>
      <c r="AG320" s="21">
        <v>1.4610300000000001</v>
      </c>
      <c r="AH320" s="21">
        <v>21.475000000000001</v>
      </c>
      <c r="AI320" s="21">
        <v>-1.4065599999999999E-2</v>
      </c>
      <c r="AJ320" s="21">
        <v>310</v>
      </c>
      <c r="AK320" s="21">
        <v>1.4605699999999999</v>
      </c>
      <c r="AL320">
        <f t="shared" si="54"/>
        <v>17.364938271604938</v>
      </c>
      <c r="AM320">
        <f t="shared" si="55"/>
        <v>25.370695762962963</v>
      </c>
      <c r="AP320" s="9"/>
      <c r="AQ320" s="21">
        <v>0.25909399999999999</v>
      </c>
      <c r="AR320" s="21">
        <v>26.9998</v>
      </c>
      <c r="AS320" s="21">
        <v>-1.5042099999999999E-2</v>
      </c>
      <c r="AT320" s="21">
        <v>310</v>
      </c>
      <c r="AU320" s="21">
        <v>0.25839200000000001</v>
      </c>
      <c r="AV320">
        <f t="shared" si="56"/>
        <v>18.570493827160494</v>
      </c>
      <c r="AW320">
        <f t="shared" si="57"/>
        <v>4.8115035276543212</v>
      </c>
      <c r="AX320" s="9"/>
      <c r="AY320" s="21">
        <v>1.4610300000000001</v>
      </c>
      <c r="AZ320" s="21">
        <v>30.859300000000001</v>
      </c>
      <c r="BA320" s="21">
        <v>-1.4041100000000001E-2</v>
      </c>
      <c r="BB320" s="21">
        <v>310</v>
      </c>
      <c r="BC320" s="21">
        <v>1.4605699999999999</v>
      </c>
      <c r="BD320">
        <f t="shared" si="58"/>
        <v>17.334691358024692</v>
      </c>
      <c r="BE320">
        <f t="shared" si="59"/>
        <v>25.326504114814817</v>
      </c>
    </row>
    <row r="321" spans="6:57" x14ac:dyDescent="0.25">
      <c r="F321" s="9"/>
      <c r="G321" s="21">
        <v>0.25405899999999998</v>
      </c>
      <c r="H321" s="21">
        <v>8.2103999999999999</v>
      </c>
      <c r="I321" s="21">
        <v>-1.49994E-2</v>
      </c>
      <c r="J321" s="21">
        <v>311</v>
      </c>
      <c r="K321" s="21">
        <v>0.25360100000000002</v>
      </c>
      <c r="L321">
        <f t="shared" si="48"/>
        <v>18.517777777777777</v>
      </c>
      <c r="M321">
        <f t="shared" si="49"/>
        <v>4.7046081044444437</v>
      </c>
      <c r="N321" s="9"/>
      <c r="O321" s="21">
        <v>1.4660599999999999</v>
      </c>
      <c r="P321" s="21">
        <v>12.069900000000001</v>
      </c>
      <c r="Q321" s="21">
        <v>-1.39954E-2</v>
      </c>
      <c r="R321" s="21">
        <v>311</v>
      </c>
      <c r="S321" s="21">
        <v>1.4654499999999999</v>
      </c>
      <c r="T321">
        <f t="shared" si="50"/>
        <v>17.278271604938272</v>
      </c>
      <c r="U321">
        <f t="shared" si="51"/>
        <v>25.330982869135802</v>
      </c>
      <c r="X321" s="9"/>
      <c r="Y321" s="21">
        <v>0.25405899999999998</v>
      </c>
      <c r="Z321" s="21">
        <v>17.625599999999999</v>
      </c>
      <c r="AA321" s="21">
        <v>-1.50787E-2</v>
      </c>
      <c r="AB321" s="21">
        <v>311</v>
      </c>
      <c r="AC321" s="21">
        <v>0.25351000000000001</v>
      </c>
      <c r="AD321">
        <f t="shared" si="52"/>
        <v>18.61567901234568</v>
      </c>
      <c r="AE321">
        <f t="shared" si="53"/>
        <v>4.7294807941975305</v>
      </c>
      <c r="AF321" s="9"/>
      <c r="AG321" s="21">
        <v>1.4660599999999999</v>
      </c>
      <c r="AH321" s="21">
        <v>21.485099999999999</v>
      </c>
      <c r="AI321" s="21">
        <v>-1.4041100000000001E-2</v>
      </c>
      <c r="AJ321" s="21">
        <v>311</v>
      </c>
      <c r="AK321" s="21">
        <v>1.46576</v>
      </c>
      <c r="AL321">
        <f t="shared" si="54"/>
        <v>17.334691358024692</v>
      </c>
      <c r="AM321">
        <f t="shared" si="55"/>
        <v>25.413697612345679</v>
      </c>
      <c r="AP321" s="9"/>
      <c r="AQ321" s="21">
        <v>0.25405899999999998</v>
      </c>
      <c r="AR321" s="21">
        <v>27.009799999999998</v>
      </c>
      <c r="AS321" s="21">
        <v>-1.5048199999999999E-2</v>
      </c>
      <c r="AT321" s="21">
        <v>311</v>
      </c>
      <c r="AU321" s="21">
        <v>0.25357099999999999</v>
      </c>
      <c r="AV321">
        <f t="shared" si="56"/>
        <v>18.578024691358021</v>
      </c>
      <c r="AW321">
        <f t="shared" si="57"/>
        <v>4.7199143750617267</v>
      </c>
      <c r="AX321" s="9"/>
      <c r="AY321" s="21">
        <v>1.4660599999999999</v>
      </c>
      <c r="AZ321" s="21">
        <v>30.869299999999999</v>
      </c>
      <c r="BA321" s="21">
        <v>-1.40228E-2</v>
      </c>
      <c r="BB321" s="21">
        <v>311</v>
      </c>
      <c r="BC321" s="21">
        <v>1.4654499999999999</v>
      </c>
      <c r="BD321">
        <f t="shared" si="58"/>
        <v>17.312098765432097</v>
      </c>
      <c r="BE321">
        <f t="shared" si="59"/>
        <v>25.38057551604938</v>
      </c>
    </row>
    <row r="322" spans="6:57" x14ac:dyDescent="0.25">
      <c r="F322" s="9"/>
      <c r="G322" s="21">
        <v>0.24902299999999999</v>
      </c>
      <c r="H322" s="21">
        <v>8.2204700000000006</v>
      </c>
      <c r="I322" s="21">
        <v>-1.5008499999999999E-2</v>
      </c>
      <c r="J322" s="21">
        <v>312</v>
      </c>
      <c r="K322" s="21">
        <v>0.248444</v>
      </c>
      <c r="L322">
        <f t="shared" si="48"/>
        <v>18.529012345679011</v>
      </c>
      <c r="M322">
        <f t="shared" si="49"/>
        <v>4.6141502413580238</v>
      </c>
      <c r="N322" s="9"/>
      <c r="O322" s="21">
        <v>1.4711000000000001</v>
      </c>
      <c r="P322" s="21">
        <v>12.08</v>
      </c>
      <c r="Q322" s="21">
        <v>-1.39709E-2</v>
      </c>
      <c r="R322" s="21">
        <v>312</v>
      </c>
      <c r="S322" s="21">
        <v>1.47095</v>
      </c>
      <c r="T322">
        <f t="shared" si="50"/>
        <v>17.248024691358022</v>
      </c>
      <c r="U322">
        <f t="shared" si="51"/>
        <v>25.373569123456789</v>
      </c>
      <c r="X322" s="9"/>
      <c r="Y322" s="21">
        <v>0.24902299999999999</v>
      </c>
      <c r="Z322" s="21">
        <v>17.6357</v>
      </c>
      <c r="AA322" s="21">
        <v>-1.5075699999999999E-2</v>
      </c>
      <c r="AB322" s="21">
        <v>312</v>
      </c>
      <c r="AC322" s="21">
        <v>0.24841299999999999</v>
      </c>
      <c r="AD322">
        <f t="shared" si="52"/>
        <v>18.611975308641973</v>
      </c>
      <c r="AE322">
        <f t="shared" si="53"/>
        <v>4.6348099272839498</v>
      </c>
      <c r="AF322" s="9"/>
      <c r="AG322" s="21">
        <v>1.4711000000000001</v>
      </c>
      <c r="AH322" s="21">
        <v>21.495200000000001</v>
      </c>
      <c r="AI322" s="21">
        <v>-1.40106E-2</v>
      </c>
      <c r="AJ322" s="21">
        <v>312</v>
      </c>
      <c r="AK322" s="21">
        <v>1.4706399999999999</v>
      </c>
      <c r="AL322">
        <f t="shared" si="54"/>
        <v>17.297037037037036</v>
      </c>
      <c r="AM322">
        <f t="shared" si="55"/>
        <v>25.445671185185184</v>
      </c>
      <c r="AP322" s="9"/>
      <c r="AQ322" s="21">
        <v>0.24902299999999999</v>
      </c>
      <c r="AR322" s="21">
        <v>27.0199</v>
      </c>
      <c r="AS322" s="21">
        <v>-1.50391E-2</v>
      </c>
      <c r="AT322" s="21">
        <v>312</v>
      </c>
      <c r="AU322" s="21">
        <v>0.24859600000000001</v>
      </c>
      <c r="AV322">
        <f t="shared" si="56"/>
        <v>18.566790123456791</v>
      </c>
      <c r="AW322">
        <f t="shared" si="57"/>
        <v>4.6235577769135805</v>
      </c>
      <c r="AX322" s="9"/>
      <c r="AY322" s="21">
        <v>1.4711000000000001</v>
      </c>
      <c r="AZ322" s="21">
        <v>30.8794</v>
      </c>
      <c r="BA322" s="21">
        <v>-1.3998399999999999E-2</v>
      </c>
      <c r="BB322" s="21">
        <v>312</v>
      </c>
      <c r="BC322" s="21">
        <v>1.4706399999999999</v>
      </c>
      <c r="BD322">
        <f t="shared" si="58"/>
        <v>17.281975308641975</v>
      </c>
      <c r="BE322">
        <f t="shared" si="59"/>
        <v>25.423513876543211</v>
      </c>
    </row>
    <row r="323" spans="6:57" x14ac:dyDescent="0.25">
      <c r="F323" s="9"/>
      <c r="G323" s="21">
        <v>0.24398800000000001</v>
      </c>
      <c r="H323" s="21">
        <v>8.2305499999999991</v>
      </c>
      <c r="I323" s="21">
        <v>-1.5014599999999999E-2</v>
      </c>
      <c r="J323" s="21">
        <v>313</v>
      </c>
      <c r="K323" s="21">
        <v>0.24346899999999999</v>
      </c>
      <c r="L323">
        <f t="shared" si="48"/>
        <v>18.536543209876541</v>
      </c>
      <c r="M323">
        <f t="shared" si="49"/>
        <v>4.5226941046913574</v>
      </c>
      <c r="N323" s="9"/>
      <c r="O323" s="21">
        <v>1.47614</v>
      </c>
      <c r="P323" s="21">
        <v>12.09</v>
      </c>
      <c r="Q323" s="21">
        <v>-1.39404E-2</v>
      </c>
      <c r="R323" s="21">
        <v>313</v>
      </c>
      <c r="S323" s="21">
        <v>1.47522</v>
      </c>
      <c r="T323">
        <f t="shared" si="50"/>
        <v>17.21037037037037</v>
      </c>
      <c r="U323">
        <f t="shared" si="51"/>
        <v>25.404916118518518</v>
      </c>
      <c r="X323" s="9"/>
      <c r="Y323" s="21">
        <v>0.24398800000000001</v>
      </c>
      <c r="Z323" s="21">
        <v>17.645800000000001</v>
      </c>
      <c r="AA323" s="21">
        <v>-1.50787E-2</v>
      </c>
      <c r="AB323" s="21">
        <v>313</v>
      </c>
      <c r="AC323" s="21">
        <v>0.243256</v>
      </c>
      <c r="AD323">
        <f t="shared" si="52"/>
        <v>18.61567901234568</v>
      </c>
      <c r="AE323">
        <f t="shared" si="53"/>
        <v>4.5420022908641977</v>
      </c>
      <c r="AF323" s="9"/>
      <c r="AG323" s="21">
        <v>1.47614</v>
      </c>
      <c r="AH323" s="21">
        <v>21.505199999999999</v>
      </c>
      <c r="AI323" s="21">
        <v>-1.3964799999999999E-2</v>
      </c>
      <c r="AJ323" s="21">
        <v>313</v>
      </c>
      <c r="AK323" s="21">
        <v>1.4755199999999999</v>
      </c>
      <c r="AL323">
        <f t="shared" si="54"/>
        <v>17.240493827160492</v>
      </c>
      <c r="AM323">
        <f t="shared" si="55"/>
        <v>25.449382558024688</v>
      </c>
      <c r="AP323" s="9"/>
      <c r="AQ323" s="21">
        <v>0.24398800000000001</v>
      </c>
      <c r="AR323" s="21">
        <v>27.03</v>
      </c>
      <c r="AS323" s="21">
        <v>-1.5036000000000001E-2</v>
      </c>
      <c r="AT323" s="21">
        <v>313</v>
      </c>
      <c r="AU323" s="21">
        <v>0.24346899999999999</v>
      </c>
      <c r="AV323">
        <f t="shared" si="56"/>
        <v>18.562962962962963</v>
      </c>
      <c r="AW323">
        <f t="shared" si="57"/>
        <v>4.5291402074074076</v>
      </c>
      <c r="AX323" s="9"/>
      <c r="AY323" s="21">
        <v>1.47614</v>
      </c>
      <c r="AZ323" s="21">
        <v>30.889500000000002</v>
      </c>
      <c r="BA323" s="21">
        <v>-1.3974E-2</v>
      </c>
      <c r="BB323" s="21">
        <v>313</v>
      </c>
      <c r="BC323" s="21">
        <v>1.4755199999999999</v>
      </c>
      <c r="BD323">
        <f t="shared" si="58"/>
        <v>17.251851851851853</v>
      </c>
      <c r="BE323">
        <f t="shared" si="59"/>
        <v>25.466148592592596</v>
      </c>
    </row>
    <row r="324" spans="6:57" x14ac:dyDescent="0.25">
      <c r="F324" s="9"/>
      <c r="G324" s="21">
        <v>0.238953</v>
      </c>
      <c r="H324" s="21">
        <v>8.2406199999999998</v>
      </c>
      <c r="I324" s="21">
        <v>-1.49994E-2</v>
      </c>
      <c r="J324" s="21">
        <v>314</v>
      </c>
      <c r="K324" s="21">
        <v>0.238312</v>
      </c>
      <c r="L324">
        <f t="shared" si="48"/>
        <v>18.517777777777777</v>
      </c>
      <c r="M324">
        <f t="shared" si="49"/>
        <v>4.4248785533333335</v>
      </c>
      <c r="N324" s="9"/>
      <c r="O324" s="21">
        <v>1.4811700000000001</v>
      </c>
      <c r="P324" s="21">
        <v>12.100099999999999</v>
      </c>
      <c r="Q324" s="21">
        <v>-1.39069E-2</v>
      </c>
      <c r="R324" s="21">
        <v>314</v>
      </c>
      <c r="S324" s="21">
        <v>1.48041</v>
      </c>
      <c r="T324">
        <f t="shared" si="50"/>
        <v>17.169012345679011</v>
      </c>
      <c r="U324">
        <f t="shared" si="51"/>
        <v>25.430226016049382</v>
      </c>
      <c r="X324" s="9"/>
      <c r="Y324" s="21">
        <v>0.238953</v>
      </c>
      <c r="Z324" s="21">
        <v>17.655799999999999</v>
      </c>
      <c r="AA324" s="21">
        <v>-1.5094E-2</v>
      </c>
      <c r="AB324" s="21">
        <v>314</v>
      </c>
      <c r="AC324" s="21">
        <v>0.23849500000000001</v>
      </c>
      <c r="AD324">
        <f t="shared" si="52"/>
        <v>18.634567901234568</v>
      </c>
      <c r="AE324">
        <f t="shared" si="53"/>
        <v>4.4527859037037034</v>
      </c>
      <c r="AF324" s="9"/>
      <c r="AG324" s="21">
        <v>1.4811700000000001</v>
      </c>
      <c r="AH324" s="21">
        <v>21.5153</v>
      </c>
      <c r="AI324" s="21">
        <v>-1.39282E-2</v>
      </c>
      <c r="AJ324" s="21">
        <v>314</v>
      </c>
      <c r="AK324" s="21">
        <v>1.48041</v>
      </c>
      <c r="AL324">
        <f t="shared" si="54"/>
        <v>17.195308641975309</v>
      </c>
      <c r="AM324">
        <f t="shared" si="55"/>
        <v>25.469175301234571</v>
      </c>
      <c r="AP324" s="9"/>
      <c r="AQ324" s="21">
        <v>0.238953</v>
      </c>
      <c r="AR324" s="21">
        <v>27.040099999999999</v>
      </c>
      <c r="AS324" s="21">
        <v>-1.5036000000000001E-2</v>
      </c>
      <c r="AT324" s="21">
        <v>314</v>
      </c>
      <c r="AU324" s="21">
        <v>0.23843400000000001</v>
      </c>
      <c r="AV324">
        <f t="shared" si="56"/>
        <v>18.562962962962963</v>
      </c>
      <c r="AW324">
        <f t="shared" si="57"/>
        <v>4.4356756888888889</v>
      </c>
      <c r="AX324" s="9"/>
      <c r="AY324" s="21">
        <v>1.4811700000000001</v>
      </c>
      <c r="AZ324" s="21">
        <v>30.8995</v>
      </c>
      <c r="BA324" s="21">
        <v>-1.3946500000000001E-2</v>
      </c>
      <c r="BB324" s="21">
        <v>314</v>
      </c>
      <c r="BC324" s="21">
        <v>1.4798</v>
      </c>
      <c r="BD324">
        <f t="shared" si="58"/>
        <v>17.217901234567901</v>
      </c>
      <c r="BE324">
        <f t="shared" si="59"/>
        <v>25.502638771604939</v>
      </c>
    </row>
    <row r="325" spans="6:57" x14ac:dyDescent="0.25">
      <c r="F325" s="9"/>
      <c r="G325" s="21">
        <v>0.23391700000000001</v>
      </c>
      <c r="H325" s="21">
        <v>8.2506900000000005</v>
      </c>
      <c r="I325" s="21">
        <v>-1.49994E-2</v>
      </c>
      <c r="J325" s="21">
        <v>315</v>
      </c>
      <c r="K325" s="21">
        <v>0.23336799999999999</v>
      </c>
      <c r="L325">
        <f t="shared" si="48"/>
        <v>18.517777777777777</v>
      </c>
      <c r="M325">
        <f t="shared" si="49"/>
        <v>4.3316230244444442</v>
      </c>
      <c r="N325" s="9"/>
      <c r="O325" s="21">
        <v>1.48621</v>
      </c>
      <c r="P325" s="21">
        <v>12.110200000000001</v>
      </c>
      <c r="Q325" s="21">
        <v>-1.38794E-2</v>
      </c>
      <c r="R325" s="21">
        <v>315</v>
      </c>
      <c r="S325" s="21">
        <v>1.4859</v>
      </c>
      <c r="T325">
        <f t="shared" si="50"/>
        <v>17.135061728395058</v>
      </c>
      <c r="U325">
        <f t="shared" si="51"/>
        <v>25.466300091358022</v>
      </c>
      <c r="X325" s="9"/>
      <c r="Y325" s="21">
        <v>0.23391700000000001</v>
      </c>
      <c r="Z325" s="21">
        <v>17.665900000000001</v>
      </c>
      <c r="AA325" s="21">
        <v>-1.51031E-2</v>
      </c>
      <c r="AB325" s="21">
        <v>315</v>
      </c>
      <c r="AC325" s="21">
        <v>0.23330699999999999</v>
      </c>
      <c r="AD325">
        <f t="shared" si="52"/>
        <v>18.645802469135798</v>
      </c>
      <c r="AE325">
        <f t="shared" si="53"/>
        <v>4.3615701761728385</v>
      </c>
      <c r="AF325" s="9"/>
      <c r="AG325" s="21">
        <v>1.48621</v>
      </c>
      <c r="AH325" s="21">
        <v>21.525400000000001</v>
      </c>
      <c r="AI325" s="21">
        <v>-1.3897700000000001E-2</v>
      </c>
      <c r="AJ325" s="21">
        <v>315</v>
      </c>
      <c r="AK325" s="21">
        <v>1.48529</v>
      </c>
      <c r="AL325">
        <f t="shared" si="54"/>
        <v>17.157654320987653</v>
      </c>
      <c r="AM325">
        <f t="shared" si="55"/>
        <v>25.49987742839506</v>
      </c>
      <c r="AP325" s="9"/>
      <c r="AQ325" s="21">
        <v>0.23391700000000001</v>
      </c>
      <c r="AR325" s="21">
        <v>27.0501</v>
      </c>
      <c r="AS325" s="21">
        <v>-1.50391E-2</v>
      </c>
      <c r="AT325" s="21">
        <v>315</v>
      </c>
      <c r="AU325" s="21">
        <v>0.23330699999999999</v>
      </c>
      <c r="AV325">
        <f t="shared" si="56"/>
        <v>18.566790123456791</v>
      </c>
      <c r="AW325">
        <f t="shared" si="57"/>
        <v>4.3430878453086423</v>
      </c>
      <c r="AX325" s="9"/>
      <c r="AY325" s="21">
        <v>1.48621</v>
      </c>
      <c r="AZ325" s="21">
        <v>30.909600000000001</v>
      </c>
      <c r="BA325" s="21">
        <v>-1.3909899999999999E-2</v>
      </c>
      <c r="BB325" s="21">
        <v>315</v>
      </c>
      <c r="BC325" s="21">
        <v>1.48529</v>
      </c>
      <c r="BD325">
        <f t="shared" si="58"/>
        <v>17.172716049382714</v>
      </c>
      <c r="BE325">
        <f t="shared" si="59"/>
        <v>25.522262319753086</v>
      </c>
    </row>
    <row r="326" spans="6:57" x14ac:dyDescent="0.25">
      <c r="F326" s="9"/>
      <c r="G326" s="21">
        <v>0.228882</v>
      </c>
      <c r="H326" s="21">
        <v>8.2607599999999994</v>
      </c>
      <c r="I326" s="21">
        <v>-1.49994E-2</v>
      </c>
      <c r="J326" s="21">
        <v>316</v>
      </c>
      <c r="K326" s="21">
        <v>0.228271</v>
      </c>
      <c r="L326">
        <f t="shared" si="48"/>
        <v>18.517777777777777</v>
      </c>
      <c r="M326">
        <f t="shared" si="49"/>
        <v>4.2383860133333329</v>
      </c>
      <c r="N326" s="9"/>
      <c r="O326" s="21">
        <v>1.4912399999999999</v>
      </c>
      <c r="P326" s="21">
        <v>12.120200000000001</v>
      </c>
      <c r="Q326" s="21">
        <v>-1.3848900000000001E-2</v>
      </c>
      <c r="R326" s="21">
        <v>316</v>
      </c>
      <c r="S326" s="21">
        <v>1.49048</v>
      </c>
      <c r="T326">
        <f t="shared" si="50"/>
        <v>17.09740740740741</v>
      </c>
      <c r="U326">
        <f t="shared" si="51"/>
        <v>25.496337822222223</v>
      </c>
      <c r="X326" s="9"/>
      <c r="Y326" s="21">
        <v>0.228882</v>
      </c>
      <c r="Z326" s="21">
        <v>17.675999999999998</v>
      </c>
      <c r="AA326" s="21">
        <v>-1.51031E-2</v>
      </c>
      <c r="AB326" s="21">
        <v>316</v>
      </c>
      <c r="AC326" s="21">
        <v>0.228271</v>
      </c>
      <c r="AD326">
        <f t="shared" si="52"/>
        <v>18.645802469135798</v>
      </c>
      <c r="AE326">
        <f t="shared" si="53"/>
        <v>4.2676885607407398</v>
      </c>
      <c r="AF326" s="9"/>
      <c r="AG326" s="21">
        <v>1.4912399999999999</v>
      </c>
      <c r="AH326" s="21">
        <v>21.535399999999999</v>
      </c>
      <c r="AI326" s="21">
        <v>-1.38672E-2</v>
      </c>
      <c r="AJ326" s="21">
        <v>316</v>
      </c>
      <c r="AK326" s="21">
        <v>1.49109</v>
      </c>
      <c r="AL326">
        <f t="shared" si="54"/>
        <v>17.12</v>
      </c>
      <c r="AM326">
        <f t="shared" si="55"/>
        <v>25.5300288</v>
      </c>
      <c r="AP326" s="9"/>
      <c r="AQ326" s="21">
        <v>0.228882</v>
      </c>
      <c r="AR326" s="21">
        <v>27.060199999999998</v>
      </c>
      <c r="AS326" s="21">
        <v>-1.5029900000000001E-2</v>
      </c>
      <c r="AT326" s="21">
        <v>316</v>
      </c>
      <c r="AU326" s="21">
        <v>0.228302</v>
      </c>
      <c r="AV326">
        <f t="shared" si="56"/>
        <v>18.555432098765429</v>
      </c>
      <c r="AW326">
        <f t="shared" si="57"/>
        <v>4.2470044096296293</v>
      </c>
      <c r="AX326" s="9"/>
      <c r="AY326" s="21">
        <v>1.4912399999999999</v>
      </c>
      <c r="AZ326" s="21">
        <v>30.919699999999999</v>
      </c>
      <c r="BA326" s="21">
        <v>-1.38885E-2</v>
      </c>
      <c r="BB326" s="21">
        <v>316</v>
      </c>
      <c r="BC326" s="21">
        <v>1.49048</v>
      </c>
      <c r="BD326">
        <f t="shared" si="58"/>
        <v>17.146296296296295</v>
      </c>
      <c r="BE326">
        <f t="shared" si="59"/>
        <v>25.569242888888887</v>
      </c>
    </row>
    <row r="327" spans="6:57" x14ac:dyDescent="0.25">
      <c r="F327" s="9"/>
      <c r="G327" s="21">
        <v>0.22384599999999999</v>
      </c>
      <c r="H327" s="21">
        <v>8.2708300000000001</v>
      </c>
      <c r="I327" s="21">
        <v>-1.5014599999999999E-2</v>
      </c>
      <c r="J327" s="21">
        <v>317</v>
      </c>
      <c r="K327" s="21">
        <v>0.22317500000000001</v>
      </c>
      <c r="L327">
        <f t="shared" si="48"/>
        <v>18.536543209876541</v>
      </c>
      <c r="M327">
        <f t="shared" si="49"/>
        <v>4.1493310513580237</v>
      </c>
      <c r="N327" s="9"/>
      <c r="O327" s="21">
        <v>1.4962800000000001</v>
      </c>
      <c r="P327" s="21">
        <v>12.1303</v>
      </c>
      <c r="Q327" s="21">
        <v>-1.3809200000000001E-2</v>
      </c>
      <c r="R327" s="21">
        <v>317</v>
      </c>
      <c r="S327" s="21">
        <v>1.49475</v>
      </c>
      <c r="T327">
        <f t="shared" si="50"/>
        <v>17.048395061728392</v>
      </c>
      <c r="U327">
        <f t="shared" si="51"/>
        <v>25.509172562962959</v>
      </c>
      <c r="X327" s="9"/>
      <c r="Y327" s="21">
        <v>0.22384599999999999</v>
      </c>
      <c r="Z327" s="21">
        <v>17.686</v>
      </c>
      <c r="AA327" s="21">
        <v>-1.5096999999999999E-2</v>
      </c>
      <c r="AB327" s="21">
        <v>317</v>
      </c>
      <c r="AC327" s="21">
        <v>0.223328</v>
      </c>
      <c r="AD327">
        <f t="shared" si="52"/>
        <v>18.638271604938272</v>
      </c>
      <c r="AE327">
        <f t="shared" si="53"/>
        <v>4.172102545679012</v>
      </c>
      <c r="AF327" s="9"/>
      <c r="AG327" s="21">
        <v>1.4962800000000001</v>
      </c>
      <c r="AH327" s="21">
        <v>21.545500000000001</v>
      </c>
      <c r="AI327" s="21">
        <v>-1.38306E-2</v>
      </c>
      <c r="AJ327" s="21">
        <v>317</v>
      </c>
      <c r="AK327" s="21">
        <v>1.4962800000000001</v>
      </c>
      <c r="AL327">
        <f t="shared" si="54"/>
        <v>17.074814814814815</v>
      </c>
      <c r="AM327">
        <f t="shared" si="55"/>
        <v>25.548703911111112</v>
      </c>
      <c r="AP327" s="9"/>
      <c r="AQ327" s="21">
        <v>0.22384599999999999</v>
      </c>
      <c r="AR327" s="21">
        <v>27.0703</v>
      </c>
      <c r="AS327" s="21">
        <v>-1.5029900000000001E-2</v>
      </c>
      <c r="AT327" s="21">
        <v>317</v>
      </c>
      <c r="AU327" s="21">
        <v>0.22323599999999999</v>
      </c>
      <c r="AV327">
        <f t="shared" si="56"/>
        <v>18.555432098765429</v>
      </c>
      <c r="AW327">
        <f t="shared" si="57"/>
        <v>4.1535592535802461</v>
      </c>
      <c r="AX327" s="9"/>
      <c r="AY327" s="21">
        <v>1.4962800000000001</v>
      </c>
      <c r="AZ327" s="21">
        <v>30.9298</v>
      </c>
      <c r="BA327" s="21">
        <v>-1.3870199999999999E-2</v>
      </c>
      <c r="BB327" s="21">
        <v>317</v>
      </c>
      <c r="BC327" s="21">
        <v>1.4956700000000001</v>
      </c>
      <c r="BD327">
        <f t="shared" si="58"/>
        <v>17.123703703703701</v>
      </c>
      <c r="BE327">
        <f t="shared" si="59"/>
        <v>25.621855377777774</v>
      </c>
    </row>
    <row r="328" spans="6:57" x14ac:dyDescent="0.25">
      <c r="F328" s="9"/>
      <c r="G328" s="21">
        <v>0.21881100000000001</v>
      </c>
      <c r="H328" s="21">
        <v>8.2809000000000008</v>
      </c>
      <c r="I328" s="21">
        <v>-1.5029900000000001E-2</v>
      </c>
      <c r="J328" s="21">
        <v>318</v>
      </c>
      <c r="K328" s="21">
        <v>0.21826200000000001</v>
      </c>
      <c r="L328">
        <f t="shared" si="48"/>
        <v>18.555432098765429</v>
      </c>
      <c r="M328">
        <f t="shared" si="49"/>
        <v>4.0601326529629622</v>
      </c>
      <c r="N328" s="9"/>
      <c r="O328" s="21">
        <v>1.5013099999999999</v>
      </c>
      <c r="P328" s="21">
        <v>12.1404</v>
      </c>
      <c r="Q328" s="21">
        <v>-1.3775600000000001E-2</v>
      </c>
      <c r="R328" s="21">
        <v>318</v>
      </c>
      <c r="S328" s="21">
        <v>1.50085</v>
      </c>
      <c r="T328">
        <f t="shared" si="50"/>
        <v>17.006913580246916</v>
      </c>
      <c r="U328">
        <f t="shared" si="51"/>
        <v>25.532649427160496</v>
      </c>
      <c r="X328" s="9"/>
      <c r="Y328" s="21">
        <v>0.21881100000000001</v>
      </c>
      <c r="Z328" s="21">
        <v>17.696100000000001</v>
      </c>
      <c r="AA328" s="21">
        <v>-1.5094E-2</v>
      </c>
      <c r="AB328" s="21">
        <v>318</v>
      </c>
      <c r="AC328" s="21">
        <v>0.21826200000000001</v>
      </c>
      <c r="AD328">
        <f t="shared" si="52"/>
        <v>18.634567901234568</v>
      </c>
      <c r="AE328">
        <f t="shared" si="53"/>
        <v>4.0774484370370372</v>
      </c>
      <c r="AF328" s="9"/>
      <c r="AG328" s="21">
        <v>1.5013099999999999</v>
      </c>
      <c r="AH328" s="21">
        <v>21.555599999999998</v>
      </c>
      <c r="AI328" s="21">
        <v>-1.37939E-2</v>
      </c>
      <c r="AJ328" s="21">
        <v>318</v>
      </c>
      <c r="AK328" s="21">
        <v>1.50116</v>
      </c>
      <c r="AL328">
        <f t="shared" si="54"/>
        <v>17.029506172839504</v>
      </c>
      <c r="AM328">
        <f t="shared" si="55"/>
        <v>25.566567912345675</v>
      </c>
      <c r="AP328" s="9"/>
      <c r="AQ328" s="21">
        <v>0.21881100000000001</v>
      </c>
      <c r="AR328" s="21">
        <v>27.080300000000001</v>
      </c>
      <c r="AS328" s="21">
        <v>-1.5036000000000001E-2</v>
      </c>
      <c r="AT328" s="21">
        <v>318</v>
      </c>
      <c r="AU328" s="21">
        <v>0.21826200000000001</v>
      </c>
      <c r="AV328">
        <f t="shared" si="56"/>
        <v>18.562962962962963</v>
      </c>
      <c r="AW328">
        <f t="shared" si="57"/>
        <v>4.0617804888888891</v>
      </c>
      <c r="AX328" s="9"/>
      <c r="AY328" s="21">
        <v>1.5013099999999999</v>
      </c>
      <c r="AZ328" s="21">
        <v>30.939800000000002</v>
      </c>
      <c r="BA328" s="21">
        <v>-1.3848900000000001E-2</v>
      </c>
      <c r="BB328" s="21">
        <v>318</v>
      </c>
      <c r="BC328" s="21">
        <v>1.5005500000000001</v>
      </c>
      <c r="BD328">
        <f t="shared" si="58"/>
        <v>17.09740740740741</v>
      </c>
      <c r="BE328">
        <f t="shared" si="59"/>
        <v>25.668508714814816</v>
      </c>
    </row>
    <row r="329" spans="6:57" x14ac:dyDescent="0.25">
      <c r="F329" s="9"/>
      <c r="G329" s="21">
        <v>0.21377599999999999</v>
      </c>
      <c r="H329" s="21">
        <v>8.2909699999999997</v>
      </c>
      <c r="I329" s="21">
        <v>-1.5032999999999999E-2</v>
      </c>
      <c r="J329" s="21">
        <v>319</v>
      </c>
      <c r="K329" s="21">
        <v>0.21313499999999999</v>
      </c>
      <c r="L329">
        <f t="shared" si="48"/>
        <v>18.559259259259257</v>
      </c>
      <c r="M329">
        <f t="shared" si="49"/>
        <v>3.9675242074074069</v>
      </c>
      <c r="N329" s="9"/>
      <c r="O329" s="21">
        <v>1.5063500000000001</v>
      </c>
      <c r="P329" s="21">
        <v>12.150399999999999</v>
      </c>
      <c r="Q329" s="21">
        <v>-1.37451E-2</v>
      </c>
      <c r="R329" s="21">
        <v>319</v>
      </c>
      <c r="S329" s="21">
        <v>1.50604</v>
      </c>
      <c r="T329">
        <f t="shared" si="50"/>
        <v>16.969259259259257</v>
      </c>
      <c r="U329">
        <f t="shared" si="51"/>
        <v>25.561643685185182</v>
      </c>
      <c r="X329" s="9"/>
      <c r="Y329" s="21">
        <v>0.21377599999999999</v>
      </c>
      <c r="Z329" s="21">
        <v>17.706199999999999</v>
      </c>
      <c r="AA329" s="21">
        <v>-1.51001E-2</v>
      </c>
      <c r="AB329" s="21">
        <v>319</v>
      </c>
      <c r="AC329" s="21">
        <v>0.213287</v>
      </c>
      <c r="AD329">
        <f t="shared" si="52"/>
        <v>18.642098765432099</v>
      </c>
      <c r="AE329">
        <f t="shared" si="53"/>
        <v>3.9852333056790123</v>
      </c>
      <c r="AF329" s="9"/>
      <c r="AG329" s="21">
        <v>1.5063500000000001</v>
      </c>
      <c r="AH329" s="21">
        <v>21.5657</v>
      </c>
      <c r="AI329" s="21">
        <v>-1.37634E-2</v>
      </c>
      <c r="AJ329" s="21">
        <v>319</v>
      </c>
      <c r="AK329" s="21">
        <v>1.50604</v>
      </c>
      <c r="AL329">
        <f t="shared" si="54"/>
        <v>16.991851851851852</v>
      </c>
      <c r="AM329">
        <f t="shared" si="55"/>
        <v>25.595676037037038</v>
      </c>
      <c r="AP329" s="9"/>
      <c r="AQ329" s="21">
        <v>0.21377599999999999</v>
      </c>
      <c r="AR329" s="21">
        <v>27.090399999999999</v>
      </c>
      <c r="AS329" s="21">
        <v>-1.5029900000000001E-2</v>
      </c>
      <c r="AT329" s="21">
        <v>319</v>
      </c>
      <c r="AU329" s="21">
        <v>0.213287</v>
      </c>
      <c r="AV329">
        <f t="shared" si="56"/>
        <v>18.555432098765429</v>
      </c>
      <c r="AW329">
        <f t="shared" si="57"/>
        <v>3.9667060523456783</v>
      </c>
      <c r="AX329" s="9"/>
      <c r="AY329" s="21">
        <v>1.5063500000000001</v>
      </c>
      <c r="AZ329" s="21">
        <v>30.9499</v>
      </c>
      <c r="BA329" s="21">
        <v>-1.3806199999999999E-2</v>
      </c>
      <c r="BB329" s="21">
        <v>319</v>
      </c>
      <c r="BC329" s="21">
        <v>1.5057400000000001</v>
      </c>
      <c r="BD329">
        <f t="shared" si="58"/>
        <v>17.044691358024689</v>
      </c>
      <c r="BE329">
        <f t="shared" si="59"/>
        <v>25.675270827160492</v>
      </c>
    </row>
    <row r="330" spans="6:57" x14ac:dyDescent="0.25">
      <c r="F330" s="9"/>
      <c r="G330" s="21">
        <v>0.20874000000000001</v>
      </c>
      <c r="H330" s="21">
        <v>8.3010400000000004</v>
      </c>
      <c r="I330" s="21">
        <v>-1.5048199999999999E-2</v>
      </c>
      <c r="J330" s="21">
        <v>320</v>
      </c>
      <c r="K330" s="21">
        <v>0.20825199999999999</v>
      </c>
      <c r="L330">
        <f t="shared" si="48"/>
        <v>18.578024691358021</v>
      </c>
      <c r="M330">
        <f t="shared" si="49"/>
        <v>3.8779768740740734</v>
      </c>
      <c r="N330" s="9"/>
      <c r="O330" s="21">
        <v>1.5113799999999999</v>
      </c>
      <c r="P330" s="21">
        <v>12.160500000000001</v>
      </c>
      <c r="Q330" s="21">
        <v>-1.3720700000000001E-2</v>
      </c>
      <c r="R330" s="21">
        <v>320</v>
      </c>
      <c r="S330" s="21">
        <v>1.5106200000000001</v>
      </c>
      <c r="T330">
        <f t="shared" si="50"/>
        <v>16.939135802469135</v>
      </c>
      <c r="U330">
        <f t="shared" si="51"/>
        <v>25.601471069135801</v>
      </c>
      <c r="X330" s="9"/>
      <c r="Y330" s="21">
        <v>0.20874000000000001</v>
      </c>
      <c r="Z330" s="21">
        <v>17.7163</v>
      </c>
      <c r="AA330" s="21">
        <v>-1.5109300000000001E-2</v>
      </c>
      <c r="AB330" s="21">
        <v>320</v>
      </c>
      <c r="AC330" s="21">
        <v>0.20825199999999999</v>
      </c>
      <c r="AD330">
        <f t="shared" si="52"/>
        <v>18.653456790123457</v>
      </c>
      <c r="AE330">
        <f t="shared" si="53"/>
        <v>3.8937225703703704</v>
      </c>
      <c r="AF330" s="9"/>
      <c r="AG330" s="21">
        <v>1.5113799999999999</v>
      </c>
      <c r="AH330" s="21">
        <v>21.575700000000001</v>
      </c>
      <c r="AI330" s="21">
        <v>-1.37238E-2</v>
      </c>
      <c r="AJ330" s="21">
        <v>320</v>
      </c>
      <c r="AK330" s="21">
        <v>1.51031</v>
      </c>
      <c r="AL330">
        <f t="shared" si="54"/>
        <v>16.942962962962962</v>
      </c>
      <c r="AM330">
        <f t="shared" si="55"/>
        <v>25.60725536296296</v>
      </c>
      <c r="AP330" s="9"/>
      <c r="AQ330" s="21">
        <v>0.20874000000000001</v>
      </c>
      <c r="AR330" s="21">
        <v>27.1005</v>
      </c>
      <c r="AS330" s="21">
        <v>-1.5020800000000001E-2</v>
      </c>
      <c r="AT330" s="21">
        <v>320</v>
      </c>
      <c r="AU330" s="21">
        <v>0.20813000000000001</v>
      </c>
      <c r="AV330">
        <f t="shared" si="56"/>
        <v>18.544197530864199</v>
      </c>
      <c r="AW330">
        <f t="shared" si="57"/>
        <v>3.870915792592593</v>
      </c>
      <c r="AX330" s="9"/>
      <c r="AY330" s="21">
        <v>1.5113799999999999</v>
      </c>
      <c r="AZ330" s="21">
        <v>30.96</v>
      </c>
      <c r="BA330" s="21">
        <v>-1.37573E-2</v>
      </c>
      <c r="BB330" s="21">
        <v>320</v>
      </c>
      <c r="BC330" s="21">
        <v>1.5109300000000001</v>
      </c>
      <c r="BD330">
        <f t="shared" si="58"/>
        <v>16.984320987654321</v>
      </c>
      <c r="BE330">
        <f t="shared" si="59"/>
        <v>25.669763054320988</v>
      </c>
    </row>
    <row r="331" spans="6:57" x14ac:dyDescent="0.25">
      <c r="F331" s="9"/>
      <c r="G331" s="21">
        <v>0.203705</v>
      </c>
      <c r="H331" s="21">
        <v>8.3111099999999993</v>
      </c>
      <c r="I331" s="21">
        <v>-1.5048199999999999E-2</v>
      </c>
      <c r="J331" s="21">
        <v>321</v>
      </c>
      <c r="K331" s="21">
        <v>0.20303299999999999</v>
      </c>
      <c r="L331">
        <f t="shared" si="48"/>
        <v>18.578024691358021</v>
      </c>
      <c r="M331">
        <f t="shared" si="49"/>
        <v>3.7844365197530854</v>
      </c>
      <c r="N331" s="9"/>
      <c r="O331" s="21">
        <v>1.5164200000000001</v>
      </c>
      <c r="P331" s="21">
        <v>12.1706</v>
      </c>
      <c r="Q331" s="21">
        <v>-1.3677999999999999E-2</v>
      </c>
      <c r="R331" s="21">
        <v>321</v>
      </c>
      <c r="S331" s="21">
        <v>1.5158100000000001</v>
      </c>
      <c r="T331">
        <f t="shared" si="50"/>
        <v>16.886419753086418</v>
      </c>
      <c r="U331">
        <f t="shared" si="51"/>
        <v>25.606904641975309</v>
      </c>
      <c r="X331" s="9"/>
      <c r="Y331" s="21">
        <v>0.203705</v>
      </c>
      <c r="Z331" s="21">
        <v>17.726299999999998</v>
      </c>
      <c r="AA331" s="21">
        <v>-1.5118400000000001E-2</v>
      </c>
      <c r="AB331" s="21">
        <v>321</v>
      </c>
      <c r="AC331" s="21">
        <v>0.20321700000000001</v>
      </c>
      <c r="AD331">
        <f t="shared" si="52"/>
        <v>18.66469135802469</v>
      </c>
      <c r="AE331">
        <f t="shared" si="53"/>
        <v>3.8020909530864193</v>
      </c>
      <c r="AF331" s="9"/>
      <c r="AG331" s="21">
        <v>1.5164200000000001</v>
      </c>
      <c r="AH331" s="21">
        <v>21.585799999999999</v>
      </c>
      <c r="AI331" s="21">
        <v>-1.3693200000000001E-2</v>
      </c>
      <c r="AJ331" s="21">
        <v>321</v>
      </c>
      <c r="AK331" s="21">
        <v>1.5161100000000001</v>
      </c>
      <c r="AL331">
        <f t="shared" si="54"/>
        <v>16.905185185185186</v>
      </c>
      <c r="AM331">
        <f t="shared" si="55"/>
        <v>25.635360918518522</v>
      </c>
      <c r="AP331" s="9"/>
      <c r="AQ331" s="21">
        <v>0.203705</v>
      </c>
      <c r="AR331" s="21">
        <v>27.110600000000002</v>
      </c>
      <c r="AS331" s="21">
        <v>-1.50177E-2</v>
      </c>
      <c r="AT331" s="21">
        <v>321</v>
      </c>
      <c r="AU331" s="21">
        <v>0.203094</v>
      </c>
      <c r="AV331">
        <f t="shared" si="56"/>
        <v>18.540370370370372</v>
      </c>
      <c r="AW331">
        <f t="shared" si="57"/>
        <v>3.7767661462962967</v>
      </c>
      <c r="AX331" s="9"/>
      <c r="AY331" s="21">
        <v>1.5164200000000001</v>
      </c>
      <c r="AZ331" s="21">
        <v>30.97</v>
      </c>
      <c r="BA331" s="21">
        <v>-1.37146E-2</v>
      </c>
      <c r="BB331" s="21">
        <v>321</v>
      </c>
      <c r="BC331" s="21">
        <v>1.5155000000000001</v>
      </c>
      <c r="BD331">
        <f t="shared" si="58"/>
        <v>16.931604938271605</v>
      </c>
      <c r="BE331">
        <f t="shared" si="59"/>
        <v>25.675424360493828</v>
      </c>
    </row>
    <row r="332" spans="6:57" x14ac:dyDescent="0.25">
      <c r="F332" s="9"/>
      <c r="G332" s="21">
        <v>0.19866900000000001</v>
      </c>
      <c r="H332" s="21">
        <v>8.32118</v>
      </c>
      <c r="I332" s="21">
        <v>-1.50543E-2</v>
      </c>
      <c r="J332" s="21">
        <v>322</v>
      </c>
      <c r="K332" s="21">
        <v>0.19815099999999999</v>
      </c>
      <c r="L332">
        <f t="shared" ref="L332:L392" si="60">-I332/$F$2*1000</f>
        <v>18.585555555555555</v>
      </c>
      <c r="M332">
        <f t="shared" ref="M332:M392" si="61">L332*G332</f>
        <v>3.6923737366666667</v>
      </c>
      <c r="N332" s="9"/>
      <c r="O332" s="21">
        <v>1.52145</v>
      </c>
      <c r="P332" s="21">
        <v>12.1807</v>
      </c>
      <c r="Q332" s="21">
        <v>-1.36353E-2</v>
      </c>
      <c r="R332" s="21">
        <v>322</v>
      </c>
      <c r="S332" s="21">
        <v>1.5206900000000001</v>
      </c>
      <c r="T332">
        <f t="shared" ref="T332:T392" si="62">-Q332/$F$2*1000</f>
        <v>16.833703703703701</v>
      </c>
      <c r="U332">
        <f t="shared" ref="U332:U392" si="63">T332*O332</f>
        <v>25.611638499999994</v>
      </c>
      <c r="X332" s="9"/>
      <c r="Y332" s="21">
        <v>0.19866900000000001</v>
      </c>
      <c r="Z332" s="21">
        <v>17.7364</v>
      </c>
      <c r="AA332" s="21">
        <v>-1.5115399999999999E-2</v>
      </c>
      <c r="AB332" s="21">
        <v>322</v>
      </c>
      <c r="AC332" s="21">
        <v>0.19811999999999999</v>
      </c>
      <c r="AD332">
        <f t="shared" ref="AD332:AD392" si="64">-AA332/$F$2*1000</f>
        <v>18.660987654320987</v>
      </c>
      <c r="AE332">
        <f t="shared" ref="AE332:AE392" si="65">AD332*Y332</f>
        <v>3.7073597562962965</v>
      </c>
      <c r="AF332" s="9"/>
      <c r="AG332" s="21">
        <v>1.52145</v>
      </c>
      <c r="AH332" s="21">
        <v>21.5959</v>
      </c>
      <c r="AI332" s="21">
        <v>-1.36597E-2</v>
      </c>
      <c r="AJ332" s="21">
        <v>322</v>
      </c>
      <c r="AK332" s="21">
        <v>1.5213000000000001</v>
      </c>
      <c r="AL332">
        <f t="shared" ref="AL332:AL392" si="66">-AI332/$F$2*1000</f>
        <v>16.863827160493827</v>
      </c>
      <c r="AM332">
        <f t="shared" ref="AM332:AM392" si="67">AL332*AG332</f>
        <v>25.657469833333334</v>
      </c>
      <c r="AP332" s="9"/>
      <c r="AQ332" s="21">
        <v>0.19866900000000001</v>
      </c>
      <c r="AR332" s="21">
        <v>27.1206</v>
      </c>
      <c r="AS332" s="21">
        <v>-1.5032999999999999E-2</v>
      </c>
      <c r="AT332" s="21">
        <v>322</v>
      </c>
      <c r="AU332" s="21">
        <v>0.19815099999999999</v>
      </c>
      <c r="AV332">
        <f t="shared" ref="AV332:AV392" si="68">-AS332/$F$2*1000</f>
        <v>18.559259259259257</v>
      </c>
      <c r="AW332">
        <f t="shared" ref="AW332:AW392" si="69">AV332*AQ332</f>
        <v>3.6871494777777776</v>
      </c>
      <c r="AX332" s="9"/>
      <c r="AY332" s="21">
        <v>1.52145</v>
      </c>
      <c r="AZ332" s="21">
        <v>30.9801</v>
      </c>
      <c r="BA332" s="21">
        <v>-1.36688E-2</v>
      </c>
      <c r="BB332" s="21">
        <v>322</v>
      </c>
      <c r="BC332" s="21">
        <v>1.5203899999999999</v>
      </c>
      <c r="BD332">
        <f t="shared" ref="BD332:BD392" si="70">-BA332/$F$2*1000</f>
        <v>16.87506172839506</v>
      </c>
      <c r="BE332">
        <f t="shared" ref="BE332:BE392" si="71">BD332*AY332</f>
        <v>25.674562666666663</v>
      </c>
    </row>
    <row r="333" spans="6:57" x14ac:dyDescent="0.25">
      <c r="F333" s="9"/>
      <c r="G333" s="21">
        <v>0.193634</v>
      </c>
      <c r="H333" s="21">
        <v>8.3312600000000003</v>
      </c>
      <c r="I333" s="21">
        <v>-1.5048199999999999E-2</v>
      </c>
      <c r="J333" s="21">
        <v>323</v>
      </c>
      <c r="K333" s="21">
        <v>0.192993</v>
      </c>
      <c r="L333">
        <f t="shared" si="60"/>
        <v>18.578024691358021</v>
      </c>
      <c r="M333">
        <f t="shared" si="61"/>
        <v>3.5973372330864191</v>
      </c>
      <c r="N333" s="9"/>
      <c r="O333" s="21">
        <v>1.5264899999999999</v>
      </c>
      <c r="P333" s="21">
        <v>12.1907</v>
      </c>
      <c r="Q333" s="21">
        <v>-1.3589499999999999E-2</v>
      </c>
      <c r="R333" s="21">
        <v>323</v>
      </c>
      <c r="S333" s="21">
        <v>1.5264899999999999</v>
      </c>
      <c r="T333">
        <f t="shared" si="62"/>
        <v>16.777160493827161</v>
      </c>
      <c r="U333">
        <f t="shared" si="63"/>
        <v>25.610167722222222</v>
      </c>
      <c r="X333" s="9"/>
      <c r="Y333" s="21">
        <v>0.193634</v>
      </c>
      <c r="Z333" s="21">
        <v>17.746500000000001</v>
      </c>
      <c r="AA333" s="21">
        <v>-1.5118400000000001E-2</v>
      </c>
      <c r="AB333" s="21">
        <v>323</v>
      </c>
      <c r="AC333" s="21">
        <v>0.19308500000000001</v>
      </c>
      <c r="AD333">
        <f t="shared" si="64"/>
        <v>18.66469135802469</v>
      </c>
      <c r="AE333">
        <f t="shared" si="65"/>
        <v>3.6141188464197529</v>
      </c>
      <c r="AF333" s="9"/>
      <c r="AG333" s="21">
        <v>1.5264899999999999</v>
      </c>
      <c r="AH333" s="21">
        <v>21.605899999999998</v>
      </c>
      <c r="AI333" s="21">
        <v>-1.362E-2</v>
      </c>
      <c r="AJ333" s="21">
        <v>323</v>
      </c>
      <c r="AK333" s="21">
        <v>1.5261800000000001</v>
      </c>
      <c r="AL333">
        <f t="shared" si="66"/>
        <v>16.814814814814813</v>
      </c>
      <c r="AM333">
        <f t="shared" si="67"/>
        <v>25.667646666666663</v>
      </c>
      <c r="AP333" s="9"/>
      <c r="AQ333" s="21">
        <v>0.193634</v>
      </c>
      <c r="AR333" s="21">
        <v>27.130700000000001</v>
      </c>
      <c r="AS333" s="21">
        <v>-1.5042099999999999E-2</v>
      </c>
      <c r="AT333" s="21">
        <v>323</v>
      </c>
      <c r="AU333" s="21">
        <v>0.193024</v>
      </c>
      <c r="AV333">
        <f t="shared" si="68"/>
        <v>18.570493827160494</v>
      </c>
      <c r="AW333">
        <f t="shared" si="69"/>
        <v>3.5958790017283953</v>
      </c>
      <c r="AX333" s="9"/>
      <c r="AY333" s="21">
        <v>1.5264899999999999</v>
      </c>
      <c r="AZ333" s="21">
        <v>30.990200000000002</v>
      </c>
      <c r="BA333" s="21">
        <v>-1.362E-2</v>
      </c>
      <c r="BB333" s="21">
        <v>323</v>
      </c>
      <c r="BC333" s="21">
        <v>1.5258799999999999</v>
      </c>
      <c r="BD333">
        <f t="shared" si="70"/>
        <v>16.814814814814813</v>
      </c>
      <c r="BE333">
        <f t="shared" si="71"/>
        <v>25.667646666666663</v>
      </c>
    </row>
    <row r="334" spans="6:57" x14ac:dyDescent="0.25">
      <c r="F334" s="9"/>
      <c r="G334" s="21">
        <v>0.18859899999999999</v>
      </c>
      <c r="H334" s="21">
        <v>8.3413299999999992</v>
      </c>
      <c r="I334" s="21">
        <v>-1.5042099999999999E-2</v>
      </c>
      <c r="J334" s="21">
        <v>324</v>
      </c>
      <c r="K334" s="21">
        <v>0.18798799999999999</v>
      </c>
      <c r="L334">
        <f t="shared" si="60"/>
        <v>18.570493827160494</v>
      </c>
      <c r="M334">
        <f t="shared" si="61"/>
        <v>3.5023765653086416</v>
      </c>
      <c r="N334" s="9"/>
      <c r="O334" s="21">
        <v>1.53152</v>
      </c>
      <c r="P334" s="21">
        <v>12.200799999999999</v>
      </c>
      <c r="Q334" s="21">
        <v>-1.3546799999999999E-2</v>
      </c>
      <c r="R334" s="21">
        <v>324</v>
      </c>
      <c r="S334" s="21">
        <v>1.5304599999999999</v>
      </c>
      <c r="T334">
        <f t="shared" si="62"/>
        <v>16.72444444444444</v>
      </c>
      <c r="U334">
        <f t="shared" si="63"/>
        <v>25.613821155555549</v>
      </c>
      <c r="X334" s="9"/>
      <c r="Y334" s="21">
        <v>0.18859899999999999</v>
      </c>
      <c r="Z334" s="21">
        <v>17.756499999999999</v>
      </c>
      <c r="AA334" s="21">
        <v>-1.51123E-2</v>
      </c>
      <c r="AB334" s="21">
        <v>324</v>
      </c>
      <c r="AC334" s="21">
        <v>0.18792700000000001</v>
      </c>
      <c r="AD334">
        <f t="shared" si="64"/>
        <v>18.65716049382716</v>
      </c>
      <c r="AE334">
        <f t="shared" si="65"/>
        <v>3.5187218119753081</v>
      </c>
      <c r="AF334" s="9"/>
      <c r="AG334" s="21">
        <v>1.53152</v>
      </c>
      <c r="AH334" s="21">
        <v>21.616</v>
      </c>
      <c r="AI334" s="21">
        <v>-1.35803E-2</v>
      </c>
      <c r="AJ334" s="21">
        <v>324</v>
      </c>
      <c r="AK334" s="21">
        <v>1.5304599999999999</v>
      </c>
      <c r="AL334">
        <f t="shared" si="66"/>
        <v>16.765802469135803</v>
      </c>
      <c r="AM334">
        <f t="shared" si="67"/>
        <v>25.677161797530864</v>
      </c>
      <c r="AP334" s="9"/>
      <c r="AQ334" s="21">
        <v>0.18859899999999999</v>
      </c>
      <c r="AR334" s="21">
        <v>27.140799999999999</v>
      </c>
      <c r="AS334" s="21">
        <v>-1.5032999999999999E-2</v>
      </c>
      <c r="AT334" s="21">
        <v>324</v>
      </c>
      <c r="AU334" s="21">
        <v>0.18798799999999999</v>
      </c>
      <c r="AV334">
        <f t="shared" si="68"/>
        <v>18.559259259259257</v>
      </c>
      <c r="AW334">
        <f t="shared" si="69"/>
        <v>3.5002577370370362</v>
      </c>
      <c r="AX334" s="9"/>
      <c r="AY334" s="21">
        <v>1.53152</v>
      </c>
      <c r="AZ334" s="21">
        <v>31.0002</v>
      </c>
      <c r="BA334" s="21">
        <v>-1.35712E-2</v>
      </c>
      <c r="BB334" s="21">
        <v>324</v>
      </c>
      <c r="BC334" s="21">
        <v>1.5310699999999999</v>
      </c>
      <c r="BD334">
        <f t="shared" si="70"/>
        <v>16.754567901234566</v>
      </c>
      <c r="BE334">
        <f t="shared" si="71"/>
        <v>25.659955832098763</v>
      </c>
    </row>
    <row r="335" spans="6:57" x14ac:dyDescent="0.25">
      <c r="F335" s="9"/>
      <c r="G335" s="21">
        <v>0.183563</v>
      </c>
      <c r="H335" s="21">
        <v>8.3513999999999999</v>
      </c>
      <c r="I335" s="21">
        <v>-1.5032999999999999E-2</v>
      </c>
      <c r="J335" s="21">
        <v>325</v>
      </c>
      <c r="K335" s="21">
        <v>0.18301400000000001</v>
      </c>
      <c r="L335">
        <f t="shared" si="60"/>
        <v>18.559259259259257</v>
      </c>
      <c r="M335">
        <f t="shared" si="61"/>
        <v>3.406793307407407</v>
      </c>
      <c r="N335" s="9"/>
      <c r="O335" s="21">
        <v>1.5365599999999999</v>
      </c>
      <c r="P335" s="21">
        <v>12.210900000000001</v>
      </c>
      <c r="Q335" s="21">
        <v>-1.3501000000000001E-2</v>
      </c>
      <c r="R335" s="21">
        <v>325</v>
      </c>
      <c r="S335" s="21">
        <v>1.5356399999999999</v>
      </c>
      <c r="T335">
        <f t="shared" si="62"/>
        <v>16.667901234567903</v>
      </c>
      <c r="U335">
        <f t="shared" si="63"/>
        <v>25.611230320987655</v>
      </c>
      <c r="X335" s="9"/>
      <c r="Y335" s="21">
        <v>0.183563</v>
      </c>
      <c r="Z335" s="21">
        <v>17.7666</v>
      </c>
      <c r="AA335" s="21">
        <v>-1.51062E-2</v>
      </c>
      <c r="AB335" s="21">
        <v>325</v>
      </c>
      <c r="AC335" s="21">
        <v>0.182922</v>
      </c>
      <c r="AD335">
        <f t="shared" si="64"/>
        <v>18.649629629629626</v>
      </c>
      <c r="AE335">
        <f t="shared" si="65"/>
        <v>3.4233819637037031</v>
      </c>
      <c r="AF335" s="9"/>
      <c r="AG335" s="21">
        <v>1.5365599999999999</v>
      </c>
      <c r="AH335" s="21">
        <v>21.626100000000001</v>
      </c>
      <c r="AI335" s="21">
        <v>-1.35315E-2</v>
      </c>
      <c r="AJ335" s="21">
        <v>325</v>
      </c>
      <c r="AK335" s="21">
        <v>1.5356399999999999</v>
      </c>
      <c r="AL335">
        <f t="shared" si="66"/>
        <v>16.705555555555552</v>
      </c>
      <c r="AM335">
        <f t="shared" si="67"/>
        <v>25.669088444444437</v>
      </c>
      <c r="AP335" s="9"/>
      <c r="AQ335" s="21">
        <v>0.183563</v>
      </c>
      <c r="AR335" s="21">
        <v>27.1508</v>
      </c>
      <c r="AS335" s="21">
        <v>-1.5032999999999999E-2</v>
      </c>
      <c r="AT335" s="21">
        <v>325</v>
      </c>
      <c r="AU335" s="21">
        <v>0.18307499999999999</v>
      </c>
      <c r="AV335">
        <f t="shared" si="68"/>
        <v>18.559259259259257</v>
      </c>
      <c r="AW335">
        <f t="shared" si="69"/>
        <v>3.406793307407407</v>
      </c>
      <c r="AX335" s="9"/>
      <c r="AY335" s="21">
        <v>1.5365599999999999</v>
      </c>
      <c r="AZ335" s="21">
        <v>31.010300000000001</v>
      </c>
      <c r="BA335" s="21">
        <v>-1.3522299999999999E-2</v>
      </c>
      <c r="BB335" s="21">
        <v>325</v>
      </c>
      <c r="BC335" s="21">
        <v>1.5365599999999999</v>
      </c>
      <c r="BD335">
        <f t="shared" si="70"/>
        <v>16.694197530864194</v>
      </c>
      <c r="BE335">
        <f t="shared" si="71"/>
        <v>25.651636158024687</v>
      </c>
    </row>
    <row r="336" spans="6:57" x14ac:dyDescent="0.25">
      <c r="F336" s="9"/>
      <c r="G336" s="21">
        <v>0.17852799999999999</v>
      </c>
      <c r="H336" s="21">
        <v>8.3614700000000006</v>
      </c>
      <c r="I336" s="21">
        <v>-1.5029900000000001E-2</v>
      </c>
      <c r="J336" s="21">
        <v>326</v>
      </c>
      <c r="K336" s="21">
        <v>0.178009</v>
      </c>
      <c r="L336">
        <f t="shared" si="60"/>
        <v>18.555432098765429</v>
      </c>
      <c r="M336">
        <f t="shared" si="61"/>
        <v>3.3126641817283944</v>
      </c>
      <c r="N336" s="9"/>
      <c r="O336" s="21">
        <v>1.5416000000000001</v>
      </c>
      <c r="P336" s="21">
        <v>12.2209</v>
      </c>
      <c r="Q336" s="21">
        <v>-1.34491E-2</v>
      </c>
      <c r="R336" s="21">
        <v>326</v>
      </c>
      <c r="S336" s="21">
        <v>1.54114</v>
      </c>
      <c r="T336">
        <f t="shared" si="62"/>
        <v>16.603827160493829</v>
      </c>
      <c r="U336">
        <f t="shared" si="63"/>
        <v>25.596459950617287</v>
      </c>
      <c r="X336" s="9"/>
      <c r="Y336" s="21">
        <v>0.17852799999999999</v>
      </c>
      <c r="Z336" s="21">
        <v>17.776700000000002</v>
      </c>
      <c r="AA336" s="21">
        <v>-1.51031E-2</v>
      </c>
      <c r="AB336" s="21">
        <v>326</v>
      </c>
      <c r="AC336" s="21">
        <v>0.177948</v>
      </c>
      <c r="AD336">
        <f t="shared" si="64"/>
        <v>18.645802469135798</v>
      </c>
      <c r="AE336">
        <f t="shared" si="65"/>
        <v>3.3287978232098756</v>
      </c>
      <c r="AF336" s="9"/>
      <c r="AG336" s="21">
        <v>1.5416000000000001</v>
      </c>
      <c r="AH336" s="21">
        <v>21.636199999999999</v>
      </c>
      <c r="AI336" s="21">
        <v>-1.34857E-2</v>
      </c>
      <c r="AJ336" s="21">
        <v>326</v>
      </c>
      <c r="AK336" s="21">
        <v>1.5402199999999999</v>
      </c>
      <c r="AL336">
        <f t="shared" si="66"/>
        <v>16.649012345679012</v>
      </c>
      <c r="AM336">
        <f t="shared" si="67"/>
        <v>25.666117432098766</v>
      </c>
      <c r="AP336" s="9"/>
      <c r="AQ336" s="21">
        <v>0.17852799999999999</v>
      </c>
      <c r="AR336" s="21">
        <v>27.160900000000002</v>
      </c>
      <c r="AS336" s="21">
        <v>-1.5020800000000001E-2</v>
      </c>
      <c r="AT336" s="21">
        <v>326</v>
      </c>
      <c r="AU336" s="21">
        <v>0.17788699999999999</v>
      </c>
      <c r="AV336">
        <f t="shared" si="68"/>
        <v>18.544197530864199</v>
      </c>
      <c r="AW336">
        <f t="shared" si="69"/>
        <v>3.3106584967901238</v>
      </c>
      <c r="AX336" s="9"/>
      <c r="AY336" s="21">
        <v>1.5416000000000001</v>
      </c>
      <c r="AZ336" s="21">
        <v>31.020399999999999</v>
      </c>
      <c r="BA336" s="21">
        <v>-1.34766E-2</v>
      </c>
      <c r="BB336" s="21">
        <v>326</v>
      </c>
      <c r="BC336" s="21">
        <v>1.54114</v>
      </c>
      <c r="BD336">
        <f t="shared" si="70"/>
        <v>16.637777777777774</v>
      </c>
      <c r="BE336">
        <f t="shared" si="71"/>
        <v>25.648798222222219</v>
      </c>
    </row>
    <row r="337" spans="6:57" x14ac:dyDescent="0.25">
      <c r="F337" s="9"/>
      <c r="G337" s="21">
        <v>0.17349200000000001</v>
      </c>
      <c r="H337" s="21">
        <v>8.3715399999999995</v>
      </c>
      <c r="I337" s="21">
        <v>-1.5026899999999999E-2</v>
      </c>
      <c r="J337" s="21">
        <v>327</v>
      </c>
      <c r="K337" s="21">
        <v>0.17288200000000001</v>
      </c>
      <c r="L337">
        <f t="shared" si="60"/>
        <v>18.551728395061726</v>
      </c>
      <c r="M337">
        <f t="shared" si="61"/>
        <v>3.2185764627160491</v>
      </c>
      <c r="N337" s="9"/>
      <c r="O337" s="21">
        <v>1.5466299999999999</v>
      </c>
      <c r="P337" s="21">
        <v>12.231</v>
      </c>
      <c r="Q337" s="21">
        <v>-1.3406400000000001E-2</v>
      </c>
      <c r="R337" s="21">
        <v>327</v>
      </c>
      <c r="S337" s="21">
        <v>1.54572</v>
      </c>
      <c r="T337">
        <f t="shared" si="62"/>
        <v>16.551111111111108</v>
      </c>
      <c r="U337">
        <f t="shared" si="63"/>
        <v>25.598444977777774</v>
      </c>
      <c r="X337" s="9"/>
      <c r="Y337" s="21">
        <v>0.17349200000000001</v>
      </c>
      <c r="Z337" s="21">
        <v>17.786799999999999</v>
      </c>
      <c r="AA337" s="21">
        <v>-1.51031E-2</v>
      </c>
      <c r="AB337" s="21">
        <v>327</v>
      </c>
      <c r="AC337" s="21">
        <v>0.17294300000000001</v>
      </c>
      <c r="AD337">
        <f t="shared" si="64"/>
        <v>18.645802469135798</v>
      </c>
      <c r="AE337">
        <f t="shared" si="65"/>
        <v>3.2348975619753082</v>
      </c>
      <c r="AF337" s="9"/>
      <c r="AG337" s="21">
        <v>1.5466299999999999</v>
      </c>
      <c r="AH337" s="21">
        <v>21.6462</v>
      </c>
      <c r="AI337" s="21">
        <v>-1.3443E-2</v>
      </c>
      <c r="AJ337" s="21">
        <v>327</v>
      </c>
      <c r="AK337" s="21">
        <v>1.5460199999999999</v>
      </c>
      <c r="AL337">
        <f t="shared" si="66"/>
        <v>16.596296296296295</v>
      </c>
      <c r="AM337">
        <f t="shared" si="67"/>
        <v>25.668329740740738</v>
      </c>
      <c r="AP337" s="9"/>
      <c r="AQ337" s="21">
        <v>0.17349200000000001</v>
      </c>
      <c r="AR337" s="21">
        <v>27.170999999999999</v>
      </c>
      <c r="AS337" s="21">
        <v>-1.5029900000000001E-2</v>
      </c>
      <c r="AT337" s="21">
        <v>327</v>
      </c>
      <c r="AU337" s="21">
        <v>0.17291300000000001</v>
      </c>
      <c r="AV337">
        <f t="shared" si="68"/>
        <v>18.555432098765429</v>
      </c>
      <c r="AW337">
        <f t="shared" si="69"/>
        <v>3.2192190256790121</v>
      </c>
      <c r="AX337" s="9"/>
      <c r="AY337" s="21">
        <v>1.5466299999999999</v>
      </c>
      <c r="AZ337" s="21">
        <v>31.0305</v>
      </c>
      <c r="BA337" s="21">
        <v>-1.3433799999999999E-2</v>
      </c>
      <c r="BB337" s="21">
        <v>327</v>
      </c>
      <c r="BC337" s="21">
        <v>1.54633</v>
      </c>
      <c r="BD337">
        <f t="shared" si="70"/>
        <v>16.584938271604937</v>
      </c>
      <c r="BE337">
        <f t="shared" si="71"/>
        <v>25.650763079012343</v>
      </c>
    </row>
    <row r="338" spans="6:57" x14ac:dyDescent="0.25">
      <c r="F338" s="9"/>
      <c r="G338" s="21">
        <v>0.168457</v>
      </c>
      <c r="H338" s="21">
        <v>8.3816100000000002</v>
      </c>
      <c r="I338" s="21">
        <v>-1.50238E-2</v>
      </c>
      <c r="J338" s="21">
        <v>328</v>
      </c>
      <c r="K338" s="21">
        <v>0.16799900000000001</v>
      </c>
      <c r="L338">
        <f t="shared" si="60"/>
        <v>18.547901234567902</v>
      </c>
      <c r="M338">
        <f t="shared" si="61"/>
        <v>3.1245237982716052</v>
      </c>
      <c r="N338" s="9"/>
      <c r="O338" s="21">
        <v>1.5516700000000001</v>
      </c>
      <c r="P338" s="21">
        <v>12.241099999999999</v>
      </c>
      <c r="Q338" s="21">
        <v>-1.33606E-2</v>
      </c>
      <c r="R338" s="21">
        <v>328</v>
      </c>
      <c r="S338" s="21">
        <v>1.5508999999999999</v>
      </c>
      <c r="T338">
        <f t="shared" si="62"/>
        <v>16.494567901234568</v>
      </c>
      <c r="U338">
        <f t="shared" si="63"/>
        <v>25.594126175308645</v>
      </c>
      <c r="X338" s="9"/>
      <c r="Y338" s="21">
        <v>0.168457</v>
      </c>
      <c r="Z338" s="21">
        <v>17.796800000000001</v>
      </c>
      <c r="AA338" s="21">
        <v>-1.5109300000000001E-2</v>
      </c>
      <c r="AB338" s="21">
        <v>328</v>
      </c>
      <c r="AC338" s="21">
        <v>0.16796900000000001</v>
      </c>
      <c r="AD338">
        <f t="shared" si="64"/>
        <v>18.653456790123457</v>
      </c>
      <c r="AE338">
        <f t="shared" si="65"/>
        <v>3.1423053704938271</v>
      </c>
      <c r="AF338" s="9"/>
      <c r="AG338" s="21">
        <v>1.5516700000000001</v>
      </c>
      <c r="AH338" s="21">
        <v>21.656300000000002</v>
      </c>
      <c r="AI338" s="21">
        <v>-1.34003E-2</v>
      </c>
      <c r="AJ338" s="21">
        <v>328</v>
      </c>
      <c r="AK338" s="21">
        <v>1.5506</v>
      </c>
      <c r="AL338">
        <f t="shared" si="66"/>
        <v>16.543580246913578</v>
      </c>
      <c r="AM338">
        <f t="shared" si="67"/>
        <v>25.670177161728393</v>
      </c>
      <c r="AP338" s="9"/>
      <c r="AQ338" s="21">
        <v>0.168457</v>
      </c>
      <c r="AR338" s="21">
        <v>27.181100000000001</v>
      </c>
      <c r="AS338" s="21">
        <v>-1.50452E-2</v>
      </c>
      <c r="AT338" s="21">
        <v>328</v>
      </c>
      <c r="AU338" s="21">
        <v>0.167908</v>
      </c>
      <c r="AV338">
        <f t="shared" si="68"/>
        <v>18.574320987654321</v>
      </c>
      <c r="AW338">
        <f t="shared" si="69"/>
        <v>3.1289743906172838</v>
      </c>
      <c r="AX338" s="9"/>
      <c r="AY338" s="21">
        <v>1.5516700000000001</v>
      </c>
      <c r="AZ338" s="21">
        <v>31.040500000000002</v>
      </c>
      <c r="BA338" s="21">
        <v>-1.33972E-2</v>
      </c>
      <c r="BB338" s="21">
        <v>328</v>
      </c>
      <c r="BC338" s="21">
        <v>1.5515099999999999</v>
      </c>
      <c r="BD338">
        <f t="shared" si="70"/>
        <v>16.539753086419751</v>
      </c>
      <c r="BE338">
        <f t="shared" si="71"/>
        <v>25.664238671604934</v>
      </c>
    </row>
    <row r="339" spans="6:57" x14ac:dyDescent="0.25">
      <c r="F339" s="9"/>
      <c r="G339" s="21">
        <v>0.16342200000000001</v>
      </c>
      <c r="H339" s="21">
        <v>8.3916799999999991</v>
      </c>
      <c r="I339" s="21">
        <v>-1.5026899999999999E-2</v>
      </c>
      <c r="J339" s="21">
        <v>329</v>
      </c>
      <c r="K339" s="21">
        <v>0.16284199999999999</v>
      </c>
      <c r="L339">
        <f t="shared" si="60"/>
        <v>18.551728395061726</v>
      </c>
      <c r="M339">
        <f t="shared" si="61"/>
        <v>3.0317605577777775</v>
      </c>
      <c r="N339" s="9"/>
      <c r="O339" s="21">
        <v>1.5567</v>
      </c>
      <c r="P339" s="21">
        <v>12.251200000000001</v>
      </c>
      <c r="Q339" s="21">
        <v>-1.33118E-2</v>
      </c>
      <c r="R339" s="21">
        <v>329</v>
      </c>
      <c r="S339" s="21">
        <v>1.55548</v>
      </c>
      <c r="T339">
        <f t="shared" si="62"/>
        <v>16.434320987654321</v>
      </c>
      <c r="U339">
        <f t="shared" si="63"/>
        <v>25.58330748148148</v>
      </c>
      <c r="X339" s="9"/>
      <c r="Y339" s="21">
        <v>0.16342200000000001</v>
      </c>
      <c r="Z339" s="21">
        <v>17.806899999999999</v>
      </c>
      <c r="AA339" s="21">
        <v>-1.5109300000000001E-2</v>
      </c>
      <c r="AB339" s="21">
        <v>329</v>
      </c>
      <c r="AC339" s="21">
        <v>0.16287199999999999</v>
      </c>
      <c r="AD339">
        <f t="shared" si="64"/>
        <v>18.653456790123457</v>
      </c>
      <c r="AE339">
        <f t="shared" si="65"/>
        <v>3.0483852155555557</v>
      </c>
      <c r="AF339" s="9"/>
      <c r="AG339" s="21">
        <v>1.5567</v>
      </c>
      <c r="AH339" s="21">
        <v>21.666399999999999</v>
      </c>
      <c r="AI339" s="21">
        <v>-1.33545E-2</v>
      </c>
      <c r="AJ339" s="21">
        <v>329</v>
      </c>
      <c r="AK339" s="21">
        <v>1.55579</v>
      </c>
      <c r="AL339">
        <f t="shared" si="66"/>
        <v>16.487037037037037</v>
      </c>
      <c r="AM339">
        <f t="shared" si="67"/>
        <v>25.665370555555555</v>
      </c>
      <c r="AP339" s="9"/>
      <c r="AQ339" s="21">
        <v>0.16342200000000001</v>
      </c>
      <c r="AR339" s="21">
        <v>27.191099999999999</v>
      </c>
      <c r="AS339" s="21">
        <v>-1.50513E-2</v>
      </c>
      <c r="AT339" s="21">
        <v>329</v>
      </c>
      <c r="AU339" s="21">
        <v>0.16293299999999999</v>
      </c>
      <c r="AV339">
        <f t="shared" si="68"/>
        <v>18.581851851851848</v>
      </c>
      <c r="AW339">
        <f t="shared" si="69"/>
        <v>3.036683393333333</v>
      </c>
      <c r="AX339" s="9"/>
      <c r="AY339" s="21">
        <v>1.5567</v>
      </c>
      <c r="AZ339" s="21">
        <v>31.050599999999999</v>
      </c>
      <c r="BA339" s="21">
        <v>-1.3351399999999999E-2</v>
      </c>
      <c r="BB339" s="21">
        <v>329</v>
      </c>
      <c r="BC339" s="21">
        <v>1.55548</v>
      </c>
      <c r="BD339">
        <f t="shared" si="70"/>
        <v>16.483209876543206</v>
      </c>
      <c r="BE339">
        <f t="shared" si="71"/>
        <v>25.659412814814807</v>
      </c>
    </row>
    <row r="340" spans="6:57" x14ac:dyDescent="0.25">
      <c r="F340" s="9"/>
      <c r="G340" s="21">
        <v>0.158386</v>
      </c>
      <c r="H340" s="21">
        <v>8.4017499999999998</v>
      </c>
      <c r="I340" s="21">
        <v>-1.5032999999999999E-2</v>
      </c>
      <c r="J340" s="21">
        <v>330</v>
      </c>
      <c r="K340" s="21">
        <v>0.157806</v>
      </c>
      <c r="L340">
        <f t="shared" si="60"/>
        <v>18.559259259259257</v>
      </c>
      <c r="M340">
        <f t="shared" si="61"/>
        <v>2.9395268370370364</v>
      </c>
      <c r="N340" s="9"/>
      <c r="O340" s="21">
        <v>1.5617399999999999</v>
      </c>
      <c r="P340" s="21">
        <v>12.261200000000001</v>
      </c>
      <c r="Q340" s="21">
        <v>-1.3262899999999999E-2</v>
      </c>
      <c r="R340" s="21">
        <v>330</v>
      </c>
      <c r="S340" s="21">
        <v>1.56097</v>
      </c>
      <c r="T340">
        <f t="shared" si="62"/>
        <v>16.373950617283949</v>
      </c>
      <c r="U340">
        <f t="shared" si="63"/>
        <v>25.571853637037034</v>
      </c>
      <c r="X340" s="9"/>
      <c r="Y340" s="21">
        <v>0.158386</v>
      </c>
      <c r="Z340" s="21">
        <v>17.817</v>
      </c>
      <c r="AA340" s="21">
        <v>-1.51123E-2</v>
      </c>
      <c r="AB340" s="21">
        <v>330</v>
      </c>
      <c r="AC340" s="21">
        <v>0.15792800000000001</v>
      </c>
      <c r="AD340">
        <f t="shared" si="64"/>
        <v>18.65716049382716</v>
      </c>
      <c r="AE340">
        <f t="shared" si="65"/>
        <v>2.9550330219753085</v>
      </c>
      <c r="AF340" s="9"/>
      <c r="AG340" s="21">
        <v>1.5617399999999999</v>
      </c>
      <c r="AH340" s="21">
        <v>21.676400000000001</v>
      </c>
      <c r="AI340" s="21">
        <v>-1.32996E-2</v>
      </c>
      <c r="AJ340" s="21">
        <v>330</v>
      </c>
      <c r="AK340" s="21">
        <v>1.56067</v>
      </c>
      <c r="AL340">
        <f t="shared" si="66"/>
        <v>16.41925925925926</v>
      </c>
      <c r="AM340">
        <f t="shared" si="67"/>
        <v>25.642613955555554</v>
      </c>
      <c r="AP340" s="9"/>
      <c r="AQ340" s="21">
        <v>0.158386</v>
      </c>
      <c r="AR340" s="21">
        <v>27.2012</v>
      </c>
      <c r="AS340" s="21">
        <v>-1.50543E-2</v>
      </c>
      <c r="AT340" s="21">
        <v>330</v>
      </c>
      <c r="AU340" s="21">
        <v>0.15783700000000001</v>
      </c>
      <c r="AV340">
        <f t="shared" si="68"/>
        <v>18.585555555555555</v>
      </c>
      <c r="AW340">
        <f t="shared" si="69"/>
        <v>2.9436918022222223</v>
      </c>
      <c r="AX340" s="9"/>
      <c r="AY340" s="21">
        <v>1.5617399999999999</v>
      </c>
      <c r="AZ340" s="21">
        <v>31.060700000000001</v>
      </c>
      <c r="BA340" s="21">
        <v>-1.32996E-2</v>
      </c>
      <c r="BB340" s="21">
        <v>330</v>
      </c>
      <c r="BC340" s="21">
        <v>1.56097</v>
      </c>
      <c r="BD340">
        <f t="shared" si="70"/>
        <v>16.41925925925926</v>
      </c>
      <c r="BE340">
        <f t="shared" si="71"/>
        <v>25.642613955555554</v>
      </c>
    </row>
    <row r="341" spans="6:57" x14ac:dyDescent="0.25">
      <c r="F341" s="9"/>
      <c r="G341" s="21">
        <v>0.15335099999999999</v>
      </c>
      <c r="H341" s="21">
        <v>8.4118200000000005</v>
      </c>
      <c r="I341" s="21">
        <v>-1.5036000000000001E-2</v>
      </c>
      <c r="J341" s="21">
        <v>331</v>
      </c>
      <c r="K341" s="21">
        <v>0.15280199999999999</v>
      </c>
      <c r="L341">
        <f t="shared" si="60"/>
        <v>18.562962962962963</v>
      </c>
      <c r="M341">
        <f t="shared" si="61"/>
        <v>2.8466489333333334</v>
      </c>
      <c r="N341" s="9"/>
      <c r="O341" s="21">
        <v>1.56677</v>
      </c>
      <c r="P341" s="21">
        <v>12.2713</v>
      </c>
      <c r="Q341" s="21">
        <v>-1.3207999999999999E-2</v>
      </c>
      <c r="R341" s="21">
        <v>331</v>
      </c>
      <c r="S341" s="21">
        <v>1.56555</v>
      </c>
      <c r="T341">
        <f t="shared" si="62"/>
        <v>16.306172839506171</v>
      </c>
      <c r="U341">
        <f t="shared" si="63"/>
        <v>25.548022419753085</v>
      </c>
      <c r="X341" s="9"/>
      <c r="Y341" s="21">
        <v>0.15335099999999999</v>
      </c>
      <c r="Z341" s="21">
        <v>17.827000000000002</v>
      </c>
      <c r="AA341" s="21">
        <v>-1.5118400000000001E-2</v>
      </c>
      <c r="AB341" s="21">
        <v>331</v>
      </c>
      <c r="AC341" s="21">
        <v>0.15273999999999999</v>
      </c>
      <c r="AD341">
        <f t="shared" si="64"/>
        <v>18.66469135802469</v>
      </c>
      <c r="AE341">
        <f t="shared" si="65"/>
        <v>2.8622490844444441</v>
      </c>
      <c r="AF341" s="9"/>
      <c r="AG341" s="21">
        <v>1.56677</v>
      </c>
      <c r="AH341" s="21">
        <v>21.686499999999999</v>
      </c>
      <c r="AI341" s="21">
        <v>-1.32385E-2</v>
      </c>
      <c r="AJ341" s="21">
        <v>331</v>
      </c>
      <c r="AK341" s="21">
        <v>1.56586</v>
      </c>
      <c r="AL341">
        <f t="shared" si="66"/>
        <v>16.343827160493824</v>
      </c>
      <c r="AM341">
        <f t="shared" si="67"/>
        <v>25.60701808024691</v>
      </c>
      <c r="AP341" s="9"/>
      <c r="AQ341" s="21">
        <v>0.15335099999999999</v>
      </c>
      <c r="AR341" s="21">
        <v>27.211300000000001</v>
      </c>
      <c r="AS341" s="21">
        <v>-1.50452E-2</v>
      </c>
      <c r="AT341" s="21">
        <v>331</v>
      </c>
      <c r="AU341" s="21">
        <v>0.152832</v>
      </c>
      <c r="AV341">
        <f t="shared" si="68"/>
        <v>18.574320987654321</v>
      </c>
      <c r="AW341">
        <f t="shared" si="69"/>
        <v>2.8483906977777775</v>
      </c>
      <c r="AX341" s="9"/>
      <c r="AY341" s="21">
        <v>1.56677</v>
      </c>
      <c r="AZ341" s="21">
        <v>31.070699999999999</v>
      </c>
      <c r="BA341" s="21">
        <v>-1.32385E-2</v>
      </c>
      <c r="BB341" s="21">
        <v>331</v>
      </c>
      <c r="BC341" s="21">
        <v>1.56586</v>
      </c>
      <c r="BD341">
        <f t="shared" si="70"/>
        <v>16.343827160493824</v>
      </c>
      <c r="BE341">
        <f t="shared" si="71"/>
        <v>25.60701808024691</v>
      </c>
    </row>
    <row r="342" spans="6:57" x14ac:dyDescent="0.25">
      <c r="F342" s="9"/>
      <c r="G342" s="21">
        <v>0.148315</v>
      </c>
      <c r="H342" s="21">
        <v>8.4218899999999994</v>
      </c>
      <c r="I342" s="21">
        <v>-1.5036000000000001E-2</v>
      </c>
      <c r="J342" s="21">
        <v>332</v>
      </c>
      <c r="K342" s="21">
        <v>0.14776600000000001</v>
      </c>
      <c r="L342">
        <f t="shared" si="60"/>
        <v>18.562962962962963</v>
      </c>
      <c r="M342">
        <f t="shared" si="61"/>
        <v>2.7531658518518518</v>
      </c>
      <c r="N342" s="9"/>
      <c r="O342" s="21">
        <v>1.5718099999999999</v>
      </c>
      <c r="P342" s="21">
        <v>12.2814</v>
      </c>
      <c r="Q342" s="21">
        <v>-1.3147000000000001E-2</v>
      </c>
      <c r="R342" s="21">
        <v>332</v>
      </c>
      <c r="S342" s="21">
        <v>1.57074</v>
      </c>
      <c r="T342">
        <f t="shared" si="62"/>
        <v>16.230864197530863</v>
      </c>
      <c r="U342">
        <f t="shared" si="63"/>
        <v>25.511834654320985</v>
      </c>
      <c r="X342" s="9"/>
      <c r="Y342" s="21">
        <v>0.148315</v>
      </c>
      <c r="Z342" s="21">
        <v>17.8371</v>
      </c>
      <c r="AA342" s="21">
        <v>-1.51276E-2</v>
      </c>
      <c r="AB342" s="21">
        <v>332</v>
      </c>
      <c r="AC342" s="21">
        <v>0.14782699999999999</v>
      </c>
      <c r="AD342">
        <f t="shared" si="64"/>
        <v>18.676049382716048</v>
      </c>
      <c r="AE342">
        <f t="shared" si="65"/>
        <v>2.7699382641975308</v>
      </c>
      <c r="AF342" s="9"/>
      <c r="AG342" s="21">
        <v>1.5718099999999999</v>
      </c>
      <c r="AH342" s="21">
        <v>21.6966</v>
      </c>
      <c r="AI342" s="21">
        <v>-1.3168300000000001E-2</v>
      </c>
      <c r="AJ342" s="21">
        <v>332</v>
      </c>
      <c r="AK342" s="21">
        <v>1.57104</v>
      </c>
      <c r="AL342">
        <f t="shared" si="66"/>
        <v>16.257160493827158</v>
      </c>
      <c r="AM342">
        <f t="shared" si="67"/>
        <v>25.553167435802465</v>
      </c>
      <c r="AP342" s="9"/>
      <c r="AQ342" s="21">
        <v>0.148315</v>
      </c>
      <c r="AR342" s="21">
        <v>27.221299999999999</v>
      </c>
      <c r="AS342" s="21">
        <v>-1.50452E-2</v>
      </c>
      <c r="AT342" s="21">
        <v>332</v>
      </c>
      <c r="AU342" s="21">
        <v>0.14773600000000001</v>
      </c>
      <c r="AV342">
        <f t="shared" si="68"/>
        <v>18.574320987654321</v>
      </c>
      <c r="AW342">
        <f t="shared" si="69"/>
        <v>2.7548504172839507</v>
      </c>
      <c r="AX342" s="9"/>
      <c r="AY342" s="21">
        <v>1.5718099999999999</v>
      </c>
      <c r="AZ342" s="21">
        <v>31.0808</v>
      </c>
      <c r="BA342" s="21">
        <v>-1.31775E-2</v>
      </c>
      <c r="BB342" s="21">
        <v>332</v>
      </c>
      <c r="BC342" s="21">
        <v>1.57135</v>
      </c>
      <c r="BD342">
        <f t="shared" si="70"/>
        <v>16.268518518518519</v>
      </c>
      <c r="BE342">
        <f t="shared" si="71"/>
        <v>25.571020092592594</v>
      </c>
    </row>
    <row r="343" spans="6:57" x14ac:dyDescent="0.25">
      <c r="F343" s="9"/>
      <c r="G343" s="21">
        <v>0.14327999999999999</v>
      </c>
      <c r="H343" s="21">
        <v>8.4319699999999997</v>
      </c>
      <c r="I343" s="21">
        <v>-1.5029900000000001E-2</v>
      </c>
      <c r="J343" s="21">
        <v>333</v>
      </c>
      <c r="K343" s="21">
        <v>0.142761</v>
      </c>
      <c r="L343">
        <f t="shared" si="60"/>
        <v>18.555432098765429</v>
      </c>
      <c r="M343">
        <f t="shared" si="61"/>
        <v>2.6586223111111105</v>
      </c>
      <c r="N343" s="9"/>
      <c r="O343" s="21">
        <v>1.57684</v>
      </c>
      <c r="P343" s="21">
        <v>12.291399999999999</v>
      </c>
      <c r="Q343" s="21">
        <v>-1.30829E-2</v>
      </c>
      <c r="R343" s="21">
        <v>333</v>
      </c>
      <c r="S343" s="21">
        <v>1.57623</v>
      </c>
      <c r="T343">
        <f t="shared" si="62"/>
        <v>16.151728395061728</v>
      </c>
      <c r="U343">
        <f t="shared" si="63"/>
        <v>25.468691402469133</v>
      </c>
      <c r="X343" s="9"/>
      <c r="Y343" s="21">
        <v>0.14327999999999999</v>
      </c>
      <c r="Z343" s="21">
        <v>17.847200000000001</v>
      </c>
      <c r="AA343" s="21">
        <v>-1.51276E-2</v>
      </c>
      <c r="AB343" s="21">
        <v>333</v>
      </c>
      <c r="AC343" s="21">
        <v>0.142517</v>
      </c>
      <c r="AD343">
        <f t="shared" si="64"/>
        <v>18.676049382716048</v>
      </c>
      <c r="AE343">
        <f t="shared" si="65"/>
        <v>2.6759043555555553</v>
      </c>
      <c r="AF343" s="9"/>
      <c r="AG343" s="21">
        <v>1.57684</v>
      </c>
      <c r="AH343" s="21">
        <v>21.706700000000001</v>
      </c>
      <c r="AI343" s="21">
        <v>-1.31012E-2</v>
      </c>
      <c r="AJ343" s="21">
        <v>333</v>
      </c>
      <c r="AK343" s="21">
        <v>1.5759300000000001</v>
      </c>
      <c r="AL343">
        <f t="shared" si="66"/>
        <v>16.174320987654323</v>
      </c>
      <c r="AM343">
        <f t="shared" si="67"/>
        <v>25.504316306172843</v>
      </c>
      <c r="AP343" s="9"/>
      <c r="AQ343" s="21">
        <v>0.14327999999999999</v>
      </c>
      <c r="AR343" s="21">
        <v>27.231400000000001</v>
      </c>
      <c r="AS343" s="21">
        <v>-1.50391E-2</v>
      </c>
      <c r="AT343" s="21">
        <v>333</v>
      </c>
      <c r="AU343" s="21">
        <v>0.14269999999999999</v>
      </c>
      <c r="AV343">
        <f t="shared" si="68"/>
        <v>18.566790123456791</v>
      </c>
      <c r="AW343">
        <f t="shared" si="69"/>
        <v>2.6602496888888889</v>
      </c>
      <c r="AX343" s="9"/>
      <c r="AY343" s="21">
        <v>1.57684</v>
      </c>
      <c r="AZ343" s="21">
        <v>31.090900000000001</v>
      </c>
      <c r="BA343" s="21">
        <v>-1.3110399999999999E-2</v>
      </c>
      <c r="BB343" s="21">
        <v>333</v>
      </c>
      <c r="BC343" s="21">
        <v>1.57623</v>
      </c>
      <c r="BD343">
        <f t="shared" si="70"/>
        <v>16.185679012345677</v>
      </c>
      <c r="BE343">
        <f t="shared" si="71"/>
        <v>25.522226093827157</v>
      </c>
    </row>
    <row r="344" spans="6:57" x14ac:dyDescent="0.25">
      <c r="F344" s="9"/>
      <c r="G344" s="21">
        <v>0.13824500000000001</v>
      </c>
      <c r="H344" s="21">
        <v>8.4420400000000004</v>
      </c>
      <c r="I344" s="21">
        <v>-1.50177E-2</v>
      </c>
      <c r="J344" s="21">
        <v>334</v>
      </c>
      <c r="K344" s="21">
        <v>0.13772599999999999</v>
      </c>
      <c r="L344">
        <f t="shared" si="60"/>
        <v>18.540370370370372</v>
      </c>
      <c r="M344">
        <f t="shared" si="61"/>
        <v>2.563113501851852</v>
      </c>
      <c r="N344" s="9"/>
      <c r="O344" s="21">
        <v>1.58188</v>
      </c>
      <c r="P344" s="21">
        <v>12.301500000000001</v>
      </c>
      <c r="Q344" s="21">
        <v>-1.3021899999999999E-2</v>
      </c>
      <c r="R344" s="21">
        <v>334</v>
      </c>
      <c r="S344" s="21">
        <v>1.58142</v>
      </c>
      <c r="T344">
        <f t="shared" si="62"/>
        <v>16.076419753086416</v>
      </c>
      <c r="U344">
        <f t="shared" si="63"/>
        <v>25.430966879012338</v>
      </c>
      <c r="X344" s="9"/>
      <c r="Y344" s="21">
        <v>0.13824500000000001</v>
      </c>
      <c r="Z344" s="21">
        <v>17.857299999999999</v>
      </c>
      <c r="AA344" s="21">
        <v>-1.5118400000000001E-2</v>
      </c>
      <c r="AB344" s="21">
        <v>334</v>
      </c>
      <c r="AC344" s="21">
        <v>0.13766500000000001</v>
      </c>
      <c r="AD344">
        <f t="shared" si="64"/>
        <v>18.66469135802469</v>
      </c>
      <c r="AE344">
        <f t="shared" si="65"/>
        <v>2.5803002567901236</v>
      </c>
      <c r="AF344" s="9"/>
      <c r="AG344" s="21">
        <v>1.58188</v>
      </c>
      <c r="AH344" s="21">
        <v>21.716699999999999</v>
      </c>
      <c r="AI344" s="21">
        <v>-1.3028E-2</v>
      </c>
      <c r="AJ344" s="21">
        <v>334</v>
      </c>
      <c r="AK344" s="21">
        <v>1.58081</v>
      </c>
      <c r="AL344">
        <f t="shared" si="66"/>
        <v>16.08395061728395</v>
      </c>
      <c r="AM344">
        <f t="shared" si="67"/>
        <v>25.442879802469132</v>
      </c>
      <c r="AP344" s="9"/>
      <c r="AQ344" s="21">
        <v>0.13824500000000001</v>
      </c>
      <c r="AR344" s="21">
        <v>27.241499999999998</v>
      </c>
      <c r="AS344" s="21">
        <v>-1.5048199999999999E-2</v>
      </c>
      <c r="AT344" s="21">
        <v>334</v>
      </c>
      <c r="AU344" s="21">
        <v>0.13772599999999999</v>
      </c>
      <c r="AV344">
        <f t="shared" si="68"/>
        <v>18.578024691358021</v>
      </c>
      <c r="AW344">
        <f t="shared" si="69"/>
        <v>2.5683190234567896</v>
      </c>
      <c r="AX344" s="9"/>
      <c r="AY344" s="21">
        <v>1.58188</v>
      </c>
      <c r="AZ344" s="21">
        <v>31.100999999999999</v>
      </c>
      <c r="BA344" s="21">
        <v>-1.30402E-2</v>
      </c>
      <c r="BB344" s="21">
        <v>334</v>
      </c>
      <c r="BC344" s="21">
        <v>1.5817300000000001</v>
      </c>
      <c r="BD344">
        <f t="shared" si="70"/>
        <v>16.099012345679011</v>
      </c>
      <c r="BE344">
        <f t="shared" si="71"/>
        <v>25.466705649382714</v>
      </c>
    </row>
    <row r="345" spans="6:57" x14ac:dyDescent="0.25">
      <c r="F345" s="9"/>
      <c r="G345" s="21">
        <v>0.13320899999999999</v>
      </c>
      <c r="H345" s="21">
        <v>8.4521099999999993</v>
      </c>
      <c r="I345" s="21">
        <v>-1.5008499999999999E-2</v>
      </c>
      <c r="J345" s="21">
        <v>335</v>
      </c>
      <c r="K345" s="21">
        <v>0.13269</v>
      </c>
      <c r="L345">
        <f t="shared" si="60"/>
        <v>18.529012345679011</v>
      </c>
      <c r="M345">
        <f t="shared" si="61"/>
        <v>2.4682312055555551</v>
      </c>
      <c r="N345" s="9"/>
      <c r="O345" s="21">
        <v>1.58691</v>
      </c>
      <c r="P345" s="21">
        <v>12.3116</v>
      </c>
      <c r="Q345" s="21">
        <v>-1.29517E-2</v>
      </c>
      <c r="R345" s="21">
        <v>335</v>
      </c>
      <c r="S345" s="21">
        <v>1.5866100000000001</v>
      </c>
      <c r="T345">
        <f t="shared" si="62"/>
        <v>15.989753086419752</v>
      </c>
      <c r="U345">
        <f t="shared" si="63"/>
        <v>25.37429907037037</v>
      </c>
      <c r="X345" s="9"/>
      <c r="Y345" s="21">
        <v>0.13320899999999999</v>
      </c>
      <c r="Z345" s="21">
        <v>17.8673</v>
      </c>
      <c r="AA345" s="21">
        <v>-1.51215E-2</v>
      </c>
      <c r="AB345" s="21">
        <v>335</v>
      </c>
      <c r="AC345" s="21">
        <v>0.13275100000000001</v>
      </c>
      <c r="AD345">
        <f t="shared" si="64"/>
        <v>18.668518518518518</v>
      </c>
      <c r="AE345">
        <f t="shared" si="65"/>
        <v>2.4868146833333329</v>
      </c>
      <c r="AF345" s="9"/>
      <c r="AG345" s="21">
        <v>1.58691</v>
      </c>
      <c r="AH345" s="21">
        <v>21.726800000000001</v>
      </c>
      <c r="AI345" s="21">
        <v>-1.29547E-2</v>
      </c>
      <c r="AJ345" s="21">
        <v>335</v>
      </c>
      <c r="AK345" s="21">
        <v>1.5863</v>
      </c>
      <c r="AL345">
        <f t="shared" si="66"/>
        <v>15.993456790123457</v>
      </c>
      <c r="AM345">
        <f t="shared" si="67"/>
        <v>25.380176514814814</v>
      </c>
      <c r="AP345" s="9"/>
      <c r="AQ345" s="21">
        <v>0.13320899999999999</v>
      </c>
      <c r="AR345" s="21">
        <v>27.2515</v>
      </c>
      <c r="AS345" s="21">
        <v>-1.50513E-2</v>
      </c>
      <c r="AT345" s="21">
        <v>335</v>
      </c>
      <c r="AU345" s="21">
        <v>0.13275100000000001</v>
      </c>
      <c r="AV345">
        <f t="shared" si="68"/>
        <v>18.581851851851848</v>
      </c>
      <c r="AW345">
        <f t="shared" si="69"/>
        <v>2.4752699033333325</v>
      </c>
      <c r="AX345" s="9"/>
      <c r="AY345" s="21">
        <v>1.58691</v>
      </c>
      <c r="AZ345" s="21">
        <v>31.111000000000001</v>
      </c>
      <c r="BA345" s="21">
        <v>-1.2970000000000001E-2</v>
      </c>
      <c r="BB345" s="21">
        <v>335</v>
      </c>
      <c r="BC345" s="21">
        <v>1.5860000000000001</v>
      </c>
      <c r="BD345">
        <f t="shared" si="70"/>
        <v>16.012345679012348</v>
      </c>
      <c r="BE345">
        <f t="shared" si="71"/>
        <v>25.410151481481485</v>
      </c>
    </row>
    <row r="346" spans="6:57" x14ac:dyDescent="0.25">
      <c r="F346" s="9"/>
      <c r="G346" s="21">
        <v>0.12817400000000001</v>
      </c>
      <c r="H346" s="21">
        <v>8.46218</v>
      </c>
      <c r="I346" s="21">
        <v>-1.50116E-2</v>
      </c>
      <c r="J346" s="21">
        <v>336</v>
      </c>
      <c r="K346" s="21">
        <v>0.12753300000000001</v>
      </c>
      <c r="L346">
        <f t="shared" si="60"/>
        <v>18.532839506172838</v>
      </c>
      <c r="M346">
        <f t="shared" si="61"/>
        <v>2.3754281708641973</v>
      </c>
      <c r="N346" s="9"/>
      <c r="O346" s="21">
        <v>1.59195</v>
      </c>
      <c r="P346" s="21">
        <v>12.3217</v>
      </c>
      <c r="Q346" s="21">
        <v>-1.28754E-2</v>
      </c>
      <c r="R346" s="21">
        <v>336</v>
      </c>
      <c r="S346" s="21">
        <v>1.5911900000000001</v>
      </c>
      <c r="T346">
        <f t="shared" si="62"/>
        <v>15.895555555555555</v>
      </c>
      <c r="U346">
        <f t="shared" si="63"/>
        <v>25.304929666666666</v>
      </c>
      <c r="X346" s="9"/>
      <c r="Y346" s="21">
        <v>0.12817400000000001</v>
      </c>
      <c r="Z346" s="21">
        <v>17.877400000000002</v>
      </c>
      <c r="AA346" s="21">
        <v>-1.5115399999999999E-2</v>
      </c>
      <c r="AB346" s="21">
        <v>336</v>
      </c>
      <c r="AC346" s="21">
        <v>0.12762499999999999</v>
      </c>
      <c r="AD346">
        <f t="shared" si="64"/>
        <v>18.660987654320987</v>
      </c>
      <c r="AE346">
        <f t="shared" si="65"/>
        <v>2.3918534316049382</v>
      </c>
      <c r="AF346" s="9"/>
      <c r="AG346" s="21">
        <v>1.59195</v>
      </c>
      <c r="AH346" s="21">
        <v>21.736899999999999</v>
      </c>
      <c r="AI346" s="21">
        <v>-1.28845E-2</v>
      </c>
      <c r="AJ346" s="21">
        <v>336</v>
      </c>
      <c r="AK346" s="21">
        <v>1.5914900000000001</v>
      </c>
      <c r="AL346">
        <f t="shared" si="66"/>
        <v>15.906790123456791</v>
      </c>
      <c r="AM346">
        <f t="shared" si="67"/>
        <v>25.322814537037036</v>
      </c>
      <c r="AP346" s="9"/>
      <c r="AQ346" s="21">
        <v>0.12817400000000001</v>
      </c>
      <c r="AR346" s="21">
        <v>27.261600000000001</v>
      </c>
      <c r="AS346" s="21">
        <v>-1.5063500000000001E-2</v>
      </c>
      <c r="AT346" s="21">
        <v>336</v>
      </c>
      <c r="AU346" s="21">
        <v>0.12762499999999999</v>
      </c>
      <c r="AV346">
        <f t="shared" si="68"/>
        <v>18.596913580246913</v>
      </c>
      <c r="AW346">
        <f t="shared" si="69"/>
        <v>2.3836408012345678</v>
      </c>
      <c r="AX346" s="9"/>
      <c r="AY346" s="21">
        <v>1.59195</v>
      </c>
      <c r="AZ346" s="21">
        <v>31.121099999999998</v>
      </c>
      <c r="BA346" s="21">
        <v>-1.2896700000000001E-2</v>
      </c>
      <c r="BB346" s="21">
        <v>336</v>
      </c>
      <c r="BC346" s="21">
        <v>1.5911900000000001</v>
      </c>
      <c r="BD346">
        <f t="shared" si="70"/>
        <v>15.92185185185185</v>
      </c>
      <c r="BE346">
        <f t="shared" si="71"/>
        <v>25.34679205555555</v>
      </c>
    </row>
    <row r="347" spans="6:57" x14ac:dyDescent="0.25">
      <c r="F347" s="9"/>
      <c r="G347" s="21">
        <v>0.123138</v>
      </c>
      <c r="H347" s="21">
        <v>8.4722500000000007</v>
      </c>
      <c r="I347" s="21">
        <v>-1.50055E-2</v>
      </c>
      <c r="J347" s="21">
        <v>337</v>
      </c>
      <c r="K347" s="21">
        <v>0.122528</v>
      </c>
      <c r="L347">
        <f t="shared" si="60"/>
        <v>18.525308641975307</v>
      </c>
      <c r="M347">
        <f t="shared" si="61"/>
        <v>2.2811694555555553</v>
      </c>
      <c r="N347" s="9"/>
      <c r="O347" s="21">
        <v>1.5969800000000001</v>
      </c>
      <c r="P347" s="21">
        <v>12.3317</v>
      </c>
      <c r="Q347" s="21">
        <v>-1.28082E-2</v>
      </c>
      <c r="R347" s="21">
        <v>337</v>
      </c>
      <c r="S347" s="21">
        <v>1.5963700000000001</v>
      </c>
      <c r="T347">
        <f t="shared" si="62"/>
        <v>15.812592592592594</v>
      </c>
      <c r="U347">
        <f t="shared" si="63"/>
        <v>25.252394118518524</v>
      </c>
      <c r="X347" s="9"/>
      <c r="Y347" s="21">
        <v>0.123138</v>
      </c>
      <c r="Z347" s="21">
        <v>17.887499999999999</v>
      </c>
      <c r="AA347" s="21">
        <v>-1.51276E-2</v>
      </c>
      <c r="AB347" s="21">
        <v>337</v>
      </c>
      <c r="AC347" s="21">
        <v>0.12262000000000001</v>
      </c>
      <c r="AD347">
        <f t="shared" si="64"/>
        <v>18.676049382716048</v>
      </c>
      <c r="AE347">
        <f t="shared" si="65"/>
        <v>2.2997313688888887</v>
      </c>
      <c r="AF347" s="9"/>
      <c r="AG347" s="21">
        <v>1.5969800000000001</v>
      </c>
      <c r="AH347" s="21">
        <v>21.7469</v>
      </c>
      <c r="AI347" s="21">
        <v>-1.2811299999999999E-2</v>
      </c>
      <c r="AJ347" s="21">
        <v>337</v>
      </c>
      <c r="AK347" s="21">
        <v>1.5963700000000001</v>
      </c>
      <c r="AL347">
        <f t="shared" si="66"/>
        <v>15.816419753086418</v>
      </c>
      <c r="AM347">
        <f t="shared" si="67"/>
        <v>25.258506017283949</v>
      </c>
      <c r="AP347" s="9"/>
      <c r="AQ347" s="21">
        <v>0.123138</v>
      </c>
      <c r="AR347" s="21">
        <v>27.271699999999999</v>
      </c>
      <c r="AS347" s="21">
        <v>-1.5075699999999999E-2</v>
      </c>
      <c r="AT347" s="21">
        <v>337</v>
      </c>
      <c r="AU347" s="21">
        <v>0.122498</v>
      </c>
      <c r="AV347">
        <f t="shared" si="68"/>
        <v>18.611975308641973</v>
      </c>
      <c r="AW347">
        <f t="shared" si="69"/>
        <v>2.2918414155555551</v>
      </c>
      <c r="AX347" s="9"/>
      <c r="AY347" s="21">
        <v>1.5969800000000001</v>
      </c>
      <c r="AZ347" s="21">
        <v>31.1312</v>
      </c>
      <c r="BA347" s="21">
        <v>-1.2820399999999999E-2</v>
      </c>
      <c r="BB347" s="21">
        <v>337</v>
      </c>
      <c r="BC347" s="21">
        <v>1.5963700000000001</v>
      </c>
      <c r="BD347">
        <f t="shared" si="70"/>
        <v>15.827654320987653</v>
      </c>
      <c r="BE347">
        <f t="shared" si="71"/>
        <v>25.276447397530863</v>
      </c>
    </row>
    <row r="348" spans="6:57" x14ac:dyDescent="0.25">
      <c r="F348" s="9"/>
      <c r="G348" s="21">
        <v>0.118103</v>
      </c>
      <c r="H348" s="21">
        <v>8.4823199999999996</v>
      </c>
      <c r="I348" s="21">
        <v>-1.4996300000000001E-2</v>
      </c>
      <c r="J348" s="21">
        <v>338</v>
      </c>
      <c r="K348" s="21">
        <v>0.11755400000000001</v>
      </c>
      <c r="L348">
        <f t="shared" si="60"/>
        <v>18.51395061728395</v>
      </c>
      <c r="M348">
        <f t="shared" si="61"/>
        <v>2.1865531097530861</v>
      </c>
      <c r="N348" s="9"/>
      <c r="O348" s="21">
        <v>1.60202</v>
      </c>
      <c r="P348" s="21">
        <v>12.341799999999999</v>
      </c>
      <c r="Q348" s="21">
        <v>-1.27289E-2</v>
      </c>
      <c r="R348" s="21">
        <v>338</v>
      </c>
      <c r="S348" s="21">
        <v>1.6015600000000001</v>
      </c>
      <c r="T348">
        <f t="shared" si="62"/>
        <v>15.714691358024689</v>
      </c>
      <c r="U348">
        <f t="shared" si="63"/>
        <v>25.175249849382713</v>
      </c>
      <c r="X348" s="9"/>
      <c r="Y348" s="21">
        <v>0.118103</v>
      </c>
      <c r="Z348" s="21">
        <v>17.897500000000001</v>
      </c>
      <c r="AA348" s="21">
        <v>-1.51428E-2</v>
      </c>
      <c r="AB348" s="21">
        <v>338</v>
      </c>
      <c r="AC348" s="21">
        <v>0.117493</v>
      </c>
      <c r="AD348">
        <f t="shared" si="64"/>
        <v>18.694814814814812</v>
      </c>
      <c r="AE348">
        <f t="shared" si="65"/>
        <v>2.2079137140740737</v>
      </c>
      <c r="AF348" s="9"/>
      <c r="AG348" s="21">
        <v>1.60202</v>
      </c>
      <c r="AH348" s="21">
        <v>21.757000000000001</v>
      </c>
      <c r="AI348" s="21">
        <v>-1.27472E-2</v>
      </c>
      <c r="AJ348" s="21">
        <v>338</v>
      </c>
      <c r="AK348" s="21">
        <v>1.6015600000000001</v>
      </c>
      <c r="AL348">
        <f t="shared" si="66"/>
        <v>15.737283950617284</v>
      </c>
      <c r="AM348">
        <f t="shared" si="67"/>
        <v>25.211443634567903</v>
      </c>
      <c r="AP348" s="9"/>
      <c r="AQ348" s="21">
        <v>0.118103</v>
      </c>
      <c r="AR348" s="21">
        <v>27.2818</v>
      </c>
      <c r="AS348" s="21">
        <v>-1.50726E-2</v>
      </c>
      <c r="AT348" s="21">
        <v>338</v>
      </c>
      <c r="AU348" s="21">
        <v>0.117645</v>
      </c>
      <c r="AV348">
        <f t="shared" si="68"/>
        <v>18.60814814814815</v>
      </c>
      <c r="AW348">
        <f t="shared" si="69"/>
        <v>2.1976781207407408</v>
      </c>
      <c r="AX348" s="9"/>
      <c r="AY348" s="21">
        <v>1.60202</v>
      </c>
      <c r="AZ348" s="21">
        <v>31.141200000000001</v>
      </c>
      <c r="BA348" s="21">
        <v>-1.27411E-2</v>
      </c>
      <c r="BB348" s="21">
        <v>338</v>
      </c>
      <c r="BC348" s="21">
        <v>1.6018699999999999</v>
      </c>
      <c r="BD348">
        <f t="shared" si="70"/>
        <v>15.729753086419752</v>
      </c>
      <c r="BE348">
        <f t="shared" si="71"/>
        <v>25.199379039506169</v>
      </c>
    </row>
    <row r="349" spans="6:57" x14ac:dyDescent="0.25">
      <c r="F349" s="9"/>
      <c r="G349" s="21">
        <v>0.113068</v>
      </c>
      <c r="H349" s="21">
        <v>8.4923900000000003</v>
      </c>
      <c r="I349" s="21">
        <v>-1.50055E-2</v>
      </c>
      <c r="J349" s="21">
        <v>339</v>
      </c>
      <c r="K349" s="21">
        <v>0.112549</v>
      </c>
      <c r="L349">
        <f t="shared" si="60"/>
        <v>18.525308641975307</v>
      </c>
      <c r="M349">
        <f t="shared" si="61"/>
        <v>2.0946195975308641</v>
      </c>
      <c r="N349" s="9"/>
      <c r="O349" s="21">
        <v>1.6070599999999999</v>
      </c>
      <c r="P349" s="21">
        <v>12.351900000000001</v>
      </c>
      <c r="Q349" s="21">
        <v>-1.26587E-2</v>
      </c>
      <c r="R349" s="21">
        <v>339</v>
      </c>
      <c r="S349" s="21">
        <v>1.6064499999999999</v>
      </c>
      <c r="T349">
        <f t="shared" si="62"/>
        <v>15.628024691358023</v>
      </c>
      <c r="U349">
        <f t="shared" si="63"/>
        <v>25.115173360493824</v>
      </c>
      <c r="X349" s="9"/>
      <c r="Y349" s="21">
        <v>0.113068</v>
      </c>
      <c r="Z349" s="21">
        <v>17.907599999999999</v>
      </c>
      <c r="AA349" s="21">
        <v>-1.51459E-2</v>
      </c>
      <c r="AB349" s="21">
        <v>339</v>
      </c>
      <c r="AC349" s="21">
        <v>0.11251800000000001</v>
      </c>
      <c r="AD349">
        <f t="shared" si="64"/>
        <v>18.698641975308643</v>
      </c>
      <c r="AE349">
        <f t="shared" si="65"/>
        <v>2.1142180508641979</v>
      </c>
      <c r="AF349" s="9"/>
      <c r="AG349" s="21">
        <v>1.6070599999999999</v>
      </c>
      <c r="AH349" s="21">
        <v>21.767099999999999</v>
      </c>
      <c r="AI349" s="21">
        <v>-1.2670900000000001E-2</v>
      </c>
      <c r="AJ349" s="21">
        <v>339</v>
      </c>
      <c r="AK349" s="21">
        <v>1.6064499999999999</v>
      </c>
      <c r="AL349">
        <f t="shared" si="66"/>
        <v>15.643086419753088</v>
      </c>
      <c r="AM349">
        <f t="shared" si="67"/>
        <v>25.139378461728395</v>
      </c>
      <c r="AP349" s="9"/>
      <c r="AQ349" s="21">
        <v>0.113068</v>
      </c>
      <c r="AR349" s="21">
        <v>27.291799999999999</v>
      </c>
      <c r="AS349" s="21">
        <v>-1.5081799999999999E-2</v>
      </c>
      <c r="AT349" s="21">
        <v>339</v>
      </c>
      <c r="AU349" s="21">
        <v>0.112488</v>
      </c>
      <c r="AV349">
        <f t="shared" si="68"/>
        <v>18.619506172839504</v>
      </c>
      <c r="AW349">
        <f t="shared" si="69"/>
        <v>2.105270323950617</v>
      </c>
      <c r="AX349" s="9"/>
      <c r="AY349" s="21">
        <v>1.6070599999999999</v>
      </c>
      <c r="AZ349" s="21">
        <v>31.151299999999999</v>
      </c>
      <c r="BA349" s="21">
        <v>-1.26587E-2</v>
      </c>
      <c r="BB349" s="21">
        <v>339</v>
      </c>
      <c r="BC349" s="21">
        <v>1.6058300000000001</v>
      </c>
      <c r="BD349">
        <f t="shared" si="70"/>
        <v>15.628024691358023</v>
      </c>
      <c r="BE349">
        <f t="shared" si="71"/>
        <v>25.115173360493824</v>
      </c>
    </row>
    <row r="350" spans="6:57" x14ac:dyDescent="0.25">
      <c r="F350" s="9"/>
      <c r="G350" s="21">
        <v>0.108032</v>
      </c>
      <c r="H350" s="21">
        <v>8.5024599999999992</v>
      </c>
      <c r="I350" s="21">
        <v>-1.5014599999999999E-2</v>
      </c>
      <c r="J350" s="21">
        <v>340</v>
      </c>
      <c r="K350" s="21">
        <v>0.107544</v>
      </c>
      <c r="L350">
        <f t="shared" si="60"/>
        <v>18.536543209876541</v>
      </c>
      <c r="M350">
        <f t="shared" si="61"/>
        <v>2.0025398360493827</v>
      </c>
      <c r="N350" s="9"/>
      <c r="O350" s="21">
        <v>1.61209</v>
      </c>
      <c r="P350" s="21">
        <v>12.3619</v>
      </c>
      <c r="Q350" s="21">
        <v>-1.25854E-2</v>
      </c>
      <c r="R350" s="21">
        <v>340</v>
      </c>
      <c r="S350" s="21">
        <v>1.6110199999999999</v>
      </c>
      <c r="T350">
        <f t="shared" si="62"/>
        <v>15.53753086419753</v>
      </c>
      <c r="U350">
        <f t="shared" si="63"/>
        <v>25.047898130864198</v>
      </c>
      <c r="X350" s="9"/>
      <c r="Y350" s="21">
        <v>0.108032</v>
      </c>
      <c r="Z350" s="21">
        <v>17.9177</v>
      </c>
      <c r="AA350" s="21">
        <v>-1.51459E-2</v>
      </c>
      <c r="AB350" s="21">
        <v>340</v>
      </c>
      <c r="AC350" s="21">
        <v>0.107544</v>
      </c>
      <c r="AD350">
        <f t="shared" si="64"/>
        <v>18.698641975308643</v>
      </c>
      <c r="AE350">
        <f t="shared" si="65"/>
        <v>2.0200516898765435</v>
      </c>
      <c r="AF350" s="9"/>
      <c r="AG350" s="21">
        <v>1.61209</v>
      </c>
      <c r="AH350" s="21">
        <v>21.777100000000001</v>
      </c>
      <c r="AI350" s="21">
        <v>-1.2594599999999999E-2</v>
      </c>
      <c r="AJ350" s="21">
        <v>340</v>
      </c>
      <c r="AK350" s="21">
        <v>1.6110199999999999</v>
      </c>
      <c r="AL350">
        <f t="shared" si="66"/>
        <v>15.548888888888886</v>
      </c>
      <c r="AM350">
        <f t="shared" si="67"/>
        <v>25.066208288888884</v>
      </c>
      <c r="AP350" s="9"/>
      <c r="AQ350" s="21">
        <v>0.108032</v>
      </c>
      <c r="AR350" s="21">
        <v>27.3019</v>
      </c>
      <c r="AS350" s="21">
        <v>-1.5081799999999999E-2</v>
      </c>
      <c r="AT350" s="21">
        <v>340</v>
      </c>
      <c r="AU350" s="21">
        <v>0.107574</v>
      </c>
      <c r="AV350">
        <f t="shared" si="68"/>
        <v>18.619506172839504</v>
      </c>
      <c r="AW350">
        <f t="shared" si="69"/>
        <v>2.0115024908641974</v>
      </c>
      <c r="AX350" s="9"/>
      <c r="AY350" s="21">
        <v>1.61209</v>
      </c>
      <c r="AZ350" s="21">
        <v>31.1614</v>
      </c>
      <c r="BA350" s="21">
        <v>-1.2582400000000001E-2</v>
      </c>
      <c r="BB350" s="21">
        <v>340</v>
      </c>
      <c r="BC350" s="21">
        <v>1.6110199999999999</v>
      </c>
      <c r="BD350">
        <f t="shared" si="70"/>
        <v>15.533827160493827</v>
      </c>
      <c r="BE350">
        <f t="shared" si="71"/>
        <v>25.041927427160495</v>
      </c>
    </row>
    <row r="351" spans="6:57" x14ac:dyDescent="0.25">
      <c r="F351" s="9"/>
      <c r="G351" s="21">
        <v>0.10299700000000001</v>
      </c>
      <c r="H351" s="21">
        <v>8.5125299999999999</v>
      </c>
      <c r="I351" s="21">
        <v>-1.50238E-2</v>
      </c>
      <c r="J351" s="21">
        <v>341</v>
      </c>
      <c r="K351" s="21">
        <v>0.10253900000000001</v>
      </c>
      <c r="L351">
        <f t="shared" si="60"/>
        <v>18.547901234567902</v>
      </c>
      <c r="M351">
        <f t="shared" si="61"/>
        <v>1.9103781834567903</v>
      </c>
      <c r="N351" s="9"/>
      <c r="O351" s="21">
        <v>1.61713</v>
      </c>
      <c r="P351" s="21">
        <v>12.372</v>
      </c>
      <c r="Q351" s="21">
        <v>-1.2500000000000001E-2</v>
      </c>
      <c r="R351" s="21">
        <v>341</v>
      </c>
      <c r="S351" s="21">
        <v>1.6162099999999999</v>
      </c>
      <c r="T351">
        <f t="shared" si="62"/>
        <v>15.432098765432098</v>
      </c>
      <c r="U351">
        <f t="shared" si="63"/>
        <v>24.955709876543207</v>
      </c>
      <c r="X351" s="9"/>
      <c r="Y351" s="21">
        <v>0.10299700000000001</v>
      </c>
      <c r="Z351" s="21">
        <v>17.927700000000002</v>
      </c>
      <c r="AA351" s="21">
        <v>-1.51398E-2</v>
      </c>
      <c r="AB351" s="21">
        <v>341</v>
      </c>
      <c r="AC351" s="21">
        <v>0.102509</v>
      </c>
      <c r="AD351">
        <f t="shared" si="64"/>
        <v>18.691111111111109</v>
      </c>
      <c r="AE351">
        <f t="shared" si="65"/>
        <v>1.9251283711111109</v>
      </c>
      <c r="AF351" s="9"/>
      <c r="AG351" s="21">
        <v>1.61713</v>
      </c>
      <c r="AH351" s="21">
        <v>21.787199999999999</v>
      </c>
      <c r="AI351" s="21">
        <v>-1.25183E-2</v>
      </c>
      <c r="AJ351" s="21">
        <v>341</v>
      </c>
      <c r="AK351" s="21">
        <v>1.6162099999999999</v>
      </c>
      <c r="AL351">
        <f t="shared" si="66"/>
        <v>15.454691358024689</v>
      </c>
      <c r="AM351">
        <f t="shared" si="67"/>
        <v>24.992245035802465</v>
      </c>
      <c r="AP351" s="9"/>
      <c r="AQ351" s="21">
        <v>0.10299700000000001</v>
      </c>
      <c r="AR351" s="21">
        <v>27.312000000000001</v>
      </c>
      <c r="AS351" s="21">
        <v>-1.5069600000000001E-2</v>
      </c>
      <c r="AT351" s="21">
        <v>341</v>
      </c>
      <c r="AU351" s="21">
        <v>0.102356</v>
      </c>
      <c r="AV351">
        <f t="shared" si="68"/>
        <v>18.604444444444443</v>
      </c>
      <c r="AW351">
        <f t="shared" si="69"/>
        <v>1.9162019644444444</v>
      </c>
      <c r="AX351" s="9"/>
      <c r="AY351" s="21">
        <v>1.61713</v>
      </c>
      <c r="AZ351" s="21">
        <v>31.171500000000002</v>
      </c>
      <c r="BA351" s="21">
        <v>-1.2506099999999999E-2</v>
      </c>
      <c r="BB351" s="21">
        <v>341</v>
      </c>
      <c r="BC351" s="21">
        <v>1.6162099999999999</v>
      </c>
      <c r="BD351">
        <f t="shared" si="70"/>
        <v>15.439629629629628</v>
      </c>
      <c r="BE351">
        <f t="shared" si="71"/>
        <v>24.967888262962962</v>
      </c>
    </row>
    <row r="352" spans="6:57" x14ac:dyDescent="0.25">
      <c r="F352" s="9"/>
      <c r="G352" s="21">
        <v>9.7961400000000004E-2</v>
      </c>
      <c r="H352" s="21">
        <v>8.5226000000000006</v>
      </c>
      <c r="I352" s="21">
        <v>-1.5026899999999999E-2</v>
      </c>
      <c r="J352" s="21">
        <v>342</v>
      </c>
      <c r="K352" s="21">
        <v>9.7381599999999999E-2</v>
      </c>
      <c r="L352">
        <f t="shared" si="60"/>
        <v>18.551728395061726</v>
      </c>
      <c r="M352">
        <f t="shared" si="61"/>
        <v>1.8173532859999999</v>
      </c>
      <c r="N352" s="9"/>
      <c r="O352" s="21">
        <v>1.62216</v>
      </c>
      <c r="P352" s="21">
        <v>12.382099999999999</v>
      </c>
      <c r="Q352" s="21">
        <v>-1.24054E-2</v>
      </c>
      <c r="R352" s="21">
        <v>342</v>
      </c>
      <c r="S352" s="21">
        <v>1.6210899999999999</v>
      </c>
      <c r="T352">
        <f t="shared" si="62"/>
        <v>15.315308641975308</v>
      </c>
      <c r="U352">
        <f t="shared" si="63"/>
        <v>24.843881066666668</v>
      </c>
      <c r="X352" s="9"/>
      <c r="Y352" s="21">
        <v>9.7961400000000004E-2</v>
      </c>
      <c r="Z352" s="21">
        <v>17.937799999999999</v>
      </c>
      <c r="AA352" s="21">
        <v>-1.51337E-2</v>
      </c>
      <c r="AB352" s="21">
        <v>342</v>
      </c>
      <c r="AC352" s="21">
        <v>9.7381599999999999E-2</v>
      </c>
      <c r="AD352">
        <f t="shared" si="64"/>
        <v>18.683580246913579</v>
      </c>
      <c r="AE352">
        <f t="shared" si="65"/>
        <v>1.8302696779999998</v>
      </c>
      <c r="AF352" s="9"/>
      <c r="AG352" s="21">
        <v>1.62216</v>
      </c>
      <c r="AH352" s="21">
        <v>21.7973</v>
      </c>
      <c r="AI352" s="21">
        <v>-1.24268E-2</v>
      </c>
      <c r="AJ352" s="21">
        <v>342</v>
      </c>
      <c r="AK352" s="21">
        <v>1.6216999999999999</v>
      </c>
      <c r="AL352">
        <f t="shared" si="66"/>
        <v>15.341728395061727</v>
      </c>
      <c r="AM352">
        <f t="shared" si="67"/>
        <v>24.886738133333331</v>
      </c>
      <c r="AP352" s="9"/>
      <c r="AQ352" s="21">
        <v>9.7961400000000004E-2</v>
      </c>
      <c r="AR352" s="21">
        <v>27.321999999999999</v>
      </c>
      <c r="AS352" s="21">
        <v>-1.50513E-2</v>
      </c>
      <c r="AT352" s="21">
        <v>342</v>
      </c>
      <c r="AU352" s="21">
        <v>9.7412100000000001E-2</v>
      </c>
      <c r="AV352">
        <f t="shared" si="68"/>
        <v>18.581851851851848</v>
      </c>
      <c r="AW352">
        <f t="shared" si="69"/>
        <v>1.8203042219999996</v>
      </c>
      <c r="AX352" s="9"/>
      <c r="AY352" s="21">
        <v>1.62216</v>
      </c>
      <c r="AZ352" s="21">
        <v>31.1815</v>
      </c>
      <c r="BA352" s="21">
        <v>-1.2423699999999999E-2</v>
      </c>
      <c r="BB352" s="21">
        <v>342</v>
      </c>
      <c r="BC352" s="21">
        <v>1.6214</v>
      </c>
      <c r="BD352">
        <f t="shared" si="70"/>
        <v>15.3379012345679</v>
      </c>
      <c r="BE352">
        <f t="shared" si="71"/>
        <v>24.880529866666667</v>
      </c>
    </row>
    <row r="353" spans="6:57" x14ac:dyDescent="0.25">
      <c r="F353" s="9"/>
      <c r="G353" s="21">
        <v>9.2925999999999995E-2</v>
      </c>
      <c r="H353" s="21">
        <v>8.5326799999999992</v>
      </c>
      <c r="I353" s="21">
        <v>-1.5026899999999999E-2</v>
      </c>
      <c r="J353" s="21">
        <v>343</v>
      </c>
      <c r="K353" s="21">
        <v>9.2315700000000001E-2</v>
      </c>
      <c r="L353">
        <f t="shared" si="60"/>
        <v>18.551728395061726</v>
      </c>
      <c r="M353">
        <f t="shared" si="61"/>
        <v>1.7239379128395058</v>
      </c>
      <c r="N353" s="9"/>
      <c r="O353" s="21">
        <v>1.6272</v>
      </c>
      <c r="P353" s="21">
        <v>12.392200000000001</v>
      </c>
      <c r="Q353" s="21">
        <v>-1.23108E-2</v>
      </c>
      <c r="R353" s="21">
        <v>343</v>
      </c>
      <c r="S353" s="21">
        <v>1.62659</v>
      </c>
      <c r="T353">
        <f t="shared" si="62"/>
        <v>15.198518518518517</v>
      </c>
      <c r="U353">
        <f t="shared" si="63"/>
        <v>24.731029333333332</v>
      </c>
      <c r="X353" s="9"/>
      <c r="Y353" s="21">
        <v>9.2925999999999995E-2</v>
      </c>
      <c r="Z353" s="21">
        <v>17.947900000000001</v>
      </c>
      <c r="AA353" s="21">
        <v>-1.5136699999999999E-2</v>
      </c>
      <c r="AB353" s="21">
        <v>343</v>
      </c>
      <c r="AC353" s="21">
        <v>9.2437699999999998E-2</v>
      </c>
      <c r="AD353">
        <f t="shared" si="64"/>
        <v>18.687283950617282</v>
      </c>
      <c r="AE353">
        <f t="shared" si="65"/>
        <v>1.7365345483950614</v>
      </c>
      <c r="AF353" s="9"/>
      <c r="AG353" s="21">
        <v>1.6272</v>
      </c>
      <c r="AH353" s="21">
        <v>21.807400000000001</v>
      </c>
      <c r="AI353" s="21">
        <v>-1.23383E-2</v>
      </c>
      <c r="AJ353" s="21">
        <v>343</v>
      </c>
      <c r="AK353" s="21">
        <v>1.6262799999999999</v>
      </c>
      <c r="AL353">
        <f t="shared" si="66"/>
        <v>15.232469135802468</v>
      </c>
      <c r="AM353">
        <f t="shared" si="67"/>
        <v>24.786273777777776</v>
      </c>
      <c r="AP353" s="9"/>
      <c r="AQ353" s="21">
        <v>9.2925999999999995E-2</v>
      </c>
      <c r="AR353" s="21">
        <v>27.332100000000001</v>
      </c>
      <c r="AS353" s="21">
        <v>-1.5042099999999999E-2</v>
      </c>
      <c r="AT353" s="21">
        <v>343</v>
      </c>
      <c r="AU353" s="21">
        <v>9.2346200000000003E-2</v>
      </c>
      <c r="AV353">
        <f t="shared" si="68"/>
        <v>18.570493827160494</v>
      </c>
      <c r="AW353">
        <f t="shared" si="69"/>
        <v>1.7256817093827159</v>
      </c>
      <c r="AX353" s="9"/>
      <c r="AY353" s="21">
        <v>1.6272</v>
      </c>
      <c r="AZ353" s="21">
        <v>31.191600000000001</v>
      </c>
      <c r="BA353" s="21">
        <v>-1.2329100000000001E-2</v>
      </c>
      <c r="BB353" s="21">
        <v>343</v>
      </c>
      <c r="BC353" s="21">
        <v>1.6274999999999999</v>
      </c>
      <c r="BD353">
        <f t="shared" si="70"/>
        <v>15.22111111111111</v>
      </c>
      <c r="BE353">
        <f t="shared" si="71"/>
        <v>24.767791999999996</v>
      </c>
    </row>
    <row r="354" spans="6:57" x14ac:dyDescent="0.25">
      <c r="F354" s="9"/>
      <c r="G354" s="21">
        <v>8.7890599999999999E-2</v>
      </c>
      <c r="H354" s="21">
        <v>8.5427499999999998</v>
      </c>
      <c r="I354" s="21">
        <v>-1.5020800000000001E-2</v>
      </c>
      <c r="J354" s="21">
        <v>344</v>
      </c>
      <c r="K354" s="21">
        <v>8.7402300000000002E-2</v>
      </c>
      <c r="L354">
        <f t="shared" si="60"/>
        <v>18.544197530864199</v>
      </c>
      <c r="M354">
        <f t="shared" si="61"/>
        <v>1.629860647506173</v>
      </c>
      <c r="N354" s="9"/>
      <c r="O354" s="21">
        <v>1.6322300000000001</v>
      </c>
      <c r="P354" s="21">
        <v>12.402200000000001</v>
      </c>
      <c r="Q354" s="21">
        <v>-1.2204E-2</v>
      </c>
      <c r="R354" s="21">
        <v>344</v>
      </c>
      <c r="S354" s="21">
        <v>1.6311599999999999</v>
      </c>
      <c r="T354">
        <f t="shared" si="62"/>
        <v>15.066666666666666</v>
      </c>
      <c r="U354">
        <f t="shared" si="63"/>
        <v>24.592265333333334</v>
      </c>
      <c r="X354" s="9"/>
      <c r="Y354" s="21">
        <v>8.7890599999999999E-2</v>
      </c>
      <c r="Z354" s="21">
        <v>17.957999999999998</v>
      </c>
      <c r="AA354" s="21">
        <v>-1.5136699999999999E-2</v>
      </c>
      <c r="AB354" s="21">
        <v>344</v>
      </c>
      <c r="AC354" s="21">
        <v>8.7310799999999994E-2</v>
      </c>
      <c r="AD354">
        <f t="shared" si="64"/>
        <v>18.687283950617282</v>
      </c>
      <c r="AE354">
        <f t="shared" si="65"/>
        <v>1.6424365987901233</v>
      </c>
      <c r="AF354" s="9"/>
      <c r="AG354" s="21">
        <v>1.6322300000000001</v>
      </c>
      <c r="AH354" s="21">
        <v>21.817399999999999</v>
      </c>
      <c r="AI354" s="21">
        <v>-1.2252799999999999E-2</v>
      </c>
      <c r="AJ354" s="21">
        <v>344</v>
      </c>
      <c r="AK354" s="21">
        <v>1.63208</v>
      </c>
      <c r="AL354">
        <f t="shared" si="66"/>
        <v>15.126913580246912</v>
      </c>
      <c r="AM354">
        <f t="shared" si="67"/>
        <v>24.690602153086417</v>
      </c>
      <c r="AP354" s="9"/>
      <c r="AQ354" s="21">
        <v>8.7890599999999999E-2</v>
      </c>
      <c r="AR354" s="21">
        <v>27.342199999999998</v>
      </c>
      <c r="AS354" s="21">
        <v>-1.5029900000000001E-2</v>
      </c>
      <c r="AT354" s="21">
        <v>344</v>
      </c>
      <c r="AU354" s="21">
        <v>8.7493899999999999E-2</v>
      </c>
      <c r="AV354">
        <f t="shared" si="68"/>
        <v>18.555432098765429</v>
      </c>
      <c r="AW354">
        <f t="shared" si="69"/>
        <v>1.6308480604197528</v>
      </c>
      <c r="AX354" s="9"/>
      <c r="AY354" s="21">
        <v>1.6322300000000001</v>
      </c>
      <c r="AZ354" s="21">
        <v>31.201699999999999</v>
      </c>
      <c r="BA354" s="21">
        <v>-1.22162E-2</v>
      </c>
      <c r="BB354" s="21">
        <v>344</v>
      </c>
      <c r="BC354" s="21">
        <v>1.6311599999999999</v>
      </c>
      <c r="BD354">
        <f t="shared" si="70"/>
        <v>15.081728395061727</v>
      </c>
      <c r="BE354">
        <f t="shared" si="71"/>
        <v>24.616849538271605</v>
      </c>
    </row>
    <row r="355" spans="6:57" x14ac:dyDescent="0.25">
      <c r="F355" s="9"/>
      <c r="G355" s="21">
        <v>8.2855200000000004E-2</v>
      </c>
      <c r="H355" s="21">
        <v>8.5528200000000005</v>
      </c>
      <c r="I355" s="21">
        <v>-1.5008499999999999E-2</v>
      </c>
      <c r="J355" s="21">
        <v>345</v>
      </c>
      <c r="K355" s="21">
        <v>8.2397499999999999E-2</v>
      </c>
      <c r="L355">
        <f t="shared" si="60"/>
        <v>18.529012345679011</v>
      </c>
      <c r="M355">
        <f t="shared" si="61"/>
        <v>1.5352250237037037</v>
      </c>
      <c r="N355" s="9"/>
      <c r="O355" s="21">
        <v>1.63727</v>
      </c>
      <c r="P355" s="21">
        <v>12.4123</v>
      </c>
      <c r="Q355" s="21">
        <v>-1.20941E-2</v>
      </c>
      <c r="R355" s="21">
        <v>345</v>
      </c>
      <c r="S355" s="21">
        <v>1.63696</v>
      </c>
      <c r="T355">
        <f t="shared" si="62"/>
        <v>14.930987654320987</v>
      </c>
      <c r="U355">
        <f t="shared" si="63"/>
        <v>24.446058156790123</v>
      </c>
      <c r="X355" s="9"/>
      <c r="Y355" s="21">
        <v>8.2855200000000004E-2</v>
      </c>
      <c r="Z355" s="21">
        <v>17.968</v>
      </c>
      <c r="AA355" s="21">
        <v>-1.51398E-2</v>
      </c>
      <c r="AB355" s="21">
        <v>345</v>
      </c>
      <c r="AC355" s="21">
        <v>8.2366900000000007E-2</v>
      </c>
      <c r="AD355">
        <f t="shared" si="64"/>
        <v>18.691111111111109</v>
      </c>
      <c r="AE355">
        <f t="shared" si="65"/>
        <v>1.5486557493333333</v>
      </c>
      <c r="AF355" s="9"/>
      <c r="AG355" s="21">
        <v>1.63727</v>
      </c>
      <c r="AH355" s="21">
        <v>21.827500000000001</v>
      </c>
      <c r="AI355" s="21">
        <v>-1.2158199999999999E-2</v>
      </c>
      <c r="AJ355" s="21">
        <v>345</v>
      </c>
      <c r="AK355" s="21">
        <v>1.63605</v>
      </c>
      <c r="AL355">
        <f t="shared" si="66"/>
        <v>15.010123456790122</v>
      </c>
      <c r="AM355">
        <f t="shared" si="67"/>
        <v>24.575624832098764</v>
      </c>
      <c r="AP355" s="9"/>
      <c r="AQ355" s="21">
        <v>8.2855200000000004E-2</v>
      </c>
      <c r="AR355" s="21">
        <v>27.3523</v>
      </c>
      <c r="AS355" s="21">
        <v>-1.5014599999999999E-2</v>
      </c>
      <c r="AT355" s="21">
        <v>345</v>
      </c>
      <c r="AU355" s="21">
        <v>8.2183800000000001E-2</v>
      </c>
      <c r="AV355">
        <f t="shared" si="68"/>
        <v>18.536543209876541</v>
      </c>
      <c r="AW355">
        <f t="shared" si="69"/>
        <v>1.5358489949629628</v>
      </c>
      <c r="AX355" s="9"/>
      <c r="AY355" s="21">
        <v>1.63727</v>
      </c>
      <c r="AZ355" s="21">
        <v>31.2117</v>
      </c>
      <c r="BA355" s="21">
        <v>-1.21002E-2</v>
      </c>
      <c r="BB355" s="21">
        <v>345</v>
      </c>
      <c r="BC355" s="21">
        <v>1.63696</v>
      </c>
      <c r="BD355">
        <f t="shared" si="70"/>
        <v>14.938518518518517</v>
      </c>
      <c r="BE355">
        <f t="shared" si="71"/>
        <v>24.458388214814814</v>
      </c>
    </row>
    <row r="356" spans="6:57" x14ac:dyDescent="0.25">
      <c r="F356" s="9"/>
      <c r="G356" s="21">
        <v>7.7819799999999995E-2</v>
      </c>
      <c r="H356" s="21">
        <v>8.5628899999999994</v>
      </c>
      <c r="I356" s="21">
        <v>-1.50055E-2</v>
      </c>
      <c r="J356" s="21">
        <v>346</v>
      </c>
      <c r="K356" s="21">
        <v>7.7240000000000003E-2</v>
      </c>
      <c r="L356">
        <f t="shared" si="60"/>
        <v>18.525308641975307</v>
      </c>
      <c r="M356">
        <f t="shared" si="61"/>
        <v>1.4416358134567899</v>
      </c>
      <c r="N356" s="9"/>
      <c r="O356" s="21">
        <v>1.6423000000000001</v>
      </c>
      <c r="P356" s="21">
        <v>12.4224</v>
      </c>
      <c r="Q356" s="21">
        <v>-1.1975100000000001E-2</v>
      </c>
      <c r="R356" s="21">
        <v>346</v>
      </c>
      <c r="S356" s="21">
        <v>1.64185</v>
      </c>
      <c r="T356">
        <f t="shared" si="62"/>
        <v>14.784074074074075</v>
      </c>
      <c r="U356">
        <f t="shared" si="63"/>
        <v>24.279884851851854</v>
      </c>
      <c r="X356" s="9"/>
      <c r="Y356" s="21">
        <v>7.7819799999999995E-2</v>
      </c>
      <c r="Z356" s="21">
        <v>17.978100000000001</v>
      </c>
      <c r="AA356" s="21">
        <v>-1.51428E-2</v>
      </c>
      <c r="AB356" s="21">
        <v>346</v>
      </c>
      <c r="AC356" s="21">
        <v>7.7300999999999995E-2</v>
      </c>
      <c r="AD356">
        <f t="shared" si="64"/>
        <v>18.694814814814812</v>
      </c>
      <c r="AE356">
        <f t="shared" si="65"/>
        <v>1.4548267499259255</v>
      </c>
      <c r="AF356" s="9"/>
      <c r="AG356" s="21">
        <v>1.6423000000000001</v>
      </c>
      <c r="AH356" s="21">
        <v>21.837599999999998</v>
      </c>
      <c r="AI356" s="21">
        <v>-1.20605E-2</v>
      </c>
      <c r="AJ356" s="21">
        <v>346</v>
      </c>
      <c r="AK356" s="21">
        <v>1.64124</v>
      </c>
      <c r="AL356">
        <f t="shared" si="66"/>
        <v>14.889506172839505</v>
      </c>
      <c r="AM356">
        <f t="shared" si="67"/>
        <v>24.453035987654321</v>
      </c>
      <c r="AP356" s="9"/>
      <c r="AQ356" s="21">
        <v>7.7819799999999995E-2</v>
      </c>
      <c r="AR356" s="21">
        <v>27.362300000000001</v>
      </c>
      <c r="AS356" s="21">
        <v>-1.5014599999999999E-2</v>
      </c>
      <c r="AT356" s="21">
        <v>346</v>
      </c>
      <c r="AU356" s="21">
        <v>7.7270500000000006E-2</v>
      </c>
      <c r="AV356">
        <f t="shared" si="68"/>
        <v>18.536543209876541</v>
      </c>
      <c r="AW356">
        <f t="shared" si="69"/>
        <v>1.4425100852839503</v>
      </c>
      <c r="AX356" s="9"/>
      <c r="AY356" s="21">
        <v>1.6423000000000001</v>
      </c>
      <c r="AZ356" s="21">
        <v>31.221800000000002</v>
      </c>
      <c r="BA356" s="21">
        <v>-1.1975100000000001E-2</v>
      </c>
      <c r="BB356" s="21">
        <v>346</v>
      </c>
      <c r="BC356" s="21">
        <v>1.64154</v>
      </c>
      <c r="BD356">
        <f t="shared" si="70"/>
        <v>14.784074074074075</v>
      </c>
      <c r="BE356">
        <f t="shared" si="71"/>
        <v>24.279884851851854</v>
      </c>
    </row>
    <row r="357" spans="6:57" x14ac:dyDescent="0.25">
      <c r="F357" s="9"/>
      <c r="G357" s="21">
        <v>7.2784399999999999E-2</v>
      </c>
      <c r="H357" s="21">
        <v>8.5729600000000001</v>
      </c>
      <c r="I357" s="21">
        <v>-1.5002400000000001E-2</v>
      </c>
      <c r="J357" s="21">
        <v>347</v>
      </c>
      <c r="K357" s="21">
        <v>7.2174100000000005E-2</v>
      </c>
      <c r="L357">
        <f t="shared" si="60"/>
        <v>18.521481481481484</v>
      </c>
      <c r="M357">
        <f t="shared" si="61"/>
        <v>1.3480749167407409</v>
      </c>
      <c r="N357" s="9"/>
      <c r="O357" s="21">
        <v>1.64734</v>
      </c>
      <c r="P357" s="21">
        <v>12.432399999999999</v>
      </c>
      <c r="Q357" s="21">
        <v>-1.18561E-2</v>
      </c>
      <c r="R357" s="21">
        <v>347</v>
      </c>
      <c r="S357" s="21">
        <v>1.64642</v>
      </c>
      <c r="T357">
        <f t="shared" si="62"/>
        <v>14.63716049382716</v>
      </c>
      <c r="U357">
        <f t="shared" si="63"/>
        <v>24.112379967901234</v>
      </c>
      <c r="X357" s="9"/>
      <c r="Y357" s="21">
        <v>7.2784399999999999E-2</v>
      </c>
      <c r="Z357" s="21">
        <v>17.988199999999999</v>
      </c>
      <c r="AA357" s="21">
        <v>-1.51459E-2</v>
      </c>
      <c r="AB357" s="21">
        <v>347</v>
      </c>
      <c r="AC357" s="21">
        <v>7.2265599999999999E-2</v>
      </c>
      <c r="AD357">
        <f t="shared" si="64"/>
        <v>18.698641975308643</v>
      </c>
      <c r="AE357">
        <f t="shared" si="65"/>
        <v>1.3609694369876544</v>
      </c>
      <c r="AF357" s="9"/>
      <c r="AG357" s="21">
        <v>1.64734</v>
      </c>
      <c r="AH357" s="21">
        <v>21.8476</v>
      </c>
      <c r="AI357" s="21">
        <v>-1.19446E-2</v>
      </c>
      <c r="AJ357" s="21">
        <v>347</v>
      </c>
      <c r="AK357" s="21">
        <v>1.64673</v>
      </c>
      <c r="AL357">
        <f t="shared" si="66"/>
        <v>14.746419753086418</v>
      </c>
      <c r="AM357">
        <f t="shared" si="67"/>
        <v>24.29236711604938</v>
      </c>
      <c r="AP357" s="9"/>
      <c r="AQ357" s="21">
        <v>7.2784399999999999E-2</v>
      </c>
      <c r="AR357" s="21">
        <v>27.372399999999999</v>
      </c>
      <c r="AS357" s="21">
        <v>-1.5032999999999999E-2</v>
      </c>
      <c r="AT357" s="21">
        <v>347</v>
      </c>
      <c r="AU357" s="21">
        <v>7.2296100000000002E-2</v>
      </c>
      <c r="AV357">
        <f t="shared" si="68"/>
        <v>18.559259259259257</v>
      </c>
      <c r="AW357">
        <f t="shared" si="69"/>
        <v>1.3508245496296294</v>
      </c>
      <c r="AX357" s="9"/>
      <c r="AY357" s="21">
        <v>1.64734</v>
      </c>
      <c r="AZ357" s="21">
        <v>31.2319</v>
      </c>
      <c r="BA357" s="21">
        <v>-1.18408E-2</v>
      </c>
      <c r="BB357" s="21">
        <v>347</v>
      </c>
      <c r="BC357" s="21">
        <v>1.64612</v>
      </c>
      <c r="BD357">
        <f t="shared" si="70"/>
        <v>14.618271604938272</v>
      </c>
      <c r="BE357">
        <f t="shared" si="71"/>
        <v>24.081263545679015</v>
      </c>
    </row>
    <row r="358" spans="6:57" x14ac:dyDescent="0.25">
      <c r="F358" s="9"/>
      <c r="G358" s="21">
        <v>6.7749000000000004E-2</v>
      </c>
      <c r="H358" s="21">
        <v>8.5830300000000008</v>
      </c>
      <c r="I358" s="21">
        <v>-1.5014599999999999E-2</v>
      </c>
      <c r="J358" s="21">
        <v>348</v>
      </c>
      <c r="K358" s="21">
        <v>6.7169199999999998E-2</v>
      </c>
      <c r="L358">
        <f t="shared" si="60"/>
        <v>18.536543209876541</v>
      </c>
      <c r="M358">
        <f t="shared" si="61"/>
        <v>1.2558322659259258</v>
      </c>
      <c r="N358" s="9"/>
      <c r="O358" s="21">
        <v>1.6523699999999999</v>
      </c>
      <c r="P358" s="21">
        <v>12.442500000000001</v>
      </c>
      <c r="Q358" s="21">
        <v>-1.1727899999999999E-2</v>
      </c>
      <c r="R358" s="21">
        <v>348</v>
      </c>
      <c r="S358" s="21">
        <v>1.6519200000000001</v>
      </c>
      <c r="T358">
        <f t="shared" si="62"/>
        <v>14.478888888888887</v>
      </c>
      <c r="U358">
        <f t="shared" si="63"/>
        <v>23.924481633333329</v>
      </c>
      <c r="X358" s="9"/>
      <c r="Y358" s="21">
        <v>6.7749000000000004E-2</v>
      </c>
      <c r="Z358" s="21">
        <v>17.998200000000001</v>
      </c>
      <c r="AA358" s="21">
        <v>-1.51398E-2</v>
      </c>
      <c r="AB358" s="21">
        <v>348</v>
      </c>
      <c r="AC358" s="21">
        <v>6.7077600000000001E-2</v>
      </c>
      <c r="AD358">
        <f t="shared" si="64"/>
        <v>18.691111111111109</v>
      </c>
      <c r="AE358">
        <f t="shared" si="65"/>
        <v>1.2663040866666666</v>
      </c>
      <c r="AF358" s="9"/>
      <c r="AG358" s="21">
        <v>1.6523699999999999</v>
      </c>
      <c r="AH358" s="21">
        <v>21.857700000000001</v>
      </c>
      <c r="AI358" s="21">
        <v>-1.1831700000000001E-2</v>
      </c>
      <c r="AJ358" s="21">
        <v>348</v>
      </c>
      <c r="AK358" s="21">
        <v>1.65161</v>
      </c>
      <c r="AL358">
        <f t="shared" si="66"/>
        <v>14.607037037037037</v>
      </c>
      <c r="AM358">
        <f t="shared" si="67"/>
        <v>24.136229788888887</v>
      </c>
      <c r="AP358" s="9"/>
      <c r="AQ358" s="21">
        <v>6.7749000000000004E-2</v>
      </c>
      <c r="AR358" s="21">
        <v>27.3825</v>
      </c>
      <c r="AS358" s="21">
        <v>-1.50391E-2</v>
      </c>
      <c r="AT358" s="21">
        <v>348</v>
      </c>
      <c r="AU358" s="21">
        <v>6.7169199999999998E-2</v>
      </c>
      <c r="AV358">
        <f t="shared" si="68"/>
        <v>18.566790123456791</v>
      </c>
      <c r="AW358">
        <f t="shared" si="69"/>
        <v>1.2578814640740741</v>
      </c>
      <c r="AX358" s="9"/>
      <c r="AY358" s="21">
        <v>1.6523699999999999</v>
      </c>
      <c r="AZ358" s="21">
        <v>31.242000000000001</v>
      </c>
      <c r="BA358" s="21">
        <v>-1.17126E-2</v>
      </c>
      <c r="BB358" s="21">
        <v>348</v>
      </c>
      <c r="BC358" s="21">
        <v>1.65161</v>
      </c>
      <c r="BD358">
        <f t="shared" si="70"/>
        <v>14.459999999999999</v>
      </c>
      <c r="BE358">
        <f t="shared" si="71"/>
        <v>23.893270199999996</v>
      </c>
    </row>
    <row r="359" spans="6:57" x14ac:dyDescent="0.25">
      <c r="F359" s="9"/>
      <c r="G359" s="21">
        <v>6.2713599999999994E-2</v>
      </c>
      <c r="H359" s="21">
        <v>8.5930999999999997</v>
      </c>
      <c r="I359" s="21">
        <v>-1.50177E-2</v>
      </c>
      <c r="J359" s="21">
        <v>349</v>
      </c>
      <c r="K359" s="21">
        <v>6.2286399999999999E-2</v>
      </c>
      <c r="L359">
        <f t="shared" si="60"/>
        <v>18.540370370370372</v>
      </c>
      <c r="M359">
        <f t="shared" si="61"/>
        <v>1.1627333712592594</v>
      </c>
      <c r="N359" s="9"/>
      <c r="O359" s="21">
        <v>1.65741</v>
      </c>
      <c r="P359" s="21">
        <v>12.4526</v>
      </c>
      <c r="Q359" s="21">
        <v>-1.16028E-2</v>
      </c>
      <c r="R359" s="21">
        <v>349</v>
      </c>
      <c r="S359" s="21">
        <v>1.65649</v>
      </c>
      <c r="T359">
        <f t="shared" si="62"/>
        <v>14.324444444444444</v>
      </c>
      <c r="U359">
        <f t="shared" si="63"/>
        <v>23.741477466666666</v>
      </c>
      <c r="X359" s="9"/>
      <c r="Y359" s="21">
        <v>6.2713599999999994E-2</v>
      </c>
      <c r="Z359" s="21">
        <v>18.008299999999998</v>
      </c>
      <c r="AA359" s="21">
        <v>-1.5130599999999999E-2</v>
      </c>
      <c r="AB359" s="21">
        <v>349</v>
      </c>
      <c r="AC359" s="21">
        <v>6.2164299999999999E-2</v>
      </c>
      <c r="AD359">
        <f t="shared" si="64"/>
        <v>18.679753086419751</v>
      </c>
      <c r="AE359">
        <f t="shared" si="65"/>
        <v>1.1714745631604937</v>
      </c>
      <c r="AF359" s="9"/>
      <c r="AG359" s="21">
        <v>1.65741</v>
      </c>
      <c r="AH359" s="21">
        <v>21.867799999999999</v>
      </c>
      <c r="AI359" s="21">
        <v>-1.17065E-2</v>
      </c>
      <c r="AJ359" s="21">
        <v>349</v>
      </c>
      <c r="AK359" s="21">
        <v>1.6571</v>
      </c>
      <c r="AL359">
        <f t="shared" si="66"/>
        <v>14.452469135802467</v>
      </c>
      <c r="AM359">
        <f t="shared" si="67"/>
        <v>23.953666870370366</v>
      </c>
      <c r="AP359" s="9"/>
      <c r="AQ359" s="21">
        <v>6.2713599999999994E-2</v>
      </c>
      <c r="AR359" s="21">
        <v>27.392499999999998</v>
      </c>
      <c r="AS359" s="21">
        <v>-1.50391E-2</v>
      </c>
      <c r="AT359" s="21">
        <v>349</v>
      </c>
      <c r="AU359" s="21">
        <v>6.2255900000000003E-2</v>
      </c>
      <c r="AV359">
        <f t="shared" si="68"/>
        <v>18.566790123456791</v>
      </c>
      <c r="AW359">
        <f t="shared" si="69"/>
        <v>1.1643902490864197</v>
      </c>
      <c r="AX359" s="9"/>
      <c r="AY359" s="21">
        <v>1.65741</v>
      </c>
      <c r="AZ359" s="21">
        <v>31.251999999999999</v>
      </c>
      <c r="BA359" s="21">
        <v>-1.1584499999999999E-2</v>
      </c>
      <c r="BB359" s="21">
        <v>349</v>
      </c>
      <c r="BC359" s="21">
        <v>1.65649</v>
      </c>
      <c r="BD359">
        <f t="shared" si="70"/>
        <v>14.30185185185185</v>
      </c>
      <c r="BE359">
        <f t="shared" si="71"/>
        <v>23.704032277777777</v>
      </c>
    </row>
    <row r="360" spans="6:57" x14ac:dyDescent="0.25">
      <c r="F360" s="9"/>
      <c r="G360" s="21">
        <v>5.7678199999999999E-2</v>
      </c>
      <c r="H360" s="21">
        <v>8.6031700000000004</v>
      </c>
      <c r="I360" s="21">
        <v>-1.5014599999999999E-2</v>
      </c>
      <c r="J360" s="21">
        <v>350</v>
      </c>
      <c r="K360" s="21">
        <v>5.7067899999999998E-2</v>
      </c>
      <c r="L360">
        <f t="shared" si="60"/>
        <v>18.536543209876541</v>
      </c>
      <c r="M360">
        <f t="shared" si="61"/>
        <v>1.069154446567901</v>
      </c>
      <c r="N360" s="9"/>
      <c r="O360" s="21">
        <v>1.66245</v>
      </c>
      <c r="P360" s="21">
        <v>12.4626</v>
      </c>
      <c r="Q360" s="21">
        <v>-1.1456300000000001E-2</v>
      </c>
      <c r="R360" s="21">
        <v>350</v>
      </c>
      <c r="S360" s="21">
        <v>1.6613800000000001</v>
      </c>
      <c r="T360">
        <f t="shared" si="62"/>
        <v>14.143580246913581</v>
      </c>
      <c r="U360">
        <f t="shared" si="63"/>
        <v>23.512994981481484</v>
      </c>
      <c r="X360" s="9"/>
      <c r="Y360" s="21">
        <v>5.7678199999999999E-2</v>
      </c>
      <c r="Z360" s="21">
        <v>18.0184</v>
      </c>
      <c r="AA360" s="21">
        <v>-1.5118400000000001E-2</v>
      </c>
      <c r="AB360" s="21">
        <v>350</v>
      </c>
      <c r="AC360" s="21">
        <v>5.7159399999999999E-2</v>
      </c>
      <c r="AD360">
        <f t="shared" si="64"/>
        <v>18.66469135802469</v>
      </c>
      <c r="AE360">
        <f t="shared" si="65"/>
        <v>1.0765458010864197</v>
      </c>
      <c r="AF360" s="9"/>
      <c r="AG360" s="21">
        <v>1.66245</v>
      </c>
      <c r="AH360" s="21">
        <v>21.8779</v>
      </c>
      <c r="AI360" s="21">
        <v>-1.15814E-2</v>
      </c>
      <c r="AJ360" s="21">
        <v>350</v>
      </c>
      <c r="AK360" s="21">
        <v>1.66229</v>
      </c>
      <c r="AL360">
        <f t="shared" si="66"/>
        <v>14.298024691358025</v>
      </c>
      <c r="AM360">
        <f t="shared" si="67"/>
        <v>23.769751148148149</v>
      </c>
      <c r="AP360" s="9"/>
      <c r="AQ360" s="21">
        <v>5.7678199999999999E-2</v>
      </c>
      <c r="AR360" s="21">
        <v>27.4026</v>
      </c>
      <c r="AS360" s="21">
        <v>-1.50391E-2</v>
      </c>
      <c r="AT360" s="21">
        <v>350</v>
      </c>
      <c r="AU360" s="21">
        <v>5.7159399999999999E-2</v>
      </c>
      <c r="AV360">
        <f t="shared" si="68"/>
        <v>18.566790123456791</v>
      </c>
      <c r="AW360">
        <f t="shared" si="69"/>
        <v>1.0708990340987654</v>
      </c>
      <c r="AX360" s="9"/>
      <c r="AY360" s="21">
        <v>1.66245</v>
      </c>
      <c r="AZ360" s="21">
        <v>31.2621</v>
      </c>
      <c r="BA360" s="21">
        <v>-1.1456300000000001E-2</v>
      </c>
      <c r="BB360" s="21">
        <v>350</v>
      </c>
      <c r="BC360" s="21">
        <v>1.66168</v>
      </c>
      <c r="BD360">
        <f t="shared" si="70"/>
        <v>14.143580246913581</v>
      </c>
      <c r="BE360">
        <f t="shared" si="71"/>
        <v>23.512994981481484</v>
      </c>
    </row>
    <row r="361" spans="6:57" x14ac:dyDescent="0.25">
      <c r="F361" s="9"/>
      <c r="G361" s="21">
        <v>5.2642799999999997E-2</v>
      </c>
      <c r="H361" s="21">
        <v>8.6132399999999993</v>
      </c>
      <c r="I361" s="21">
        <v>-1.5020800000000001E-2</v>
      </c>
      <c r="J361" s="21">
        <v>351</v>
      </c>
      <c r="K361" s="21">
        <v>5.2185099999999998E-2</v>
      </c>
      <c r="L361">
        <f t="shared" si="60"/>
        <v>18.544197530864199</v>
      </c>
      <c r="M361">
        <f t="shared" si="61"/>
        <v>0.97621848177777781</v>
      </c>
      <c r="N361" s="9"/>
      <c r="O361" s="21">
        <v>1.6674800000000001</v>
      </c>
      <c r="P361" s="21">
        <v>12.4727</v>
      </c>
      <c r="Q361" s="21">
        <v>-1.13159E-2</v>
      </c>
      <c r="R361" s="21">
        <v>351</v>
      </c>
      <c r="S361" s="21">
        <v>1.66656</v>
      </c>
      <c r="T361">
        <f t="shared" si="62"/>
        <v>13.970246913580247</v>
      </c>
      <c r="U361">
        <f t="shared" si="63"/>
        <v>23.295107323456794</v>
      </c>
      <c r="X361" s="9"/>
      <c r="Y361" s="21">
        <v>5.2642799999999997E-2</v>
      </c>
      <c r="Z361" s="21">
        <v>18.028500000000001</v>
      </c>
      <c r="AA361" s="21">
        <v>-1.51123E-2</v>
      </c>
      <c r="AB361" s="21">
        <v>351</v>
      </c>
      <c r="AC361" s="21">
        <v>5.2123999999999997E-2</v>
      </c>
      <c r="AD361">
        <f t="shared" si="64"/>
        <v>18.65716049382716</v>
      </c>
      <c r="AE361">
        <f t="shared" si="65"/>
        <v>0.98216516844444435</v>
      </c>
      <c r="AF361" s="9"/>
      <c r="AG361" s="21">
        <v>1.6674800000000001</v>
      </c>
      <c r="AH361" s="21">
        <v>21.887899999999998</v>
      </c>
      <c r="AI361" s="21">
        <v>-1.1441E-2</v>
      </c>
      <c r="AJ361" s="21">
        <v>351</v>
      </c>
      <c r="AK361" s="21">
        <v>1.6668700000000001</v>
      </c>
      <c r="AL361">
        <f t="shared" si="66"/>
        <v>14.124691358024689</v>
      </c>
      <c r="AM361">
        <f t="shared" si="67"/>
        <v>23.552640345679009</v>
      </c>
      <c r="AP361" s="9"/>
      <c r="AQ361" s="21">
        <v>5.2642799999999997E-2</v>
      </c>
      <c r="AR361" s="21">
        <v>27.412700000000001</v>
      </c>
      <c r="AS361" s="21">
        <v>-1.50391E-2</v>
      </c>
      <c r="AT361" s="21">
        <v>351</v>
      </c>
      <c r="AU361" s="21">
        <v>5.2123999999999997E-2</v>
      </c>
      <c r="AV361">
        <f t="shared" si="68"/>
        <v>18.566790123456791</v>
      </c>
      <c r="AW361">
        <f t="shared" si="69"/>
        <v>0.97740781911111108</v>
      </c>
      <c r="AX361" s="9"/>
      <c r="AY361" s="21">
        <v>1.6674800000000001</v>
      </c>
      <c r="AZ361" s="21">
        <v>31.272200000000002</v>
      </c>
      <c r="BA361" s="21">
        <v>-1.1318999999999999E-2</v>
      </c>
      <c r="BB361" s="21">
        <v>351</v>
      </c>
      <c r="BC361" s="21">
        <v>1.6671800000000001</v>
      </c>
      <c r="BD361">
        <f t="shared" si="70"/>
        <v>13.974074074074073</v>
      </c>
      <c r="BE361">
        <f t="shared" si="71"/>
        <v>23.301489037037037</v>
      </c>
    </row>
    <row r="362" spans="6:57" x14ac:dyDescent="0.25">
      <c r="F362" s="9"/>
      <c r="G362" s="21">
        <v>4.7607400000000001E-2</v>
      </c>
      <c r="H362" s="21">
        <v>8.62331</v>
      </c>
      <c r="I362" s="21">
        <v>-1.5020800000000001E-2</v>
      </c>
      <c r="J362" s="21">
        <v>352</v>
      </c>
      <c r="K362" s="21">
        <v>4.7549399999999999E-2</v>
      </c>
      <c r="L362">
        <f t="shared" si="60"/>
        <v>18.544197530864199</v>
      </c>
      <c r="M362">
        <f t="shared" si="61"/>
        <v>0.8828410295308643</v>
      </c>
      <c r="N362" s="9"/>
      <c r="O362" s="21">
        <v>1.67252</v>
      </c>
      <c r="P362" s="21">
        <v>12.482799999999999</v>
      </c>
      <c r="Q362" s="21">
        <v>-1.11542E-2</v>
      </c>
      <c r="R362" s="21">
        <v>352</v>
      </c>
      <c r="S362" s="21">
        <v>1.6717500000000001</v>
      </c>
      <c r="T362">
        <f t="shared" si="62"/>
        <v>13.770617283950616</v>
      </c>
      <c r="U362">
        <f t="shared" si="63"/>
        <v>23.031632819753085</v>
      </c>
      <c r="X362" s="9"/>
      <c r="Y362" s="21">
        <v>4.7607400000000001E-2</v>
      </c>
      <c r="Z362" s="21">
        <v>18.038499999999999</v>
      </c>
      <c r="AA362" s="21">
        <v>-1.51123E-2</v>
      </c>
      <c r="AB362" s="21">
        <v>352</v>
      </c>
      <c r="AC362" s="21">
        <v>4.7564700000000001E-2</v>
      </c>
      <c r="AD362">
        <f t="shared" si="64"/>
        <v>18.65716049382716</v>
      </c>
      <c r="AE362">
        <f t="shared" si="65"/>
        <v>0.88821890249382718</v>
      </c>
      <c r="AF362" s="9"/>
      <c r="AG362" s="21">
        <v>1.67252</v>
      </c>
      <c r="AH362" s="21">
        <v>21.898</v>
      </c>
      <c r="AI362" s="21">
        <v>-1.12885E-2</v>
      </c>
      <c r="AJ362" s="21">
        <v>352</v>
      </c>
      <c r="AK362" s="21">
        <v>1.6717500000000001</v>
      </c>
      <c r="AL362">
        <f t="shared" si="66"/>
        <v>13.936419753086419</v>
      </c>
      <c r="AM362">
        <f t="shared" si="67"/>
        <v>23.308940765432098</v>
      </c>
      <c r="AP362" s="9"/>
      <c r="AQ362" s="21">
        <v>4.7607400000000001E-2</v>
      </c>
      <c r="AR362" s="21">
        <v>27.422799999999999</v>
      </c>
      <c r="AS362" s="21">
        <v>-1.50391E-2</v>
      </c>
      <c r="AT362" s="21">
        <v>352</v>
      </c>
      <c r="AU362" s="21">
        <v>4.75311E-2</v>
      </c>
      <c r="AV362">
        <f t="shared" si="68"/>
        <v>18.566790123456791</v>
      </c>
      <c r="AW362">
        <f t="shared" si="69"/>
        <v>0.88391660412345685</v>
      </c>
      <c r="AX362" s="9"/>
      <c r="AY362" s="21">
        <v>1.67252</v>
      </c>
      <c r="AZ362" s="21">
        <v>31.2822</v>
      </c>
      <c r="BA362" s="21">
        <v>-1.11755E-2</v>
      </c>
      <c r="BB362" s="21">
        <v>352</v>
      </c>
      <c r="BC362" s="21">
        <v>1.6717500000000001</v>
      </c>
      <c r="BD362">
        <f t="shared" si="70"/>
        <v>13.796913580246912</v>
      </c>
      <c r="BE362">
        <f t="shared" si="71"/>
        <v>23.075613901234565</v>
      </c>
    </row>
    <row r="363" spans="6:57" x14ac:dyDescent="0.25">
      <c r="F363" s="9"/>
      <c r="G363" s="21">
        <v>4.2571999999999999E-2</v>
      </c>
      <c r="H363" s="21">
        <v>8.6333900000000003</v>
      </c>
      <c r="I363" s="21">
        <v>-1.50391E-2</v>
      </c>
      <c r="J363" s="21">
        <v>353</v>
      </c>
      <c r="K363" s="21">
        <v>4.2474400000000002E-2</v>
      </c>
      <c r="L363">
        <f t="shared" si="60"/>
        <v>18.566790123456791</v>
      </c>
      <c r="M363">
        <f t="shared" si="61"/>
        <v>0.79042538913580251</v>
      </c>
      <c r="N363" s="9"/>
      <c r="O363" s="21">
        <v>1.6775500000000001</v>
      </c>
      <c r="P363" s="21">
        <v>12.492900000000001</v>
      </c>
      <c r="Q363" s="21">
        <v>-1.09894E-2</v>
      </c>
      <c r="R363" s="21">
        <v>353</v>
      </c>
      <c r="S363" s="21">
        <v>1.6766399999999999</v>
      </c>
      <c r="T363">
        <f t="shared" si="62"/>
        <v>13.56716049382716</v>
      </c>
      <c r="U363">
        <f t="shared" si="63"/>
        <v>22.759590086419752</v>
      </c>
      <c r="X363" s="9"/>
      <c r="Y363" s="21">
        <v>4.2571999999999999E-2</v>
      </c>
      <c r="Z363" s="21">
        <v>18.0486</v>
      </c>
      <c r="AA363" s="21">
        <v>-1.51062E-2</v>
      </c>
      <c r="AB363" s="21">
        <v>353</v>
      </c>
      <c r="AC363" s="21">
        <v>4.2425499999999998E-2</v>
      </c>
      <c r="AD363">
        <f t="shared" si="64"/>
        <v>18.649629629629626</v>
      </c>
      <c r="AE363">
        <f t="shared" si="65"/>
        <v>0.79395203259259239</v>
      </c>
      <c r="AF363" s="9"/>
      <c r="AG363" s="21">
        <v>1.6775500000000001</v>
      </c>
      <c r="AH363" s="21">
        <v>21.908100000000001</v>
      </c>
      <c r="AI363" s="21">
        <v>-1.11267E-2</v>
      </c>
      <c r="AJ363" s="21">
        <v>353</v>
      </c>
      <c r="AK363" s="21">
        <v>1.6772499999999999</v>
      </c>
      <c r="AL363">
        <f t="shared" si="66"/>
        <v>13.736666666666666</v>
      </c>
      <c r="AM363">
        <f t="shared" si="67"/>
        <v>23.043945166666667</v>
      </c>
      <c r="AP363" s="9"/>
      <c r="AQ363" s="21">
        <v>4.2571999999999999E-2</v>
      </c>
      <c r="AR363" s="21">
        <v>27.4328</v>
      </c>
      <c r="AS363" s="21">
        <v>-1.50391E-2</v>
      </c>
      <c r="AT363" s="21">
        <v>353</v>
      </c>
      <c r="AU363" s="21">
        <v>4.2511E-2</v>
      </c>
      <c r="AV363">
        <f t="shared" si="68"/>
        <v>18.566790123456791</v>
      </c>
      <c r="AW363">
        <f t="shared" si="69"/>
        <v>0.79042538913580251</v>
      </c>
      <c r="AX363" s="9"/>
      <c r="AY363" s="21">
        <v>1.6775500000000001</v>
      </c>
      <c r="AZ363" s="21">
        <v>31.292300000000001</v>
      </c>
      <c r="BA363" s="21">
        <v>-1.10168E-2</v>
      </c>
      <c r="BB363" s="21">
        <v>353</v>
      </c>
      <c r="BC363" s="21">
        <v>1.6766399999999999</v>
      </c>
      <c r="BD363">
        <f t="shared" si="70"/>
        <v>13.600987654320987</v>
      </c>
      <c r="BE363">
        <f t="shared" si="71"/>
        <v>22.816336839506171</v>
      </c>
    </row>
    <row r="364" spans="6:57" x14ac:dyDescent="0.25">
      <c r="F364" s="9"/>
      <c r="G364" s="21">
        <v>3.7536600000000003E-2</v>
      </c>
      <c r="H364" s="21">
        <v>8.6434599999999993</v>
      </c>
      <c r="I364" s="21">
        <v>-1.50391E-2</v>
      </c>
      <c r="J364" s="21">
        <v>354</v>
      </c>
      <c r="K364" s="21">
        <v>3.74115E-2</v>
      </c>
      <c r="L364">
        <f t="shared" si="60"/>
        <v>18.566790123456791</v>
      </c>
      <c r="M364">
        <f t="shared" si="61"/>
        <v>0.69693417414814818</v>
      </c>
      <c r="N364" s="9"/>
      <c r="O364" s="21">
        <v>1.68259</v>
      </c>
      <c r="P364" s="21">
        <v>12.5029</v>
      </c>
      <c r="Q364" s="21">
        <v>-1.0803200000000001E-2</v>
      </c>
      <c r="R364" s="21">
        <v>354</v>
      </c>
      <c r="S364" s="21">
        <v>1.6818200000000001</v>
      </c>
      <c r="T364">
        <f t="shared" si="62"/>
        <v>13.337283950617284</v>
      </c>
      <c r="U364">
        <f t="shared" si="63"/>
        <v>22.441180602469135</v>
      </c>
      <c r="X364" s="9"/>
      <c r="Y364" s="21">
        <v>3.7536600000000003E-2</v>
      </c>
      <c r="Z364" s="21">
        <v>18.058700000000002</v>
      </c>
      <c r="AA364" s="21">
        <v>-1.51001E-2</v>
      </c>
      <c r="AB364" s="21">
        <v>354</v>
      </c>
      <c r="AC364" s="21">
        <v>3.7466399999999997E-2</v>
      </c>
      <c r="AD364">
        <f t="shared" si="64"/>
        <v>18.642098765432099</v>
      </c>
      <c r="AE364">
        <f t="shared" si="65"/>
        <v>0.69976100451851864</v>
      </c>
      <c r="AF364" s="9"/>
      <c r="AG364" s="21">
        <v>1.68259</v>
      </c>
      <c r="AH364" s="21">
        <v>21.918099999999999</v>
      </c>
      <c r="AI364" s="21">
        <v>-1.09528E-2</v>
      </c>
      <c r="AJ364" s="21">
        <v>354</v>
      </c>
      <c r="AK364" s="21">
        <v>1.6815199999999999</v>
      </c>
      <c r="AL364">
        <f t="shared" si="66"/>
        <v>13.521975308641975</v>
      </c>
      <c r="AM364">
        <f t="shared" si="67"/>
        <v>22.751940434567903</v>
      </c>
      <c r="AP364" s="9"/>
      <c r="AQ364" s="21">
        <v>3.7536600000000003E-2</v>
      </c>
      <c r="AR364" s="21">
        <v>27.442900000000002</v>
      </c>
      <c r="AS364" s="21">
        <v>-1.50452E-2</v>
      </c>
      <c r="AT364" s="21">
        <v>354</v>
      </c>
      <c r="AU364" s="21">
        <v>3.7426800000000003E-2</v>
      </c>
      <c r="AV364">
        <f t="shared" si="68"/>
        <v>18.574320987654321</v>
      </c>
      <c r="AW364">
        <f t="shared" si="69"/>
        <v>0.69721685718518522</v>
      </c>
      <c r="AX364" s="9"/>
      <c r="AY364" s="21">
        <v>1.68259</v>
      </c>
      <c r="AZ364" s="21">
        <v>31.302399999999999</v>
      </c>
      <c r="BA364" s="21">
        <v>-1.0848999999999999E-2</v>
      </c>
      <c r="BB364" s="21">
        <v>354</v>
      </c>
      <c r="BC364" s="21">
        <v>1.6824300000000001</v>
      </c>
      <c r="BD364">
        <f t="shared" si="70"/>
        <v>13.393827160493826</v>
      </c>
      <c r="BE364">
        <f t="shared" si="71"/>
        <v>22.536319641975307</v>
      </c>
    </row>
    <row r="365" spans="6:57" x14ac:dyDescent="0.25">
      <c r="F365" s="9"/>
      <c r="G365" s="21">
        <v>3.2501200000000001E-2</v>
      </c>
      <c r="H365" s="21">
        <v>8.6535299999999999</v>
      </c>
      <c r="I365" s="21">
        <v>-1.5029900000000001E-2</v>
      </c>
      <c r="J365" s="21">
        <v>355</v>
      </c>
      <c r="K365" s="21">
        <v>3.2372999999999999E-2</v>
      </c>
      <c r="L365">
        <f t="shared" si="60"/>
        <v>18.555432098765429</v>
      </c>
      <c r="M365">
        <f t="shared" si="61"/>
        <v>0.60307380972839497</v>
      </c>
      <c r="N365" s="9"/>
      <c r="O365" s="21">
        <v>1.6876199999999999</v>
      </c>
      <c r="P365" s="21">
        <v>12.513</v>
      </c>
      <c r="Q365" s="21">
        <v>-1.0626200000000001E-2</v>
      </c>
      <c r="R365" s="21">
        <v>355</v>
      </c>
      <c r="S365" s="21">
        <v>1.6870099999999999</v>
      </c>
      <c r="T365">
        <f t="shared" si="62"/>
        <v>13.118765432098765</v>
      </c>
      <c r="U365">
        <f t="shared" si="63"/>
        <v>22.139490918518518</v>
      </c>
      <c r="X365" s="9"/>
      <c r="Y365" s="21">
        <v>3.2501200000000001E-2</v>
      </c>
      <c r="Z365" s="21">
        <v>18.0687</v>
      </c>
      <c r="AA365" s="21">
        <v>-1.5094E-2</v>
      </c>
      <c r="AB365" s="21">
        <v>355</v>
      </c>
      <c r="AC365" s="21">
        <v>3.2516499999999997E-2</v>
      </c>
      <c r="AD365">
        <f t="shared" si="64"/>
        <v>18.634567901234568</v>
      </c>
      <c r="AE365">
        <f t="shared" si="65"/>
        <v>0.60564581827160502</v>
      </c>
      <c r="AF365" s="9"/>
      <c r="AG365" s="21">
        <v>1.6876199999999999</v>
      </c>
      <c r="AH365" s="21">
        <v>21.9282</v>
      </c>
      <c r="AI365" s="21">
        <v>-1.07788E-2</v>
      </c>
      <c r="AJ365" s="21">
        <v>355</v>
      </c>
      <c r="AK365" s="21">
        <v>1.6870099999999999</v>
      </c>
      <c r="AL365">
        <f t="shared" si="66"/>
        <v>13.30716049382716</v>
      </c>
      <c r="AM365">
        <f t="shared" si="67"/>
        <v>22.457430192592589</v>
      </c>
      <c r="AP365" s="9"/>
      <c r="AQ365" s="21">
        <v>3.2501200000000001E-2</v>
      </c>
      <c r="AR365" s="21">
        <v>27.452999999999999</v>
      </c>
      <c r="AS365" s="21">
        <v>-1.50574E-2</v>
      </c>
      <c r="AT365" s="21">
        <v>355</v>
      </c>
      <c r="AU365" s="21">
        <v>3.2366899999999997E-2</v>
      </c>
      <c r="AV365">
        <f t="shared" si="68"/>
        <v>18.589382716049382</v>
      </c>
      <c r="AW365">
        <f t="shared" si="69"/>
        <v>0.60417724553086416</v>
      </c>
      <c r="AX365" s="9"/>
      <c r="AY365" s="21">
        <v>1.6876199999999999</v>
      </c>
      <c r="AZ365" s="21">
        <v>31.3124</v>
      </c>
      <c r="BA365" s="21">
        <v>-1.0665900000000001E-2</v>
      </c>
      <c r="BB365" s="21">
        <v>355</v>
      </c>
      <c r="BC365" s="21">
        <v>1.6870099999999999</v>
      </c>
      <c r="BD365">
        <f t="shared" si="70"/>
        <v>13.167777777777779</v>
      </c>
      <c r="BE365">
        <f t="shared" si="71"/>
        <v>22.222205133333333</v>
      </c>
    </row>
    <row r="366" spans="6:57" x14ac:dyDescent="0.25">
      <c r="F366" s="9"/>
      <c r="G366" s="21">
        <v>2.7465799999999999E-2</v>
      </c>
      <c r="H366" s="21">
        <v>8.6636000000000006</v>
      </c>
      <c r="I366" s="21">
        <v>-1.5020800000000001E-2</v>
      </c>
      <c r="J366" s="21">
        <v>356</v>
      </c>
      <c r="K366" s="21">
        <v>2.7300999999999999E-2</v>
      </c>
      <c r="L366">
        <f t="shared" si="60"/>
        <v>18.544197530864199</v>
      </c>
      <c r="M366">
        <f t="shared" si="61"/>
        <v>0.50933122054320989</v>
      </c>
      <c r="N366" s="9"/>
      <c r="O366" s="21">
        <v>1.6926600000000001</v>
      </c>
      <c r="P366" s="21">
        <v>12.523099999999999</v>
      </c>
      <c r="Q366" s="21">
        <v>-1.0418699999999999E-2</v>
      </c>
      <c r="R366" s="21">
        <v>356</v>
      </c>
      <c r="S366" s="21">
        <v>1.6921999999999999</v>
      </c>
      <c r="T366">
        <f t="shared" si="62"/>
        <v>12.862592592592591</v>
      </c>
      <c r="U366">
        <f t="shared" si="63"/>
        <v>21.771995977777777</v>
      </c>
      <c r="X366" s="9"/>
      <c r="Y366" s="21">
        <v>2.7465799999999999E-2</v>
      </c>
      <c r="Z366" s="21">
        <v>18.078800000000001</v>
      </c>
      <c r="AA366" s="21">
        <v>-1.5084800000000001E-2</v>
      </c>
      <c r="AB366" s="21">
        <v>356</v>
      </c>
      <c r="AC366" s="21">
        <v>2.74078E-2</v>
      </c>
      <c r="AD366">
        <f t="shared" si="64"/>
        <v>18.623209876543207</v>
      </c>
      <c r="AE366">
        <f t="shared" si="65"/>
        <v>0.51150135782716044</v>
      </c>
      <c r="AF366" s="9"/>
      <c r="AG366" s="21">
        <v>1.6926600000000001</v>
      </c>
      <c r="AH366" s="21">
        <v>21.938300000000002</v>
      </c>
      <c r="AI366" s="21">
        <v>-1.05865E-2</v>
      </c>
      <c r="AJ366" s="21">
        <v>356</v>
      </c>
      <c r="AK366" s="21">
        <v>1.6921999999999999</v>
      </c>
      <c r="AL366">
        <f t="shared" si="66"/>
        <v>13.069753086419754</v>
      </c>
      <c r="AM366">
        <f t="shared" si="67"/>
        <v>22.122648259259261</v>
      </c>
      <c r="AP366" s="9"/>
      <c r="AQ366" s="21">
        <v>2.7465799999999999E-2</v>
      </c>
      <c r="AR366" s="21">
        <v>27.463000000000001</v>
      </c>
      <c r="AS366" s="21">
        <v>-1.50665E-2</v>
      </c>
      <c r="AT366" s="21">
        <v>356</v>
      </c>
      <c r="AU366" s="21">
        <v>2.7313199999999999E-2</v>
      </c>
      <c r="AV366">
        <f t="shared" si="68"/>
        <v>18.600617283950616</v>
      </c>
      <c r="AW366">
        <f t="shared" si="69"/>
        <v>0.51088083419753083</v>
      </c>
      <c r="AX366" s="9"/>
      <c r="AY366" s="21">
        <v>1.6926600000000001</v>
      </c>
      <c r="AZ366" s="21">
        <v>31.322500000000002</v>
      </c>
      <c r="BA366" s="21">
        <v>-1.0467499999999999E-2</v>
      </c>
      <c r="BB366" s="21">
        <v>356</v>
      </c>
      <c r="BC366" s="21">
        <v>1.6921999999999999</v>
      </c>
      <c r="BD366">
        <f t="shared" si="70"/>
        <v>12.922839506172838</v>
      </c>
      <c r="BE366">
        <f t="shared" si="71"/>
        <v>21.873973518518518</v>
      </c>
    </row>
    <row r="367" spans="6:57" x14ac:dyDescent="0.25">
      <c r="F367" s="9"/>
      <c r="G367" s="21">
        <v>2.24304E-2</v>
      </c>
      <c r="H367" s="21">
        <v>8.6736699999999995</v>
      </c>
      <c r="I367" s="21">
        <v>-1.50055E-2</v>
      </c>
      <c r="J367" s="21">
        <v>357</v>
      </c>
      <c r="K367" s="21">
        <v>2.2287000000000001E-2</v>
      </c>
      <c r="L367">
        <f t="shared" si="60"/>
        <v>18.525308641975307</v>
      </c>
      <c r="M367">
        <f t="shared" si="61"/>
        <v>0.41553008296296295</v>
      </c>
      <c r="N367" s="9"/>
      <c r="O367" s="21">
        <v>1.6976899999999999</v>
      </c>
      <c r="P367" s="21">
        <v>12.533099999999999</v>
      </c>
      <c r="Q367" s="21">
        <v>-1.02112E-2</v>
      </c>
      <c r="R367" s="21">
        <v>357</v>
      </c>
      <c r="S367" s="21">
        <v>1.6970799999999999</v>
      </c>
      <c r="T367">
        <f t="shared" si="62"/>
        <v>12.606419753086419</v>
      </c>
      <c r="U367">
        <f t="shared" si="63"/>
        <v>21.401792750617282</v>
      </c>
      <c r="X367" s="9"/>
      <c r="Y367" s="21">
        <v>2.24304E-2</v>
      </c>
      <c r="Z367" s="21">
        <v>18.088899999999999</v>
      </c>
      <c r="AA367" s="21">
        <v>-1.5081799999999999E-2</v>
      </c>
      <c r="AB367" s="21">
        <v>357</v>
      </c>
      <c r="AC367" s="21">
        <v>2.2283899999999999E-2</v>
      </c>
      <c r="AD367">
        <f t="shared" si="64"/>
        <v>18.619506172839504</v>
      </c>
      <c r="AE367">
        <f t="shared" si="65"/>
        <v>0.4176429712592592</v>
      </c>
      <c r="AF367" s="9"/>
      <c r="AG367" s="21">
        <v>1.6976899999999999</v>
      </c>
      <c r="AH367" s="21">
        <v>21.948399999999999</v>
      </c>
      <c r="AI367" s="21">
        <v>-1.0378999999999999E-2</v>
      </c>
      <c r="AJ367" s="21">
        <v>357</v>
      </c>
      <c r="AK367" s="21">
        <v>1.69739</v>
      </c>
      <c r="AL367">
        <f t="shared" si="66"/>
        <v>12.813580246913578</v>
      </c>
      <c r="AM367">
        <f t="shared" si="67"/>
        <v>21.753487049382709</v>
      </c>
      <c r="AP367" s="9"/>
      <c r="AQ367" s="21">
        <v>2.24304E-2</v>
      </c>
      <c r="AR367" s="21">
        <v>27.473099999999999</v>
      </c>
      <c r="AS367" s="21">
        <v>-1.50726E-2</v>
      </c>
      <c r="AT367" s="21">
        <v>357</v>
      </c>
      <c r="AU367" s="21">
        <v>2.2219800000000001E-2</v>
      </c>
      <c r="AV367">
        <f t="shared" si="68"/>
        <v>18.60814814814815</v>
      </c>
      <c r="AW367">
        <f t="shared" si="69"/>
        <v>0.41738820622222222</v>
      </c>
      <c r="AX367" s="9"/>
      <c r="AY367" s="21">
        <v>1.6976899999999999</v>
      </c>
      <c r="AZ367" s="21">
        <v>31.332599999999999</v>
      </c>
      <c r="BA367" s="21">
        <v>-1.026E-2</v>
      </c>
      <c r="BB367" s="21">
        <v>357</v>
      </c>
      <c r="BC367" s="21">
        <v>1.69678</v>
      </c>
      <c r="BD367">
        <f t="shared" si="70"/>
        <v>12.666666666666666</v>
      </c>
      <c r="BE367">
        <f t="shared" si="71"/>
        <v>21.504073333333331</v>
      </c>
    </row>
    <row r="368" spans="6:57" x14ac:dyDescent="0.25">
      <c r="F368" s="9"/>
      <c r="G368" s="21">
        <v>1.7395000000000001E-2</v>
      </c>
      <c r="H368" s="21">
        <v>8.6837400000000002</v>
      </c>
      <c r="I368" s="21">
        <v>-1.50055E-2</v>
      </c>
      <c r="J368" s="21">
        <v>358</v>
      </c>
      <c r="K368" s="21">
        <v>1.7218000000000001E-2</v>
      </c>
      <c r="L368">
        <f t="shared" si="60"/>
        <v>18.525308641975307</v>
      </c>
      <c r="M368">
        <f t="shared" si="61"/>
        <v>0.32224774382716048</v>
      </c>
      <c r="N368" s="9"/>
      <c r="O368" s="21">
        <v>1.7027300000000001</v>
      </c>
      <c r="P368" s="21">
        <v>12.543200000000001</v>
      </c>
      <c r="Q368" s="21">
        <v>-9.9761999999999993E-3</v>
      </c>
      <c r="R368" s="21">
        <v>358</v>
      </c>
      <c r="S368" s="21">
        <v>1.70166</v>
      </c>
      <c r="T368">
        <f t="shared" si="62"/>
        <v>12.316296296296294</v>
      </c>
      <c r="U368">
        <f t="shared" si="63"/>
        <v>20.971327192592589</v>
      </c>
      <c r="X368" s="9"/>
      <c r="Y368" s="21">
        <v>1.7395000000000001E-2</v>
      </c>
      <c r="Z368" s="21">
        <v>18.099</v>
      </c>
      <c r="AA368" s="21">
        <v>-1.5081799999999999E-2</v>
      </c>
      <c r="AB368" s="21">
        <v>358</v>
      </c>
      <c r="AC368" s="21">
        <v>1.7257700000000001E-2</v>
      </c>
      <c r="AD368">
        <f t="shared" si="64"/>
        <v>18.619506172839504</v>
      </c>
      <c r="AE368">
        <f t="shared" si="65"/>
        <v>0.32388630987654321</v>
      </c>
      <c r="AF368" s="9"/>
      <c r="AG368" s="21">
        <v>1.7027300000000001</v>
      </c>
      <c r="AH368" s="21">
        <v>21.958400000000001</v>
      </c>
      <c r="AI368" s="21">
        <v>-1.01593E-2</v>
      </c>
      <c r="AJ368" s="21">
        <v>358</v>
      </c>
      <c r="AK368" s="21">
        <v>1.70166</v>
      </c>
      <c r="AL368">
        <f t="shared" si="66"/>
        <v>12.542345679012344</v>
      </c>
      <c r="AM368">
        <f t="shared" si="67"/>
        <v>21.356228258024689</v>
      </c>
      <c r="AP368" s="9"/>
      <c r="AQ368" s="21">
        <v>1.7395000000000001E-2</v>
      </c>
      <c r="AR368" s="21">
        <v>27.4832</v>
      </c>
      <c r="AS368" s="21">
        <v>-1.5075699999999999E-2</v>
      </c>
      <c r="AT368" s="21">
        <v>358</v>
      </c>
      <c r="AU368" s="21">
        <v>1.7218000000000001E-2</v>
      </c>
      <c r="AV368">
        <f t="shared" si="68"/>
        <v>18.611975308641973</v>
      </c>
      <c r="AW368">
        <f t="shared" si="69"/>
        <v>0.32375531049382716</v>
      </c>
      <c r="AX368" s="9"/>
      <c r="AY368" s="21">
        <v>1.7027300000000001</v>
      </c>
      <c r="AZ368" s="21">
        <v>31.342700000000001</v>
      </c>
      <c r="BA368" s="21">
        <v>-1.0031099999999999E-2</v>
      </c>
      <c r="BB368" s="21">
        <v>358</v>
      </c>
      <c r="BC368" s="21">
        <v>1.70197</v>
      </c>
      <c r="BD368">
        <f t="shared" si="70"/>
        <v>12.384074074074071</v>
      </c>
      <c r="BE368">
        <f t="shared" si="71"/>
        <v>21.086734448148146</v>
      </c>
    </row>
    <row r="369" spans="6:57" x14ac:dyDescent="0.25">
      <c r="F369" s="9"/>
      <c r="G369" s="21">
        <v>1.23596E-2</v>
      </c>
      <c r="H369" s="21">
        <v>8.6938099999999991</v>
      </c>
      <c r="I369" s="21">
        <v>-1.50116E-2</v>
      </c>
      <c r="J369" s="21">
        <v>359</v>
      </c>
      <c r="K369" s="21">
        <v>1.22253E-2</v>
      </c>
      <c r="L369">
        <f t="shared" si="60"/>
        <v>18.532839506172838</v>
      </c>
      <c r="M369">
        <f t="shared" si="61"/>
        <v>0.22905848316049382</v>
      </c>
      <c r="N369" s="9"/>
      <c r="O369" s="21">
        <v>1.7077599999999999</v>
      </c>
      <c r="P369" s="21">
        <v>12.5533</v>
      </c>
      <c r="Q369" s="21">
        <v>-9.7320600000000007E-3</v>
      </c>
      <c r="R369" s="21">
        <v>359</v>
      </c>
      <c r="S369" s="21">
        <v>1.70685</v>
      </c>
      <c r="T369">
        <f t="shared" si="62"/>
        <v>12.014888888888889</v>
      </c>
      <c r="U369">
        <f t="shared" si="63"/>
        <v>20.518546648888886</v>
      </c>
      <c r="X369" s="9"/>
      <c r="Y369" s="21">
        <v>1.23596E-2</v>
      </c>
      <c r="Z369" s="21">
        <v>18.109000000000002</v>
      </c>
      <c r="AA369" s="21">
        <v>-1.5084800000000001E-2</v>
      </c>
      <c r="AB369" s="21">
        <v>359</v>
      </c>
      <c r="AC369" s="21">
        <v>1.2234500000000001E-2</v>
      </c>
      <c r="AD369">
        <f t="shared" si="64"/>
        <v>18.623209876543207</v>
      </c>
      <c r="AE369">
        <f t="shared" si="65"/>
        <v>0.23017542479012343</v>
      </c>
      <c r="AF369" s="9"/>
      <c r="AG369" s="21">
        <v>1.7077599999999999</v>
      </c>
      <c r="AH369" s="21">
        <v>21.968499999999999</v>
      </c>
      <c r="AI369" s="21">
        <v>-9.9212599999999995E-3</v>
      </c>
      <c r="AJ369" s="21">
        <v>359</v>
      </c>
      <c r="AK369" s="21">
        <v>1.70685</v>
      </c>
      <c r="AL369">
        <f t="shared" si="66"/>
        <v>12.248469135802468</v>
      </c>
      <c r="AM369">
        <f t="shared" si="67"/>
        <v>20.917445651358022</v>
      </c>
      <c r="AP369" s="9"/>
      <c r="AQ369" s="21">
        <v>1.23596E-2</v>
      </c>
      <c r="AR369" s="21">
        <v>27.493300000000001</v>
      </c>
      <c r="AS369" s="21">
        <v>-1.5069600000000001E-2</v>
      </c>
      <c r="AT369" s="21">
        <v>359</v>
      </c>
      <c r="AU369" s="21">
        <v>1.22437E-2</v>
      </c>
      <c r="AV369">
        <f t="shared" si="68"/>
        <v>18.604444444444443</v>
      </c>
      <c r="AW369">
        <f t="shared" si="69"/>
        <v>0.22994349155555555</v>
      </c>
      <c r="AX369" s="9"/>
      <c r="AY369" s="21">
        <v>1.7077599999999999</v>
      </c>
      <c r="AZ369" s="21">
        <v>31.352699999999999</v>
      </c>
      <c r="BA369" s="21">
        <v>-9.7839399999999997E-3</v>
      </c>
      <c r="BB369" s="21">
        <v>359</v>
      </c>
      <c r="BC369" s="21">
        <v>1.70685</v>
      </c>
      <c r="BD369">
        <f t="shared" si="70"/>
        <v>12.078938271604937</v>
      </c>
      <c r="BE369">
        <f t="shared" si="71"/>
        <v>20.627927622716047</v>
      </c>
    </row>
    <row r="370" spans="6:57" x14ac:dyDescent="0.25">
      <c r="F370" s="9"/>
      <c r="G370" s="21">
        <v>7.3242200000000002E-3</v>
      </c>
      <c r="H370" s="21">
        <v>8.7038799999999998</v>
      </c>
      <c r="I370" s="21">
        <v>-1.5020800000000001E-2</v>
      </c>
      <c r="J370" s="21">
        <v>360</v>
      </c>
      <c r="K370" s="21">
        <v>7.1380599999999999E-3</v>
      </c>
      <c r="L370">
        <f t="shared" si="60"/>
        <v>18.544197530864199</v>
      </c>
      <c r="M370">
        <f t="shared" si="61"/>
        <v>0.13582178243950618</v>
      </c>
      <c r="N370" s="9"/>
      <c r="O370" s="21">
        <v>1.7128000000000001</v>
      </c>
      <c r="P370" s="21">
        <v>12.5634</v>
      </c>
      <c r="Q370" s="21">
        <v>-9.4604500000000005E-3</v>
      </c>
      <c r="R370" s="21">
        <v>360</v>
      </c>
      <c r="S370" s="21">
        <v>1.71234</v>
      </c>
      <c r="T370">
        <f t="shared" si="62"/>
        <v>11.679567901234568</v>
      </c>
      <c r="U370">
        <f t="shared" si="63"/>
        <v>20.004763901234568</v>
      </c>
      <c r="X370" s="9"/>
      <c r="Y370" s="21">
        <v>7.3242200000000002E-3</v>
      </c>
      <c r="Z370" s="21">
        <v>18.1191</v>
      </c>
      <c r="AA370" s="21">
        <v>-1.50787E-2</v>
      </c>
      <c r="AB370" s="21">
        <v>360</v>
      </c>
      <c r="AC370" s="21">
        <v>7.0282000000000001E-3</v>
      </c>
      <c r="AD370">
        <f t="shared" si="64"/>
        <v>18.61567901234568</v>
      </c>
      <c r="AE370">
        <f t="shared" si="65"/>
        <v>0.13634532853580247</v>
      </c>
      <c r="AF370" s="9"/>
      <c r="AG370" s="21">
        <v>1.7128000000000001</v>
      </c>
      <c r="AH370" s="21">
        <v>21.9786</v>
      </c>
      <c r="AI370" s="21">
        <v>-9.6710200000000007E-3</v>
      </c>
      <c r="AJ370" s="21">
        <v>360</v>
      </c>
      <c r="AK370" s="21">
        <v>1.71173</v>
      </c>
      <c r="AL370">
        <f t="shared" si="66"/>
        <v>11.939530864197531</v>
      </c>
      <c r="AM370">
        <f t="shared" si="67"/>
        <v>20.450028464197533</v>
      </c>
      <c r="AP370" s="9"/>
      <c r="AQ370" s="21">
        <v>7.3242200000000002E-3</v>
      </c>
      <c r="AR370" s="21">
        <v>27.503299999999999</v>
      </c>
      <c r="AS370" s="21">
        <v>-1.50665E-2</v>
      </c>
      <c r="AT370" s="21">
        <v>360</v>
      </c>
      <c r="AU370" s="21">
        <v>7.1228000000000003E-3</v>
      </c>
      <c r="AV370">
        <f t="shared" si="68"/>
        <v>18.600617283950616</v>
      </c>
      <c r="AW370">
        <f t="shared" si="69"/>
        <v>0.13623501312345679</v>
      </c>
      <c r="AX370" s="9"/>
      <c r="AY370" s="21">
        <v>1.7128000000000001</v>
      </c>
      <c r="AZ370" s="21">
        <v>31.3628</v>
      </c>
      <c r="BA370" s="21">
        <v>-9.5275900000000007E-3</v>
      </c>
      <c r="BB370" s="21">
        <v>360</v>
      </c>
      <c r="BC370" s="21">
        <v>1.71204</v>
      </c>
      <c r="BD370">
        <f t="shared" si="70"/>
        <v>11.762456790123457</v>
      </c>
      <c r="BE370">
        <f t="shared" si="71"/>
        <v>20.146735990123457</v>
      </c>
    </row>
    <row r="371" spans="6:57" x14ac:dyDescent="0.25">
      <c r="F371" s="9"/>
      <c r="G371" s="21">
        <v>2.28882E-3</v>
      </c>
      <c r="H371" s="21">
        <v>8.7139500000000005</v>
      </c>
      <c r="I371" s="21">
        <v>-1.5020800000000001E-2</v>
      </c>
      <c r="J371" s="21">
        <v>361</v>
      </c>
      <c r="K371" s="21">
        <v>2.1118199999999999E-3</v>
      </c>
      <c r="L371">
        <f t="shared" si="60"/>
        <v>18.544197530864199</v>
      </c>
      <c r="M371">
        <f t="shared" si="61"/>
        <v>4.2444330192592597E-2</v>
      </c>
      <c r="N371" s="9"/>
      <c r="O371" s="21">
        <v>1.71783</v>
      </c>
      <c r="P371" s="21">
        <v>12.573399999999999</v>
      </c>
      <c r="Q371" s="21">
        <v>-9.1857899999999992E-3</v>
      </c>
      <c r="R371" s="21">
        <v>361</v>
      </c>
      <c r="S371" s="21">
        <v>1.71692</v>
      </c>
      <c r="T371">
        <f t="shared" si="62"/>
        <v>11.340481481481479</v>
      </c>
      <c r="U371">
        <f t="shared" si="63"/>
        <v>19.48101930333333</v>
      </c>
      <c r="X371" s="9"/>
      <c r="Y371" s="21">
        <v>2.28882E-3</v>
      </c>
      <c r="Z371" s="21">
        <v>18.129200000000001</v>
      </c>
      <c r="AA371" s="21">
        <v>-1.50726E-2</v>
      </c>
      <c r="AB371" s="21">
        <v>361</v>
      </c>
      <c r="AC371" s="21">
        <v>2.1209699999999998E-3</v>
      </c>
      <c r="AD371">
        <f t="shared" si="64"/>
        <v>18.60814814814815</v>
      </c>
      <c r="AE371">
        <f t="shared" si="65"/>
        <v>4.2590701644444451E-2</v>
      </c>
      <c r="AF371" s="9"/>
      <c r="AG371" s="21">
        <v>1.71783</v>
      </c>
      <c r="AH371" s="21">
        <v>21.988600000000002</v>
      </c>
      <c r="AI371" s="21">
        <v>-9.3933100000000002E-3</v>
      </c>
      <c r="AJ371" s="21">
        <v>361</v>
      </c>
      <c r="AK371" s="21">
        <v>1.71722</v>
      </c>
      <c r="AL371">
        <f t="shared" si="66"/>
        <v>11.596679012345678</v>
      </c>
      <c r="AM371">
        <f t="shared" si="67"/>
        <v>19.921123107777778</v>
      </c>
      <c r="AP371" s="9"/>
      <c r="AQ371" s="21">
        <v>2.28882E-3</v>
      </c>
      <c r="AR371" s="21">
        <v>27.513400000000001</v>
      </c>
      <c r="AS371" s="21">
        <v>-1.50665E-2</v>
      </c>
      <c r="AT371" s="21">
        <v>361</v>
      </c>
      <c r="AU371" s="21">
        <v>2.20032E-3</v>
      </c>
      <c r="AV371">
        <f t="shared" si="68"/>
        <v>18.600617283950616</v>
      </c>
      <c r="AW371">
        <f t="shared" si="69"/>
        <v>4.2573464851851851E-2</v>
      </c>
      <c r="AX371" s="9"/>
      <c r="AY371" s="21">
        <v>1.71783</v>
      </c>
      <c r="AZ371" s="21">
        <v>31.372900000000001</v>
      </c>
      <c r="BA371" s="21">
        <v>-9.2620800000000007E-3</v>
      </c>
      <c r="BB371" s="21">
        <v>361</v>
      </c>
      <c r="BC371" s="21">
        <v>1.71722</v>
      </c>
      <c r="BD371">
        <f t="shared" si="70"/>
        <v>11.434666666666667</v>
      </c>
      <c r="BE371">
        <f t="shared" si="71"/>
        <v>19.642813440000001</v>
      </c>
    </row>
    <row r="372" spans="6:57" x14ac:dyDescent="0.25">
      <c r="F372" s="9"/>
      <c r="G372" s="21">
        <v>-2.7465800000000002E-3</v>
      </c>
      <c r="H372" s="21">
        <v>8.7240199999999994</v>
      </c>
      <c r="I372" s="21">
        <v>-1.50238E-2</v>
      </c>
      <c r="J372" s="21">
        <v>362</v>
      </c>
      <c r="K372" s="21">
        <v>-2.96021E-3</v>
      </c>
      <c r="L372">
        <f t="shared" si="60"/>
        <v>18.547901234567902</v>
      </c>
      <c r="M372">
        <f t="shared" si="61"/>
        <v>-5.0943294572839512E-2</v>
      </c>
      <c r="N372" s="9"/>
      <c r="O372" s="21">
        <v>1.7228699999999999</v>
      </c>
      <c r="P372" s="21">
        <v>12.583500000000001</v>
      </c>
      <c r="Q372" s="21">
        <v>-8.8775599999999996E-3</v>
      </c>
      <c r="R372" s="21">
        <v>362</v>
      </c>
      <c r="S372" s="21">
        <v>1.7218</v>
      </c>
      <c r="T372">
        <f t="shared" si="62"/>
        <v>10.959950617283949</v>
      </c>
      <c r="U372">
        <f t="shared" si="63"/>
        <v>18.882570119999997</v>
      </c>
      <c r="X372" s="9"/>
      <c r="Y372" s="21">
        <v>-2.7465800000000002E-3</v>
      </c>
      <c r="Z372" s="21">
        <v>18.139199999999999</v>
      </c>
      <c r="AA372" s="21">
        <v>-1.5069600000000001E-2</v>
      </c>
      <c r="AB372" s="21">
        <v>362</v>
      </c>
      <c r="AC372" s="21">
        <v>-2.98767E-3</v>
      </c>
      <c r="AD372">
        <f t="shared" si="64"/>
        <v>18.604444444444443</v>
      </c>
      <c r="AE372">
        <f t="shared" si="65"/>
        <v>-5.1098595022222221E-2</v>
      </c>
      <c r="AF372" s="9"/>
      <c r="AG372" s="21">
        <v>1.7228699999999999</v>
      </c>
      <c r="AH372" s="21">
        <v>21.998699999999999</v>
      </c>
      <c r="AI372" s="21">
        <v>-9.1064500000000003E-3</v>
      </c>
      <c r="AJ372" s="21">
        <v>362</v>
      </c>
      <c r="AK372" s="21">
        <v>1.72241</v>
      </c>
      <c r="AL372">
        <f t="shared" si="66"/>
        <v>11.24253086419753</v>
      </c>
      <c r="AM372">
        <f t="shared" si="67"/>
        <v>19.369419149999999</v>
      </c>
      <c r="AP372" s="9"/>
      <c r="AQ372" s="21">
        <v>-2.7465800000000002E-3</v>
      </c>
      <c r="AR372" s="21">
        <v>27.523499999999999</v>
      </c>
      <c r="AS372" s="21">
        <v>-1.5075699999999999E-2</v>
      </c>
      <c r="AT372" s="21">
        <v>362</v>
      </c>
      <c r="AU372" s="21">
        <v>-2.9388399999999999E-3</v>
      </c>
      <c r="AV372">
        <f t="shared" si="68"/>
        <v>18.611975308641973</v>
      </c>
      <c r="AW372">
        <f t="shared" si="69"/>
        <v>-5.1119279143209878E-2</v>
      </c>
      <c r="AX372" s="9"/>
      <c r="AY372" s="21">
        <v>1.7228699999999999</v>
      </c>
      <c r="AZ372" s="21">
        <v>31.382899999999999</v>
      </c>
      <c r="BA372" s="21">
        <v>-8.9691200000000006E-3</v>
      </c>
      <c r="BB372" s="21">
        <v>362</v>
      </c>
      <c r="BC372" s="21">
        <v>1.7218</v>
      </c>
      <c r="BD372">
        <f t="shared" si="70"/>
        <v>11.072987654320988</v>
      </c>
      <c r="BE372">
        <f t="shared" si="71"/>
        <v>19.07731824</v>
      </c>
    </row>
    <row r="373" spans="6:57" x14ac:dyDescent="0.25">
      <c r="F373" s="9"/>
      <c r="G373" s="21">
        <v>-7.78198E-3</v>
      </c>
      <c r="H373" s="21">
        <v>8.7340999999999998</v>
      </c>
      <c r="I373" s="21">
        <v>-1.50391E-2</v>
      </c>
      <c r="J373" s="21">
        <v>363</v>
      </c>
      <c r="K373" s="21">
        <v>-8.0322299999999996E-3</v>
      </c>
      <c r="L373">
        <f t="shared" si="60"/>
        <v>18.566790123456791</v>
      </c>
      <c r="M373">
        <f t="shared" si="61"/>
        <v>-0.14448638940493827</v>
      </c>
      <c r="N373" s="9"/>
      <c r="O373" s="21">
        <v>1.7279100000000001</v>
      </c>
      <c r="P373" s="21">
        <v>12.5936</v>
      </c>
      <c r="Q373" s="21">
        <v>-8.5784899999999994E-3</v>
      </c>
      <c r="R373" s="21">
        <v>363</v>
      </c>
      <c r="S373" s="21">
        <v>1.7276</v>
      </c>
      <c r="T373">
        <f t="shared" si="62"/>
        <v>10.590728395061728</v>
      </c>
      <c r="U373">
        <f t="shared" si="63"/>
        <v>18.299825501111112</v>
      </c>
      <c r="X373" s="9"/>
      <c r="Y373" s="21">
        <v>-7.78198E-3</v>
      </c>
      <c r="Z373" s="21">
        <v>18.1493</v>
      </c>
      <c r="AA373" s="21">
        <v>-1.50726E-2</v>
      </c>
      <c r="AB373" s="21">
        <v>363</v>
      </c>
      <c r="AC373" s="21">
        <v>-8.0291700000000004E-3</v>
      </c>
      <c r="AD373">
        <f t="shared" si="64"/>
        <v>18.60814814814815</v>
      </c>
      <c r="AE373">
        <f t="shared" si="65"/>
        <v>-0.14480823672592594</v>
      </c>
      <c r="AF373" s="9"/>
      <c r="AG373" s="21">
        <v>1.7279100000000001</v>
      </c>
      <c r="AH373" s="21">
        <v>22.008800000000001</v>
      </c>
      <c r="AI373" s="21">
        <v>-8.7982200000000007E-3</v>
      </c>
      <c r="AJ373" s="21">
        <v>363</v>
      </c>
      <c r="AK373" s="21">
        <v>1.72668</v>
      </c>
      <c r="AL373">
        <f t="shared" si="66"/>
        <v>10.862</v>
      </c>
      <c r="AM373">
        <f t="shared" si="67"/>
        <v>18.768558420000002</v>
      </c>
      <c r="AP373" s="9"/>
      <c r="AQ373" s="21">
        <v>-7.78198E-3</v>
      </c>
      <c r="AR373" s="21">
        <v>27.5335</v>
      </c>
      <c r="AS373" s="21">
        <v>-1.5075699999999999E-2</v>
      </c>
      <c r="AT373" s="21">
        <v>363</v>
      </c>
      <c r="AU373" s="21">
        <v>-8.01697E-3</v>
      </c>
      <c r="AV373">
        <f t="shared" si="68"/>
        <v>18.611975308641973</v>
      </c>
      <c r="AW373">
        <f t="shared" si="69"/>
        <v>-0.14483801961234566</v>
      </c>
      <c r="AX373" s="9"/>
      <c r="AY373" s="21">
        <v>1.7279100000000001</v>
      </c>
      <c r="AZ373" s="21">
        <v>31.393000000000001</v>
      </c>
      <c r="BA373" s="21">
        <v>-8.6486800000000006E-3</v>
      </c>
      <c r="BB373" s="21">
        <v>363</v>
      </c>
      <c r="BC373" s="21">
        <v>1.72699</v>
      </c>
      <c r="BD373">
        <f t="shared" si="70"/>
        <v>10.677382716049381</v>
      </c>
      <c r="BE373">
        <f t="shared" si="71"/>
        <v>18.449556368888889</v>
      </c>
    </row>
    <row r="374" spans="6:57" x14ac:dyDescent="0.25">
      <c r="F374" s="9"/>
      <c r="G374" s="21">
        <v>-1.28174E-2</v>
      </c>
      <c r="H374" s="21">
        <v>8.7441700000000004</v>
      </c>
      <c r="I374" s="21">
        <v>-1.50574E-2</v>
      </c>
      <c r="J374" s="21">
        <v>364</v>
      </c>
      <c r="K374" s="21">
        <v>-1.30341E-2</v>
      </c>
      <c r="L374">
        <f t="shared" si="60"/>
        <v>18.589382716049382</v>
      </c>
      <c r="M374">
        <f t="shared" si="61"/>
        <v>-0.23826755402469135</v>
      </c>
      <c r="N374" s="9"/>
      <c r="O374" s="21">
        <v>1.7329399999999999</v>
      </c>
      <c r="P374" s="21">
        <v>12.6036</v>
      </c>
      <c r="Q374" s="21">
        <v>-8.2397500000000005E-3</v>
      </c>
      <c r="R374" s="21">
        <v>364</v>
      </c>
      <c r="S374" s="21">
        <v>1.7321800000000001</v>
      </c>
      <c r="T374">
        <f t="shared" si="62"/>
        <v>10.17253086419753</v>
      </c>
      <c r="U374">
        <f t="shared" si="63"/>
        <v>17.628385635802466</v>
      </c>
      <c r="X374" s="9"/>
      <c r="Y374" s="21">
        <v>-1.28174E-2</v>
      </c>
      <c r="Z374" s="21">
        <v>18.159400000000002</v>
      </c>
      <c r="AA374" s="21">
        <v>-1.5075699999999999E-2</v>
      </c>
      <c r="AB374" s="21">
        <v>364</v>
      </c>
      <c r="AC374" s="21">
        <v>-1.30493E-2</v>
      </c>
      <c r="AD374">
        <f t="shared" si="64"/>
        <v>18.611975308641973</v>
      </c>
      <c r="AE374">
        <f t="shared" si="65"/>
        <v>-0.23855713232098763</v>
      </c>
      <c r="AF374" s="9"/>
      <c r="AG374" s="21">
        <v>1.7329399999999999</v>
      </c>
      <c r="AH374" s="21">
        <v>22.018899999999999</v>
      </c>
      <c r="AI374" s="21">
        <v>-8.4777800000000007E-3</v>
      </c>
      <c r="AJ374" s="21">
        <v>364</v>
      </c>
      <c r="AK374" s="21">
        <v>1.73248</v>
      </c>
      <c r="AL374">
        <f t="shared" si="66"/>
        <v>10.466395061728395</v>
      </c>
      <c r="AM374">
        <f t="shared" si="67"/>
        <v>18.137634658271605</v>
      </c>
      <c r="AP374" s="9"/>
      <c r="AQ374" s="21">
        <v>-1.28174E-2</v>
      </c>
      <c r="AR374" s="21">
        <v>27.543600000000001</v>
      </c>
      <c r="AS374" s="21">
        <v>-1.5075699999999999E-2</v>
      </c>
      <c r="AT374" s="21">
        <v>364</v>
      </c>
      <c r="AU374" s="21">
        <v>-1.3085899999999999E-2</v>
      </c>
      <c r="AV374">
        <f t="shared" si="68"/>
        <v>18.611975308641973</v>
      </c>
      <c r="AW374">
        <f t="shared" si="69"/>
        <v>-0.23855713232098763</v>
      </c>
      <c r="AX374" s="9"/>
      <c r="AY374" s="21">
        <v>1.7329399999999999</v>
      </c>
      <c r="AZ374" s="21">
        <v>31.403099999999998</v>
      </c>
      <c r="BA374" s="21">
        <v>-8.3038299999999999E-3</v>
      </c>
      <c r="BB374" s="21">
        <v>364</v>
      </c>
      <c r="BC374" s="21">
        <v>1.73187</v>
      </c>
      <c r="BD374">
        <f t="shared" si="70"/>
        <v>10.251641975308642</v>
      </c>
      <c r="BE374">
        <f t="shared" si="71"/>
        <v>17.765480444691356</v>
      </c>
    </row>
    <row r="375" spans="6:57" x14ac:dyDescent="0.25">
      <c r="F375" s="9"/>
      <c r="G375" s="21">
        <v>-1.7852799999999999E-2</v>
      </c>
      <c r="H375" s="21">
        <v>8.7542399999999994</v>
      </c>
      <c r="I375" s="21">
        <v>-1.5075699999999999E-2</v>
      </c>
      <c r="J375" s="21">
        <v>365</v>
      </c>
      <c r="K375" s="21">
        <v>-1.81091E-2</v>
      </c>
      <c r="L375">
        <f t="shared" si="60"/>
        <v>18.611975308641973</v>
      </c>
      <c r="M375">
        <f t="shared" si="61"/>
        <v>-0.33227587279012338</v>
      </c>
      <c r="N375" s="9"/>
      <c r="O375" s="21">
        <v>1.7379800000000001</v>
      </c>
      <c r="P375" s="21">
        <v>12.6137</v>
      </c>
      <c r="Q375" s="21">
        <v>-7.8796400000000003E-3</v>
      </c>
      <c r="R375" s="21">
        <v>365</v>
      </c>
      <c r="S375" s="21">
        <v>1.73767</v>
      </c>
      <c r="T375">
        <f t="shared" si="62"/>
        <v>9.7279506172839501</v>
      </c>
      <c r="U375">
        <f t="shared" si="63"/>
        <v>16.906983613827162</v>
      </c>
      <c r="X375" s="9"/>
      <c r="Y375" s="21">
        <v>-1.7852799999999999E-2</v>
      </c>
      <c r="Z375" s="21">
        <v>18.169499999999999</v>
      </c>
      <c r="AA375" s="21">
        <v>-1.5081799999999999E-2</v>
      </c>
      <c r="AB375" s="21">
        <v>365</v>
      </c>
      <c r="AC375" s="21">
        <v>-1.8115200000000001E-2</v>
      </c>
      <c r="AD375">
        <f t="shared" si="64"/>
        <v>18.619506172839504</v>
      </c>
      <c r="AE375">
        <f t="shared" si="65"/>
        <v>-0.33241031980246905</v>
      </c>
      <c r="AF375" s="9"/>
      <c r="AG375" s="21">
        <v>1.7379800000000001</v>
      </c>
      <c r="AH375" s="21">
        <v>22.0289</v>
      </c>
      <c r="AI375" s="21">
        <v>-8.1268299999999998E-3</v>
      </c>
      <c r="AJ375" s="21">
        <v>365</v>
      </c>
      <c r="AK375" s="21">
        <v>1.7367600000000001</v>
      </c>
      <c r="AL375">
        <f t="shared" si="66"/>
        <v>10.033123456790122</v>
      </c>
      <c r="AM375">
        <f t="shared" si="67"/>
        <v>17.437367905432097</v>
      </c>
      <c r="AP375" s="9"/>
      <c r="AQ375" s="21">
        <v>-1.7852799999999999E-2</v>
      </c>
      <c r="AR375" s="21">
        <v>27.553699999999999</v>
      </c>
      <c r="AS375" s="21">
        <v>-1.50726E-2</v>
      </c>
      <c r="AT375" s="21">
        <v>365</v>
      </c>
      <c r="AU375" s="21">
        <v>-1.81183E-2</v>
      </c>
      <c r="AV375">
        <f t="shared" si="68"/>
        <v>18.60814814814815</v>
      </c>
      <c r="AW375">
        <f t="shared" si="69"/>
        <v>-0.33220754725925927</v>
      </c>
      <c r="AX375" s="9"/>
      <c r="AY375" s="21">
        <v>1.7379800000000001</v>
      </c>
      <c r="AZ375" s="21">
        <v>31.4132</v>
      </c>
      <c r="BA375" s="21">
        <v>-7.9315199999999992E-3</v>
      </c>
      <c r="BB375" s="21">
        <v>365</v>
      </c>
      <c r="BC375" s="21">
        <v>1.73706</v>
      </c>
      <c r="BD375">
        <f t="shared" si="70"/>
        <v>9.791999999999998</v>
      </c>
      <c r="BE375">
        <f t="shared" si="71"/>
        <v>17.018300159999999</v>
      </c>
    </row>
    <row r="376" spans="6:57" x14ac:dyDescent="0.25">
      <c r="F376" s="9"/>
      <c r="G376" s="21">
        <v>-2.2888200000000001E-2</v>
      </c>
      <c r="H376" s="21">
        <v>8.76431</v>
      </c>
      <c r="I376" s="21">
        <v>-1.5081799999999999E-2</v>
      </c>
      <c r="J376" s="21">
        <v>366</v>
      </c>
      <c r="K376" s="21">
        <v>-2.2952299999999998E-2</v>
      </c>
      <c r="L376">
        <f t="shared" si="60"/>
        <v>18.619506172839504</v>
      </c>
      <c r="M376">
        <f t="shared" si="61"/>
        <v>-0.42616698118518515</v>
      </c>
      <c r="N376" s="9"/>
      <c r="O376" s="21">
        <v>1.7430099999999999</v>
      </c>
      <c r="P376" s="21">
        <v>12.623799999999999</v>
      </c>
      <c r="Q376" s="21">
        <v>-7.4798599999999996E-3</v>
      </c>
      <c r="R376" s="21">
        <v>366</v>
      </c>
      <c r="S376" s="21">
        <v>1.7422500000000001</v>
      </c>
      <c r="T376">
        <f t="shared" si="62"/>
        <v>9.2343950617283941</v>
      </c>
      <c r="U376">
        <f t="shared" si="63"/>
        <v>16.095642936543207</v>
      </c>
      <c r="X376" s="9"/>
      <c r="Y376" s="21">
        <v>-2.2888200000000001E-2</v>
      </c>
      <c r="Z376" s="21">
        <v>18.179500000000001</v>
      </c>
      <c r="AA376" s="21">
        <v>-1.5081799999999999E-2</v>
      </c>
      <c r="AB376" s="21">
        <v>366</v>
      </c>
      <c r="AC376" s="21">
        <v>-2.3199500000000001E-2</v>
      </c>
      <c r="AD376">
        <f t="shared" si="64"/>
        <v>18.619506172839504</v>
      </c>
      <c r="AE376">
        <f t="shared" si="65"/>
        <v>-0.42616698118518515</v>
      </c>
      <c r="AF376" s="9"/>
      <c r="AG376" s="21">
        <v>1.7430099999999999</v>
      </c>
      <c r="AH376" s="21">
        <v>22.039000000000001</v>
      </c>
      <c r="AI376" s="21">
        <v>-7.7331500000000003E-3</v>
      </c>
      <c r="AJ376" s="21">
        <v>366</v>
      </c>
      <c r="AK376" s="21">
        <v>1.7422500000000001</v>
      </c>
      <c r="AL376">
        <f t="shared" si="66"/>
        <v>9.5470987654320982</v>
      </c>
      <c r="AM376">
        <f t="shared" si="67"/>
        <v>16.640688619135801</v>
      </c>
      <c r="AP376" s="9"/>
      <c r="AQ376" s="21">
        <v>-2.2888200000000001E-2</v>
      </c>
      <c r="AR376" s="21">
        <v>27.563700000000001</v>
      </c>
      <c r="AS376" s="21">
        <v>-1.50726E-2</v>
      </c>
      <c r="AT376" s="21">
        <v>366</v>
      </c>
      <c r="AU376" s="21">
        <v>-2.3113999999999999E-2</v>
      </c>
      <c r="AV376">
        <f t="shared" si="68"/>
        <v>18.60814814814815</v>
      </c>
      <c r="AW376">
        <f t="shared" si="69"/>
        <v>-0.42590701644444451</v>
      </c>
      <c r="AX376" s="9"/>
      <c r="AY376" s="21">
        <v>1.7430099999999999</v>
      </c>
      <c r="AZ376" s="21">
        <v>31.423200000000001</v>
      </c>
      <c r="BA376" s="21">
        <v>-7.5225800000000001E-3</v>
      </c>
      <c r="BB376" s="21">
        <v>366</v>
      </c>
      <c r="BC376" s="21">
        <v>1.74194</v>
      </c>
      <c r="BD376">
        <f t="shared" si="70"/>
        <v>9.2871358024691339</v>
      </c>
      <c r="BE376">
        <f t="shared" si="71"/>
        <v>16.187570575061724</v>
      </c>
    </row>
    <row r="377" spans="6:57" x14ac:dyDescent="0.25">
      <c r="F377" s="9"/>
      <c r="G377" s="21">
        <v>-2.79236E-2</v>
      </c>
      <c r="H377" s="21">
        <v>8.7743800000000007</v>
      </c>
      <c r="I377" s="21">
        <v>-1.50787E-2</v>
      </c>
      <c r="J377" s="21">
        <v>367</v>
      </c>
      <c r="K377" s="21">
        <v>-2.8268399999999999E-2</v>
      </c>
      <c r="L377">
        <f t="shared" si="60"/>
        <v>18.61567901234568</v>
      </c>
      <c r="M377">
        <f t="shared" si="61"/>
        <v>-0.51981677446913588</v>
      </c>
      <c r="N377" s="9"/>
      <c r="O377" s="21">
        <v>1.7480500000000001</v>
      </c>
      <c r="P377" s="21">
        <v>12.633900000000001</v>
      </c>
      <c r="Q377" s="21">
        <v>-7.05261E-3</v>
      </c>
      <c r="R377" s="21">
        <v>367</v>
      </c>
      <c r="S377" s="21">
        <v>1.7477400000000001</v>
      </c>
      <c r="T377">
        <f t="shared" si="62"/>
        <v>8.7069259259259244</v>
      </c>
      <c r="U377">
        <f t="shared" si="63"/>
        <v>15.220141864814813</v>
      </c>
      <c r="X377" s="9"/>
      <c r="Y377" s="21">
        <v>-2.79236E-2</v>
      </c>
      <c r="Z377" s="21">
        <v>18.189599999999999</v>
      </c>
      <c r="AA377" s="21">
        <v>-1.50665E-2</v>
      </c>
      <c r="AB377" s="21">
        <v>367</v>
      </c>
      <c r="AC377" s="21">
        <v>-2.8228799999999998E-2</v>
      </c>
      <c r="AD377">
        <f t="shared" si="64"/>
        <v>18.600617283950616</v>
      </c>
      <c r="AE377">
        <f t="shared" si="65"/>
        <v>-0.51939619679012339</v>
      </c>
      <c r="AF377" s="9"/>
      <c r="AG377" s="21">
        <v>1.7480500000000001</v>
      </c>
      <c r="AH377" s="21">
        <v>22.049099999999999</v>
      </c>
      <c r="AI377" s="21">
        <v>-7.31506E-3</v>
      </c>
      <c r="AJ377" s="21">
        <v>367</v>
      </c>
      <c r="AK377" s="21">
        <v>1.7471300000000001</v>
      </c>
      <c r="AL377">
        <f t="shared" si="66"/>
        <v>9.0309382716049367</v>
      </c>
      <c r="AM377">
        <f t="shared" si="67"/>
        <v>15.786531645679011</v>
      </c>
      <c r="AP377" s="9"/>
      <c r="AQ377" s="21">
        <v>-2.79236E-2</v>
      </c>
      <c r="AR377" s="21">
        <v>27.573799999999999</v>
      </c>
      <c r="AS377" s="21">
        <v>-1.50726E-2</v>
      </c>
      <c r="AT377" s="21">
        <v>367</v>
      </c>
      <c r="AU377" s="21">
        <v>-2.8299000000000001E-2</v>
      </c>
      <c r="AV377">
        <f t="shared" si="68"/>
        <v>18.60814814814815</v>
      </c>
      <c r="AW377">
        <f t="shared" si="69"/>
        <v>-0.51960648562962963</v>
      </c>
      <c r="AX377" s="9"/>
      <c r="AY377" s="21">
        <v>1.7480500000000001</v>
      </c>
      <c r="AZ377" s="21">
        <v>31.433299999999999</v>
      </c>
      <c r="BA377" s="21">
        <v>-7.0770299999999998E-3</v>
      </c>
      <c r="BB377" s="21">
        <v>367</v>
      </c>
      <c r="BC377" s="21">
        <v>1.7474400000000001</v>
      </c>
      <c r="BD377">
        <f t="shared" si="70"/>
        <v>8.7370740740740729</v>
      </c>
      <c r="BE377">
        <f t="shared" si="71"/>
        <v>15.272842335185183</v>
      </c>
    </row>
    <row r="378" spans="6:57" x14ac:dyDescent="0.25">
      <c r="F378" s="9"/>
      <c r="G378" s="21">
        <v>-3.2959000000000002E-2</v>
      </c>
      <c r="H378" s="21">
        <v>8.7844499999999996</v>
      </c>
      <c r="I378" s="21">
        <v>-1.50787E-2</v>
      </c>
      <c r="J378" s="21">
        <v>368</v>
      </c>
      <c r="K378" s="21">
        <v>-3.33496E-2</v>
      </c>
      <c r="L378">
        <f t="shared" si="60"/>
        <v>18.61567901234568</v>
      </c>
      <c r="M378">
        <f t="shared" si="61"/>
        <v>-0.61355416456790135</v>
      </c>
      <c r="N378" s="9"/>
      <c r="O378" s="21">
        <v>1.75308</v>
      </c>
      <c r="P378" s="21">
        <v>12.6439</v>
      </c>
      <c r="Q378" s="21">
        <v>-6.58875E-3</v>
      </c>
      <c r="R378" s="21">
        <v>368</v>
      </c>
      <c r="S378" s="21">
        <v>1.7523200000000001</v>
      </c>
      <c r="T378">
        <f t="shared" si="62"/>
        <v>8.1342592592592595</v>
      </c>
      <c r="U378">
        <f t="shared" si="63"/>
        <v>14.260007222222223</v>
      </c>
      <c r="X378" s="9"/>
      <c r="Y378" s="21">
        <v>-3.2959000000000002E-2</v>
      </c>
      <c r="Z378" s="21">
        <v>18.1997</v>
      </c>
      <c r="AA378" s="21">
        <v>-1.50543E-2</v>
      </c>
      <c r="AB378" s="21">
        <v>368</v>
      </c>
      <c r="AC378" s="21">
        <v>-3.32977E-2</v>
      </c>
      <c r="AD378">
        <f t="shared" si="64"/>
        <v>18.585555555555555</v>
      </c>
      <c r="AE378">
        <f t="shared" si="65"/>
        <v>-0.61256132555555554</v>
      </c>
      <c r="AF378" s="9"/>
      <c r="AG378" s="21">
        <v>1.75308</v>
      </c>
      <c r="AH378" s="21">
        <v>22.059100000000001</v>
      </c>
      <c r="AI378" s="21">
        <v>-6.8542500000000001E-3</v>
      </c>
      <c r="AJ378" s="21">
        <v>368</v>
      </c>
      <c r="AK378" s="21">
        <v>1.7523200000000001</v>
      </c>
      <c r="AL378">
        <f t="shared" si="66"/>
        <v>8.462037037037037</v>
      </c>
      <c r="AM378">
        <f t="shared" si="67"/>
        <v>14.834627888888889</v>
      </c>
      <c r="AP378" s="9"/>
      <c r="AQ378" s="21">
        <v>-3.2959000000000002E-2</v>
      </c>
      <c r="AR378" s="21">
        <v>27.5839</v>
      </c>
      <c r="AS378" s="21">
        <v>-1.50787E-2</v>
      </c>
      <c r="AT378" s="21">
        <v>368</v>
      </c>
      <c r="AU378" s="21">
        <v>-3.3251999999999997E-2</v>
      </c>
      <c r="AV378">
        <f t="shared" si="68"/>
        <v>18.61567901234568</v>
      </c>
      <c r="AW378">
        <f t="shared" si="69"/>
        <v>-0.61355416456790135</v>
      </c>
      <c r="AX378" s="9"/>
      <c r="AY378" s="21">
        <v>1.75308</v>
      </c>
      <c r="AZ378" s="21">
        <v>31.4434</v>
      </c>
      <c r="BA378" s="21">
        <v>-6.58875E-3</v>
      </c>
      <c r="BB378" s="21">
        <v>368</v>
      </c>
      <c r="BC378" s="21">
        <v>1.7523200000000001</v>
      </c>
      <c r="BD378">
        <f t="shared" si="70"/>
        <v>8.1342592592592595</v>
      </c>
      <c r="BE378">
        <f t="shared" si="71"/>
        <v>14.260007222222223</v>
      </c>
    </row>
    <row r="379" spans="6:57" x14ac:dyDescent="0.25">
      <c r="F379" s="9"/>
      <c r="G379" s="21">
        <v>-3.7994399999999998E-2</v>
      </c>
      <c r="H379" s="21">
        <v>8.7945200000000003</v>
      </c>
      <c r="I379" s="21">
        <v>-1.50726E-2</v>
      </c>
      <c r="J379" s="21">
        <v>369</v>
      </c>
      <c r="K379" s="21">
        <v>-3.8336200000000001E-2</v>
      </c>
      <c r="L379">
        <f t="shared" si="60"/>
        <v>18.60814814814815</v>
      </c>
      <c r="M379">
        <f t="shared" si="61"/>
        <v>-0.70700542399999999</v>
      </c>
      <c r="N379" s="9"/>
      <c r="O379" s="21">
        <v>1.7581199999999999</v>
      </c>
      <c r="P379" s="21">
        <v>12.654</v>
      </c>
      <c r="Q379" s="21">
        <v>-6.0882599999999999E-3</v>
      </c>
      <c r="R379" s="21">
        <v>369</v>
      </c>
      <c r="S379" s="21">
        <v>1.7572000000000001</v>
      </c>
      <c r="T379">
        <f t="shared" si="62"/>
        <v>7.5163703703703693</v>
      </c>
      <c r="U379">
        <f t="shared" si="63"/>
        <v>13.214681075555553</v>
      </c>
      <c r="X379" s="9"/>
      <c r="Y379" s="21">
        <v>-3.7994399999999998E-2</v>
      </c>
      <c r="Z379" s="21">
        <v>18.209700000000002</v>
      </c>
      <c r="AA379" s="21">
        <v>-1.50604E-2</v>
      </c>
      <c r="AB379" s="21">
        <v>369</v>
      </c>
      <c r="AC379" s="21">
        <v>-3.8183599999999998E-2</v>
      </c>
      <c r="AD379">
        <f t="shared" si="64"/>
        <v>18.593086419753085</v>
      </c>
      <c r="AE379">
        <f t="shared" si="65"/>
        <v>-0.70643316266666656</v>
      </c>
      <c r="AF379" s="9"/>
      <c r="AG379" s="21">
        <v>1.7581199999999999</v>
      </c>
      <c r="AH379" s="21">
        <v>22.069199999999999</v>
      </c>
      <c r="AI379" s="21">
        <v>-6.3507099999999999E-3</v>
      </c>
      <c r="AJ379" s="21">
        <v>369</v>
      </c>
      <c r="AK379" s="21">
        <v>1.7575099999999999</v>
      </c>
      <c r="AL379">
        <f t="shared" si="66"/>
        <v>7.8403827160493833</v>
      </c>
      <c r="AM379">
        <f t="shared" si="67"/>
        <v>13.784333660740741</v>
      </c>
      <c r="AP379" s="9"/>
      <c r="AQ379" s="21">
        <v>-3.7994399999999998E-2</v>
      </c>
      <c r="AR379" s="21">
        <v>27.594000000000001</v>
      </c>
      <c r="AS379" s="21">
        <v>-1.50726E-2</v>
      </c>
      <c r="AT379" s="21">
        <v>369</v>
      </c>
      <c r="AU379" s="21">
        <v>-3.8314800000000003E-2</v>
      </c>
      <c r="AV379">
        <f t="shared" si="68"/>
        <v>18.60814814814815</v>
      </c>
      <c r="AW379">
        <f t="shared" si="69"/>
        <v>-0.70700542399999999</v>
      </c>
      <c r="AX379" s="9"/>
      <c r="AY379" s="21">
        <v>1.7581199999999999</v>
      </c>
      <c r="AZ379" s="21">
        <v>31.453399999999998</v>
      </c>
      <c r="BA379" s="21">
        <v>-6.0607899999999999E-3</v>
      </c>
      <c r="BB379" s="21">
        <v>369</v>
      </c>
      <c r="BC379" s="21">
        <v>1.7568999999999999</v>
      </c>
      <c r="BD379">
        <f t="shared" si="70"/>
        <v>7.4824567901234564</v>
      </c>
      <c r="BE379">
        <f t="shared" si="71"/>
        <v>13.155056931851851</v>
      </c>
    </row>
    <row r="380" spans="6:57" x14ac:dyDescent="0.25">
      <c r="F380" s="9"/>
      <c r="G380" s="21">
        <v>-4.30298E-2</v>
      </c>
      <c r="H380" s="21">
        <v>8.8045899999999993</v>
      </c>
      <c r="I380" s="21">
        <v>-1.50665E-2</v>
      </c>
      <c r="J380" s="21">
        <v>370</v>
      </c>
      <c r="K380" s="21">
        <v>-4.33563E-2</v>
      </c>
      <c r="L380">
        <f t="shared" si="60"/>
        <v>18.600617283950616</v>
      </c>
      <c r="M380">
        <f t="shared" si="61"/>
        <v>-0.80038084160493816</v>
      </c>
      <c r="N380" s="9"/>
      <c r="O380" s="21">
        <v>1.76315</v>
      </c>
      <c r="P380" s="21">
        <v>12.664099999999999</v>
      </c>
      <c r="Q380" s="21">
        <v>-5.5450400000000002E-3</v>
      </c>
      <c r="R380" s="21">
        <v>370</v>
      </c>
      <c r="S380" s="21">
        <v>1.7623899999999999</v>
      </c>
      <c r="T380">
        <f t="shared" si="62"/>
        <v>6.8457283950617276</v>
      </c>
      <c r="U380">
        <f t="shared" si="63"/>
        <v>12.070046019753084</v>
      </c>
      <c r="X380" s="9"/>
      <c r="Y380" s="21">
        <v>-4.30298E-2</v>
      </c>
      <c r="Z380" s="21">
        <v>18.219799999999999</v>
      </c>
      <c r="AA380" s="21">
        <v>-1.50604E-2</v>
      </c>
      <c r="AB380" s="21">
        <v>370</v>
      </c>
      <c r="AC380" s="21">
        <v>-4.3301399999999997E-2</v>
      </c>
      <c r="AD380">
        <f t="shared" si="64"/>
        <v>18.593086419753085</v>
      </c>
      <c r="AE380">
        <f t="shared" si="65"/>
        <v>-0.80005679002469132</v>
      </c>
      <c r="AF380" s="9"/>
      <c r="AG380" s="21">
        <v>1.76315</v>
      </c>
      <c r="AH380" s="21">
        <v>22.0793</v>
      </c>
      <c r="AI380" s="21">
        <v>-5.7922399999999997E-3</v>
      </c>
      <c r="AJ380" s="21">
        <v>370</v>
      </c>
      <c r="AK380" s="21">
        <v>1.7626999999999999</v>
      </c>
      <c r="AL380">
        <f t="shared" si="66"/>
        <v>7.1509135802469128</v>
      </c>
      <c r="AM380">
        <f t="shared" si="67"/>
        <v>12.608133279012344</v>
      </c>
      <c r="AP380" s="9"/>
      <c r="AQ380" s="21">
        <v>-4.30298E-2</v>
      </c>
      <c r="AR380" s="21">
        <v>27.603999999999999</v>
      </c>
      <c r="AS380" s="21">
        <v>-1.50726E-2</v>
      </c>
      <c r="AT380" s="21">
        <v>370</v>
      </c>
      <c r="AU380" s="21">
        <v>-4.3350199999999998E-2</v>
      </c>
      <c r="AV380">
        <f t="shared" si="68"/>
        <v>18.60814814814815</v>
      </c>
      <c r="AW380">
        <f t="shared" si="69"/>
        <v>-0.80070489318518523</v>
      </c>
      <c r="AX380" s="9"/>
      <c r="AY380" s="21">
        <v>1.76315</v>
      </c>
      <c r="AZ380" s="21">
        <v>31.4635</v>
      </c>
      <c r="BA380" s="21">
        <v>-5.4870600000000002E-3</v>
      </c>
      <c r="BB380" s="21">
        <v>370</v>
      </c>
      <c r="BC380" s="21">
        <v>1.7626999999999999</v>
      </c>
      <c r="BD380">
        <f t="shared" si="70"/>
        <v>6.7741481481481483</v>
      </c>
      <c r="BE380">
        <f t="shared" si="71"/>
        <v>11.943839307407407</v>
      </c>
    </row>
    <row r="381" spans="6:57" x14ac:dyDescent="0.25">
      <c r="F381" s="9"/>
      <c r="G381" s="21">
        <v>-4.8065200000000002E-2</v>
      </c>
      <c r="H381" s="21">
        <v>8.8146599999999999</v>
      </c>
      <c r="I381" s="21">
        <v>-1.5048199999999999E-2</v>
      </c>
      <c r="J381" s="21">
        <v>371</v>
      </c>
      <c r="K381" s="21">
        <v>-4.8541300000000003E-2</v>
      </c>
      <c r="L381">
        <f t="shared" si="60"/>
        <v>18.578024691358021</v>
      </c>
      <c r="M381">
        <f t="shared" si="61"/>
        <v>-0.8929564723950616</v>
      </c>
      <c r="N381" s="9"/>
      <c r="O381" s="21">
        <v>1.7681899999999999</v>
      </c>
      <c r="P381" s="21">
        <v>12.674099999999999</v>
      </c>
      <c r="Q381" s="21">
        <v>-4.9557500000000001E-3</v>
      </c>
      <c r="R381" s="21">
        <v>371</v>
      </c>
      <c r="S381" s="21">
        <v>1.7675799999999999</v>
      </c>
      <c r="T381">
        <f t="shared" si="62"/>
        <v>6.1182098765432098</v>
      </c>
      <c r="U381">
        <f t="shared" si="63"/>
        <v>10.818157521604938</v>
      </c>
      <c r="X381" s="9"/>
      <c r="Y381" s="21">
        <v>-4.8065200000000002E-2</v>
      </c>
      <c r="Z381" s="21">
        <v>18.229900000000001</v>
      </c>
      <c r="AA381" s="21">
        <v>-1.5069600000000001E-2</v>
      </c>
      <c r="AB381" s="21">
        <v>371</v>
      </c>
      <c r="AC381" s="21">
        <v>-4.8406999999999999E-2</v>
      </c>
      <c r="AD381">
        <f t="shared" si="64"/>
        <v>18.604444444444443</v>
      </c>
      <c r="AE381">
        <f t="shared" si="65"/>
        <v>-0.89422634311111104</v>
      </c>
      <c r="AF381" s="9"/>
      <c r="AG381" s="21">
        <v>1.7681899999999999</v>
      </c>
      <c r="AH381" s="21">
        <v>22.089300000000001</v>
      </c>
      <c r="AI381" s="21">
        <v>-5.1696800000000003E-3</v>
      </c>
      <c r="AJ381" s="21">
        <v>371</v>
      </c>
      <c r="AK381" s="21">
        <v>1.7675799999999999</v>
      </c>
      <c r="AL381">
        <f t="shared" si="66"/>
        <v>6.382320987654321</v>
      </c>
      <c r="AM381">
        <f t="shared" si="67"/>
        <v>11.285156147160494</v>
      </c>
      <c r="AP381" s="9"/>
      <c r="AQ381" s="21">
        <v>-4.8065200000000002E-2</v>
      </c>
      <c r="AR381" s="21">
        <v>27.614100000000001</v>
      </c>
      <c r="AS381" s="21">
        <v>-1.50787E-2</v>
      </c>
      <c r="AT381" s="21">
        <v>371</v>
      </c>
      <c r="AU381" s="21">
        <v>-4.8443600000000003E-2</v>
      </c>
      <c r="AV381">
        <f t="shared" si="68"/>
        <v>18.61567901234568</v>
      </c>
      <c r="AW381">
        <f t="shared" si="69"/>
        <v>-0.89476633486419765</v>
      </c>
      <c r="AX381" s="9"/>
      <c r="AY381" s="21">
        <v>1.7681899999999999</v>
      </c>
      <c r="AZ381" s="21">
        <v>31.473600000000001</v>
      </c>
      <c r="BA381" s="21">
        <v>-4.8623700000000004E-3</v>
      </c>
      <c r="BB381" s="21">
        <v>371</v>
      </c>
      <c r="BC381" s="21">
        <v>1.7675799999999999</v>
      </c>
      <c r="BD381">
        <f t="shared" si="70"/>
        <v>6.0029259259259264</v>
      </c>
      <c r="BE381">
        <f t="shared" si="71"/>
        <v>10.614313592962963</v>
      </c>
    </row>
    <row r="382" spans="6:57" x14ac:dyDescent="0.25">
      <c r="F382" s="9"/>
      <c r="G382" s="21">
        <v>-5.3100599999999998E-2</v>
      </c>
      <c r="H382" s="21">
        <v>8.8247300000000006</v>
      </c>
      <c r="I382" s="21">
        <v>-1.50513E-2</v>
      </c>
      <c r="J382" s="21">
        <v>372</v>
      </c>
      <c r="K382" s="21">
        <v>-5.3558300000000003E-2</v>
      </c>
      <c r="L382">
        <f t="shared" si="60"/>
        <v>18.581851851851848</v>
      </c>
      <c r="M382">
        <f t="shared" si="61"/>
        <v>-0.98670748244444417</v>
      </c>
      <c r="N382" s="9"/>
      <c r="O382" s="21">
        <v>1.77322</v>
      </c>
      <c r="P382" s="21">
        <v>12.684200000000001</v>
      </c>
      <c r="Q382" s="21">
        <v>-4.2981E-3</v>
      </c>
      <c r="R382" s="21">
        <v>372</v>
      </c>
      <c r="S382" s="21">
        <v>1.77216</v>
      </c>
      <c r="T382">
        <f t="shared" si="62"/>
        <v>5.3062962962962956</v>
      </c>
      <c r="U382">
        <f t="shared" si="63"/>
        <v>9.4092307185185167</v>
      </c>
      <c r="X382" s="9"/>
      <c r="Y382" s="21">
        <v>-5.3100599999999998E-2</v>
      </c>
      <c r="Z382" s="21">
        <v>18.239899999999999</v>
      </c>
      <c r="AA382" s="21">
        <v>-1.50726E-2</v>
      </c>
      <c r="AB382" s="21">
        <v>372</v>
      </c>
      <c r="AC382" s="21">
        <v>-5.3466800000000002E-2</v>
      </c>
      <c r="AD382">
        <f t="shared" si="64"/>
        <v>18.60814814814815</v>
      </c>
      <c r="AE382">
        <f t="shared" si="65"/>
        <v>-0.98810383155555559</v>
      </c>
      <c r="AF382" s="9"/>
      <c r="AG382" s="21">
        <v>1.77322</v>
      </c>
      <c r="AH382" s="21">
        <v>22.099399999999999</v>
      </c>
      <c r="AI382" s="21">
        <v>-4.4915800000000002E-3</v>
      </c>
      <c r="AJ382" s="21">
        <v>372</v>
      </c>
      <c r="AK382" s="21">
        <v>1.77277</v>
      </c>
      <c r="AL382">
        <f t="shared" si="66"/>
        <v>5.5451604938271597</v>
      </c>
      <c r="AM382">
        <f t="shared" si="67"/>
        <v>9.8327894908641955</v>
      </c>
      <c r="AP382" s="9"/>
      <c r="AQ382" s="21">
        <v>-5.3100599999999998E-2</v>
      </c>
      <c r="AR382" s="21">
        <v>27.624199999999998</v>
      </c>
      <c r="AS382" s="21">
        <v>-1.5081799999999999E-2</v>
      </c>
      <c r="AT382" s="21">
        <v>372</v>
      </c>
      <c r="AU382" s="21">
        <v>-5.3619399999999998E-2</v>
      </c>
      <c r="AV382">
        <f t="shared" si="68"/>
        <v>18.619506172839504</v>
      </c>
      <c r="AW382">
        <f t="shared" si="69"/>
        <v>-0.9887069494814813</v>
      </c>
      <c r="AX382" s="9"/>
      <c r="AY382" s="21">
        <v>1.77322</v>
      </c>
      <c r="AZ382" s="21">
        <v>31.483699999999999</v>
      </c>
      <c r="BA382" s="21">
        <v>-4.1546600000000001E-3</v>
      </c>
      <c r="BB382" s="21">
        <v>372</v>
      </c>
      <c r="BC382" s="21">
        <v>1.77216</v>
      </c>
      <c r="BD382">
        <f t="shared" si="70"/>
        <v>5.1292098765432099</v>
      </c>
      <c r="BE382">
        <f t="shared" si="71"/>
        <v>9.0952175372839505</v>
      </c>
    </row>
    <row r="383" spans="6:57" x14ac:dyDescent="0.25">
      <c r="F383" s="9"/>
      <c r="G383" s="21">
        <v>-5.8136E-2</v>
      </c>
      <c r="H383" s="21">
        <v>8.8348099999999992</v>
      </c>
      <c r="I383" s="21">
        <v>-1.5042099999999999E-2</v>
      </c>
      <c r="J383" s="21">
        <v>373</v>
      </c>
      <c r="K383" s="21">
        <v>-5.8624299999999997E-2</v>
      </c>
      <c r="L383">
        <f t="shared" si="60"/>
        <v>18.570493827160494</v>
      </c>
      <c r="M383">
        <f t="shared" si="61"/>
        <v>-1.0796142291358024</v>
      </c>
      <c r="N383" s="9"/>
      <c r="O383" s="21">
        <v>1.77826</v>
      </c>
      <c r="P383" s="21">
        <v>12.6943</v>
      </c>
      <c r="Q383" s="21">
        <v>-3.58093E-3</v>
      </c>
      <c r="R383" s="21">
        <v>373</v>
      </c>
      <c r="S383" s="21">
        <v>1.77765</v>
      </c>
      <c r="T383">
        <f t="shared" si="62"/>
        <v>4.4209012345679009</v>
      </c>
      <c r="U383">
        <f t="shared" si="63"/>
        <v>7.8615118293827155</v>
      </c>
      <c r="X383" s="9"/>
      <c r="Y383" s="21">
        <v>-5.8136E-2</v>
      </c>
      <c r="Z383" s="21">
        <v>18.25</v>
      </c>
      <c r="AA383" s="21">
        <v>-1.5081799999999999E-2</v>
      </c>
      <c r="AB383" s="21">
        <v>373</v>
      </c>
      <c r="AC383" s="21">
        <v>-5.8624299999999997E-2</v>
      </c>
      <c r="AD383">
        <f t="shared" si="64"/>
        <v>18.619506172839504</v>
      </c>
      <c r="AE383">
        <f t="shared" si="65"/>
        <v>-1.0824636108641974</v>
      </c>
      <c r="AF383" s="9"/>
      <c r="AG383" s="21">
        <v>1.77826</v>
      </c>
      <c r="AH383" s="21">
        <v>22.109500000000001</v>
      </c>
      <c r="AI383" s="21">
        <v>-3.7344399999999999E-3</v>
      </c>
      <c r="AJ383" s="21">
        <v>373</v>
      </c>
      <c r="AK383" s="21">
        <v>1.77765</v>
      </c>
      <c r="AL383">
        <f t="shared" si="66"/>
        <v>4.6104197530864193</v>
      </c>
      <c r="AM383">
        <f t="shared" si="67"/>
        <v>8.1985250301234558</v>
      </c>
      <c r="AP383" s="9"/>
      <c r="AQ383" s="21">
        <v>-5.8136E-2</v>
      </c>
      <c r="AR383" s="21">
        <v>27.6342</v>
      </c>
      <c r="AS383" s="21">
        <v>-1.5090900000000001E-2</v>
      </c>
      <c r="AT383" s="21">
        <v>373</v>
      </c>
      <c r="AU383" s="21">
        <v>-5.87769E-2</v>
      </c>
      <c r="AV383">
        <f t="shared" si="68"/>
        <v>18.630740740740741</v>
      </c>
      <c r="AW383">
        <f t="shared" si="69"/>
        <v>-1.0831167437037037</v>
      </c>
      <c r="AX383" s="9"/>
      <c r="AY383" s="21">
        <v>1.77826</v>
      </c>
      <c r="AZ383" s="21">
        <v>31.4937</v>
      </c>
      <c r="BA383" s="21">
        <v>-3.3782999999999999E-3</v>
      </c>
      <c r="BB383" s="21">
        <v>373</v>
      </c>
      <c r="BC383" s="21">
        <v>1.77765</v>
      </c>
      <c r="BD383">
        <f t="shared" si="70"/>
        <v>4.1707407407407402</v>
      </c>
      <c r="BE383">
        <f t="shared" si="71"/>
        <v>7.4166614296296283</v>
      </c>
    </row>
    <row r="384" spans="6:57" x14ac:dyDescent="0.25">
      <c r="F384" s="9"/>
      <c r="G384" s="21">
        <v>-6.3171400000000003E-2</v>
      </c>
      <c r="H384" s="21">
        <v>8.8448799999999999</v>
      </c>
      <c r="I384" s="21">
        <v>-1.5032999999999999E-2</v>
      </c>
      <c r="J384" s="21">
        <v>374</v>
      </c>
      <c r="K384" s="21">
        <v>-6.35376E-2</v>
      </c>
      <c r="L384">
        <f t="shared" si="60"/>
        <v>18.559259259259257</v>
      </c>
      <c r="M384">
        <f t="shared" si="61"/>
        <v>-1.1724143903703703</v>
      </c>
      <c r="N384" s="9"/>
      <c r="O384" s="21">
        <v>1.78329</v>
      </c>
      <c r="P384" s="21">
        <v>12.7044</v>
      </c>
      <c r="Q384" s="21">
        <v>-2.7801499999999999E-3</v>
      </c>
      <c r="R384" s="21">
        <v>374</v>
      </c>
      <c r="S384" s="21">
        <v>1.78284</v>
      </c>
      <c r="T384">
        <f t="shared" si="62"/>
        <v>3.4322839506172835</v>
      </c>
      <c r="U384">
        <f t="shared" si="63"/>
        <v>6.1207576462962958</v>
      </c>
      <c r="X384" s="9"/>
      <c r="Y384" s="21">
        <v>-6.3171400000000003E-2</v>
      </c>
      <c r="Z384" s="21">
        <v>18.260100000000001</v>
      </c>
      <c r="AA384" s="21">
        <v>-1.50787E-2</v>
      </c>
      <c r="AB384" s="21">
        <v>374</v>
      </c>
      <c r="AC384" s="21">
        <v>-6.3781699999999997E-2</v>
      </c>
      <c r="AD384">
        <f t="shared" si="64"/>
        <v>18.61567901234568</v>
      </c>
      <c r="AE384">
        <f t="shared" si="65"/>
        <v>-1.1759785051604938</v>
      </c>
      <c r="AF384" s="9"/>
      <c r="AG384" s="21">
        <v>1.78329</v>
      </c>
      <c r="AH384" s="21">
        <v>22.119599999999998</v>
      </c>
      <c r="AI384" s="21">
        <v>-2.8842199999999998E-3</v>
      </c>
      <c r="AJ384" s="21">
        <v>374</v>
      </c>
      <c r="AK384" s="21">
        <v>1.78284</v>
      </c>
      <c r="AL384">
        <f t="shared" si="66"/>
        <v>3.5607654320987652</v>
      </c>
      <c r="AM384">
        <f t="shared" si="67"/>
        <v>6.3498773874074068</v>
      </c>
      <c r="AP384" s="9"/>
      <c r="AQ384" s="21">
        <v>-6.3171400000000003E-2</v>
      </c>
      <c r="AR384" s="21">
        <v>27.644300000000001</v>
      </c>
      <c r="AS384" s="21">
        <v>-1.5096999999999999E-2</v>
      </c>
      <c r="AT384" s="21">
        <v>374</v>
      </c>
      <c r="AU384" s="21">
        <v>-6.36597E-2</v>
      </c>
      <c r="AV384">
        <f t="shared" si="68"/>
        <v>18.638271604938272</v>
      </c>
      <c r="AW384">
        <f t="shared" si="69"/>
        <v>-1.1774057108641975</v>
      </c>
      <c r="AX384" s="9"/>
      <c r="AY384" s="21">
        <v>1.78329</v>
      </c>
      <c r="AZ384" s="21">
        <v>31.503799999999998</v>
      </c>
      <c r="BA384" s="21">
        <v>-2.4966400000000001E-3</v>
      </c>
      <c r="BB384" s="21">
        <v>374</v>
      </c>
      <c r="BC384" s="21">
        <v>1.7825299999999999</v>
      </c>
      <c r="BD384">
        <f t="shared" si="70"/>
        <v>3.0822716049382715</v>
      </c>
      <c r="BE384">
        <f t="shared" si="71"/>
        <v>5.49658413037037</v>
      </c>
    </row>
    <row r="385" spans="6:57" x14ac:dyDescent="0.25">
      <c r="F385" s="9"/>
      <c r="G385" s="21">
        <v>-6.8206799999999998E-2</v>
      </c>
      <c r="H385" s="21">
        <v>8.8549500000000005</v>
      </c>
      <c r="I385" s="21">
        <v>-1.50391E-2</v>
      </c>
      <c r="J385" s="21">
        <v>375</v>
      </c>
      <c r="K385" s="21">
        <v>-6.8786600000000003E-2</v>
      </c>
      <c r="L385">
        <f t="shared" si="60"/>
        <v>18.566790123456791</v>
      </c>
      <c r="M385">
        <f t="shared" si="61"/>
        <v>-1.2663813405925926</v>
      </c>
      <c r="N385" s="9"/>
      <c r="O385" s="21">
        <v>1.78833</v>
      </c>
      <c r="P385" s="21">
        <v>12.714399999999999</v>
      </c>
      <c r="Q385" s="21">
        <v>-1.8972800000000001E-3</v>
      </c>
      <c r="R385" s="21">
        <v>375</v>
      </c>
      <c r="S385" s="21">
        <v>1.7874099999999999</v>
      </c>
      <c r="T385">
        <f t="shared" si="62"/>
        <v>2.342320987654321</v>
      </c>
      <c r="U385">
        <f t="shared" si="63"/>
        <v>4.1888428918518521</v>
      </c>
      <c r="X385" s="9"/>
      <c r="Y385" s="21">
        <v>-6.8206799999999998E-2</v>
      </c>
      <c r="Z385" s="21">
        <v>18.270199999999999</v>
      </c>
      <c r="AA385" s="21">
        <v>-1.5069600000000001E-2</v>
      </c>
      <c r="AB385" s="21">
        <v>375</v>
      </c>
      <c r="AC385" s="21">
        <v>-6.8756100000000001E-2</v>
      </c>
      <c r="AD385">
        <f t="shared" si="64"/>
        <v>18.604444444444443</v>
      </c>
      <c r="AE385">
        <f t="shared" si="65"/>
        <v>-1.2689496213333331</v>
      </c>
      <c r="AF385" s="9"/>
      <c r="AG385" s="21">
        <v>1.78833</v>
      </c>
      <c r="AH385" s="21">
        <v>22.1296</v>
      </c>
      <c r="AI385" s="21">
        <v>-1.9168099999999999E-3</v>
      </c>
      <c r="AJ385" s="21">
        <v>375</v>
      </c>
      <c r="AK385" s="21">
        <v>1.7874099999999999</v>
      </c>
      <c r="AL385">
        <f t="shared" si="66"/>
        <v>2.3664320987654319</v>
      </c>
      <c r="AM385">
        <f t="shared" si="67"/>
        <v>4.2319615151851844</v>
      </c>
      <c r="AP385" s="9"/>
      <c r="AQ385" s="21">
        <v>-6.8206799999999998E-2</v>
      </c>
      <c r="AR385" s="21">
        <v>27.654399999999999</v>
      </c>
      <c r="AS385" s="21">
        <v>-1.5096999999999999E-2</v>
      </c>
      <c r="AT385" s="21">
        <v>375</v>
      </c>
      <c r="AU385" s="21">
        <v>-6.8603499999999998E-2</v>
      </c>
      <c r="AV385">
        <f t="shared" si="68"/>
        <v>18.638271604938272</v>
      </c>
      <c r="AW385">
        <f t="shared" si="69"/>
        <v>-1.2712568637037036</v>
      </c>
      <c r="AX385" s="9"/>
      <c r="AY385" s="21">
        <v>1.78833</v>
      </c>
      <c r="AZ385" s="21">
        <v>31.5139</v>
      </c>
      <c r="BA385" s="21">
        <v>-1.5271E-3</v>
      </c>
      <c r="BB385" s="21">
        <v>375</v>
      </c>
      <c r="BC385" s="21">
        <v>1.7880199999999999</v>
      </c>
      <c r="BD385">
        <f t="shared" si="70"/>
        <v>1.8853086419753085</v>
      </c>
      <c r="BE385">
        <f t="shared" si="71"/>
        <v>3.3715540037037033</v>
      </c>
    </row>
    <row r="386" spans="6:57" x14ac:dyDescent="0.25">
      <c r="F386" s="9"/>
      <c r="G386" s="21">
        <v>-7.3242199999999993E-2</v>
      </c>
      <c r="H386" s="21">
        <v>8.8650199999999995</v>
      </c>
      <c r="I386" s="21">
        <v>-1.5048199999999999E-2</v>
      </c>
      <c r="J386" s="21">
        <v>376</v>
      </c>
      <c r="K386" s="21">
        <v>-7.3730500000000004E-2</v>
      </c>
      <c r="L386">
        <f t="shared" si="60"/>
        <v>18.578024691358021</v>
      </c>
      <c r="M386">
        <f t="shared" si="61"/>
        <v>-1.3606954000493823</v>
      </c>
      <c r="N386" s="9"/>
      <c r="O386" s="21">
        <v>1.7933699999999999</v>
      </c>
      <c r="P386" s="21">
        <v>12.724500000000001</v>
      </c>
      <c r="Q386" s="21">
        <v>-9.1918900000000005E-4</v>
      </c>
      <c r="R386" s="21">
        <v>376</v>
      </c>
      <c r="S386" s="21">
        <v>1.79321</v>
      </c>
      <c r="T386">
        <f t="shared" si="62"/>
        <v>1.1348012345679013</v>
      </c>
      <c r="U386">
        <f t="shared" si="63"/>
        <v>2.0351184900370369</v>
      </c>
      <c r="X386" s="9"/>
      <c r="Y386" s="21">
        <v>-7.3242199999999993E-2</v>
      </c>
      <c r="Z386" s="21">
        <v>18.280200000000001</v>
      </c>
      <c r="AA386" s="21">
        <v>-1.50665E-2</v>
      </c>
      <c r="AB386" s="21">
        <v>376</v>
      </c>
      <c r="AC386" s="21">
        <v>-7.3700000000000002E-2</v>
      </c>
      <c r="AD386">
        <f t="shared" si="64"/>
        <v>18.600617283950616</v>
      </c>
      <c r="AE386">
        <f t="shared" si="65"/>
        <v>-1.3623501312345676</v>
      </c>
      <c r="AF386" s="9"/>
      <c r="AG386" s="21">
        <v>1.7933699999999999</v>
      </c>
      <c r="AH386" s="21">
        <v>22.139700000000001</v>
      </c>
      <c r="AI386" s="21">
        <v>-8.25806E-4</v>
      </c>
      <c r="AJ386" s="21">
        <v>376</v>
      </c>
      <c r="AK386" s="21">
        <v>1.7926</v>
      </c>
      <c r="AL386">
        <f t="shared" si="66"/>
        <v>1.0195135802469135</v>
      </c>
      <c r="AM386">
        <f t="shared" si="67"/>
        <v>1.8283650694074072</v>
      </c>
      <c r="AP386" s="9"/>
      <c r="AQ386" s="21">
        <v>-7.3242199999999993E-2</v>
      </c>
      <c r="AR386" s="21">
        <v>27.6645</v>
      </c>
      <c r="AS386" s="21">
        <v>-1.51062E-2</v>
      </c>
      <c r="AT386" s="21">
        <v>376</v>
      </c>
      <c r="AU386" s="21">
        <v>-7.3608400000000004E-2</v>
      </c>
      <c r="AV386">
        <f t="shared" si="68"/>
        <v>18.649629629629626</v>
      </c>
      <c r="AW386">
        <f t="shared" si="69"/>
        <v>-1.365939903259259</v>
      </c>
      <c r="AX386" s="9"/>
      <c r="AY386" s="21">
        <v>1.7933699999999999</v>
      </c>
      <c r="AZ386" s="21">
        <v>31.523900000000001</v>
      </c>
      <c r="BA386" s="21">
        <v>-4.104E-4</v>
      </c>
      <c r="BB386" s="21">
        <v>376</v>
      </c>
      <c r="BC386" s="21">
        <v>1.7926</v>
      </c>
      <c r="BD386">
        <f t="shared" si="70"/>
        <v>0.50666666666666671</v>
      </c>
      <c r="BE386">
        <f t="shared" si="71"/>
        <v>0.90864080000000003</v>
      </c>
    </row>
    <row r="387" spans="6:57" x14ac:dyDescent="0.25">
      <c r="F387" s="9"/>
      <c r="G387" s="21">
        <v>-7.8277600000000003E-2</v>
      </c>
      <c r="H387" s="21">
        <v>8.8750900000000001</v>
      </c>
      <c r="I387" s="21">
        <v>-1.5063500000000001E-2</v>
      </c>
      <c r="J387" s="21">
        <v>377</v>
      </c>
      <c r="K387" s="21">
        <v>-7.8735399999999997E-2</v>
      </c>
      <c r="L387">
        <f t="shared" si="60"/>
        <v>18.596913580246913</v>
      </c>
      <c r="M387">
        <f t="shared" si="61"/>
        <v>-1.4557217624691359</v>
      </c>
      <c r="N387" s="9"/>
      <c r="O387" s="21">
        <v>1.7984</v>
      </c>
      <c r="P387" s="21">
        <v>12.7346</v>
      </c>
      <c r="Q387" s="21">
        <v>1.5469400000000001E-4</v>
      </c>
      <c r="R387" s="21">
        <v>377</v>
      </c>
      <c r="S387" s="21">
        <v>1.79749</v>
      </c>
      <c r="T387">
        <f t="shared" si="62"/>
        <v>-0.19098024691358023</v>
      </c>
      <c r="U387">
        <f t="shared" si="63"/>
        <v>-0.34345887604938269</v>
      </c>
      <c r="X387" s="9"/>
      <c r="Y387" s="21">
        <v>-7.8277600000000003E-2</v>
      </c>
      <c r="Z387" s="21">
        <v>18.290299999999998</v>
      </c>
      <c r="AA387" s="21">
        <v>-1.5069600000000001E-2</v>
      </c>
      <c r="AB387" s="21">
        <v>377</v>
      </c>
      <c r="AC387" s="21">
        <v>-7.8796400000000003E-2</v>
      </c>
      <c r="AD387">
        <f t="shared" si="64"/>
        <v>18.604444444444443</v>
      </c>
      <c r="AE387">
        <f t="shared" si="65"/>
        <v>-1.4563112604444444</v>
      </c>
      <c r="AF387" s="9"/>
      <c r="AG387" s="21">
        <v>1.7984</v>
      </c>
      <c r="AH387" s="21">
        <v>22.149799999999999</v>
      </c>
      <c r="AI387" s="21">
        <v>3.9642300000000002E-4</v>
      </c>
      <c r="AJ387" s="21">
        <v>377</v>
      </c>
      <c r="AK387" s="21">
        <v>1.7981</v>
      </c>
      <c r="AL387">
        <f t="shared" si="66"/>
        <v>-0.48941111111111113</v>
      </c>
      <c r="AM387">
        <f t="shared" si="67"/>
        <v>-0.88015694222222229</v>
      </c>
      <c r="AP387" s="9"/>
      <c r="AQ387" s="21">
        <v>-7.8277600000000003E-2</v>
      </c>
      <c r="AR387" s="21">
        <v>27.674499999999998</v>
      </c>
      <c r="AS387" s="21">
        <v>-1.5115399999999999E-2</v>
      </c>
      <c r="AT387" s="21">
        <v>377</v>
      </c>
      <c r="AU387" s="21">
        <v>-7.8918500000000003E-2</v>
      </c>
      <c r="AV387">
        <f t="shared" si="68"/>
        <v>18.660987654320987</v>
      </c>
      <c r="AW387">
        <f t="shared" si="69"/>
        <v>-1.4607373272098765</v>
      </c>
      <c r="AX387" s="9"/>
      <c r="AY387" s="21">
        <v>1.7984</v>
      </c>
      <c r="AZ387" s="21">
        <v>31.533999999999999</v>
      </c>
      <c r="BA387" s="21">
        <v>8.04749E-4</v>
      </c>
      <c r="BB387" s="21">
        <v>377</v>
      </c>
      <c r="BC387" s="21">
        <v>1.79779</v>
      </c>
      <c r="BD387">
        <f t="shared" si="70"/>
        <v>-0.99351728395061734</v>
      </c>
      <c r="BE387">
        <f t="shared" si="71"/>
        <v>-1.7867414834567903</v>
      </c>
    </row>
    <row r="388" spans="6:57" x14ac:dyDescent="0.25">
      <c r="F388" s="9"/>
      <c r="G388" s="21">
        <v>-8.3312999999999998E-2</v>
      </c>
      <c r="H388" s="21">
        <v>8.8851600000000008</v>
      </c>
      <c r="I388" s="21">
        <v>-1.5081799999999999E-2</v>
      </c>
      <c r="J388" s="21">
        <v>378</v>
      </c>
      <c r="K388" s="21">
        <v>-8.3831799999999998E-2</v>
      </c>
      <c r="L388">
        <f t="shared" si="60"/>
        <v>18.619506172839504</v>
      </c>
      <c r="M388">
        <f t="shared" si="61"/>
        <v>-1.5512469177777775</v>
      </c>
      <c r="N388" s="9"/>
      <c r="O388" s="21">
        <v>1.8034399999999999</v>
      </c>
      <c r="P388" s="21">
        <v>12.7446</v>
      </c>
      <c r="Q388" s="21">
        <v>1.3061500000000001E-3</v>
      </c>
      <c r="R388" s="21">
        <v>378</v>
      </c>
      <c r="S388" s="21">
        <v>1.80298</v>
      </c>
      <c r="T388">
        <f t="shared" si="62"/>
        <v>-1.6125308641975309</v>
      </c>
      <c r="U388">
        <f t="shared" si="63"/>
        <v>-2.9081026617283952</v>
      </c>
      <c r="X388" s="9"/>
      <c r="Y388" s="21">
        <v>-8.3312999999999998E-2</v>
      </c>
      <c r="Z388" s="21">
        <v>18.3004</v>
      </c>
      <c r="AA388" s="21">
        <v>-1.5081799999999999E-2</v>
      </c>
      <c r="AB388" s="21">
        <v>378</v>
      </c>
      <c r="AC388" s="21">
        <v>-8.3831799999999998E-2</v>
      </c>
      <c r="AD388">
        <f t="shared" si="64"/>
        <v>18.619506172839504</v>
      </c>
      <c r="AE388">
        <f t="shared" si="65"/>
        <v>-1.5512469177777775</v>
      </c>
      <c r="AF388" s="9"/>
      <c r="AG388" s="21">
        <v>1.8034399999999999</v>
      </c>
      <c r="AH388" s="21">
        <v>22.159800000000001</v>
      </c>
      <c r="AI388" s="21">
        <v>1.7392E-3</v>
      </c>
      <c r="AJ388" s="21">
        <v>378</v>
      </c>
      <c r="AK388" s="21">
        <v>1.80328</v>
      </c>
      <c r="AL388">
        <f t="shared" si="66"/>
        <v>-2.1471604938271605</v>
      </c>
      <c r="AM388">
        <f t="shared" si="67"/>
        <v>-3.8722751209876543</v>
      </c>
      <c r="AP388" s="9"/>
      <c r="AQ388" s="21">
        <v>-8.3312999999999998E-2</v>
      </c>
      <c r="AR388" s="21">
        <v>27.6846</v>
      </c>
      <c r="AS388" s="21">
        <v>-1.5130599999999999E-2</v>
      </c>
      <c r="AT388" s="21">
        <v>378</v>
      </c>
      <c r="AU388" s="21">
        <v>-8.3923300000000006E-2</v>
      </c>
      <c r="AV388">
        <f t="shared" si="68"/>
        <v>18.679753086419751</v>
      </c>
      <c r="AW388">
        <f t="shared" si="69"/>
        <v>-1.5562662688888886</v>
      </c>
      <c r="AX388" s="9"/>
      <c r="AY388" s="21">
        <v>1.8034399999999999</v>
      </c>
      <c r="AZ388" s="21">
        <v>31.5441</v>
      </c>
      <c r="BA388" s="21">
        <v>2.1362299999999998E-3</v>
      </c>
      <c r="BB388" s="21">
        <v>378</v>
      </c>
      <c r="BC388" s="21">
        <v>1.80267</v>
      </c>
      <c r="BD388">
        <f t="shared" si="70"/>
        <v>-2.6373209876543204</v>
      </c>
      <c r="BE388">
        <f t="shared" si="71"/>
        <v>-4.7562501619753075</v>
      </c>
    </row>
    <row r="389" spans="6:57" x14ac:dyDescent="0.25">
      <c r="F389" s="9"/>
      <c r="G389" s="21">
        <v>-8.8348399999999994E-2</v>
      </c>
      <c r="H389" s="21">
        <v>8.8952299999999997</v>
      </c>
      <c r="I389" s="21">
        <v>-1.5090900000000001E-2</v>
      </c>
      <c r="J389" s="21">
        <v>379</v>
      </c>
      <c r="K389" s="21">
        <v>-8.8897699999999996E-2</v>
      </c>
      <c r="L389">
        <f t="shared" si="60"/>
        <v>18.630740740740741</v>
      </c>
      <c r="M389">
        <f t="shared" si="61"/>
        <v>-1.6459961352592591</v>
      </c>
      <c r="N389" s="9"/>
      <c r="O389" s="21">
        <v>1.80847</v>
      </c>
      <c r="P389" s="21">
        <v>12.7547</v>
      </c>
      <c r="Q389" s="21">
        <v>2.5402799999999998E-3</v>
      </c>
      <c r="R389" s="21">
        <v>379</v>
      </c>
      <c r="S389" s="21">
        <v>1.8075600000000001</v>
      </c>
      <c r="T389">
        <f t="shared" si="62"/>
        <v>-3.1361481481481479</v>
      </c>
      <c r="U389">
        <f t="shared" si="63"/>
        <v>-5.6716298414814812</v>
      </c>
      <c r="X389" s="9"/>
      <c r="Y389" s="21">
        <v>-8.8348399999999994E-2</v>
      </c>
      <c r="Z389" s="21">
        <v>18.310400000000001</v>
      </c>
      <c r="AA389" s="21">
        <v>-1.50787E-2</v>
      </c>
      <c r="AB389" s="21">
        <v>379</v>
      </c>
      <c r="AC389" s="21">
        <v>-8.8928199999999999E-2</v>
      </c>
      <c r="AD389">
        <f t="shared" si="64"/>
        <v>18.61567901234568</v>
      </c>
      <c r="AE389">
        <f t="shared" si="65"/>
        <v>-1.644665455654321</v>
      </c>
      <c r="AF389" s="9"/>
      <c r="AG389" s="21">
        <v>1.80847</v>
      </c>
      <c r="AH389" s="21">
        <v>22.169899999999998</v>
      </c>
      <c r="AI389" s="21">
        <v>3.1799300000000001E-3</v>
      </c>
      <c r="AJ389" s="21">
        <v>379</v>
      </c>
      <c r="AK389" s="21">
        <v>1.8075600000000001</v>
      </c>
      <c r="AL389">
        <f t="shared" si="66"/>
        <v>-3.9258395061728395</v>
      </c>
      <c r="AM389">
        <f t="shared" si="67"/>
        <v>-7.0997629717283948</v>
      </c>
      <c r="AP389" s="9"/>
      <c r="AQ389" s="21">
        <v>-8.8348399999999994E-2</v>
      </c>
      <c r="AR389" s="21">
        <v>27.694700000000001</v>
      </c>
      <c r="AS389" s="21">
        <v>-1.51276E-2</v>
      </c>
      <c r="AT389" s="21">
        <v>379</v>
      </c>
      <c r="AU389" s="21">
        <v>-8.8897699999999996E-2</v>
      </c>
      <c r="AV389">
        <f t="shared" si="68"/>
        <v>18.676049382716048</v>
      </c>
      <c r="AW389">
        <f t="shared" si="69"/>
        <v>-1.6499990812839505</v>
      </c>
      <c r="AX389" s="9"/>
      <c r="AY389" s="21">
        <v>1.80847</v>
      </c>
      <c r="AZ389" s="21">
        <v>31.554200000000002</v>
      </c>
      <c r="BA389" s="21">
        <v>3.5452299999999999E-3</v>
      </c>
      <c r="BB389" s="21">
        <v>379</v>
      </c>
      <c r="BC389" s="21">
        <v>1.8075600000000001</v>
      </c>
      <c r="BD389">
        <f t="shared" si="70"/>
        <v>-4.3768271604938267</v>
      </c>
      <c r="BE389">
        <f t="shared" si="71"/>
        <v>-7.9153606149382707</v>
      </c>
    </row>
    <row r="390" spans="6:57" x14ac:dyDescent="0.25">
      <c r="F390" s="9"/>
      <c r="G390" s="21">
        <v>-9.3383800000000003E-2</v>
      </c>
      <c r="H390" s="21">
        <v>8.9053000000000004</v>
      </c>
      <c r="I390" s="21">
        <v>-1.5096999999999999E-2</v>
      </c>
      <c r="J390" s="21">
        <v>380</v>
      </c>
      <c r="K390" s="21">
        <v>-9.3902600000000003E-2</v>
      </c>
      <c r="L390">
        <f t="shared" si="60"/>
        <v>18.638271604938272</v>
      </c>
      <c r="M390">
        <f t="shared" si="61"/>
        <v>-1.7405126279012346</v>
      </c>
      <c r="N390" s="9"/>
      <c r="O390" s="21">
        <v>1.81351</v>
      </c>
      <c r="P390" s="21">
        <v>12.764799999999999</v>
      </c>
      <c r="Q390" s="21">
        <v>3.8571199999999999E-3</v>
      </c>
      <c r="R390" s="21">
        <v>380</v>
      </c>
      <c r="S390" s="21">
        <v>1.8124400000000001</v>
      </c>
      <c r="T390">
        <f t="shared" si="62"/>
        <v>-4.7618765432098762</v>
      </c>
      <c r="U390">
        <f t="shared" si="63"/>
        <v>-8.6357107298765428</v>
      </c>
      <c r="X390" s="9"/>
      <c r="Y390" s="21">
        <v>-9.3383800000000003E-2</v>
      </c>
      <c r="Z390" s="21">
        <v>18.320499999999999</v>
      </c>
      <c r="AA390" s="21">
        <v>-1.50787E-2</v>
      </c>
      <c r="AB390" s="21">
        <v>380</v>
      </c>
      <c r="AC390" s="21">
        <v>-9.3902600000000003E-2</v>
      </c>
      <c r="AD390">
        <f t="shared" si="64"/>
        <v>18.61567901234568</v>
      </c>
      <c r="AE390">
        <f t="shared" si="65"/>
        <v>-1.7384028457530867</v>
      </c>
      <c r="AF390" s="9"/>
      <c r="AG390" s="21">
        <v>1.81351</v>
      </c>
      <c r="AH390" s="21">
        <v>22.18</v>
      </c>
      <c r="AI390" s="21">
        <v>4.7351099999999998E-3</v>
      </c>
      <c r="AJ390" s="21">
        <v>380</v>
      </c>
      <c r="AK390" s="21">
        <v>1.8130500000000001</v>
      </c>
      <c r="AL390">
        <f t="shared" si="66"/>
        <v>-5.8458148148148137</v>
      </c>
      <c r="AM390">
        <f t="shared" si="67"/>
        <v>-10.601443624814813</v>
      </c>
      <c r="AP390" s="9"/>
      <c r="AQ390" s="21">
        <v>-9.3383800000000003E-2</v>
      </c>
      <c r="AR390" s="21">
        <v>27.704699999999999</v>
      </c>
      <c r="AS390" s="21">
        <v>-1.5124500000000001E-2</v>
      </c>
      <c r="AT390" s="21">
        <v>380</v>
      </c>
      <c r="AU390" s="21">
        <v>-9.3933100000000005E-2</v>
      </c>
      <c r="AV390">
        <f t="shared" si="68"/>
        <v>18.672222222222221</v>
      </c>
      <c r="AW390">
        <f t="shared" si="69"/>
        <v>-1.7436830655555555</v>
      </c>
      <c r="AX390" s="9"/>
      <c r="AY390" s="21">
        <v>1.81351</v>
      </c>
      <c r="AZ390" s="21">
        <v>31.5642</v>
      </c>
      <c r="BA390" s="21">
        <v>5.07202E-3</v>
      </c>
      <c r="BB390" s="21">
        <v>380</v>
      </c>
      <c r="BC390" s="21">
        <v>1.8130500000000001</v>
      </c>
      <c r="BD390">
        <f t="shared" si="70"/>
        <v>-6.2617530864197528</v>
      </c>
      <c r="BE390">
        <f t="shared" si="71"/>
        <v>-11.355751839753086</v>
      </c>
    </row>
    <row r="391" spans="6:57" x14ac:dyDescent="0.25">
      <c r="F391" s="9"/>
      <c r="G391" s="21">
        <v>-9.8419199999999998E-2</v>
      </c>
      <c r="H391" s="21">
        <v>8.9153699999999994</v>
      </c>
      <c r="I391" s="21">
        <v>-1.5090900000000001E-2</v>
      </c>
      <c r="J391" s="21">
        <v>381</v>
      </c>
      <c r="K391" s="21">
        <v>-9.8937999999999998E-2</v>
      </c>
      <c r="L391">
        <f t="shared" si="60"/>
        <v>18.630740740740741</v>
      </c>
      <c r="M391">
        <f t="shared" si="61"/>
        <v>-1.833622599111111</v>
      </c>
      <c r="N391" s="9"/>
      <c r="O391" s="21">
        <v>1.81854</v>
      </c>
      <c r="P391" s="21">
        <v>12.774800000000001</v>
      </c>
      <c r="Q391" s="21">
        <v>5.2246100000000002E-3</v>
      </c>
      <c r="R391" s="21">
        <v>381</v>
      </c>
      <c r="S391" s="21">
        <v>1.81793</v>
      </c>
      <c r="T391">
        <f t="shared" si="62"/>
        <v>-6.4501358024691351</v>
      </c>
      <c r="U391">
        <f t="shared" si="63"/>
        <v>-11.729829962222221</v>
      </c>
      <c r="X391" s="9"/>
      <c r="Y391" s="21">
        <v>-9.8419199999999998E-2</v>
      </c>
      <c r="Z391" s="21">
        <v>18.3306</v>
      </c>
      <c r="AA391" s="21">
        <v>-1.5084800000000001E-2</v>
      </c>
      <c r="AB391" s="21">
        <v>381</v>
      </c>
      <c r="AC391" s="21">
        <v>-9.8907499999999995E-2</v>
      </c>
      <c r="AD391">
        <f t="shared" si="64"/>
        <v>18.623209876543207</v>
      </c>
      <c r="AE391">
        <f t="shared" si="65"/>
        <v>-1.8328814174814811</v>
      </c>
      <c r="AF391" s="9"/>
      <c r="AG391" s="21">
        <v>1.81854</v>
      </c>
      <c r="AH391" s="21">
        <v>22.190100000000001</v>
      </c>
      <c r="AI391" s="21">
        <v>6.3690200000000004E-3</v>
      </c>
      <c r="AJ391" s="21">
        <v>381</v>
      </c>
      <c r="AK391" s="21">
        <v>1.8176300000000001</v>
      </c>
      <c r="AL391">
        <f t="shared" si="66"/>
        <v>-7.862987654320988</v>
      </c>
      <c r="AM391">
        <f t="shared" si="67"/>
        <v>-14.299157568888889</v>
      </c>
      <c r="AP391" s="9"/>
      <c r="AQ391" s="21">
        <v>-9.8419199999999998E-2</v>
      </c>
      <c r="AR391" s="21">
        <v>27.7148</v>
      </c>
      <c r="AS391" s="21">
        <v>-1.51215E-2</v>
      </c>
      <c r="AT391" s="21">
        <v>381</v>
      </c>
      <c r="AU391" s="21">
        <v>-9.9029500000000006E-2</v>
      </c>
      <c r="AV391">
        <f t="shared" si="68"/>
        <v>18.668518518518518</v>
      </c>
      <c r="AW391">
        <f t="shared" si="69"/>
        <v>-1.8373406577777776</v>
      </c>
      <c r="AX391" s="9"/>
      <c r="AY391" s="21">
        <v>1.81854</v>
      </c>
      <c r="AZ391" s="21">
        <v>31.574300000000001</v>
      </c>
      <c r="BA391" s="21">
        <v>6.6314700000000004E-3</v>
      </c>
      <c r="BB391" s="21">
        <v>381</v>
      </c>
      <c r="BC391" s="21">
        <v>1.81793</v>
      </c>
      <c r="BD391">
        <f t="shared" si="70"/>
        <v>-8.1869999999999994</v>
      </c>
      <c r="BE391">
        <f t="shared" si="71"/>
        <v>-14.88838698</v>
      </c>
    </row>
    <row r="392" spans="6:57" x14ac:dyDescent="0.25">
      <c r="F392" s="9"/>
      <c r="G392" s="21">
        <v>-0.10345500000000001</v>
      </c>
      <c r="H392" s="21">
        <v>8.92544</v>
      </c>
      <c r="I392" s="21">
        <v>-1.5094E-2</v>
      </c>
      <c r="J392" s="21">
        <v>382</v>
      </c>
      <c r="K392" s="21">
        <v>-0.103851</v>
      </c>
      <c r="L392">
        <f t="shared" si="60"/>
        <v>18.634567901234568</v>
      </c>
      <c r="M392">
        <f t="shared" si="61"/>
        <v>-1.9278392222222225</v>
      </c>
      <c r="N392" s="9"/>
      <c r="O392" s="21">
        <v>1.82358</v>
      </c>
      <c r="P392" s="21">
        <v>12.7849</v>
      </c>
      <c r="Q392" s="21">
        <v>6.6619899999999996E-3</v>
      </c>
      <c r="R392" s="21">
        <v>382</v>
      </c>
      <c r="S392" s="21">
        <v>1.82281</v>
      </c>
      <c r="T392">
        <f t="shared" si="62"/>
        <v>-8.2246790123456783</v>
      </c>
      <c r="U392">
        <f t="shared" si="63"/>
        <v>-14.998360153333332</v>
      </c>
      <c r="X392" s="9"/>
      <c r="Y392" s="21">
        <v>-0.10345500000000001</v>
      </c>
      <c r="Z392" s="21">
        <v>18.340699999999998</v>
      </c>
      <c r="AA392" s="21">
        <v>-1.5075699999999999E-2</v>
      </c>
      <c r="AB392" s="21">
        <v>382</v>
      </c>
      <c r="AC392" s="21">
        <v>-0.103912</v>
      </c>
      <c r="AD392">
        <f t="shared" si="64"/>
        <v>18.611975308641973</v>
      </c>
      <c r="AE392">
        <f t="shared" si="65"/>
        <v>-1.9255019055555556</v>
      </c>
      <c r="AF392" s="9"/>
      <c r="AG392" s="21">
        <v>1.82358</v>
      </c>
      <c r="AH392" s="21">
        <v>22.200099999999999</v>
      </c>
      <c r="AI392" s="21">
        <v>8.0932599999999997E-3</v>
      </c>
      <c r="AJ392" s="21">
        <v>382</v>
      </c>
      <c r="AK392" s="21">
        <v>1.8234300000000001</v>
      </c>
      <c r="AL392">
        <f t="shared" si="66"/>
        <v>-9.9916790123456778</v>
      </c>
      <c r="AM392">
        <f t="shared" si="67"/>
        <v>-18.22062601333333</v>
      </c>
      <c r="AP392" s="9"/>
      <c r="AQ392" s="21">
        <v>-0.10345500000000001</v>
      </c>
      <c r="AR392" s="21">
        <v>27.724900000000002</v>
      </c>
      <c r="AS392" s="21">
        <v>-1.51276E-2</v>
      </c>
      <c r="AT392" s="21">
        <v>382</v>
      </c>
      <c r="AU392" s="21">
        <v>-0.103882</v>
      </c>
      <c r="AV392">
        <f t="shared" si="68"/>
        <v>18.676049382716048</v>
      </c>
      <c r="AW392">
        <f t="shared" si="69"/>
        <v>-1.9321306888888889</v>
      </c>
      <c r="AX392" s="9"/>
      <c r="AY392" s="21">
        <v>1.82358</v>
      </c>
      <c r="AZ392" s="21">
        <v>31.584399999999999</v>
      </c>
      <c r="BA392" s="21">
        <v>8.30994E-3</v>
      </c>
      <c r="BB392" s="21">
        <v>382</v>
      </c>
      <c r="BC392" s="21">
        <v>1.8231200000000001</v>
      </c>
      <c r="BD392">
        <f t="shared" si="70"/>
        <v>-10.259185185185183</v>
      </c>
      <c r="BE392">
        <f t="shared" si="71"/>
        <v>-18.708444919999994</v>
      </c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92"/>
  <sheetViews>
    <sheetView topLeftCell="AP1" workbookViewId="0">
      <selection activeCell="BD11" sqref="BD11:BE39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24.007003099999995</v>
      </c>
      <c r="M2" s="8" t="s">
        <v>14</v>
      </c>
      <c r="N2" s="9"/>
      <c r="O2" s="2">
        <f>ABS(S7-S6)/ABS(T7-T6)*1000</f>
        <v>437.88956043960002</v>
      </c>
      <c r="P2" s="2"/>
      <c r="Q2" s="6" t="s">
        <v>15</v>
      </c>
      <c r="R2" s="2"/>
      <c r="S2" s="7" t="s">
        <v>13</v>
      </c>
      <c r="T2" s="3">
        <f>T4*Q6*T9/100*100</f>
        <v>23.692385491358031</v>
      </c>
      <c r="U2" s="8" t="s">
        <v>14</v>
      </c>
      <c r="X2" s="9"/>
      <c r="Y2" s="2">
        <f>ABS(AC7-AC6)/ABS(AD7-AD6)*1000</f>
        <v>452.55234065909508</v>
      </c>
      <c r="Z2" s="2"/>
      <c r="AA2" s="6" t="s">
        <v>12</v>
      </c>
      <c r="AB2" s="2"/>
      <c r="AC2" s="7" t="s">
        <v>13</v>
      </c>
      <c r="AD2" s="3">
        <f>AD4*AA6*AD9/100*100</f>
        <v>25.084861839506168</v>
      </c>
      <c r="AE2" s="8" t="s">
        <v>14</v>
      </c>
      <c r="AF2" s="9"/>
      <c r="AG2" s="2">
        <f>ABS(AK7-AK6)/ABS(AL7-AL6)*1000</f>
        <v>1339.6224193547675</v>
      </c>
      <c r="AH2" s="2"/>
      <c r="AI2" s="6" t="s">
        <v>15</v>
      </c>
      <c r="AJ2" s="2"/>
      <c r="AK2" s="7" t="s">
        <v>13</v>
      </c>
      <c r="AL2" s="3">
        <f>AL4*AI6*AL9/100*100</f>
        <v>23.808900717283951</v>
      </c>
      <c r="AM2" s="8" t="s">
        <v>14</v>
      </c>
      <c r="AP2" s="9"/>
      <c r="AQ2" s="2">
        <f>ABS(AU7-AU6)/ABS(AV7-AV6)*1000</f>
        <v>669.44508196724883</v>
      </c>
      <c r="AR2" s="2"/>
      <c r="AS2" s="6" t="s">
        <v>12</v>
      </c>
      <c r="AT2" s="2"/>
      <c r="AU2" s="7" t="s">
        <v>13</v>
      </c>
      <c r="AV2" s="3">
        <f>AV4*AS6*AV9/100*100</f>
        <v>25.225245662962966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1.78894</v>
      </c>
      <c r="J3" s="2"/>
      <c r="K3" s="10">
        <f>INDEX(L11:L1056,MATCH(I3,K11:K1056,0))</f>
        <v>-0.30446049382716045</v>
      </c>
      <c r="L3" s="26" t="s">
        <v>16</v>
      </c>
      <c r="M3" s="11">
        <f>M9</f>
        <v>24.007003099999995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0.25747777777777775</v>
      </c>
      <c r="T3" s="26" t="s">
        <v>16</v>
      </c>
      <c r="U3" s="11">
        <f>U9</f>
        <v>23.692385491358028</v>
      </c>
      <c r="X3" s="9"/>
      <c r="Y3" s="2" t="s">
        <v>44</v>
      </c>
      <c r="Z3" s="2"/>
      <c r="AA3" s="2">
        <f>INDEX(AC11:AC856,MATCH(0,AD11:AD856,1))</f>
        <v>1.78467</v>
      </c>
      <c r="AB3" s="2"/>
      <c r="AC3" s="10">
        <f>INDEX(AD11:AD1056,MATCH(AA3,AC11:AC1056,0))</f>
        <v>-0.94717530864197519</v>
      </c>
      <c r="AD3" s="26" t="s">
        <v>16</v>
      </c>
      <c r="AE3" s="11">
        <f>AE9</f>
        <v>25.084861839506171</v>
      </c>
      <c r="AF3" s="9"/>
      <c r="AG3" s="2" t="s">
        <v>44</v>
      </c>
      <c r="AH3" s="2"/>
      <c r="AI3" s="2">
        <f>INDEX(AK11:AK1056,MATCH(0,AL11:AL1056,-1))</f>
        <v>1.7526200000000001</v>
      </c>
      <c r="AJ3" s="2"/>
      <c r="AK3" s="10">
        <f>INDEX(AL11:AL1056,MATCH(AI3,AK11:AK1056,0))</f>
        <v>0.36067283950617285</v>
      </c>
      <c r="AL3" s="26" t="s">
        <v>16</v>
      </c>
      <c r="AM3" s="11">
        <f>AM9</f>
        <v>23.808900717283951</v>
      </c>
      <c r="AP3" s="9"/>
      <c r="AQ3" s="2" t="s">
        <v>44</v>
      </c>
      <c r="AR3" s="2"/>
      <c r="AS3" s="2">
        <f>INDEX(AU11:AU856,MATCH(0,AV11:AV856,1))</f>
        <v>1.77887</v>
      </c>
      <c r="AT3" s="2"/>
      <c r="AU3" s="10">
        <f>INDEX(AV11:AV1056,MATCH(AS3,AU11:AU1056,0))</f>
        <v>-0.49253827160493824</v>
      </c>
      <c r="AV3" s="26" t="s">
        <v>16</v>
      </c>
      <c r="AW3" s="11">
        <f>AW9</f>
        <v>25.225245662962966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0.64991111111111111</v>
      </c>
      <c r="BD3" s="26" t="s">
        <v>16</v>
      </c>
      <c r="BE3" s="11">
        <f>BE9</f>
        <v>23.677626925925924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7.5173252279635738</v>
      </c>
      <c r="H4" s="2"/>
      <c r="I4" s="2">
        <f>INDEX(K11:K1000,1+MATCH(0,L11:L856,1))</f>
        <v>1.7843599999999999</v>
      </c>
      <c r="J4" s="2"/>
      <c r="K4" s="10">
        <f>INDEX(L11:L1056,MATCH(I4,K11:K1056,0))</f>
        <v>0.30479876543209872</v>
      </c>
      <c r="L4" s="25">
        <f>M3/(I6*L9)</f>
        <v>0.72577007069020327</v>
      </c>
      <c r="M4" s="8" t="s">
        <v>17</v>
      </c>
      <c r="N4" s="9"/>
      <c r="O4" s="2">
        <f>ABS(Q3-Q4)/ABS(S3-S4)*1000</f>
        <v>6.3759500694674394</v>
      </c>
      <c r="P4" s="2"/>
      <c r="Q4" s="2">
        <f>INDEX(S11:S856,1+MATCH(0,T11:T856,-1))</f>
        <v>1.7623899999999999</v>
      </c>
      <c r="R4" s="2"/>
      <c r="S4" s="10">
        <f>INDEX(T11:T856,MATCH(Q4,S11:S856,0))</f>
        <v>-0.60357037037037031</v>
      </c>
      <c r="T4" s="25">
        <f>U3/(Q6*T9)</f>
        <v>0.73263043298445385</v>
      </c>
      <c r="U4" s="8" t="s">
        <v>17</v>
      </c>
      <c r="X4" s="9"/>
      <c r="Y4" s="2">
        <f>ABS(AA3-AA4)/ABS(AC3-AC4)*1000</f>
        <v>5.1300771066135376</v>
      </c>
      <c r="Z4" s="2"/>
      <c r="AA4" s="2">
        <f>INDEX(AC11:AC1000,1+MATCH(0,AD11:AD856,1))</f>
        <v>1.7791699999999999</v>
      </c>
      <c r="AB4" s="2"/>
      <c r="AC4" s="10">
        <f>INDEX(AD11:AD1056,MATCH(AA4,AC11:AC1056,0))</f>
        <v>0.12493333333333333</v>
      </c>
      <c r="AD4" s="25">
        <f>AE3/(AA6*AD9)</f>
        <v>0.76122880434828666</v>
      </c>
      <c r="AE4" s="8" t="s">
        <v>17</v>
      </c>
      <c r="AF4" s="9"/>
      <c r="AG4" s="2">
        <f>ABS(AI3-AI4)/ABS(AK3-AK4)*1000</f>
        <v>4.4383511910229743</v>
      </c>
      <c r="AH4" s="2"/>
      <c r="AI4" s="2">
        <f>INDEX(AK11:AK856,1+MATCH(0,AL11:AL856,-1))</f>
        <v>1.7575099999999999</v>
      </c>
      <c r="AJ4" s="2"/>
      <c r="AK4" s="10">
        <f>INDEX(AL11:AL856,MATCH(AI4,AK11:AK856,0))</f>
        <v>-0.74108765432098767</v>
      </c>
      <c r="AL4" s="25">
        <f>AM3/(AI6*AL9)</f>
        <v>0.73576333639063096</v>
      </c>
      <c r="AM4" s="8" t="s">
        <v>17</v>
      </c>
      <c r="AP4" s="9"/>
      <c r="AQ4" s="2">
        <f>ABS(AS3-AS4)/ABS(AU3-AU4)*1000</f>
        <v>3.8776587291465936</v>
      </c>
      <c r="AR4" s="2"/>
      <c r="AS4" s="2">
        <f>INDEX(AU11:AU1000,1+MATCH(0,AV11:AV856,1))</f>
        <v>1.77399</v>
      </c>
      <c r="AT4" s="2"/>
      <c r="AU4" s="10">
        <f>INDEX(AV11:AV1056,MATCH(AS4,AU11:AU1056,0))</f>
        <v>0.76595308641975302</v>
      </c>
      <c r="AV4" s="25">
        <f>AW3/(AS6*AV9)</f>
        <v>0.76850548901454807</v>
      </c>
      <c r="AW4" s="8" t="s">
        <v>17</v>
      </c>
      <c r="AX4" s="9"/>
      <c r="AY4" s="2">
        <f>ABS(BA3-BA4)/ABS(BC3-BC4)*1000</f>
        <v>4.5743811957938458</v>
      </c>
      <c r="AZ4" s="2"/>
      <c r="BA4" s="2">
        <f>INDEX(BC11:BC856,1+MATCH(0,BD11:BD856,-1))</f>
        <v>1.7568999999999999</v>
      </c>
      <c r="BB4" s="2"/>
      <c r="BC4" s="10">
        <f>INDEX(BD11:BD856,MATCH(BA4,BC11:BC856,0))</f>
        <v>-0.28573456790123458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16.136666666666663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16.328765432098766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16.362716049382716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16.019876543209875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16.400370370370371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16.095185185185183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1.7866512714488347</v>
      </c>
      <c r="J6" s="25"/>
      <c r="K6" s="2">
        <f>INDEX(K11:K1056,MATCH(L6,L11:L1056,0))</f>
        <v>7.1289099999999996E-3</v>
      </c>
      <c r="L6" s="10">
        <f>INDEX(L11:L1056,MATCH(0,K11:K1056,-1))</f>
        <v>18.51395061728395</v>
      </c>
      <c r="M6" s="8" t="s">
        <v>22</v>
      </c>
      <c r="N6" s="9"/>
      <c r="O6" s="2"/>
      <c r="P6" s="2"/>
      <c r="Q6" s="27">
        <f>(Q3-Q4)/(S3-S4)*(-S4)+Q4</f>
        <v>1.7585416654551085</v>
      </c>
      <c r="R6" s="27"/>
      <c r="S6" s="2">
        <f>INDEX(S11:S1056,MATCH(T6,T11:T1056,0))</f>
        <v>-2.97668E-2</v>
      </c>
      <c r="T6" s="10">
        <f>INDEX(T11:T1056,MATCH(0,S11:S1056,1))</f>
        <v>18.45753086419753</v>
      </c>
      <c r="U6" s="8" t="s">
        <v>22</v>
      </c>
      <c r="X6" s="9"/>
      <c r="Y6" s="2"/>
      <c r="Z6" s="2"/>
      <c r="AA6" s="25">
        <f>(AA3-AA4)/(AC3-AC4)*(-AC4)+AA4</f>
        <v>1.7798109176331862</v>
      </c>
      <c r="AB6" s="25"/>
      <c r="AC6" s="2">
        <f>INDEX(AC11:AC1056,MATCH(AD6,AD11:AD1056,0))</f>
        <v>2.13013E-3</v>
      </c>
      <c r="AD6" s="10">
        <f>INDEX(AD11:AD1056,MATCH(0,AC11:AC1056,-1))</f>
        <v>18.510246913580243</v>
      </c>
      <c r="AE6" s="8" t="s">
        <v>22</v>
      </c>
      <c r="AF6" s="9"/>
      <c r="AG6" s="2"/>
      <c r="AH6" s="2"/>
      <c r="AI6" s="27">
        <f>(AI3-AI4)/(AK3-AK4)*(-AK4)+AI4</f>
        <v>1.7542207927267919</v>
      </c>
      <c r="AJ6" s="27"/>
      <c r="AK6" s="2">
        <f>INDEX(AK11:AK1056,MATCH(AL6,AL11:AL1056,0))</f>
        <v>-4.5196500000000001E-3</v>
      </c>
      <c r="AL6" s="10">
        <f>INDEX(AL11:AL1056,MATCH(0,AK11:AK1056,1))</f>
        <v>18.45</v>
      </c>
      <c r="AM6" s="8" t="s">
        <v>22</v>
      </c>
      <c r="AP6" s="9"/>
      <c r="AQ6" s="2"/>
      <c r="AR6" s="2"/>
      <c r="AS6" s="25">
        <f>(AS3-AS4)/(AU3-AU4)*(-AU4)+AS4</f>
        <v>1.7769601046716723</v>
      </c>
      <c r="AT6" s="25"/>
      <c r="AU6" s="2">
        <f>INDEX(AU11:AU1056,MATCH(AV6,AV11:AV1056,0))</f>
        <v>2.0752000000000001E-3</v>
      </c>
      <c r="AV6" s="10">
        <f>INDEX(AV11:AV1056,MATCH(0,AU11:AU1056,-1))</f>
        <v>18.468765432098763</v>
      </c>
      <c r="AW6" s="8" t="s">
        <v>22</v>
      </c>
      <c r="AX6" s="9"/>
      <c r="AY6" s="2"/>
      <c r="AZ6" s="2"/>
      <c r="BA6" s="27">
        <f>(BA3-BA4)/(BC3-BC4)*(-BC4)+BA4</f>
        <v>1.7555929411656042</v>
      </c>
      <c r="BB6" s="27"/>
      <c r="BC6" s="2">
        <f>INDEX(BC11:BC1056,MATCH(BD6,BD11:BD1056,0))</f>
        <v>-9.0271000000000004E-2</v>
      </c>
      <c r="BD6" s="10">
        <f>INDEX(BD11:BD1056,MATCH(0,BC11:BC1056,1))</f>
        <v>18.46506172839506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-7.3700000000000002E-2</v>
      </c>
      <c r="L7" s="10">
        <f>INDEX(L11:L856,1+MATCH(0,K11:K856,-1))</f>
        <v>18.51395061728395</v>
      </c>
      <c r="M7" s="12">
        <f>INDEX(K11:K1056,MATCH(M9,M11:M1056,0))</f>
        <v>1.48682</v>
      </c>
      <c r="N7" s="9"/>
      <c r="O7" s="2"/>
      <c r="P7" s="2"/>
      <c r="Q7" s="2"/>
      <c r="R7" s="2"/>
      <c r="S7" s="2">
        <f>INDEX(S11:S1056,MATCH(T7,T11:T1056,0))</f>
        <v>-3.4686300000000003E-2</v>
      </c>
      <c r="T7" s="10">
        <f>INDEX(T11:T1056,1+MATCH(0,S11:S1056,1))</f>
        <v>18.468765432098763</v>
      </c>
      <c r="U7" s="12">
        <f>INDEX(S11:S1056,MATCH(U9,U11:U1056,0))</f>
        <v>1.4501999999999999</v>
      </c>
      <c r="X7" s="9"/>
      <c r="Y7" s="2"/>
      <c r="Z7" s="2"/>
      <c r="AA7" s="2"/>
      <c r="AB7" s="2"/>
      <c r="AC7" s="2">
        <f>INDEX(AC11:AC856,MATCH(AD7,AD11:AD856,1))</f>
        <v>-2.9540999999999999E-3</v>
      </c>
      <c r="AD7" s="10">
        <f>INDEX(AD11:AD856,1+MATCH(0,AC11:AC856,-1))</f>
        <v>18.521481481481484</v>
      </c>
      <c r="AE7" s="12">
        <f>INDEX(AC11:AC1056,MATCH(AE9,AE11:AE1056,0))</f>
        <v>1.5325899999999999</v>
      </c>
      <c r="AF7" s="9"/>
      <c r="AG7" s="2"/>
      <c r="AH7" s="2"/>
      <c r="AI7" s="2"/>
      <c r="AJ7" s="2"/>
      <c r="AK7" s="2">
        <f>INDEX(AK11:AK1056,MATCH(AL7,AL11:AL1056,0))</f>
        <v>6.0729999999999996E-4</v>
      </c>
      <c r="AL7" s="10">
        <f>INDEX(AL11:AL1056,1+MATCH(0,AK11:AK1056,1))</f>
        <v>18.446172839506172</v>
      </c>
      <c r="AM7" s="12">
        <f>INDEX(AK11:AK1056,MATCH(AM9,AM11:AM1056,0))</f>
        <v>1.4859</v>
      </c>
      <c r="AP7" s="9"/>
      <c r="AQ7" s="2"/>
      <c r="AR7" s="2"/>
      <c r="AS7" s="2"/>
      <c r="AT7" s="2"/>
      <c r="AU7" s="2">
        <f>INDEX(AU11:AU856,MATCH(AV7,AV11:AV856,1))</f>
        <v>7.1167000000000001E-3</v>
      </c>
      <c r="AV7" s="10">
        <f>INDEX(AV11:AV856,1+MATCH(0,AU11:AU856,-1))</f>
        <v>18.461234567901233</v>
      </c>
      <c r="AW7" s="12">
        <f>INDEX(AU11:AU1056,MATCH(AW9,AW11:AW1056,0))</f>
        <v>1.5377799999999999</v>
      </c>
      <c r="AX7" s="9"/>
      <c r="AY7" s="2"/>
      <c r="AZ7" s="2"/>
      <c r="BA7" s="2"/>
      <c r="BB7" s="2"/>
      <c r="BC7" s="2">
        <f>INDEX(BC11:BC1056,MATCH(BD7,BD11:BD1056,0))</f>
        <v>-9.0271000000000004E-2</v>
      </c>
      <c r="BD7" s="10">
        <f>INDEX(BD11:BD1056,1+MATCH(0,BC11:BC1056,1))</f>
        <v>18.46506172839506</v>
      </c>
      <c r="BE7" s="12">
        <f>INDEX(BC11:BC1056,MATCH(BE9,BE11:BE1056,0))</f>
        <v>1.4700299999999999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1.3105242971454596</v>
      </c>
      <c r="J9" s="2"/>
      <c r="K9" s="2"/>
      <c r="L9" s="3">
        <f>(L6-L7)/(K6-K7)*(-K7)+L7</f>
        <v>18.51395061728395</v>
      </c>
      <c r="M9" s="15">
        <f>MAX(M11:M1056)</f>
        <v>24.007003099999995</v>
      </c>
      <c r="N9" s="9"/>
      <c r="O9" s="2"/>
      <c r="P9" s="2"/>
      <c r="Q9" s="2"/>
      <c r="R9" s="2"/>
      <c r="S9" s="2"/>
      <c r="T9" s="3">
        <f>(T6-T7)/(S6-S7)*(-S7)+T7</f>
        <v>18.389552993315846</v>
      </c>
      <c r="U9" s="15">
        <f>MAX(U11:U1056)</f>
        <v>23.692385491358028</v>
      </c>
      <c r="X9" s="9"/>
      <c r="Y9" s="2"/>
      <c r="Z9" s="2"/>
      <c r="AA9" s="14">
        <f>(MAX(AD2,AL2)-MIN(AD2,AL2))/MAX(AD2,AL2)%</f>
        <v>5.086578233461525</v>
      </c>
      <c r="AB9" s="2"/>
      <c r="AC9" s="2"/>
      <c r="AD9" s="3">
        <f>(AD6-AD7)/(AC6-AC7)*(-AC7)+AD7</f>
        <v>18.514953838743633</v>
      </c>
      <c r="AE9" s="15">
        <f>MAX(AE11:AE1056)</f>
        <v>25.084861839506171</v>
      </c>
      <c r="AF9" s="9"/>
      <c r="AG9" s="2"/>
      <c r="AH9" s="2"/>
      <c r="AI9" s="2"/>
      <c r="AJ9" s="2"/>
      <c r="AK9" s="2"/>
      <c r="AL9" s="3">
        <f>(AL6-AL7)/(AK6-AK7)*(-AK7)+AL7</f>
        <v>18.446626176201068</v>
      </c>
      <c r="AM9" s="15">
        <f>MAX(AM11:AM1056)</f>
        <v>23.808900717283951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18.471865312964123</v>
      </c>
      <c r="AW9" s="15">
        <f>MAX(AW11:AW1056)</f>
        <v>25.225245662962966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23.677626925925924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1.7866512714488347</v>
      </c>
      <c r="B11" s="18">
        <f>IFERROR(L9,0)</f>
        <v>18.51395061728395</v>
      </c>
      <c r="C11" s="19">
        <f>IFERROR(L4,0)</f>
        <v>0.72577007069020327</v>
      </c>
      <c r="D11" s="20">
        <f>IFERROR(L2,0)</f>
        <v>24.007003099999995</v>
      </c>
      <c r="E11" s="20">
        <f>IFERROR(I9,0)</f>
        <v>1.3105242971454596</v>
      </c>
      <c r="F11" s="9"/>
      <c r="G11" s="21">
        <v>1.8150299999999999</v>
      </c>
      <c r="H11" s="21">
        <v>5.7484099999999998</v>
      </c>
      <c r="I11" s="21">
        <v>2.7749599999999999E-3</v>
      </c>
      <c r="J11" s="21">
        <v>1</v>
      </c>
      <c r="K11" s="21">
        <v>1.81396</v>
      </c>
      <c r="L11">
        <f>-I11/$F$2*1000</f>
        <v>-3.4258765432098763</v>
      </c>
      <c r="M11">
        <f>L11*G11</f>
        <v>-6.2180687022222214</v>
      </c>
      <c r="N11" s="9"/>
      <c r="O11" s="21">
        <v>-9.49097E-2</v>
      </c>
      <c r="P11" s="21">
        <v>9.6078799999999998</v>
      </c>
      <c r="Q11" s="21">
        <v>-1.4987199999999999E-2</v>
      </c>
      <c r="R11" s="21">
        <v>1</v>
      </c>
      <c r="S11" s="21">
        <v>-9.5397899999999994E-2</v>
      </c>
      <c r="T11">
        <f>-Q11/$F$2*1000</f>
        <v>18.502716049382713</v>
      </c>
      <c r="U11">
        <f>T11*O11</f>
        <v>-1.7560872294320984</v>
      </c>
      <c r="V11" s="22"/>
      <c r="W11" s="23"/>
      <c r="X11" s="9"/>
      <c r="Y11" s="21">
        <v>1.8150299999999999</v>
      </c>
      <c r="Z11" s="21">
        <v>15.1866</v>
      </c>
      <c r="AA11" s="21">
        <v>5.8166499999999996E-3</v>
      </c>
      <c r="AB11" s="21">
        <v>1</v>
      </c>
      <c r="AC11" s="21">
        <v>1.81427</v>
      </c>
      <c r="AD11">
        <f>-AA11/$F$2*1000</f>
        <v>-7.181049382716048</v>
      </c>
      <c r="AE11">
        <f>AD11*Y11</f>
        <v>-13.033820061111108</v>
      </c>
      <c r="AF11" s="9"/>
      <c r="AG11" s="21">
        <v>-9.49097E-2</v>
      </c>
      <c r="AH11" s="21">
        <v>19.046099999999999</v>
      </c>
      <c r="AI11" s="21">
        <v>-1.5036000000000001E-2</v>
      </c>
      <c r="AJ11" s="21">
        <v>1</v>
      </c>
      <c r="AK11" s="21">
        <v>-9.5336900000000002E-2</v>
      </c>
      <c r="AL11">
        <f>-AI11/$F$2*1000</f>
        <v>18.562962962962963</v>
      </c>
      <c r="AM11">
        <f>AL11*AG11</f>
        <v>-1.7618052459259259</v>
      </c>
      <c r="AP11" s="9"/>
      <c r="AQ11" s="21">
        <v>1.8150299999999999</v>
      </c>
      <c r="AR11" s="21">
        <v>24.594899999999999</v>
      </c>
      <c r="AS11" s="21">
        <v>8.04443E-3</v>
      </c>
      <c r="AT11" s="21">
        <v>1</v>
      </c>
      <c r="AU11" s="21">
        <v>1.81396</v>
      </c>
      <c r="AV11">
        <f>-AS11/$F$2*1000</f>
        <v>-9.9313950617283933</v>
      </c>
      <c r="AW11">
        <f>AV11*AQ11</f>
        <v>-18.025779978888885</v>
      </c>
      <c r="AX11" s="9"/>
      <c r="AY11" s="21">
        <v>-9.49097E-2</v>
      </c>
      <c r="AZ11" s="21">
        <v>28.4543</v>
      </c>
      <c r="BA11" s="21">
        <v>-1.4953599999999999E-2</v>
      </c>
      <c r="BB11" s="21">
        <v>1</v>
      </c>
      <c r="BC11" s="21">
        <v>-9.5459000000000002E-2</v>
      </c>
      <c r="BD11">
        <f>-BA11/$F$2*1000</f>
        <v>18.461234567901233</v>
      </c>
      <c r="BE11">
        <f>BD11*AY11</f>
        <v>-1.7521502344691355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1.7585416654551085</v>
      </c>
      <c r="B12" s="18">
        <f>IFERROR(T9,0)</f>
        <v>18.389552993315846</v>
      </c>
      <c r="C12" s="19">
        <f>IFERROR(T4,0)</f>
        <v>0.73263043298445385</v>
      </c>
      <c r="D12" s="20">
        <f>IFERROR(T2,0)</f>
        <v>23.692385491358031</v>
      </c>
      <c r="E12" s="20"/>
      <c r="F12" s="9"/>
      <c r="G12" s="21">
        <v>1.81</v>
      </c>
      <c r="H12" s="21">
        <v>5.7584799999999996</v>
      </c>
      <c r="I12" s="21">
        <v>2.2396899999999999E-3</v>
      </c>
      <c r="J12" s="21">
        <v>2</v>
      </c>
      <c r="K12" s="21">
        <v>1.8087800000000001</v>
      </c>
      <c r="L12">
        <f t="shared" ref="L12:L75" si="0">-I12/$F$2*1000</f>
        <v>-2.7650493827160494</v>
      </c>
      <c r="M12">
        <f t="shared" ref="M12:M75" si="1">L12*G12</f>
        <v>-5.0047393827160498</v>
      </c>
      <c r="N12" s="9"/>
      <c r="O12" s="21">
        <v>-8.9874300000000004E-2</v>
      </c>
      <c r="P12" s="21">
        <v>9.6179500000000004</v>
      </c>
      <c r="Q12" s="21">
        <v>-1.4993299999999999E-2</v>
      </c>
      <c r="R12" s="21">
        <v>2</v>
      </c>
      <c r="S12" s="21">
        <v>-9.0362499999999998E-2</v>
      </c>
      <c r="T12">
        <f t="shared" ref="T12:T75" si="2">-Q12/$F$2*1000</f>
        <v>18.510246913580243</v>
      </c>
      <c r="U12">
        <f t="shared" ref="U12:U75" si="3">T12*O12</f>
        <v>-1.663595484185185</v>
      </c>
      <c r="V12" s="22"/>
      <c r="W12" s="23"/>
      <c r="X12" s="9"/>
      <c r="Y12" s="21">
        <v>1.81</v>
      </c>
      <c r="Z12" s="21">
        <v>15.1967</v>
      </c>
      <c r="AA12" s="21">
        <v>4.8745699999999999E-3</v>
      </c>
      <c r="AB12" s="21">
        <v>2</v>
      </c>
      <c r="AC12" s="21">
        <v>1.8093900000000001</v>
      </c>
      <c r="AD12">
        <f t="shared" ref="AD12:AD75" si="4">-AA12/$F$2*1000</f>
        <v>-6.0179876543209874</v>
      </c>
      <c r="AE12">
        <f t="shared" ref="AE12:AE75" si="5">AD12*Y12</f>
        <v>-10.892557654320987</v>
      </c>
      <c r="AF12" s="9"/>
      <c r="AG12" s="21">
        <v>-8.9874300000000004E-2</v>
      </c>
      <c r="AH12" s="21">
        <v>19.0562</v>
      </c>
      <c r="AI12" s="21">
        <v>-1.5042099999999999E-2</v>
      </c>
      <c r="AJ12" s="21">
        <v>2</v>
      </c>
      <c r="AK12" s="21">
        <v>-9.0362499999999998E-2</v>
      </c>
      <c r="AL12">
        <f t="shared" ref="AL12:AL75" si="6">-AI12/$F$2*1000</f>
        <v>18.570493827160494</v>
      </c>
      <c r="AM12">
        <f t="shared" ref="AM12:AM75" si="7">AL12*AG12</f>
        <v>-1.6690101333703704</v>
      </c>
      <c r="AP12" s="9"/>
      <c r="AQ12" s="21">
        <v>1.81</v>
      </c>
      <c r="AR12" s="21">
        <v>24.604900000000001</v>
      </c>
      <c r="AS12" s="21">
        <v>6.8542500000000001E-3</v>
      </c>
      <c r="AT12" s="21">
        <v>2</v>
      </c>
      <c r="AU12" s="21">
        <v>1.80969</v>
      </c>
      <c r="AV12">
        <f t="shared" ref="AV12:AV75" si="8">-AS12/$F$2*1000</f>
        <v>-8.462037037037037</v>
      </c>
      <c r="AW12">
        <f t="shared" ref="AW12:AW75" si="9">AV12*AQ12</f>
        <v>-15.316287037037037</v>
      </c>
      <c r="AX12" s="9"/>
      <c r="AY12" s="21">
        <v>-8.9874300000000004E-2</v>
      </c>
      <c r="AZ12" s="21">
        <v>28.464400000000001</v>
      </c>
      <c r="BA12" s="21">
        <v>-1.49567E-2</v>
      </c>
      <c r="BB12" s="21">
        <v>2</v>
      </c>
      <c r="BC12" s="21">
        <v>-9.0271000000000004E-2</v>
      </c>
      <c r="BD12">
        <f t="shared" ref="BD12:BD75" si="10">-BA12/$F$2*1000</f>
        <v>18.46506172839506</v>
      </c>
      <c r="BE12">
        <f t="shared" ref="BE12:BE75" si="11">BD12*AY12</f>
        <v>-1.6595344972962962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1.7798109176331862</v>
      </c>
      <c r="B13" s="18">
        <f>IFERROR(AD9,0)</f>
        <v>18.514953838743633</v>
      </c>
      <c r="C13" s="19">
        <f>IFERROR(AD4,0)</f>
        <v>0.76122880434828666</v>
      </c>
      <c r="D13" s="20">
        <f>IFERROR(AD2,0)</f>
        <v>25.084861839506168</v>
      </c>
      <c r="E13" s="20">
        <f>IFERROR(AA9,0)</f>
        <v>5.086578233461525</v>
      </c>
      <c r="F13" s="9"/>
      <c r="G13" s="21">
        <v>1.8049599999999999</v>
      </c>
      <c r="H13" s="21">
        <v>5.7685500000000003</v>
      </c>
      <c r="I13" s="21">
        <v>1.7361500000000001E-3</v>
      </c>
      <c r="J13" s="21">
        <v>3</v>
      </c>
      <c r="K13" s="21">
        <v>1.80481</v>
      </c>
      <c r="L13">
        <f t="shared" si="0"/>
        <v>-2.1433950617283952</v>
      </c>
      <c r="M13">
        <f t="shared" si="1"/>
        <v>-3.8687423506172842</v>
      </c>
      <c r="N13" s="9"/>
      <c r="O13" s="21">
        <v>-8.4838899999999995E-2</v>
      </c>
      <c r="P13" s="21">
        <v>9.6280199999999994</v>
      </c>
      <c r="Q13" s="21">
        <v>-1.5002400000000001E-2</v>
      </c>
      <c r="R13" s="21">
        <v>3</v>
      </c>
      <c r="S13" s="21">
        <v>-8.5205100000000006E-2</v>
      </c>
      <c r="T13">
        <f t="shared" si="2"/>
        <v>18.521481481481484</v>
      </c>
      <c r="U13">
        <f t="shared" si="3"/>
        <v>-1.5713421152592593</v>
      </c>
      <c r="V13" s="22"/>
      <c r="W13" s="23"/>
      <c r="X13" s="9"/>
      <c r="Y13" s="21">
        <v>1.8049599999999999</v>
      </c>
      <c r="Z13" s="21">
        <v>15.206799999999999</v>
      </c>
      <c r="AA13" s="21">
        <v>3.9559900000000004E-3</v>
      </c>
      <c r="AB13" s="21">
        <v>3</v>
      </c>
      <c r="AC13" s="21">
        <v>1.80389</v>
      </c>
      <c r="AD13">
        <f t="shared" si="4"/>
        <v>-4.8839382716049382</v>
      </c>
      <c r="AE13">
        <f t="shared" si="5"/>
        <v>-8.815313222716048</v>
      </c>
      <c r="AF13" s="9"/>
      <c r="AG13" s="21">
        <v>-8.4838899999999995E-2</v>
      </c>
      <c r="AH13" s="21">
        <v>19.066199999999998</v>
      </c>
      <c r="AI13" s="21">
        <v>-1.5036000000000001E-2</v>
      </c>
      <c r="AJ13" s="21">
        <v>3</v>
      </c>
      <c r="AK13" s="21">
        <v>-8.52966E-2</v>
      </c>
      <c r="AL13">
        <f t="shared" si="6"/>
        <v>18.562962962962963</v>
      </c>
      <c r="AM13">
        <f t="shared" si="7"/>
        <v>-1.5748613585185185</v>
      </c>
      <c r="AP13" s="9"/>
      <c r="AQ13" s="21">
        <v>1.8049599999999999</v>
      </c>
      <c r="AR13" s="21">
        <v>24.614999999999998</v>
      </c>
      <c r="AS13" s="21">
        <v>5.6671100000000004E-3</v>
      </c>
      <c r="AT13" s="21">
        <v>3</v>
      </c>
      <c r="AU13" s="21">
        <v>1.8042</v>
      </c>
      <c r="AV13">
        <f t="shared" si="8"/>
        <v>-6.9964320987654318</v>
      </c>
      <c r="AW13">
        <f t="shared" si="9"/>
        <v>-12.628280080987652</v>
      </c>
      <c r="AX13" s="9"/>
      <c r="AY13" s="21">
        <v>-8.4838899999999995E-2</v>
      </c>
      <c r="AZ13" s="21">
        <v>28.474499999999999</v>
      </c>
      <c r="BA13" s="21">
        <v>-1.49689E-2</v>
      </c>
      <c r="BB13" s="21">
        <v>3</v>
      </c>
      <c r="BC13" s="21">
        <v>-8.52966E-2</v>
      </c>
      <c r="BD13">
        <f t="shared" si="10"/>
        <v>18.480123456790125</v>
      </c>
      <c r="BE13">
        <f t="shared" si="11"/>
        <v>-1.5678333459382716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1.7542207927267919</v>
      </c>
      <c r="B14" s="18">
        <f>IFERROR(AL9,0)</f>
        <v>18.446626176201068</v>
      </c>
      <c r="C14" s="19">
        <f>IFERROR(AL4,0)</f>
        <v>0.73576333639063096</v>
      </c>
      <c r="D14" s="20">
        <f>IFERROR(AL2,0)</f>
        <v>23.808900717283951</v>
      </c>
      <c r="E14" s="20"/>
      <c r="F14" s="9"/>
      <c r="G14" s="21">
        <v>1.79993</v>
      </c>
      <c r="H14" s="21">
        <v>5.7786200000000001</v>
      </c>
      <c r="I14" s="21">
        <v>1.22467E-3</v>
      </c>
      <c r="J14" s="21">
        <v>4</v>
      </c>
      <c r="K14" s="21">
        <v>1.79901</v>
      </c>
      <c r="L14">
        <f t="shared" si="0"/>
        <v>-1.5119382716049381</v>
      </c>
      <c r="M14">
        <f t="shared" si="1"/>
        <v>-2.7213830532098764</v>
      </c>
      <c r="N14" s="9"/>
      <c r="O14" s="21">
        <v>-7.9803499999999999E-2</v>
      </c>
      <c r="P14" s="21">
        <v>9.63809</v>
      </c>
      <c r="Q14" s="21">
        <v>-1.4993299999999999E-2</v>
      </c>
      <c r="R14" s="21">
        <v>4</v>
      </c>
      <c r="S14" s="21">
        <v>-8.0291699999999994E-2</v>
      </c>
      <c r="T14">
        <f t="shared" si="2"/>
        <v>18.510246913580243</v>
      </c>
      <c r="U14">
        <f t="shared" si="3"/>
        <v>-1.4771824895679009</v>
      </c>
      <c r="V14" s="22"/>
      <c r="W14" s="23"/>
      <c r="X14" s="9"/>
      <c r="Y14" s="21">
        <v>1.79993</v>
      </c>
      <c r="Z14" s="21">
        <v>15.216799999999999</v>
      </c>
      <c r="AA14" s="21">
        <v>3.43597E-3</v>
      </c>
      <c r="AB14" s="21">
        <v>4</v>
      </c>
      <c r="AC14" s="21">
        <v>1.79871</v>
      </c>
      <c r="AD14">
        <f t="shared" si="4"/>
        <v>-4.2419382716049379</v>
      </c>
      <c r="AE14">
        <f t="shared" si="5"/>
        <v>-7.6351919532098762</v>
      </c>
      <c r="AF14" s="9"/>
      <c r="AG14" s="21">
        <v>-7.9803499999999999E-2</v>
      </c>
      <c r="AH14" s="21">
        <v>19.0763</v>
      </c>
      <c r="AI14" s="21">
        <v>-1.50391E-2</v>
      </c>
      <c r="AJ14" s="21">
        <v>4</v>
      </c>
      <c r="AK14" s="21">
        <v>-8.0261200000000005E-2</v>
      </c>
      <c r="AL14">
        <f t="shared" si="6"/>
        <v>18.566790123456791</v>
      </c>
      <c r="AM14">
        <f t="shared" si="7"/>
        <v>-1.4816948356172839</v>
      </c>
      <c r="AP14" s="9"/>
      <c r="AQ14" s="21">
        <v>1.79993</v>
      </c>
      <c r="AR14" s="21">
        <v>24.6251</v>
      </c>
      <c r="AS14" s="21">
        <v>4.5727500000000004E-3</v>
      </c>
      <c r="AT14" s="21">
        <v>4</v>
      </c>
      <c r="AU14" s="21">
        <v>1.79901</v>
      </c>
      <c r="AV14">
        <f t="shared" si="8"/>
        <v>-5.6453703703703706</v>
      </c>
      <c r="AW14">
        <f t="shared" si="9"/>
        <v>-10.161271490740742</v>
      </c>
      <c r="AX14" s="9"/>
      <c r="AY14" s="21">
        <v>-7.9803499999999999E-2</v>
      </c>
      <c r="AZ14" s="21">
        <v>28.484500000000001</v>
      </c>
      <c r="BA14" s="21">
        <v>-1.49719E-2</v>
      </c>
      <c r="BB14" s="21">
        <v>4</v>
      </c>
      <c r="BC14" s="21">
        <v>-8.0291699999999994E-2</v>
      </c>
      <c r="BD14">
        <f t="shared" si="10"/>
        <v>18.483827160493824</v>
      </c>
      <c r="BE14">
        <f t="shared" si="11"/>
        <v>-1.4750741008024688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1.7769601046716723</v>
      </c>
      <c r="B15" s="18">
        <f>IFERROR(AV9,0)</f>
        <v>18.471865312964123</v>
      </c>
      <c r="C15" s="19">
        <f>IFERROR(AV4,0)</f>
        <v>0.76850548901454807</v>
      </c>
      <c r="D15" s="20">
        <f>IFERROR(AV2,0)</f>
        <v>25.225245662962966</v>
      </c>
      <c r="E15" s="20">
        <f>IFERROR(AS9,0)</f>
        <v>0</v>
      </c>
      <c r="F15" s="9"/>
      <c r="G15" s="21">
        <v>1.7948900000000001</v>
      </c>
      <c r="H15" s="21">
        <v>5.7886899999999999</v>
      </c>
      <c r="I15" s="21">
        <v>7.4493400000000005E-4</v>
      </c>
      <c r="J15" s="21">
        <v>5</v>
      </c>
      <c r="K15" s="21">
        <v>1.79413</v>
      </c>
      <c r="L15">
        <f t="shared" si="0"/>
        <v>-0.9196716049382716</v>
      </c>
      <c r="M15">
        <f t="shared" si="1"/>
        <v>-1.6507093669876545</v>
      </c>
      <c r="N15" s="9"/>
      <c r="O15" s="21">
        <v>-7.4768100000000004E-2</v>
      </c>
      <c r="P15" s="21">
        <v>9.6481600000000007</v>
      </c>
      <c r="Q15" s="21">
        <v>-1.49902E-2</v>
      </c>
      <c r="R15" s="21">
        <v>5</v>
      </c>
      <c r="S15" s="21">
        <v>-7.5225799999999995E-2</v>
      </c>
      <c r="T15">
        <f t="shared" si="2"/>
        <v>18.506419753086419</v>
      </c>
      <c r="U15">
        <f t="shared" si="3"/>
        <v>-1.3836898427407407</v>
      </c>
      <c r="V15" s="22"/>
      <c r="W15" s="23"/>
      <c r="X15" s="9"/>
      <c r="Y15" s="21">
        <v>1.7948900000000001</v>
      </c>
      <c r="Z15" s="21">
        <v>15.226900000000001</v>
      </c>
      <c r="AA15" s="21">
        <v>2.53601E-3</v>
      </c>
      <c r="AB15" s="21">
        <v>5</v>
      </c>
      <c r="AC15" s="21">
        <v>1.79443</v>
      </c>
      <c r="AD15">
        <f t="shared" si="4"/>
        <v>-3.1308765432098764</v>
      </c>
      <c r="AE15">
        <f t="shared" si="5"/>
        <v>-5.6195789986419751</v>
      </c>
      <c r="AF15" s="9"/>
      <c r="AG15" s="21">
        <v>-7.4768100000000004E-2</v>
      </c>
      <c r="AH15" s="21">
        <v>19.086400000000001</v>
      </c>
      <c r="AI15" s="21">
        <v>-1.50391E-2</v>
      </c>
      <c r="AJ15" s="21">
        <v>5</v>
      </c>
      <c r="AK15" s="21">
        <v>-7.5225799999999995E-2</v>
      </c>
      <c r="AL15">
        <f t="shared" si="6"/>
        <v>18.566790123456791</v>
      </c>
      <c r="AM15">
        <f t="shared" si="7"/>
        <v>-1.3882036206296298</v>
      </c>
      <c r="AP15" s="9"/>
      <c r="AQ15" s="21">
        <v>1.7948900000000001</v>
      </c>
      <c r="AR15" s="21">
        <v>24.635100000000001</v>
      </c>
      <c r="AS15" s="21">
        <v>3.4060700000000002E-3</v>
      </c>
      <c r="AT15" s="21">
        <v>5</v>
      </c>
      <c r="AU15" s="21">
        <v>1.79413</v>
      </c>
      <c r="AV15">
        <f t="shared" si="8"/>
        <v>-4.2050246913580249</v>
      </c>
      <c r="AW15">
        <f t="shared" si="9"/>
        <v>-7.5475567682716056</v>
      </c>
      <c r="AX15" s="9"/>
      <c r="AY15" s="21">
        <v>-7.4768100000000004E-2</v>
      </c>
      <c r="AZ15" s="21">
        <v>28.494599999999998</v>
      </c>
      <c r="BA15" s="21">
        <v>-1.49719E-2</v>
      </c>
      <c r="BB15" s="21">
        <v>5</v>
      </c>
      <c r="BC15" s="21">
        <v>-7.5195300000000007E-2</v>
      </c>
      <c r="BD15">
        <f t="shared" si="10"/>
        <v>18.483827160493824</v>
      </c>
      <c r="BE15">
        <f t="shared" si="11"/>
        <v>-1.3820006375185183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1.7555929411656042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1.78986</v>
      </c>
      <c r="H16" s="21">
        <v>5.7987599999999997</v>
      </c>
      <c r="I16" s="21">
        <v>2.4661300000000002E-4</v>
      </c>
      <c r="J16" s="21">
        <v>6</v>
      </c>
      <c r="K16" s="21">
        <v>1.78894</v>
      </c>
      <c r="L16">
        <f t="shared" si="0"/>
        <v>-0.30446049382716045</v>
      </c>
      <c r="M16">
        <f t="shared" si="1"/>
        <v>-0.54494165948148143</v>
      </c>
      <c r="N16" s="9"/>
      <c r="O16" s="21">
        <v>-6.9732699999999995E-2</v>
      </c>
      <c r="P16" s="21">
        <v>9.6582399999999993</v>
      </c>
      <c r="Q16" s="21">
        <v>-1.50116E-2</v>
      </c>
      <c r="R16" s="21">
        <v>6</v>
      </c>
      <c r="S16" s="21">
        <v>-7.0129399999999995E-2</v>
      </c>
      <c r="T16">
        <f t="shared" si="2"/>
        <v>18.532839506172838</v>
      </c>
      <c r="U16">
        <f t="shared" si="3"/>
        <v>-1.2923449374320986</v>
      </c>
      <c r="V16" s="22"/>
      <c r="W16" s="23"/>
      <c r="X16" s="9"/>
      <c r="Y16" s="21">
        <v>1.78986</v>
      </c>
      <c r="Z16" s="21">
        <v>15.237</v>
      </c>
      <c r="AA16" s="21">
        <v>1.64398E-3</v>
      </c>
      <c r="AB16" s="21">
        <v>6</v>
      </c>
      <c r="AC16" s="21">
        <v>1.78894</v>
      </c>
      <c r="AD16">
        <f t="shared" si="4"/>
        <v>-2.0296049382716048</v>
      </c>
      <c r="AE16">
        <f t="shared" si="5"/>
        <v>-3.6327086948148146</v>
      </c>
      <c r="AF16" s="9"/>
      <c r="AG16" s="21">
        <v>-6.9732699999999995E-2</v>
      </c>
      <c r="AH16" s="21">
        <v>19.096499999999999</v>
      </c>
      <c r="AI16" s="21">
        <v>-1.5042099999999999E-2</v>
      </c>
      <c r="AJ16" s="21">
        <v>6</v>
      </c>
      <c r="AK16" s="21">
        <v>-7.01904E-2</v>
      </c>
      <c r="AL16">
        <f t="shared" si="6"/>
        <v>18.570493827160494</v>
      </c>
      <c r="AM16">
        <f t="shared" si="7"/>
        <v>-1.2949706749012344</v>
      </c>
      <c r="AP16" s="9"/>
      <c r="AQ16" s="21">
        <v>1.78986</v>
      </c>
      <c r="AR16" s="21">
        <v>24.645199999999999</v>
      </c>
      <c r="AS16" s="21">
        <v>2.3345900000000001E-3</v>
      </c>
      <c r="AT16" s="21">
        <v>6</v>
      </c>
      <c r="AU16" s="21">
        <v>1.78986</v>
      </c>
      <c r="AV16">
        <f t="shared" si="8"/>
        <v>-2.8822098765432096</v>
      </c>
      <c r="AW16">
        <f t="shared" si="9"/>
        <v>-5.1587521696296292</v>
      </c>
      <c r="AX16" s="9"/>
      <c r="AY16" s="21">
        <v>-6.9732699999999995E-2</v>
      </c>
      <c r="AZ16" s="21">
        <v>28.5047</v>
      </c>
      <c r="BA16" s="21">
        <v>-1.4978E-2</v>
      </c>
      <c r="BB16" s="21">
        <v>6</v>
      </c>
      <c r="BC16" s="21">
        <v>-7.0251499999999995E-2</v>
      </c>
      <c r="BD16">
        <f t="shared" si="10"/>
        <v>18.491358024691355</v>
      </c>
      <c r="BE16">
        <f t="shared" si="11"/>
        <v>-1.2894523217283946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1.7848200000000001</v>
      </c>
      <c r="H17" s="21">
        <v>5.8088300000000004</v>
      </c>
      <c r="I17" s="21">
        <v>-2.46887E-4</v>
      </c>
      <c r="J17" s="21">
        <v>7</v>
      </c>
      <c r="K17" s="21">
        <v>1.7843599999999999</v>
      </c>
      <c r="L17">
        <f t="shared" si="0"/>
        <v>0.30479876543209872</v>
      </c>
      <c r="M17">
        <f t="shared" si="1"/>
        <v>0.54401093251851851</v>
      </c>
      <c r="N17" s="9"/>
      <c r="O17" s="21">
        <v>-6.4697299999999999E-2</v>
      </c>
      <c r="P17" s="21">
        <v>9.66831</v>
      </c>
      <c r="Q17" s="21">
        <v>-1.50116E-2</v>
      </c>
      <c r="R17" s="21">
        <v>7</v>
      </c>
      <c r="S17" s="21">
        <v>-6.5093999999999999E-2</v>
      </c>
      <c r="T17">
        <f t="shared" si="2"/>
        <v>18.532839506172838</v>
      </c>
      <c r="U17">
        <f t="shared" si="3"/>
        <v>-1.199024677382716</v>
      </c>
      <c r="V17" s="22"/>
      <c r="W17" s="23"/>
      <c r="X17" s="9"/>
      <c r="Y17" s="21">
        <v>1.7848200000000001</v>
      </c>
      <c r="Z17" s="21">
        <v>15.2471</v>
      </c>
      <c r="AA17" s="21">
        <v>7.6721199999999997E-4</v>
      </c>
      <c r="AB17" s="21">
        <v>7</v>
      </c>
      <c r="AC17" s="21">
        <v>1.78467</v>
      </c>
      <c r="AD17">
        <f t="shared" si="4"/>
        <v>-0.94717530864197519</v>
      </c>
      <c r="AE17">
        <f t="shared" si="5"/>
        <v>-1.6905374343703703</v>
      </c>
      <c r="AF17" s="9"/>
      <c r="AG17" s="21">
        <v>-6.4697299999999999E-2</v>
      </c>
      <c r="AH17" s="21">
        <v>19.1065</v>
      </c>
      <c r="AI17" s="21">
        <v>-1.50452E-2</v>
      </c>
      <c r="AJ17" s="21">
        <v>7</v>
      </c>
      <c r="AK17" s="21">
        <v>-6.5063499999999996E-2</v>
      </c>
      <c r="AL17">
        <f t="shared" si="6"/>
        <v>18.574320987654321</v>
      </c>
      <c r="AM17">
        <f t="shared" si="7"/>
        <v>-1.201708417234568</v>
      </c>
      <c r="AP17" s="9"/>
      <c r="AQ17" s="21">
        <v>1.7848200000000001</v>
      </c>
      <c r="AR17" s="21">
        <v>24.6553</v>
      </c>
      <c r="AS17" s="21">
        <v>1.2890600000000001E-3</v>
      </c>
      <c r="AT17" s="21">
        <v>7</v>
      </c>
      <c r="AU17" s="21">
        <v>1.78467</v>
      </c>
      <c r="AV17">
        <f t="shared" si="8"/>
        <v>-1.591432098765432</v>
      </c>
      <c r="AW17">
        <f t="shared" si="9"/>
        <v>-2.8404198385185184</v>
      </c>
      <c r="AX17" s="9"/>
      <c r="AY17" s="21">
        <v>-6.4697299999999999E-2</v>
      </c>
      <c r="AZ17" s="21">
        <v>28.514800000000001</v>
      </c>
      <c r="BA17" s="21">
        <v>-1.49719E-2</v>
      </c>
      <c r="BB17" s="21">
        <v>7</v>
      </c>
      <c r="BC17" s="21">
        <v>-6.5063499999999996E-2</v>
      </c>
      <c r="BD17">
        <f t="shared" si="10"/>
        <v>18.483827160493824</v>
      </c>
      <c r="BE17">
        <f t="shared" si="11"/>
        <v>-1.1958537109506171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1.77979</v>
      </c>
      <c r="H18" s="21">
        <v>5.8189000000000002</v>
      </c>
      <c r="I18" s="21">
        <v>-7.3242200000000004E-4</v>
      </c>
      <c r="J18" s="21">
        <v>8</v>
      </c>
      <c r="K18" s="21">
        <v>1.77887</v>
      </c>
      <c r="L18">
        <f t="shared" si="0"/>
        <v>0.90422469135802463</v>
      </c>
      <c r="M18">
        <f t="shared" si="1"/>
        <v>1.6093300634320986</v>
      </c>
      <c r="N18" s="9"/>
      <c r="O18" s="21">
        <v>-5.9661899999999997E-2</v>
      </c>
      <c r="P18" s="21">
        <v>9.6783800000000006</v>
      </c>
      <c r="Q18" s="21">
        <v>-1.5008499999999999E-2</v>
      </c>
      <c r="R18" s="21">
        <v>8</v>
      </c>
      <c r="S18" s="21">
        <v>-6.0089099999999999E-2</v>
      </c>
      <c r="T18">
        <f t="shared" si="2"/>
        <v>18.529012345679011</v>
      </c>
      <c r="U18">
        <f t="shared" si="3"/>
        <v>-1.1054760816666664</v>
      </c>
      <c r="V18" s="22"/>
      <c r="W18" s="23"/>
      <c r="X18" s="9"/>
      <c r="Y18" s="21">
        <v>1.77979</v>
      </c>
      <c r="Z18" s="21">
        <v>15.257099999999999</v>
      </c>
      <c r="AA18" s="21">
        <v>-1.01196E-4</v>
      </c>
      <c r="AB18" s="21">
        <v>8</v>
      </c>
      <c r="AC18" s="21">
        <v>1.7791699999999999</v>
      </c>
      <c r="AD18">
        <f t="shared" si="4"/>
        <v>0.12493333333333333</v>
      </c>
      <c r="AE18">
        <f t="shared" si="5"/>
        <v>0.22235509733333331</v>
      </c>
      <c r="AF18" s="9"/>
      <c r="AG18" s="21">
        <v>-5.9661899999999997E-2</v>
      </c>
      <c r="AH18" s="21">
        <v>19.116599999999998</v>
      </c>
      <c r="AI18" s="21">
        <v>-1.5042099999999999E-2</v>
      </c>
      <c r="AJ18" s="21">
        <v>8</v>
      </c>
      <c r="AK18" s="21">
        <v>-6.0089099999999999E-2</v>
      </c>
      <c r="AL18">
        <f t="shared" si="6"/>
        <v>18.570493827160494</v>
      </c>
      <c r="AM18">
        <f t="shared" si="7"/>
        <v>-1.1079509456666665</v>
      </c>
      <c r="AP18" s="9"/>
      <c r="AQ18" s="21">
        <v>1.77979</v>
      </c>
      <c r="AR18" s="21">
        <v>24.665299999999998</v>
      </c>
      <c r="AS18" s="21">
        <v>3.9895600000000001E-4</v>
      </c>
      <c r="AT18" s="21">
        <v>8</v>
      </c>
      <c r="AU18" s="21">
        <v>1.77887</v>
      </c>
      <c r="AV18">
        <f t="shared" si="8"/>
        <v>-0.49253827160493824</v>
      </c>
      <c r="AW18">
        <f t="shared" si="9"/>
        <v>-0.87661469041975304</v>
      </c>
      <c r="AX18" s="9"/>
      <c r="AY18" s="21">
        <v>-5.9661899999999997E-2</v>
      </c>
      <c r="AZ18" s="21">
        <v>28.524799999999999</v>
      </c>
      <c r="BA18" s="21">
        <v>-1.49658E-2</v>
      </c>
      <c r="BB18" s="21">
        <v>8</v>
      </c>
      <c r="BC18" s="21">
        <v>-6.0119600000000002E-2</v>
      </c>
      <c r="BD18">
        <f t="shared" si="10"/>
        <v>18.476296296296297</v>
      </c>
      <c r="BE18">
        <f t="shared" si="11"/>
        <v>-1.102330942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1.77475</v>
      </c>
      <c r="H19" s="21">
        <v>5.82897</v>
      </c>
      <c r="I19" s="21">
        <v>-1.21948E-3</v>
      </c>
      <c r="J19" s="21">
        <v>9</v>
      </c>
      <c r="K19" s="21">
        <v>1.77399</v>
      </c>
      <c r="L19">
        <f t="shared" si="0"/>
        <v>1.5055308641975307</v>
      </c>
      <c r="M19">
        <f t="shared" si="1"/>
        <v>2.6719409012345676</v>
      </c>
      <c r="N19" s="9"/>
      <c r="O19" s="21">
        <v>-5.4626500000000001E-2</v>
      </c>
      <c r="P19" s="21">
        <v>9.6884499999999996</v>
      </c>
      <c r="Q19" s="21">
        <v>-1.4996300000000001E-2</v>
      </c>
      <c r="R19" s="21">
        <v>9</v>
      </c>
      <c r="S19" s="21">
        <v>-5.50842E-2</v>
      </c>
      <c r="T19">
        <f t="shared" si="2"/>
        <v>18.51395061728395</v>
      </c>
      <c r="U19">
        <f t="shared" si="3"/>
        <v>-1.0113523233950616</v>
      </c>
      <c r="V19" s="22"/>
      <c r="W19" s="23"/>
      <c r="X19" s="9"/>
      <c r="Y19" s="21">
        <v>1.77475</v>
      </c>
      <c r="Z19" s="21">
        <v>15.267200000000001</v>
      </c>
      <c r="AA19" s="21">
        <v>-1.24329E-3</v>
      </c>
      <c r="AB19" s="21">
        <v>9</v>
      </c>
      <c r="AC19" s="21">
        <v>1.7746</v>
      </c>
      <c r="AD19">
        <f t="shared" si="4"/>
        <v>1.5349259259259256</v>
      </c>
      <c r="AE19">
        <f t="shared" si="5"/>
        <v>2.7241097870370363</v>
      </c>
      <c r="AF19" s="9"/>
      <c r="AG19" s="21">
        <v>-5.4626500000000001E-2</v>
      </c>
      <c r="AH19" s="21">
        <v>19.1267</v>
      </c>
      <c r="AI19" s="21">
        <v>-1.50391E-2</v>
      </c>
      <c r="AJ19" s="21">
        <v>9</v>
      </c>
      <c r="AK19" s="21">
        <v>-5.50842E-2</v>
      </c>
      <c r="AL19">
        <f t="shared" si="6"/>
        <v>18.566790123456791</v>
      </c>
      <c r="AM19">
        <f t="shared" si="7"/>
        <v>-1.0142387606790124</v>
      </c>
      <c r="AP19" s="9"/>
      <c r="AQ19" s="21">
        <v>1.77475</v>
      </c>
      <c r="AR19" s="21">
        <v>24.6754</v>
      </c>
      <c r="AS19" s="21">
        <v>-6.2042200000000003E-4</v>
      </c>
      <c r="AT19" s="21">
        <v>9</v>
      </c>
      <c r="AU19" s="21">
        <v>1.77399</v>
      </c>
      <c r="AV19">
        <f t="shared" si="8"/>
        <v>0.76595308641975302</v>
      </c>
      <c r="AW19">
        <f t="shared" si="9"/>
        <v>1.3593752401234567</v>
      </c>
      <c r="AX19" s="9"/>
      <c r="AY19" s="21">
        <v>-5.4626500000000001E-2</v>
      </c>
      <c r="AZ19" s="21">
        <v>28.5349</v>
      </c>
      <c r="BA19" s="21">
        <v>-1.49628E-2</v>
      </c>
      <c r="BB19" s="21">
        <v>9</v>
      </c>
      <c r="BC19" s="21">
        <v>-5.5145300000000001E-2</v>
      </c>
      <c r="BD19">
        <f t="shared" si="10"/>
        <v>18.472592592592594</v>
      </c>
      <c r="BE19">
        <f t="shared" si="11"/>
        <v>-1.0090930792592594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1.7697099999999999</v>
      </c>
      <c r="H20" s="21">
        <v>5.8390399999999998</v>
      </c>
      <c r="I20" s="21">
        <v>-1.7004399999999999E-3</v>
      </c>
      <c r="J20" s="21">
        <v>10</v>
      </c>
      <c r="K20" s="21">
        <v>1.7694099999999999</v>
      </c>
      <c r="L20">
        <f t="shared" si="0"/>
        <v>2.0993086419753082</v>
      </c>
      <c r="M20">
        <f t="shared" si="1"/>
        <v>3.7151674967901225</v>
      </c>
      <c r="N20" s="9"/>
      <c r="O20" s="21">
        <v>-4.9591099999999999E-2</v>
      </c>
      <c r="P20" s="21">
        <v>9.6985200000000003</v>
      </c>
      <c r="Q20" s="21">
        <v>-1.49902E-2</v>
      </c>
      <c r="R20" s="21">
        <v>10</v>
      </c>
      <c r="S20" s="21">
        <v>-5.00793E-2</v>
      </c>
      <c r="T20">
        <f t="shared" si="2"/>
        <v>18.506419753086419</v>
      </c>
      <c r="U20">
        <f t="shared" si="3"/>
        <v>-0.91775371261728389</v>
      </c>
      <c r="V20" s="22"/>
      <c r="W20" s="23"/>
      <c r="X20" s="9"/>
      <c r="Y20" s="21">
        <v>1.7697099999999999</v>
      </c>
      <c r="Z20" s="21">
        <v>15.2773</v>
      </c>
      <c r="AA20" s="21">
        <v>-2.0294200000000001E-3</v>
      </c>
      <c r="AB20" s="21">
        <v>10</v>
      </c>
      <c r="AC20" s="21">
        <v>1.7687999999999999</v>
      </c>
      <c r="AD20">
        <f t="shared" si="4"/>
        <v>2.5054567901234566</v>
      </c>
      <c r="AE20">
        <f t="shared" si="5"/>
        <v>4.4339319360493823</v>
      </c>
      <c r="AF20" s="9"/>
      <c r="AG20" s="21">
        <v>-4.9591099999999999E-2</v>
      </c>
      <c r="AH20" s="21">
        <v>19.136700000000001</v>
      </c>
      <c r="AI20" s="21">
        <v>-1.5029900000000001E-2</v>
      </c>
      <c r="AJ20" s="21">
        <v>10</v>
      </c>
      <c r="AK20" s="21">
        <v>-5.00793E-2</v>
      </c>
      <c r="AL20">
        <f t="shared" si="6"/>
        <v>18.555432098765429</v>
      </c>
      <c r="AM20">
        <f t="shared" si="7"/>
        <v>-0.92018428875308622</v>
      </c>
      <c r="AP20" s="9"/>
      <c r="AQ20" s="21">
        <v>1.7697099999999999</v>
      </c>
      <c r="AR20" s="21">
        <v>24.685500000000001</v>
      </c>
      <c r="AS20" s="21">
        <v>-1.61926E-3</v>
      </c>
      <c r="AT20" s="21">
        <v>10</v>
      </c>
      <c r="AU20" s="21">
        <v>1.7690999999999999</v>
      </c>
      <c r="AV20">
        <f t="shared" si="8"/>
        <v>1.9990864197530862</v>
      </c>
      <c r="AW20">
        <f t="shared" si="9"/>
        <v>3.5378032279012341</v>
      </c>
      <c r="AX20" s="9"/>
      <c r="AY20" s="21">
        <v>-4.9591099999999999E-2</v>
      </c>
      <c r="AZ20" s="21">
        <v>28.545000000000002</v>
      </c>
      <c r="BA20" s="21">
        <v>-1.49628E-2</v>
      </c>
      <c r="BB20" s="21">
        <v>10</v>
      </c>
      <c r="BC20" s="21">
        <v>-5.0048799999999997E-2</v>
      </c>
      <c r="BD20">
        <f t="shared" si="10"/>
        <v>18.472592592592594</v>
      </c>
      <c r="BE20">
        <f t="shared" si="11"/>
        <v>-0.91607618651851863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1.76468</v>
      </c>
      <c r="H21" s="21">
        <v>5.8491200000000001</v>
      </c>
      <c r="I21" s="21">
        <v>-2.1807900000000002E-3</v>
      </c>
      <c r="J21" s="21">
        <v>11</v>
      </c>
      <c r="K21" s="21">
        <v>1.7636099999999999</v>
      </c>
      <c r="L21">
        <f t="shared" si="0"/>
        <v>2.6923333333333335</v>
      </c>
      <c r="M21">
        <f t="shared" si="1"/>
        <v>4.751106786666667</v>
      </c>
      <c r="N21" s="9"/>
      <c r="O21" s="21">
        <v>-4.4555699999999997E-2</v>
      </c>
      <c r="P21" s="21">
        <v>9.7085899999999992</v>
      </c>
      <c r="Q21" s="21">
        <v>-1.4981100000000001E-2</v>
      </c>
      <c r="R21" s="21">
        <v>11</v>
      </c>
      <c r="S21" s="21">
        <v>-4.4793699999999999E-2</v>
      </c>
      <c r="T21">
        <f t="shared" si="2"/>
        <v>18.495185185185186</v>
      </c>
      <c r="U21">
        <f t="shared" si="3"/>
        <v>-0.82406592255555555</v>
      </c>
      <c r="V21" s="22"/>
      <c r="W21" s="23"/>
      <c r="X21" s="9"/>
      <c r="Y21" s="21">
        <v>1.76468</v>
      </c>
      <c r="Z21" s="21">
        <v>15.2873</v>
      </c>
      <c r="AA21" s="21">
        <v>-2.7816799999999999E-3</v>
      </c>
      <c r="AB21" s="21">
        <v>11</v>
      </c>
      <c r="AC21" s="21">
        <v>1.7633099999999999</v>
      </c>
      <c r="AD21">
        <f t="shared" si="4"/>
        <v>3.4341728395061724</v>
      </c>
      <c r="AE21">
        <f t="shared" si="5"/>
        <v>6.0602161264197525</v>
      </c>
      <c r="AF21" s="9"/>
      <c r="AG21" s="21">
        <v>-4.4555699999999997E-2</v>
      </c>
      <c r="AH21" s="21">
        <v>19.146799999999999</v>
      </c>
      <c r="AI21" s="21">
        <v>-1.50177E-2</v>
      </c>
      <c r="AJ21" s="21">
        <v>11</v>
      </c>
      <c r="AK21" s="21">
        <v>-4.4781500000000002E-2</v>
      </c>
      <c r="AL21">
        <f t="shared" si="6"/>
        <v>18.540370370370372</v>
      </c>
      <c r="AM21">
        <f t="shared" si="7"/>
        <v>-0.82607918011111114</v>
      </c>
      <c r="AP21" s="9"/>
      <c r="AQ21" s="21">
        <v>1.76468</v>
      </c>
      <c r="AR21" s="21">
        <v>24.695599999999999</v>
      </c>
      <c r="AS21" s="21">
        <v>-2.4664299999999999E-3</v>
      </c>
      <c r="AT21" s="21">
        <v>11</v>
      </c>
      <c r="AU21" s="21">
        <v>1.7633099999999999</v>
      </c>
      <c r="AV21">
        <f t="shared" si="8"/>
        <v>3.0449753086419751</v>
      </c>
      <c r="AW21">
        <f t="shared" si="9"/>
        <v>5.3734070276543209</v>
      </c>
      <c r="AX21" s="9"/>
      <c r="AY21" s="21">
        <v>-4.4555699999999997E-2</v>
      </c>
      <c r="AZ21" s="21">
        <v>28.555</v>
      </c>
      <c r="BA21" s="21">
        <v>-1.49719E-2</v>
      </c>
      <c r="BB21" s="21">
        <v>11</v>
      </c>
      <c r="BC21" s="21">
        <v>-4.4839499999999997E-2</v>
      </c>
      <c r="BD21">
        <f t="shared" si="10"/>
        <v>18.483827160493824</v>
      </c>
      <c r="BE21">
        <f t="shared" si="11"/>
        <v>-0.82355985781481467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1.7596400000000001</v>
      </c>
      <c r="H22" s="21">
        <v>5.8591899999999999</v>
      </c>
      <c r="I22" s="21">
        <v>-2.6498400000000001E-3</v>
      </c>
      <c r="J22" s="21">
        <v>12</v>
      </c>
      <c r="K22" s="21">
        <v>1.7584200000000001</v>
      </c>
      <c r="L22">
        <f t="shared" si="0"/>
        <v>3.2714074074074073</v>
      </c>
      <c r="M22">
        <f t="shared" si="1"/>
        <v>5.7564993303703709</v>
      </c>
      <c r="N22" s="9"/>
      <c r="O22" s="21">
        <v>-3.9520300000000001E-2</v>
      </c>
      <c r="P22" s="21">
        <v>9.7186599999999999</v>
      </c>
      <c r="Q22" s="21">
        <v>-1.49658E-2</v>
      </c>
      <c r="R22" s="21">
        <v>12</v>
      </c>
      <c r="S22" s="21">
        <v>-3.9801000000000003E-2</v>
      </c>
      <c r="T22">
        <f t="shared" si="2"/>
        <v>18.476296296296297</v>
      </c>
      <c r="U22">
        <f t="shared" si="3"/>
        <v>-0.73018877251851855</v>
      </c>
      <c r="V22" s="22"/>
      <c r="W22" s="23"/>
      <c r="X22" s="9"/>
      <c r="Y22" s="21">
        <v>1.7596400000000001</v>
      </c>
      <c r="Z22" s="21">
        <v>15.2974</v>
      </c>
      <c r="AA22" s="21">
        <v>-3.47687E-3</v>
      </c>
      <c r="AB22" s="21">
        <v>12</v>
      </c>
      <c r="AC22" s="21">
        <v>1.7593399999999999</v>
      </c>
      <c r="AD22">
        <f t="shared" si="4"/>
        <v>4.2924320987654321</v>
      </c>
      <c r="AE22">
        <f t="shared" si="5"/>
        <v>7.5531352182716054</v>
      </c>
      <c r="AF22" s="9"/>
      <c r="AG22" s="21">
        <v>-3.9520300000000001E-2</v>
      </c>
      <c r="AH22" s="21">
        <v>19.1569</v>
      </c>
      <c r="AI22" s="21">
        <v>-1.50116E-2</v>
      </c>
      <c r="AJ22" s="21">
        <v>12</v>
      </c>
      <c r="AK22" s="21">
        <v>-3.9794900000000001E-2</v>
      </c>
      <c r="AL22">
        <f t="shared" si="6"/>
        <v>18.532839506172838</v>
      </c>
      <c r="AM22">
        <f t="shared" si="7"/>
        <v>-0.73242337713580241</v>
      </c>
      <c r="AP22" s="9"/>
      <c r="AQ22" s="21">
        <v>1.7596400000000001</v>
      </c>
      <c r="AR22" s="21">
        <v>24.7056</v>
      </c>
      <c r="AS22" s="21">
        <v>-3.3773800000000001E-3</v>
      </c>
      <c r="AT22" s="21">
        <v>12</v>
      </c>
      <c r="AU22" s="21">
        <v>1.7593399999999999</v>
      </c>
      <c r="AV22">
        <f t="shared" si="8"/>
        <v>4.1696049382716049</v>
      </c>
      <c r="AW22">
        <f t="shared" si="9"/>
        <v>7.3370036335802471</v>
      </c>
      <c r="AX22" s="9"/>
      <c r="AY22" s="21">
        <v>-3.9520300000000001E-2</v>
      </c>
      <c r="AZ22" s="21">
        <v>28.565100000000001</v>
      </c>
      <c r="BA22" s="21">
        <v>-1.49719E-2</v>
      </c>
      <c r="BB22" s="21">
        <v>12</v>
      </c>
      <c r="BC22" s="21">
        <v>-3.9978E-2</v>
      </c>
      <c r="BD22">
        <f t="shared" si="10"/>
        <v>18.483827160493824</v>
      </c>
      <c r="BE22">
        <f t="shared" si="11"/>
        <v>-0.73048639453086406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1.75461</v>
      </c>
      <c r="H23" s="21">
        <v>5.8692599999999997</v>
      </c>
      <c r="I23" s="21">
        <v>-3.1109599999999999E-3</v>
      </c>
      <c r="J23" s="21">
        <v>13</v>
      </c>
      <c r="K23" s="21">
        <v>1.7541500000000001</v>
      </c>
      <c r="L23">
        <f t="shared" si="0"/>
        <v>3.8406913580246909</v>
      </c>
      <c r="M23">
        <f t="shared" si="1"/>
        <v>6.7389154637037025</v>
      </c>
      <c r="N23" s="9"/>
      <c r="O23" s="21">
        <v>-3.4484899999999999E-2</v>
      </c>
      <c r="P23" s="21">
        <v>9.7287300000000005</v>
      </c>
      <c r="Q23" s="21">
        <v>-1.4959699999999999E-2</v>
      </c>
      <c r="R23" s="21">
        <v>13</v>
      </c>
      <c r="S23" s="21">
        <v>-3.4686300000000003E-2</v>
      </c>
      <c r="T23">
        <f t="shared" si="2"/>
        <v>18.468765432098763</v>
      </c>
      <c r="U23">
        <f t="shared" si="3"/>
        <v>-0.63689352904938257</v>
      </c>
      <c r="V23" s="22"/>
      <c r="W23" s="23"/>
      <c r="X23" s="9"/>
      <c r="Y23" s="21">
        <v>1.75461</v>
      </c>
      <c r="Z23" s="21">
        <v>15.307499999999999</v>
      </c>
      <c r="AA23" s="21">
        <v>-4.11743E-3</v>
      </c>
      <c r="AB23" s="21">
        <v>13</v>
      </c>
      <c r="AC23" s="21">
        <v>1.7544599999999999</v>
      </c>
      <c r="AD23">
        <f t="shared" si="4"/>
        <v>5.0832469135802469</v>
      </c>
      <c r="AE23">
        <f t="shared" si="5"/>
        <v>8.9191158670370374</v>
      </c>
      <c r="AF23" s="9"/>
      <c r="AG23" s="21">
        <v>-3.4484899999999999E-2</v>
      </c>
      <c r="AH23" s="21">
        <v>19.166899999999998</v>
      </c>
      <c r="AI23" s="21">
        <v>-1.50055E-2</v>
      </c>
      <c r="AJ23" s="21">
        <v>13</v>
      </c>
      <c r="AK23" s="21">
        <v>-3.4726E-2</v>
      </c>
      <c r="AL23">
        <f t="shared" si="6"/>
        <v>18.525308641975307</v>
      </c>
      <c r="AM23">
        <f t="shared" si="7"/>
        <v>-0.63884341598765426</v>
      </c>
      <c r="AP23" s="9"/>
      <c r="AQ23" s="21">
        <v>1.75461</v>
      </c>
      <c r="AR23" s="21">
        <v>24.715699999999998</v>
      </c>
      <c r="AS23" s="21">
        <v>-4.1461199999999997E-3</v>
      </c>
      <c r="AT23" s="21">
        <v>13</v>
      </c>
      <c r="AU23" s="21">
        <v>1.7535400000000001</v>
      </c>
      <c r="AV23">
        <f t="shared" si="8"/>
        <v>5.118666666666666</v>
      </c>
      <c r="AW23">
        <f t="shared" si="9"/>
        <v>8.9812637199999994</v>
      </c>
      <c r="AX23" s="9"/>
      <c r="AY23" s="21">
        <v>-3.4484899999999999E-2</v>
      </c>
      <c r="AZ23" s="21">
        <v>28.575199999999999</v>
      </c>
      <c r="BA23" s="21">
        <v>-1.49628E-2</v>
      </c>
      <c r="BB23" s="21">
        <v>13</v>
      </c>
      <c r="BC23" s="21">
        <v>-3.4729000000000003E-2</v>
      </c>
      <c r="BD23">
        <f t="shared" si="10"/>
        <v>18.472592592592594</v>
      </c>
      <c r="BE23">
        <f t="shared" si="11"/>
        <v>-0.63702550829629634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1.7495700000000001</v>
      </c>
      <c r="H24" s="21">
        <v>5.8793300000000004</v>
      </c>
      <c r="I24" s="21">
        <v>-3.5409500000000002E-3</v>
      </c>
      <c r="J24" s="21">
        <v>14</v>
      </c>
      <c r="K24" s="21">
        <v>1.7486600000000001</v>
      </c>
      <c r="L24">
        <f t="shared" si="0"/>
        <v>4.3715432098765437</v>
      </c>
      <c r="M24">
        <f t="shared" si="1"/>
        <v>7.6483208537037051</v>
      </c>
      <c r="N24" s="9"/>
      <c r="O24" s="21">
        <v>-2.94495E-2</v>
      </c>
      <c r="P24" s="21">
        <v>9.7387999999999995</v>
      </c>
      <c r="Q24" s="21">
        <v>-1.49506E-2</v>
      </c>
      <c r="R24" s="21">
        <v>14</v>
      </c>
      <c r="S24" s="21">
        <v>-2.97668E-2</v>
      </c>
      <c r="T24">
        <f t="shared" si="2"/>
        <v>18.45753086419753</v>
      </c>
      <c r="U24">
        <f t="shared" si="3"/>
        <v>-0.54356505518518516</v>
      </c>
      <c r="V24" s="22"/>
      <c r="W24" s="23"/>
      <c r="X24" s="9"/>
      <c r="Y24" s="21">
        <v>1.7495700000000001</v>
      </c>
      <c r="Z24" s="21">
        <v>15.317500000000001</v>
      </c>
      <c r="AA24" s="21">
        <v>-4.7644000000000002E-3</v>
      </c>
      <c r="AB24" s="21">
        <v>14</v>
      </c>
      <c r="AC24" s="21">
        <v>1.7489600000000001</v>
      </c>
      <c r="AD24">
        <f t="shared" si="4"/>
        <v>5.8819753086419748</v>
      </c>
      <c r="AE24">
        <f t="shared" si="5"/>
        <v>10.290927540740741</v>
      </c>
      <c r="AF24" s="9"/>
      <c r="AG24" s="21">
        <v>-2.94495E-2</v>
      </c>
      <c r="AH24" s="21">
        <v>19.177</v>
      </c>
      <c r="AI24" s="21">
        <v>-1.4987199999999999E-2</v>
      </c>
      <c r="AJ24" s="21">
        <v>14</v>
      </c>
      <c r="AK24" s="21">
        <v>-2.9711899999999999E-2</v>
      </c>
      <c r="AL24">
        <f t="shared" si="6"/>
        <v>18.502716049382713</v>
      </c>
      <c r="AM24">
        <f t="shared" si="7"/>
        <v>-0.54489573629629617</v>
      </c>
      <c r="AP24" s="9"/>
      <c r="AQ24" s="21">
        <v>1.7495700000000001</v>
      </c>
      <c r="AR24" s="21">
        <v>24.7258</v>
      </c>
      <c r="AS24" s="21">
        <v>-4.8245199999999997E-3</v>
      </c>
      <c r="AT24" s="21">
        <v>14</v>
      </c>
      <c r="AU24" s="21">
        <v>1.7489600000000001</v>
      </c>
      <c r="AV24">
        <f t="shared" si="8"/>
        <v>5.9561975308641975</v>
      </c>
      <c r="AW24">
        <f t="shared" si="9"/>
        <v>10.420784514074075</v>
      </c>
      <c r="AX24" s="9"/>
      <c r="AY24" s="21">
        <v>-2.94495E-2</v>
      </c>
      <c r="AZ24" s="21">
        <v>28.5852</v>
      </c>
      <c r="BA24" s="21">
        <v>-1.4959699999999999E-2</v>
      </c>
      <c r="BB24" s="21">
        <v>14</v>
      </c>
      <c r="BC24" s="21">
        <v>-2.96844E-2</v>
      </c>
      <c r="BD24">
        <f t="shared" si="10"/>
        <v>18.468765432098763</v>
      </c>
      <c r="BE24">
        <f t="shared" si="11"/>
        <v>-0.54389590759259254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1.74454</v>
      </c>
      <c r="H25" s="21">
        <v>5.8894000000000002</v>
      </c>
      <c r="I25" s="21">
        <v>-3.9740000000000001E-3</v>
      </c>
      <c r="J25" s="21">
        <v>15</v>
      </c>
      <c r="K25" s="21">
        <v>1.74377</v>
      </c>
      <c r="L25">
        <f t="shared" si="0"/>
        <v>4.9061728395061728</v>
      </c>
      <c r="M25">
        <f t="shared" si="1"/>
        <v>8.5590147654320994</v>
      </c>
      <c r="N25" s="9"/>
      <c r="O25" s="21">
        <v>-2.4414100000000001E-2</v>
      </c>
      <c r="P25" s="21">
        <v>9.7488700000000001</v>
      </c>
      <c r="Q25" s="21">
        <v>-1.4959699999999999E-2</v>
      </c>
      <c r="R25" s="21">
        <v>15</v>
      </c>
      <c r="S25" s="21">
        <v>-2.4676500000000001E-2</v>
      </c>
      <c r="T25">
        <f t="shared" si="2"/>
        <v>18.468765432098763</v>
      </c>
      <c r="U25">
        <f t="shared" si="3"/>
        <v>-0.45089828613580246</v>
      </c>
      <c r="V25" s="22"/>
      <c r="W25" s="23"/>
      <c r="X25" s="9"/>
      <c r="Y25" s="21">
        <v>1.74454</v>
      </c>
      <c r="Z25" s="21">
        <v>15.3276</v>
      </c>
      <c r="AA25" s="21">
        <v>-5.3802499999999996E-3</v>
      </c>
      <c r="AB25" s="21">
        <v>15</v>
      </c>
      <c r="AC25" s="21">
        <v>1.74377</v>
      </c>
      <c r="AD25">
        <f t="shared" si="4"/>
        <v>6.6422839506172835</v>
      </c>
      <c r="AE25">
        <f t="shared" si="5"/>
        <v>11.587730043209875</v>
      </c>
      <c r="AF25" s="9"/>
      <c r="AG25" s="21">
        <v>-2.4414100000000001E-2</v>
      </c>
      <c r="AH25" s="21">
        <v>19.187100000000001</v>
      </c>
      <c r="AI25" s="21">
        <v>-1.4978E-2</v>
      </c>
      <c r="AJ25" s="21">
        <v>15</v>
      </c>
      <c r="AK25" s="21">
        <v>-2.4676500000000001E-2</v>
      </c>
      <c r="AL25">
        <f t="shared" si="6"/>
        <v>18.491358024691355</v>
      </c>
      <c r="AM25">
        <f t="shared" si="7"/>
        <v>-0.4514498639506172</v>
      </c>
      <c r="AP25" s="9"/>
      <c r="AQ25" s="21">
        <v>1.74454</v>
      </c>
      <c r="AR25" s="21">
        <v>24.735800000000001</v>
      </c>
      <c r="AS25" s="21">
        <v>-5.4077099999999996E-3</v>
      </c>
      <c r="AT25" s="21">
        <v>15</v>
      </c>
      <c r="AU25" s="21">
        <v>1.7434700000000001</v>
      </c>
      <c r="AV25">
        <f t="shared" si="8"/>
        <v>6.6761851851851839</v>
      </c>
      <c r="AW25">
        <f t="shared" si="9"/>
        <v>11.646872102962961</v>
      </c>
      <c r="AX25" s="9"/>
      <c r="AY25" s="21">
        <v>-2.4414100000000001E-2</v>
      </c>
      <c r="AZ25" s="21">
        <v>28.595300000000002</v>
      </c>
      <c r="BA25" s="21">
        <v>-1.4959699999999999E-2</v>
      </c>
      <c r="BB25" s="21">
        <v>15</v>
      </c>
      <c r="BC25" s="21">
        <v>-2.4670399999999999E-2</v>
      </c>
      <c r="BD25">
        <f t="shared" si="10"/>
        <v>18.468765432098763</v>
      </c>
      <c r="BE25">
        <f t="shared" si="11"/>
        <v>-0.45089828613580246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1.7395</v>
      </c>
      <c r="H26" s="21">
        <v>5.89947</v>
      </c>
      <c r="I26" s="21">
        <v>-4.3984999999999996E-3</v>
      </c>
      <c r="J26" s="21">
        <v>16</v>
      </c>
      <c r="K26" s="21">
        <v>1.73889</v>
      </c>
      <c r="L26">
        <f t="shared" si="0"/>
        <v>5.4302469135802456</v>
      </c>
      <c r="M26">
        <f t="shared" si="1"/>
        <v>9.4459145061728371</v>
      </c>
      <c r="N26" s="9"/>
      <c r="O26" s="21">
        <v>-1.9378699999999999E-2</v>
      </c>
      <c r="P26" s="21">
        <v>9.7589500000000005</v>
      </c>
      <c r="Q26" s="21">
        <v>-1.4938399999999999E-2</v>
      </c>
      <c r="R26" s="21">
        <v>16</v>
      </c>
      <c r="S26" s="21">
        <v>-1.9601400000000001E-2</v>
      </c>
      <c r="T26">
        <f t="shared" si="2"/>
        <v>18.442469135802465</v>
      </c>
      <c r="U26">
        <f t="shared" si="3"/>
        <v>-0.35739107664197522</v>
      </c>
      <c r="V26" s="22"/>
      <c r="W26" s="23"/>
      <c r="X26" s="9"/>
      <c r="Y26" s="21">
        <v>1.7395</v>
      </c>
      <c r="Z26" s="21">
        <v>15.3377</v>
      </c>
      <c r="AA26" s="21">
        <v>-5.9143099999999999E-3</v>
      </c>
      <c r="AB26" s="21">
        <v>16</v>
      </c>
      <c r="AC26" s="21">
        <v>1.73889</v>
      </c>
      <c r="AD26">
        <f t="shared" si="4"/>
        <v>7.3016172839506162</v>
      </c>
      <c r="AE26">
        <f t="shared" si="5"/>
        <v>12.701163265432097</v>
      </c>
      <c r="AF26" s="9"/>
      <c r="AG26" s="21">
        <v>-1.9378699999999999E-2</v>
      </c>
      <c r="AH26" s="21">
        <v>19.197199999999999</v>
      </c>
      <c r="AI26" s="21">
        <v>-1.49628E-2</v>
      </c>
      <c r="AJ26" s="21">
        <v>16</v>
      </c>
      <c r="AK26" s="21">
        <v>-1.9628900000000001E-2</v>
      </c>
      <c r="AL26">
        <f t="shared" si="6"/>
        <v>18.472592592592594</v>
      </c>
      <c r="AM26">
        <f t="shared" si="7"/>
        <v>-0.3579748300740741</v>
      </c>
      <c r="AP26" s="9"/>
      <c r="AQ26" s="21">
        <v>1.7395</v>
      </c>
      <c r="AR26" s="21">
        <v>24.745899999999999</v>
      </c>
      <c r="AS26" s="21">
        <v>-6.0211199999999996E-3</v>
      </c>
      <c r="AT26" s="21">
        <v>16</v>
      </c>
      <c r="AU26" s="21">
        <v>1.7385900000000001</v>
      </c>
      <c r="AV26">
        <f t="shared" si="8"/>
        <v>7.43348148148148</v>
      </c>
      <c r="AW26">
        <f t="shared" si="9"/>
        <v>12.930541037037035</v>
      </c>
      <c r="AX26" s="9"/>
      <c r="AY26" s="21">
        <v>-1.9378699999999999E-2</v>
      </c>
      <c r="AZ26" s="21">
        <v>28.605399999999999</v>
      </c>
      <c r="BA26" s="21">
        <v>-1.49689E-2</v>
      </c>
      <c r="BB26" s="21">
        <v>16</v>
      </c>
      <c r="BC26" s="21">
        <v>-1.9638099999999999E-2</v>
      </c>
      <c r="BD26">
        <f t="shared" si="10"/>
        <v>18.480123456790125</v>
      </c>
      <c r="BE26">
        <f t="shared" si="11"/>
        <v>-0.35812076843209878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1.73447</v>
      </c>
      <c r="H27" s="21">
        <v>5.9095399999999998</v>
      </c>
      <c r="I27" s="21">
        <v>-4.8043799999999996E-3</v>
      </c>
      <c r="J27" s="21">
        <v>17</v>
      </c>
      <c r="K27" s="21">
        <v>1.73309</v>
      </c>
      <c r="L27">
        <f t="shared" si="0"/>
        <v>5.9313333333333329</v>
      </c>
      <c r="M27">
        <f t="shared" si="1"/>
        <v>10.287719726666666</v>
      </c>
      <c r="N27" s="9"/>
      <c r="O27" s="21">
        <v>-1.43433E-2</v>
      </c>
      <c r="P27" s="21">
        <v>9.7690199999999994</v>
      </c>
      <c r="Q27" s="21">
        <v>-1.4932300000000001E-2</v>
      </c>
      <c r="R27" s="21">
        <v>17</v>
      </c>
      <c r="S27" s="21">
        <v>-1.4563E-2</v>
      </c>
      <c r="T27">
        <f t="shared" si="2"/>
        <v>18.434938271604938</v>
      </c>
      <c r="U27">
        <f t="shared" si="3"/>
        <v>-0.26441785011111113</v>
      </c>
      <c r="X27" s="9"/>
      <c r="Y27" s="21">
        <v>1.73447</v>
      </c>
      <c r="Z27" s="21">
        <v>15.347799999999999</v>
      </c>
      <c r="AA27" s="21">
        <v>-6.1889600000000003E-3</v>
      </c>
      <c r="AB27" s="21">
        <v>17</v>
      </c>
      <c r="AC27" s="21">
        <v>1.7337</v>
      </c>
      <c r="AD27">
        <f t="shared" si="4"/>
        <v>7.6406913580246911</v>
      </c>
      <c r="AE27">
        <f t="shared" si="5"/>
        <v>13.252549939753086</v>
      </c>
      <c r="AF27" s="9"/>
      <c r="AG27" s="21">
        <v>-1.43433E-2</v>
      </c>
      <c r="AH27" s="21">
        <v>19.2072</v>
      </c>
      <c r="AI27" s="21">
        <v>-1.4947500000000001E-2</v>
      </c>
      <c r="AJ27" s="21">
        <v>17</v>
      </c>
      <c r="AK27" s="21">
        <v>-1.45477E-2</v>
      </c>
      <c r="AL27">
        <f t="shared" si="6"/>
        <v>18.453703703703706</v>
      </c>
      <c r="AM27">
        <f t="shared" si="7"/>
        <v>-0.26468700833333336</v>
      </c>
      <c r="AP27" s="9"/>
      <c r="AQ27" s="21">
        <v>1.73447</v>
      </c>
      <c r="AR27" s="21">
        <v>24.756</v>
      </c>
      <c r="AS27" s="21">
        <v>-6.5826399999999998E-3</v>
      </c>
      <c r="AT27" s="21">
        <v>17</v>
      </c>
      <c r="AU27" s="21">
        <v>1.7334000000000001</v>
      </c>
      <c r="AV27">
        <f t="shared" si="8"/>
        <v>8.1267160493827166</v>
      </c>
      <c r="AW27">
        <f t="shared" si="9"/>
        <v>14.09554518617284</v>
      </c>
      <c r="AX27" s="9"/>
      <c r="AY27" s="21">
        <v>-1.43433E-2</v>
      </c>
      <c r="AZ27" s="21">
        <v>28.615500000000001</v>
      </c>
      <c r="BA27" s="21">
        <v>-1.49628E-2</v>
      </c>
      <c r="BB27" s="21">
        <v>17</v>
      </c>
      <c r="BC27" s="21">
        <v>-1.4572099999999999E-2</v>
      </c>
      <c r="BD27">
        <f t="shared" si="10"/>
        <v>18.472592592592594</v>
      </c>
      <c r="BE27">
        <f t="shared" si="11"/>
        <v>-0.26495793733333334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1.72943</v>
      </c>
      <c r="H28" s="21">
        <v>5.9196099999999996</v>
      </c>
      <c r="I28" s="21">
        <v>-5.2002000000000003E-3</v>
      </c>
      <c r="J28" s="21">
        <v>18</v>
      </c>
      <c r="K28" s="21">
        <v>1.7291300000000001</v>
      </c>
      <c r="L28">
        <f t="shared" si="0"/>
        <v>6.42</v>
      </c>
      <c r="M28">
        <f t="shared" si="1"/>
        <v>11.1029406</v>
      </c>
      <c r="N28" s="9"/>
      <c r="O28" s="21">
        <v>-9.3078599999999994E-3</v>
      </c>
      <c r="P28" s="21">
        <v>9.7790900000000001</v>
      </c>
      <c r="Q28" s="21">
        <v>-1.4941400000000001E-2</v>
      </c>
      <c r="R28" s="21">
        <v>18</v>
      </c>
      <c r="S28" s="21">
        <v>-9.5123299999999994E-3</v>
      </c>
      <c r="T28">
        <f t="shared" si="2"/>
        <v>18.446172839506172</v>
      </c>
      <c r="U28">
        <f t="shared" si="3"/>
        <v>-0.1716943943259259</v>
      </c>
      <c r="X28" s="9"/>
      <c r="Y28" s="21">
        <v>1.72943</v>
      </c>
      <c r="Z28" s="21">
        <v>15.357799999999999</v>
      </c>
      <c r="AA28" s="21">
        <v>-6.7016599999999999E-3</v>
      </c>
      <c r="AB28" s="21">
        <v>18</v>
      </c>
      <c r="AC28" s="21">
        <v>1.7291300000000001</v>
      </c>
      <c r="AD28">
        <f t="shared" si="4"/>
        <v>8.273654320987653</v>
      </c>
      <c r="AE28">
        <f t="shared" si="5"/>
        <v>14.308705992345677</v>
      </c>
      <c r="AF28" s="9"/>
      <c r="AG28" s="21">
        <v>-9.3078599999999994E-3</v>
      </c>
      <c r="AH28" s="21">
        <v>19.217300000000002</v>
      </c>
      <c r="AI28" s="21">
        <v>-1.4947500000000001E-2</v>
      </c>
      <c r="AJ28" s="21">
        <v>18</v>
      </c>
      <c r="AK28" s="21">
        <v>-9.5306399999999999E-3</v>
      </c>
      <c r="AL28">
        <f t="shared" si="6"/>
        <v>18.453703703703706</v>
      </c>
      <c r="AM28">
        <f t="shared" si="7"/>
        <v>-0.17176449055555557</v>
      </c>
      <c r="AP28" s="9"/>
      <c r="AQ28" s="21">
        <v>1.72943</v>
      </c>
      <c r="AR28" s="21">
        <v>24.766100000000002</v>
      </c>
      <c r="AS28" s="21">
        <v>-7.14417E-3</v>
      </c>
      <c r="AT28" s="21">
        <v>18</v>
      </c>
      <c r="AU28" s="21">
        <v>1.72882</v>
      </c>
      <c r="AV28">
        <f t="shared" si="8"/>
        <v>8.8199629629629612</v>
      </c>
      <c r="AW28">
        <f t="shared" si="9"/>
        <v>15.253508547037034</v>
      </c>
      <c r="AX28" s="9"/>
      <c r="AY28" s="21">
        <v>-9.3078599999999994E-3</v>
      </c>
      <c r="AZ28" s="21">
        <v>28.625499999999999</v>
      </c>
      <c r="BA28" s="21">
        <v>-1.4959699999999999E-2</v>
      </c>
      <c r="BB28" s="21">
        <v>18</v>
      </c>
      <c r="BC28" s="21">
        <v>-9.4940200000000006E-3</v>
      </c>
      <c r="BD28">
        <f t="shared" si="10"/>
        <v>18.468765432098763</v>
      </c>
      <c r="BE28">
        <f t="shared" si="11"/>
        <v>-0.17190468301481479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1.7243999999999999</v>
      </c>
      <c r="H29" s="21">
        <v>5.9296800000000003</v>
      </c>
      <c r="I29" s="21">
        <v>-5.6091300000000004E-3</v>
      </c>
      <c r="J29" s="21">
        <v>19</v>
      </c>
      <c r="K29" s="21">
        <v>1.72363</v>
      </c>
      <c r="L29">
        <f t="shared" si="0"/>
        <v>6.9248518518518525</v>
      </c>
      <c r="M29">
        <f t="shared" si="1"/>
        <v>11.941214533333333</v>
      </c>
      <c r="N29" s="9"/>
      <c r="O29" s="21">
        <v>-4.2724599999999996E-3</v>
      </c>
      <c r="P29" s="21">
        <v>9.7891600000000007</v>
      </c>
      <c r="Q29" s="21">
        <v>-1.49506E-2</v>
      </c>
      <c r="R29" s="21">
        <v>19</v>
      </c>
      <c r="S29" s="21">
        <v>-4.4647200000000001E-3</v>
      </c>
      <c r="T29">
        <f t="shared" si="2"/>
        <v>18.45753086419753</v>
      </c>
      <c r="U29">
        <f t="shared" si="3"/>
        <v>-7.8859062316049375E-2</v>
      </c>
      <c r="X29" s="9"/>
      <c r="Y29" s="21">
        <v>1.7243999999999999</v>
      </c>
      <c r="Z29" s="21">
        <v>15.367900000000001</v>
      </c>
      <c r="AA29" s="21">
        <v>-7.1777300000000002E-3</v>
      </c>
      <c r="AB29" s="21">
        <v>19</v>
      </c>
      <c r="AC29" s="21">
        <v>1.72363</v>
      </c>
      <c r="AD29">
        <f t="shared" si="4"/>
        <v>8.8613950617283948</v>
      </c>
      <c r="AE29">
        <f t="shared" si="5"/>
        <v>15.280589644444444</v>
      </c>
      <c r="AF29" s="9"/>
      <c r="AG29" s="21">
        <v>-4.2724599999999996E-3</v>
      </c>
      <c r="AH29" s="21">
        <v>19.227399999999999</v>
      </c>
      <c r="AI29" s="21">
        <v>-1.4944499999999999E-2</v>
      </c>
      <c r="AJ29" s="21">
        <v>19</v>
      </c>
      <c r="AK29" s="21">
        <v>-4.5196500000000001E-3</v>
      </c>
      <c r="AL29">
        <f t="shared" si="6"/>
        <v>18.45</v>
      </c>
      <c r="AM29">
        <f t="shared" si="7"/>
        <v>-7.8826886999999984E-2</v>
      </c>
      <c r="AP29" s="9"/>
      <c r="AQ29" s="21">
        <v>1.7243999999999999</v>
      </c>
      <c r="AR29" s="21">
        <v>24.7761</v>
      </c>
      <c r="AS29" s="21">
        <v>-7.6354999999999999E-3</v>
      </c>
      <c r="AT29" s="21">
        <v>19</v>
      </c>
      <c r="AU29" s="21">
        <v>1.72394</v>
      </c>
      <c r="AV29">
        <f t="shared" si="8"/>
        <v>9.4265432098765416</v>
      </c>
      <c r="AW29">
        <f t="shared" si="9"/>
        <v>16.255131111111108</v>
      </c>
      <c r="AX29" s="9"/>
      <c r="AY29" s="21">
        <v>-4.2724599999999996E-3</v>
      </c>
      <c r="AZ29" s="21">
        <v>28.6356</v>
      </c>
      <c r="BA29" s="21">
        <v>-1.49567E-2</v>
      </c>
      <c r="BB29" s="21">
        <v>19</v>
      </c>
      <c r="BC29" s="21">
        <v>-4.4769299999999996E-3</v>
      </c>
      <c r="BD29">
        <f t="shared" si="10"/>
        <v>18.46506172839506</v>
      </c>
      <c r="BE29">
        <f t="shared" si="11"/>
        <v>-7.8891237632098751E-2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1.71936</v>
      </c>
      <c r="H30" s="21">
        <v>5.9397500000000001</v>
      </c>
      <c r="I30" s="21">
        <v>-6.0028099999999999E-3</v>
      </c>
      <c r="J30" s="21">
        <v>20</v>
      </c>
      <c r="K30" s="21">
        <v>1.71875</v>
      </c>
      <c r="L30">
        <f t="shared" si="0"/>
        <v>7.4108765432098762</v>
      </c>
      <c r="M30">
        <f t="shared" si="1"/>
        <v>12.741964693333333</v>
      </c>
      <c r="N30" s="9"/>
      <c r="O30" s="21">
        <v>7.6293900000000002E-4</v>
      </c>
      <c r="P30" s="21">
        <v>9.7992299999999997</v>
      </c>
      <c r="Q30" s="21">
        <v>-1.4959699999999999E-2</v>
      </c>
      <c r="R30" s="21">
        <v>20</v>
      </c>
      <c r="S30" s="21">
        <v>5.2490200000000005E-4</v>
      </c>
      <c r="T30">
        <f t="shared" si="2"/>
        <v>18.468765432098763</v>
      </c>
      <c r="U30">
        <f t="shared" si="3"/>
        <v>1.4090541429999999E-2</v>
      </c>
      <c r="X30" s="9"/>
      <c r="Y30" s="21">
        <v>1.71936</v>
      </c>
      <c r="Z30" s="21">
        <v>15.378</v>
      </c>
      <c r="AA30" s="21">
        <v>-7.5988799999999997E-3</v>
      </c>
      <c r="AB30" s="21">
        <v>20</v>
      </c>
      <c r="AC30" s="21">
        <v>1.71844</v>
      </c>
      <c r="AD30">
        <f t="shared" si="4"/>
        <v>9.3813333333333322</v>
      </c>
      <c r="AE30">
        <f t="shared" si="5"/>
        <v>16.129889279999997</v>
      </c>
      <c r="AF30" s="9"/>
      <c r="AG30" s="21">
        <v>7.6293900000000002E-4</v>
      </c>
      <c r="AH30" s="21">
        <v>19.237400000000001</v>
      </c>
      <c r="AI30" s="21">
        <v>-1.4941400000000001E-2</v>
      </c>
      <c r="AJ30" s="21">
        <v>20</v>
      </c>
      <c r="AK30" s="21">
        <v>6.0729999999999996E-4</v>
      </c>
      <c r="AL30">
        <f t="shared" si="6"/>
        <v>18.446172839506172</v>
      </c>
      <c r="AM30">
        <f t="shared" si="7"/>
        <v>1.4073304659999999E-2</v>
      </c>
      <c r="AP30" s="9"/>
      <c r="AQ30" s="21">
        <v>1.71936</v>
      </c>
      <c r="AR30" s="21">
        <v>24.786200000000001</v>
      </c>
      <c r="AS30" s="21">
        <v>-8.0810499999999993E-3</v>
      </c>
      <c r="AT30" s="21">
        <v>20</v>
      </c>
      <c r="AU30" s="21">
        <v>1.71844</v>
      </c>
      <c r="AV30">
        <f t="shared" si="8"/>
        <v>9.9766049382716027</v>
      </c>
      <c r="AW30">
        <f t="shared" si="9"/>
        <v>17.153375466666663</v>
      </c>
      <c r="AX30" s="9"/>
      <c r="AY30" s="21">
        <v>7.6293900000000002E-4</v>
      </c>
      <c r="AZ30" s="21">
        <v>28.645700000000001</v>
      </c>
      <c r="BA30" s="21">
        <v>-1.49567E-2</v>
      </c>
      <c r="BB30" s="21">
        <v>20</v>
      </c>
      <c r="BC30" s="21">
        <v>5.9509299999999999E-4</v>
      </c>
      <c r="BD30">
        <f t="shared" si="10"/>
        <v>18.46506172839506</v>
      </c>
      <c r="BE30">
        <f t="shared" si="11"/>
        <v>1.4087715729999999E-2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1.7143200000000001</v>
      </c>
      <c r="H31" s="21">
        <v>5.9498300000000004</v>
      </c>
      <c r="I31" s="21">
        <v>-6.3445999999999997E-3</v>
      </c>
      <c r="J31" s="21">
        <v>21</v>
      </c>
      <c r="K31" s="21">
        <v>1.71417</v>
      </c>
      <c r="L31">
        <f t="shared" si="0"/>
        <v>7.8328395061728395</v>
      </c>
      <c r="M31">
        <f t="shared" si="1"/>
        <v>13.427993422222222</v>
      </c>
      <c r="N31" s="9"/>
      <c r="O31" s="21">
        <v>5.7983399999999999E-3</v>
      </c>
      <c r="P31" s="21">
        <v>9.8093000000000004</v>
      </c>
      <c r="Q31" s="21">
        <v>-1.49658E-2</v>
      </c>
      <c r="R31" s="21">
        <v>21</v>
      </c>
      <c r="S31" s="21">
        <v>5.5938699999999999E-3</v>
      </c>
      <c r="T31">
        <f t="shared" si="2"/>
        <v>18.476296296296297</v>
      </c>
      <c r="U31">
        <f t="shared" si="3"/>
        <v>0.10713184786666667</v>
      </c>
      <c r="X31" s="9"/>
      <c r="Y31" s="21">
        <v>1.7143200000000001</v>
      </c>
      <c r="Z31" s="21">
        <v>15.388</v>
      </c>
      <c r="AA31" s="21">
        <v>-8.0139200000000008E-3</v>
      </c>
      <c r="AB31" s="21">
        <v>21</v>
      </c>
      <c r="AC31" s="21">
        <v>1.71387</v>
      </c>
      <c r="AD31">
        <f t="shared" si="4"/>
        <v>9.8937283950617285</v>
      </c>
      <c r="AE31">
        <f t="shared" si="5"/>
        <v>16.961016462222222</v>
      </c>
      <c r="AF31" s="9"/>
      <c r="AG31" s="21">
        <v>5.7983399999999999E-3</v>
      </c>
      <c r="AH31" s="21">
        <v>19.247499999999999</v>
      </c>
      <c r="AI31" s="21">
        <v>-1.49567E-2</v>
      </c>
      <c r="AJ31" s="21">
        <v>21</v>
      </c>
      <c r="AK31" s="21">
        <v>5.62744E-3</v>
      </c>
      <c r="AL31">
        <f t="shared" si="6"/>
        <v>18.46506172839506</v>
      </c>
      <c r="AM31">
        <f t="shared" si="7"/>
        <v>0.10706670602222221</v>
      </c>
      <c r="AP31" s="9"/>
      <c r="AQ31" s="21">
        <v>1.7143200000000001</v>
      </c>
      <c r="AR31" s="21">
        <v>24.796299999999999</v>
      </c>
      <c r="AS31" s="21">
        <v>-8.4686299999999996E-3</v>
      </c>
      <c r="AT31" s="21">
        <v>21</v>
      </c>
      <c r="AU31" s="21">
        <v>1.71356</v>
      </c>
      <c r="AV31">
        <f t="shared" si="8"/>
        <v>10.455098765432098</v>
      </c>
      <c r="AW31">
        <f t="shared" si="9"/>
        <v>17.923384915555555</v>
      </c>
      <c r="AX31" s="9"/>
      <c r="AY31" s="21">
        <v>5.7983399999999999E-3</v>
      </c>
      <c r="AZ31" s="21">
        <v>28.6557</v>
      </c>
      <c r="BA31" s="21">
        <v>-1.49567E-2</v>
      </c>
      <c r="BB31" s="21">
        <v>21</v>
      </c>
      <c r="BC31" s="21">
        <v>5.6182899999999997E-3</v>
      </c>
      <c r="BD31">
        <f t="shared" si="10"/>
        <v>18.46506172839506</v>
      </c>
      <c r="BE31">
        <f t="shared" si="11"/>
        <v>0.10706670602222221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1.70929</v>
      </c>
      <c r="H32" s="21">
        <v>5.9599000000000002</v>
      </c>
      <c r="I32" s="21">
        <v>-6.7016599999999999E-3</v>
      </c>
      <c r="J32" s="21">
        <v>22</v>
      </c>
      <c r="K32" s="21">
        <v>1.70868</v>
      </c>
      <c r="L32">
        <f t="shared" si="0"/>
        <v>8.273654320987653</v>
      </c>
      <c r="M32">
        <f t="shared" si="1"/>
        <v>14.142074594320984</v>
      </c>
      <c r="N32" s="9"/>
      <c r="O32" s="21">
        <v>1.08337E-2</v>
      </c>
      <c r="P32" s="21">
        <v>9.8193699999999993</v>
      </c>
      <c r="Q32" s="21">
        <v>-1.49841E-2</v>
      </c>
      <c r="R32" s="21">
        <v>22</v>
      </c>
      <c r="S32" s="21">
        <v>1.07086E-2</v>
      </c>
      <c r="T32">
        <f t="shared" si="2"/>
        <v>18.498888888888889</v>
      </c>
      <c r="U32">
        <f t="shared" si="3"/>
        <v>0.20041141255555556</v>
      </c>
      <c r="X32" s="9"/>
      <c r="Y32" s="21">
        <v>1.70929</v>
      </c>
      <c r="Z32" s="21">
        <v>15.398099999999999</v>
      </c>
      <c r="AA32" s="21">
        <v>-8.4014899999999993E-3</v>
      </c>
      <c r="AB32" s="21">
        <v>22</v>
      </c>
      <c r="AC32" s="21">
        <v>1.7089799999999999</v>
      </c>
      <c r="AD32">
        <f t="shared" si="4"/>
        <v>10.372209876543208</v>
      </c>
      <c r="AE32">
        <f t="shared" si="5"/>
        <v>17.72911461987654</v>
      </c>
      <c r="AF32" s="9"/>
      <c r="AG32" s="21">
        <v>1.08337E-2</v>
      </c>
      <c r="AH32" s="21">
        <v>19.2576</v>
      </c>
      <c r="AI32" s="21">
        <v>-1.49689E-2</v>
      </c>
      <c r="AJ32" s="21">
        <v>22</v>
      </c>
      <c r="AK32" s="21">
        <v>1.08063E-2</v>
      </c>
      <c r="AL32">
        <f t="shared" si="6"/>
        <v>18.480123456790125</v>
      </c>
      <c r="AM32">
        <f t="shared" si="7"/>
        <v>0.20020811349382717</v>
      </c>
      <c r="AP32" s="9"/>
      <c r="AQ32" s="21">
        <v>1.70929</v>
      </c>
      <c r="AR32" s="21">
        <v>24.8063</v>
      </c>
      <c r="AS32" s="21">
        <v>-8.8317900000000008E-3</v>
      </c>
      <c r="AT32" s="21">
        <v>22</v>
      </c>
      <c r="AU32" s="21">
        <v>1.70868</v>
      </c>
      <c r="AV32">
        <f t="shared" si="8"/>
        <v>10.903444444444444</v>
      </c>
      <c r="AW32">
        <f t="shared" si="9"/>
        <v>18.637148554444444</v>
      </c>
      <c r="AX32" s="9"/>
      <c r="AY32" s="21">
        <v>1.08337E-2</v>
      </c>
      <c r="AZ32" s="21">
        <v>28.665800000000001</v>
      </c>
      <c r="BA32" s="21">
        <v>-1.49506E-2</v>
      </c>
      <c r="BB32" s="21">
        <v>22</v>
      </c>
      <c r="BC32" s="21">
        <v>1.06903E-2</v>
      </c>
      <c r="BD32">
        <f t="shared" si="10"/>
        <v>18.45753086419753</v>
      </c>
      <c r="BE32">
        <f t="shared" si="11"/>
        <v>0.19996335212345678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1.70425</v>
      </c>
      <c r="H33" s="21">
        <v>5.96997</v>
      </c>
      <c r="I33" s="21">
        <v>-7.0373500000000004E-3</v>
      </c>
      <c r="J33" s="21">
        <v>23</v>
      </c>
      <c r="K33" s="21">
        <v>1.7034899999999999</v>
      </c>
      <c r="L33">
        <f t="shared" si="0"/>
        <v>8.6880864197530858</v>
      </c>
      <c r="M33">
        <f t="shared" si="1"/>
        <v>14.806671280864197</v>
      </c>
      <c r="N33" s="9"/>
      <c r="O33" s="21">
        <v>1.5869100000000001E-2</v>
      </c>
      <c r="P33" s="21">
        <v>9.82944</v>
      </c>
      <c r="Q33" s="21">
        <v>-1.4947500000000001E-2</v>
      </c>
      <c r="R33" s="21">
        <v>23</v>
      </c>
      <c r="S33" s="21">
        <v>1.5808099999999999E-2</v>
      </c>
      <c r="T33">
        <f t="shared" si="2"/>
        <v>18.453703703703706</v>
      </c>
      <c r="U33">
        <f t="shared" si="3"/>
        <v>0.29284366944444451</v>
      </c>
      <c r="X33" s="9"/>
      <c r="Y33" s="21">
        <v>1.70425</v>
      </c>
      <c r="Z33" s="21">
        <v>15.408200000000001</v>
      </c>
      <c r="AA33" s="21">
        <v>-8.7554899999999995E-3</v>
      </c>
      <c r="AB33" s="21">
        <v>23</v>
      </c>
      <c r="AC33" s="21">
        <v>1.70319</v>
      </c>
      <c r="AD33">
        <f t="shared" si="4"/>
        <v>10.809246913580246</v>
      </c>
      <c r="AE33">
        <f t="shared" si="5"/>
        <v>18.421659052469135</v>
      </c>
      <c r="AF33" s="9"/>
      <c r="AG33" s="21">
        <v>1.5869100000000001E-2</v>
      </c>
      <c r="AH33" s="21">
        <v>19.267700000000001</v>
      </c>
      <c r="AI33" s="21">
        <v>-1.49689E-2</v>
      </c>
      <c r="AJ33" s="21">
        <v>23</v>
      </c>
      <c r="AK33" s="21">
        <v>1.57501E-2</v>
      </c>
      <c r="AL33">
        <f t="shared" si="6"/>
        <v>18.480123456790125</v>
      </c>
      <c r="AM33">
        <f t="shared" si="7"/>
        <v>0.29326292714814817</v>
      </c>
      <c r="AP33" s="9"/>
      <c r="AQ33" s="21">
        <v>1.70425</v>
      </c>
      <c r="AR33" s="21">
        <v>24.816400000000002</v>
      </c>
      <c r="AS33" s="21">
        <v>-9.1735800000000006E-3</v>
      </c>
      <c r="AT33" s="21">
        <v>23</v>
      </c>
      <c r="AU33" s="21">
        <v>1.7038</v>
      </c>
      <c r="AV33">
        <f t="shared" si="8"/>
        <v>11.325407407407408</v>
      </c>
      <c r="AW33">
        <f t="shared" si="9"/>
        <v>19.301325574074074</v>
      </c>
      <c r="AX33" s="9"/>
      <c r="AY33" s="21">
        <v>1.5869100000000001E-2</v>
      </c>
      <c r="AZ33" s="21">
        <v>28.675899999999999</v>
      </c>
      <c r="BA33" s="21">
        <v>-1.4947500000000001E-2</v>
      </c>
      <c r="BB33" s="21">
        <v>23</v>
      </c>
      <c r="BC33" s="21">
        <v>1.5701300000000001E-2</v>
      </c>
      <c r="BD33">
        <f t="shared" si="10"/>
        <v>18.453703703703706</v>
      </c>
      <c r="BE33">
        <f t="shared" si="11"/>
        <v>0.29284366944444451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1.69922</v>
      </c>
      <c r="H34" s="21">
        <v>5.9800399999999998</v>
      </c>
      <c r="I34" s="21">
        <v>-7.4005099999999999E-3</v>
      </c>
      <c r="J34" s="21">
        <v>24</v>
      </c>
      <c r="K34" s="21">
        <v>1.6982999999999999</v>
      </c>
      <c r="L34">
        <f t="shared" si="0"/>
        <v>9.1364320987654306</v>
      </c>
      <c r="M34">
        <f t="shared" si="1"/>
        <v>15.524808150864194</v>
      </c>
      <c r="N34" s="9"/>
      <c r="O34" s="21">
        <v>2.0904499999999999E-2</v>
      </c>
      <c r="P34" s="21">
        <v>9.8395100000000006</v>
      </c>
      <c r="Q34" s="21">
        <v>-1.4938399999999999E-2</v>
      </c>
      <c r="R34" s="21">
        <v>24</v>
      </c>
      <c r="S34" s="21">
        <v>2.0745799999999998E-2</v>
      </c>
      <c r="T34">
        <f t="shared" si="2"/>
        <v>18.442469135802465</v>
      </c>
      <c r="U34">
        <f t="shared" si="3"/>
        <v>0.38553059604938261</v>
      </c>
      <c r="X34" s="9"/>
      <c r="Y34" s="21">
        <v>1.69922</v>
      </c>
      <c r="Z34" s="21">
        <v>15.4183</v>
      </c>
      <c r="AA34" s="21">
        <v>-9.0759299999999994E-3</v>
      </c>
      <c r="AB34" s="21">
        <v>24</v>
      </c>
      <c r="AC34" s="21">
        <v>1.6982999999999999</v>
      </c>
      <c r="AD34">
        <f t="shared" si="4"/>
        <v>11.204851851851851</v>
      </c>
      <c r="AE34">
        <f t="shared" si="5"/>
        <v>19.039508363703703</v>
      </c>
      <c r="AF34" s="9"/>
      <c r="AG34" s="21">
        <v>2.0904499999999999E-2</v>
      </c>
      <c r="AH34" s="21">
        <v>19.277699999999999</v>
      </c>
      <c r="AI34" s="21">
        <v>-1.49628E-2</v>
      </c>
      <c r="AJ34" s="21">
        <v>24</v>
      </c>
      <c r="AK34" s="21">
        <v>2.0700099999999999E-2</v>
      </c>
      <c r="AL34">
        <f t="shared" si="6"/>
        <v>18.472592592592594</v>
      </c>
      <c r="AM34">
        <f t="shared" si="7"/>
        <v>0.3861603118518519</v>
      </c>
      <c r="AP34" s="9"/>
      <c r="AQ34" s="21">
        <v>1.69922</v>
      </c>
      <c r="AR34" s="21">
        <v>24.826499999999999</v>
      </c>
      <c r="AS34" s="21">
        <v>-9.4787599999999993E-3</v>
      </c>
      <c r="AT34" s="21">
        <v>24</v>
      </c>
      <c r="AU34" s="21">
        <v>1.69861</v>
      </c>
      <c r="AV34">
        <f t="shared" si="8"/>
        <v>11.702172839506172</v>
      </c>
      <c r="AW34">
        <f t="shared" si="9"/>
        <v>19.884566132345679</v>
      </c>
      <c r="AX34" s="9"/>
      <c r="AY34" s="21">
        <v>2.0904499999999999E-2</v>
      </c>
      <c r="AZ34" s="21">
        <v>28.686</v>
      </c>
      <c r="BA34" s="21">
        <v>-1.49567E-2</v>
      </c>
      <c r="BB34" s="21">
        <v>24</v>
      </c>
      <c r="BC34" s="21">
        <v>2.0782499999999999E-2</v>
      </c>
      <c r="BD34">
        <f t="shared" si="10"/>
        <v>18.46506172839506</v>
      </c>
      <c r="BE34">
        <f t="shared" si="11"/>
        <v>0.38600288290123452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1.69418</v>
      </c>
      <c r="H35" s="21">
        <v>5.9901099999999996</v>
      </c>
      <c r="I35" s="21">
        <v>-7.6904299999999998E-3</v>
      </c>
      <c r="J35" s="21">
        <v>25</v>
      </c>
      <c r="K35" s="21">
        <v>1.6934199999999999</v>
      </c>
      <c r="L35">
        <f t="shared" si="0"/>
        <v>9.4943580246913584</v>
      </c>
      <c r="M35">
        <f t="shared" si="1"/>
        <v>16.085151478271605</v>
      </c>
      <c r="N35" s="9"/>
      <c r="O35" s="21">
        <v>2.5939899999999998E-2</v>
      </c>
      <c r="P35" s="21">
        <v>9.8495799999999996</v>
      </c>
      <c r="Q35" s="21">
        <v>-1.49628E-2</v>
      </c>
      <c r="R35" s="21">
        <v>25</v>
      </c>
      <c r="S35" s="21">
        <v>2.58514E-2</v>
      </c>
      <c r="T35">
        <f t="shared" si="2"/>
        <v>18.472592592592594</v>
      </c>
      <c r="U35">
        <f t="shared" si="3"/>
        <v>0.47917720459259261</v>
      </c>
      <c r="X35" s="9"/>
      <c r="Y35" s="21">
        <v>1.69418</v>
      </c>
      <c r="Z35" s="21">
        <v>15.4283</v>
      </c>
      <c r="AA35" s="21">
        <v>-9.4268800000000003E-3</v>
      </c>
      <c r="AB35" s="21">
        <v>25</v>
      </c>
      <c r="AC35" s="21">
        <v>1.6928099999999999</v>
      </c>
      <c r="AD35">
        <f t="shared" si="4"/>
        <v>11.638123456790124</v>
      </c>
      <c r="AE35">
        <f t="shared" si="5"/>
        <v>19.717075998024693</v>
      </c>
      <c r="AF35" s="9"/>
      <c r="AG35" s="21">
        <v>2.5939899999999998E-2</v>
      </c>
      <c r="AH35" s="21">
        <v>19.287800000000001</v>
      </c>
      <c r="AI35" s="21">
        <v>-1.4953599999999999E-2</v>
      </c>
      <c r="AJ35" s="21">
        <v>25</v>
      </c>
      <c r="AK35" s="21">
        <v>2.5830100000000002E-2</v>
      </c>
      <c r="AL35">
        <f t="shared" si="6"/>
        <v>18.461234567901233</v>
      </c>
      <c r="AM35">
        <f t="shared" si="7"/>
        <v>0.47888257856790117</v>
      </c>
      <c r="AP35" s="9"/>
      <c r="AQ35" s="21">
        <v>1.69418</v>
      </c>
      <c r="AR35" s="21">
        <v>24.836600000000001</v>
      </c>
      <c r="AS35" s="21">
        <v>-9.7534200000000005E-3</v>
      </c>
      <c r="AT35" s="21">
        <v>25</v>
      </c>
      <c r="AU35" s="21">
        <v>1.69373</v>
      </c>
      <c r="AV35">
        <f t="shared" si="8"/>
        <v>12.041259259259258</v>
      </c>
      <c r="AW35">
        <f t="shared" si="9"/>
        <v>20.400060611851849</v>
      </c>
      <c r="AX35" s="9"/>
      <c r="AY35" s="21">
        <v>2.5939899999999998E-2</v>
      </c>
      <c r="AZ35" s="21">
        <v>28.696000000000002</v>
      </c>
      <c r="BA35" s="21">
        <v>-1.49628E-2</v>
      </c>
      <c r="BB35" s="21">
        <v>25</v>
      </c>
      <c r="BC35" s="21">
        <v>2.5967400000000002E-2</v>
      </c>
      <c r="BD35">
        <f t="shared" si="10"/>
        <v>18.472592592592594</v>
      </c>
      <c r="BE35">
        <f t="shared" si="11"/>
        <v>0.47917720459259261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1.6891499999999999</v>
      </c>
      <c r="H36" s="21">
        <v>6.0001800000000003</v>
      </c>
      <c r="I36" s="21">
        <v>-7.9437299999999995E-3</v>
      </c>
      <c r="J36" s="21">
        <v>26</v>
      </c>
      <c r="K36" s="21">
        <v>1.6882299999999999</v>
      </c>
      <c r="L36">
        <f t="shared" si="0"/>
        <v>9.8070740740740714</v>
      </c>
      <c r="M36">
        <f t="shared" si="1"/>
        <v>16.565619172222217</v>
      </c>
      <c r="N36" s="9"/>
      <c r="O36" s="21">
        <v>3.0975300000000001E-2</v>
      </c>
      <c r="P36" s="21">
        <v>9.8596599999999999</v>
      </c>
      <c r="Q36" s="21">
        <v>-1.4941400000000001E-2</v>
      </c>
      <c r="R36" s="21">
        <v>26</v>
      </c>
      <c r="S36" s="21">
        <v>3.0929600000000002E-2</v>
      </c>
      <c r="T36">
        <f t="shared" si="2"/>
        <v>18.446172839506172</v>
      </c>
      <c r="U36">
        <f t="shared" si="3"/>
        <v>0.5713757375555556</v>
      </c>
      <c r="X36" s="9"/>
      <c r="Y36" s="21">
        <v>1.6891499999999999</v>
      </c>
      <c r="Z36" s="21">
        <v>15.4384</v>
      </c>
      <c r="AA36" s="21">
        <v>-9.6832299999999993E-3</v>
      </c>
      <c r="AB36" s="21">
        <v>26</v>
      </c>
      <c r="AC36" s="21">
        <v>1.6879299999999999</v>
      </c>
      <c r="AD36">
        <f t="shared" si="4"/>
        <v>11.954604938271604</v>
      </c>
      <c r="AE36">
        <f t="shared" si="5"/>
        <v>20.193120931481481</v>
      </c>
      <c r="AF36" s="9"/>
      <c r="AG36" s="21">
        <v>3.0975300000000001E-2</v>
      </c>
      <c r="AH36" s="21">
        <v>19.297899999999998</v>
      </c>
      <c r="AI36" s="21">
        <v>-1.49567E-2</v>
      </c>
      <c r="AJ36" s="21">
        <v>26</v>
      </c>
      <c r="AK36" s="21">
        <v>3.08563E-2</v>
      </c>
      <c r="AL36">
        <f t="shared" si="6"/>
        <v>18.46506172839506</v>
      </c>
      <c r="AM36">
        <f t="shared" si="7"/>
        <v>0.57196082655555547</v>
      </c>
      <c r="AP36" s="9"/>
      <c r="AQ36" s="21">
        <v>1.6891499999999999</v>
      </c>
      <c r="AR36" s="21">
        <v>24.846599999999999</v>
      </c>
      <c r="AS36" s="21">
        <v>-1.00281E-2</v>
      </c>
      <c r="AT36" s="21">
        <v>26</v>
      </c>
      <c r="AU36" s="21">
        <v>1.6885399999999999</v>
      </c>
      <c r="AV36">
        <f t="shared" si="8"/>
        <v>12.38037037037037</v>
      </c>
      <c r="AW36">
        <f t="shared" si="9"/>
        <v>20.912302611111109</v>
      </c>
      <c r="AX36" s="9"/>
      <c r="AY36" s="21">
        <v>3.0975300000000001E-2</v>
      </c>
      <c r="AZ36" s="21">
        <v>28.706099999999999</v>
      </c>
      <c r="BA36" s="21">
        <v>-1.49567E-2</v>
      </c>
      <c r="BB36" s="21">
        <v>26</v>
      </c>
      <c r="BC36" s="21">
        <v>3.0941799999999998E-2</v>
      </c>
      <c r="BD36">
        <f t="shared" si="10"/>
        <v>18.46506172839506</v>
      </c>
      <c r="BE36">
        <f t="shared" si="11"/>
        <v>0.57196082655555547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1.68411</v>
      </c>
      <c r="H37" s="21">
        <v>6.0102500000000001</v>
      </c>
      <c r="I37" s="21">
        <v>-8.2794199999999991E-3</v>
      </c>
      <c r="J37" s="21">
        <v>27</v>
      </c>
      <c r="K37" s="21">
        <v>1.6842699999999999</v>
      </c>
      <c r="L37">
        <f t="shared" si="0"/>
        <v>10.221506172839504</v>
      </c>
      <c r="M37">
        <f t="shared" si="1"/>
        <v>17.214140760740737</v>
      </c>
      <c r="N37" s="9"/>
      <c r="O37" s="21">
        <v>3.60107E-2</v>
      </c>
      <c r="P37" s="21">
        <v>9.8697300000000006</v>
      </c>
      <c r="Q37" s="21">
        <v>-1.4941400000000001E-2</v>
      </c>
      <c r="R37" s="21">
        <v>27</v>
      </c>
      <c r="S37" s="21">
        <v>3.5913100000000003E-2</v>
      </c>
      <c r="T37">
        <f t="shared" si="2"/>
        <v>18.446172839506172</v>
      </c>
      <c r="U37">
        <f t="shared" si="3"/>
        <v>0.66425959627160491</v>
      </c>
      <c r="X37" s="9"/>
      <c r="Y37" s="21">
        <v>1.68411</v>
      </c>
      <c r="Z37" s="21">
        <v>15.448499999999999</v>
      </c>
      <c r="AA37" s="21">
        <v>-9.9456800000000001E-3</v>
      </c>
      <c r="AB37" s="21">
        <v>27</v>
      </c>
      <c r="AC37" s="21">
        <v>1.6833499999999999</v>
      </c>
      <c r="AD37">
        <f t="shared" si="4"/>
        <v>12.278617283950616</v>
      </c>
      <c r="AE37">
        <f t="shared" si="5"/>
        <v>20.678542154074073</v>
      </c>
      <c r="AF37" s="9"/>
      <c r="AG37" s="21">
        <v>3.60107E-2</v>
      </c>
      <c r="AH37" s="21">
        <v>19.3079</v>
      </c>
      <c r="AI37" s="21">
        <v>-1.49567E-2</v>
      </c>
      <c r="AJ37" s="21">
        <v>27</v>
      </c>
      <c r="AK37" s="21">
        <v>3.5827600000000001E-2</v>
      </c>
      <c r="AL37">
        <f t="shared" si="6"/>
        <v>18.46506172839506</v>
      </c>
      <c r="AM37">
        <f t="shared" si="7"/>
        <v>0.664939798382716</v>
      </c>
      <c r="AP37" s="9"/>
      <c r="AQ37" s="21">
        <v>1.68411</v>
      </c>
      <c r="AR37" s="21">
        <v>24.8567</v>
      </c>
      <c r="AS37" s="21">
        <v>-1.02386E-2</v>
      </c>
      <c r="AT37" s="21">
        <v>27</v>
      </c>
      <c r="AU37" s="21">
        <v>1.6836500000000001</v>
      </c>
      <c r="AV37">
        <f t="shared" si="8"/>
        <v>12.640246913580247</v>
      </c>
      <c r="AW37">
        <f t="shared" si="9"/>
        <v>21.287566229629629</v>
      </c>
      <c r="AX37" s="9"/>
      <c r="AY37" s="21">
        <v>3.60107E-2</v>
      </c>
      <c r="AZ37" s="21">
        <v>28.716200000000001</v>
      </c>
      <c r="BA37" s="21">
        <v>-1.4941400000000001E-2</v>
      </c>
      <c r="BB37" s="21">
        <v>27</v>
      </c>
      <c r="BC37" s="21">
        <v>3.5943599999999999E-2</v>
      </c>
      <c r="BD37">
        <f t="shared" si="10"/>
        <v>18.446172839506172</v>
      </c>
      <c r="BE37">
        <f t="shared" si="11"/>
        <v>0.66425959627160491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1.6790799999999999</v>
      </c>
      <c r="H38" s="21">
        <v>6.0203199999999999</v>
      </c>
      <c r="I38" s="21">
        <v>-8.5540800000000004E-3</v>
      </c>
      <c r="J38" s="21">
        <v>28</v>
      </c>
      <c r="K38" s="21">
        <v>1.6778599999999999</v>
      </c>
      <c r="L38">
        <f t="shared" si="0"/>
        <v>10.560592592592592</v>
      </c>
      <c r="M38">
        <f t="shared" si="1"/>
        <v>17.732079810370369</v>
      </c>
      <c r="N38" s="9"/>
      <c r="O38" s="21">
        <v>4.1046100000000002E-2</v>
      </c>
      <c r="P38" s="21">
        <v>9.8797999999999995</v>
      </c>
      <c r="Q38" s="21">
        <v>-1.4944499999999999E-2</v>
      </c>
      <c r="R38" s="21">
        <v>28</v>
      </c>
      <c r="S38" s="21">
        <v>4.1003400000000002E-2</v>
      </c>
      <c r="T38">
        <f t="shared" si="2"/>
        <v>18.45</v>
      </c>
      <c r="U38">
        <f t="shared" si="3"/>
        <v>0.75730054499999999</v>
      </c>
      <c r="X38" s="9"/>
      <c r="Y38" s="21">
        <v>1.6790799999999999</v>
      </c>
      <c r="Z38" s="21">
        <v>15.458500000000001</v>
      </c>
      <c r="AA38" s="21">
        <v>-1.01624E-2</v>
      </c>
      <c r="AB38" s="21">
        <v>28</v>
      </c>
      <c r="AC38" s="21">
        <v>1.6787700000000001</v>
      </c>
      <c r="AD38">
        <f t="shared" si="4"/>
        <v>12.546172839506172</v>
      </c>
      <c r="AE38">
        <f t="shared" si="5"/>
        <v>21.066027891358022</v>
      </c>
      <c r="AF38" s="9"/>
      <c r="AG38" s="21">
        <v>4.1046100000000002E-2</v>
      </c>
      <c r="AH38" s="21">
        <v>19.318000000000001</v>
      </c>
      <c r="AI38" s="21">
        <v>-1.4959699999999999E-2</v>
      </c>
      <c r="AJ38" s="21">
        <v>28</v>
      </c>
      <c r="AK38" s="21">
        <v>4.0966799999999998E-2</v>
      </c>
      <c r="AL38">
        <f t="shared" si="6"/>
        <v>18.468765432098763</v>
      </c>
      <c r="AM38">
        <f t="shared" si="7"/>
        <v>0.75807079280246914</v>
      </c>
      <c r="AP38" s="9"/>
      <c r="AQ38" s="21">
        <v>1.6790799999999999</v>
      </c>
      <c r="AR38" s="21">
        <v>24.866800000000001</v>
      </c>
      <c r="AS38" s="21">
        <v>-1.04858E-2</v>
      </c>
      <c r="AT38" s="21">
        <v>28</v>
      </c>
      <c r="AU38" s="21">
        <v>1.6787700000000001</v>
      </c>
      <c r="AV38">
        <f t="shared" si="8"/>
        <v>12.945432098765432</v>
      </c>
      <c r="AW38">
        <f t="shared" si="9"/>
        <v>21.73641612839506</v>
      </c>
      <c r="AX38" s="9"/>
      <c r="AY38" s="21">
        <v>4.1046100000000002E-2</v>
      </c>
      <c r="AZ38" s="21">
        <v>28.726199999999999</v>
      </c>
      <c r="BA38" s="21">
        <v>-1.49353E-2</v>
      </c>
      <c r="BB38" s="21">
        <v>28</v>
      </c>
      <c r="BC38" s="21">
        <v>4.1018699999999998E-2</v>
      </c>
      <c r="BD38">
        <f t="shared" si="10"/>
        <v>18.438641975308641</v>
      </c>
      <c r="BE38">
        <f t="shared" si="11"/>
        <v>0.75683434238271607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1.67404</v>
      </c>
      <c r="H39" s="21">
        <v>6.0303899999999997</v>
      </c>
      <c r="I39" s="21">
        <v>-8.8561999999999998E-3</v>
      </c>
      <c r="J39" s="21">
        <v>29</v>
      </c>
      <c r="K39" s="21">
        <v>1.6732800000000001</v>
      </c>
      <c r="L39">
        <f t="shared" si="0"/>
        <v>10.93358024691358</v>
      </c>
      <c r="M39">
        <f t="shared" si="1"/>
        <v>18.303250676543211</v>
      </c>
      <c r="N39" s="9"/>
      <c r="O39" s="21">
        <v>4.6081499999999997E-2</v>
      </c>
      <c r="P39" s="21">
        <v>9.8898700000000002</v>
      </c>
      <c r="Q39" s="21">
        <v>-1.49506E-2</v>
      </c>
      <c r="R39" s="21">
        <v>29</v>
      </c>
      <c r="S39" s="21">
        <v>4.6041899999999997E-2</v>
      </c>
      <c r="T39">
        <f t="shared" si="2"/>
        <v>18.45753086419753</v>
      </c>
      <c r="U39">
        <f t="shared" si="3"/>
        <v>0.85055070851851844</v>
      </c>
      <c r="X39" s="9"/>
      <c r="Y39" s="21">
        <v>1.67404</v>
      </c>
      <c r="Z39" s="21">
        <v>15.4686</v>
      </c>
      <c r="AA39" s="21">
        <v>-1.03943E-2</v>
      </c>
      <c r="AB39" s="21">
        <v>29</v>
      </c>
      <c r="AC39" s="21">
        <v>1.6735800000000001</v>
      </c>
      <c r="AD39">
        <f t="shared" si="4"/>
        <v>12.832469135802469</v>
      </c>
      <c r="AE39">
        <f t="shared" si="5"/>
        <v>21.482066632098764</v>
      </c>
      <c r="AF39" s="9"/>
      <c r="AG39" s="21">
        <v>4.6081499999999997E-2</v>
      </c>
      <c r="AH39" s="21">
        <v>19.328099999999999</v>
      </c>
      <c r="AI39" s="21">
        <v>-1.4959699999999999E-2</v>
      </c>
      <c r="AJ39" s="21">
        <v>29</v>
      </c>
      <c r="AK39" s="21">
        <v>4.6017500000000003E-2</v>
      </c>
      <c r="AL39">
        <f t="shared" si="6"/>
        <v>18.468765432098763</v>
      </c>
      <c r="AM39">
        <f t="shared" si="7"/>
        <v>0.85106841425925917</v>
      </c>
      <c r="AP39" s="9"/>
      <c r="AQ39" s="21">
        <v>1.67404</v>
      </c>
      <c r="AR39" s="21">
        <v>24.876799999999999</v>
      </c>
      <c r="AS39" s="21">
        <v>-1.06812E-2</v>
      </c>
      <c r="AT39" s="21">
        <v>29</v>
      </c>
      <c r="AU39" s="21">
        <v>1.6732800000000001</v>
      </c>
      <c r="AV39">
        <f t="shared" si="8"/>
        <v>13.186666666666666</v>
      </c>
      <c r="AW39">
        <f t="shared" si="9"/>
        <v>22.075007466666666</v>
      </c>
      <c r="AX39" s="9"/>
      <c r="AY39" s="21">
        <v>4.6081499999999997E-2</v>
      </c>
      <c r="AZ39" s="21">
        <v>28.7363</v>
      </c>
      <c r="BA39" s="21">
        <v>-1.4926099999999999E-2</v>
      </c>
      <c r="BB39" s="21">
        <v>29</v>
      </c>
      <c r="BC39" s="21">
        <v>4.5904500000000001E-2</v>
      </c>
      <c r="BD39">
        <f t="shared" si="10"/>
        <v>18.427283950617284</v>
      </c>
      <c r="BE39">
        <f t="shared" si="11"/>
        <v>0.84915688537037026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1.6690100000000001</v>
      </c>
      <c r="H40" s="21">
        <v>6.0404600000000004</v>
      </c>
      <c r="I40" s="21">
        <v>-8.9843800000000001E-3</v>
      </c>
      <c r="J40" s="21">
        <v>30</v>
      </c>
      <c r="K40" s="21">
        <v>1.6680900000000001</v>
      </c>
      <c r="L40">
        <f t="shared" si="0"/>
        <v>11.091827160493827</v>
      </c>
      <c r="M40">
        <f t="shared" si="1"/>
        <v>18.512370449135801</v>
      </c>
      <c r="N40" s="9"/>
      <c r="O40" s="21">
        <v>5.11169E-2</v>
      </c>
      <c r="P40" s="21">
        <v>9.8999400000000009</v>
      </c>
      <c r="Q40" s="21">
        <v>-1.49658E-2</v>
      </c>
      <c r="R40" s="21">
        <v>30</v>
      </c>
      <c r="S40" s="21">
        <v>5.1004000000000001E-2</v>
      </c>
      <c r="T40">
        <f t="shared" si="2"/>
        <v>18.476296296296297</v>
      </c>
      <c r="U40">
        <f t="shared" si="3"/>
        <v>0.94445099014814815</v>
      </c>
      <c r="X40" s="9"/>
      <c r="Y40" s="21">
        <v>1.6690100000000001</v>
      </c>
      <c r="Z40" s="21">
        <v>15.4787</v>
      </c>
      <c r="AA40" s="21">
        <v>-1.06506E-2</v>
      </c>
      <c r="AB40" s="21">
        <v>30</v>
      </c>
      <c r="AC40" s="21">
        <v>1.6677900000000001</v>
      </c>
      <c r="AD40">
        <f t="shared" si="4"/>
        <v>13.148888888888887</v>
      </c>
      <c r="AE40">
        <f t="shared" si="5"/>
        <v>21.945627044444443</v>
      </c>
      <c r="AF40" s="9"/>
      <c r="AG40" s="21">
        <v>5.11169E-2</v>
      </c>
      <c r="AH40" s="21">
        <v>19.338200000000001</v>
      </c>
      <c r="AI40" s="21">
        <v>-1.49628E-2</v>
      </c>
      <c r="AJ40" s="21">
        <v>30</v>
      </c>
      <c r="AK40" s="21">
        <v>5.0506599999999999E-2</v>
      </c>
      <c r="AL40">
        <f t="shared" si="6"/>
        <v>18.472592592592594</v>
      </c>
      <c r="AM40">
        <f t="shared" si="7"/>
        <v>0.94426166829629643</v>
      </c>
      <c r="AP40" s="9"/>
      <c r="AQ40" s="21">
        <v>1.6690100000000001</v>
      </c>
      <c r="AR40" s="21">
        <v>24.886900000000001</v>
      </c>
      <c r="AS40" s="21">
        <v>-1.0882599999999999E-2</v>
      </c>
      <c r="AT40" s="21">
        <v>30</v>
      </c>
      <c r="AU40" s="21">
        <v>1.6684000000000001</v>
      </c>
      <c r="AV40">
        <f t="shared" si="8"/>
        <v>13.435308641975306</v>
      </c>
      <c r="AW40">
        <f t="shared" si="9"/>
        <v>22.423664476543205</v>
      </c>
      <c r="AX40" s="9"/>
      <c r="AY40" s="21">
        <v>5.11169E-2</v>
      </c>
      <c r="AZ40" s="21">
        <v>28.746400000000001</v>
      </c>
      <c r="BA40" s="21">
        <v>-1.4919999999999999E-2</v>
      </c>
      <c r="BB40" s="21">
        <v>30</v>
      </c>
      <c r="BC40" s="21">
        <v>5.0628699999999999E-2</v>
      </c>
      <c r="BD40">
        <f t="shared" si="10"/>
        <v>18.41975308641975</v>
      </c>
      <c r="BE40">
        <f t="shared" si="11"/>
        <v>0.94156067654320974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1.6639699999999999</v>
      </c>
      <c r="H41" s="21">
        <v>6.0505399999999998</v>
      </c>
      <c r="I41" s="21">
        <v>-9.2285200000000005E-3</v>
      </c>
      <c r="J41" s="21">
        <v>31</v>
      </c>
      <c r="K41" s="21">
        <v>1.6629</v>
      </c>
      <c r="L41">
        <f t="shared" si="0"/>
        <v>11.393234567901235</v>
      </c>
      <c r="M41">
        <f t="shared" si="1"/>
        <v>18.958000523950616</v>
      </c>
      <c r="N41" s="9"/>
      <c r="O41" s="21">
        <v>5.6152300000000002E-2</v>
      </c>
      <c r="P41" s="21">
        <v>9.9100099999999998</v>
      </c>
      <c r="Q41" s="21">
        <v>-1.49689E-2</v>
      </c>
      <c r="R41" s="21">
        <v>31</v>
      </c>
      <c r="S41" s="21">
        <v>5.5755600000000002E-2</v>
      </c>
      <c r="T41">
        <f t="shared" si="2"/>
        <v>18.480123456790125</v>
      </c>
      <c r="U41">
        <f t="shared" si="3"/>
        <v>1.0377014363827162</v>
      </c>
      <c r="X41" s="9"/>
      <c r="Y41" s="21">
        <v>1.6639699999999999</v>
      </c>
      <c r="Z41" s="21">
        <v>15.488799999999999</v>
      </c>
      <c r="AA41" s="21">
        <v>-1.0794099999999999E-2</v>
      </c>
      <c r="AB41" s="21">
        <v>31</v>
      </c>
      <c r="AC41" s="21">
        <v>1.6626000000000001</v>
      </c>
      <c r="AD41">
        <f t="shared" si="4"/>
        <v>13.326049382716048</v>
      </c>
      <c r="AE41">
        <f t="shared" si="5"/>
        <v>22.174146391358022</v>
      </c>
      <c r="AF41" s="9"/>
      <c r="AG41" s="21">
        <v>5.6152300000000002E-2</v>
      </c>
      <c r="AH41" s="21">
        <v>19.348199999999999</v>
      </c>
      <c r="AI41" s="21">
        <v>-1.49628E-2</v>
      </c>
      <c r="AJ41" s="21">
        <v>31</v>
      </c>
      <c r="AK41" s="21">
        <v>5.5633500000000002E-2</v>
      </c>
      <c r="AL41">
        <f t="shared" si="6"/>
        <v>18.472592592592594</v>
      </c>
      <c r="AM41">
        <f t="shared" si="7"/>
        <v>1.0372785610370372</v>
      </c>
      <c r="AP41" s="9"/>
      <c r="AQ41" s="21">
        <v>1.6639699999999999</v>
      </c>
      <c r="AR41" s="21">
        <v>24.896999999999998</v>
      </c>
      <c r="AS41" s="21">
        <v>-1.1062600000000001E-2</v>
      </c>
      <c r="AT41" s="21">
        <v>31</v>
      </c>
      <c r="AU41" s="21">
        <v>1.66351</v>
      </c>
      <c r="AV41">
        <f t="shared" si="8"/>
        <v>13.657530864197531</v>
      </c>
      <c r="AW41">
        <f t="shared" si="9"/>
        <v>22.725721632098765</v>
      </c>
      <c r="AX41" s="9"/>
      <c r="AY41" s="21">
        <v>5.6152300000000002E-2</v>
      </c>
      <c r="AZ41" s="21">
        <v>28.756499999999999</v>
      </c>
      <c r="BA41" s="21">
        <v>-1.4926099999999999E-2</v>
      </c>
      <c r="BB41" s="21">
        <v>31</v>
      </c>
      <c r="BC41" s="21">
        <v>5.5633500000000002E-2</v>
      </c>
      <c r="BD41">
        <f t="shared" si="10"/>
        <v>18.427283950617284</v>
      </c>
      <c r="BE41">
        <f t="shared" si="11"/>
        <v>1.034734376580247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1.6589400000000001</v>
      </c>
      <c r="H42" s="21">
        <v>6.0606099999999996</v>
      </c>
      <c r="I42" s="21">
        <v>-9.5489500000000005E-3</v>
      </c>
      <c r="J42" s="21">
        <v>32</v>
      </c>
      <c r="K42" s="21">
        <v>1.6583300000000001</v>
      </c>
      <c r="L42">
        <f t="shared" si="0"/>
        <v>11.788827160493826</v>
      </c>
      <c r="M42">
        <f t="shared" si="1"/>
        <v>19.556956929629628</v>
      </c>
      <c r="N42" s="9"/>
      <c r="O42" s="21">
        <v>6.1187699999999998E-2</v>
      </c>
      <c r="P42" s="21">
        <v>9.9200800000000005</v>
      </c>
      <c r="Q42" s="21">
        <v>-1.49689E-2</v>
      </c>
      <c r="R42" s="21">
        <v>32</v>
      </c>
      <c r="S42" s="21">
        <v>6.0607899999999999E-2</v>
      </c>
      <c r="T42">
        <f t="shared" si="2"/>
        <v>18.480123456790125</v>
      </c>
      <c r="U42">
        <f t="shared" si="3"/>
        <v>1.1307562500370372</v>
      </c>
      <c r="X42" s="9"/>
      <c r="Y42" s="21">
        <v>1.6589400000000001</v>
      </c>
      <c r="Z42" s="21">
        <v>15.498799999999999</v>
      </c>
      <c r="AA42" s="21">
        <v>-1.09192E-2</v>
      </c>
      <c r="AB42" s="21">
        <v>32</v>
      </c>
      <c r="AC42" s="21">
        <v>1.65741</v>
      </c>
      <c r="AD42">
        <f t="shared" si="4"/>
        <v>13.480493827160494</v>
      </c>
      <c r="AE42">
        <f t="shared" si="5"/>
        <v>22.363330429629631</v>
      </c>
      <c r="AF42" s="9"/>
      <c r="AG42" s="21">
        <v>6.1187699999999998E-2</v>
      </c>
      <c r="AH42" s="21">
        <v>19.3583</v>
      </c>
      <c r="AI42" s="21">
        <v>-1.49628E-2</v>
      </c>
      <c r="AJ42" s="21">
        <v>32</v>
      </c>
      <c r="AK42" s="21">
        <v>6.0699500000000003E-2</v>
      </c>
      <c r="AL42">
        <f t="shared" si="6"/>
        <v>18.472592592592594</v>
      </c>
      <c r="AM42">
        <f t="shared" si="7"/>
        <v>1.1302954537777778</v>
      </c>
      <c r="AP42" s="9"/>
      <c r="AQ42" s="21">
        <v>1.6589400000000001</v>
      </c>
      <c r="AR42" s="21">
        <v>24.9071</v>
      </c>
      <c r="AS42" s="21">
        <v>-1.12335E-2</v>
      </c>
      <c r="AT42" s="21">
        <v>32</v>
      </c>
      <c r="AU42" s="21">
        <v>1.65802</v>
      </c>
      <c r="AV42">
        <f t="shared" si="8"/>
        <v>13.868518518518519</v>
      </c>
      <c r="AW42">
        <f t="shared" si="9"/>
        <v>23.007040111111113</v>
      </c>
      <c r="AX42" s="9"/>
      <c r="AY42" s="21">
        <v>6.1187699999999998E-2</v>
      </c>
      <c r="AZ42" s="21">
        <v>28.766500000000001</v>
      </c>
      <c r="BA42" s="21">
        <v>-1.49292E-2</v>
      </c>
      <c r="BB42" s="21">
        <v>32</v>
      </c>
      <c r="BC42" s="21">
        <v>6.0638400000000002E-2</v>
      </c>
      <c r="BD42">
        <f t="shared" si="10"/>
        <v>18.431111111111111</v>
      </c>
      <c r="BE42">
        <f t="shared" si="11"/>
        <v>1.1277572973333332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1.6538999999999999</v>
      </c>
      <c r="H43" s="21">
        <v>6.0706800000000003</v>
      </c>
      <c r="I43" s="21">
        <v>-9.7412100000000001E-3</v>
      </c>
      <c r="J43" s="21">
        <v>33</v>
      </c>
      <c r="K43" s="21">
        <v>1.6531400000000001</v>
      </c>
      <c r="L43">
        <f t="shared" si="0"/>
        <v>12.026185185185184</v>
      </c>
      <c r="M43">
        <f t="shared" si="1"/>
        <v>19.890107677777774</v>
      </c>
      <c r="N43" s="9"/>
      <c r="O43" s="21">
        <v>6.6223099999999993E-2</v>
      </c>
      <c r="P43" s="21">
        <v>9.9301499999999994</v>
      </c>
      <c r="Q43" s="21">
        <v>-1.4978E-2</v>
      </c>
      <c r="R43" s="21">
        <v>33</v>
      </c>
      <c r="S43" s="21">
        <v>6.5612799999999999E-2</v>
      </c>
      <c r="T43">
        <f t="shared" si="2"/>
        <v>18.491358024691355</v>
      </c>
      <c r="U43">
        <f t="shared" si="3"/>
        <v>1.2245550516049379</v>
      </c>
      <c r="X43" s="9"/>
      <c r="Y43" s="21">
        <v>1.6538999999999999</v>
      </c>
      <c r="Z43" s="21">
        <v>15.508900000000001</v>
      </c>
      <c r="AA43" s="21">
        <v>-1.1080899999999999E-2</v>
      </c>
      <c r="AB43" s="21">
        <v>33</v>
      </c>
      <c r="AC43" s="21">
        <v>1.6531400000000001</v>
      </c>
      <c r="AD43">
        <f t="shared" si="4"/>
        <v>13.680123456790122</v>
      </c>
      <c r="AE43">
        <f t="shared" si="5"/>
        <v>22.625556185185182</v>
      </c>
      <c r="AF43" s="9"/>
      <c r="AG43" s="21">
        <v>6.6223099999999993E-2</v>
      </c>
      <c r="AH43" s="21">
        <v>19.368400000000001</v>
      </c>
      <c r="AI43" s="21">
        <v>-1.49658E-2</v>
      </c>
      <c r="AJ43" s="21">
        <v>33</v>
      </c>
      <c r="AK43" s="21">
        <v>6.5704299999999993E-2</v>
      </c>
      <c r="AL43">
        <f t="shared" si="6"/>
        <v>18.476296296296297</v>
      </c>
      <c r="AM43">
        <f t="shared" si="7"/>
        <v>1.2235576172592593</v>
      </c>
      <c r="AP43" s="9"/>
      <c r="AQ43" s="21">
        <v>1.6538999999999999</v>
      </c>
      <c r="AR43" s="21">
        <v>24.917100000000001</v>
      </c>
      <c r="AS43" s="21">
        <v>-1.13831E-2</v>
      </c>
      <c r="AT43" s="21">
        <v>33</v>
      </c>
      <c r="AU43" s="21">
        <v>1.6525300000000001</v>
      </c>
      <c r="AV43">
        <f t="shared" si="8"/>
        <v>14.053209876543209</v>
      </c>
      <c r="AW43">
        <f t="shared" si="9"/>
        <v>23.24260381481481</v>
      </c>
      <c r="AX43" s="9"/>
      <c r="AY43" s="21">
        <v>6.6223099999999993E-2</v>
      </c>
      <c r="AZ43" s="21">
        <v>28.776599999999998</v>
      </c>
      <c r="BA43" s="21">
        <v>-1.49292E-2</v>
      </c>
      <c r="BB43" s="21">
        <v>33</v>
      </c>
      <c r="BC43" s="21">
        <v>6.5673800000000004E-2</v>
      </c>
      <c r="BD43">
        <f t="shared" si="10"/>
        <v>18.431111111111111</v>
      </c>
      <c r="BE43">
        <f t="shared" si="11"/>
        <v>1.2205653142222221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1.64886</v>
      </c>
      <c r="H44" s="21">
        <v>6.0807500000000001</v>
      </c>
      <c r="I44" s="21">
        <v>-9.9456800000000001E-3</v>
      </c>
      <c r="J44" s="21">
        <v>34</v>
      </c>
      <c r="K44" s="21">
        <v>1.64795</v>
      </c>
      <c r="L44">
        <f t="shared" si="0"/>
        <v>12.278617283950616</v>
      </c>
      <c r="M44">
        <f t="shared" si="1"/>
        <v>20.245720894814813</v>
      </c>
      <c r="N44" s="9"/>
      <c r="O44" s="21">
        <v>7.1258500000000002E-2</v>
      </c>
      <c r="P44" s="21">
        <v>9.9402200000000001</v>
      </c>
      <c r="Q44" s="21">
        <v>-1.4987199999999999E-2</v>
      </c>
      <c r="R44" s="21">
        <v>34</v>
      </c>
      <c r="S44" s="21">
        <v>7.0739700000000003E-2</v>
      </c>
      <c r="T44">
        <f t="shared" si="2"/>
        <v>18.502716049382713</v>
      </c>
      <c r="U44">
        <f t="shared" si="3"/>
        <v>1.3184757916049381</v>
      </c>
      <c r="X44" s="9"/>
      <c r="Y44" s="21">
        <v>1.64886</v>
      </c>
      <c r="Z44" s="21">
        <v>15.519</v>
      </c>
      <c r="AA44" s="21">
        <v>-1.1236599999999999E-2</v>
      </c>
      <c r="AB44" s="21">
        <v>34</v>
      </c>
      <c r="AC44" s="21">
        <v>1.64825</v>
      </c>
      <c r="AD44">
        <f t="shared" si="4"/>
        <v>13.872345679012344</v>
      </c>
      <c r="AE44">
        <f t="shared" si="5"/>
        <v>22.873555896296295</v>
      </c>
      <c r="AF44" s="9"/>
      <c r="AG44" s="21">
        <v>7.1258500000000002E-2</v>
      </c>
      <c r="AH44" s="21">
        <v>19.378399999999999</v>
      </c>
      <c r="AI44" s="21">
        <v>-1.49628E-2</v>
      </c>
      <c r="AJ44" s="21">
        <v>34</v>
      </c>
      <c r="AK44" s="21">
        <v>7.0739700000000003E-2</v>
      </c>
      <c r="AL44">
        <f t="shared" si="6"/>
        <v>18.472592592592594</v>
      </c>
      <c r="AM44">
        <f t="shared" si="7"/>
        <v>1.3163292392592594</v>
      </c>
      <c r="AP44" s="9"/>
      <c r="AQ44" s="21">
        <v>1.64886</v>
      </c>
      <c r="AR44" s="21">
        <v>24.927199999999999</v>
      </c>
      <c r="AS44" s="21">
        <v>-1.1550899999999999E-2</v>
      </c>
      <c r="AT44" s="21">
        <v>34</v>
      </c>
      <c r="AU44" s="21">
        <v>1.64825</v>
      </c>
      <c r="AV44">
        <f t="shared" si="8"/>
        <v>14.260370370370369</v>
      </c>
      <c r="AW44">
        <f t="shared" si="9"/>
        <v>23.513354288888888</v>
      </c>
      <c r="AX44" s="9"/>
      <c r="AY44" s="21">
        <v>7.1258500000000002E-2</v>
      </c>
      <c r="AZ44" s="21">
        <v>28.7867</v>
      </c>
      <c r="BA44" s="21">
        <v>-1.49292E-2</v>
      </c>
      <c r="BB44" s="21">
        <v>34</v>
      </c>
      <c r="BC44" s="21">
        <v>7.0678699999999997E-2</v>
      </c>
      <c r="BD44">
        <f t="shared" si="10"/>
        <v>18.431111111111111</v>
      </c>
      <c r="BE44">
        <f t="shared" si="11"/>
        <v>1.3133733311111111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1.6438299999999999</v>
      </c>
      <c r="H45" s="21">
        <v>6.0908199999999999</v>
      </c>
      <c r="I45" s="21">
        <v>-1.01288E-2</v>
      </c>
      <c r="J45" s="21">
        <v>35</v>
      </c>
      <c r="K45" s="21">
        <v>1.64307</v>
      </c>
      <c r="L45">
        <f t="shared" si="0"/>
        <v>12.504691358024692</v>
      </c>
      <c r="M45">
        <f t="shared" si="1"/>
        <v>20.555586795061728</v>
      </c>
      <c r="N45" s="9"/>
      <c r="O45" s="21">
        <v>7.6293899999999998E-2</v>
      </c>
      <c r="P45" s="21">
        <v>9.9502900000000007</v>
      </c>
      <c r="Q45" s="21">
        <v>-1.4987199999999999E-2</v>
      </c>
      <c r="R45" s="21">
        <v>35</v>
      </c>
      <c r="S45" s="21">
        <v>7.5775099999999998E-2</v>
      </c>
      <c r="T45">
        <f t="shared" si="2"/>
        <v>18.502716049382713</v>
      </c>
      <c r="U45">
        <f t="shared" si="3"/>
        <v>1.4116443679999997</v>
      </c>
      <c r="X45" s="9"/>
      <c r="Y45" s="21">
        <v>1.6438299999999999</v>
      </c>
      <c r="Z45" s="21">
        <v>15.529</v>
      </c>
      <c r="AA45" s="21">
        <v>-1.1401400000000001E-2</v>
      </c>
      <c r="AB45" s="21">
        <v>35</v>
      </c>
      <c r="AC45" s="21">
        <v>1.64337</v>
      </c>
      <c r="AD45">
        <f t="shared" si="4"/>
        <v>14.075802469135803</v>
      </c>
      <c r="AE45">
        <f t="shared" si="5"/>
        <v>23.138226372839508</v>
      </c>
      <c r="AF45" s="9"/>
      <c r="AG45" s="21">
        <v>7.6293899999999998E-2</v>
      </c>
      <c r="AH45" s="21">
        <v>19.388500000000001</v>
      </c>
      <c r="AI45" s="21">
        <v>-1.49658E-2</v>
      </c>
      <c r="AJ45" s="21">
        <v>35</v>
      </c>
      <c r="AK45" s="21">
        <v>7.5805700000000004E-2</v>
      </c>
      <c r="AL45">
        <f t="shared" si="6"/>
        <v>18.476296296296297</v>
      </c>
      <c r="AM45">
        <f t="shared" si="7"/>
        <v>1.409628702</v>
      </c>
      <c r="AP45" s="9"/>
      <c r="AQ45" s="21">
        <v>1.6438299999999999</v>
      </c>
      <c r="AR45" s="21">
        <v>24.9373</v>
      </c>
      <c r="AS45" s="21">
        <v>-1.16699E-2</v>
      </c>
      <c r="AT45" s="21">
        <v>35</v>
      </c>
      <c r="AU45" s="21">
        <v>1.64276</v>
      </c>
      <c r="AV45">
        <f t="shared" si="8"/>
        <v>14.407283950617282</v>
      </c>
      <c r="AW45">
        <f t="shared" si="9"/>
        <v>23.683125576543205</v>
      </c>
      <c r="AX45" s="9"/>
      <c r="AY45" s="21">
        <v>7.6293899999999998E-2</v>
      </c>
      <c r="AZ45" s="21">
        <v>28.796700000000001</v>
      </c>
      <c r="BA45" s="21">
        <v>-1.49292E-2</v>
      </c>
      <c r="BB45" s="21">
        <v>35</v>
      </c>
      <c r="BC45" s="21">
        <v>7.5927700000000001E-2</v>
      </c>
      <c r="BD45">
        <f t="shared" si="10"/>
        <v>18.431111111111111</v>
      </c>
      <c r="BE45">
        <f t="shared" si="11"/>
        <v>1.4061813480000001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1.63879</v>
      </c>
      <c r="H46" s="21">
        <v>6.1008899999999997</v>
      </c>
      <c r="I46" s="21">
        <v>-1.03088E-2</v>
      </c>
      <c r="J46" s="21">
        <v>36</v>
      </c>
      <c r="K46" s="21">
        <v>1.63788</v>
      </c>
      <c r="L46">
        <f t="shared" si="0"/>
        <v>12.726913580246912</v>
      </c>
      <c r="M46">
        <f t="shared" si="1"/>
        <v>20.856738706172838</v>
      </c>
      <c r="N46" s="9"/>
      <c r="O46" s="21">
        <v>8.1329299999999993E-2</v>
      </c>
      <c r="P46" s="21">
        <v>9.9603699999999993</v>
      </c>
      <c r="Q46" s="21">
        <v>-1.49841E-2</v>
      </c>
      <c r="R46" s="21">
        <v>36</v>
      </c>
      <c r="S46" s="21">
        <v>8.0749500000000002E-2</v>
      </c>
      <c r="T46">
        <f t="shared" si="2"/>
        <v>18.498888888888889</v>
      </c>
      <c r="U46">
        <f t="shared" si="3"/>
        <v>1.504501684111111</v>
      </c>
      <c r="X46" s="9"/>
      <c r="Y46" s="21">
        <v>1.63879</v>
      </c>
      <c r="Z46" s="21">
        <v>15.539099999999999</v>
      </c>
      <c r="AA46" s="21">
        <v>-1.15417E-2</v>
      </c>
      <c r="AB46" s="21">
        <v>36</v>
      </c>
      <c r="AC46" s="21">
        <v>1.63849</v>
      </c>
      <c r="AD46">
        <f t="shared" si="4"/>
        <v>14.249012345679011</v>
      </c>
      <c r="AE46">
        <f t="shared" si="5"/>
        <v>23.351138941975307</v>
      </c>
      <c r="AF46" s="9"/>
      <c r="AG46" s="21">
        <v>8.1329299999999993E-2</v>
      </c>
      <c r="AH46" s="21">
        <v>19.398599999999998</v>
      </c>
      <c r="AI46" s="21">
        <v>-1.49567E-2</v>
      </c>
      <c r="AJ46" s="21">
        <v>36</v>
      </c>
      <c r="AK46" s="21">
        <v>8.0871600000000002E-2</v>
      </c>
      <c r="AL46">
        <f t="shared" si="6"/>
        <v>18.46506172839506</v>
      </c>
      <c r="AM46">
        <f t="shared" si="7"/>
        <v>1.5017505448271602</v>
      </c>
      <c r="AP46" s="9"/>
      <c r="AQ46" s="21">
        <v>1.63879</v>
      </c>
      <c r="AR46" s="21">
        <v>24.947299999999998</v>
      </c>
      <c r="AS46" s="21">
        <v>-1.1795E-2</v>
      </c>
      <c r="AT46" s="21">
        <v>36</v>
      </c>
      <c r="AU46" s="21">
        <v>1.63818</v>
      </c>
      <c r="AV46">
        <f t="shared" si="8"/>
        <v>14.561728395061728</v>
      </c>
      <c r="AW46">
        <f t="shared" si="9"/>
        <v>23.86361487654321</v>
      </c>
      <c r="AX46" s="9"/>
      <c r="AY46" s="21">
        <v>8.1329299999999993E-2</v>
      </c>
      <c r="AZ46" s="21">
        <v>28.806799999999999</v>
      </c>
      <c r="BA46" s="21">
        <v>-1.4938399999999999E-2</v>
      </c>
      <c r="BB46" s="21">
        <v>36</v>
      </c>
      <c r="BC46" s="21">
        <v>8.0871600000000002E-2</v>
      </c>
      <c r="BD46">
        <f t="shared" si="10"/>
        <v>18.442469135802465</v>
      </c>
      <c r="BE46">
        <f t="shared" si="11"/>
        <v>1.4999131050864194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1.6337600000000001</v>
      </c>
      <c r="H47" s="21">
        <v>6.1109600000000004</v>
      </c>
      <c r="I47" s="21">
        <v>-1.04797E-2</v>
      </c>
      <c r="J47" s="21">
        <v>37</v>
      </c>
      <c r="K47" s="21">
        <v>1.63269</v>
      </c>
      <c r="L47">
        <f t="shared" si="0"/>
        <v>12.937901234567899</v>
      </c>
      <c r="M47">
        <f t="shared" si="1"/>
        <v>21.137425520987652</v>
      </c>
      <c r="N47" s="9"/>
      <c r="O47" s="21">
        <v>8.6364700000000003E-2</v>
      </c>
      <c r="P47" s="21">
        <v>9.97044</v>
      </c>
      <c r="Q47" s="21">
        <v>-1.4978E-2</v>
      </c>
      <c r="R47" s="21">
        <v>37</v>
      </c>
      <c r="S47" s="21">
        <v>8.5845900000000003E-2</v>
      </c>
      <c r="T47">
        <f t="shared" si="2"/>
        <v>18.491358024691355</v>
      </c>
      <c r="U47">
        <f t="shared" si="3"/>
        <v>1.5970005883950615</v>
      </c>
      <c r="X47" s="9"/>
      <c r="Y47" s="21">
        <v>1.6337600000000001</v>
      </c>
      <c r="Z47" s="21">
        <v>15.549200000000001</v>
      </c>
      <c r="AA47" s="21">
        <v>-1.16791E-2</v>
      </c>
      <c r="AB47" s="21">
        <v>37</v>
      </c>
      <c r="AC47" s="21">
        <v>1.633</v>
      </c>
      <c r="AD47">
        <f t="shared" si="4"/>
        <v>14.41864197530864</v>
      </c>
      <c r="AE47">
        <f t="shared" si="5"/>
        <v>23.556600513580246</v>
      </c>
      <c r="AF47" s="9"/>
      <c r="AG47" s="21">
        <v>8.6364700000000003E-2</v>
      </c>
      <c r="AH47" s="21">
        <v>19.4087</v>
      </c>
      <c r="AI47" s="21">
        <v>-1.4953599999999999E-2</v>
      </c>
      <c r="AJ47" s="21">
        <v>37</v>
      </c>
      <c r="AK47" s="21">
        <v>8.5876499999999995E-2</v>
      </c>
      <c r="AL47">
        <f t="shared" si="6"/>
        <v>18.461234567901233</v>
      </c>
      <c r="AM47">
        <f t="shared" si="7"/>
        <v>1.5943989850864198</v>
      </c>
      <c r="AP47" s="9"/>
      <c r="AQ47" s="21">
        <v>1.6337600000000001</v>
      </c>
      <c r="AR47" s="21">
        <v>24.9574</v>
      </c>
      <c r="AS47" s="21">
        <v>-1.19019E-2</v>
      </c>
      <c r="AT47" s="21">
        <v>37</v>
      </c>
      <c r="AU47" s="21">
        <v>1.633</v>
      </c>
      <c r="AV47">
        <f t="shared" si="8"/>
        <v>14.693703703703703</v>
      </c>
      <c r="AW47">
        <f t="shared" si="9"/>
        <v>24.005985362962964</v>
      </c>
      <c r="AX47" s="9"/>
      <c r="AY47" s="21">
        <v>8.6364700000000003E-2</v>
      </c>
      <c r="AZ47" s="21">
        <v>28.8169</v>
      </c>
      <c r="BA47" s="21">
        <v>-1.49292E-2</v>
      </c>
      <c r="BB47" s="21">
        <v>37</v>
      </c>
      <c r="BC47" s="21">
        <v>8.5906999999999997E-2</v>
      </c>
      <c r="BD47">
        <f t="shared" si="10"/>
        <v>18.431111111111111</v>
      </c>
      <c r="BE47">
        <f t="shared" si="11"/>
        <v>1.5917973817777777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1.6287199999999999</v>
      </c>
      <c r="H48" s="21">
        <v>6.1210300000000002</v>
      </c>
      <c r="I48" s="21">
        <v>-1.0638399999999999E-2</v>
      </c>
      <c r="J48" s="21">
        <v>38</v>
      </c>
      <c r="K48" s="21">
        <v>1.6274999999999999</v>
      </c>
      <c r="L48">
        <f t="shared" si="0"/>
        <v>13.133827160493826</v>
      </c>
      <c r="M48">
        <f t="shared" si="1"/>
        <v>21.391326972839504</v>
      </c>
      <c r="N48" s="9"/>
      <c r="O48" s="21">
        <v>9.1400099999999998E-2</v>
      </c>
      <c r="P48" s="21">
        <v>9.9805100000000007</v>
      </c>
      <c r="Q48" s="21">
        <v>-1.49719E-2</v>
      </c>
      <c r="R48" s="21">
        <v>38</v>
      </c>
      <c r="S48" s="21">
        <v>9.0759300000000001E-2</v>
      </c>
      <c r="T48">
        <f t="shared" si="2"/>
        <v>18.483827160493824</v>
      </c>
      <c r="U48">
        <f t="shared" si="3"/>
        <v>1.6894236508518516</v>
      </c>
      <c r="X48" s="9"/>
      <c r="Y48" s="21">
        <v>1.6287199999999999</v>
      </c>
      <c r="Z48" s="21">
        <v>15.5593</v>
      </c>
      <c r="AA48" s="21">
        <v>-1.18011E-2</v>
      </c>
      <c r="AB48" s="21">
        <v>38</v>
      </c>
      <c r="AC48" s="21">
        <v>1.62842</v>
      </c>
      <c r="AD48">
        <f t="shared" si="4"/>
        <v>14.56925925925926</v>
      </c>
      <c r="AE48">
        <f t="shared" si="5"/>
        <v>23.729243940740741</v>
      </c>
      <c r="AF48" s="9"/>
      <c r="AG48" s="21">
        <v>9.1400099999999998E-2</v>
      </c>
      <c r="AH48" s="21">
        <v>19.418700000000001</v>
      </c>
      <c r="AI48" s="21">
        <v>-1.4947500000000001E-2</v>
      </c>
      <c r="AJ48" s="21">
        <v>38</v>
      </c>
      <c r="AK48" s="21">
        <v>9.0911900000000004E-2</v>
      </c>
      <c r="AL48">
        <f t="shared" si="6"/>
        <v>18.453703703703706</v>
      </c>
      <c r="AM48">
        <f t="shared" si="7"/>
        <v>1.6866703638888891</v>
      </c>
      <c r="AP48" s="9"/>
      <c r="AQ48" s="21">
        <v>1.6287199999999999</v>
      </c>
      <c r="AR48" s="21">
        <v>24.967500000000001</v>
      </c>
      <c r="AS48" s="21">
        <v>-1.19965E-2</v>
      </c>
      <c r="AT48" s="21">
        <v>38</v>
      </c>
      <c r="AU48" s="21">
        <v>1.6281099999999999</v>
      </c>
      <c r="AV48">
        <f t="shared" si="8"/>
        <v>14.810493827160494</v>
      </c>
      <c r="AW48">
        <f t="shared" si="9"/>
        <v>24.122147506172841</v>
      </c>
      <c r="AX48" s="9"/>
      <c r="AY48" s="21">
        <v>9.1400099999999998E-2</v>
      </c>
      <c r="AZ48" s="21">
        <v>28.827000000000002</v>
      </c>
      <c r="BA48" s="21">
        <v>-1.4917E-2</v>
      </c>
      <c r="BB48" s="21">
        <v>38</v>
      </c>
      <c r="BC48" s="21">
        <v>9.0881299999999998E-2</v>
      </c>
      <c r="BD48">
        <f t="shared" si="10"/>
        <v>18.416049382716047</v>
      </c>
      <c r="BE48">
        <f t="shared" si="11"/>
        <v>1.6832287551851848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1.6236900000000001</v>
      </c>
      <c r="H49" s="21">
        <v>6.1311</v>
      </c>
      <c r="I49" s="21">
        <v>-1.0803200000000001E-2</v>
      </c>
      <c r="J49" s="21">
        <v>39</v>
      </c>
      <c r="K49" s="21">
        <v>1.62323</v>
      </c>
      <c r="L49">
        <f t="shared" si="0"/>
        <v>13.337283950617284</v>
      </c>
      <c r="M49">
        <f t="shared" si="1"/>
        <v>21.655614577777779</v>
      </c>
      <c r="N49" s="9"/>
      <c r="O49" s="21">
        <v>9.6435499999999993E-2</v>
      </c>
      <c r="P49" s="21">
        <v>9.9905799999999996</v>
      </c>
      <c r="Q49" s="21">
        <v>-1.4981100000000001E-2</v>
      </c>
      <c r="R49" s="21">
        <v>39</v>
      </c>
      <c r="S49" s="21">
        <v>9.6008300000000005E-2</v>
      </c>
      <c r="T49">
        <f t="shared" si="2"/>
        <v>18.495185185185186</v>
      </c>
      <c r="U49">
        <f t="shared" si="3"/>
        <v>1.7835924309259259</v>
      </c>
      <c r="X49" s="9"/>
      <c r="Y49" s="21">
        <v>1.6236900000000001</v>
      </c>
      <c r="Z49" s="21">
        <v>15.5693</v>
      </c>
      <c r="AA49" s="21">
        <v>-1.19293E-2</v>
      </c>
      <c r="AB49" s="21">
        <v>39</v>
      </c>
      <c r="AC49" s="21">
        <v>1.6229199999999999</v>
      </c>
      <c r="AD49">
        <f t="shared" si="4"/>
        <v>14.727530864197531</v>
      </c>
      <c r="AE49">
        <f t="shared" si="5"/>
        <v>23.912944588888891</v>
      </c>
      <c r="AF49" s="9"/>
      <c r="AG49" s="21">
        <v>9.6435499999999993E-2</v>
      </c>
      <c r="AH49" s="21">
        <v>19.428799999999999</v>
      </c>
      <c r="AI49" s="21">
        <v>-1.4947500000000001E-2</v>
      </c>
      <c r="AJ49" s="21">
        <v>39</v>
      </c>
      <c r="AK49" s="21">
        <v>9.5825199999999999E-2</v>
      </c>
      <c r="AL49">
        <f t="shared" si="6"/>
        <v>18.453703703703706</v>
      </c>
      <c r="AM49">
        <f t="shared" si="7"/>
        <v>1.7795921435185187</v>
      </c>
      <c r="AP49" s="9"/>
      <c r="AQ49" s="21">
        <v>1.6236900000000001</v>
      </c>
      <c r="AR49" s="21">
        <v>24.977599999999999</v>
      </c>
      <c r="AS49" s="21">
        <v>-1.2118500000000001E-2</v>
      </c>
      <c r="AT49" s="21">
        <v>39</v>
      </c>
      <c r="AU49" s="21">
        <v>1.6229199999999999</v>
      </c>
      <c r="AV49">
        <f t="shared" si="8"/>
        <v>14.96111111111111</v>
      </c>
      <c r="AW49">
        <f t="shared" si="9"/>
        <v>24.292206499999999</v>
      </c>
      <c r="AX49" s="9"/>
      <c r="AY49" s="21">
        <v>9.6435499999999993E-2</v>
      </c>
      <c r="AZ49" s="21">
        <v>28.837</v>
      </c>
      <c r="BA49" s="21">
        <v>-1.4907800000000001E-2</v>
      </c>
      <c r="BB49" s="21">
        <v>39</v>
      </c>
      <c r="BC49" s="21">
        <v>9.5886200000000005E-2</v>
      </c>
      <c r="BD49">
        <f t="shared" si="10"/>
        <v>18.404691358024692</v>
      </c>
      <c r="BE49">
        <f t="shared" si="11"/>
        <v>1.7748656134567902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1.6186499999999999</v>
      </c>
      <c r="H50" s="21">
        <v>6.1411699999999998</v>
      </c>
      <c r="I50" s="21">
        <v>-1.09436E-2</v>
      </c>
      <c r="J50" s="21">
        <v>40</v>
      </c>
      <c r="K50" s="21">
        <v>1.6186499999999999</v>
      </c>
      <c r="L50">
        <f t="shared" si="0"/>
        <v>13.510617283950616</v>
      </c>
      <c r="M50">
        <f t="shared" si="1"/>
        <v>21.868960666666663</v>
      </c>
      <c r="N50" s="9"/>
      <c r="O50" s="21">
        <v>0.10147100000000001</v>
      </c>
      <c r="P50" s="21">
        <v>10.0006</v>
      </c>
      <c r="Q50" s="21">
        <v>-1.4981100000000001E-2</v>
      </c>
      <c r="R50" s="21">
        <v>40</v>
      </c>
      <c r="S50" s="21">
        <v>0.100952</v>
      </c>
      <c r="T50">
        <f t="shared" si="2"/>
        <v>18.495185185185186</v>
      </c>
      <c r="U50">
        <f t="shared" si="3"/>
        <v>1.8767249359259262</v>
      </c>
      <c r="X50" s="9"/>
      <c r="Y50" s="21">
        <v>1.6186499999999999</v>
      </c>
      <c r="Z50" s="21">
        <v>15.5794</v>
      </c>
      <c r="AA50" s="21">
        <v>-1.20514E-2</v>
      </c>
      <c r="AB50" s="21">
        <v>40</v>
      </c>
      <c r="AC50" s="21">
        <v>1.6180399999999999</v>
      </c>
      <c r="AD50">
        <f t="shared" si="4"/>
        <v>14.878271604938272</v>
      </c>
      <c r="AE50">
        <f t="shared" si="5"/>
        <v>24.082714333333332</v>
      </c>
      <c r="AF50" s="9"/>
      <c r="AG50" s="21">
        <v>0.10147100000000001</v>
      </c>
      <c r="AH50" s="21">
        <v>19.4389</v>
      </c>
      <c r="AI50" s="21">
        <v>-1.49567E-2</v>
      </c>
      <c r="AJ50" s="21">
        <v>40</v>
      </c>
      <c r="AK50" s="21">
        <v>0.100922</v>
      </c>
      <c r="AL50">
        <f t="shared" si="6"/>
        <v>18.46506172839506</v>
      </c>
      <c r="AM50">
        <f t="shared" si="7"/>
        <v>1.8736682786419752</v>
      </c>
      <c r="AP50" s="9"/>
      <c r="AQ50" s="21">
        <v>1.6186499999999999</v>
      </c>
      <c r="AR50" s="21">
        <v>24.9876</v>
      </c>
      <c r="AS50" s="21">
        <v>-1.22284E-2</v>
      </c>
      <c r="AT50" s="21">
        <v>40</v>
      </c>
      <c r="AU50" s="21">
        <v>1.6174299999999999</v>
      </c>
      <c r="AV50">
        <f t="shared" si="8"/>
        <v>15.096790123456788</v>
      </c>
      <c r="AW50">
        <f t="shared" si="9"/>
        <v>24.43641933333333</v>
      </c>
      <c r="AX50" s="9"/>
      <c r="AY50" s="21">
        <v>0.10147100000000001</v>
      </c>
      <c r="AZ50" s="21">
        <v>28.847100000000001</v>
      </c>
      <c r="BA50" s="21">
        <v>-1.49017E-2</v>
      </c>
      <c r="BB50" s="21">
        <v>40</v>
      </c>
      <c r="BC50" s="21">
        <v>0.10083</v>
      </c>
      <c r="BD50">
        <f t="shared" si="10"/>
        <v>18.397160493827158</v>
      </c>
      <c r="BE50">
        <f t="shared" si="11"/>
        <v>1.8667782724691357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1.6136200000000001</v>
      </c>
      <c r="H51" s="21">
        <v>6.1512500000000001</v>
      </c>
      <c r="I51" s="21">
        <v>-1.10931E-2</v>
      </c>
      <c r="J51" s="21">
        <v>41</v>
      </c>
      <c r="K51" s="21">
        <v>1.6128499999999999</v>
      </c>
      <c r="L51">
        <f t="shared" si="0"/>
        <v>13.695185185185183</v>
      </c>
      <c r="M51">
        <f t="shared" si="1"/>
        <v>22.098824718518514</v>
      </c>
      <c r="N51" s="9"/>
      <c r="O51" s="21">
        <v>0.106506</v>
      </c>
      <c r="P51" s="21">
        <v>10.0107</v>
      </c>
      <c r="Q51" s="21">
        <v>-1.49841E-2</v>
      </c>
      <c r="R51" s="21">
        <v>41</v>
      </c>
      <c r="S51" s="21">
        <v>0.106049</v>
      </c>
      <c r="T51">
        <f t="shared" si="2"/>
        <v>18.498888888888889</v>
      </c>
      <c r="U51">
        <f t="shared" si="3"/>
        <v>1.97024266</v>
      </c>
      <c r="X51" s="9"/>
      <c r="Y51" s="21">
        <v>1.6136200000000001</v>
      </c>
      <c r="Z51" s="21">
        <v>15.589499999999999</v>
      </c>
      <c r="AA51" s="21">
        <v>-1.21704E-2</v>
      </c>
      <c r="AB51" s="21">
        <v>41</v>
      </c>
      <c r="AC51" s="21">
        <v>1.6131599999999999</v>
      </c>
      <c r="AD51">
        <f t="shared" si="4"/>
        <v>15.025185185185183</v>
      </c>
      <c r="AE51">
        <f t="shared" si="5"/>
        <v>24.244939318518515</v>
      </c>
      <c r="AF51" s="9"/>
      <c r="AG51" s="21">
        <v>0.106506</v>
      </c>
      <c r="AH51" s="21">
        <v>19.448899999999998</v>
      </c>
      <c r="AI51" s="21">
        <v>-1.49567E-2</v>
      </c>
      <c r="AJ51" s="21">
        <v>41</v>
      </c>
      <c r="AK51" s="21">
        <v>0.105865</v>
      </c>
      <c r="AL51">
        <f t="shared" si="6"/>
        <v>18.46506172839506</v>
      </c>
      <c r="AM51">
        <f t="shared" si="7"/>
        <v>1.9666398644444443</v>
      </c>
      <c r="AP51" s="9"/>
      <c r="AQ51" s="21">
        <v>1.6136200000000001</v>
      </c>
      <c r="AR51" s="21">
        <v>24.997699999999998</v>
      </c>
      <c r="AS51" s="21">
        <v>-1.2323000000000001E-2</v>
      </c>
      <c r="AT51" s="21">
        <v>41</v>
      </c>
      <c r="AU51" s="21">
        <v>1.6131599999999999</v>
      </c>
      <c r="AV51">
        <f t="shared" si="8"/>
        <v>15.213580246913581</v>
      </c>
      <c r="AW51">
        <f t="shared" si="9"/>
        <v>24.548937358024695</v>
      </c>
      <c r="AX51" s="9"/>
      <c r="AY51" s="21">
        <v>0.106506</v>
      </c>
      <c r="AZ51" s="21">
        <v>28.857199999999999</v>
      </c>
      <c r="BA51" s="21">
        <v>-1.4907800000000001E-2</v>
      </c>
      <c r="BB51" s="21">
        <v>41</v>
      </c>
      <c r="BC51" s="21">
        <v>0.106049</v>
      </c>
      <c r="BD51">
        <f t="shared" si="10"/>
        <v>18.404691358024692</v>
      </c>
      <c r="BE51">
        <f t="shared" si="11"/>
        <v>1.9602100577777779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1.6085799999999999</v>
      </c>
      <c r="H52" s="21">
        <v>6.1613199999999999</v>
      </c>
      <c r="I52" s="21">
        <v>-1.12213E-2</v>
      </c>
      <c r="J52" s="21">
        <v>42</v>
      </c>
      <c r="K52" s="21">
        <v>1.6076699999999999</v>
      </c>
      <c r="L52">
        <f t="shared" si="0"/>
        <v>13.853456790123456</v>
      </c>
      <c r="M52">
        <f t="shared" si="1"/>
        <v>22.284393523456789</v>
      </c>
      <c r="N52" s="9"/>
      <c r="O52" s="21">
        <v>0.111542</v>
      </c>
      <c r="P52" s="21">
        <v>10.020799999999999</v>
      </c>
      <c r="Q52" s="21">
        <v>-1.4978E-2</v>
      </c>
      <c r="R52" s="21">
        <v>42</v>
      </c>
      <c r="S52" s="21">
        <v>0.111053</v>
      </c>
      <c r="T52">
        <f t="shared" si="2"/>
        <v>18.491358024691355</v>
      </c>
      <c r="U52">
        <f t="shared" si="3"/>
        <v>2.0625630567901232</v>
      </c>
      <c r="X52" s="9"/>
      <c r="Y52" s="21">
        <v>1.6085799999999999</v>
      </c>
      <c r="Z52" s="21">
        <v>15.599500000000001</v>
      </c>
      <c r="AA52" s="21">
        <v>-1.2286399999999999E-2</v>
      </c>
      <c r="AB52" s="21">
        <v>42</v>
      </c>
      <c r="AC52" s="21">
        <v>1.6079699999999999</v>
      </c>
      <c r="AD52">
        <f t="shared" si="4"/>
        <v>15.168395061728393</v>
      </c>
      <c r="AE52">
        <f t="shared" si="5"/>
        <v>24.399576928395057</v>
      </c>
      <c r="AF52" s="9"/>
      <c r="AG52" s="21">
        <v>0.111542</v>
      </c>
      <c r="AH52" s="21">
        <v>19.459</v>
      </c>
      <c r="AI52" s="21">
        <v>-1.49506E-2</v>
      </c>
      <c r="AJ52" s="21">
        <v>42</v>
      </c>
      <c r="AK52" s="21">
        <v>0.11099199999999999</v>
      </c>
      <c r="AL52">
        <f t="shared" si="6"/>
        <v>18.45753086419753</v>
      </c>
      <c r="AM52">
        <f t="shared" si="7"/>
        <v>2.058789907654321</v>
      </c>
      <c r="AP52" s="9"/>
      <c r="AQ52" s="21">
        <v>1.6085799999999999</v>
      </c>
      <c r="AR52" s="21">
        <v>25.0078</v>
      </c>
      <c r="AS52" s="21">
        <v>-1.2439E-2</v>
      </c>
      <c r="AT52" s="21">
        <v>42</v>
      </c>
      <c r="AU52" s="21">
        <v>1.6082799999999999</v>
      </c>
      <c r="AV52">
        <f t="shared" si="8"/>
        <v>15.35679012345679</v>
      </c>
      <c r="AW52">
        <f t="shared" si="9"/>
        <v>24.70262545679012</v>
      </c>
      <c r="AX52" s="9"/>
      <c r="AY52" s="21">
        <v>0.111542</v>
      </c>
      <c r="AZ52" s="21">
        <v>28.8672</v>
      </c>
      <c r="BA52" s="21">
        <v>-1.49017E-2</v>
      </c>
      <c r="BB52" s="21">
        <v>42</v>
      </c>
      <c r="BC52" s="21">
        <v>0.11111500000000001</v>
      </c>
      <c r="BD52">
        <f t="shared" si="10"/>
        <v>18.397160493827158</v>
      </c>
      <c r="BE52">
        <f t="shared" si="11"/>
        <v>2.0520560758024691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1.60355</v>
      </c>
      <c r="H53" s="21">
        <v>6.1713899999999997</v>
      </c>
      <c r="I53" s="21">
        <v>-1.13464E-2</v>
      </c>
      <c r="J53" s="21">
        <v>43</v>
      </c>
      <c r="K53" s="21">
        <v>1.6027800000000001</v>
      </c>
      <c r="L53">
        <f t="shared" si="0"/>
        <v>14.0079012345679</v>
      </c>
      <c r="M53">
        <f t="shared" si="1"/>
        <v>22.462370024691356</v>
      </c>
      <c r="N53" s="9"/>
      <c r="O53" s="21">
        <v>0.116577</v>
      </c>
      <c r="P53" s="21">
        <v>10.030900000000001</v>
      </c>
      <c r="Q53" s="21">
        <v>-1.49658E-2</v>
      </c>
      <c r="R53" s="21">
        <v>43</v>
      </c>
      <c r="S53" s="21">
        <v>0.11605799999999999</v>
      </c>
      <c r="T53">
        <f t="shared" si="2"/>
        <v>18.476296296296297</v>
      </c>
      <c r="U53">
        <f t="shared" si="3"/>
        <v>2.1539111933333333</v>
      </c>
      <c r="X53" s="9"/>
      <c r="Y53" s="21">
        <v>1.60355</v>
      </c>
      <c r="Z53" s="21">
        <v>15.6096</v>
      </c>
      <c r="AA53" s="21">
        <v>-1.2374899999999999E-2</v>
      </c>
      <c r="AB53" s="21">
        <v>43</v>
      </c>
      <c r="AC53" s="21">
        <v>1.6024799999999999</v>
      </c>
      <c r="AD53">
        <f t="shared" si="4"/>
        <v>15.277654320987653</v>
      </c>
      <c r="AE53">
        <f t="shared" si="5"/>
        <v>24.498482586419751</v>
      </c>
      <c r="AF53" s="9"/>
      <c r="AG53" s="21">
        <v>0.116577</v>
      </c>
      <c r="AH53" s="21">
        <v>19.469100000000001</v>
      </c>
      <c r="AI53" s="21">
        <v>-1.4953599999999999E-2</v>
      </c>
      <c r="AJ53" s="21">
        <v>43</v>
      </c>
      <c r="AK53" s="21">
        <v>0.115997</v>
      </c>
      <c r="AL53">
        <f t="shared" si="6"/>
        <v>18.461234567901233</v>
      </c>
      <c r="AM53">
        <f t="shared" si="7"/>
        <v>2.1521553422222222</v>
      </c>
      <c r="AP53" s="9"/>
      <c r="AQ53" s="21">
        <v>1.60355</v>
      </c>
      <c r="AR53" s="21">
        <v>25.017800000000001</v>
      </c>
      <c r="AS53" s="21">
        <v>-1.2533600000000001E-2</v>
      </c>
      <c r="AT53" s="21">
        <v>43</v>
      </c>
      <c r="AU53" s="21">
        <v>1.6027800000000001</v>
      </c>
      <c r="AV53">
        <f t="shared" si="8"/>
        <v>15.473580246913581</v>
      </c>
      <c r="AW53">
        <f t="shared" si="9"/>
        <v>24.812659604938272</v>
      </c>
      <c r="AX53" s="9"/>
      <c r="AY53" s="21">
        <v>0.116577</v>
      </c>
      <c r="AZ53" s="21">
        <v>28.877300000000002</v>
      </c>
      <c r="BA53" s="21">
        <v>-1.48956E-2</v>
      </c>
      <c r="BB53" s="21">
        <v>43</v>
      </c>
      <c r="BC53" s="21">
        <v>0.115997</v>
      </c>
      <c r="BD53">
        <f t="shared" si="10"/>
        <v>18.389629629629628</v>
      </c>
      <c r="BE53">
        <f t="shared" si="11"/>
        <v>2.1438078533333331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1.5985100000000001</v>
      </c>
      <c r="H54" s="21">
        <v>6.1814600000000004</v>
      </c>
      <c r="I54" s="21">
        <v>-1.1462399999999999E-2</v>
      </c>
      <c r="J54" s="21">
        <v>44</v>
      </c>
      <c r="K54" s="21">
        <v>1.5975999999999999</v>
      </c>
      <c r="L54">
        <f t="shared" si="0"/>
        <v>14.15111111111111</v>
      </c>
      <c r="M54">
        <f t="shared" si="1"/>
        <v>22.620692622222222</v>
      </c>
      <c r="N54" s="9"/>
      <c r="O54" s="21">
        <v>0.121613</v>
      </c>
      <c r="P54" s="21">
        <v>10.040900000000001</v>
      </c>
      <c r="Q54" s="21">
        <v>-1.49719E-2</v>
      </c>
      <c r="R54" s="21">
        <v>44</v>
      </c>
      <c r="S54" s="21">
        <v>0.121124</v>
      </c>
      <c r="T54">
        <f t="shared" si="2"/>
        <v>18.483827160493824</v>
      </c>
      <c r="U54">
        <f t="shared" si="3"/>
        <v>2.2478736724691353</v>
      </c>
      <c r="X54" s="9"/>
      <c r="Y54" s="21">
        <v>1.5985100000000001</v>
      </c>
      <c r="Z54" s="21">
        <v>15.6197</v>
      </c>
      <c r="AA54" s="21">
        <v>-1.24542E-2</v>
      </c>
      <c r="AB54" s="21">
        <v>44</v>
      </c>
      <c r="AC54" s="21">
        <v>1.5975999999999999</v>
      </c>
      <c r="AD54">
        <f t="shared" si="4"/>
        <v>15.375555555555556</v>
      </c>
      <c r="AE54">
        <f t="shared" si="5"/>
        <v>24.577979311111111</v>
      </c>
      <c r="AF54" s="9"/>
      <c r="AG54" s="21">
        <v>0.121613</v>
      </c>
      <c r="AH54" s="21">
        <v>19.479199999999999</v>
      </c>
      <c r="AI54" s="21">
        <v>-1.49506E-2</v>
      </c>
      <c r="AJ54" s="21">
        <v>44</v>
      </c>
      <c r="AK54" s="21">
        <v>0.121063</v>
      </c>
      <c r="AL54">
        <f t="shared" si="6"/>
        <v>18.45753086419753</v>
      </c>
      <c r="AM54">
        <f t="shared" si="7"/>
        <v>2.2446757009876541</v>
      </c>
      <c r="AP54" s="9"/>
      <c r="AQ54" s="21">
        <v>1.5985100000000001</v>
      </c>
      <c r="AR54" s="21">
        <v>25.027899999999999</v>
      </c>
      <c r="AS54" s="21">
        <v>-1.26129E-2</v>
      </c>
      <c r="AT54" s="21">
        <v>44</v>
      </c>
      <c r="AU54" s="21">
        <v>1.5969800000000001</v>
      </c>
      <c r="AV54">
        <f t="shared" si="8"/>
        <v>15.571481481481479</v>
      </c>
      <c r="AW54">
        <f t="shared" si="9"/>
        <v>24.89116886296296</v>
      </c>
      <c r="AX54" s="9"/>
      <c r="AY54" s="21">
        <v>0.121613</v>
      </c>
      <c r="AZ54" s="21">
        <v>28.8874</v>
      </c>
      <c r="BA54" s="21">
        <v>-1.4892600000000001E-2</v>
      </c>
      <c r="BB54" s="21">
        <v>44</v>
      </c>
      <c r="BC54" s="21">
        <v>0.121185</v>
      </c>
      <c r="BD54">
        <f t="shared" si="10"/>
        <v>18.385925925925928</v>
      </c>
      <c r="BE54">
        <f t="shared" si="11"/>
        <v>2.2359676096296299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1.59348</v>
      </c>
      <c r="H55" s="21">
        <v>6.1915300000000002</v>
      </c>
      <c r="I55" s="21">
        <v>-1.1578400000000001E-2</v>
      </c>
      <c r="J55" s="21">
        <v>45</v>
      </c>
      <c r="K55" s="21">
        <v>1.5927100000000001</v>
      </c>
      <c r="L55">
        <f t="shared" si="0"/>
        <v>14.29432098765432</v>
      </c>
      <c r="M55">
        <f t="shared" si="1"/>
        <v>22.777714607407407</v>
      </c>
      <c r="N55" s="9"/>
      <c r="O55" s="21">
        <v>0.12664800000000001</v>
      </c>
      <c r="P55" s="21">
        <v>10.051</v>
      </c>
      <c r="Q55" s="21">
        <v>-1.4959699999999999E-2</v>
      </c>
      <c r="R55" s="21">
        <v>45</v>
      </c>
      <c r="S55" s="21">
        <v>0.12600700000000001</v>
      </c>
      <c r="T55">
        <f t="shared" si="2"/>
        <v>18.468765432098763</v>
      </c>
      <c r="U55">
        <f t="shared" si="3"/>
        <v>2.3390322044444445</v>
      </c>
      <c r="X55" s="9"/>
      <c r="Y55" s="21">
        <v>1.59348</v>
      </c>
      <c r="Z55" s="21">
        <v>15.6297</v>
      </c>
      <c r="AA55" s="21">
        <v>-1.2533600000000001E-2</v>
      </c>
      <c r="AB55" s="21">
        <v>45</v>
      </c>
      <c r="AC55" s="21">
        <v>1.5921000000000001</v>
      </c>
      <c r="AD55">
        <f t="shared" si="4"/>
        <v>15.473580246913581</v>
      </c>
      <c r="AE55">
        <f t="shared" si="5"/>
        <v>24.656840651851855</v>
      </c>
      <c r="AF55" s="9"/>
      <c r="AG55" s="21">
        <v>0.12664800000000001</v>
      </c>
      <c r="AH55" s="21">
        <v>19.4892</v>
      </c>
      <c r="AI55" s="21">
        <v>-1.49506E-2</v>
      </c>
      <c r="AJ55" s="21">
        <v>45</v>
      </c>
      <c r="AK55" s="21">
        <v>0.12609899999999999</v>
      </c>
      <c r="AL55">
        <f t="shared" si="6"/>
        <v>18.45753086419753</v>
      </c>
      <c r="AM55">
        <f t="shared" si="7"/>
        <v>2.3376093688888888</v>
      </c>
      <c r="AP55" s="9"/>
      <c r="AQ55" s="21">
        <v>1.59348</v>
      </c>
      <c r="AR55" s="21">
        <v>25.038</v>
      </c>
      <c r="AS55" s="21">
        <v>-1.26862E-2</v>
      </c>
      <c r="AT55" s="21">
        <v>45</v>
      </c>
      <c r="AU55" s="21">
        <v>1.5927100000000001</v>
      </c>
      <c r="AV55">
        <f t="shared" si="8"/>
        <v>15.661975308641974</v>
      </c>
      <c r="AW55">
        <f t="shared" si="9"/>
        <v>24.957044414814813</v>
      </c>
      <c r="AX55" s="9"/>
      <c r="AY55" s="21">
        <v>0.12664800000000001</v>
      </c>
      <c r="AZ55" s="21">
        <v>28.897400000000001</v>
      </c>
      <c r="BA55" s="21">
        <v>-1.48956E-2</v>
      </c>
      <c r="BB55" s="21">
        <v>45</v>
      </c>
      <c r="BC55" s="21">
        <v>0.12619</v>
      </c>
      <c r="BD55">
        <f t="shared" si="10"/>
        <v>18.389629629629628</v>
      </c>
      <c r="BE55">
        <f t="shared" si="11"/>
        <v>2.3290098133333332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1.5884400000000001</v>
      </c>
      <c r="H56" s="21">
        <v>6.2016</v>
      </c>
      <c r="I56" s="21">
        <v>-1.1682100000000001E-2</v>
      </c>
      <c r="J56" s="21">
        <v>46</v>
      </c>
      <c r="K56" s="21">
        <v>1.58752</v>
      </c>
      <c r="L56">
        <f t="shared" si="0"/>
        <v>14.422345679012347</v>
      </c>
      <c r="M56">
        <f t="shared" si="1"/>
        <v>22.909030770370371</v>
      </c>
      <c r="N56" s="9"/>
      <c r="O56" s="21">
        <v>0.13168299999999999</v>
      </c>
      <c r="P56" s="21">
        <v>10.0611</v>
      </c>
      <c r="Q56" s="21">
        <v>-1.4953599999999999E-2</v>
      </c>
      <c r="R56" s="21">
        <v>46</v>
      </c>
      <c r="S56" s="21">
        <v>0.131104</v>
      </c>
      <c r="T56">
        <f t="shared" si="2"/>
        <v>18.461234567901233</v>
      </c>
      <c r="U56">
        <f t="shared" si="3"/>
        <v>2.4310307516049381</v>
      </c>
      <c r="X56" s="9"/>
      <c r="Y56" s="21">
        <v>1.5884400000000001</v>
      </c>
      <c r="Z56" s="21">
        <v>15.639799999999999</v>
      </c>
      <c r="AA56" s="21">
        <v>-1.2600699999999999E-2</v>
      </c>
      <c r="AB56" s="21">
        <v>46</v>
      </c>
      <c r="AC56" s="21">
        <v>1.58752</v>
      </c>
      <c r="AD56">
        <f t="shared" si="4"/>
        <v>15.556419753086418</v>
      </c>
      <c r="AE56">
        <f t="shared" si="5"/>
        <v>24.71043939259259</v>
      </c>
      <c r="AF56" s="9"/>
      <c r="AG56" s="21">
        <v>0.13168299999999999</v>
      </c>
      <c r="AH56" s="21">
        <v>19.499300000000002</v>
      </c>
      <c r="AI56" s="21">
        <v>-1.4941400000000001E-2</v>
      </c>
      <c r="AJ56" s="21">
        <v>46</v>
      </c>
      <c r="AK56" s="21">
        <v>0.131165</v>
      </c>
      <c r="AL56">
        <f t="shared" si="6"/>
        <v>18.446172839506172</v>
      </c>
      <c r="AM56">
        <f t="shared" si="7"/>
        <v>2.4290473780246913</v>
      </c>
      <c r="AP56" s="9"/>
      <c r="AQ56" s="21">
        <v>1.5884400000000001</v>
      </c>
      <c r="AR56" s="21">
        <v>25.047999999999998</v>
      </c>
      <c r="AS56" s="21">
        <v>-1.27533E-2</v>
      </c>
      <c r="AT56" s="21">
        <v>46</v>
      </c>
      <c r="AU56" s="21">
        <v>1.58752</v>
      </c>
      <c r="AV56">
        <f t="shared" si="8"/>
        <v>15.744814814814816</v>
      </c>
      <c r="AW56">
        <f t="shared" si="9"/>
        <v>25.009693644444447</v>
      </c>
      <c r="AX56" s="9"/>
      <c r="AY56" s="21">
        <v>0.13168299999999999</v>
      </c>
      <c r="AZ56" s="21">
        <v>28.907499999999999</v>
      </c>
      <c r="BA56" s="21">
        <v>-1.48865E-2</v>
      </c>
      <c r="BB56" s="21">
        <v>46</v>
      </c>
      <c r="BC56" s="21">
        <v>0.13131699999999999</v>
      </c>
      <c r="BD56">
        <f t="shared" si="10"/>
        <v>18.378395061728394</v>
      </c>
      <c r="BE56">
        <f t="shared" si="11"/>
        <v>2.4201221969135802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1.5833999999999999</v>
      </c>
      <c r="H57" s="21">
        <v>6.2116699999999998</v>
      </c>
      <c r="I57" s="21">
        <v>-1.17859E-2</v>
      </c>
      <c r="J57" s="21">
        <v>47</v>
      </c>
      <c r="K57" s="21">
        <v>1.58264</v>
      </c>
      <c r="L57">
        <f t="shared" si="0"/>
        <v>14.550493827160492</v>
      </c>
      <c r="M57">
        <f t="shared" si="1"/>
        <v>23.039251925925921</v>
      </c>
      <c r="N57" s="9"/>
      <c r="O57" s="21">
        <v>0.13671900000000001</v>
      </c>
      <c r="P57" s="21">
        <v>10.071099999999999</v>
      </c>
      <c r="Q57" s="21">
        <v>-1.4941400000000001E-2</v>
      </c>
      <c r="R57" s="21">
        <v>47</v>
      </c>
      <c r="S57" s="21">
        <v>0.13619999999999999</v>
      </c>
      <c r="T57">
        <f t="shared" si="2"/>
        <v>18.446172839506172</v>
      </c>
      <c r="U57">
        <f t="shared" si="3"/>
        <v>2.5219423044444444</v>
      </c>
      <c r="X57" s="9"/>
      <c r="Y57" s="21">
        <v>1.5833999999999999</v>
      </c>
      <c r="Z57" s="21">
        <v>15.649900000000001</v>
      </c>
      <c r="AA57" s="21">
        <v>-1.26678E-2</v>
      </c>
      <c r="AB57" s="21">
        <v>47</v>
      </c>
      <c r="AC57" s="21">
        <v>1.5823400000000001</v>
      </c>
      <c r="AD57">
        <f t="shared" si="4"/>
        <v>15.639259259259259</v>
      </c>
      <c r="AE57">
        <f t="shared" si="5"/>
        <v>24.76320311111111</v>
      </c>
      <c r="AF57" s="9"/>
      <c r="AG57" s="21">
        <v>0.13671900000000001</v>
      </c>
      <c r="AH57" s="21">
        <v>19.509399999999999</v>
      </c>
      <c r="AI57" s="21">
        <v>-1.4941400000000001E-2</v>
      </c>
      <c r="AJ57" s="21">
        <v>47</v>
      </c>
      <c r="AK57" s="21">
        <v>0.13613900000000001</v>
      </c>
      <c r="AL57">
        <f t="shared" si="6"/>
        <v>18.446172839506172</v>
      </c>
      <c r="AM57">
        <f t="shared" si="7"/>
        <v>2.5219423044444444</v>
      </c>
      <c r="AP57" s="9"/>
      <c r="AQ57" s="21">
        <v>1.5833999999999999</v>
      </c>
      <c r="AR57" s="21">
        <v>25.0581</v>
      </c>
      <c r="AS57" s="21">
        <v>-1.2820399999999999E-2</v>
      </c>
      <c r="AT57" s="21">
        <v>47</v>
      </c>
      <c r="AU57" s="21">
        <v>1.58203</v>
      </c>
      <c r="AV57">
        <f t="shared" si="8"/>
        <v>15.827654320987653</v>
      </c>
      <c r="AW57">
        <f t="shared" si="9"/>
        <v>25.06150785185185</v>
      </c>
      <c r="AX57" s="9"/>
      <c r="AY57" s="21">
        <v>0.13671900000000001</v>
      </c>
      <c r="AZ57" s="21">
        <v>28.9176</v>
      </c>
      <c r="BA57" s="21">
        <v>-1.48743E-2</v>
      </c>
      <c r="BB57" s="21">
        <v>47</v>
      </c>
      <c r="BC57" s="21">
        <v>0.13613900000000001</v>
      </c>
      <c r="BD57">
        <f t="shared" si="10"/>
        <v>18.363333333333333</v>
      </c>
      <c r="BE57">
        <f t="shared" si="11"/>
        <v>2.5106165700000003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1.5783700000000001</v>
      </c>
      <c r="H58" s="21">
        <v>6.2217399999999996</v>
      </c>
      <c r="I58" s="21">
        <v>-1.18896E-2</v>
      </c>
      <c r="J58" s="21">
        <v>48</v>
      </c>
      <c r="K58" s="21">
        <v>1.5777600000000001</v>
      </c>
      <c r="L58">
        <f t="shared" si="0"/>
        <v>14.678518518518517</v>
      </c>
      <c r="M58">
        <f t="shared" si="1"/>
        <v>23.168133274074073</v>
      </c>
      <c r="N58" s="9"/>
      <c r="O58" s="21">
        <v>0.14175399999999999</v>
      </c>
      <c r="P58" s="21">
        <v>10.081200000000001</v>
      </c>
      <c r="Q58" s="21">
        <v>-1.4941400000000001E-2</v>
      </c>
      <c r="R58" s="21">
        <v>48</v>
      </c>
      <c r="S58" s="21">
        <v>0.141235</v>
      </c>
      <c r="T58">
        <f t="shared" si="2"/>
        <v>18.446172839506172</v>
      </c>
      <c r="U58">
        <f t="shared" si="3"/>
        <v>2.6148187846913578</v>
      </c>
      <c r="X58" s="9"/>
      <c r="Y58" s="21">
        <v>1.5783700000000001</v>
      </c>
      <c r="Z58" s="21">
        <v>15.66</v>
      </c>
      <c r="AA58" s="21">
        <v>-1.2735E-2</v>
      </c>
      <c r="AB58" s="21">
        <v>48</v>
      </c>
      <c r="AC58" s="21">
        <v>1.5771500000000001</v>
      </c>
      <c r="AD58">
        <f t="shared" si="4"/>
        <v>15.722222222222221</v>
      </c>
      <c r="AE58">
        <f t="shared" si="5"/>
        <v>24.815483888888888</v>
      </c>
      <c r="AF58" s="9"/>
      <c r="AG58" s="21">
        <v>0.14175399999999999</v>
      </c>
      <c r="AH58" s="21">
        <v>19.519400000000001</v>
      </c>
      <c r="AI58" s="21">
        <v>-1.4947500000000001E-2</v>
      </c>
      <c r="AJ58" s="21">
        <v>48</v>
      </c>
      <c r="AK58" s="21">
        <v>0.141266</v>
      </c>
      <c r="AL58">
        <f t="shared" si="6"/>
        <v>18.453703703703706</v>
      </c>
      <c r="AM58">
        <f t="shared" si="7"/>
        <v>2.6158863148148148</v>
      </c>
      <c r="AP58" s="9"/>
      <c r="AQ58" s="21">
        <v>1.5783700000000001</v>
      </c>
      <c r="AR58" s="21">
        <v>25.068200000000001</v>
      </c>
      <c r="AS58" s="21">
        <v>-1.2881500000000001E-2</v>
      </c>
      <c r="AT58" s="21">
        <v>48</v>
      </c>
      <c r="AU58" s="21">
        <v>1.57806</v>
      </c>
      <c r="AV58">
        <f t="shared" si="8"/>
        <v>15.903086419753087</v>
      </c>
      <c r="AW58">
        <f t="shared" si="9"/>
        <v>25.10095451234568</v>
      </c>
      <c r="AX58" s="9"/>
      <c r="AY58" s="21">
        <v>0.14175399999999999</v>
      </c>
      <c r="AZ58" s="21">
        <v>28.927700000000002</v>
      </c>
      <c r="BA58" s="21">
        <v>-1.48621E-2</v>
      </c>
      <c r="BB58" s="21">
        <v>48</v>
      </c>
      <c r="BC58" s="21">
        <v>0.14138800000000001</v>
      </c>
      <c r="BD58">
        <f t="shared" si="10"/>
        <v>18.348271604938269</v>
      </c>
      <c r="BE58">
        <f t="shared" si="11"/>
        <v>2.6009408930864191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1.5733299999999999</v>
      </c>
      <c r="H59" s="21">
        <v>6.2318100000000003</v>
      </c>
      <c r="I59" s="21">
        <v>-1.19904E-2</v>
      </c>
      <c r="J59" s="21">
        <v>49</v>
      </c>
      <c r="K59" s="21">
        <v>1.5728800000000001</v>
      </c>
      <c r="L59">
        <f t="shared" si="0"/>
        <v>14.802962962962962</v>
      </c>
      <c r="M59">
        <f t="shared" si="1"/>
        <v>23.289945718518513</v>
      </c>
      <c r="N59" s="9"/>
      <c r="O59" s="21">
        <v>0.14679</v>
      </c>
      <c r="P59" s="21">
        <v>10.0913</v>
      </c>
      <c r="Q59" s="21">
        <v>-1.49506E-2</v>
      </c>
      <c r="R59" s="21">
        <v>49</v>
      </c>
      <c r="S59" s="21">
        <v>0.14630099999999999</v>
      </c>
      <c r="T59">
        <f t="shared" si="2"/>
        <v>18.45753086419753</v>
      </c>
      <c r="U59">
        <f t="shared" si="3"/>
        <v>2.7093809555555555</v>
      </c>
      <c r="X59" s="9"/>
      <c r="Y59" s="21">
        <v>1.5733299999999999</v>
      </c>
      <c r="Z59" s="21">
        <v>15.67</v>
      </c>
      <c r="AA59" s="21">
        <v>-1.2805199999999999E-2</v>
      </c>
      <c r="AB59" s="21">
        <v>49</v>
      </c>
      <c r="AC59" s="21">
        <v>1.57257</v>
      </c>
      <c r="AD59">
        <f t="shared" si="4"/>
        <v>15.808888888888886</v>
      </c>
      <c r="AE59">
        <f t="shared" si="5"/>
        <v>24.872599155555548</v>
      </c>
      <c r="AF59" s="9"/>
      <c r="AG59" s="21">
        <v>0.14679</v>
      </c>
      <c r="AH59" s="21">
        <v>19.529499999999999</v>
      </c>
      <c r="AI59" s="21">
        <v>-1.4941400000000001E-2</v>
      </c>
      <c r="AJ59" s="21">
        <v>49</v>
      </c>
      <c r="AK59" s="21">
        <v>0.14627100000000001</v>
      </c>
      <c r="AL59">
        <f t="shared" si="6"/>
        <v>18.446172839506172</v>
      </c>
      <c r="AM59">
        <f t="shared" si="7"/>
        <v>2.7077137111111109</v>
      </c>
      <c r="AP59" s="9"/>
      <c r="AQ59" s="21">
        <v>1.5733299999999999</v>
      </c>
      <c r="AR59" s="21">
        <v>25.078299999999999</v>
      </c>
      <c r="AS59" s="21">
        <v>-1.2942499999999999E-2</v>
      </c>
      <c r="AT59" s="21">
        <v>49</v>
      </c>
      <c r="AU59" s="21">
        <v>1.5722700000000001</v>
      </c>
      <c r="AV59">
        <f t="shared" si="8"/>
        <v>15.978395061728392</v>
      </c>
      <c r="AW59">
        <f t="shared" si="9"/>
        <v>25.139288302469129</v>
      </c>
      <c r="AX59" s="9"/>
      <c r="AY59" s="21">
        <v>0.14679</v>
      </c>
      <c r="AZ59" s="21">
        <v>28.9377</v>
      </c>
      <c r="BA59" s="21">
        <v>-1.4859000000000001E-2</v>
      </c>
      <c r="BB59" s="21">
        <v>49</v>
      </c>
      <c r="BC59" s="21">
        <v>0.14624000000000001</v>
      </c>
      <c r="BD59">
        <f t="shared" si="10"/>
        <v>18.344444444444445</v>
      </c>
      <c r="BE59">
        <f t="shared" si="11"/>
        <v>2.6927810000000001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1.5683</v>
      </c>
      <c r="H60" s="21">
        <v>6.2418800000000001</v>
      </c>
      <c r="I60" s="21">
        <v>-1.20789E-2</v>
      </c>
      <c r="J60" s="21">
        <v>50</v>
      </c>
      <c r="K60" s="21">
        <v>1.56738</v>
      </c>
      <c r="L60">
        <f t="shared" si="0"/>
        <v>14.912222222222221</v>
      </c>
      <c r="M60">
        <f t="shared" si="1"/>
        <v>23.386838111111111</v>
      </c>
      <c r="N60" s="9"/>
      <c r="O60" s="21">
        <v>0.15182499999999999</v>
      </c>
      <c r="P60" s="21">
        <v>10.1014</v>
      </c>
      <c r="Q60" s="21">
        <v>-1.4944499999999999E-2</v>
      </c>
      <c r="R60" s="21">
        <v>50</v>
      </c>
      <c r="S60" s="21">
        <v>0.151337</v>
      </c>
      <c r="T60">
        <f t="shared" si="2"/>
        <v>18.45</v>
      </c>
      <c r="U60">
        <f t="shared" si="3"/>
        <v>2.8011712499999994</v>
      </c>
      <c r="X60" s="9"/>
      <c r="Y60" s="21">
        <v>1.5683</v>
      </c>
      <c r="Z60" s="21">
        <v>15.680099999999999</v>
      </c>
      <c r="AA60" s="21">
        <v>-1.28723E-2</v>
      </c>
      <c r="AB60" s="21">
        <v>50</v>
      </c>
      <c r="AC60" s="21">
        <v>1.56738</v>
      </c>
      <c r="AD60">
        <f t="shared" si="4"/>
        <v>15.891728395061728</v>
      </c>
      <c r="AE60">
        <f t="shared" si="5"/>
        <v>24.922997641975307</v>
      </c>
      <c r="AF60" s="9"/>
      <c r="AG60" s="21">
        <v>0.15182499999999999</v>
      </c>
      <c r="AH60" s="21">
        <v>19.5396</v>
      </c>
      <c r="AI60" s="21">
        <v>-1.4941400000000001E-2</v>
      </c>
      <c r="AJ60" s="21">
        <v>50</v>
      </c>
      <c r="AK60" s="21">
        <v>0.151306</v>
      </c>
      <c r="AL60">
        <f t="shared" si="6"/>
        <v>18.446172839506172</v>
      </c>
      <c r="AM60">
        <f t="shared" si="7"/>
        <v>2.8005901913580242</v>
      </c>
      <c r="AP60" s="9"/>
      <c r="AQ60" s="21">
        <v>1.5683</v>
      </c>
      <c r="AR60" s="21">
        <v>25.0883</v>
      </c>
      <c r="AS60" s="21">
        <v>-1.2997399999999999E-2</v>
      </c>
      <c r="AT60" s="21">
        <v>50</v>
      </c>
      <c r="AU60" s="21">
        <v>1.56738</v>
      </c>
      <c r="AV60">
        <f t="shared" si="8"/>
        <v>16.04617283950617</v>
      </c>
      <c r="AW60">
        <f t="shared" si="9"/>
        <v>25.165212864197528</v>
      </c>
      <c r="AX60" s="9"/>
      <c r="AY60" s="21">
        <v>0.15182499999999999</v>
      </c>
      <c r="AZ60" s="21">
        <v>28.947800000000001</v>
      </c>
      <c r="BA60" s="21">
        <v>-1.48621E-2</v>
      </c>
      <c r="BB60" s="21">
        <v>50</v>
      </c>
      <c r="BC60" s="21">
        <v>0.151398</v>
      </c>
      <c r="BD60">
        <f t="shared" si="10"/>
        <v>18.348271604938269</v>
      </c>
      <c r="BE60">
        <f t="shared" si="11"/>
        <v>2.7857263364197524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1.5632600000000001</v>
      </c>
      <c r="H61" s="21">
        <v>6.2519600000000004</v>
      </c>
      <c r="I61" s="21">
        <v>-1.21674E-2</v>
      </c>
      <c r="J61" s="21">
        <v>51</v>
      </c>
      <c r="K61" s="21">
        <v>1.5625</v>
      </c>
      <c r="L61">
        <f t="shared" si="0"/>
        <v>15.021481481481482</v>
      </c>
      <c r="M61">
        <f t="shared" si="1"/>
        <v>23.482481140740742</v>
      </c>
      <c r="N61" s="9"/>
      <c r="O61" s="21">
        <v>0.15686</v>
      </c>
      <c r="P61" s="21">
        <v>10.1114</v>
      </c>
      <c r="Q61" s="21">
        <v>-1.4953599999999999E-2</v>
      </c>
      <c r="R61" s="21">
        <v>51</v>
      </c>
      <c r="S61" s="21">
        <v>0.15646399999999999</v>
      </c>
      <c r="T61">
        <f t="shared" si="2"/>
        <v>18.461234567901233</v>
      </c>
      <c r="U61">
        <f t="shared" si="3"/>
        <v>2.8958292543209874</v>
      </c>
      <c r="X61" s="9"/>
      <c r="Y61" s="21">
        <v>1.5632600000000001</v>
      </c>
      <c r="Z61" s="21">
        <v>15.690200000000001</v>
      </c>
      <c r="AA61" s="21">
        <v>-1.2936400000000001E-2</v>
      </c>
      <c r="AB61" s="21">
        <v>51</v>
      </c>
      <c r="AC61" s="21">
        <v>1.5625</v>
      </c>
      <c r="AD61">
        <f t="shared" si="4"/>
        <v>15.970864197530865</v>
      </c>
      <c r="AE61">
        <f t="shared" si="5"/>
        <v>24.966613165432101</v>
      </c>
      <c r="AF61" s="9"/>
      <c r="AG61" s="21">
        <v>0.15686</v>
      </c>
      <c r="AH61" s="21">
        <v>19.549600000000002</v>
      </c>
      <c r="AI61" s="21">
        <v>-1.4932300000000001E-2</v>
      </c>
      <c r="AJ61" s="21">
        <v>51</v>
      </c>
      <c r="AK61" s="21">
        <v>0.15631100000000001</v>
      </c>
      <c r="AL61">
        <f t="shared" si="6"/>
        <v>18.434938271604938</v>
      </c>
      <c r="AM61">
        <f t="shared" si="7"/>
        <v>2.8917044172839508</v>
      </c>
      <c r="AP61" s="9"/>
      <c r="AQ61" s="21">
        <v>1.5632600000000001</v>
      </c>
      <c r="AR61" s="21">
        <v>25.098400000000002</v>
      </c>
      <c r="AS61" s="21">
        <v>-1.30432E-2</v>
      </c>
      <c r="AT61" s="21">
        <v>51</v>
      </c>
      <c r="AU61" s="21">
        <v>1.56281</v>
      </c>
      <c r="AV61">
        <f t="shared" si="8"/>
        <v>16.102716049382714</v>
      </c>
      <c r="AW61">
        <f t="shared" si="9"/>
        <v>25.172731891358023</v>
      </c>
      <c r="AX61" s="9"/>
      <c r="AY61" s="21">
        <v>0.15686</v>
      </c>
      <c r="AZ61" s="21">
        <v>28.957899999999999</v>
      </c>
      <c r="BA61" s="21">
        <v>-1.4865099999999999E-2</v>
      </c>
      <c r="BB61" s="21">
        <v>51</v>
      </c>
      <c r="BC61" s="21">
        <v>0.15637200000000001</v>
      </c>
      <c r="BD61">
        <f t="shared" si="10"/>
        <v>18.351975308641972</v>
      </c>
      <c r="BE61">
        <f t="shared" si="11"/>
        <v>2.8786908469135799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1.55823</v>
      </c>
      <c r="H62" s="21">
        <v>6.2620300000000002</v>
      </c>
      <c r="I62" s="21">
        <v>-1.2252799999999999E-2</v>
      </c>
      <c r="J62" s="21">
        <v>52</v>
      </c>
      <c r="K62" s="21">
        <v>1.55762</v>
      </c>
      <c r="L62">
        <f t="shared" si="0"/>
        <v>15.126913580246912</v>
      </c>
      <c r="M62">
        <f t="shared" si="1"/>
        <v>23.571210548148144</v>
      </c>
      <c r="N62" s="9"/>
      <c r="O62" s="21">
        <v>0.16189600000000001</v>
      </c>
      <c r="P62" s="21">
        <v>10.121499999999999</v>
      </c>
      <c r="Q62" s="21">
        <v>-1.49506E-2</v>
      </c>
      <c r="R62" s="21">
        <v>52</v>
      </c>
      <c r="S62" s="21">
        <v>0.16137699999999999</v>
      </c>
      <c r="T62">
        <f t="shared" si="2"/>
        <v>18.45753086419753</v>
      </c>
      <c r="U62">
        <f t="shared" si="3"/>
        <v>2.9882004167901237</v>
      </c>
      <c r="X62" s="9"/>
      <c r="Y62" s="21">
        <v>1.55823</v>
      </c>
      <c r="Z62" s="21">
        <v>15.700200000000001</v>
      </c>
      <c r="AA62" s="21">
        <v>-1.2997399999999999E-2</v>
      </c>
      <c r="AB62" s="21">
        <v>52</v>
      </c>
      <c r="AC62" s="21">
        <v>1.55762</v>
      </c>
      <c r="AD62">
        <f t="shared" si="4"/>
        <v>16.04617283950617</v>
      </c>
      <c r="AE62">
        <f t="shared" si="5"/>
        <v>25.003627903703698</v>
      </c>
      <c r="AF62" s="9"/>
      <c r="AG62" s="21">
        <v>0.16189600000000001</v>
      </c>
      <c r="AH62" s="21">
        <v>19.559699999999999</v>
      </c>
      <c r="AI62" s="21">
        <v>-1.49292E-2</v>
      </c>
      <c r="AJ62" s="21">
        <v>52</v>
      </c>
      <c r="AK62" s="21">
        <v>0.16131599999999999</v>
      </c>
      <c r="AL62">
        <f t="shared" si="6"/>
        <v>18.431111111111111</v>
      </c>
      <c r="AM62">
        <f t="shared" si="7"/>
        <v>2.9839231644444446</v>
      </c>
      <c r="AP62" s="9"/>
      <c r="AQ62" s="21">
        <v>1.55823</v>
      </c>
      <c r="AR62" s="21">
        <v>25.108499999999999</v>
      </c>
      <c r="AS62" s="21">
        <v>-1.3091999999999999E-2</v>
      </c>
      <c r="AT62" s="21">
        <v>52</v>
      </c>
      <c r="AU62" s="21">
        <v>1.55792</v>
      </c>
      <c r="AV62">
        <f t="shared" si="8"/>
        <v>16.162962962962961</v>
      </c>
      <c r="AW62">
        <f t="shared" si="9"/>
        <v>25.185613777777775</v>
      </c>
      <c r="AX62" s="9"/>
      <c r="AY62" s="21">
        <v>0.16189600000000001</v>
      </c>
      <c r="AZ62" s="21">
        <v>28.9679</v>
      </c>
      <c r="BA62" s="21">
        <v>-1.48682E-2</v>
      </c>
      <c r="BB62" s="21">
        <v>52</v>
      </c>
      <c r="BC62" s="21">
        <v>0.16137699999999999</v>
      </c>
      <c r="BD62">
        <f t="shared" si="10"/>
        <v>18.355802469135799</v>
      </c>
      <c r="BE62">
        <f t="shared" si="11"/>
        <v>2.9717309965432097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1.5531900000000001</v>
      </c>
      <c r="H63" s="21">
        <v>6.2721</v>
      </c>
      <c r="I63" s="21">
        <v>-1.2335199999999999E-2</v>
      </c>
      <c r="J63" s="21">
        <v>53</v>
      </c>
      <c r="K63" s="21">
        <v>1.55243</v>
      </c>
      <c r="L63">
        <f t="shared" si="0"/>
        <v>15.228641975308641</v>
      </c>
      <c r="M63">
        <f t="shared" si="1"/>
        <v>23.65297442962963</v>
      </c>
      <c r="N63" s="9"/>
      <c r="O63" s="21">
        <v>0.166931</v>
      </c>
      <c r="P63" s="21">
        <v>10.131600000000001</v>
      </c>
      <c r="Q63" s="21">
        <v>-1.4947500000000001E-2</v>
      </c>
      <c r="R63" s="21">
        <v>53</v>
      </c>
      <c r="S63" s="21">
        <v>0.166321</v>
      </c>
      <c r="T63">
        <f t="shared" si="2"/>
        <v>18.453703703703706</v>
      </c>
      <c r="U63">
        <f t="shared" si="3"/>
        <v>3.0804952129629632</v>
      </c>
      <c r="X63" s="9"/>
      <c r="Y63" s="21">
        <v>1.5531900000000001</v>
      </c>
      <c r="Z63" s="21">
        <v>15.7103</v>
      </c>
      <c r="AA63" s="21">
        <v>-1.30524E-2</v>
      </c>
      <c r="AB63" s="21">
        <v>53</v>
      </c>
      <c r="AC63" s="21">
        <v>1.55243</v>
      </c>
      <c r="AD63">
        <f t="shared" si="4"/>
        <v>16.114074074074072</v>
      </c>
      <c r="AE63">
        <f t="shared" si="5"/>
        <v>25.028218711111109</v>
      </c>
      <c r="AF63" s="9"/>
      <c r="AG63" s="21">
        <v>0.166931</v>
      </c>
      <c r="AH63" s="21">
        <v>19.569800000000001</v>
      </c>
      <c r="AI63" s="21">
        <v>-1.4938399999999999E-2</v>
      </c>
      <c r="AJ63" s="21">
        <v>53</v>
      </c>
      <c r="AK63" s="21">
        <v>0.166382</v>
      </c>
      <c r="AL63">
        <f t="shared" si="6"/>
        <v>18.442469135802465</v>
      </c>
      <c r="AM63">
        <f t="shared" si="7"/>
        <v>3.0786198153086413</v>
      </c>
      <c r="AP63" s="9"/>
      <c r="AQ63" s="21">
        <v>1.5531900000000001</v>
      </c>
      <c r="AR63" s="21">
        <v>25.118500000000001</v>
      </c>
      <c r="AS63" s="21">
        <v>-1.31439E-2</v>
      </c>
      <c r="AT63" s="21">
        <v>53</v>
      </c>
      <c r="AU63" s="21">
        <v>1.5521199999999999</v>
      </c>
      <c r="AV63">
        <f t="shared" si="8"/>
        <v>16.227037037037036</v>
      </c>
      <c r="AW63">
        <f t="shared" si="9"/>
        <v>25.203671655555556</v>
      </c>
      <c r="AX63" s="9"/>
      <c r="AY63" s="21">
        <v>0.166931</v>
      </c>
      <c r="AZ63" s="21">
        <v>28.978000000000002</v>
      </c>
      <c r="BA63" s="21">
        <v>-1.48529E-2</v>
      </c>
      <c r="BB63" s="21">
        <v>53</v>
      </c>
      <c r="BC63" s="21">
        <v>0.166351</v>
      </c>
      <c r="BD63">
        <f t="shared" si="10"/>
        <v>18.336913580246915</v>
      </c>
      <c r="BE63">
        <f t="shared" si="11"/>
        <v>3.0609993208641977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1.54816</v>
      </c>
      <c r="H64" s="21">
        <v>6.2821699999999998</v>
      </c>
      <c r="I64" s="21">
        <v>-1.2411500000000001E-2</v>
      </c>
      <c r="J64" s="21">
        <v>54</v>
      </c>
      <c r="K64" s="21">
        <v>1.5478499999999999</v>
      </c>
      <c r="L64">
        <f t="shared" si="0"/>
        <v>15.322839506172839</v>
      </c>
      <c r="M64">
        <f t="shared" si="1"/>
        <v>23.72220720987654</v>
      </c>
      <c r="N64" s="9"/>
      <c r="O64" s="21">
        <v>0.17196700000000001</v>
      </c>
      <c r="P64" s="21">
        <v>10.1416</v>
      </c>
      <c r="Q64" s="21">
        <v>-1.4947500000000001E-2</v>
      </c>
      <c r="R64" s="21">
        <v>54</v>
      </c>
      <c r="S64" s="21">
        <v>0.17144799999999999</v>
      </c>
      <c r="T64">
        <f t="shared" si="2"/>
        <v>18.453703703703706</v>
      </c>
      <c r="U64">
        <f t="shared" si="3"/>
        <v>3.1734280648148152</v>
      </c>
      <c r="X64" s="9"/>
      <c r="Y64" s="21">
        <v>1.54816</v>
      </c>
      <c r="Z64" s="21">
        <v>15.7204</v>
      </c>
      <c r="AA64" s="21">
        <v>-1.3113400000000001E-2</v>
      </c>
      <c r="AB64" s="21">
        <v>54</v>
      </c>
      <c r="AC64" s="21">
        <v>1.54694</v>
      </c>
      <c r="AD64">
        <f t="shared" si="4"/>
        <v>16.18938271604938</v>
      </c>
      <c r="AE64">
        <f t="shared" si="5"/>
        <v>25.06375474567901</v>
      </c>
      <c r="AF64" s="9"/>
      <c r="AG64" s="21">
        <v>0.17196700000000001</v>
      </c>
      <c r="AH64" s="21">
        <v>19.579899999999999</v>
      </c>
      <c r="AI64" s="21">
        <v>-1.4938399999999999E-2</v>
      </c>
      <c r="AJ64" s="21">
        <v>54</v>
      </c>
      <c r="AK64" s="21">
        <v>0.17141700000000001</v>
      </c>
      <c r="AL64">
        <f t="shared" si="6"/>
        <v>18.442469135802465</v>
      </c>
      <c r="AM64">
        <f t="shared" si="7"/>
        <v>3.1714960898765425</v>
      </c>
      <c r="AP64" s="9"/>
      <c r="AQ64" s="21">
        <v>1.54816</v>
      </c>
      <c r="AR64" s="21">
        <v>25.128599999999999</v>
      </c>
      <c r="AS64" s="21">
        <v>-1.31927E-2</v>
      </c>
      <c r="AT64" s="21">
        <v>54</v>
      </c>
      <c r="AU64" s="21">
        <v>1.54694</v>
      </c>
      <c r="AV64">
        <f t="shared" si="8"/>
        <v>16.287283950617283</v>
      </c>
      <c r="AW64">
        <f t="shared" si="9"/>
        <v>25.215321520987654</v>
      </c>
      <c r="AX64" s="9"/>
      <c r="AY64" s="21">
        <v>0.17196700000000001</v>
      </c>
      <c r="AZ64" s="21">
        <v>28.988099999999999</v>
      </c>
      <c r="BA64" s="21">
        <v>-1.48468E-2</v>
      </c>
      <c r="BB64" s="21">
        <v>54</v>
      </c>
      <c r="BC64" s="21">
        <v>0.171234</v>
      </c>
      <c r="BD64">
        <f t="shared" si="10"/>
        <v>18.329382716049381</v>
      </c>
      <c r="BE64">
        <f t="shared" si="11"/>
        <v>3.1520489575308641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1.54312</v>
      </c>
      <c r="H65" s="21">
        <v>6.2922399999999996</v>
      </c>
      <c r="I65" s="21">
        <v>-1.24969E-2</v>
      </c>
      <c r="J65" s="21">
        <v>55</v>
      </c>
      <c r="K65" s="21">
        <v>1.5426599999999999</v>
      </c>
      <c r="L65">
        <f t="shared" si="0"/>
        <v>15.428271604938271</v>
      </c>
      <c r="M65">
        <f t="shared" si="1"/>
        <v>23.807674479012345</v>
      </c>
      <c r="N65" s="9"/>
      <c r="O65" s="21">
        <v>0.17700199999999999</v>
      </c>
      <c r="P65" s="21">
        <v>10.1517</v>
      </c>
      <c r="Q65" s="21">
        <v>-1.4947500000000001E-2</v>
      </c>
      <c r="R65" s="21">
        <v>55</v>
      </c>
      <c r="S65" s="21">
        <v>0.176422</v>
      </c>
      <c r="T65">
        <f t="shared" si="2"/>
        <v>18.453703703703706</v>
      </c>
      <c r="U65">
        <f t="shared" si="3"/>
        <v>3.2663424629629634</v>
      </c>
      <c r="X65" s="9"/>
      <c r="Y65" s="21">
        <v>1.54312</v>
      </c>
      <c r="Z65" s="21">
        <v>15.730499999999999</v>
      </c>
      <c r="AA65" s="21">
        <v>-1.3159199999999999E-2</v>
      </c>
      <c r="AB65" s="21">
        <v>55</v>
      </c>
      <c r="AC65" s="21">
        <v>1.5426599999999999</v>
      </c>
      <c r="AD65">
        <f t="shared" si="4"/>
        <v>16.245925925925924</v>
      </c>
      <c r="AE65">
        <f t="shared" si="5"/>
        <v>25.069413214814812</v>
      </c>
      <c r="AF65" s="9"/>
      <c r="AG65" s="21">
        <v>0.17700199999999999</v>
      </c>
      <c r="AH65" s="21">
        <v>19.5899</v>
      </c>
      <c r="AI65" s="21">
        <v>-1.4932300000000001E-2</v>
      </c>
      <c r="AJ65" s="21">
        <v>55</v>
      </c>
      <c r="AK65" s="21">
        <v>0.17639199999999999</v>
      </c>
      <c r="AL65">
        <f t="shared" si="6"/>
        <v>18.434938271604938</v>
      </c>
      <c r="AM65">
        <f t="shared" si="7"/>
        <v>3.2630209439506173</v>
      </c>
      <c r="AP65" s="9"/>
      <c r="AQ65" s="21">
        <v>1.54312</v>
      </c>
      <c r="AR65" s="21">
        <v>25.1387</v>
      </c>
      <c r="AS65" s="21">
        <v>-1.32385E-2</v>
      </c>
      <c r="AT65" s="21">
        <v>55</v>
      </c>
      <c r="AU65" s="21">
        <v>1.54236</v>
      </c>
      <c r="AV65">
        <f t="shared" si="8"/>
        <v>16.343827160493824</v>
      </c>
      <c r="AW65">
        <f t="shared" si="9"/>
        <v>25.220486567901229</v>
      </c>
      <c r="AX65" s="9"/>
      <c r="AY65" s="21">
        <v>0.17700199999999999</v>
      </c>
      <c r="AZ65" s="21">
        <v>28.998200000000001</v>
      </c>
      <c r="BA65" s="21">
        <v>-1.48468E-2</v>
      </c>
      <c r="BB65" s="21">
        <v>55</v>
      </c>
      <c r="BC65" s="21">
        <v>0.17636099999999999</v>
      </c>
      <c r="BD65">
        <f t="shared" si="10"/>
        <v>18.329382716049381</v>
      </c>
      <c r="BE65">
        <f t="shared" si="11"/>
        <v>3.2443373995061724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1.53809</v>
      </c>
      <c r="H66" s="21">
        <v>6.3023100000000003</v>
      </c>
      <c r="I66" s="21">
        <v>-1.25641E-2</v>
      </c>
      <c r="J66" s="21">
        <v>56</v>
      </c>
      <c r="K66" s="21">
        <v>1.53748</v>
      </c>
      <c r="L66">
        <f t="shared" si="0"/>
        <v>15.511234567901234</v>
      </c>
      <c r="M66">
        <f t="shared" si="1"/>
        <v>23.857674776543206</v>
      </c>
      <c r="N66" s="9"/>
      <c r="O66" s="21">
        <v>0.182037</v>
      </c>
      <c r="P66" s="21">
        <v>10.161799999999999</v>
      </c>
      <c r="Q66" s="21">
        <v>-1.4941400000000001E-2</v>
      </c>
      <c r="R66" s="21">
        <v>56</v>
      </c>
      <c r="S66" s="21">
        <v>0.18148800000000001</v>
      </c>
      <c r="T66">
        <f t="shared" si="2"/>
        <v>18.446172839506172</v>
      </c>
      <c r="U66">
        <f t="shared" si="3"/>
        <v>3.3578859651851851</v>
      </c>
      <c r="X66" s="9"/>
      <c r="Y66" s="21">
        <v>1.53809</v>
      </c>
      <c r="Z66" s="21">
        <v>15.740500000000001</v>
      </c>
      <c r="AA66" s="21">
        <v>-1.3207999999999999E-2</v>
      </c>
      <c r="AB66" s="21">
        <v>56</v>
      </c>
      <c r="AC66" s="21">
        <v>1.53748</v>
      </c>
      <c r="AD66">
        <f t="shared" si="4"/>
        <v>16.306172839506171</v>
      </c>
      <c r="AE66">
        <f t="shared" si="5"/>
        <v>25.080361382716045</v>
      </c>
      <c r="AF66" s="9"/>
      <c r="AG66" s="21">
        <v>0.182037</v>
      </c>
      <c r="AH66" s="21">
        <v>19.600000000000001</v>
      </c>
      <c r="AI66" s="21">
        <v>-1.49231E-2</v>
      </c>
      <c r="AJ66" s="21">
        <v>56</v>
      </c>
      <c r="AK66" s="21">
        <v>0.18148800000000001</v>
      </c>
      <c r="AL66">
        <f t="shared" si="6"/>
        <v>18.423580246913577</v>
      </c>
      <c r="AM66">
        <f t="shared" si="7"/>
        <v>3.3537732774074067</v>
      </c>
      <c r="AP66" s="9"/>
      <c r="AQ66" s="21">
        <v>1.53809</v>
      </c>
      <c r="AR66" s="21">
        <v>25.148800000000001</v>
      </c>
      <c r="AS66" s="21">
        <v>-1.3284300000000001E-2</v>
      </c>
      <c r="AT66" s="21">
        <v>56</v>
      </c>
      <c r="AU66" s="21">
        <v>1.5377799999999999</v>
      </c>
      <c r="AV66">
        <f t="shared" si="8"/>
        <v>16.400370370370371</v>
      </c>
      <c r="AW66">
        <f t="shared" si="9"/>
        <v>25.225245662962966</v>
      </c>
      <c r="AX66" s="9"/>
      <c r="AY66" s="21">
        <v>0.182037</v>
      </c>
      <c r="AZ66" s="21">
        <v>29.008199999999999</v>
      </c>
      <c r="BA66" s="21">
        <v>-1.48529E-2</v>
      </c>
      <c r="BB66" s="21">
        <v>56</v>
      </c>
      <c r="BC66" s="21">
        <v>0.18157999999999999</v>
      </c>
      <c r="BD66">
        <f t="shared" si="10"/>
        <v>18.336913580246915</v>
      </c>
      <c r="BE66">
        <f t="shared" si="11"/>
        <v>3.3379967374074075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1.53305</v>
      </c>
      <c r="H67" s="21">
        <v>6.3123800000000001</v>
      </c>
      <c r="I67" s="21">
        <v>-1.2643400000000001E-2</v>
      </c>
      <c r="J67" s="21">
        <v>57</v>
      </c>
      <c r="K67" s="21">
        <v>1.5316799999999999</v>
      </c>
      <c r="L67">
        <f t="shared" si="0"/>
        <v>15.609135802469137</v>
      </c>
      <c r="M67">
        <f t="shared" si="1"/>
        <v>23.929585641975311</v>
      </c>
      <c r="N67" s="9"/>
      <c r="O67" s="21">
        <v>0.18707299999999999</v>
      </c>
      <c r="P67" s="21">
        <v>10.171900000000001</v>
      </c>
      <c r="Q67" s="21">
        <v>-1.49231E-2</v>
      </c>
      <c r="R67" s="21">
        <v>57</v>
      </c>
      <c r="S67" s="21">
        <v>0.18664600000000001</v>
      </c>
      <c r="T67">
        <f t="shared" si="2"/>
        <v>18.423580246913577</v>
      </c>
      <c r="U67">
        <f t="shared" si="3"/>
        <v>3.4465544275308635</v>
      </c>
      <c r="X67" s="9"/>
      <c r="Y67" s="21">
        <v>1.53305</v>
      </c>
      <c r="Z67" s="21">
        <v>15.7506</v>
      </c>
      <c r="AA67" s="21">
        <v>-1.32538E-2</v>
      </c>
      <c r="AB67" s="21">
        <v>57</v>
      </c>
      <c r="AC67" s="21">
        <v>1.5325899999999999</v>
      </c>
      <c r="AD67">
        <f t="shared" si="4"/>
        <v>16.362716049382716</v>
      </c>
      <c r="AE67">
        <f t="shared" si="5"/>
        <v>25.084861839506171</v>
      </c>
      <c r="AF67" s="9"/>
      <c r="AG67" s="21">
        <v>0.18707299999999999</v>
      </c>
      <c r="AH67" s="21">
        <v>19.610099999999999</v>
      </c>
      <c r="AI67" s="21">
        <v>-1.4907800000000001E-2</v>
      </c>
      <c r="AJ67" s="21">
        <v>57</v>
      </c>
      <c r="AK67" s="21">
        <v>0.18652299999999999</v>
      </c>
      <c r="AL67">
        <f t="shared" si="6"/>
        <v>18.404691358024692</v>
      </c>
      <c r="AM67">
        <f t="shared" si="7"/>
        <v>3.4430208264197533</v>
      </c>
      <c r="AP67" s="9"/>
      <c r="AQ67" s="21">
        <v>1.53305</v>
      </c>
      <c r="AR67" s="21">
        <v>25.158799999999999</v>
      </c>
      <c r="AS67" s="21">
        <v>-1.3327E-2</v>
      </c>
      <c r="AT67" s="21">
        <v>57</v>
      </c>
      <c r="AU67" s="21">
        <v>1.5325899999999999</v>
      </c>
      <c r="AV67">
        <f t="shared" si="8"/>
        <v>16.453086419753085</v>
      </c>
      <c r="AW67">
        <f t="shared" si="9"/>
        <v>25.223404135802468</v>
      </c>
      <c r="AX67" s="9"/>
      <c r="AY67" s="21">
        <v>0.18707299999999999</v>
      </c>
      <c r="AZ67" s="21">
        <v>29.0183</v>
      </c>
      <c r="BA67" s="21">
        <v>-1.4859000000000001E-2</v>
      </c>
      <c r="BB67" s="21">
        <v>57</v>
      </c>
      <c r="BC67" s="21">
        <v>0.186584</v>
      </c>
      <c r="BD67">
        <f t="shared" si="10"/>
        <v>18.344444444444445</v>
      </c>
      <c r="BE67">
        <f t="shared" si="11"/>
        <v>3.4317502555555555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1.5280199999999999</v>
      </c>
      <c r="H68" s="21">
        <v>6.3224499999999999</v>
      </c>
      <c r="I68" s="21">
        <v>-1.27075E-2</v>
      </c>
      <c r="J68" s="21">
        <v>58</v>
      </c>
      <c r="K68" s="21">
        <v>1.5274000000000001</v>
      </c>
      <c r="L68">
        <f t="shared" si="0"/>
        <v>15.68827160493827</v>
      </c>
      <c r="M68">
        <f t="shared" si="1"/>
        <v>23.971992777777775</v>
      </c>
      <c r="N68" s="9"/>
      <c r="O68" s="21">
        <v>0.192108</v>
      </c>
      <c r="P68" s="21">
        <v>10.181900000000001</v>
      </c>
      <c r="Q68" s="21">
        <v>-1.4913900000000001E-2</v>
      </c>
      <c r="R68" s="21">
        <v>58</v>
      </c>
      <c r="S68" s="21">
        <v>0.191528</v>
      </c>
      <c r="T68">
        <f t="shared" si="2"/>
        <v>18.412222222222223</v>
      </c>
      <c r="U68">
        <f t="shared" si="3"/>
        <v>3.5371351866666667</v>
      </c>
      <c r="X68" s="9"/>
      <c r="Y68" s="21">
        <v>1.5280199999999999</v>
      </c>
      <c r="Z68" s="21">
        <v>15.7607</v>
      </c>
      <c r="AA68" s="21">
        <v>-1.3296499999999999E-2</v>
      </c>
      <c r="AB68" s="21">
        <v>58</v>
      </c>
      <c r="AC68" s="21">
        <v>1.5277099999999999</v>
      </c>
      <c r="AD68">
        <f t="shared" si="4"/>
        <v>16.415432098765429</v>
      </c>
      <c r="AE68">
        <f t="shared" si="5"/>
        <v>25.083108555555551</v>
      </c>
      <c r="AF68" s="9"/>
      <c r="AG68" s="21">
        <v>0.192108</v>
      </c>
      <c r="AH68" s="21">
        <v>19.620100000000001</v>
      </c>
      <c r="AI68" s="21">
        <v>-1.4904799999999999E-2</v>
      </c>
      <c r="AJ68" s="21">
        <v>58</v>
      </c>
      <c r="AK68" s="21">
        <v>0.19155900000000001</v>
      </c>
      <c r="AL68">
        <f t="shared" si="6"/>
        <v>18.400987654320986</v>
      </c>
      <c r="AM68">
        <f t="shared" si="7"/>
        <v>3.5349769362962959</v>
      </c>
      <c r="AP68" s="9"/>
      <c r="AQ68" s="21">
        <v>1.5280199999999999</v>
      </c>
      <c r="AR68" s="21">
        <v>25.168900000000001</v>
      </c>
      <c r="AS68" s="21">
        <v>-1.33667E-2</v>
      </c>
      <c r="AT68" s="21">
        <v>58</v>
      </c>
      <c r="AU68" s="21">
        <v>1.5274000000000001</v>
      </c>
      <c r="AV68">
        <f t="shared" si="8"/>
        <v>16.502098765432098</v>
      </c>
      <c r="AW68">
        <f t="shared" si="9"/>
        <v>25.215536955555553</v>
      </c>
      <c r="AX68" s="9"/>
      <c r="AY68" s="21">
        <v>0.192108</v>
      </c>
      <c r="AZ68" s="21">
        <v>29.028400000000001</v>
      </c>
      <c r="BA68" s="21">
        <v>-1.4865099999999999E-2</v>
      </c>
      <c r="BB68" s="21">
        <v>58</v>
      </c>
      <c r="BC68" s="21">
        <v>0.191437</v>
      </c>
      <c r="BD68">
        <f t="shared" si="10"/>
        <v>18.351975308641972</v>
      </c>
      <c r="BE68">
        <f t="shared" si="11"/>
        <v>3.5255612725925918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1.52298</v>
      </c>
      <c r="H69" s="21">
        <v>6.3325199999999997</v>
      </c>
      <c r="I69" s="21">
        <v>-1.2689199999999999E-2</v>
      </c>
      <c r="J69" s="21">
        <v>59</v>
      </c>
      <c r="K69" s="21">
        <v>1.5228299999999999</v>
      </c>
      <c r="L69">
        <f t="shared" si="0"/>
        <v>15.665679012345679</v>
      </c>
      <c r="M69">
        <f t="shared" si="1"/>
        <v>23.858515822222223</v>
      </c>
      <c r="N69" s="9"/>
      <c r="O69" s="21">
        <v>0.19714400000000001</v>
      </c>
      <c r="P69" s="21">
        <v>10.192</v>
      </c>
      <c r="Q69" s="21">
        <v>-1.4907800000000001E-2</v>
      </c>
      <c r="R69" s="21">
        <v>59</v>
      </c>
      <c r="S69" s="21">
        <v>0.19662499999999999</v>
      </c>
      <c r="T69">
        <f t="shared" si="2"/>
        <v>18.404691358024692</v>
      </c>
      <c r="U69">
        <f t="shared" si="3"/>
        <v>3.6283744730864202</v>
      </c>
      <c r="X69" s="9"/>
      <c r="Y69" s="21">
        <v>1.52298</v>
      </c>
      <c r="Z69" s="21">
        <v>15.7707</v>
      </c>
      <c r="AA69" s="21">
        <v>-1.3327E-2</v>
      </c>
      <c r="AB69" s="21">
        <v>59</v>
      </c>
      <c r="AC69" s="21">
        <v>1.5222199999999999</v>
      </c>
      <c r="AD69">
        <f t="shared" si="4"/>
        <v>16.453086419753085</v>
      </c>
      <c r="AE69">
        <f t="shared" si="5"/>
        <v>25.057721555555553</v>
      </c>
      <c r="AF69" s="9"/>
      <c r="AG69" s="21">
        <v>0.19714400000000001</v>
      </c>
      <c r="AH69" s="21">
        <v>19.630199999999999</v>
      </c>
      <c r="AI69" s="21">
        <v>-1.49017E-2</v>
      </c>
      <c r="AJ69" s="21">
        <v>59</v>
      </c>
      <c r="AK69" s="21">
        <v>0.196686</v>
      </c>
      <c r="AL69">
        <f t="shared" si="6"/>
        <v>18.397160493827158</v>
      </c>
      <c r="AM69">
        <f t="shared" si="7"/>
        <v>3.6268898083950614</v>
      </c>
      <c r="AP69" s="9"/>
      <c r="AQ69" s="21">
        <v>1.52298</v>
      </c>
      <c r="AR69" s="21">
        <v>25.178999999999998</v>
      </c>
      <c r="AS69" s="21">
        <v>-1.34003E-2</v>
      </c>
      <c r="AT69" s="21">
        <v>59</v>
      </c>
      <c r="AU69" s="21">
        <v>1.5225200000000001</v>
      </c>
      <c r="AV69">
        <f t="shared" si="8"/>
        <v>16.543580246913578</v>
      </c>
      <c r="AW69">
        <f t="shared" si="9"/>
        <v>25.195541844444442</v>
      </c>
      <c r="AX69" s="9"/>
      <c r="AY69" s="21">
        <v>0.19714400000000001</v>
      </c>
      <c r="AZ69" s="21">
        <v>29.038399999999999</v>
      </c>
      <c r="BA69" s="21">
        <v>-1.4871199999999999E-2</v>
      </c>
      <c r="BB69" s="21">
        <v>59</v>
      </c>
      <c r="BC69" s="21">
        <v>0.19656399999999999</v>
      </c>
      <c r="BD69">
        <f t="shared" si="10"/>
        <v>18.359506172839506</v>
      </c>
      <c r="BE69">
        <f t="shared" si="11"/>
        <v>3.6194664849382718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1.5179400000000001</v>
      </c>
      <c r="H70" s="21">
        <v>6.3425900000000004</v>
      </c>
      <c r="I70" s="21">
        <v>-1.27472E-2</v>
      </c>
      <c r="J70" s="21">
        <v>60</v>
      </c>
      <c r="K70" s="21">
        <v>1.5167200000000001</v>
      </c>
      <c r="L70">
        <f t="shared" si="0"/>
        <v>15.737283950617284</v>
      </c>
      <c r="M70">
        <f t="shared" si="1"/>
        <v>23.8882528</v>
      </c>
      <c r="N70" s="9"/>
      <c r="O70" s="21">
        <v>0.202179</v>
      </c>
      <c r="P70" s="21">
        <v>10.2021</v>
      </c>
      <c r="Q70" s="21">
        <v>-1.4907800000000001E-2</v>
      </c>
      <c r="R70" s="21">
        <v>60</v>
      </c>
      <c r="S70" s="21">
        <v>0.20166000000000001</v>
      </c>
      <c r="T70">
        <f t="shared" si="2"/>
        <v>18.404691358024692</v>
      </c>
      <c r="U70">
        <f t="shared" si="3"/>
        <v>3.721042094074074</v>
      </c>
      <c r="X70" s="9"/>
      <c r="Y70" s="21">
        <v>1.5179400000000001</v>
      </c>
      <c r="Z70" s="21">
        <v>15.780799999999999</v>
      </c>
      <c r="AA70" s="21">
        <v>-1.3345299999999999E-2</v>
      </c>
      <c r="AB70" s="21">
        <v>60</v>
      </c>
      <c r="AC70" s="21">
        <v>1.5173300000000001</v>
      </c>
      <c r="AD70">
        <f t="shared" si="4"/>
        <v>16.475679012345676</v>
      </c>
      <c r="AE70">
        <f t="shared" si="5"/>
        <v>25.009092199999998</v>
      </c>
      <c r="AF70" s="9"/>
      <c r="AG70" s="21">
        <v>0.202179</v>
      </c>
      <c r="AH70" s="21">
        <v>19.6403</v>
      </c>
      <c r="AI70" s="21">
        <v>-1.49109E-2</v>
      </c>
      <c r="AJ70" s="21">
        <v>60</v>
      </c>
      <c r="AK70" s="21">
        <v>0.20166000000000001</v>
      </c>
      <c r="AL70">
        <f t="shared" si="6"/>
        <v>18.408518518518516</v>
      </c>
      <c r="AM70">
        <f t="shared" si="7"/>
        <v>3.7218158655555551</v>
      </c>
      <c r="AP70" s="9"/>
      <c r="AQ70" s="21">
        <v>1.5179400000000001</v>
      </c>
      <c r="AR70" s="21">
        <v>25.189</v>
      </c>
      <c r="AS70" s="21">
        <v>-1.3439899999999999E-2</v>
      </c>
      <c r="AT70" s="21">
        <v>60</v>
      </c>
      <c r="AU70" s="21">
        <v>1.5176400000000001</v>
      </c>
      <c r="AV70">
        <f t="shared" si="8"/>
        <v>16.592469135802467</v>
      </c>
      <c r="AW70">
        <f t="shared" si="9"/>
        <v>25.186372599999999</v>
      </c>
      <c r="AX70" s="9"/>
      <c r="AY70" s="21">
        <v>0.202179</v>
      </c>
      <c r="AZ70" s="21">
        <v>29.048500000000001</v>
      </c>
      <c r="BA70" s="21">
        <v>-1.48804E-2</v>
      </c>
      <c r="BB70" s="21">
        <v>60</v>
      </c>
      <c r="BC70" s="21">
        <v>0.20163</v>
      </c>
      <c r="BD70">
        <f t="shared" si="10"/>
        <v>18.370864197530864</v>
      </c>
      <c r="BE70">
        <f t="shared" si="11"/>
        <v>3.7142029525925926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1.51291</v>
      </c>
      <c r="H71" s="21">
        <v>6.3526699999999998</v>
      </c>
      <c r="I71" s="21">
        <v>-1.2805199999999999E-2</v>
      </c>
      <c r="J71" s="21">
        <v>61</v>
      </c>
      <c r="K71" s="21">
        <v>1.5127600000000001</v>
      </c>
      <c r="L71">
        <f t="shared" si="0"/>
        <v>15.808888888888886</v>
      </c>
      <c r="M71">
        <f t="shared" si="1"/>
        <v>23.917426088888885</v>
      </c>
      <c r="N71" s="9"/>
      <c r="O71" s="21">
        <v>0.20721400000000001</v>
      </c>
      <c r="P71" s="21">
        <v>10.2121</v>
      </c>
      <c r="Q71" s="21">
        <v>-1.49109E-2</v>
      </c>
      <c r="R71" s="21">
        <v>61</v>
      </c>
      <c r="S71" s="21">
        <v>0.20672599999999999</v>
      </c>
      <c r="T71">
        <f t="shared" si="2"/>
        <v>18.408518518518516</v>
      </c>
      <c r="U71">
        <f t="shared" si="3"/>
        <v>3.8145027562962959</v>
      </c>
      <c r="X71" s="9"/>
      <c r="Y71" s="21">
        <v>1.51291</v>
      </c>
      <c r="Z71" s="21">
        <v>15.790900000000001</v>
      </c>
      <c r="AA71" s="21">
        <v>-1.3378900000000001E-2</v>
      </c>
      <c r="AB71" s="21">
        <v>61</v>
      </c>
      <c r="AC71" s="21">
        <v>1.5121500000000001</v>
      </c>
      <c r="AD71">
        <f t="shared" si="4"/>
        <v>16.517160493827159</v>
      </c>
      <c r="AE71">
        <f t="shared" si="5"/>
        <v>24.988977282716046</v>
      </c>
      <c r="AF71" s="9"/>
      <c r="AG71" s="21">
        <v>0.20721400000000001</v>
      </c>
      <c r="AH71" s="21">
        <v>19.650400000000001</v>
      </c>
      <c r="AI71" s="21">
        <v>-1.49109E-2</v>
      </c>
      <c r="AJ71" s="21">
        <v>61</v>
      </c>
      <c r="AK71" s="21">
        <v>0.20657300000000001</v>
      </c>
      <c r="AL71">
        <f t="shared" si="6"/>
        <v>18.408518518518516</v>
      </c>
      <c r="AM71">
        <f t="shared" si="7"/>
        <v>3.8145027562962959</v>
      </c>
      <c r="AP71" s="9"/>
      <c r="AQ71" s="21">
        <v>1.51291</v>
      </c>
      <c r="AR71" s="21">
        <v>25.199100000000001</v>
      </c>
      <c r="AS71" s="21">
        <v>-1.34888E-2</v>
      </c>
      <c r="AT71" s="21">
        <v>61</v>
      </c>
      <c r="AU71" s="21">
        <v>1.5115400000000001</v>
      </c>
      <c r="AV71">
        <f t="shared" si="8"/>
        <v>16.652839506172839</v>
      </c>
      <c r="AW71">
        <f t="shared" si="9"/>
        <v>25.19424741728395</v>
      </c>
      <c r="AX71" s="9"/>
      <c r="AY71" s="21">
        <v>0.20721400000000001</v>
      </c>
      <c r="AZ71" s="21">
        <v>29.058599999999998</v>
      </c>
      <c r="BA71" s="21">
        <v>-1.48895E-2</v>
      </c>
      <c r="BB71" s="21">
        <v>61</v>
      </c>
      <c r="BC71" s="21">
        <v>0.20663500000000001</v>
      </c>
      <c r="BD71">
        <f t="shared" si="10"/>
        <v>18.382098765432101</v>
      </c>
      <c r="BE71">
        <f t="shared" si="11"/>
        <v>3.8090282135802473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1.50787</v>
      </c>
      <c r="H72" s="21">
        <v>6.3627399999999996</v>
      </c>
      <c r="I72" s="21">
        <v>-1.2860099999999999E-2</v>
      </c>
      <c r="J72" s="21">
        <v>62</v>
      </c>
      <c r="K72" s="21">
        <v>1.50726</v>
      </c>
      <c r="L72">
        <f t="shared" si="0"/>
        <v>15.876666666666663</v>
      </c>
      <c r="M72">
        <f t="shared" si="1"/>
        <v>23.939949366666664</v>
      </c>
      <c r="N72" s="9"/>
      <c r="O72" s="21">
        <v>0.21224999999999999</v>
      </c>
      <c r="P72" s="21">
        <v>10.222200000000001</v>
      </c>
      <c r="Q72" s="21">
        <v>-1.4904799999999999E-2</v>
      </c>
      <c r="R72" s="21">
        <v>62</v>
      </c>
      <c r="S72" s="21">
        <v>0.21160899999999999</v>
      </c>
      <c r="T72">
        <f t="shared" si="2"/>
        <v>18.400987654320986</v>
      </c>
      <c r="U72">
        <f t="shared" si="3"/>
        <v>3.905609629629629</v>
      </c>
      <c r="X72" s="9"/>
      <c r="Y72" s="21">
        <v>1.50787</v>
      </c>
      <c r="Z72" s="21">
        <v>15.801</v>
      </c>
      <c r="AA72" s="21">
        <v>-1.34003E-2</v>
      </c>
      <c r="AB72" s="21">
        <v>62</v>
      </c>
      <c r="AC72" s="21">
        <v>1.50726</v>
      </c>
      <c r="AD72">
        <f t="shared" si="4"/>
        <v>16.543580246913578</v>
      </c>
      <c r="AE72">
        <f t="shared" si="5"/>
        <v>24.945568346913578</v>
      </c>
      <c r="AF72" s="9"/>
      <c r="AG72" s="21">
        <v>0.21224999999999999</v>
      </c>
      <c r="AH72" s="21">
        <v>19.660399999999999</v>
      </c>
      <c r="AI72" s="21">
        <v>-1.4907800000000001E-2</v>
      </c>
      <c r="AJ72" s="21">
        <v>62</v>
      </c>
      <c r="AK72" s="21">
        <v>0.211731</v>
      </c>
      <c r="AL72">
        <f t="shared" si="6"/>
        <v>18.404691358024692</v>
      </c>
      <c r="AM72">
        <f t="shared" si="7"/>
        <v>3.906395740740741</v>
      </c>
      <c r="AP72" s="9"/>
      <c r="AQ72" s="21">
        <v>1.50787</v>
      </c>
      <c r="AR72" s="21">
        <v>25.209199999999999</v>
      </c>
      <c r="AS72" s="21">
        <v>-1.3504E-2</v>
      </c>
      <c r="AT72" s="21">
        <v>62</v>
      </c>
      <c r="AU72" s="21">
        <v>1.50665</v>
      </c>
      <c r="AV72">
        <f t="shared" si="8"/>
        <v>16.671604938271606</v>
      </c>
      <c r="AW72">
        <f t="shared" si="9"/>
        <v>25.138612938271606</v>
      </c>
      <c r="AX72" s="9"/>
      <c r="AY72" s="21">
        <v>0.21224999999999999</v>
      </c>
      <c r="AZ72" s="21">
        <v>29.0687</v>
      </c>
      <c r="BA72" s="21">
        <v>-1.48865E-2</v>
      </c>
      <c r="BB72" s="21">
        <v>62</v>
      </c>
      <c r="BC72" s="21">
        <v>0.2117</v>
      </c>
      <c r="BD72">
        <f t="shared" si="10"/>
        <v>18.378395061728394</v>
      </c>
      <c r="BE72">
        <f t="shared" si="11"/>
        <v>3.9008143518518517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1.50284</v>
      </c>
      <c r="H73" s="21">
        <v>6.3728100000000003</v>
      </c>
      <c r="I73" s="21">
        <v>-1.2908899999999999E-2</v>
      </c>
      <c r="J73" s="21">
        <v>63</v>
      </c>
      <c r="K73" s="21">
        <v>1.5020800000000001</v>
      </c>
      <c r="L73">
        <f t="shared" si="0"/>
        <v>15.936913580246911</v>
      </c>
      <c r="M73">
        <f t="shared" si="1"/>
        <v>23.950631204938265</v>
      </c>
      <c r="N73" s="9"/>
      <c r="O73" s="21">
        <v>0.21728500000000001</v>
      </c>
      <c r="P73" s="21">
        <v>10.2323</v>
      </c>
      <c r="Q73" s="21">
        <v>-1.49109E-2</v>
      </c>
      <c r="R73" s="21">
        <v>63</v>
      </c>
      <c r="S73" s="21">
        <v>0.216888</v>
      </c>
      <c r="T73">
        <f t="shared" si="2"/>
        <v>18.408518518518516</v>
      </c>
      <c r="U73">
        <f t="shared" si="3"/>
        <v>3.9998949462962958</v>
      </c>
      <c r="X73" s="9"/>
      <c r="Y73" s="21">
        <v>1.50284</v>
      </c>
      <c r="Z73" s="21">
        <v>15.811</v>
      </c>
      <c r="AA73" s="21">
        <v>-1.34369E-2</v>
      </c>
      <c r="AB73" s="21">
        <v>63</v>
      </c>
      <c r="AC73" s="21">
        <v>1.50177</v>
      </c>
      <c r="AD73">
        <f t="shared" si="4"/>
        <v>16.588765432098764</v>
      </c>
      <c r="AE73">
        <f t="shared" si="5"/>
        <v>24.930260241975308</v>
      </c>
      <c r="AF73" s="9"/>
      <c r="AG73" s="21">
        <v>0.21728500000000001</v>
      </c>
      <c r="AH73" s="21">
        <v>19.670500000000001</v>
      </c>
      <c r="AI73" s="21">
        <v>-1.4898700000000001E-2</v>
      </c>
      <c r="AJ73" s="21">
        <v>63</v>
      </c>
      <c r="AK73" s="21">
        <v>0.21673600000000001</v>
      </c>
      <c r="AL73">
        <f t="shared" si="6"/>
        <v>18.393456790123455</v>
      </c>
      <c r="AM73">
        <f t="shared" si="7"/>
        <v>3.9966222586419748</v>
      </c>
      <c r="AP73" s="9"/>
      <c r="AQ73" s="21">
        <v>1.50284</v>
      </c>
      <c r="AR73" s="21">
        <v>25.2193</v>
      </c>
      <c r="AS73" s="21">
        <v>-1.3546799999999999E-2</v>
      </c>
      <c r="AT73" s="21">
        <v>63</v>
      </c>
      <c r="AU73" s="21">
        <v>1.50238</v>
      </c>
      <c r="AV73">
        <f t="shared" si="8"/>
        <v>16.72444444444444</v>
      </c>
      <c r="AW73">
        <f t="shared" si="9"/>
        <v>25.13416408888888</v>
      </c>
      <c r="AX73" s="9"/>
      <c r="AY73" s="21">
        <v>0.21728500000000001</v>
      </c>
      <c r="AZ73" s="21">
        <v>29.078700000000001</v>
      </c>
      <c r="BA73" s="21">
        <v>-1.48956E-2</v>
      </c>
      <c r="BB73" s="21">
        <v>63</v>
      </c>
      <c r="BC73" s="21">
        <v>0.21670500000000001</v>
      </c>
      <c r="BD73">
        <f t="shared" si="10"/>
        <v>18.389629629629628</v>
      </c>
      <c r="BE73">
        <f t="shared" si="11"/>
        <v>3.9957906740740738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1.4978</v>
      </c>
      <c r="H74" s="21">
        <v>6.3828800000000001</v>
      </c>
      <c r="I74" s="21">
        <v>-1.29608E-2</v>
      </c>
      <c r="J74" s="21">
        <v>64</v>
      </c>
      <c r="K74" s="21">
        <v>1.49719</v>
      </c>
      <c r="L74">
        <f t="shared" si="0"/>
        <v>16.000987654320987</v>
      </c>
      <c r="M74">
        <f t="shared" si="1"/>
        <v>23.966279308641976</v>
      </c>
      <c r="N74" s="9"/>
      <c r="O74" s="21">
        <v>0.22232099999999999</v>
      </c>
      <c r="P74" s="21">
        <v>10.2424</v>
      </c>
      <c r="Q74" s="21">
        <v>-1.4919999999999999E-2</v>
      </c>
      <c r="R74" s="21">
        <v>64</v>
      </c>
      <c r="S74" s="21">
        <v>0.221771</v>
      </c>
      <c r="T74">
        <f t="shared" si="2"/>
        <v>18.41975308641975</v>
      </c>
      <c r="U74">
        <f t="shared" si="3"/>
        <v>4.0950979259259253</v>
      </c>
      <c r="X74" s="9"/>
      <c r="Y74" s="21">
        <v>1.4978</v>
      </c>
      <c r="Z74" s="21">
        <v>15.821099999999999</v>
      </c>
      <c r="AA74" s="21">
        <v>-1.3467399999999999E-2</v>
      </c>
      <c r="AB74" s="21">
        <v>64</v>
      </c>
      <c r="AC74" s="21">
        <v>1.49719</v>
      </c>
      <c r="AD74">
        <f t="shared" si="4"/>
        <v>16.626419753086417</v>
      </c>
      <c r="AE74">
        <f t="shared" si="5"/>
        <v>24.903051506172837</v>
      </c>
      <c r="AF74" s="9"/>
      <c r="AG74" s="21">
        <v>0.22232099999999999</v>
      </c>
      <c r="AH74" s="21">
        <v>19.680599999999998</v>
      </c>
      <c r="AI74" s="21">
        <v>-1.4892600000000001E-2</v>
      </c>
      <c r="AJ74" s="21">
        <v>64</v>
      </c>
      <c r="AK74" s="21">
        <v>0.221802</v>
      </c>
      <c r="AL74">
        <f t="shared" si="6"/>
        <v>18.385925925925928</v>
      </c>
      <c r="AM74">
        <f t="shared" si="7"/>
        <v>4.087577437777778</v>
      </c>
      <c r="AP74" s="9"/>
      <c r="AQ74" s="21">
        <v>1.4978</v>
      </c>
      <c r="AR74" s="21">
        <v>25.229299999999999</v>
      </c>
      <c r="AS74" s="21">
        <v>-1.35773E-2</v>
      </c>
      <c r="AT74" s="21">
        <v>64</v>
      </c>
      <c r="AU74" s="21">
        <v>1.4975000000000001</v>
      </c>
      <c r="AV74">
        <f t="shared" si="8"/>
        <v>16.7620987654321</v>
      </c>
      <c r="AW74">
        <f t="shared" si="9"/>
        <v>25.106271530864198</v>
      </c>
      <c r="AX74" s="9"/>
      <c r="AY74" s="21">
        <v>0.22232099999999999</v>
      </c>
      <c r="AZ74" s="21">
        <v>29.088799999999999</v>
      </c>
      <c r="BA74" s="21">
        <v>-1.48865E-2</v>
      </c>
      <c r="BB74" s="21">
        <v>64</v>
      </c>
      <c r="BC74" s="21">
        <v>0.22174099999999999</v>
      </c>
      <c r="BD74">
        <f t="shared" si="10"/>
        <v>18.378395061728394</v>
      </c>
      <c r="BE74">
        <f t="shared" si="11"/>
        <v>4.0859031685185183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1.4927699999999999</v>
      </c>
      <c r="H75" s="21">
        <v>6.3929499999999999</v>
      </c>
      <c r="I75" s="21">
        <v>-1.30157E-2</v>
      </c>
      <c r="J75" s="21">
        <v>65</v>
      </c>
      <c r="K75" s="21">
        <v>1.49231</v>
      </c>
      <c r="L75">
        <f t="shared" si="0"/>
        <v>16.068765432098765</v>
      </c>
      <c r="M75">
        <f t="shared" si="1"/>
        <v>23.986970974074072</v>
      </c>
      <c r="N75" s="9"/>
      <c r="O75" s="21">
        <v>0.227356</v>
      </c>
      <c r="P75" s="21">
        <v>10.2524</v>
      </c>
      <c r="Q75" s="21">
        <v>-1.4917E-2</v>
      </c>
      <c r="R75" s="21">
        <v>65</v>
      </c>
      <c r="S75" s="21">
        <v>0.22683700000000001</v>
      </c>
      <c r="T75">
        <f t="shared" si="2"/>
        <v>18.416049382716047</v>
      </c>
      <c r="U75">
        <f t="shared" si="3"/>
        <v>4.1869993234567895</v>
      </c>
      <c r="X75" s="9"/>
      <c r="Y75" s="21">
        <v>1.4927699999999999</v>
      </c>
      <c r="Z75" s="21">
        <v>15.831200000000001</v>
      </c>
      <c r="AA75" s="21">
        <v>-1.34888E-2</v>
      </c>
      <c r="AB75" s="21">
        <v>65</v>
      </c>
      <c r="AC75" s="21">
        <v>1.4917</v>
      </c>
      <c r="AD75">
        <f t="shared" si="4"/>
        <v>16.652839506172839</v>
      </c>
      <c r="AE75">
        <f t="shared" si="5"/>
        <v>24.858859229629626</v>
      </c>
      <c r="AF75" s="9"/>
      <c r="AG75" s="21">
        <v>0.227356</v>
      </c>
      <c r="AH75" s="21">
        <v>19.6906</v>
      </c>
      <c r="AI75" s="21">
        <v>-1.48865E-2</v>
      </c>
      <c r="AJ75" s="21">
        <v>65</v>
      </c>
      <c r="AK75" s="21">
        <v>0.22683700000000001</v>
      </c>
      <c r="AL75">
        <f t="shared" si="6"/>
        <v>18.378395061728394</v>
      </c>
      <c r="AM75">
        <f t="shared" si="7"/>
        <v>4.178438387654321</v>
      </c>
      <c r="AP75" s="9"/>
      <c r="AQ75" s="21">
        <v>1.4927699999999999</v>
      </c>
      <c r="AR75" s="21">
        <v>25.2394</v>
      </c>
      <c r="AS75" s="21">
        <v>-1.36017E-2</v>
      </c>
      <c r="AT75" s="21">
        <v>65</v>
      </c>
      <c r="AU75" s="21">
        <v>1.49231</v>
      </c>
      <c r="AV75">
        <f t="shared" si="8"/>
        <v>16.792222222222222</v>
      </c>
      <c r="AW75">
        <f t="shared" si="9"/>
        <v>25.066925566666665</v>
      </c>
      <c r="AX75" s="9"/>
      <c r="AY75" s="21">
        <v>0.227356</v>
      </c>
      <c r="AZ75" s="21">
        <v>29.0989</v>
      </c>
      <c r="BA75" s="21">
        <v>-1.4871199999999999E-2</v>
      </c>
      <c r="BB75" s="21">
        <v>65</v>
      </c>
      <c r="BC75" s="21">
        <v>0.22699</v>
      </c>
      <c r="BD75">
        <f t="shared" si="10"/>
        <v>18.359506172839506</v>
      </c>
      <c r="BE75">
        <f t="shared" si="11"/>
        <v>4.1741438854320991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1.48773</v>
      </c>
      <c r="H76" s="21">
        <v>6.4030199999999997</v>
      </c>
      <c r="I76" s="21">
        <v>-1.3070699999999999E-2</v>
      </c>
      <c r="J76" s="21">
        <v>66</v>
      </c>
      <c r="K76" s="21">
        <v>1.48682</v>
      </c>
      <c r="L76">
        <f t="shared" ref="L76:L139" si="12">-I76/$F$2*1000</f>
        <v>16.136666666666663</v>
      </c>
      <c r="M76">
        <f t="shared" ref="M76:M139" si="13">L76*G76</f>
        <v>24.007003099999995</v>
      </c>
      <c r="N76" s="9"/>
      <c r="O76" s="21">
        <v>0.23239099999999999</v>
      </c>
      <c r="P76" s="21">
        <v>10.262499999999999</v>
      </c>
      <c r="Q76" s="21">
        <v>-1.4904799999999999E-2</v>
      </c>
      <c r="R76" s="21">
        <v>66</v>
      </c>
      <c r="S76" s="21">
        <v>0.23178099999999999</v>
      </c>
      <c r="T76">
        <f t="shared" ref="T76:T139" si="14">-Q76/$F$2*1000</f>
        <v>18.400987654320986</v>
      </c>
      <c r="U76">
        <f t="shared" ref="U76:U139" si="15">T76*O76</f>
        <v>4.2762239219753075</v>
      </c>
      <c r="X76" s="9"/>
      <c r="Y76" s="21">
        <v>1.48773</v>
      </c>
      <c r="Z76" s="21">
        <v>15.841200000000001</v>
      </c>
      <c r="AA76" s="21">
        <v>-1.3516200000000001E-2</v>
      </c>
      <c r="AB76" s="21">
        <v>66</v>
      </c>
      <c r="AC76" s="21">
        <v>1.48712</v>
      </c>
      <c r="AD76">
        <f t="shared" ref="AD76:AD139" si="16">-AA76/$F$2*1000</f>
        <v>16.686666666666664</v>
      </c>
      <c r="AE76">
        <f t="shared" ref="AE76:AE139" si="17">AD76*Y76</f>
        <v>24.825254599999997</v>
      </c>
      <c r="AF76" s="9"/>
      <c r="AG76" s="21">
        <v>0.23239099999999999</v>
      </c>
      <c r="AH76" s="21">
        <v>19.700700000000001</v>
      </c>
      <c r="AI76" s="21">
        <v>-1.48865E-2</v>
      </c>
      <c r="AJ76" s="21">
        <v>66</v>
      </c>
      <c r="AK76" s="21">
        <v>0.23184199999999999</v>
      </c>
      <c r="AL76">
        <f t="shared" ref="AL76:AL139" si="18">-AI76/$F$2*1000</f>
        <v>18.378395061728394</v>
      </c>
      <c r="AM76">
        <f t="shared" ref="AM76:AM139" si="19">AL76*AG76</f>
        <v>4.2709736067901227</v>
      </c>
      <c r="AP76" s="9"/>
      <c r="AQ76" s="21">
        <v>1.48773</v>
      </c>
      <c r="AR76" s="21">
        <v>25.249500000000001</v>
      </c>
      <c r="AS76" s="21">
        <v>-1.36261E-2</v>
      </c>
      <c r="AT76" s="21">
        <v>66</v>
      </c>
      <c r="AU76" s="21">
        <v>1.48743</v>
      </c>
      <c r="AV76">
        <f t="shared" ref="AV76:AV139" si="20">-AS76/$F$2*1000</f>
        <v>16.822345679012344</v>
      </c>
      <c r="AW76">
        <f t="shared" ref="AW76:AW139" si="21">AV76*AQ76</f>
        <v>25.027108337037035</v>
      </c>
      <c r="AX76" s="9"/>
      <c r="AY76" s="21">
        <v>0.23239099999999999</v>
      </c>
      <c r="AZ76" s="21">
        <v>29.108899999999998</v>
      </c>
      <c r="BA76" s="21">
        <v>-1.48621E-2</v>
      </c>
      <c r="BB76" s="21">
        <v>66</v>
      </c>
      <c r="BC76" s="21">
        <v>0.231873</v>
      </c>
      <c r="BD76">
        <f t="shared" ref="BD76:BD139" si="22">-BA76/$F$2*1000</f>
        <v>18.348271604938269</v>
      </c>
      <c r="BE76">
        <f t="shared" ref="BE76:BE139" si="23">BD76*AY76</f>
        <v>4.2639731865432093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1.4826999999999999</v>
      </c>
      <c r="H77" s="21">
        <v>6.4130900000000004</v>
      </c>
      <c r="I77" s="21">
        <v>-1.3110399999999999E-2</v>
      </c>
      <c r="J77" s="21">
        <v>67</v>
      </c>
      <c r="K77" s="21">
        <v>1.48163</v>
      </c>
      <c r="L77">
        <f t="shared" si="12"/>
        <v>16.185679012345677</v>
      </c>
      <c r="M77">
        <f t="shared" si="13"/>
        <v>23.998506271604935</v>
      </c>
      <c r="N77" s="9"/>
      <c r="O77" s="21">
        <v>0.237427</v>
      </c>
      <c r="P77" s="21">
        <v>10.272600000000001</v>
      </c>
      <c r="Q77" s="21">
        <v>-1.4907800000000001E-2</v>
      </c>
      <c r="R77" s="21">
        <v>67</v>
      </c>
      <c r="S77" s="21">
        <v>0.236847</v>
      </c>
      <c r="T77">
        <f t="shared" si="14"/>
        <v>18.404691358024692</v>
      </c>
      <c r="U77">
        <f t="shared" si="15"/>
        <v>4.3697706550617283</v>
      </c>
      <c r="X77" s="9"/>
      <c r="Y77" s="21">
        <v>1.4826999999999999</v>
      </c>
      <c r="Z77" s="21">
        <v>15.8513</v>
      </c>
      <c r="AA77" s="21">
        <v>-1.35406E-2</v>
      </c>
      <c r="AB77" s="21">
        <v>67</v>
      </c>
      <c r="AC77" s="21">
        <v>1.48193</v>
      </c>
      <c r="AD77">
        <f t="shared" si="16"/>
        <v>16.716790123456789</v>
      </c>
      <c r="AE77">
        <f t="shared" si="17"/>
        <v>24.785984716049381</v>
      </c>
      <c r="AF77" s="9"/>
      <c r="AG77" s="21">
        <v>0.237427</v>
      </c>
      <c r="AH77" s="21">
        <v>19.710799999999999</v>
      </c>
      <c r="AI77" s="21">
        <v>-1.48804E-2</v>
      </c>
      <c r="AJ77" s="21">
        <v>67</v>
      </c>
      <c r="AK77" s="21">
        <v>0.236877</v>
      </c>
      <c r="AL77">
        <f t="shared" si="18"/>
        <v>18.370864197530864</v>
      </c>
      <c r="AM77">
        <f t="shared" si="19"/>
        <v>4.3617391738271607</v>
      </c>
      <c r="AP77" s="9"/>
      <c r="AQ77" s="21">
        <v>1.4826999999999999</v>
      </c>
      <c r="AR77" s="21">
        <v>25.259499999999999</v>
      </c>
      <c r="AS77" s="21">
        <v>-1.36566E-2</v>
      </c>
      <c r="AT77" s="21">
        <v>67</v>
      </c>
      <c r="AU77" s="21">
        <v>1.48224</v>
      </c>
      <c r="AV77">
        <f t="shared" si="20"/>
        <v>16.86</v>
      </c>
      <c r="AW77">
        <f t="shared" si="21"/>
        <v>24.998321999999998</v>
      </c>
      <c r="AX77" s="9"/>
      <c r="AY77" s="21">
        <v>0.237427</v>
      </c>
      <c r="AZ77" s="21">
        <v>29.119</v>
      </c>
      <c r="BA77" s="21">
        <v>-1.48529E-2</v>
      </c>
      <c r="BB77" s="21">
        <v>67</v>
      </c>
      <c r="BC77" s="21">
        <v>0.236847</v>
      </c>
      <c r="BD77">
        <f t="shared" si="22"/>
        <v>18.336913580246915</v>
      </c>
      <c r="BE77">
        <f t="shared" si="23"/>
        <v>4.3536783806172838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1.47766</v>
      </c>
      <c r="H78" s="21">
        <v>6.4231600000000002</v>
      </c>
      <c r="I78" s="21">
        <v>-1.3147000000000001E-2</v>
      </c>
      <c r="J78" s="21">
        <v>68</v>
      </c>
      <c r="K78" s="21">
        <v>1.47675</v>
      </c>
      <c r="L78">
        <f t="shared" si="12"/>
        <v>16.230864197530863</v>
      </c>
      <c r="M78">
        <f t="shared" si="13"/>
        <v>23.983698790123455</v>
      </c>
      <c r="N78" s="9"/>
      <c r="O78" s="21">
        <v>0.24246200000000001</v>
      </c>
      <c r="P78" s="21">
        <v>10.2826</v>
      </c>
      <c r="Q78" s="21">
        <v>-1.4913900000000001E-2</v>
      </c>
      <c r="R78" s="21">
        <v>68</v>
      </c>
      <c r="S78" s="21">
        <v>0.24194299999999999</v>
      </c>
      <c r="T78">
        <f t="shared" si="14"/>
        <v>18.412222222222223</v>
      </c>
      <c r="U78">
        <f t="shared" si="15"/>
        <v>4.4642642244444444</v>
      </c>
      <c r="X78" s="9"/>
      <c r="Y78" s="21">
        <v>1.47766</v>
      </c>
      <c r="Z78" s="21">
        <v>15.8614</v>
      </c>
      <c r="AA78" s="21">
        <v>-1.35712E-2</v>
      </c>
      <c r="AB78" s="21">
        <v>68</v>
      </c>
      <c r="AC78" s="21">
        <v>1.47705</v>
      </c>
      <c r="AD78">
        <f t="shared" si="16"/>
        <v>16.754567901234566</v>
      </c>
      <c r="AE78">
        <f t="shared" si="17"/>
        <v>24.75755480493827</v>
      </c>
      <c r="AF78" s="9"/>
      <c r="AG78" s="21">
        <v>0.24246200000000001</v>
      </c>
      <c r="AH78" s="21">
        <v>19.7209</v>
      </c>
      <c r="AI78" s="21">
        <v>-1.48743E-2</v>
      </c>
      <c r="AJ78" s="21">
        <v>68</v>
      </c>
      <c r="AK78" s="21">
        <v>0.24179100000000001</v>
      </c>
      <c r="AL78">
        <f t="shared" si="18"/>
        <v>18.363333333333333</v>
      </c>
      <c r="AM78">
        <f t="shared" si="19"/>
        <v>4.4524105266666671</v>
      </c>
      <c r="AP78" s="9"/>
      <c r="AQ78" s="21">
        <v>1.47766</v>
      </c>
      <c r="AR78" s="21">
        <v>25.269600000000001</v>
      </c>
      <c r="AS78" s="21">
        <v>-1.3677999999999999E-2</v>
      </c>
      <c r="AT78" s="21">
        <v>68</v>
      </c>
      <c r="AU78" s="21">
        <v>1.47705</v>
      </c>
      <c r="AV78">
        <f t="shared" si="20"/>
        <v>16.886419753086418</v>
      </c>
      <c r="AW78">
        <f t="shared" si="21"/>
        <v>24.952387012345675</v>
      </c>
      <c r="AX78" s="9"/>
      <c r="AY78" s="21">
        <v>0.24246200000000001</v>
      </c>
      <c r="AZ78" s="21">
        <v>29.129100000000001</v>
      </c>
      <c r="BA78" s="21">
        <v>-1.48529E-2</v>
      </c>
      <c r="BB78" s="21">
        <v>68</v>
      </c>
      <c r="BC78" s="21">
        <v>0.24188200000000001</v>
      </c>
      <c r="BD78">
        <f t="shared" si="22"/>
        <v>18.336913580246915</v>
      </c>
      <c r="BE78">
        <f t="shared" si="23"/>
        <v>4.4460047404938274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1.4726300000000001</v>
      </c>
      <c r="H79" s="21">
        <v>6.43323</v>
      </c>
      <c r="I79" s="21">
        <v>-1.31897E-2</v>
      </c>
      <c r="J79" s="21">
        <v>69</v>
      </c>
      <c r="K79" s="21">
        <v>1.4718599999999999</v>
      </c>
      <c r="L79">
        <f t="shared" si="12"/>
        <v>16.28358024691358</v>
      </c>
      <c r="M79">
        <f t="shared" si="13"/>
        <v>23.979688779012346</v>
      </c>
      <c r="N79" s="9"/>
      <c r="O79" s="21">
        <v>0.247498</v>
      </c>
      <c r="P79" s="21">
        <v>10.2927</v>
      </c>
      <c r="Q79" s="21">
        <v>-1.4919999999999999E-2</v>
      </c>
      <c r="R79" s="21">
        <v>69</v>
      </c>
      <c r="S79" s="21">
        <v>0.246979</v>
      </c>
      <c r="T79">
        <f t="shared" si="14"/>
        <v>18.41975308641975</v>
      </c>
      <c r="U79">
        <f t="shared" si="15"/>
        <v>4.5588520493827147</v>
      </c>
      <c r="X79" s="9"/>
      <c r="Y79" s="21">
        <v>1.4726300000000001</v>
      </c>
      <c r="Z79" s="21">
        <v>15.871499999999999</v>
      </c>
      <c r="AA79" s="21">
        <v>-1.3598600000000001E-2</v>
      </c>
      <c r="AB79" s="21">
        <v>69</v>
      </c>
      <c r="AC79" s="21">
        <v>1.47156</v>
      </c>
      <c r="AD79">
        <f t="shared" si="16"/>
        <v>16.788395061728394</v>
      </c>
      <c r="AE79">
        <f t="shared" si="17"/>
        <v>24.723094219753087</v>
      </c>
      <c r="AF79" s="9"/>
      <c r="AG79" s="21">
        <v>0.247498</v>
      </c>
      <c r="AH79" s="21">
        <v>19.730899999999998</v>
      </c>
      <c r="AI79" s="21">
        <v>-1.48682E-2</v>
      </c>
      <c r="AJ79" s="21">
        <v>69</v>
      </c>
      <c r="AK79" s="21">
        <v>0.246918</v>
      </c>
      <c r="AL79">
        <f t="shared" si="18"/>
        <v>18.355802469135799</v>
      </c>
      <c r="AM79">
        <f t="shared" si="19"/>
        <v>4.5430243995061721</v>
      </c>
      <c r="AP79" s="9"/>
      <c r="AQ79" s="21">
        <v>1.4726300000000001</v>
      </c>
      <c r="AR79" s="21">
        <v>25.279699999999998</v>
      </c>
      <c r="AS79" s="21">
        <v>-1.37054E-2</v>
      </c>
      <c r="AT79" s="21">
        <v>69</v>
      </c>
      <c r="AU79" s="21">
        <v>1.4718599999999999</v>
      </c>
      <c r="AV79">
        <f t="shared" si="20"/>
        <v>16.920246913580247</v>
      </c>
      <c r="AW79">
        <f t="shared" si="21"/>
        <v>24.917263212345681</v>
      </c>
      <c r="AX79" s="9"/>
      <c r="AY79" s="21">
        <v>0.247498</v>
      </c>
      <c r="AZ79" s="21">
        <v>29.139199999999999</v>
      </c>
      <c r="BA79" s="21">
        <v>-1.4865099999999999E-2</v>
      </c>
      <c r="BB79" s="21">
        <v>69</v>
      </c>
      <c r="BC79" s="21">
        <v>0.246948</v>
      </c>
      <c r="BD79">
        <f t="shared" si="22"/>
        <v>18.351975308641972</v>
      </c>
      <c r="BE79">
        <f t="shared" si="23"/>
        <v>4.5420771849382708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1.46759</v>
      </c>
      <c r="H80" s="21">
        <v>6.4432999999999998</v>
      </c>
      <c r="I80" s="21">
        <v>-1.3229400000000001E-2</v>
      </c>
      <c r="J80" s="21">
        <v>70</v>
      </c>
      <c r="K80" s="21">
        <v>1.46698</v>
      </c>
      <c r="L80">
        <f t="shared" si="12"/>
        <v>16.332592592592594</v>
      </c>
      <c r="M80">
        <f t="shared" si="13"/>
        <v>23.969549562962964</v>
      </c>
      <c r="N80" s="9"/>
      <c r="O80" s="21">
        <v>0.25253300000000001</v>
      </c>
      <c r="P80" s="21">
        <v>10.3028</v>
      </c>
      <c r="Q80" s="21">
        <v>-1.49109E-2</v>
      </c>
      <c r="R80" s="21">
        <v>70</v>
      </c>
      <c r="S80" s="21">
        <v>0.25192300000000001</v>
      </c>
      <c r="T80">
        <f t="shared" si="14"/>
        <v>18.408518518518516</v>
      </c>
      <c r="U80">
        <f t="shared" si="15"/>
        <v>4.6487584070370369</v>
      </c>
      <c r="X80" s="9"/>
      <c r="Y80" s="21">
        <v>1.46759</v>
      </c>
      <c r="Z80" s="21">
        <v>15.881500000000001</v>
      </c>
      <c r="AA80" s="21">
        <v>-1.362E-2</v>
      </c>
      <c r="AB80" s="21">
        <v>70</v>
      </c>
      <c r="AC80" s="21">
        <v>1.46698</v>
      </c>
      <c r="AD80">
        <f t="shared" si="16"/>
        <v>16.814814814814813</v>
      </c>
      <c r="AE80">
        <f t="shared" si="17"/>
        <v>24.677254074074071</v>
      </c>
      <c r="AF80" s="9"/>
      <c r="AG80" s="21">
        <v>0.25253300000000001</v>
      </c>
      <c r="AH80" s="21">
        <v>19.741</v>
      </c>
      <c r="AI80" s="21">
        <v>-1.4865099999999999E-2</v>
      </c>
      <c r="AJ80" s="21">
        <v>70</v>
      </c>
      <c r="AK80" s="21">
        <v>0.25198399999999999</v>
      </c>
      <c r="AL80">
        <f t="shared" si="18"/>
        <v>18.351975308641972</v>
      </c>
      <c r="AM80">
        <f t="shared" si="19"/>
        <v>4.6344793806172833</v>
      </c>
      <c r="AP80" s="9"/>
      <c r="AQ80" s="21">
        <v>1.46759</v>
      </c>
      <c r="AR80" s="21">
        <v>25.2898</v>
      </c>
      <c r="AS80" s="21">
        <v>-1.3736E-2</v>
      </c>
      <c r="AT80" s="21">
        <v>70</v>
      </c>
      <c r="AU80" s="21">
        <v>1.4666699999999999</v>
      </c>
      <c r="AV80">
        <f t="shared" si="20"/>
        <v>16.958024691358023</v>
      </c>
      <c r="AW80">
        <f t="shared" si="21"/>
        <v>24.887427456790121</v>
      </c>
      <c r="AX80" s="9"/>
      <c r="AY80" s="21">
        <v>0.25253300000000001</v>
      </c>
      <c r="AZ80" s="21">
        <v>29.1492</v>
      </c>
      <c r="BA80" s="21">
        <v>-1.4871199999999999E-2</v>
      </c>
      <c r="BB80" s="21">
        <v>70</v>
      </c>
      <c r="BC80" s="21">
        <v>0.25195299999999998</v>
      </c>
      <c r="BD80">
        <f t="shared" si="22"/>
        <v>18.359506172839506</v>
      </c>
      <c r="BE80">
        <f t="shared" si="23"/>
        <v>4.6363811723456791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1.46255</v>
      </c>
      <c r="H81" s="21">
        <v>6.4533800000000001</v>
      </c>
      <c r="I81" s="21">
        <v>-1.3269E-2</v>
      </c>
      <c r="J81" s="21">
        <v>71</v>
      </c>
      <c r="K81" s="21">
        <v>1.4623999999999999</v>
      </c>
      <c r="L81">
        <f t="shared" si="12"/>
        <v>16.38148148148148</v>
      </c>
      <c r="M81">
        <f t="shared" si="13"/>
        <v>23.958735740740739</v>
      </c>
      <c r="N81" s="9"/>
      <c r="O81" s="21">
        <v>0.25756800000000002</v>
      </c>
      <c r="P81" s="21">
        <v>10.312900000000001</v>
      </c>
      <c r="Q81" s="21">
        <v>-1.4907800000000001E-2</v>
      </c>
      <c r="R81" s="21">
        <v>71</v>
      </c>
      <c r="S81" s="21">
        <v>0.25698900000000002</v>
      </c>
      <c r="T81">
        <f t="shared" si="14"/>
        <v>18.404691358024692</v>
      </c>
      <c r="U81">
        <f t="shared" si="15"/>
        <v>4.7404595437037047</v>
      </c>
      <c r="X81" s="9"/>
      <c r="Y81" s="21">
        <v>1.46255</v>
      </c>
      <c r="Z81" s="21">
        <v>15.8916</v>
      </c>
      <c r="AA81" s="21">
        <v>-1.36475E-2</v>
      </c>
      <c r="AB81" s="21">
        <v>71</v>
      </c>
      <c r="AC81" s="21">
        <v>1.4623999999999999</v>
      </c>
      <c r="AD81">
        <f t="shared" si="16"/>
        <v>16.848765432098766</v>
      </c>
      <c r="AE81">
        <f t="shared" si="17"/>
        <v>24.642161882716049</v>
      </c>
      <c r="AF81" s="9"/>
      <c r="AG81" s="21">
        <v>0.25756800000000002</v>
      </c>
      <c r="AH81" s="21">
        <v>19.751100000000001</v>
      </c>
      <c r="AI81" s="21">
        <v>-1.4871199999999999E-2</v>
      </c>
      <c r="AJ81" s="21">
        <v>71</v>
      </c>
      <c r="AK81" s="21">
        <v>0.25705</v>
      </c>
      <c r="AL81">
        <f t="shared" si="18"/>
        <v>18.359506172839506</v>
      </c>
      <c r="AM81">
        <f t="shared" si="19"/>
        <v>4.7288212859259264</v>
      </c>
      <c r="AP81" s="9"/>
      <c r="AQ81" s="21">
        <v>1.46255</v>
      </c>
      <c r="AR81" s="21">
        <v>25.299800000000001</v>
      </c>
      <c r="AS81" s="21">
        <v>-1.3760400000000001E-2</v>
      </c>
      <c r="AT81" s="21">
        <v>71</v>
      </c>
      <c r="AU81" s="21">
        <v>1.4623999999999999</v>
      </c>
      <c r="AV81">
        <f t="shared" si="20"/>
        <v>16.988148148148149</v>
      </c>
      <c r="AW81">
        <f t="shared" si="21"/>
        <v>24.846016074074075</v>
      </c>
      <c r="AX81" s="9"/>
      <c r="AY81" s="21">
        <v>0.25756800000000002</v>
      </c>
      <c r="AZ81" s="21">
        <v>29.159300000000002</v>
      </c>
      <c r="BA81" s="21">
        <v>-1.48743E-2</v>
      </c>
      <c r="BB81" s="21">
        <v>71</v>
      </c>
      <c r="BC81" s="21">
        <v>0.25707999999999998</v>
      </c>
      <c r="BD81">
        <f t="shared" si="22"/>
        <v>18.363333333333333</v>
      </c>
      <c r="BE81">
        <f t="shared" si="23"/>
        <v>4.7298070400000007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1.4575199999999999</v>
      </c>
      <c r="H82" s="21">
        <v>6.4634499999999999</v>
      </c>
      <c r="I82" s="21">
        <v>-1.3296499999999999E-2</v>
      </c>
      <c r="J82" s="21">
        <v>72</v>
      </c>
      <c r="K82" s="21">
        <v>1.4569099999999999</v>
      </c>
      <c r="L82">
        <f t="shared" si="12"/>
        <v>16.415432098765429</v>
      </c>
      <c r="M82">
        <f t="shared" si="13"/>
        <v>23.925820592592586</v>
      </c>
      <c r="N82" s="9"/>
      <c r="O82" s="21">
        <v>0.262604</v>
      </c>
      <c r="P82" s="21">
        <v>10.322900000000001</v>
      </c>
      <c r="Q82" s="21">
        <v>-1.49017E-2</v>
      </c>
      <c r="R82" s="21">
        <v>72</v>
      </c>
      <c r="S82" s="21">
        <v>0.26202399999999998</v>
      </c>
      <c r="T82">
        <f t="shared" si="14"/>
        <v>18.397160493827158</v>
      </c>
      <c r="U82">
        <f t="shared" si="15"/>
        <v>4.8311679343209875</v>
      </c>
      <c r="X82" s="9"/>
      <c r="Y82" s="21">
        <v>1.4575199999999999</v>
      </c>
      <c r="Z82" s="21">
        <v>15.9017</v>
      </c>
      <c r="AA82" s="21">
        <v>-1.36688E-2</v>
      </c>
      <c r="AB82" s="21">
        <v>72</v>
      </c>
      <c r="AC82" s="21">
        <v>1.4565999999999999</v>
      </c>
      <c r="AD82">
        <f t="shared" si="16"/>
        <v>16.87506172839506</v>
      </c>
      <c r="AE82">
        <f t="shared" si="17"/>
        <v>24.595739970370367</v>
      </c>
      <c r="AF82" s="9"/>
      <c r="AG82" s="21">
        <v>0.262604</v>
      </c>
      <c r="AH82" s="21">
        <v>19.761099999999999</v>
      </c>
      <c r="AI82" s="21">
        <v>-1.4871199999999999E-2</v>
      </c>
      <c r="AJ82" s="21">
        <v>72</v>
      </c>
      <c r="AK82" s="21">
        <v>0.26199299999999998</v>
      </c>
      <c r="AL82">
        <f t="shared" si="18"/>
        <v>18.359506172839506</v>
      </c>
      <c r="AM82">
        <f t="shared" si="19"/>
        <v>4.821279759012346</v>
      </c>
      <c r="AP82" s="9"/>
      <c r="AQ82" s="21">
        <v>1.4575199999999999</v>
      </c>
      <c r="AR82" s="21">
        <v>25.309899999999999</v>
      </c>
      <c r="AS82" s="21">
        <v>-1.3781699999999999E-2</v>
      </c>
      <c r="AT82" s="21">
        <v>72</v>
      </c>
      <c r="AU82" s="21">
        <v>1.4569099999999999</v>
      </c>
      <c r="AV82">
        <f t="shared" si="20"/>
        <v>17.014444444444443</v>
      </c>
      <c r="AW82">
        <f t="shared" si="21"/>
        <v>24.798893066666665</v>
      </c>
      <c r="AX82" s="9"/>
      <c r="AY82" s="21">
        <v>0.262604</v>
      </c>
      <c r="AZ82" s="21">
        <v>29.1694</v>
      </c>
      <c r="BA82" s="21">
        <v>-1.48743E-2</v>
      </c>
      <c r="BB82" s="21">
        <v>72</v>
      </c>
      <c r="BC82" s="21">
        <v>0.261963</v>
      </c>
      <c r="BD82">
        <f t="shared" si="22"/>
        <v>18.363333333333333</v>
      </c>
      <c r="BE82">
        <f t="shared" si="23"/>
        <v>4.8222847866666667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1.45248</v>
      </c>
      <c r="H83" s="21">
        <v>6.4735199999999997</v>
      </c>
      <c r="I83" s="21">
        <v>-1.3327E-2</v>
      </c>
      <c r="J83" s="21">
        <v>73</v>
      </c>
      <c r="K83" s="21">
        <v>1.4514199999999999</v>
      </c>
      <c r="L83">
        <f t="shared" si="12"/>
        <v>16.453086419753085</v>
      </c>
      <c r="M83">
        <f t="shared" si="13"/>
        <v>23.89777896296296</v>
      </c>
      <c r="N83" s="9"/>
      <c r="O83" s="21">
        <v>0.26763900000000002</v>
      </c>
      <c r="P83" s="21">
        <v>10.333</v>
      </c>
      <c r="Q83" s="21">
        <v>-1.49017E-2</v>
      </c>
      <c r="R83" s="21">
        <v>73</v>
      </c>
      <c r="S83" s="21">
        <v>0.26705899999999999</v>
      </c>
      <c r="T83">
        <f t="shared" si="14"/>
        <v>18.397160493827158</v>
      </c>
      <c r="U83">
        <f t="shared" si="15"/>
        <v>4.9237976374074073</v>
      </c>
      <c r="X83" s="9"/>
      <c r="Y83" s="21">
        <v>1.45248</v>
      </c>
      <c r="Z83" s="21">
        <v>15.9117</v>
      </c>
      <c r="AA83" s="21">
        <v>-1.36963E-2</v>
      </c>
      <c r="AB83" s="21">
        <v>73</v>
      </c>
      <c r="AC83" s="21">
        <v>1.4517199999999999</v>
      </c>
      <c r="AD83">
        <f t="shared" si="16"/>
        <v>16.90901234567901</v>
      </c>
      <c r="AE83">
        <f t="shared" si="17"/>
        <v>24.560002251851849</v>
      </c>
      <c r="AF83" s="9"/>
      <c r="AG83" s="21">
        <v>0.26763900000000002</v>
      </c>
      <c r="AH83" s="21">
        <v>19.7712</v>
      </c>
      <c r="AI83" s="21">
        <v>-1.48682E-2</v>
      </c>
      <c r="AJ83" s="21">
        <v>73</v>
      </c>
      <c r="AK83" s="21">
        <v>0.26712000000000002</v>
      </c>
      <c r="AL83">
        <f t="shared" si="18"/>
        <v>18.355802469135799</v>
      </c>
      <c r="AM83">
        <f t="shared" si="19"/>
        <v>4.9127286170370361</v>
      </c>
      <c r="AP83" s="9"/>
      <c r="AQ83" s="21">
        <v>1.45248</v>
      </c>
      <c r="AR83" s="21">
        <v>25.32</v>
      </c>
      <c r="AS83" s="21">
        <v>-1.37909E-2</v>
      </c>
      <c r="AT83" s="21">
        <v>73</v>
      </c>
      <c r="AU83" s="21">
        <v>1.4514199999999999</v>
      </c>
      <c r="AV83">
        <f t="shared" si="20"/>
        <v>17.025802469135801</v>
      </c>
      <c r="AW83">
        <f t="shared" si="21"/>
        <v>24.729637570370368</v>
      </c>
      <c r="AX83" s="9"/>
      <c r="AY83" s="21">
        <v>0.26763900000000002</v>
      </c>
      <c r="AZ83" s="21">
        <v>29.179400000000001</v>
      </c>
      <c r="BA83" s="21">
        <v>-1.4871199999999999E-2</v>
      </c>
      <c r="BB83" s="21">
        <v>73</v>
      </c>
      <c r="BC83" s="21">
        <v>0.26705899999999999</v>
      </c>
      <c r="BD83">
        <f t="shared" si="22"/>
        <v>18.359506172839506</v>
      </c>
      <c r="BE83">
        <f t="shared" si="23"/>
        <v>4.9137198725925932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1.4474499999999999</v>
      </c>
      <c r="H84" s="21">
        <v>6.4835900000000004</v>
      </c>
      <c r="I84" s="21">
        <v>-1.3351399999999999E-2</v>
      </c>
      <c r="J84" s="21">
        <v>74</v>
      </c>
      <c r="K84" s="21">
        <v>1.4462299999999999</v>
      </c>
      <c r="L84">
        <f t="shared" si="12"/>
        <v>16.483209876543206</v>
      </c>
      <c r="M84">
        <f t="shared" si="13"/>
        <v>23.858622135802463</v>
      </c>
      <c r="N84" s="9"/>
      <c r="O84" s="21">
        <v>0.272675</v>
      </c>
      <c r="P84" s="21">
        <v>10.3431</v>
      </c>
      <c r="Q84" s="21">
        <v>-1.4892600000000001E-2</v>
      </c>
      <c r="R84" s="21">
        <v>74</v>
      </c>
      <c r="S84" s="21">
        <v>0.272034</v>
      </c>
      <c r="T84">
        <f t="shared" si="14"/>
        <v>18.385925925925928</v>
      </c>
      <c r="U84">
        <f t="shared" si="15"/>
        <v>5.0133823518518525</v>
      </c>
      <c r="X84" s="9"/>
      <c r="Y84" s="21">
        <v>1.4474499999999999</v>
      </c>
      <c r="Z84" s="21">
        <v>15.921799999999999</v>
      </c>
      <c r="AA84" s="21">
        <v>-1.37238E-2</v>
      </c>
      <c r="AB84" s="21">
        <v>74</v>
      </c>
      <c r="AC84" s="21">
        <v>1.4468399999999999</v>
      </c>
      <c r="AD84">
        <f t="shared" si="16"/>
        <v>16.942962962962962</v>
      </c>
      <c r="AE84">
        <f t="shared" si="17"/>
        <v>24.524091740740737</v>
      </c>
      <c r="AF84" s="9"/>
      <c r="AG84" s="21">
        <v>0.272675</v>
      </c>
      <c r="AH84" s="21">
        <v>19.781300000000002</v>
      </c>
      <c r="AI84" s="21">
        <v>-1.48682E-2</v>
      </c>
      <c r="AJ84" s="21">
        <v>74</v>
      </c>
      <c r="AK84" s="21">
        <v>0.27218599999999998</v>
      </c>
      <c r="AL84">
        <f t="shared" si="18"/>
        <v>18.355802469135799</v>
      </c>
      <c r="AM84">
        <f t="shared" si="19"/>
        <v>5.0051684382716042</v>
      </c>
      <c r="AP84" s="9"/>
      <c r="AQ84" s="21">
        <v>1.4474499999999999</v>
      </c>
      <c r="AR84" s="21">
        <v>25.33</v>
      </c>
      <c r="AS84" s="21">
        <v>-1.3809200000000001E-2</v>
      </c>
      <c r="AT84" s="21">
        <v>74</v>
      </c>
      <c r="AU84" s="21">
        <v>1.4471400000000001</v>
      </c>
      <c r="AV84">
        <f t="shared" si="20"/>
        <v>17.048395061728392</v>
      </c>
      <c r="AW84">
        <f t="shared" si="21"/>
        <v>24.676699432098761</v>
      </c>
      <c r="AX84" s="9"/>
      <c r="AY84" s="21">
        <v>0.272675</v>
      </c>
      <c r="AZ84" s="21">
        <v>29.189499999999999</v>
      </c>
      <c r="BA84" s="21">
        <v>-1.48682E-2</v>
      </c>
      <c r="BB84" s="21">
        <v>74</v>
      </c>
      <c r="BC84" s="21">
        <v>0.27200299999999999</v>
      </c>
      <c r="BD84">
        <f t="shared" si="22"/>
        <v>18.355802469135799</v>
      </c>
      <c r="BE84">
        <f t="shared" si="23"/>
        <v>5.0051684382716042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1.44241</v>
      </c>
      <c r="H85" s="21">
        <v>6.4936600000000002</v>
      </c>
      <c r="I85" s="21">
        <v>-1.3384999999999999E-2</v>
      </c>
      <c r="J85" s="21">
        <v>75</v>
      </c>
      <c r="K85" s="21">
        <v>1.4413499999999999</v>
      </c>
      <c r="L85">
        <f t="shared" si="12"/>
        <v>16.52469135802469</v>
      </c>
      <c r="M85">
        <f t="shared" si="13"/>
        <v>23.835380061728394</v>
      </c>
      <c r="N85" s="9"/>
      <c r="O85" s="21">
        <v>0.27771000000000001</v>
      </c>
      <c r="P85" s="21">
        <v>10.3531</v>
      </c>
      <c r="Q85" s="21">
        <v>-1.48865E-2</v>
      </c>
      <c r="R85" s="21">
        <v>75</v>
      </c>
      <c r="S85" s="21">
        <v>0.27716099999999999</v>
      </c>
      <c r="T85">
        <f t="shared" si="14"/>
        <v>18.378395061728394</v>
      </c>
      <c r="U85">
        <f t="shared" si="15"/>
        <v>5.1038640925925929</v>
      </c>
      <c r="X85" s="9"/>
      <c r="Y85" s="21">
        <v>1.44241</v>
      </c>
      <c r="Z85" s="21">
        <v>15.931900000000001</v>
      </c>
      <c r="AA85" s="21">
        <v>-1.37482E-2</v>
      </c>
      <c r="AB85" s="21">
        <v>75</v>
      </c>
      <c r="AC85" s="21">
        <v>1.4416500000000001</v>
      </c>
      <c r="AD85">
        <f t="shared" si="16"/>
        <v>16.973086419753084</v>
      </c>
      <c r="AE85">
        <f t="shared" si="17"/>
        <v>24.482149582716044</v>
      </c>
      <c r="AF85" s="9"/>
      <c r="AG85" s="21">
        <v>0.27771000000000001</v>
      </c>
      <c r="AH85" s="21">
        <v>19.791399999999999</v>
      </c>
      <c r="AI85" s="21">
        <v>-1.4871199999999999E-2</v>
      </c>
      <c r="AJ85" s="21">
        <v>75</v>
      </c>
      <c r="AK85" s="21">
        <v>0.27716099999999999</v>
      </c>
      <c r="AL85">
        <f t="shared" si="18"/>
        <v>18.359506172839506</v>
      </c>
      <c r="AM85">
        <f t="shared" si="19"/>
        <v>5.0986184592592592</v>
      </c>
      <c r="AP85" s="9"/>
      <c r="AQ85" s="21">
        <v>1.44241</v>
      </c>
      <c r="AR85" s="21">
        <v>25.3401</v>
      </c>
      <c r="AS85" s="21">
        <v>-1.38275E-2</v>
      </c>
      <c r="AT85" s="21">
        <v>75</v>
      </c>
      <c r="AU85" s="21">
        <v>1.4413499999999999</v>
      </c>
      <c r="AV85">
        <f t="shared" si="20"/>
        <v>17.070987654320987</v>
      </c>
      <c r="AW85">
        <f t="shared" si="21"/>
        <v>24.623363302469134</v>
      </c>
      <c r="AX85" s="9"/>
      <c r="AY85" s="21">
        <v>0.27771000000000001</v>
      </c>
      <c r="AZ85" s="21">
        <v>29.1996</v>
      </c>
      <c r="BA85" s="21">
        <v>-1.4855999999999999E-2</v>
      </c>
      <c r="BB85" s="21">
        <v>75</v>
      </c>
      <c r="BC85" s="21">
        <v>0.27716099999999999</v>
      </c>
      <c r="BD85">
        <f t="shared" si="22"/>
        <v>18.340740740740738</v>
      </c>
      <c r="BE85">
        <f t="shared" si="23"/>
        <v>5.0934071111111106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1.4373800000000001</v>
      </c>
      <c r="H86" s="21">
        <v>6.50373</v>
      </c>
      <c r="I86" s="21">
        <v>-1.34033E-2</v>
      </c>
      <c r="J86" s="21">
        <v>76</v>
      </c>
      <c r="K86" s="21">
        <v>1.4367700000000001</v>
      </c>
      <c r="L86">
        <f t="shared" si="12"/>
        <v>16.547283950617281</v>
      </c>
      <c r="M86">
        <f t="shared" si="13"/>
        <v>23.78473500493827</v>
      </c>
      <c r="N86" s="9"/>
      <c r="O86" s="21">
        <v>0.28274500000000002</v>
      </c>
      <c r="P86" s="21">
        <v>10.363200000000001</v>
      </c>
      <c r="Q86" s="21">
        <v>-1.48834E-2</v>
      </c>
      <c r="R86" s="21">
        <v>76</v>
      </c>
      <c r="S86" s="21">
        <v>0.28213500000000002</v>
      </c>
      <c r="T86">
        <f t="shared" si="14"/>
        <v>18.374567901234567</v>
      </c>
      <c r="U86">
        <f t="shared" si="15"/>
        <v>5.1953172012345679</v>
      </c>
      <c r="X86" s="9"/>
      <c r="Y86" s="21">
        <v>1.4373800000000001</v>
      </c>
      <c r="Z86" s="21">
        <v>15.942</v>
      </c>
      <c r="AA86" s="21">
        <v>-1.3760400000000001E-2</v>
      </c>
      <c r="AB86" s="21">
        <v>76</v>
      </c>
      <c r="AC86" s="21">
        <v>1.4361600000000001</v>
      </c>
      <c r="AD86">
        <f t="shared" si="16"/>
        <v>16.988148148148149</v>
      </c>
      <c r="AE86">
        <f t="shared" si="17"/>
        <v>24.418424385185187</v>
      </c>
      <c r="AF86" s="9"/>
      <c r="AG86" s="21">
        <v>0.28274500000000002</v>
      </c>
      <c r="AH86" s="21">
        <v>19.801400000000001</v>
      </c>
      <c r="AI86" s="21">
        <v>-1.4871199999999999E-2</v>
      </c>
      <c r="AJ86" s="21">
        <v>76</v>
      </c>
      <c r="AK86" s="21">
        <v>0.28213500000000002</v>
      </c>
      <c r="AL86">
        <f t="shared" si="18"/>
        <v>18.359506172839506</v>
      </c>
      <c r="AM86">
        <f t="shared" si="19"/>
        <v>5.1910585728395064</v>
      </c>
      <c r="AP86" s="9"/>
      <c r="AQ86" s="21">
        <v>1.4373800000000001</v>
      </c>
      <c r="AR86" s="21">
        <v>25.350200000000001</v>
      </c>
      <c r="AS86" s="21">
        <v>-1.38519E-2</v>
      </c>
      <c r="AT86" s="21">
        <v>76</v>
      </c>
      <c r="AU86" s="21">
        <v>1.4370700000000001</v>
      </c>
      <c r="AV86">
        <f t="shared" si="20"/>
        <v>17.101111111111113</v>
      </c>
      <c r="AW86">
        <f t="shared" si="21"/>
        <v>24.580795088888895</v>
      </c>
      <c r="AX86" s="9"/>
      <c r="AY86" s="21">
        <v>0.28274500000000002</v>
      </c>
      <c r="AZ86" s="21">
        <v>29.209599999999998</v>
      </c>
      <c r="BA86" s="21">
        <v>-1.4843800000000001E-2</v>
      </c>
      <c r="BB86" s="21">
        <v>76</v>
      </c>
      <c r="BC86" s="21">
        <v>0.28216599999999997</v>
      </c>
      <c r="BD86">
        <f t="shared" si="22"/>
        <v>18.325679012345677</v>
      </c>
      <c r="BE86">
        <f t="shared" si="23"/>
        <v>5.1814941123456792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1.4323399999999999</v>
      </c>
      <c r="H87" s="21">
        <v>6.5137999999999998</v>
      </c>
      <c r="I87" s="21">
        <v>-1.3418599999999999E-2</v>
      </c>
      <c r="J87" s="21">
        <v>77</v>
      </c>
      <c r="K87" s="21">
        <v>1.43127</v>
      </c>
      <c r="L87">
        <f t="shared" si="12"/>
        <v>16.566172839506169</v>
      </c>
      <c r="M87">
        <f t="shared" si="13"/>
        <v>23.728392004938264</v>
      </c>
      <c r="N87" s="9"/>
      <c r="O87" s="21">
        <v>0.28778100000000001</v>
      </c>
      <c r="P87" s="21">
        <v>10.3733</v>
      </c>
      <c r="Q87" s="21">
        <v>-1.48865E-2</v>
      </c>
      <c r="R87" s="21">
        <v>77</v>
      </c>
      <c r="S87" s="21">
        <v>0.28716999999999998</v>
      </c>
      <c r="T87">
        <f t="shared" si="14"/>
        <v>18.378395061728394</v>
      </c>
      <c r="U87">
        <f t="shared" si="15"/>
        <v>5.2889529092592591</v>
      </c>
      <c r="X87" s="9"/>
      <c r="Y87" s="21">
        <v>1.4323399999999999</v>
      </c>
      <c r="Z87" s="21">
        <v>15.952</v>
      </c>
      <c r="AA87" s="21">
        <v>-1.3775600000000001E-2</v>
      </c>
      <c r="AB87" s="21">
        <v>77</v>
      </c>
      <c r="AC87" s="21">
        <v>1.43188</v>
      </c>
      <c r="AD87">
        <f t="shared" si="16"/>
        <v>17.006913580246916</v>
      </c>
      <c r="AE87">
        <f t="shared" si="17"/>
        <v>24.359682597530867</v>
      </c>
      <c r="AF87" s="9"/>
      <c r="AG87" s="21">
        <v>0.28778100000000001</v>
      </c>
      <c r="AH87" s="21">
        <v>19.811499999999999</v>
      </c>
      <c r="AI87" s="21">
        <v>-1.48743E-2</v>
      </c>
      <c r="AJ87" s="21">
        <v>77</v>
      </c>
      <c r="AK87" s="21">
        <v>0.28716999999999998</v>
      </c>
      <c r="AL87">
        <f t="shared" si="18"/>
        <v>18.363333333333333</v>
      </c>
      <c r="AM87">
        <f t="shared" si="19"/>
        <v>5.2846184300000001</v>
      </c>
      <c r="AP87" s="9"/>
      <c r="AQ87" s="21">
        <v>1.4323399999999999</v>
      </c>
      <c r="AR87" s="21">
        <v>25.360199999999999</v>
      </c>
      <c r="AS87" s="21">
        <v>-1.3870199999999999E-2</v>
      </c>
      <c r="AT87" s="21">
        <v>77</v>
      </c>
      <c r="AU87" s="21">
        <v>1.4315800000000001</v>
      </c>
      <c r="AV87">
        <f t="shared" si="20"/>
        <v>17.123703703703701</v>
      </c>
      <c r="AW87">
        <f t="shared" si="21"/>
        <v>24.526965762962959</v>
      </c>
      <c r="AX87" s="9"/>
      <c r="AY87" s="21">
        <v>0.28778100000000001</v>
      </c>
      <c r="AZ87" s="21">
        <v>29.2197</v>
      </c>
      <c r="BA87" s="21">
        <v>-1.48285E-2</v>
      </c>
      <c r="BB87" s="21">
        <v>77</v>
      </c>
      <c r="BC87" s="21">
        <v>0.28716999999999998</v>
      </c>
      <c r="BD87">
        <f t="shared" si="22"/>
        <v>18.306790123456789</v>
      </c>
      <c r="BE87">
        <f t="shared" si="23"/>
        <v>5.2683463685185181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1.4273100000000001</v>
      </c>
      <c r="H88" s="21">
        <v>6.5238699999999996</v>
      </c>
      <c r="I88" s="21">
        <v>-1.3427700000000001E-2</v>
      </c>
      <c r="J88" s="21">
        <v>78</v>
      </c>
      <c r="K88" s="21">
        <v>1.42639</v>
      </c>
      <c r="L88">
        <f t="shared" si="12"/>
        <v>16.57740740740741</v>
      </c>
      <c r="M88">
        <f t="shared" si="13"/>
        <v>23.661099366666672</v>
      </c>
      <c r="N88" s="9"/>
      <c r="O88" s="21">
        <v>0.29281600000000002</v>
      </c>
      <c r="P88" s="21">
        <v>10.3833</v>
      </c>
      <c r="Q88" s="21">
        <v>-1.48956E-2</v>
      </c>
      <c r="R88" s="21">
        <v>78</v>
      </c>
      <c r="S88" s="21">
        <v>0.29217500000000002</v>
      </c>
      <c r="T88">
        <f t="shared" si="14"/>
        <v>18.389629629629628</v>
      </c>
      <c r="U88">
        <f t="shared" si="15"/>
        <v>5.3847777896296298</v>
      </c>
      <c r="X88" s="9"/>
      <c r="Y88" s="21">
        <v>1.4273100000000001</v>
      </c>
      <c r="Z88" s="21">
        <v>15.9621</v>
      </c>
      <c r="AA88" s="21">
        <v>-1.3787799999999999E-2</v>
      </c>
      <c r="AB88" s="21">
        <v>78</v>
      </c>
      <c r="AC88" s="21">
        <v>1.427</v>
      </c>
      <c r="AD88">
        <f t="shared" si="16"/>
        <v>17.021975308641974</v>
      </c>
      <c r="AE88">
        <f t="shared" si="17"/>
        <v>24.295635577777777</v>
      </c>
      <c r="AF88" s="9"/>
      <c r="AG88" s="21">
        <v>0.29281600000000002</v>
      </c>
      <c r="AH88" s="21">
        <v>19.8216</v>
      </c>
      <c r="AI88" s="21">
        <v>-1.4871199999999999E-2</v>
      </c>
      <c r="AJ88" s="21">
        <v>78</v>
      </c>
      <c r="AK88" s="21">
        <v>0.29229699999999997</v>
      </c>
      <c r="AL88">
        <f t="shared" si="18"/>
        <v>18.359506172839506</v>
      </c>
      <c r="AM88">
        <f t="shared" si="19"/>
        <v>5.3759571595061733</v>
      </c>
      <c r="AP88" s="9"/>
      <c r="AQ88" s="21">
        <v>1.4273100000000001</v>
      </c>
      <c r="AR88" s="21">
        <v>25.3703</v>
      </c>
      <c r="AS88" s="21">
        <v>-1.38916E-2</v>
      </c>
      <c r="AT88" s="21">
        <v>78</v>
      </c>
      <c r="AU88" s="21">
        <v>1.4267000000000001</v>
      </c>
      <c r="AV88">
        <f t="shared" si="20"/>
        <v>17.150123456790123</v>
      </c>
      <c r="AW88">
        <f t="shared" si="21"/>
        <v>24.47854271111111</v>
      </c>
      <c r="AX88" s="9"/>
      <c r="AY88" s="21">
        <v>0.29281600000000002</v>
      </c>
      <c r="AZ88" s="21">
        <v>29.229800000000001</v>
      </c>
      <c r="BA88" s="21">
        <v>-1.48285E-2</v>
      </c>
      <c r="BB88" s="21">
        <v>78</v>
      </c>
      <c r="BC88" s="21">
        <v>0.292267</v>
      </c>
      <c r="BD88">
        <f t="shared" si="22"/>
        <v>18.306790123456789</v>
      </c>
      <c r="BE88">
        <f t="shared" si="23"/>
        <v>5.3605210567901231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1.4222699999999999</v>
      </c>
      <c r="H89" s="21">
        <v>6.5339400000000003</v>
      </c>
      <c r="I89" s="21">
        <v>-1.3439899999999999E-2</v>
      </c>
      <c r="J89" s="21">
        <v>79</v>
      </c>
      <c r="K89" s="21">
        <v>1.4212</v>
      </c>
      <c r="L89">
        <f t="shared" si="12"/>
        <v>16.592469135802467</v>
      </c>
      <c r="M89">
        <f t="shared" si="13"/>
        <v>23.598971077777772</v>
      </c>
      <c r="N89" s="9"/>
      <c r="O89" s="21">
        <v>0.29785200000000001</v>
      </c>
      <c r="P89" s="21">
        <v>10.3934</v>
      </c>
      <c r="Q89" s="21">
        <v>-1.4904799999999999E-2</v>
      </c>
      <c r="R89" s="21">
        <v>79</v>
      </c>
      <c r="S89" s="21">
        <v>0.29727199999999998</v>
      </c>
      <c r="T89">
        <f t="shared" si="14"/>
        <v>18.400987654320986</v>
      </c>
      <c r="U89">
        <f t="shared" si="15"/>
        <v>5.4807709748148143</v>
      </c>
      <c r="X89" s="9"/>
      <c r="Y89" s="21">
        <v>1.4222699999999999</v>
      </c>
      <c r="Z89" s="21">
        <v>15.972200000000001</v>
      </c>
      <c r="AA89" s="21">
        <v>-1.3806199999999999E-2</v>
      </c>
      <c r="AB89" s="21">
        <v>79</v>
      </c>
      <c r="AC89" s="21">
        <v>1.4212</v>
      </c>
      <c r="AD89">
        <f t="shared" si="16"/>
        <v>17.044691358024689</v>
      </c>
      <c r="AE89">
        <f t="shared" si="17"/>
        <v>24.242153177777773</v>
      </c>
      <c r="AF89" s="9"/>
      <c r="AG89" s="21">
        <v>0.29785200000000001</v>
      </c>
      <c r="AH89" s="21">
        <v>19.831600000000002</v>
      </c>
      <c r="AI89" s="21">
        <v>-1.4859000000000001E-2</v>
      </c>
      <c r="AJ89" s="21">
        <v>79</v>
      </c>
      <c r="AK89" s="21">
        <v>0.29736299999999999</v>
      </c>
      <c r="AL89">
        <f t="shared" si="18"/>
        <v>18.344444444444445</v>
      </c>
      <c r="AM89">
        <f t="shared" si="19"/>
        <v>5.4639294666666673</v>
      </c>
      <c r="AP89" s="9"/>
      <c r="AQ89" s="21">
        <v>1.4222699999999999</v>
      </c>
      <c r="AR89" s="21">
        <v>25.380400000000002</v>
      </c>
      <c r="AS89" s="21">
        <v>-1.3916E-2</v>
      </c>
      <c r="AT89" s="21">
        <v>79</v>
      </c>
      <c r="AU89" s="21">
        <v>1.4209000000000001</v>
      </c>
      <c r="AV89">
        <f t="shared" si="20"/>
        <v>17.180246913580245</v>
      </c>
      <c r="AW89">
        <f t="shared" si="21"/>
        <v>24.434949777777774</v>
      </c>
      <c r="AX89" s="9"/>
      <c r="AY89" s="21">
        <v>0.29785200000000001</v>
      </c>
      <c r="AZ89" s="21">
        <v>29.239899999999999</v>
      </c>
      <c r="BA89" s="21">
        <v>-1.4822399999999999E-2</v>
      </c>
      <c r="BB89" s="21">
        <v>79</v>
      </c>
      <c r="BC89" s="21">
        <v>0.29705799999999999</v>
      </c>
      <c r="BD89">
        <f t="shared" si="22"/>
        <v>18.299259259259259</v>
      </c>
      <c r="BE89">
        <f t="shared" si="23"/>
        <v>5.4504709688888884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1.4172400000000001</v>
      </c>
      <c r="H90" s="21">
        <v>6.5440100000000001</v>
      </c>
      <c r="I90" s="21">
        <v>-1.3467399999999999E-2</v>
      </c>
      <c r="J90" s="21">
        <v>80</v>
      </c>
      <c r="K90" s="21">
        <v>1.4166300000000001</v>
      </c>
      <c r="L90">
        <f t="shared" si="12"/>
        <v>16.626419753086417</v>
      </c>
      <c r="M90">
        <f t="shared" si="13"/>
        <v>23.563627130864194</v>
      </c>
      <c r="N90" s="9"/>
      <c r="O90" s="21">
        <v>0.30288700000000002</v>
      </c>
      <c r="P90" s="21">
        <v>10.403499999999999</v>
      </c>
      <c r="Q90" s="21">
        <v>-1.49109E-2</v>
      </c>
      <c r="R90" s="21">
        <v>80</v>
      </c>
      <c r="S90" s="21">
        <v>0.30227700000000002</v>
      </c>
      <c r="T90">
        <f t="shared" si="14"/>
        <v>18.408518518518516</v>
      </c>
      <c r="U90">
        <f t="shared" si="15"/>
        <v>5.5757009485185183</v>
      </c>
      <c r="X90" s="9"/>
      <c r="Y90" s="21">
        <v>1.4172400000000001</v>
      </c>
      <c r="Z90" s="21">
        <v>15.982200000000001</v>
      </c>
      <c r="AA90" s="21">
        <v>-1.38245E-2</v>
      </c>
      <c r="AB90" s="21">
        <v>80</v>
      </c>
      <c r="AC90" s="21">
        <v>1.41632</v>
      </c>
      <c r="AD90">
        <f t="shared" si="16"/>
        <v>17.067283950617281</v>
      </c>
      <c r="AE90">
        <f t="shared" si="17"/>
        <v>24.188437506172836</v>
      </c>
      <c r="AF90" s="9"/>
      <c r="AG90" s="21">
        <v>0.30288700000000002</v>
      </c>
      <c r="AH90" s="21">
        <v>19.841699999999999</v>
      </c>
      <c r="AI90" s="21">
        <v>-1.48407E-2</v>
      </c>
      <c r="AJ90" s="21">
        <v>80</v>
      </c>
      <c r="AK90" s="21">
        <v>0.30246000000000001</v>
      </c>
      <c r="AL90">
        <f t="shared" si="18"/>
        <v>18.32185185185185</v>
      </c>
      <c r="AM90">
        <f t="shared" si="19"/>
        <v>5.5494507418518513</v>
      </c>
      <c r="AP90" s="9"/>
      <c r="AQ90" s="21">
        <v>1.4172400000000001</v>
      </c>
      <c r="AR90" s="21">
        <v>25.390499999999999</v>
      </c>
      <c r="AS90" s="21">
        <v>-1.39343E-2</v>
      </c>
      <c r="AT90" s="21">
        <v>80</v>
      </c>
      <c r="AU90" s="21">
        <v>1.4166300000000001</v>
      </c>
      <c r="AV90">
        <f t="shared" si="20"/>
        <v>17.202839506172836</v>
      </c>
      <c r="AW90">
        <f t="shared" si="21"/>
        <v>24.38055226172839</v>
      </c>
      <c r="AX90" s="9"/>
      <c r="AY90" s="21">
        <v>0.30288700000000002</v>
      </c>
      <c r="AZ90" s="21">
        <v>29.2499</v>
      </c>
      <c r="BA90" s="21">
        <v>-1.4822399999999999E-2</v>
      </c>
      <c r="BB90" s="21">
        <v>80</v>
      </c>
      <c r="BC90" s="21">
        <v>0.30230699999999999</v>
      </c>
      <c r="BD90">
        <f t="shared" si="22"/>
        <v>18.299259259259259</v>
      </c>
      <c r="BE90">
        <f t="shared" si="23"/>
        <v>5.5426077392592594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1.4121999999999999</v>
      </c>
      <c r="H91" s="21">
        <v>6.5540900000000004</v>
      </c>
      <c r="I91" s="21">
        <v>-1.3501000000000001E-2</v>
      </c>
      <c r="J91" s="21">
        <v>81</v>
      </c>
      <c r="K91" s="21">
        <v>1.41144</v>
      </c>
      <c r="L91">
        <f t="shared" si="12"/>
        <v>16.667901234567903</v>
      </c>
      <c r="M91">
        <f t="shared" si="13"/>
        <v>23.538410123456792</v>
      </c>
      <c r="N91" s="9"/>
      <c r="O91" s="21">
        <v>0.30792199999999997</v>
      </c>
      <c r="P91" s="21">
        <v>10.413600000000001</v>
      </c>
      <c r="Q91" s="21">
        <v>-1.49109E-2</v>
      </c>
      <c r="R91" s="21">
        <v>81</v>
      </c>
      <c r="S91" s="21">
        <v>0.30731199999999997</v>
      </c>
      <c r="T91">
        <f t="shared" si="14"/>
        <v>18.408518518518516</v>
      </c>
      <c r="U91">
        <f t="shared" si="15"/>
        <v>5.6683878392592577</v>
      </c>
      <c r="X91" s="9"/>
      <c r="Y91" s="21">
        <v>1.4121999999999999</v>
      </c>
      <c r="Z91" s="21">
        <v>15.9923</v>
      </c>
      <c r="AA91" s="21">
        <v>-1.3848900000000001E-2</v>
      </c>
      <c r="AB91" s="21">
        <v>81</v>
      </c>
      <c r="AC91" s="21">
        <v>1.41205</v>
      </c>
      <c r="AD91">
        <f t="shared" si="16"/>
        <v>17.09740740740741</v>
      </c>
      <c r="AE91">
        <f t="shared" si="17"/>
        <v>24.144958740740741</v>
      </c>
      <c r="AF91" s="9"/>
      <c r="AG91" s="21">
        <v>0.30792199999999997</v>
      </c>
      <c r="AH91" s="21">
        <v>19.851800000000001</v>
      </c>
      <c r="AI91" s="21">
        <v>-1.48285E-2</v>
      </c>
      <c r="AJ91" s="21">
        <v>81</v>
      </c>
      <c r="AK91" s="21">
        <v>0.30734299999999998</v>
      </c>
      <c r="AL91">
        <f t="shared" si="18"/>
        <v>18.306790123456789</v>
      </c>
      <c r="AM91">
        <f t="shared" si="19"/>
        <v>5.6370634283950611</v>
      </c>
      <c r="AP91" s="9"/>
      <c r="AQ91" s="21">
        <v>1.4121999999999999</v>
      </c>
      <c r="AR91" s="21">
        <v>25.400500000000001</v>
      </c>
      <c r="AS91" s="21">
        <v>-1.3952600000000001E-2</v>
      </c>
      <c r="AT91" s="21">
        <v>81</v>
      </c>
      <c r="AU91" s="21">
        <v>1.41174</v>
      </c>
      <c r="AV91">
        <f t="shared" si="20"/>
        <v>17.225432098765431</v>
      </c>
      <c r="AW91">
        <f t="shared" si="21"/>
        <v>24.32575520987654</v>
      </c>
      <c r="AX91" s="9"/>
      <c r="AY91" s="21">
        <v>0.30792199999999997</v>
      </c>
      <c r="AZ91" s="21">
        <v>29.26</v>
      </c>
      <c r="BA91" s="21">
        <v>-1.4822399999999999E-2</v>
      </c>
      <c r="BB91" s="21">
        <v>81</v>
      </c>
      <c r="BC91" s="21">
        <v>0.30731199999999997</v>
      </c>
      <c r="BD91">
        <f t="shared" si="22"/>
        <v>18.299259259259259</v>
      </c>
      <c r="BE91">
        <f t="shared" si="23"/>
        <v>5.6347445096296287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1.40717</v>
      </c>
      <c r="H92" s="21">
        <v>6.5641600000000002</v>
      </c>
      <c r="I92" s="21">
        <v>-1.35315E-2</v>
      </c>
      <c r="J92" s="21">
        <v>82</v>
      </c>
      <c r="K92" s="21">
        <v>1.40625</v>
      </c>
      <c r="L92">
        <f t="shared" si="12"/>
        <v>16.705555555555552</v>
      </c>
      <c r="M92">
        <f t="shared" si="13"/>
        <v>23.507556611111106</v>
      </c>
      <c r="N92" s="9"/>
      <c r="O92" s="21">
        <v>0.31295800000000001</v>
      </c>
      <c r="P92" s="21">
        <v>10.4236</v>
      </c>
      <c r="Q92" s="21">
        <v>-1.4907800000000001E-2</v>
      </c>
      <c r="R92" s="21">
        <v>82</v>
      </c>
      <c r="S92" s="21">
        <v>0.31237799999999999</v>
      </c>
      <c r="T92">
        <f t="shared" si="14"/>
        <v>18.404691358024692</v>
      </c>
      <c r="U92">
        <f t="shared" si="15"/>
        <v>5.7598953980246916</v>
      </c>
      <c r="X92" s="9"/>
      <c r="Y92" s="21">
        <v>1.40717</v>
      </c>
      <c r="Z92" s="21">
        <v>16.002400000000002</v>
      </c>
      <c r="AA92" s="21">
        <v>-1.38733E-2</v>
      </c>
      <c r="AB92" s="21">
        <v>82</v>
      </c>
      <c r="AC92" s="21">
        <v>1.40656</v>
      </c>
      <c r="AD92">
        <f t="shared" si="16"/>
        <v>17.127530864197528</v>
      </c>
      <c r="AE92">
        <f t="shared" si="17"/>
        <v>24.101347606172837</v>
      </c>
      <c r="AF92" s="9"/>
      <c r="AG92" s="21">
        <v>0.31295800000000001</v>
      </c>
      <c r="AH92" s="21">
        <v>19.861799999999999</v>
      </c>
      <c r="AI92" s="21">
        <v>-1.4822399999999999E-2</v>
      </c>
      <c r="AJ92" s="21">
        <v>82</v>
      </c>
      <c r="AK92" s="21">
        <v>0.31243900000000002</v>
      </c>
      <c r="AL92">
        <f t="shared" si="18"/>
        <v>18.299259259259259</v>
      </c>
      <c r="AM92">
        <f t="shared" si="19"/>
        <v>5.7268995792592596</v>
      </c>
      <c r="AP92" s="9"/>
      <c r="AQ92" s="21">
        <v>1.40717</v>
      </c>
      <c r="AR92" s="21">
        <v>25.410599999999999</v>
      </c>
      <c r="AS92" s="21">
        <v>-1.39709E-2</v>
      </c>
      <c r="AT92" s="21">
        <v>82</v>
      </c>
      <c r="AU92" s="21">
        <v>1.40656</v>
      </c>
      <c r="AV92">
        <f t="shared" si="20"/>
        <v>17.248024691358022</v>
      </c>
      <c r="AW92">
        <f t="shared" si="21"/>
        <v>24.270902904938268</v>
      </c>
      <c r="AX92" s="9"/>
      <c r="AY92" s="21">
        <v>0.31295800000000001</v>
      </c>
      <c r="AZ92" s="21">
        <v>29.270099999999999</v>
      </c>
      <c r="BA92" s="21">
        <v>-1.48285E-2</v>
      </c>
      <c r="BB92" s="21">
        <v>82</v>
      </c>
      <c r="BC92" s="21">
        <v>0.31228600000000001</v>
      </c>
      <c r="BD92">
        <f t="shared" si="22"/>
        <v>18.306790123456789</v>
      </c>
      <c r="BE92">
        <f t="shared" si="23"/>
        <v>5.72925642345679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1.4021300000000001</v>
      </c>
      <c r="H93" s="21">
        <v>6.57423</v>
      </c>
      <c r="I93" s="21">
        <v>-1.3559E-2</v>
      </c>
      <c r="J93" s="21">
        <v>83</v>
      </c>
      <c r="K93" s="21">
        <v>1.40198</v>
      </c>
      <c r="L93">
        <f t="shared" si="12"/>
        <v>16.739506172839505</v>
      </c>
      <c r="M93">
        <f t="shared" si="13"/>
        <v>23.470963790123456</v>
      </c>
      <c r="N93" s="9"/>
      <c r="O93" s="21">
        <v>0.31799300000000003</v>
      </c>
      <c r="P93" s="21">
        <v>10.4337</v>
      </c>
      <c r="Q93" s="21">
        <v>-1.48956E-2</v>
      </c>
      <c r="R93" s="21">
        <v>83</v>
      </c>
      <c r="S93" s="21">
        <v>0.317444</v>
      </c>
      <c r="T93">
        <f t="shared" si="14"/>
        <v>18.389629629629628</v>
      </c>
      <c r="U93">
        <f t="shared" si="15"/>
        <v>5.847773494814815</v>
      </c>
      <c r="X93" s="9"/>
      <c r="Y93" s="21">
        <v>1.4021300000000001</v>
      </c>
      <c r="Z93" s="21">
        <v>16.0124</v>
      </c>
      <c r="AA93" s="21">
        <v>-1.38855E-2</v>
      </c>
      <c r="AB93" s="21">
        <v>83</v>
      </c>
      <c r="AC93" s="21">
        <v>1.40106</v>
      </c>
      <c r="AD93">
        <f t="shared" si="16"/>
        <v>17.142592592592592</v>
      </c>
      <c r="AE93">
        <f t="shared" si="17"/>
        <v>24.036143351851852</v>
      </c>
      <c r="AF93" s="9"/>
      <c r="AG93" s="21">
        <v>0.31799300000000003</v>
      </c>
      <c r="AH93" s="21">
        <v>19.8719</v>
      </c>
      <c r="AI93" s="21">
        <v>-1.4825400000000001E-2</v>
      </c>
      <c r="AJ93" s="21">
        <v>83</v>
      </c>
      <c r="AK93" s="21">
        <v>0.31726100000000002</v>
      </c>
      <c r="AL93">
        <f t="shared" si="18"/>
        <v>18.302962962962962</v>
      </c>
      <c r="AM93">
        <f t="shared" si="19"/>
        <v>5.8202141014814819</v>
      </c>
      <c r="AP93" s="9"/>
      <c r="AQ93" s="21">
        <v>1.4021300000000001</v>
      </c>
      <c r="AR93" s="21">
        <v>25.4207</v>
      </c>
      <c r="AS93" s="21">
        <v>-1.3983199999999999E-2</v>
      </c>
      <c r="AT93" s="21">
        <v>83</v>
      </c>
      <c r="AU93" s="21">
        <v>1.40228</v>
      </c>
      <c r="AV93">
        <f t="shared" si="20"/>
        <v>17.263209876543208</v>
      </c>
      <c r="AW93">
        <f t="shared" si="21"/>
        <v>24.20526446419753</v>
      </c>
      <c r="AX93" s="9"/>
      <c r="AY93" s="21">
        <v>0.31799300000000003</v>
      </c>
      <c r="AZ93" s="21">
        <v>29.280100000000001</v>
      </c>
      <c r="BA93" s="21">
        <v>-1.4831499999999999E-2</v>
      </c>
      <c r="BB93" s="21">
        <v>83</v>
      </c>
      <c r="BC93" s="21">
        <v>0.31738300000000003</v>
      </c>
      <c r="BD93">
        <f t="shared" si="22"/>
        <v>18.310493827160489</v>
      </c>
      <c r="BE93">
        <f t="shared" si="23"/>
        <v>5.8226088635802453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1.3970899999999999</v>
      </c>
      <c r="H94" s="21">
        <v>6.5842999999999998</v>
      </c>
      <c r="I94" s="21">
        <v>-1.3583400000000001E-2</v>
      </c>
      <c r="J94" s="21">
        <v>84</v>
      </c>
      <c r="K94" s="21">
        <v>1.39679</v>
      </c>
      <c r="L94">
        <f t="shared" si="12"/>
        <v>16.76962962962963</v>
      </c>
      <c r="M94">
        <f t="shared" si="13"/>
        <v>23.42868185925926</v>
      </c>
      <c r="N94" s="9"/>
      <c r="O94" s="21">
        <v>0.32302900000000001</v>
      </c>
      <c r="P94" s="21">
        <v>10.4438</v>
      </c>
      <c r="Q94" s="21">
        <v>-1.48895E-2</v>
      </c>
      <c r="R94" s="21">
        <v>84</v>
      </c>
      <c r="S94" s="21">
        <v>0.32238800000000001</v>
      </c>
      <c r="T94">
        <f t="shared" si="14"/>
        <v>18.382098765432101</v>
      </c>
      <c r="U94">
        <f t="shared" si="15"/>
        <v>5.9379509820987666</v>
      </c>
      <c r="X94" s="9"/>
      <c r="Y94" s="21">
        <v>1.3970899999999999</v>
      </c>
      <c r="Z94" s="21">
        <v>16.022500000000001</v>
      </c>
      <c r="AA94" s="21">
        <v>-1.38885E-2</v>
      </c>
      <c r="AB94" s="21">
        <v>84</v>
      </c>
      <c r="AC94" s="21">
        <v>1.3964799999999999</v>
      </c>
      <c r="AD94">
        <f t="shared" si="16"/>
        <v>17.146296296296295</v>
      </c>
      <c r="AE94">
        <f t="shared" si="17"/>
        <v>23.95491909259259</v>
      </c>
      <c r="AF94" s="9"/>
      <c r="AG94" s="21">
        <v>0.32302900000000001</v>
      </c>
      <c r="AH94" s="21">
        <v>19.882000000000001</v>
      </c>
      <c r="AI94" s="21">
        <v>-1.48285E-2</v>
      </c>
      <c r="AJ94" s="21">
        <v>84</v>
      </c>
      <c r="AK94" s="21">
        <v>0.32247900000000002</v>
      </c>
      <c r="AL94">
        <f t="shared" si="18"/>
        <v>18.306790123456789</v>
      </c>
      <c r="AM94">
        <f t="shared" si="19"/>
        <v>5.913624106790123</v>
      </c>
      <c r="AP94" s="9"/>
      <c r="AQ94" s="21">
        <v>1.3970899999999999</v>
      </c>
      <c r="AR94" s="21">
        <v>25.430700000000002</v>
      </c>
      <c r="AS94" s="21">
        <v>-1.3998399999999999E-2</v>
      </c>
      <c r="AT94" s="21">
        <v>84</v>
      </c>
      <c r="AU94" s="21">
        <v>1.39618</v>
      </c>
      <c r="AV94">
        <f t="shared" si="20"/>
        <v>17.281975308641975</v>
      </c>
      <c r="AW94">
        <f t="shared" si="21"/>
        <v>24.144474883950615</v>
      </c>
      <c r="AX94" s="9"/>
      <c r="AY94" s="21">
        <v>0.32302900000000001</v>
      </c>
      <c r="AZ94" s="21">
        <v>29.290199999999999</v>
      </c>
      <c r="BA94" s="21">
        <v>-1.4837599999999999E-2</v>
      </c>
      <c r="BB94" s="21">
        <v>84</v>
      </c>
      <c r="BC94" s="21">
        <v>0.32241799999999998</v>
      </c>
      <c r="BD94">
        <f t="shared" si="22"/>
        <v>18.318024691358023</v>
      </c>
      <c r="BE94">
        <f t="shared" si="23"/>
        <v>5.9172531980246905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1.3920600000000001</v>
      </c>
      <c r="H95" s="21">
        <v>6.5943699999999996</v>
      </c>
      <c r="I95" s="21">
        <v>-1.36017E-2</v>
      </c>
      <c r="J95" s="21">
        <v>85</v>
      </c>
      <c r="K95" s="21">
        <v>1.3915999999999999</v>
      </c>
      <c r="L95">
        <f t="shared" si="12"/>
        <v>16.792222222222222</v>
      </c>
      <c r="M95">
        <f t="shared" si="13"/>
        <v>23.375780866666666</v>
      </c>
      <c r="N95" s="9"/>
      <c r="O95" s="21">
        <v>0.32806400000000002</v>
      </c>
      <c r="P95" s="21">
        <v>10.453799999999999</v>
      </c>
      <c r="Q95" s="21">
        <v>-1.48834E-2</v>
      </c>
      <c r="R95" s="21">
        <v>85</v>
      </c>
      <c r="S95" s="21">
        <v>0.327484</v>
      </c>
      <c r="T95">
        <f t="shared" si="14"/>
        <v>18.374567901234567</v>
      </c>
      <c r="U95">
        <f t="shared" si="15"/>
        <v>6.0280342439506169</v>
      </c>
      <c r="X95" s="9"/>
      <c r="Y95" s="21">
        <v>1.3920600000000001</v>
      </c>
      <c r="Z95" s="21">
        <v>16.032599999999999</v>
      </c>
      <c r="AA95" s="21">
        <v>-1.3894699999999999E-2</v>
      </c>
      <c r="AB95" s="21">
        <v>85</v>
      </c>
      <c r="AC95" s="21">
        <v>1.3913</v>
      </c>
      <c r="AD95">
        <f t="shared" si="16"/>
        <v>17.153950617283947</v>
      </c>
      <c r="AE95">
        <f t="shared" si="17"/>
        <v>23.879328496296292</v>
      </c>
      <c r="AF95" s="9"/>
      <c r="AG95" s="21">
        <v>0.32806400000000002</v>
      </c>
      <c r="AH95" s="21">
        <v>19.892099999999999</v>
      </c>
      <c r="AI95" s="21">
        <v>-1.4831499999999999E-2</v>
      </c>
      <c r="AJ95" s="21">
        <v>85</v>
      </c>
      <c r="AK95" s="21">
        <v>0.32742300000000002</v>
      </c>
      <c r="AL95">
        <f t="shared" si="18"/>
        <v>18.310493827160489</v>
      </c>
      <c r="AM95">
        <f t="shared" si="19"/>
        <v>6.007013846913579</v>
      </c>
      <c r="AP95" s="9"/>
      <c r="AQ95" s="21">
        <v>1.3920600000000001</v>
      </c>
      <c r="AR95" s="21">
        <v>25.440799999999999</v>
      </c>
      <c r="AS95" s="21">
        <v>-1.40137E-2</v>
      </c>
      <c r="AT95" s="21">
        <v>85</v>
      </c>
      <c r="AU95" s="21">
        <v>1.3915999999999999</v>
      </c>
      <c r="AV95">
        <f t="shared" si="20"/>
        <v>17.300864197530863</v>
      </c>
      <c r="AW95">
        <f t="shared" si="21"/>
        <v>24.083841014814816</v>
      </c>
      <c r="AX95" s="9"/>
      <c r="AY95" s="21">
        <v>0.32806400000000002</v>
      </c>
      <c r="AZ95" s="21">
        <v>29.3003</v>
      </c>
      <c r="BA95" s="21">
        <v>-1.48285E-2</v>
      </c>
      <c r="BB95" s="21">
        <v>85</v>
      </c>
      <c r="BC95" s="21">
        <v>0.32739299999999999</v>
      </c>
      <c r="BD95">
        <f t="shared" si="22"/>
        <v>18.306790123456789</v>
      </c>
      <c r="BE95">
        <f t="shared" si="23"/>
        <v>6.0057987950617289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1.3870199999999999</v>
      </c>
      <c r="H96" s="21">
        <v>6.6044400000000003</v>
      </c>
      <c r="I96" s="21">
        <v>-1.36261E-2</v>
      </c>
      <c r="J96" s="21">
        <v>86</v>
      </c>
      <c r="K96" s="21">
        <v>1.3864099999999999</v>
      </c>
      <c r="L96">
        <f t="shared" si="12"/>
        <v>16.822345679012344</v>
      </c>
      <c r="M96">
        <f t="shared" si="13"/>
        <v>23.3329299037037</v>
      </c>
      <c r="N96" s="9"/>
      <c r="O96" s="21">
        <v>0.33309899999999998</v>
      </c>
      <c r="P96" s="21">
        <v>10.463900000000001</v>
      </c>
      <c r="Q96" s="21">
        <v>-1.48865E-2</v>
      </c>
      <c r="R96" s="21">
        <v>86</v>
      </c>
      <c r="S96" s="21">
        <v>0.33248899999999998</v>
      </c>
      <c r="T96">
        <f t="shared" si="14"/>
        <v>18.378395061728394</v>
      </c>
      <c r="U96">
        <f t="shared" si="15"/>
        <v>6.1218250166666657</v>
      </c>
      <c r="X96" s="9"/>
      <c r="Y96" s="21">
        <v>1.3870199999999999</v>
      </c>
      <c r="Z96" s="21">
        <v>16.0427</v>
      </c>
      <c r="AA96" s="21">
        <v>-1.39008E-2</v>
      </c>
      <c r="AB96" s="21">
        <v>86</v>
      </c>
      <c r="AC96" s="21">
        <v>1.38611</v>
      </c>
      <c r="AD96">
        <f t="shared" si="16"/>
        <v>17.161481481481481</v>
      </c>
      <c r="AE96">
        <f t="shared" si="17"/>
        <v>23.803318044444442</v>
      </c>
      <c r="AF96" s="9"/>
      <c r="AG96" s="21">
        <v>0.33309899999999998</v>
      </c>
      <c r="AH96" s="21">
        <v>19.902100000000001</v>
      </c>
      <c r="AI96" s="21">
        <v>-1.4831499999999999E-2</v>
      </c>
      <c r="AJ96" s="21">
        <v>86</v>
      </c>
      <c r="AK96" s="21">
        <v>0.33248899999999998</v>
      </c>
      <c r="AL96">
        <f t="shared" si="18"/>
        <v>18.310493827160489</v>
      </c>
      <c r="AM96">
        <f t="shared" si="19"/>
        <v>6.0992071833333315</v>
      </c>
      <c r="AP96" s="9"/>
      <c r="AQ96" s="21">
        <v>1.3870199999999999</v>
      </c>
      <c r="AR96" s="21">
        <v>25.450900000000001</v>
      </c>
      <c r="AS96" s="21">
        <v>-1.4019800000000001E-2</v>
      </c>
      <c r="AT96" s="21">
        <v>86</v>
      </c>
      <c r="AU96" s="21">
        <v>1.3864099999999999</v>
      </c>
      <c r="AV96">
        <f t="shared" si="20"/>
        <v>17.308395061728394</v>
      </c>
      <c r="AW96">
        <f t="shared" si="21"/>
        <v>24.007090118518516</v>
      </c>
      <c r="AX96" s="9"/>
      <c r="AY96" s="21">
        <v>0.33309899999999998</v>
      </c>
      <c r="AZ96" s="21">
        <v>29.310400000000001</v>
      </c>
      <c r="BA96" s="21">
        <v>-1.4825400000000001E-2</v>
      </c>
      <c r="BB96" s="21">
        <v>86</v>
      </c>
      <c r="BC96" s="21">
        <v>0.33248899999999998</v>
      </c>
      <c r="BD96">
        <f t="shared" si="22"/>
        <v>18.302962962962962</v>
      </c>
      <c r="BE96">
        <f t="shared" si="23"/>
        <v>6.0966986599999995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1.3819900000000001</v>
      </c>
      <c r="H97" s="21">
        <v>6.6145100000000001</v>
      </c>
      <c r="I97" s="21">
        <v>-1.36566E-2</v>
      </c>
      <c r="J97" s="21">
        <v>87</v>
      </c>
      <c r="K97" s="21">
        <v>1.38123</v>
      </c>
      <c r="L97">
        <f t="shared" si="12"/>
        <v>16.86</v>
      </c>
      <c r="M97">
        <f t="shared" si="13"/>
        <v>23.3003514</v>
      </c>
      <c r="N97" s="9"/>
      <c r="O97" s="21">
        <v>0.33813500000000002</v>
      </c>
      <c r="P97" s="21">
        <v>10.474</v>
      </c>
      <c r="Q97" s="21">
        <v>-1.48865E-2</v>
      </c>
      <c r="R97" s="21">
        <v>87</v>
      </c>
      <c r="S97" s="21">
        <v>0.33752399999999999</v>
      </c>
      <c r="T97">
        <f t="shared" si="14"/>
        <v>18.378395061728394</v>
      </c>
      <c r="U97">
        <f t="shared" si="15"/>
        <v>6.214378614197531</v>
      </c>
      <c r="X97" s="9"/>
      <c r="Y97" s="21">
        <v>1.3819900000000001</v>
      </c>
      <c r="Z97" s="21">
        <v>16.052700000000002</v>
      </c>
      <c r="AA97" s="21">
        <v>-1.3913E-2</v>
      </c>
      <c r="AB97" s="21">
        <v>87</v>
      </c>
      <c r="AC97" s="21">
        <v>1.3815299999999999</v>
      </c>
      <c r="AD97">
        <f t="shared" si="16"/>
        <v>17.176543209876542</v>
      </c>
      <c r="AE97">
        <f t="shared" si="17"/>
        <v>23.737810950617284</v>
      </c>
      <c r="AF97" s="9"/>
      <c r="AG97" s="21">
        <v>0.33813500000000002</v>
      </c>
      <c r="AH97" s="21">
        <v>19.912199999999999</v>
      </c>
      <c r="AI97" s="21">
        <v>-1.4822399999999999E-2</v>
      </c>
      <c r="AJ97" s="21">
        <v>87</v>
      </c>
      <c r="AK97" s="21">
        <v>0.33761600000000003</v>
      </c>
      <c r="AL97">
        <f t="shared" si="18"/>
        <v>18.299259259259259</v>
      </c>
      <c r="AM97">
        <f t="shared" si="19"/>
        <v>6.1876200296296302</v>
      </c>
      <c r="AP97" s="9"/>
      <c r="AQ97" s="21">
        <v>1.3819900000000001</v>
      </c>
      <c r="AR97" s="21">
        <v>25.460999999999999</v>
      </c>
      <c r="AS97" s="21">
        <v>-1.4035000000000001E-2</v>
      </c>
      <c r="AT97" s="21">
        <v>87</v>
      </c>
      <c r="AU97" s="21">
        <v>1.3809199999999999</v>
      </c>
      <c r="AV97">
        <f t="shared" si="20"/>
        <v>17.327160493827162</v>
      </c>
      <c r="AW97">
        <f t="shared" si="21"/>
        <v>23.9459625308642</v>
      </c>
      <c r="AX97" s="9"/>
      <c r="AY97" s="21">
        <v>0.33813500000000002</v>
      </c>
      <c r="AZ97" s="21">
        <v>29.320399999999999</v>
      </c>
      <c r="BA97" s="21">
        <v>-1.4819300000000001E-2</v>
      </c>
      <c r="BB97" s="21">
        <v>87</v>
      </c>
      <c r="BC97" s="21">
        <v>0.33746300000000001</v>
      </c>
      <c r="BD97">
        <f t="shared" si="22"/>
        <v>18.295432098765431</v>
      </c>
      <c r="BE97">
        <f t="shared" si="23"/>
        <v>6.1863259327160494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1.3769499999999999</v>
      </c>
      <c r="H98" s="21">
        <v>6.6245799999999999</v>
      </c>
      <c r="I98" s="21">
        <v>-1.3684099999999999E-2</v>
      </c>
      <c r="J98" s="21">
        <v>88</v>
      </c>
      <c r="K98" s="21">
        <v>1.3766499999999999</v>
      </c>
      <c r="L98">
        <f t="shared" si="12"/>
        <v>16.893950617283949</v>
      </c>
      <c r="M98">
        <f t="shared" si="13"/>
        <v>23.26212530246913</v>
      </c>
      <c r="N98" s="9"/>
      <c r="O98" s="21">
        <v>0.34316999999999998</v>
      </c>
      <c r="P98" s="21">
        <v>10.4841</v>
      </c>
      <c r="Q98" s="21">
        <v>-1.48865E-2</v>
      </c>
      <c r="R98" s="21">
        <v>88</v>
      </c>
      <c r="S98" s="21">
        <v>0.34259000000000001</v>
      </c>
      <c r="T98">
        <f t="shared" si="14"/>
        <v>18.378395061728394</v>
      </c>
      <c r="U98">
        <f t="shared" si="15"/>
        <v>6.3069138333333328</v>
      </c>
      <c r="X98" s="9"/>
      <c r="Y98" s="21">
        <v>1.3769499999999999</v>
      </c>
      <c r="Z98" s="21">
        <v>16.062799999999999</v>
      </c>
      <c r="AA98" s="21">
        <v>-1.39252E-2</v>
      </c>
      <c r="AB98" s="21">
        <v>88</v>
      </c>
      <c r="AC98" s="21">
        <v>1.3757299999999999</v>
      </c>
      <c r="AD98">
        <f t="shared" si="16"/>
        <v>17.191604938271606</v>
      </c>
      <c r="AE98">
        <f t="shared" si="17"/>
        <v>23.671980419753087</v>
      </c>
      <c r="AF98" s="9"/>
      <c r="AG98" s="21">
        <v>0.34316999999999998</v>
      </c>
      <c r="AH98" s="21">
        <v>19.9223</v>
      </c>
      <c r="AI98" s="21">
        <v>-1.4819300000000001E-2</v>
      </c>
      <c r="AJ98" s="21">
        <v>88</v>
      </c>
      <c r="AK98" s="21">
        <v>0.342499</v>
      </c>
      <c r="AL98">
        <f t="shared" si="18"/>
        <v>18.295432098765431</v>
      </c>
      <c r="AM98">
        <f t="shared" si="19"/>
        <v>6.278443433333333</v>
      </c>
      <c r="AP98" s="9"/>
      <c r="AQ98" s="21">
        <v>1.3769499999999999</v>
      </c>
      <c r="AR98" s="21">
        <v>25.471</v>
      </c>
      <c r="AS98" s="21">
        <v>-1.40442E-2</v>
      </c>
      <c r="AT98" s="21">
        <v>88</v>
      </c>
      <c r="AU98" s="21">
        <v>1.3763399999999999</v>
      </c>
      <c r="AV98">
        <f t="shared" si="20"/>
        <v>17.338518518518516</v>
      </c>
      <c r="AW98">
        <f t="shared" si="21"/>
        <v>23.874273074074068</v>
      </c>
      <c r="AX98" s="9"/>
      <c r="AY98" s="21">
        <v>0.34316999999999998</v>
      </c>
      <c r="AZ98" s="21">
        <v>29.330500000000001</v>
      </c>
      <c r="BA98" s="21">
        <v>-1.48132E-2</v>
      </c>
      <c r="BB98" s="21">
        <v>88</v>
      </c>
      <c r="BC98" s="21">
        <v>0.342499</v>
      </c>
      <c r="BD98">
        <f t="shared" si="22"/>
        <v>18.287901234567901</v>
      </c>
      <c r="BE98">
        <f t="shared" si="23"/>
        <v>6.2758590666666665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1.37192</v>
      </c>
      <c r="H99" s="21">
        <v>6.6346499999999997</v>
      </c>
      <c r="I99" s="21">
        <v>-1.37054E-2</v>
      </c>
      <c r="J99" s="21">
        <v>89</v>
      </c>
      <c r="K99" s="21">
        <v>1.3714599999999999</v>
      </c>
      <c r="L99">
        <f t="shared" si="12"/>
        <v>16.920246913580247</v>
      </c>
      <c r="M99">
        <f t="shared" si="13"/>
        <v>23.213225145679012</v>
      </c>
      <c r="N99" s="9"/>
      <c r="O99" s="21">
        <v>0.34820600000000002</v>
      </c>
      <c r="P99" s="21">
        <v>10.4941</v>
      </c>
      <c r="Q99" s="21">
        <v>-1.48743E-2</v>
      </c>
      <c r="R99" s="21">
        <v>89</v>
      </c>
      <c r="S99" s="21">
        <v>0.34756500000000001</v>
      </c>
      <c r="T99">
        <f t="shared" si="14"/>
        <v>18.363333333333333</v>
      </c>
      <c r="U99">
        <f t="shared" si="15"/>
        <v>6.3942228466666666</v>
      </c>
      <c r="X99" s="9"/>
      <c r="Y99" s="21">
        <v>1.37192</v>
      </c>
      <c r="Z99" s="21">
        <v>16.072900000000001</v>
      </c>
      <c r="AA99" s="21">
        <v>-1.3943499999999999E-2</v>
      </c>
      <c r="AB99" s="21">
        <v>89</v>
      </c>
      <c r="AC99" s="21">
        <v>1.3711500000000001</v>
      </c>
      <c r="AD99">
        <f t="shared" si="16"/>
        <v>17.214197530864197</v>
      </c>
      <c r="AE99">
        <f t="shared" si="17"/>
        <v>23.616501876543211</v>
      </c>
      <c r="AF99" s="9"/>
      <c r="AG99" s="21">
        <v>0.34820600000000002</v>
      </c>
      <c r="AH99" s="21">
        <v>19.932300000000001</v>
      </c>
      <c r="AI99" s="21">
        <v>-1.4822399999999999E-2</v>
      </c>
      <c r="AJ99" s="21">
        <v>89</v>
      </c>
      <c r="AK99" s="21">
        <v>0.34759499999999999</v>
      </c>
      <c r="AL99">
        <f t="shared" si="18"/>
        <v>18.299259259259259</v>
      </c>
      <c r="AM99">
        <f t="shared" si="19"/>
        <v>6.3719118696296295</v>
      </c>
      <c r="AP99" s="9"/>
      <c r="AQ99" s="21">
        <v>1.37192</v>
      </c>
      <c r="AR99" s="21">
        <v>25.481100000000001</v>
      </c>
      <c r="AS99" s="21">
        <v>-1.40594E-2</v>
      </c>
      <c r="AT99" s="21">
        <v>89</v>
      </c>
      <c r="AU99" s="21">
        <v>1.3711500000000001</v>
      </c>
      <c r="AV99">
        <f t="shared" si="20"/>
        <v>17.357283950617283</v>
      </c>
      <c r="AW99">
        <f t="shared" si="21"/>
        <v>23.812804997530865</v>
      </c>
      <c r="AX99" s="9"/>
      <c r="AY99" s="21">
        <v>0.34820600000000002</v>
      </c>
      <c r="AZ99" s="21">
        <v>29.340599999999998</v>
      </c>
      <c r="BA99" s="21">
        <v>-1.4804100000000001E-2</v>
      </c>
      <c r="BB99" s="21">
        <v>89</v>
      </c>
      <c r="BC99" s="21">
        <v>0.34753400000000001</v>
      </c>
      <c r="BD99">
        <f t="shared" si="22"/>
        <v>18.276666666666667</v>
      </c>
      <c r="BE99">
        <f t="shared" si="23"/>
        <v>6.3640449933333336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1.3668800000000001</v>
      </c>
      <c r="H100" s="21">
        <v>6.6447200000000004</v>
      </c>
      <c r="I100" s="21">
        <v>-1.3717699999999999E-2</v>
      </c>
      <c r="J100" s="21">
        <v>90</v>
      </c>
      <c r="K100" s="21">
        <v>1.3659699999999999</v>
      </c>
      <c r="L100">
        <f t="shared" si="12"/>
        <v>16.935432098765432</v>
      </c>
      <c r="M100">
        <f t="shared" si="13"/>
        <v>23.148703427160495</v>
      </c>
      <c r="N100" s="9"/>
      <c r="O100" s="21">
        <v>0.35324100000000003</v>
      </c>
      <c r="P100" s="21">
        <v>10.504200000000001</v>
      </c>
      <c r="Q100" s="21">
        <v>-1.4871199999999999E-2</v>
      </c>
      <c r="R100" s="21">
        <v>90</v>
      </c>
      <c r="S100" s="21">
        <v>0.352661</v>
      </c>
      <c r="T100">
        <f t="shared" si="14"/>
        <v>18.359506172839506</v>
      </c>
      <c r="U100">
        <f t="shared" si="15"/>
        <v>6.4853303200000001</v>
      </c>
      <c r="X100" s="9"/>
      <c r="Y100" s="21">
        <v>1.3668800000000001</v>
      </c>
      <c r="Z100" s="21">
        <v>16.082899999999999</v>
      </c>
      <c r="AA100" s="21">
        <v>-1.39618E-2</v>
      </c>
      <c r="AB100" s="21">
        <v>90</v>
      </c>
      <c r="AC100" s="21">
        <v>1.3653599999999999</v>
      </c>
      <c r="AD100">
        <f t="shared" si="16"/>
        <v>17.236790123456789</v>
      </c>
      <c r="AE100">
        <f t="shared" si="17"/>
        <v>23.560623683950617</v>
      </c>
      <c r="AF100" s="9"/>
      <c r="AG100" s="21">
        <v>0.35324100000000003</v>
      </c>
      <c r="AH100" s="21">
        <v>19.942399999999999</v>
      </c>
      <c r="AI100" s="21">
        <v>-1.4825400000000001E-2</v>
      </c>
      <c r="AJ100" s="21">
        <v>90</v>
      </c>
      <c r="AK100" s="21">
        <v>0.352661</v>
      </c>
      <c r="AL100">
        <f t="shared" si="18"/>
        <v>18.302962962962962</v>
      </c>
      <c r="AM100">
        <f t="shared" si="19"/>
        <v>6.4653569400000004</v>
      </c>
      <c r="AP100" s="9"/>
      <c r="AQ100" s="21">
        <v>1.3668800000000001</v>
      </c>
      <c r="AR100" s="21">
        <v>25.491199999999999</v>
      </c>
      <c r="AS100" s="21">
        <v>-1.4068600000000001E-2</v>
      </c>
      <c r="AT100" s="21">
        <v>90</v>
      </c>
      <c r="AU100" s="21">
        <v>1.3665799999999999</v>
      </c>
      <c r="AV100">
        <f t="shared" si="20"/>
        <v>17.368641975308641</v>
      </c>
      <c r="AW100">
        <f t="shared" si="21"/>
        <v>23.740849343209877</v>
      </c>
      <c r="AX100" s="9"/>
      <c r="AY100" s="21">
        <v>0.35324100000000003</v>
      </c>
      <c r="AZ100" s="21">
        <v>29.3506</v>
      </c>
      <c r="BA100" s="21">
        <v>-1.4804100000000001E-2</v>
      </c>
      <c r="BB100" s="21">
        <v>90</v>
      </c>
      <c r="BC100" s="21">
        <v>0.35253899999999999</v>
      </c>
      <c r="BD100">
        <f t="shared" si="22"/>
        <v>18.276666666666667</v>
      </c>
      <c r="BE100">
        <f t="shared" si="23"/>
        <v>6.456068010000001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1.36185</v>
      </c>
      <c r="H101" s="21">
        <v>6.6547999999999998</v>
      </c>
      <c r="I101" s="21">
        <v>-1.3736E-2</v>
      </c>
      <c r="J101" s="21">
        <v>91</v>
      </c>
      <c r="K101" s="21">
        <v>1.3613900000000001</v>
      </c>
      <c r="L101">
        <f t="shared" si="12"/>
        <v>16.958024691358023</v>
      </c>
      <c r="M101">
        <f t="shared" si="13"/>
        <v>23.094285925925924</v>
      </c>
      <c r="N101" s="9"/>
      <c r="O101" s="21">
        <v>0.35827599999999998</v>
      </c>
      <c r="P101" s="21">
        <v>10.5143</v>
      </c>
      <c r="Q101" s="21">
        <v>-1.48682E-2</v>
      </c>
      <c r="R101" s="21">
        <v>91</v>
      </c>
      <c r="S101" s="21">
        <v>0.35766599999999998</v>
      </c>
      <c r="T101">
        <f t="shared" si="14"/>
        <v>18.355802469135799</v>
      </c>
      <c r="U101">
        <f t="shared" si="15"/>
        <v>6.5764434854320974</v>
      </c>
      <c r="X101" s="9"/>
      <c r="Y101" s="21">
        <v>1.36185</v>
      </c>
      <c r="Z101" s="21">
        <v>16.093</v>
      </c>
      <c r="AA101" s="21">
        <v>-1.3980100000000001E-2</v>
      </c>
      <c r="AB101" s="21">
        <v>91</v>
      </c>
      <c r="AC101" s="21">
        <v>1.3610800000000001</v>
      </c>
      <c r="AD101">
        <f t="shared" si="16"/>
        <v>17.259382716049384</v>
      </c>
      <c r="AE101">
        <f t="shared" si="17"/>
        <v>23.504690351851853</v>
      </c>
      <c r="AF101" s="9"/>
      <c r="AG101" s="21">
        <v>0.35827599999999998</v>
      </c>
      <c r="AH101" s="21">
        <v>19.952500000000001</v>
      </c>
      <c r="AI101" s="21">
        <v>-1.4816299999999999E-2</v>
      </c>
      <c r="AJ101" s="21">
        <v>91</v>
      </c>
      <c r="AK101" s="21">
        <v>0.35763499999999998</v>
      </c>
      <c r="AL101">
        <f t="shared" si="18"/>
        <v>18.291728395061728</v>
      </c>
      <c r="AM101">
        <f t="shared" si="19"/>
        <v>6.5534872824691357</v>
      </c>
      <c r="AP101" s="9"/>
      <c r="AQ101" s="21">
        <v>1.36185</v>
      </c>
      <c r="AR101" s="21">
        <v>25.501200000000001</v>
      </c>
      <c r="AS101" s="21">
        <v>-1.4080799999999999E-2</v>
      </c>
      <c r="AT101" s="21">
        <v>91</v>
      </c>
      <c r="AU101" s="21">
        <v>1.3610800000000001</v>
      </c>
      <c r="AV101">
        <f t="shared" si="20"/>
        <v>17.383703703703702</v>
      </c>
      <c r="AW101">
        <f t="shared" si="21"/>
        <v>23.673996888888887</v>
      </c>
      <c r="AX101" s="9"/>
      <c r="AY101" s="21">
        <v>0.35827599999999998</v>
      </c>
      <c r="AZ101" s="21">
        <v>29.360700000000001</v>
      </c>
      <c r="BA101" s="21">
        <v>-1.4810200000000001E-2</v>
      </c>
      <c r="BB101" s="21">
        <v>91</v>
      </c>
      <c r="BC101" s="21">
        <v>0.35772700000000002</v>
      </c>
      <c r="BD101">
        <f t="shared" si="22"/>
        <v>18.284197530864198</v>
      </c>
      <c r="BE101">
        <f t="shared" si="23"/>
        <v>6.5507891545679007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1.3568100000000001</v>
      </c>
      <c r="H102" s="21">
        <v>6.6648699999999996</v>
      </c>
      <c r="I102" s="21">
        <v>-1.37512E-2</v>
      </c>
      <c r="J102" s="21">
        <v>92</v>
      </c>
      <c r="K102" s="21">
        <v>1.3555900000000001</v>
      </c>
      <c r="L102">
        <f t="shared" si="12"/>
        <v>16.976790123456787</v>
      </c>
      <c r="M102">
        <f t="shared" si="13"/>
        <v>23.034278607407405</v>
      </c>
      <c r="N102" s="9"/>
      <c r="O102" s="21">
        <v>0.36331200000000002</v>
      </c>
      <c r="P102" s="21">
        <v>10.5243</v>
      </c>
      <c r="Q102" s="21">
        <v>-1.4871199999999999E-2</v>
      </c>
      <c r="R102" s="21">
        <v>92</v>
      </c>
      <c r="S102" s="21">
        <v>0.36276199999999997</v>
      </c>
      <c r="T102">
        <f t="shared" si="14"/>
        <v>18.359506172839506</v>
      </c>
      <c r="U102">
        <f t="shared" si="15"/>
        <v>6.6702289066666669</v>
      </c>
      <c r="X102" s="9"/>
      <c r="Y102" s="21">
        <v>1.3568100000000001</v>
      </c>
      <c r="Z102" s="21">
        <v>16.103100000000001</v>
      </c>
      <c r="AA102" s="21">
        <v>-1.39954E-2</v>
      </c>
      <c r="AB102" s="21">
        <v>92</v>
      </c>
      <c r="AC102" s="21">
        <v>1.3555900000000001</v>
      </c>
      <c r="AD102">
        <f t="shared" si="16"/>
        <v>17.278271604938272</v>
      </c>
      <c r="AE102">
        <f t="shared" si="17"/>
        <v>23.443331696296298</v>
      </c>
      <c r="AF102" s="9"/>
      <c r="AG102" s="21">
        <v>0.36331200000000002</v>
      </c>
      <c r="AH102" s="21">
        <v>19.962599999999998</v>
      </c>
      <c r="AI102" s="21">
        <v>-1.4810200000000001E-2</v>
      </c>
      <c r="AJ102" s="21">
        <v>92</v>
      </c>
      <c r="AK102" s="21">
        <v>0.362701</v>
      </c>
      <c r="AL102">
        <f t="shared" si="18"/>
        <v>18.284197530864198</v>
      </c>
      <c r="AM102">
        <f t="shared" si="19"/>
        <v>6.642868373333334</v>
      </c>
      <c r="AP102" s="9"/>
      <c r="AQ102" s="21">
        <v>1.3568100000000001</v>
      </c>
      <c r="AR102" s="21">
        <v>25.511299999999999</v>
      </c>
      <c r="AS102" s="21">
        <v>-1.409E-2</v>
      </c>
      <c r="AT102" s="21">
        <v>92</v>
      </c>
      <c r="AU102" s="21">
        <v>1.3559000000000001</v>
      </c>
      <c r="AV102">
        <f t="shared" si="20"/>
        <v>17.39506172839506</v>
      </c>
      <c r="AW102">
        <f t="shared" si="21"/>
        <v>23.601793703703702</v>
      </c>
      <c r="AX102" s="9"/>
      <c r="AY102" s="21">
        <v>0.36331200000000002</v>
      </c>
      <c r="AZ102" s="21">
        <v>29.370799999999999</v>
      </c>
      <c r="BA102" s="21">
        <v>-1.4810200000000001E-2</v>
      </c>
      <c r="BB102" s="21">
        <v>92</v>
      </c>
      <c r="BC102" s="21">
        <v>0.36276199999999997</v>
      </c>
      <c r="BD102">
        <f t="shared" si="22"/>
        <v>18.284197530864198</v>
      </c>
      <c r="BE102">
        <f t="shared" si="23"/>
        <v>6.642868373333334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1.35178</v>
      </c>
      <c r="H103" s="21">
        <v>6.6749400000000003</v>
      </c>
      <c r="I103" s="21">
        <v>-1.37634E-2</v>
      </c>
      <c r="J103" s="21">
        <v>93</v>
      </c>
      <c r="K103" s="21">
        <v>1.35101</v>
      </c>
      <c r="L103">
        <f t="shared" si="12"/>
        <v>16.991851851851852</v>
      </c>
      <c r="M103">
        <f t="shared" si="13"/>
        <v>22.969245496296296</v>
      </c>
      <c r="N103" s="9"/>
      <c r="O103" s="21">
        <v>0.36834699999999998</v>
      </c>
      <c r="P103" s="21">
        <v>10.5344</v>
      </c>
      <c r="Q103" s="21">
        <v>-1.4865099999999999E-2</v>
      </c>
      <c r="R103" s="21">
        <v>93</v>
      </c>
      <c r="S103" s="21">
        <v>0.36773699999999998</v>
      </c>
      <c r="T103">
        <f t="shared" si="14"/>
        <v>18.351975308641972</v>
      </c>
      <c r="U103">
        <f t="shared" si="15"/>
        <v>6.7598950490123437</v>
      </c>
      <c r="X103" s="9"/>
      <c r="Y103" s="21">
        <v>1.35178</v>
      </c>
      <c r="Z103" s="21">
        <v>16.113199999999999</v>
      </c>
      <c r="AA103" s="21">
        <v>-1.40137E-2</v>
      </c>
      <c r="AB103" s="21">
        <v>93</v>
      </c>
      <c r="AC103" s="21">
        <v>1.3504</v>
      </c>
      <c r="AD103">
        <f t="shared" si="16"/>
        <v>17.300864197530863</v>
      </c>
      <c r="AE103">
        <f t="shared" si="17"/>
        <v>23.386962204938271</v>
      </c>
      <c r="AF103" s="9"/>
      <c r="AG103" s="21">
        <v>0.36834699999999998</v>
      </c>
      <c r="AH103" s="21">
        <v>19.9726</v>
      </c>
      <c r="AI103" s="21">
        <v>-1.4810200000000001E-2</v>
      </c>
      <c r="AJ103" s="21">
        <v>93</v>
      </c>
      <c r="AK103" s="21">
        <v>0.36770599999999998</v>
      </c>
      <c r="AL103">
        <f t="shared" si="18"/>
        <v>18.284197530864198</v>
      </c>
      <c r="AM103">
        <f t="shared" si="19"/>
        <v>6.7349293079012345</v>
      </c>
      <c r="AP103" s="9"/>
      <c r="AQ103" s="21">
        <v>1.35178</v>
      </c>
      <c r="AR103" s="21">
        <v>25.5214</v>
      </c>
      <c r="AS103" s="21">
        <v>-1.40991E-2</v>
      </c>
      <c r="AT103" s="21">
        <v>93</v>
      </c>
      <c r="AU103" s="21">
        <v>1.3507100000000001</v>
      </c>
      <c r="AV103">
        <f t="shared" si="20"/>
        <v>17.406296296296293</v>
      </c>
      <c r="AW103">
        <f t="shared" si="21"/>
        <v>23.529483207407402</v>
      </c>
      <c r="AX103" s="9"/>
      <c r="AY103" s="21">
        <v>0.36834699999999998</v>
      </c>
      <c r="AZ103" s="21">
        <v>29.3809</v>
      </c>
      <c r="BA103" s="21">
        <v>-1.4801E-2</v>
      </c>
      <c r="BB103" s="21">
        <v>93</v>
      </c>
      <c r="BC103" s="21">
        <v>0.36761500000000003</v>
      </c>
      <c r="BD103">
        <f t="shared" si="22"/>
        <v>18.27283950617284</v>
      </c>
      <c r="BE103">
        <f t="shared" si="23"/>
        <v>6.7307456135802468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1.34674</v>
      </c>
      <c r="H104" s="21">
        <v>6.6850100000000001</v>
      </c>
      <c r="I104" s="21">
        <v>-1.3772599999999999E-2</v>
      </c>
      <c r="J104" s="21">
        <v>94</v>
      </c>
      <c r="K104" s="21">
        <v>1.34613</v>
      </c>
      <c r="L104">
        <f t="shared" si="12"/>
        <v>17.00320987654321</v>
      </c>
      <c r="M104">
        <f t="shared" si="13"/>
        <v>22.898902869135803</v>
      </c>
      <c r="N104" s="9"/>
      <c r="O104" s="21">
        <v>0.37338300000000002</v>
      </c>
      <c r="P104" s="21">
        <v>10.544499999999999</v>
      </c>
      <c r="Q104" s="21">
        <v>-1.4855999999999999E-2</v>
      </c>
      <c r="R104" s="21">
        <v>94</v>
      </c>
      <c r="S104" s="21">
        <v>0.372803</v>
      </c>
      <c r="T104">
        <f t="shared" si="14"/>
        <v>18.340740740740738</v>
      </c>
      <c r="U104">
        <f t="shared" si="15"/>
        <v>6.8481207999999993</v>
      </c>
      <c r="X104" s="9"/>
      <c r="Y104" s="21">
        <v>1.34674</v>
      </c>
      <c r="Z104" s="21">
        <v>16.123200000000001</v>
      </c>
      <c r="AA104" s="21">
        <v>-1.40289E-2</v>
      </c>
      <c r="AB104" s="21">
        <v>94</v>
      </c>
      <c r="AC104" s="21">
        <v>1.34552</v>
      </c>
      <c r="AD104">
        <f t="shared" si="16"/>
        <v>17.319629629629631</v>
      </c>
      <c r="AE104">
        <f t="shared" si="17"/>
        <v>23.325038007407411</v>
      </c>
      <c r="AF104" s="9"/>
      <c r="AG104" s="21">
        <v>0.37338300000000002</v>
      </c>
      <c r="AH104" s="21">
        <v>19.982700000000001</v>
      </c>
      <c r="AI104" s="21">
        <v>-1.4804100000000001E-2</v>
      </c>
      <c r="AJ104" s="21">
        <v>94</v>
      </c>
      <c r="AK104" s="21">
        <v>0.37262000000000001</v>
      </c>
      <c r="AL104">
        <f t="shared" si="18"/>
        <v>18.276666666666667</v>
      </c>
      <c r="AM104">
        <f t="shared" si="19"/>
        <v>6.8241966300000003</v>
      </c>
      <c r="AP104" s="9"/>
      <c r="AQ104" s="21">
        <v>1.34674</v>
      </c>
      <c r="AR104" s="21">
        <v>25.531500000000001</v>
      </c>
      <c r="AS104" s="21">
        <v>-1.41113E-2</v>
      </c>
      <c r="AT104" s="21">
        <v>94</v>
      </c>
      <c r="AU104" s="21">
        <v>1.34613</v>
      </c>
      <c r="AV104">
        <f t="shared" si="20"/>
        <v>17.421358024691358</v>
      </c>
      <c r="AW104">
        <f t="shared" si="21"/>
        <v>23.462039706172842</v>
      </c>
      <c r="AX104" s="9"/>
      <c r="AY104" s="21">
        <v>0.37338300000000002</v>
      </c>
      <c r="AZ104" s="21">
        <v>29.390899999999998</v>
      </c>
      <c r="BA104" s="21">
        <v>-1.47919E-2</v>
      </c>
      <c r="BB104" s="21">
        <v>94</v>
      </c>
      <c r="BC104" s="21">
        <v>0.37277199999999999</v>
      </c>
      <c r="BD104">
        <f t="shared" si="22"/>
        <v>18.261604938271603</v>
      </c>
      <c r="BE104">
        <f t="shared" si="23"/>
        <v>6.8185728366666662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1.34171</v>
      </c>
      <c r="H105" s="21">
        <v>6.6950799999999999</v>
      </c>
      <c r="I105" s="21">
        <v>-1.37848E-2</v>
      </c>
      <c r="J105" s="21">
        <v>95</v>
      </c>
      <c r="K105" s="21">
        <v>1.3412500000000001</v>
      </c>
      <c r="L105">
        <f t="shared" si="12"/>
        <v>17.018271604938271</v>
      </c>
      <c r="M105">
        <f t="shared" si="13"/>
        <v>22.833585195061726</v>
      </c>
      <c r="N105" s="9"/>
      <c r="O105" s="21">
        <v>0.37841799999999998</v>
      </c>
      <c r="P105" s="21">
        <v>10.554600000000001</v>
      </c>
      <c r="Q105" s="21">
        <v>-1.48468E-2</v>
      </c>
      <c r="R105" s="21">
        <v>95</v>
      </c>
      <c r="S105" s="21">
        <v>0.37783800000000001</v>
      </c>
      <c r="T105">
        <f t="shared" si="14"/>
        <v>18.329382716049381</v>
      </c>
      <c r="U105">
        <f t="shared" si="15"/>
        <v>6.9361683486419743</v>
      </c>
      <c r="X105" s="9"/>
      <c r="Y105" s="21">
        <v>1.34171</v>
      </c>
      <c r="Z105" s="21">
        <v>16.133299999999998</v>
      </c>
      <c r="AA105" s="21">
        <v>-1.4041100000000001E-2</v>
      </c>
      <c r="AB105" s="21">
        <v>95</v>
      </c>
      <c r="AC105" s="21">
        <v>1.3412500000000001</v>
      </c>
      <c r="AD105">
        <f t="shared" si="16"/>
        <v>17.334691358024692</v>
      </c>
      <c r="AE105">
        <f t="shared" si="17"/>
        <v>23.258128741975309</v>
      </c>
      <c r="AF105" s="9"/>
      <c r="AG105" s="21">
        <v>0.37841799999999998</v>
      </c>
      <c r="AH105" s="21">
        <v>19.992799999999999</v>
      </c>
      <c r="AI105" s="21">
        <v>-1.48132E-2</v>
      </c>
      <c r="AJ105" s="21">
        <v>95</v>
      </c>
      <c r="AK105" s="21">
        <v>0.37783800000000001</v>
      </c>
      <c r="AL105">
        <f t="shared" si="18"/>
        <v>18.287901234567901</v>
      </c>
      <c r="AM105">
        <f t="shared" si="19"/>
        <v>6.9204710093827151</v>
      </c>
      <c r="AP105" s="9"/>
      <c r="AQ105" s="21">
        <v>1.34171</v>
      </c>
      <c r="AR105" s="21">
        <v>25.541499999999999</v>
      </c>
      <c r="AS105" s="21">
        <v>-1.4108300000000001E-2</v>
      </c>
      <c r="AT105" s="21">
        <v>95</v>
      </c>
      <c r="AU105" s="21">
        <v>1.34094</v>
      </c>
      <c r="AV105">
        <f t="shared" si="20"/>
        <v>17.417654320987655</v>
      </c>
      <c r="AW105">
        <f t="shared" si="21"/>
        <v>23.369440979012346</v>
      </c>
      <c r="AX105" s="9"/>
      <c r="AY105" s="21">
        <v>0.37841799999999998</v>
      </c>
      <c r="AZ105" s="21">
        <v>29.401</v>
      </c>
      <c r="BA105" s="21">
        <v>-1.4804100000000001E-2</v>
      </c>
      <c r="BB105" s="21">
        <v>95</v>
      </c>
      <c r="BC105" s="21">
        <v>0.37780799999999998</v>
      </c>
      <c r="BD105">
        <f t="shared" si="22"/>
        <v>18.276666666666667</v>
      </c>
      <c r="BE105">
        <f t="shared" si="23"/>
        <v>6.9162196466666668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1.33667</v>
      </c>
      <c r="H106" s="21">
        <v>6.7051499999999997</v>
      </c>
      <c r="I106" s="21">
        <v>-1.38E-2</v>
      </c>
      <c r="J106" s="21">
        <v>96</v>
      </c>
      <c r="K106" s="21">
        <v>1.33575</v>
      </c>
      <c r="L106">
        <f t="shared" si="12"/>
        <v>17.037037037037035</v>
      </c>
      <c r="M106">
        <f t="shared" si="13"/>
        <v>22.772896296296292</v>
      </c>
      <c r="N106" s="9"/>
      <c r="O106" s="21">
        <v>0.38345299999999999</v>
      </c>
      <c r="P106" s="21">
        <v>10.5646</v>
      </c>
      <c r="Q106" s="21">
        <v>-1.4843800000000001E-2</v>
      </c>
      <c r="R106" s="21">
        <v>96</v>
      </c>
      <c r="S106" s="21">
        <v>0.38284299999999999</v>
      </c>
      <c r="T106">
        <f t="shared" si="14"/>
        <v>18.325679012345677</v>
      </c>
      <c r="U106">
        <f t="shared" si="15"/>
        <v>7.0270365943209869</v>
      </c>
      <c r="X106" s="9"/>
      <c r="Y106" s="21">
        <v>1.33667</v>
      </c>
      <c r="Z106" s="21">
        <v>16.1434</v>
      </c>
      <c r="AA106" s="21">
        <v>-1.40594E-2</v>
      </c>
      <c r="AB106" s="21">
        <v>96</v>
      </c>
      <c r="AC106" s="21">
        <v>1.33545</v>
      </c>
      <c r="AD106">
        <f t="shared" si="16"/>
        <v>17.357283950617283</v>
      </c>
      <c r="AE106">
        <f t="shared" si="17"/>
        <v>23.200960738271604</v>
      </c>
      <c r="AF106" s="9"/>
      <c r="AG106" s="21">
        <v>0.38345299999999999</v>
      </c>
      <c r="AH106" s="21">
        <v>20.002800000000001</v>
      </c>
      <c r="AI106" s="21">
        <v>-1.4822399999999999E-2</v>
      </c>
      <c r="AJ106" s="21">
        <v>96</v>
      </c>
      <c r="AK106" s="21">
        <v>0.38284299999999999</v>
      </c>
      <c r="AL106">
        <f t="shared" si="18"/>
        <v>18.299259259259259</v>
      </c>
      <c r="AM106">
        <f t="shared" si="19"/>
        <v>7.0169058607407404</v>
      </c>
      <c r="AP106" s="9"/>
      <c r="AQ106" s="21">
        <v>1.33667</v>
      </c>
      <c r="AR106" s="21">
        <v>25.551600000000001</v>
      </c>
      <c r="AS106" s="21">
        <v>-1.41052E-2</v>
      </c>
      <c r="AT106" s="21">
        <v>96</v>
      </c>
      <c r="AU106" s="21">
        <v>1.33575</v>
      </c>
      <c r="AV106">
        <f t="shared" si="20"/>
        <v>17.413827160493828</v>
      </c>
      <c r="AW106">
        <f t="shared" si="21"/>
        <v>23.276540350617285</v>
      </c>
      <c r="AX106" s="9"/>
      <c r="AY106" s="21">
        <v>0.38345299999999999</v>
      </c>
      <c r="AZ106" s="21">
        <v>29.411100000000001</v>
      </c>
      <c r="BA106" s="21">
        <v>-1.48132E-2</v>
      </c>
      <c r="BB106" s="21">
        <v>96</v>
      </c>
      <c r="BC106" s="21">
        <v>0.38287399999999999</v>
      </c>
      <c r="BD106">
        <f t="shared" si="22"/>
        <v>18.287901234567901</v>
      </c>
      <c r="BE106">
        <f t="shared" si="23"/>
        <v>7.0125505920987647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1.3316300000000001</v>
      </c>
      <c r="H107" s="21">
        <v>6.7152200000000004</v>
      </c>
      <c r="I107" s="21">
        <v>-1.38184E-2</v>
      </c>
      <c r="J107" s="21">
        <v>97</v>
      </c>
      <c r="K107" s="21">
        <v>1.33087</v>
      </c>
      <c r="L107">
        <f t="shared" si="12"/>
        <v>17.05975308641975</v>
      </c>
      <c r="M107">
        <f t="shared" si="13"/>
        <v>22.717279002469134</v>
      </c>
      <c r="N107" s="9"/>
      <c r="O107" s="21">
        <v>0.38848899999999997</v>
      </c>
      <c r="P107" s="21">
        <v>10.5747</v>
      </c>
      <c r="Q107" s="21">
        <v>-1.48468E-2</v>
      </c>
      <c r="R107" s="21">
        <v>97</v>
      </c>
      <c r="S107" s="21">
        <v>0.38796999999999998</v>
      </c>
      <c r="T107">
        <f t="shared" si="14"/>
        <v>18.329382716049381</v>
      </c>
      <c r="U107">
        <f t="shared" si="15"/>
        <v>7.1207635619753074</v>
      </c>
      <c r="X107" s="9"/>
      <c r="Y107" s="21">
        <v>1.3316300000000001</v>
      </c>
      <c r="Z107" s="21">
        <v>16.153400000000001</v>
      </c>
      <c r="AA107" s="21">
        <v>-1.4068600000000001E-2</v>
      </c>
      <c r="AB107" s="21">
        <v>97</v>
      </c>
      <c r="AC107" s="21">
        <v>1.33118</v>
      </c>
      <c r="AD107">
        <f t="shared" si="16"/>
        <v>17.368641975308641</v>
      </c>
      <c r="AE107">
        <f t="shared" si="17"/>
        <v>23.128604713580248</v>
      </c>
      <c r="AF107" s="9"/>
      <c r="AG107" s="21">
        <v>0.38848899999999997</v>
      </c>
      <c r="AH107" s="21">
        <v>20.012899999999998</v>
      </c>
      <c r="AI107" s="21">
        <v>-1.4825400000000001E-2</v>
      </c>
      <c r="AJ107" s="21">
        <v>97</v>
      </c>
      <c r="AK107" s="21">
        <v>0.38793899999999998</v>
      </c>
      <c r="AL107">
        <f t="shared" si="18"/>
        <v>18.302962962962962</v>
      </c>
      <c r="AM107">
        <f t="shared" si="19"/>
        <v>7.110499778518518</v>
      </c>
      <c r="AP107" s="9"/>
      <c r="AQ107" s="21">
        <v>1.3316300000000001</v>
      </c>
      <c r="AR107" s="21">
        <v>25.561699999999998</v>
      </c>
      <c r="AS107" s="21">
        <v>-1.41174E-2</v>
      </c>
      <c r="AT107" s="21">
        <v>97</v>
      </c>
      <c r="AU107" s="21">
        <v>1.33087</v>
      </c>
      <c r="AV107">
        <f t="shared" si="20"/>
        <v>17.428888888888888</v>
      </c>
      <c r="AW107">
        <f t="shared" si="21"/>
        <v>23.208831311111112</v>
      </c>
      <c r="AX107" s="9"/>
      <c r="AY107" s="21">
        <v>0.38848899999999997</v>
      </c>
      <c r="AZ107" s="21">
        <v>29.421099999999999</v>
      </c>
      <c r="BA107" s="21">
        <v>-1.4825400000000001E-2</v>
      </c>
      <c r="BB107" s="21">
        <v>97</v>
      </c>
      <c r="BC107" s="21">
        <v>0.38793899999999998</v>
      </c>
      <c r="BD107">
        <f t="shared" si="22"/>
        <v>18.302962962962962</v>
      </c>
      <c r="BE107">
        <f t="shared" si="23"/>
        <v>7.110499778518518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1.3266</v>
      </c>
      <c r="H108" s="21">
        <v>6.7252900000000002</v>
      </c>
      <c r="I108" s="21">
        <v>-1.38367E-2</v>
      </c>
      <c r="J108" s="21">
        <v>98</v>
      </c>
      <c r="K108" s="21">
        <v>1.3266</v>
      </c>
      <c r="L108">
        <f t="shared" si="12"/>
        <v>17.082345679012345</v>
      </c>
      <c r="M108">
        <f t="shared" si="13"/>
        <v>22.661439777777776</v>
      </c>
      <c r="N108" s="9"/>
      <c r="O108" s="21">
        <v>0.39352399999999998</v>
      </c>
      <c r="P108" s="21">
        <v>10.5848</v>
      </c>
      <c r="Q108" s="21">
        <v>-1.4843800000000001E-2</v>
      </c>
      <c r="R108" s="21">
        <v>98</v>
      </c>
      <c r="S108" s="21">
        <v>0.39297500000000002</v>
      </c>
      <c r="T108">
        <f t="shared" si="14"/>
        <v>18.325679012345677</v>
      </c>
      <c r="U108">
        <f t="shared" si="15"/>
        <v>7.2115945076543202</v>
      </c>
      <c r="X108" s="9"/>
      <c r="Y108" s="21">
        <v>1.3266</v>
      </c>
      <c r="Z108" s="21">
        <v>16.163499999999999</v>
      </c>
      <c r="AA108" s="21">
        <v>-1.40778E-2</v>
      </c>
      <c r="AB108" s="21">
        <v>98</v>
      </c>
      <c r="AC108" s="21">
        <v>1.32538</v>
      </c>
      <c r="AD108">
        <f t="shared" si="16"/>
        <v>17.38</v>
      </c>
      <c r="AE108">
        <f t="shared" si="17"/>
        <v>23.056307999999998</v>
      </c>
      <c r="AF108" s="9"/>
      <c r="AG108" s="21">
        <v>0.39352399999999998</v>
      </c>
      <c r="AH108" s="21">
        <v>20.023</v>
      </c>
      <c r="AI108" s="21">
        <v>-1.4822399999999999E-2</v>
      </c>
      <c r="AJ108" s="21">
        <v>98</v>
      </c>
      <c r="AK108" s="21">
        <v>0.39294400000000002</v>
      </c>
      <c r="AL108">
        <f t="shared" si="18"/>
        <v>18.299259259259259</v>
      </c>
      <c r="AM108">
        <f t="shared" si="19"/>
        <v>7.2011977007407406</v>
      </c>
      <c r="AP108" s="9"/>
      <c r="AQ108" s="21">
        <v>1.3266</v>
      </c>
      <c r="AR108" s="21">
        <v>25.5717</v>
      </c>
      <c r="AS108" s="21">
        <v>-1.41266E-2</v>
      </c>
      <c r="AT108" s="21">
        <v>98</v>
      </c>
      <c r="AU108" s="21">
        <v>1.32538</v>
      </c>
      <c r="AV108">
        <f t="shared" si="20"/>
        <v>17.440246913580246</v>
      </c>
      <c r="AW108">
        <f t="shared" si="21"/>
        <v>23.136231555555554</v>
      </c>
      <c r="AX108" s="9"/>
      <c r="AY108" s="21">
        <v>0.39352399999999998</v>
      </c>
      <c r="AZ108" s="21">
        <v>29.4312</v>
      </c>
      <c r="BA108" s="21">
        <v>-1.4831499999999999E-2</v>
      </c>
      <c r="BB108" s="21">
        <v>98</v>
      </c>
      <c r="BC108" s="21">
        <v>0.39291399999999999</v>
      </c>
      <c r="BD108">
        <f t="shared" si="22"/>
        <v>18.310493827160489</v>
      </c>
      <c r="BE108">
        <f t="shared" si="23"/>
        <v>7.2056187728395038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1.3215600000000001</v>
      </c>
      <c r="H109" s="21">
        <v>6.73536</v>
      </c>
      <c r="I109" s="21">
        <v>-1.38519E-2</v>
      </c>
      <c r="J109" s="21">
        <v>99</v>
      </c>
      <c r="K109" s="21">
        <v>1.32111</v>
      </c>
      <c r="L109">
        <f t="shared" si="12"/>
        <v>17.101111111111113</v>
      </c>
      <c r="M109">
        <f t="shared" si="13"/>
        <v>22.600144400000005</v>
      </c>
      <c r="N109" s="9"/>
      <c r="O109" s="21">
        <v>0.39856000000000003</v>
      </c>
      <c r="P109" s="21">
        <v>10.594799999999999</v>
      </c>
      <c r="Q109" s="21">
        <v>-1.4843800000000001E-2</v>
      </c>
      <c r="R109" s="21">
        <v>99</v>
      </c>
      <c r="S109" s="21">
        <v>0.39791900000000002</v>
      </c>
      <c r="T109">
        <f t="shared" si="14"/>
        <v>18.325679012345677</v>
      </c>
      <c r="U109">
        <f t="shared" si="15"/>
        <v>7.303882627160494</v>
      </c>
      <c r="X109" s="9"/>
      <c r="Y109" s="21">
        <v>1.3215600000000001</v>
      </c>
      <c r="Z109" s="21">
        <v>16.1736</v>
      </c>
      <c r="AA109" s="21">
        <v>-1.40839E-2</v>
      </c>
      <c r="AB109" s="21">
        <v>99</v>
      </c>
      <c r="AC109" s="21">
        <v>1.3208</v>
      </c>
      <c r="AD109">
        <f t="shared" si="16"/>
        <v>17.387530864197529</v>
      </c>
      <c r="AE109">
        <f t="shared" si="17"/>
        <v>22.978665288888887</v>
      </c>
      <c r="AF109" s="9"/>
      <c r="AG109" s="21">
        <v>0.39856000000000003</v>
      </c>
      <c r="AH109" s="21">
        <v>20.033100000000001</v>
      </c>
      <c r="AI109" s="21">
        <v>-1.48132E-2</v>
      </c>
      <c r="AJ109" s="21">
        <v>99</v>
      </c>
      <c r="AK109" s="21">
        <v>0.397949</v>
      </c>
      <c r="AL109">
        <f t="shared" si="18"/>
        <v>18.287901234567901</v>
      </c>
      <c r="AM109">
        <f t="shared" si="19"/>
        <v>7.2888259160493831</v>
      </c>
      <c r="AP109" s="9"/>
      <c r="AQ109" s="21">
        <v>1.3215600000000001</v>
      </c>
      <c r="AR109" s="21">
        <v>25.581800000000001</v>
      </c>
      <c r="AS109" s="21">
        <v>-1.4129600000000001E-2</v>
      </c>
      <c r="AT109" s="21">
        <v>99</v>
      </c>
      <c r="AU109" s="21">
        <v>1.32111</v>
      </c>
      <c r="AV109">
        <f t="shared" si="20"/>
        <v>17.443950617283949</v>
      </c>
      <c r="AW109">
        <f t="shared" si="21"/>
        <v>23.053227377777777</v>
      </c>
      <c r="AX109" s="9"/>
      <c r="AY109" s="21">
        <v>0.39856000000000003</v>
      </c>
      <c r="AZ109" s="21">
        <v>29.441299999999998</v>
      </c>
      <c r="BA109" s="21">
        <v>-1.48346E-2</v>
      </c>
      <c r="BB109" s="21">
        <v>99</v>
      </c>
      <c r="BC109" s="21">
        <v>0.39800999999999997</v>
      </c>
      <c r="BD109">
        <f t="shared" si="22"/>
        <v>18.31432098765432</v>
      </c>
      <c r="BE109">
        <f t="shared" si="23"/>
        <v>7.2993557728395064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1.31653</v>
      </c>
      <c r="H110" s="21">
        <v>6.7454299999999998</v>
      </c>
      <c r="I110" s="21">
        <v>-1.38672E-2</v>
      </c>
      <c r="J110" s="21">
        <v>100</v>
      </c>
      <c r="K110" s="21">
        <v>1.31592</v>
      </c>
      <c r="L110">
        <f t="shared" si="12"/>
        <v>17.12</v>
      </c>
      <c r="M110">
        <f t="shared" si="13"/>
        <v>22.538993600000001</v>
      </c>
      <c r="N110" s="9"/>
      <c r="O110" s="21">
        <v>0.40359499999999998</v>
      </c>
      <c r="P110" s="21">
        <v>10.604900000000001</v>
      </c>
      <c r="Q110" s="21">
        <v>-1.48407E-2</v>
      </c>
      <c r="R110" s="21">
        <v>100</v>
      </c>
      <c r="S110" s="21">
        <v>0.40286300000000003</v>
      </c>
      <c r="T110">
        <f t="shared" si="14"/>
        <v>18.32185185185185</v>
      </c>
      <c r="U110">
        <f t="shared" si="15"/>
        <v>7.3946077981481473</v>
      </c>
      <c r="X110" s="9"/>
      <c r="Y110" s="21">
        <v>1.31653</v>
      </c>
      <c r="Z110" s="21">
        <v>16.183700000000002</v>
      </c>
      <c r="AA110" s="21">
        <v>-1.409E-2</v>
      </c>
      <c r="AB110" s="21">
        <v>100</v>
      </c>
      <c r="AC110" s="21">
        <v>1.3156099999999999</v>
      </c>
      <c r="AD110">
        <f t="shared" si="16"/>
        <v>17.39506172839506</v>
      </c>
      <c r="AE110">
        <f t="shared" si="17"/>
        <v>22.901120617283947</v>
      </c>
      <c r="AF110" s="9"/>
      <c r="AG110" s="21">
        <v>0.40359499999999998</v>
      </c>
      <c r="AH110" s="21">
        <v>20.043099999999999</v>
      </c>
      <c r="AI110" s="21">
        <v>-1.4816299999999999E-2</v>
      </c>
      <c r="AJ110" s="21">
        <v>100</v>
      </c>
      <c r="AK110" s="21">
        <v>0.40298499999999998</v>
      </c>
      <c r="AL110">
        <f t="shared" si="18"/>
        <v>18.291728395061728</v>
      </c>
      <c r="AM110">
        <f t="shared" si="19"/>
        <v>7.3824501216049381</v>
      </c>
      <c r="AP110" s="9"/>
      <c r="AQ110" s="21">
        <v>1.31653</v>
      </c>
      <c r="AR110" s="21">
        <v>25.591899999999999</v>
      </c>
      <c r="AS110" s="21">
        <v>-1.4135699999999999E-2</v>
      </c>
      <c r="AT110" s="21">
        <v>100</v>
      </c>
      <c r="AU110" s="21">
        <v>1.31592</v>
      </c>
      <c r="AV110">
        <f t="shared" si="20"/>
        <v>17.45148148148148</v>
      </c>
      <c r="AW110">
        <f t="shared" si="21"/>
        <v>22.975398914814811</v>
      </c>
      <c r="AX110" s="9"/>
      <c r="AY110" s="21">
        <v>0.40359499999999998</v>
      </c>
      <c r="AZ110" s="21">
        <v>29.4514</v>
      </c>
      <c r="BA110" s="21">
        <v>-1.48407E-2</v>
      </c>
      <c r="BB110" s="21">
        <v>100</v>
      </c>
      <c r="BC110" s="21">
        <v>0.40304600000000002</v>
      </c>
      <c r="BD110">
        <f t="shared" si="22"/>
        <v>18.32185185185185</v>
      </c>
      <c r="BE110">
        <f t="shared" si="23"/>
        <v>7.3946077981481473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1.31149</v>
      </c>
      <c r="H111" s="21">
        <v>6.7555100000000001</v>
      </c>
      <c r="I111" s="21">
        <v>-1.38916E-2</v>
      </c>
      <c r="J111" s="21">
        <v>101</v>
      </c>
      <c r="K111" s="21">
        <v>1.31073</v>
      </c>
      <c r="L111">
        <f t="shared" si="12"/>
        <v>17.150123456790123</v>
      </c>
      <c r="M111">
        <f t="shared" si="13"/>
        <v>22.492215412345679</v>
      </c>
      <c r="N111" s="9"/>
      <c r="O111" s="21">
        <v>0.40862999999999999</v>
      </c>
      <c r="P111" s="21">
        <v>10.615</v>
      </c>
      <c r="Q111" s="21">
        <v>-1.4843800000000001E-2</v>
      </c>
      <c r="R111" s="21">
        <v>101</v>
      </c>
      <c r="S111" s="21">
        <v>0.40801999999999999</v>
      </c>
      <c r="T111">
        <f t="shared" si="14"/>
        <v>18.325679012345677</v>
      </c>
      <c r="U111">
        <f t="shared" si="15"/>
        <v>7.4884222148148138</v>
      </c>
      <c r="X111" s="9"/>
      <c r="Y111" s="21">
        <v>1.31149</v>
      </c>
      <c r="Z111" s="21">
        <v>16.1937</v>
      </c>
      <c r="AA111" s="21">
        <v>-1.40961E-2</v>
      </c>
      <c r="AB111" s="21">
        <v>101</v>
      </c>
      <c r="AC111" s="21">
        <v>1.31104</v>
      </c>
      <c r="AD111">
        <f t="shared" si="16"/>
        <v>17.40259259259259</v>
      </c>
      <c r="AE111">
        <f t="shared" si="17"/>
        <v>22.823326159259256</v>
      </c>
      <c r="AF111" s="9"/>
      <c r="AG111" s="21">
        <v>0.40862999999999999</v>
      </c>
      <c r="AH111" s="21">
        <v>20.0532</v>
      </c>
      <c r="AI111" s="21">
        <v>-1.4819300000000001E-2</v>
      </c>
      <c r="AJ111" s="21">
        <v>101</v>
      </c>
      <c r="AK111" s="21">
        <v>0.40801999999999999</v>
      </c>
      <c r="AL111">
        <f t="shared" si="18"/>
        <v>18.295432098765431</v>
      </c>
      <c r="AM111">
        <f t="shared" si="19"/>
        <v>7.4760624185185183</v>
      </c>
      <c r="AP111" s="9"/>
      <c r="AQ111" s="21">
        <v>1.31149</v>
      </c>
      <c r="AR111" s="21">
        <v>25.602</v>
      </c>
      <c r="AS111" s="21">
        <v>-1.41418E-2</v>
      </c>
      <c r="AT111" s="21">
        <v>101</v>
      </c>
      <c r="AU111" s="21">
        <v>1.31073</v>
      </c>
      <c r="AV111">
        <f t="shared" si="20"/>
        <v>17.45901234567901</v>
      </c>
      <c r="AW111">
        <f t="shared" si="21"/>
        <v>22.897320101234566</v>
      </c>
      <c r="AX111" s="9"/>
      <c r="AY111" s="21">
        <v>0.40862999999999999</v>
      </c>
      <c r="AZ111" s="21">
        <v>29.461400000000001</v>
      </c>
      <c r="BA111" s="21">
        <v>-1.48468E-2</v>
      </c>
      <c r="BB111" s="21">
        <v>101</v>
      </c>
      <c r="BC111" s="21">
        <v>0.40795900000000002</v>
      </c>
      <c r="BD111">
        <f t="shared" si="22"/>
        <v>18.329382716049381</v>
      </c>
      <c r="BE111">
        <f t="shared" si="23"/>
        <v>7.4899356592592579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1.30646</v>
      </c>
      <c r="H112" s="21">
        <v>6.7655799999999999</v>
      </c>
      <c r="I112" s="21">
        <v>-1.39069E-2</v>
      </c>
      <c r="J112" s="21">
        <v>102</v>
      </c>
      <c r="K112" s="21">
        <v>1.3061499999999999</v>
      </c>
      <c r="L112">
        <f t="shared" si="12"/>
        <v>17.169012345679011</v>
      </c>
      <c r="M112">
        <f t="shared" si="13"/>
        <v>22.430627869135801</v>
      </c>
      <c r="N112" s="9"/>
      <c r="O112" s="21">
        <v>0.41366599999999998</v>
      </c>
      <c r="P112" s="21">
        <v>10.6251</v>
      </c>
      <c r="Q112" s="21">
        <v>-1.48468E-2</v>
      </c>
      <c r="R112" s="21">
        <v>102</v>
      </c>
      <c r="S112" s="21">
        <v>0.41299400000000003</v>
      </c>
      <c r="T112">
        <f t="shared" si="14"/>
        <v>18.329382716049381</v>
      </c>
      <c r="U112">
        <f t="shared" si="15"/>
        <v>7.5822424306172822</v>
      </c>
      <c r="X112" s="9"/>
      <c r="Y112" s="21">
        <v>1.30646</v>
      </c>
      <c r="Z112" s="21">
        <v>16.203800000000001</v>
      </c>
      <c r="AA112" s="21">
        <v>-1.4108300000000001E-2</v>
      </c>
      <c r="AB112" s="21">
        <v>102</v>
      </c>
      <c r="AC112" s="21">
        <v>1.30585</v>
      </c>
      <c r="AD112">
        <f t="shared" si="16"/>
        <v>17.417654320987655</v>
      </c>
      <c r="AE112">
        <f t="shared" si="17"/>
        <v>22.755468664197529</v>
      </c>
      <c r="AF112" s="9"/>
      <c r="AG112" s="21">
        <v>0.41366599999999998</v>
      </c>
      <c r="AH112" s="21">
        <v>20.063300000000002</v>
      </c>
      <c r="AI112" s="21">
        <v>-1.4816299999999999E-2</v>
      </c>
      <c r="AJ112" s="21">
        <v>102</v>
      </c>
      <c r="AK112" s="21">
        <v>0.41317700000000002</v>
      </c>
      <c r="AL112">
        <f t="shared" si="18"/>
        <v>18.291728395061728</v>
      </c>
      <c r="AM112">
        <f t="shared" si="19"/>
        <v>7.5666661182716046</v>
      </c>
      <c r="AP112" s="9"/>
      <c r="AQ112" s="21">
        <v>1.30646</v>
      </c>
      <c r="AR112" s="21">
        <v>25.611999999999998</v>
      </c>
      <c r="AS112" s="21">
        <v>-1.4151E-2</v>
      </c>
      <c r="AT112" s="21">
        <v>102</v>
      </c>
      <c r="AU112" s="21">
        <v>1.3055399999999999</v>
      </c>
      <c r="AV112">
        <f t="shared" si="20"/>
        <v>17.470370370370368</v>
      </c>
      <c r="AW112">
        <f t="shared" si="21"/>
        <v>22.824340074074069</v>
      </c>
      <c r="AX112" s="9"/>
      <c r="AY112" s="21">
        <v>0.41366599999999998</v>
      </c>
      <c r="AZ112" s="21">
        <v>29.471499999999999</v>
      </c>
      <c r="BA112" s="21">
        <v>-1.48529E-2</v>
      </c>
      <c r="BB112" s="21">
        <v>102</v>
      </c>
      <c r="BC112" s="21">
        <v>0.41293299999999999</v>
      </c>
      <c r="BD112">
        <f t="shared" si="22"/>
        <v>18.336913580246915</v>
      </c>
      <c r="BE112">
        <f t="shared" si="23"/>
        <v>7.5853576930864195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1.30142</v>
      </c>
      <c r="H113" s="21">
        <v>6.7756499999999997</v>
      </c>
      <c r="I113" s="21">
        <v>-1.39191E-2</v>
      </c>
      <c r="J113" s="21">
        <v>103</v>
      </c>
      <c r="K113" s="21">
        <v>1.3009599999999999</v>
      </c>
      <c r="L113">
        <f t="shared" si="12"/>
        <v>17.184074074074076</v>
      </c>
      <c r="M113">
        <f t="shared" si="13"/>
        <v>22.363697681481483</v>
      </c>
      <c r="N113" s="9"/>
      <c r="O113" s="21">
        <v>0.41870099999999999</v>
      </c>
      <c r="P113" s="21">
        <v>10.6351</v>
      </c>
      <c r="Q113" s="21">
        <v>-1.48468E-2</v>
      </c>
      <c r="R113" s="21">
        <v>103</v>
      </c>
      <c r="S113" s="21">
        <v>0.41805999999999999</v>
      </c>
      <c r="T113">
        <f t="shared" si="14"/>
        <v>18.329382716049381</v>
      </c>
      <c r="U113">
        <f t="shared" si="15"/>
        <v>7.6745308725925918</v>
      </c>
      <c r="X113" s="9"/>
      <c r="Y113" s="21">
        <v>1.30142</v>
      </c>
      <c r="Z113" s="21">
        <v>16.213899999999999</v>
      </c>
      <c r="AA113" s="21">
        <v>-1.4123500000000001E-2</v>
      </c>
      <c r="AB113" s="21">
        <v>103</v>
      </c>
      <c r="AC113" s="21">
        <v>1.3009599999999999</v>
      </c>
      <c r="AD113">
        <f t="shared" si="16"/>
        <v>17.436419753086419</v>
      </c>
      <c r="AE113">
        <f t="shared" si="17"/>
        <v>22.692105395061727</v>
      </c>
      <c r="AF113" s="9"/>
      <c r="AG113" s="21">
        <v>0.41870099999999999</v>
      </c>
      <c r="AH113" s="21">
        <v>20.0733</v>
      </c>
      <c r="AI113" s="21">
        <v>-1.48071E-2</v>
      </c>
      <c r="AJ113" s="21">
        <v>103</v>
      </c>
      <c r="AK113" s="21">
        <v>0.41809099999999999</v>
      </c>
      <c r="AL113">
        <f t="shared" si="18"/>
        <v>18.28037037037037</v>
      </c>
      <c r="AM113">
        <f t="shared" si="19"/>
        <v>7.6540093544444439</v>
      </c>
      <c r="AP113" s="9"/>
      <c r="AQ113" s="21">
        <v>1.30142</v>
      </c>
      <c r="AR113" s="21">
        <v>25.6221</v>
      </c>
      <c r="AS113" s="21">
        <v>-1.41663E-2</v>
      </c>
      <c r="AT113" s="21">
        <v>103</v>
      </c>
      <c r="AU113" s="21">
        <v>1.3015699999999999</v>
      </c>
      <c r="AV113">
        <f t="shared" si="20"/>
        <v>17.489259259259256</v>
      </c>
      <c r="AW113">
        <f t="shared" si="21"/>
        <v>22.760871785185181</v>
      </c>
      <c r="AX113" s="9"/>
      <c r="AY113" s="21">
        <v>0.41870099999999999</v>
      </c>
      <c r="AZ113" s="21">
        <v>29.4816</v>
      </c>
      <c r="BA113" s="21">
        <v>-1.4843800000000001E-2</v>
      </c>
      <c r="BB113" s="21">
        <v>103</v>
      </c>
      <c r="BC113" s="21">
        <v>0.41824299999999998</v>
      </c>
      <c r="BD113">
        <f t="shared" si="22"/>
        <v>18.325679012345677</v>
      </c>
      <c r="BE113">
        <f t="shared" si="23"/>
        <v>7.6729801281481471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1.2963899999999999</v>
      </c>
      <c r="H114" s="21">
        <v>6.7857200000000004</v>
      </c>
      <c r="I114" s="21">
        <v>-1.39252E-2</v>
      </c>
      <c r="J114" s="21">
        <v>104</v>
      </c>
      <c r="K114" s="21">
        <v>1.2954699999999999</v>
      </c>
      <c r="L114">
        <f t="shared" si="12"/>
        <v>17.191604938271606</v>
      </c>
      <c r="M114">
        <f t="shared" si="13"/>
        <v>22.287024725925928</v>
      </c>
      <c r="N114" s="9"/>
      <c r="O114" s="21">
        <v>0.42373699999999997</v>
      </c>
      <c r="P114" s="21">
        <v>10.645200000000001</v>
      </c>
      <c r="Q114" s="21">
        <v>-1.4849899999999999E-2</v>
      </c>
      <c r="R114" s="21">
        <v>104</v>
      </c>
      <c r="S114" s="21">
        <v>0.423126</v>
      </c>
      <c r="T114">
        <f t="shared" si="14"/>
        <v>18.333209876543208</v>
      </c>
      <c r="U114">
        <f t="shared" si="15"/>
        <v>7.7684593534567892</v>
      </c>
      <c r="X114" s="9"/>
      <c r="Y114" s="21">
        <v>1.2963899999999999</v>
      </c>
      <c r="Z114" s="21">
        <v>16.2239</v>
      </c>
      <c r="AA114" s="21">
        <v>-1.41449E-2</v>
      </c>
      <c r="AB114" s="21">
        <v>104</v>
      </c>
      <c r="AC114" s="21">
        <v>1.2957799999999999</v>
      </c>
      <c r="AD114">
        <f t="shared" si="16"/>
        <v>17.462839506172838</v>
      </c>
      <c r="AE114">
        <f t="shared" si="17"/>
        <v>22.638650507407405</v>
      </c>
      <c r="AF114" s="9"/>
      <c r="AG114" s="21">
        <v>0.42373699999999997</v>
      </c>
      <c r="AH114" s="21">
        <v>20.083400000000001</v>
      </c>
      <c r="AI114" s="21">
        <v>-1.4801E-2</v>
      </c>
      <c r="AJ114" s="21">
        <v>104</v>
      </c>
      <c r="AK114" s="21">
        <v>0.42306500000000002</v>
      </c>
      <c r="AL114">
        <f t="shared" si="18"/>
        <v>18.27283950617284</v>
      </c>
      <c r="AM114">
        <f t="shared" si="19"/>
        <v>7.7428781938271598</v>
      </c>
      <c r="AP114" s="9"/>
      <c r="AQ114" s="21">
        <v>1.2963899999999999</v>
      </c>
      <c r="AR114" s="21">
        <v>25.632200000000001</v>
      </c>
      <c r="AS114" s="21">
        <v>-1.41876E-2</v>
      </c>
      <c r="AT114" s="21">
        <v>104</v>
      </c>
      <c r="AU114" s="21">
        <v>1.2951699999999999</v>
      </c>
      <c r="AV114">
        <f t="shared" si="20"/>
        <v>17.515555555555554</v>
      </c>
      <c r="AW114">
        <f t="shared" si="21"/>
        <v>22.706991066666664</v>
      </c>
      <c r="AX114" s="9"/>
      <c r="AY114" s="21">
        <v>0.42373699999999997</v>
      </c>
      <c r="AZ114" s="21">
        <v>29.491599999999998</v>
      </c>
      <c r="BA114" s="21">
        <v>-1.48407E-2</v>
      </c>
      <c r="BB114" s="21">
        <v>104</v>
      </c>
      <c r="BC114" s="21">
        <v>0.423126</v>
      </c>
      <c r="BD114">
        <f t="shared" si="22"/>
        <v>18.32185185185185</v>
      </c>
      <c r="BE114">
        <f t="shared" si="23"/>
        <v>7.763646538148147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1.29135</v>
      </c>
      <c r="H115" s="21">
        <v>6.7957900000000002</v>
      </c>
      <c r="I115" s="21">
        <v>-1.39343E-2</v>
      </c>
      <c r="J115" s="21">
        <v>105</v>
      </c>
      <c r="K115" s="21">
        <v>1.2905899999999999</v>
      </c>
      <c r="L115">
        <f t="shared" si="12"/>
        <v>17.202839506172836</v>
      </c>
      <c r="M115">
        <f t="shared" si="13"/>
        <v>22.214886796296291</v>
      </c>
      <c r="N115" s="9"/>
      <c r="O115" s="21">
        <v>0.42877199999999999</v>
      </c>
      <c r="P115" s="21">
        <v>10.6553</v>
      </c>
      <c r="Q115" s="21">
        <v>-1.4843800000000001E-2</v>
      </c>
      <c r="R115" s="21">
        <v>105</v>
      </c>
      <c r="S115" s="21">
        <v>0.42822300000000002</v>
      </c>
      <c r="T115">
        <f t="shared" si="14"/>
        <v>18.325679012345677</v>
      </c>
      <c r="U115">
        <f t="shared" si="15"/>
        <v>7.8575380414814804</v>
      </c>
      <c r="X115" s="9"/>
      <c r="Y115" s="21">
        <v>1.29135</v>
      </c>
      <c r="Z115" s="21">
        <v>16.234000000000002</v>
      </c>
      <c r="AA115" s="21">
        <v>-1.41602E-2</v>
      </c>
      <c r="AB115" s="21">
        <v>105</v>
      </c>
      <c r="AC115" s="21">
        <v>1.2902800000000001</v>
      </c>
      <c r="AD115">
        <f t="shared" si="16"/>
        <v>17.481728395061729</v>
      </c>
      <c r="AE115">
        <f t="shared" si="17"/>
        <v>22.575029962962965</v>
      </c>
      <c r="AF115" s="9"/>
      <c r="AG115" s="21">
        <v>0.42877199999999999</v>
      </c>
      <c r="AH115" s="21">
        <v>20.093499999999999</v>
      </c>
      <c r="AI115" s="21">
        <v>-1.4798E-2</v>
      </c>
      <c r="AJ115" s="21">
        <v>105</v>
      </c>
      <c r="AK115" s="21">
        <v>0.42816199999999999</v>
      </c>
      <c r="AL115">
        <f t="shared" si="18"/>
        <v>18.269135802469137</v>
      </c>
      <c r="AM115">
        <f t="shared" si="19"/>
        <v>7.8332938962962961</v>
      </c>
      <c r="AP115" s="9"/>
      <c r="AQ115" s="21">
        <v>1.29135</v>
      </c>
      <c r="AR115" s="21">
        <v>25.642199999999999</v>
      </c>
      <c r="AS115" s="21">
        <v>-1.42059E-2</v>
      </c>
      <c r="AT115" s="21">
        <v>105</v>
      </c>
      <c r="AU115" s="21">
        <v>1.2905899999999999</v>
      </c>
      <c r="AV115">
        <f t="shared" si="20"/>
        <v>17.538148148148146</v>
      </c>
      <c r="AW115">
        <f t="shared" si="21"/>
        <v>22.647887611111109</v>
      </c>
      <c r="AX115" s="9"/>
      <c r="AY115" s="21">
        <v>0.42877199999999999</v>
      </c>
      <c r="AZ115" s="21">
        <v>29.5017</v>
      </c>
      <c r="BA115" s="21">
        <v>-1.4825400000000001E-2</v>
      </c>
      <c r="BB115" s="21">
        <v>105</v>
      </c>
      <c r="BC115" s="21">
        <v>0.42813099999999998</v>
      </c>
      <c r="BD115">
        <f t="shared" si="22"/>
        <v>18.302962962962962</v>
      </c>
      <c r="BE115">
        <f t="shared" si="23"/>
        <v>7.847798035555555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1.2863199999999999</v>
      </c>
      <c r="H116" s="21">
        <v>6.80586</v>
      </c>
      <c r="I116" s="21">
        <v>-1.39496E-2</v>
      </c>
      <c r="J116" s="21">
        <v>106</v>
      </c>
      <c r="K116" s="21">
        <v>1.2850999999999999</v>
      </c>
      <c r="L116">
        <f t="shared" si="12"/>
        <v>17.221728395061724</v>
      </c>
      <c r="M116">
        <f t="shared" si="13"/>
        <v>22.152653669135795</v>
      </c>
      <c r="N116" s="9"/>
      <c r="O116" s="21">
        <v>0.433807</v>
      </c>
      <c r="P116" s="21">
        <v>10.6653</v>
      </c>
      <c r="Q116" s="21">
        <v>-1.48468E-2</v>
      </c>
      <c r="R116" s="21">
        <v>106</v>
      </c>
      <c r="S116" s="21">
        <v>0.43331900000000001</v>
      </c>
      <c r="T116">
        <f t="shared" si="14"/>
        <v>18.329382716049381</v>
      </c>
      <c r="U116">
        <f t="shared" si="15"/>
        <v>7.9514145279012336</v>
      </c>
      <c r="X116" s="9"/>
      <c r="Y116" s="21">
        <v>1.2863199999999999</v>
      </c>
      <c r="Z116" s="21">
        <v>16.2441</v>
      </c>
      <c r="AA116" s="21">
        <v>-1.4163200000000001E-2</v>
      </c>
      <c r="AB116" s="21">
        <v>106</v>
      </c>
      <c r="AC116" s="21">
        <v>1.2860100000000001</v>
      </c>
      <c r="AD116">
        <f t="shared" si="16"/>
        <v>17.485432098765433</v>
      </c>
      <c r="AE116">
        <f t="shared" si="17"/>
        <v>22.491861017283949</v>
      </c>
      <c r="AF116" s="9"/>
      <c r="AG116" s="21">
        <v>0.433807</v>
      </c>
      <c r="AH116" s="21">
        <v>20.1036</v>
      </c>
      <c r="AI116" s="21">
        <v>-1.47949E-2</v>
      </c>
      <c r="AJ116" s="21">
        <v>106</v>
      </c>
      <c r="AK116" s="21">
        <v>0.43316700000000002</v>
      </c>
      <c r="AL116">
        <f t="shared" si="18"/>
        <v>18.265308641975306</v>
      </c>
      <c r="AM116">
        <f t="shared" si="19"/>
        <v>7.9236187460493817</v>
      </c>
      <c r="AP116" s="9"/>
      <c r="AQ116" s="21">
        <v>1.2863199999999999</v>
      </c>
      <c r="AR116" s="21">
        <v>25.6523</v>
      </c>
      <c r="AS116" s="21">
        <v>-1.42212E-2</v>
      </c>
      <c r="AT116" s="21">
        <v>106</v>
      </c>
      <c r="AU116" s="21">
        <v>1.2860100000000001</v>
      </c>
      <c r="AV116">
        <f t="shared" si="20"/>
        <v>17.557037037037034</v>
      </c>
      <c r="AW116">
        <f t="shared" si="21"/>
        <v>22.583967881481477</v>
      </c>
      <c r="AX116" s="9"/>
      <c r="AY116" s="21">
        <v>0.433807</v>
      </c>
      <c r="AZ116" s="21">
        <v>29.511800000000001</v>
      </c>
      <c r="BA116" s="21">
        <v>-1.4810200000000001E-2</v>
      </c>
      <c r="BB116" s="21">
        <v>106</v>
      </c>
      <c r="BC116" s="21">
        <v>0.43325799999999998</v>
      </c>
      <c r="BD116">
        <f t="shared" si="22"/>
        <v>18.284197530864198</v>
      </c>
      <c r="BE116">
        <f t="shared" si="23"/>
        <v>7.9318128782716046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1.28128</v>
      </c>
      <c r="H117" s="21">
        <v>6.8159299999999998</v>
      </c>
      <c r="I117" s="21">
        <v>-1.39618E-2</v>
      </c>
      <c r="J117" s="21">
        <v>107</v>
      </c>
      <c r="K117" s="21">
        <v>1.2805200000000001</v>
      </c>
      <c r="L117">
        <f t="shared" si="12"/>
        <v>17.236790123456789</v>
      </c>
      <c r="M117">
        <f t="shared" si="13"/>
        <v>22.085154449382713</v>
      </c>
      <c r="N117" s="9"/>
      <c r="O117" s="21">
        <v>0.43884299999999998</v>
      </c>
      <c r="P117" s="21">
        <v>10.6754</v>
      </c>
      <c r="Q117" s="21">
        <v>-1.48529E-2</v>
      </c>
      <c r="R117" s="21">
        <v>107</v>
      </c>
      <c r="S117" s="21">
        <v>0.43826300000000001</v>
      </c>
      <c r="T117">
        <f t="shared" si="14"/>
        <v>18.336913580246915</v>
      </c>
      <c r="U117">
        <f t="shared" si="15"/>
        <v>8.0470261662962965</v>
      </c>
      <c r="X117" s="9"/>
      <c r="Y117" s="21">
        <v>1.28128</v>
      </c>
      <c r="Z117" s="21">
        <v>16.254200000000001</v>
      </c>
      <c r="AA117" s="21">
        <v>-1.4169299999999999E-2</v>
      </c>
      <c r="AB117" s="21">
        <v>107</v>
      </c>
      <c r="AC117" s="21">
        <v>1.2805200000000001</v>
      </c>
      <c r="AD117">
        <f t="shared" si="16"/>
        <v>17.492962962962959</v>
      </c>
      <c r="AE117">
        <f t="shared" si="17"/>
        <v>22.41338358518518</v>
      </c>
      <c r="AF117" s="9"/>
      <c r="AG117" s="21">
        <v>0.43884299999999998</v>
      </c>
      <c r="AH117" s="21">
        <v>20.113600000000002</v>
      </c>
      <c r="AI117" s="21">
        <v>-1.4804100000000001E-2</v>
      </c>
      <c r="AJ117" s="21">
        <v>107</v>
      </c>
      <c r="AK117" s="21">
        <v>0.43823200000000001</v>
      </c>
      <c r="AL117">
        <f t="shared" si="18"/>
        <v>18.276666666666667</v>
      </c>
      <c r="AM117">
        <f t="shared" si="19"/>
        <v>8.0205872300000003</v>
      </c>
      <c r="AP117" s="9"/>
      <c r="AQ117" s="21">
        <v>1.28128</v>
      </c>
      <c r="AR117" s="21">
        <v>25.662400000000002</v>
      </c>
      <c r="AS117" s="21">
        <v>-1.42303E-2</v>
      </c>
      <c r="AT117" s="21">
        <v>107</v>
      </c>
      <c r="AU117" s="21">
        <v>1.2805200000000001</v>
      </c>
      <c r="AV117">
        <f t="shared" si="20"/>
        <v>17.568271604938271</v>
      </c>
      <c r="AW117">
        <f t="shared" si="21"/>
        <v>22.509875041975306</v>
      </c>
      <c r="AX117" s="9"/>
      <c r="AY117" s="21">
        <v>0.43884299999999998</v>
      </c>
      <c r="AZ117" s="21">
        <v>29.521899999999999</v>
      </c>
      <c r="BA117" s="21">
        <v>-1.4810200000000001E-2</v>
      </c>
      <c r="BB117" s="21">
        <v>107</v>
      </c>
      <c r="BC117" s="21">
        <v>0.43817099999999998</v>
      </c>
      <c r="BD117">
        <f t="shared" si="22"/>
        <v>18.284197530864198</v>
      </c>
      <c r="BE117">
        <f t="shared" si="23"/>
        <v>8.0238920970370362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1.2762500000000001</v>
      </c>
      <c r="H118" s="21">
        <v>6.8259999999999996</v>
      </c>
      <c r="I118" s="21">
        <v>-1.3974E-2</v>
      </c>
      <c r="J118" s="21">
        <v>108</v>
      </c>
      <c r="K118" s="21">
        <v>1.2753300000000001</v>
      </c>
      <c r="L118">
        <f t="shared" si="12"/>
        <v>17.251851851851853</v>
      </c>
      <c r="M118">
        <f t="shared" si="13"/>
        <v>22.017675925925928</v>
      </c>
      <c r="N118" s="9"/>
      <c r="O118" s="21">
        <v>0.44387799999999999</v>
      </c>
      <c r="P118" s="21">
        <v>10.685499999999999</v>
      </c>
      <c r="Q118" s="21">
        <v>-1.48529E-2</v>
      </c>
      <c r="R118" s="21">
        <v>108</v>
      </c>
      <c r="S118" s="21">
        <v>0.44323699999999999</v>
      </c>
      <c r="T118">
        <f t="shared" si="14"/>
        <v>18.336913580246915</v>
      </c>
      <c r="U118">
        <f t="shared" si="15"/>
        <v>8.1393525261728392</v>
      </c>
      <c r="X118" s="9"/>
      <c r="Y118" s="21">
        <v>1.2762500000000001</v>
      </c>
      <c r="Z118" s="21">
        <v>16.264199999999999</v>
      </c>
      <c r="AA118" s="21">
        <v>-1.41663E-2</v>
      </c>
      <c r="AB118" s="21">
        <v>108</v>
      </c>
      <c r="AC118" s="21">
        <v>1.27502</v>
      </c>
      <c r="AD118">
        <f t="shared" si="16"/>
        <v>17.489259259259256</v>
      </c>
      <c r="AE118">
        <f t="shared" si="17"/>
        <v>22.320667129629626</v>
      </c>
      <c r="AF118" s="9"/>
      <c r="AG118" s="21">
        <v>0.44387799999999999</v>
      </c>
      <c r="AH118" s="21">
        <v>20.123699999999999</v>
      </c>
      <c r="AI118" s="21">
        <v>-1.4810200000000001E-2</v>
      </c>
      <c r="AJ118" s="21">
        <v>108</v>
      </c>
      <c r="AK118" s="21">
        <v>0.44332899999999997</v>
      </c>
      <c r="AL118">
        <f t="shared" si="18"/>
        <v>18.284197530864198</v>
      </c>
      <c r="AM118">
        <f t="shared" si="19"/>
        <v>8.1159530316049384</v>
      </c>
      <c r="AP118" s="9"/>
      <c r="AQ118" s="21">
        <v>1.2762500000000001</v>
      </c>
      <c r="AR118" s="21">
        <v>25.6724</v>
      </c>
      <c r="AS118" s="21">
        <v>-1.42334E-2</v>
      </c>
      <c r="AT118" s="21">
        <v>108</v>
      </c>
      <c r="AU118" s="21">
        <v>1.2759400000000001</v>
      </c>
      <c r="AV118">
        <f t="shared" si="20"/>
        <v>17.572098765432099</v>
      </c>
      <c r="AW118">
        <f t="shared" si="21"/>
        <v>22.426391049382719</v>
      </c>
      <c r="AX118" s="9"/>
      <c r="AY118" s="21">
        <v>0.44387799999999999</v>
      </c>
      <c r="AZ118" s="21">
        <v>29.5319</v>
      </c>
      <c r="BA118" s="21">
        <v>-1.48132E-2</v>
      </c>
      <c r="BB118" s="21">
        <v>108</v>
      </c>
      <c r="BC118" s="21">
        <v>0.44332899999999997</v>
      </c>
      <c r="BD118">
        <f t="shared" si="22"/>
        <v>18.287901234567901</v>
      </c>
      <c r="BE118">
        <f t="shared" si="23"/>
        <v>8.117597024197531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1.27121</v>
      </c>
      <c r="H119" s="21">
        <v>6.8360700000000003</v>
      </c>
      <c r="I119" s="21">
        <v>-1.3983199999999999E-2</v>
      </c>
      <c r="J119" s="21">
        <v>109</v>
      </c>
      <c r="K119" s="21">
        <v>1.27075</v>
      </c>
      <c r="L119">
        <f t="shared" si="12"/>
        <v>17.263209876543208</v>
      </c>
      <c r="M119">
        <f t="shared" si="13"/>
        <v>21.945165027160488</v>
      </c>
      <c r="N119" s="9"/>
      <c r="O119" s="21">
        <v>0.44891399999999998</v>
      </c>
      <c r="P119" s="21">
        <v>10.695499999999999</v>
      </c>
      <c r="Q119" s="21">
        <v>-1.4855999999999999E-2</v>
      </c>
      <c r="R119" s="21">
        <v>109</v>
      </c>
      <c r="S119" s="21">
        <v>0.44830300000000001</v>
      </c>
      <c r="T119">
        <f t="shared" si="14"/>
        <v>18.340740740740738</v>
      </c>
      <c r="U119">
        <f t="shared" si="15"/>
        <v>8.233415288888887</v>
      </c>
      <c r="X119" s="9"/>
      <c r="Y119" s="21">
        <v>1.27121</v>
      </c>
      <c r="Z119" s="21">
        <v>16.2743</v>
      </c>
      <c r="AA119" s="21">
        <v>-1.41815E-2</v>
      </c>
      <c r="AB119" s="21">
        <v>109</v>
      </c>
      <c r="AC119" s="21">
        <v>1.2704500000000001</v>
      </c>
      <c r="AD119">
        <f t="shared" si="16"/>
        <v>17.508024691358024</v>
      </c>
      <c r="AE119">
        <f t="shared" si="17"/>
        <v>22.256376067901233</v>
      </c>
      <c r="AF119" s="9"/>
      <c r="AG119" s="21">
        <v>0.44891399999999998</v>
      </c>
      <c r="AH119" s="21">
        <v>20.133800000000001</v>
      </c>
      <c r="AI119" s="21">
        <v>-1.48071E-2</v>
      </c>
      <c r="AJ119" s="21">
        <v>109</v>
      </c>
      <c r="AK119" s="21">
        <v>0.44830300000000001</v>
      </c>
      <c r="AL119">
        <f t="shared" si="18"/>
        <v>18.28037037037037</v>
      </c>
      <c r="AM119">
        <f t="shared" si="19"/>
        <v>8.2063141844444445</v>
      </c>
      <c r="AP119" s="9"/>
      <c r="AQ119" s="21">
        <v>1.27121</v>
      </c>
      <c r="AR119" s="21">
        <v>25.682500000000001</v>
      </c>
      <c r="AS119" s="21">
        <v>-1.4242599999999999E-2</v>
      </c>
      <c r="AT119" s="21">
        <v>109</v>
      </c>
      <c r="AU119" s="21">
        <v>1.2710600000000001</v>
      </c>
      <c r="AV119">
        <f t="shared" si="20"/>
        <v>17.583456790123453</v>
      </c>
      <c r="AW119">
        <f t="shared" si="21"/>
        <v>22.352266106172834</v>
      </c>
      <c r="AX119" s="9"/>
      <c r="AY119" s="21">
        <v>0.44891399999999998</v>
      </c>
      <c r="AZ119" s="21">
        <v>29.542000000000002</v>
      </c>
      <c r="BA119" s="21">
        <v>-1.4816299999999999E-2</v>
      </c>
      <c r="BB119" s="21">
        <v>109</v>
      </c>
      <c r="BC119" s="21">
        <v>0.44836399999999998</v>
      </c>
      <c r="BD119">
        <f t="shared" si="22"/>
        <v>18.291728395061728</v>
      </c>
      <c r="BE119">
        <f t="shared" si="23"/>
        <v>8.2114129607407396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1.26617</v>
      </c>
      <c r="H120" s="21">
        <v>6.8461400000000001</v>
      </c>
      <c r="I120" s="21">
        <v>-1.39954E-2</v>
      </c>
      <c r="J120" s="21">
        <v>110</v>
      </c>
      <c r="K120" s="21">
        <v>1.2652600000000001</v>
      </c>
      <c r="L120">
        <f t="shared" si="12"/>
        <v>17.278271604938272</v>
      </c>
      <c r="M120">
        <f t="shared" si="13"/>
        <v>21.877229158024694</v>
      </c>
      <c r="N120" s="9"/>
      <c r="O120" s="21">
        <v>0.45394899999999999</v>
      </c>
      <c r="P120" s="21">
        <v>10.7056</v>
      </c>
      <c r="Q120" s="21">
        <v>-1.48621E-2</v>
      </c>
      <c r="R120" s="21">
        <v>110</v>
      </c>
      <c r="S120" s="21">
        <v>0.45330799999999999</v>
      </c>
      <c r="T120">
        <f t="shared" si="14"/>
        <v>18.348271604938269</v>
      </c>
      <c r="U120">
        <f t="shared" si="15"/>
        <v>8.3291795467901224</v>
      </c>
      <c r="X120" s="9"/>
      <c r="Y120" s="21">
        <v>1.26617</v>
      </c>
      <c r="Z120" s="21">
        <v>16.284400000000002</v>
      </c>
      <c r="AA120" s="21">
        <v>-1.4190700000000001E-2</v>
      </c>
      <c r="AB120" s="21">
        <v>110</v>
      </c>
      <c r="AC120" s="21">
        <v>1.2658700000000001</v>
      </c>
      <c r="AD120">
        <f t="shared" si="16"/>
        <v>17.519382716049382</v>
      </c>
      <c r="AE120">
        <f t="shared" si="17"/>
        <v>22.182516813580246</v>
      </c>
      <c r="AF120" s="9"/>
      <c r="AG120" s="21">
        <v>0.45394899999999999</v>
      </c>
      <c r="AH120" s="21">
        <v>20.143799999999999</v>
      </c>
      <c r="AI120" s="21">
        <v>-1.4801E-2</v>
      </c>
      <c r="AJ120" s="21">
        <v>110</v>
      </c>
      <c r="AK120" s="21">
        <v>0.45330799999999999</v>
      </c>
      <c r="AL120">
        <f t="shared" si="18"/>
        <v>18.27283950617284</v>
      </c>
      <c r="AM120">
        <f t="shared" si="19"/>
        <v>8.294937220987654</v>
      </c>
      <c r="AP120" s="9"/>
      <c r="AQ120" s="21">
        <v>1.26617</v>
      </c>
      <c r="AR120" s="21">
        <v>25.692599999999999</v>
      </c>
      <c r="AS120" s="21">
        <v>-1.4245600000000001E-2</v>
      </c>
      <c r="AT120" s="21">
        <v>110</v>
      </c>
      <c r="AU120" s="21">
        <v>1.26556</v>
      </c>
      <c r="AV120">
        <f t="shared" si="20"/>
        <v>17.58716049382716</v>
      </c>
      <c r="AW120">
        <f t="shared" si="21"/>
        <v>22.268335002469136</v>
      </c>
      <c r="AX120" s="9"/>
      <c r="AY120" s="21">
        <v>0.45394899999999999</v>
      </c>
      <c r="AZ120" s="21">
        <v>29.552099999999999</v>
      </c>
      <c r="BA120" s="21">
        <v>-1.4819300000000001E-2</v>
      </c>
      <c r="BB120" s="21">
        <v>110</v>
      </c>
      <c r="BC120" s="21">
        <v>0.45336900000000002</v>
      </c>
      <c r="BD120">
        <f t="shared" si="22"/>
        <v>18.295432098765431</v>
      </c>
      <c r="BE120">
        <f t="shared" si="23"/>
        <v>8.3051931058024682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1.2611399999999999</v>
      </c>
      <c r="H121" s="21">
        <v>6.8562200000000004</v>
      </c>
      <c r="I121" s="21">
        <v>-1.3998399999999999E-2</v>
      </c>
      <c r="J121" s="21">
        <v>111</v>
      </c>
      <c r="K121" s="21">
        <v>1.26007</v>
      </c>
      <c r="L121">
        <f t="shared" si="12"/>
        <v>17.281975308641975</v>
      </c>
      <c r="M121">
        <f t="shared" si="13"/>
        <v>21.794990340740739</v>
      </c>
      <c r="N121" s="9"/>
      <c r="O121" s="21">
        <v>0.458984</v>
      </c>
      <c r="P121" s="21">
        <v>10.7157</v>
      </c>
      <c r="Q121" s="21">
        <v>-1.4871199999999999E-2</v>
      </c>
      <c r="R121" s="21">
        <v>111</v>
      </c>
      <c r="S121" s="21">
        <v>0.45831300000000003</v>
      </c>
      <c r="T121">
        <f t="shared" si="14"/>
        <v>18.359506172839506</v>
      </c>
      <c r="U121">
        <f t="shared" si="15"/>
        <v>8.4267195812345683</v>
      </c>
      <c r="X121" s="9"/>
      <c r="Y121" s="21">
        <v>1.2611399999999999</v>
      </c>
      <c r="Z121" s="21">
        <v>16.2944</v>
      </c>
      <c r="AA121" s="21">
        <v>-1.4190700000000001E-2</v>
      </c>
      <c r="AB121" s="21">
        <v>111</v>
      </c>
      <c r="AC121" s="21">
        <v>1.2603800000000001</v>
      </c>
      <c r="AD121">
        <f t="shared" si="16"/>
        <v>17.519382716049382</v>
      </c>
      <c r="AE121">
        <f t="shared" si="17"/>
        <v>22.094394318518518</v>
      </c>
      <c r="AF121" s="9"/>
      <c r="AG121" s="21">
        <v>0.458984</v>
      </c>
      <c r="AH121" s="21">
        <v>20.1539</v>
      </c>
      <c r="AI121" s="21">
        <v>-1.47888E-2</v>
      </c>
      <c r="AJ121" s="21">
        <v>111</v>
      </c>
      <c r="AK121" s="21">
        <v>0.458374</v>
      </c>
      <c r="AL121">
        <f t="shared" si="18"/>
        <v>18.257777777777775</v>
      </c>
      <c r="AM121">
        <f t="shared" si="19"/>
        <v>8.3800278755555553</v>
      </c>
      <c r="AP121" s="9"/>
      <c r="AQ121" s="21">
        <v>1.2611399999999999</v>
      </c>
      <c r="AR121" s="21">
        <v>25.7027</v>
      </c>
      <c r="AS121" s="21">
        <v>-1.42609E-2</v>
      </c>
      <c r="AT121" s="21">
        <v>111</v>
      </c>
      <c r="AU121" s="21">
        <v>1.2609900000000001</v>
      </c>
      <c r="AV121">
        <f t="shared" si="20"/>
        <v>17.606049382716048</v>
      </c>
      <c r="AW121">
        <f t="shared" si="21"/>
        <v>22.203693118518515</v>
      </c>
      <c r="AX121" s="9"/>
      <c r="AY121" s="21">
        <v>0.458984</v>
      </c>
      <c r="AZ121" s="21">
        <v>29.562100000000001</v>
      </c>
      <c r="BA121" s="21">
        <v>-1.4816299999999999E-2</v>
      </c>
      <c r="BB121" s="21">
        <v>111</v>
      </c>
      <c r="BC121" s="21">
        <v>0.45828200000000002</v>
      </c>
      <c r="BD121">
        <f t="shared" si="22"/>
        <v>18.291728395061728</v>
      </c>
      <c r="BE121">
        <f t="shared" si="23"/>
        <v>8.3956106656790119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1.2561</v>
      </c>
      <c r="H122" s="21">
        <v>6.8662900000000002</v>
      </c>
      <c r="I122" s="21">
        <v>-1.40045E-2</v>
      </c>
      <c r="J122" s="21">
        <v>112</v>
      </c>
      <c r="K122" s="21">
        <v>1.25458</v>
      </c>
      <c r="L122">
        <f t="shared" si="12"/>
        <v>17.289506172839506</v>
      </c>
      <c r="M122">
        <f t="shared" si="13"/>
        <v>21.717348703703703</v>
      </c>
      <c r="N122" s="9"/>
      <c r="O122" s="21">
        <v>0.46401999999999999</v>
      </c>
      <c r="P122" s="21">
        <v>10.7258</v>
      </c>
      <c r="Q122" s="21">
        <v>-1.48682E-2</v>
      </c>
      <c r="R122" s="21">
        <v>112</v>
      </c>
      <c r="S122" s="21">
        <v>0.46337899999999999</v>
      </c>
      <c r="T122">
        <f t="shared" si="14"/>
        <v>18.355802469135799</v>
      </c>
      <c r="U122">
        <f t="shared" si="15"/>
        <v>8.517459461728393</v>
      </c>
      <c r="X122" s="9"/>
      <c r="Y122" s="21">
        <v>1.2561</v>
      </c>
      <c r="Z122" s="21">
        <v>16.304500000000001</v>
      </c>
      <c r="AA122" s="21">
        <v>-1.4196800000000001E-2</v>
      </c>
      <c r="AB122" s="21">
        <v>112</v>
      </c>
      <c r="AC122" s="21">
        <v>1.25519</v>
      </c>
      <c r="AD122">
        <f t="shared" si="16"/>
        <v>17.526913580246916</v>
      </c>
      <c r="AE122">
        <f t="shared" si="17"/>
        <v>22.01555614814815</v>
      </c>
      <c r="AF122" s="9"/>
      <c r="AG122" s="21">
        <v>0.46401999999999999</v>
      </c>
      <c r="AH122" s="21">
        <v>20.164000000000001</v>
      </c>
      <c r="AI122" s="21">
        <v>-1.4782699999999999E-2</v>
      </c>
      <c r="AJ122" s="21">
        <v>112</v>
      </c>
      <c r="AK122" s="21">
        <v>0.46334799999999998</v>
      </c>
      <c r="AL122">
        <f t="shared" si="18"/>
        <v>18.250246913580245</v>
      </c>
      <c r="AM122">
        <f t="shared" si="19"/>
        <v>8.4684795728395059</v>
      </c>
      <c r="AP122" s="9"/>
      <c r="AQ122" s="21">
        <v>1.2561</v>
      </c>
      <c r="AR122" s="21">
        <v>25.712700000000002</v>
      </c>
      <c r="AS122" s="21">
        <v>-1.4267E-2</v>
      </c>
      <c r="AT122" s="21">
        <v>112</v>
      </c>
      <c r="AU122" s="21">
        <v>1.2558</v>
      </c>
      <c r="AV122">
        <f t="shared" si="20"/>
        <v>17.613580246913582</v>
      </c>
      <c r="AW122">
        <f t="shared" si="21"/>
        <v>22.124418148148148</v>
      </c>
      <c r="AX122" s="9"/>
      <c r="AY122" s="21">
        <v>0.46401999999999999</v>
      </c>
      <c r="AZ122" s="21">
        <v>29.572199999999999</v>
      </c>
      <c r="BA122" s="21">
        <v>-1.4810200000000001E-2</v>
      </c>
      <c r="BB122" s="21">
        <v>112</v>
      </c>
      <c r="BC122" s="21">
        <v>0.46337899999999999</v>
      </c>
      <c r="BD122">
        <f t="shared" si="22"/>
        <v>18.284197530864198</v>
      </c>
      <c r="BE122">
        <f t="shared" si="23"/>
        <v>8.4842333382716042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1.2510699999999999</v>
      </c>
      <c r="H123" s="21">
        <v>6.87636</v>
      </c>
      <c r="I123" s="21">
        <v>-1.40076E-2</v>
      </c>
      <c r="J123" s="21">
        <v>113</v>
      </c>
      <c r="K123" s="21">
        <v>1.25031</v>
      </c>
      <c r="L123">
        <f t="shared" si="12"/>
        <v>17.293333333333333</v>
      </c>
      <c r="M123">
        <f t="shared" si="13"/>
        <v>21.63517053333333</v>
      </c>
      <c r="N123" s="9"/>
      <c r="O123" s="21">
        <v>0.469055</v>
      </c>
      <c r="P123" s="21">
        <v>10.735799999999999</v>
      </c>
      <c r="Q123" s="21">
        <v>-1.48621E-2</v>
      </c>
      <c r="R123" s="21">
        <v>113</v>
      </c>
      <c r="S123" s="21">
        <v>0.46847499999999997</v>
      </c>
      <c r="T123">
        <f t="shared" si="14"/>
        <v>18.348271604938269</v>
      </c>
      <c r="U123">
        <f t="shared" si="15"/>
        <v>8.6063485376543198</v>
      </c>
      <c r="X123" s="9"/>
      <c r="Y123" s="21">
        <v>1.2510699999999999</v>
      </c>
      <c r="Z123" s="21">
        <v>16.314599999999999</v>
      </c>
      <c r="AA123" s="21">
        <v>-1.41998E-2</v>
      </c>
      <c r="AB123" s="21">
        <v>113</v>
      </c>
      <c r="AC123" s="21">
        <v>1.25031</v>
      </c>
      <c r="AD123">
        <f t="shared" si="16"/>
        <v>17.530617283950615</v>
      </c>
      <c r="AE123">
        <f t="shared" si="17"/>
        <v>21.932029365432093</v>
      </c>
      <c r="AF123" s="9"/>
      <c r="AG123" s="21">
        <v>0.469055</v>
      </c>
      <c r="AH123" s="21">
        <v>20.173999999999999</v>
      </c>
      <c r="AI123" s="21">
        <v>-1.47797E-2</v>
      </c>
      <c r="AJ123" s="21">
        <v>113</v>
      </c>
      <c r="AK123" s="21">
        <v>0.46847499999999997</v>
      </c>
      <c r="AL123">
        <f t="shared" si="18"/>
        <v>18.246543209876542</v>
      </c>
      <c r="AM123">
        <f t="shared" si="19"/>
        <v>8.5586323253086416</v>
      </c>
      <c r="AP123" s="9"/>
      <c r="AQ123" s="21">
        <v>1.2510699999999999</v>
      </c>
      <c r="AR123" s="21">
        <v>25.722799999999999</v>
      </c>
      <c r="AS123" s="21">
        <v>-1.42731E-2</v>
      </c>
      <c r="AT123" s="21">
        <v>113</v>
      </c>
      <c r="AU123" s="21">
        <v>1.25031</v>
      </c>
      <c r="AV123">
        <f t="shared" si="20"/>
        <v>17.621111111111112</v>
      </c>
      <c r="AW123">
        <f t="shared" si="21"/>
        <v>22.045243477777777</v>
      </c>
      <c r="AX123" s="9"/>
      <c r="AY123" s="21">
        <v>0.469055</v>
      </c>
      <c r="AZ123" s="21">
        <v>29.5823</v>
      </c>
      <c r="BA123" s="21">
        <v>-1.47949E-2</v>
      </c>
      <c r="BB123" s="21">
        <v>113</v>
      </c>
      <c r="BC123" s="21">
        <v>0.46847499999999997</v>
      </c>
      <c r="BD123">
        <f t="shared" si="22"/>
        <v>18.265308641975306</v>
      </c>
      <c r="BE123">
        <f t="shared" si="23"/>
        <v>8.5674343450617272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1.24603</v>
      </c>
      <c r="H124" s="21">
        <v>6.8864299999999998</v>
      </c>
      <c r="I124" s="21">
        <v>-1.40167E-2</v>
      </c>
      <c r="J124" s="21">
        <v>114</v>
      </c>
      <c r="K124" s="21">
        <v>1.24451</v>
      </c>
      <c r="L124">
        <f t="shared" si="12"/>
        <v>17.304567901234567</v>
      </c>
      <c r="M124">
        <f t="shared" si="13"/>
        <v>21.562010741975307</v>
      </c>
      <c r="N124" s="9"/>
      <c r="O124" s="21">
        <v>0.47409099999999998</v>
      </c>
      <c r="P124" s="21">
        <v>10.745900000000001</v>
      </c>
      <c r="Q124" s="21">
        <v>-1.4859000000000001E-2</v>
      </c>
      <c r="R124" s="21">
        <v>114</v>
      </c>
      <c r="S124" s="21">
        <v>0.473389</v>
      </c>
      <c r="T124">
        <f t="shared" si="14"/>
        <v>18.344444444444445</v>
      </c>
      <c r="U124">
        <f t="shared" si="15"/>
        <v>8.6969360111111111</v>
      </c>
      <c r="X124" s="9"/>
      <c r="Y124" s="21">
        <v>1.24603</v>
      </c>
      <c r="Z124" s="21">
        <v>16.3246</v>
      </c>
      <c r="AA124" s="21">
        <v>-1.4218099999999999E-2</v>
      </c>
      <c r="AB124" s="21">
        <v>114</v>
      </c>
      <c r="AC124" s="21">
        <v>1.24512</v>
      </c>
      <c r="AD124">
        <f t="shared" si="16"/>
        <v>17.553209876543207</v>
      </c>
      <c r="AE124">
        <f t="shared" si="17"/>
        <v>21.871826102469132</v>
      </c>
      <c r="AF124" s="9"/>
      <c r="AG124" s="21">
        <v>0.47409099999999998</v>
      </c>
      <c r="AH124" s="21">
        <v>20.184100000000001</v>
      </c>
      <c r="AI124" s="21">
        <v>-1.47736E-2</v>
      </c>
      <c r="AJ124" s="21">
        <v>114</v>
      </c>
      <c r="AK124" s="21">
        <v>0.47344999999999998</v>
      </c>
      <c r="AL124">
        <f t="shared" si="18"/>
        <v>18.239012345679011</v>
      </c>
      <c r="AM124">
        <f t="shared" si="19"/>
        <v>8.6469516019753083</v>
      </c>
      <c r="AP124" s="9"/>
      <c r="AQ124" s="21">
        <v>1.24603</v>
      </c>
      <c r="AR124" s="21">
        <v>25.732900000000001</v>
      </c>
      <c r="AS124" s="21">
        <v>-1.42883E-2</v>
      </c>
      <c r="AT124" s="21">
        <v>114</v>
      </c>
      <c r="AU124" s="21">
        <v>1.24542</v>
      </c>
      <c r="AV124">
        <f t="shared" si="20"/>
        <v>17.639876543209876</v>
      </c>
      <c r="AW124">
        <f t="shared" si="21"/>
        <v>21.979815369135803</v>
      </c>
      <c r="AX124" s="9"/>
      <c r="AY124" s="21">
        <v>0.47409099999999998</v>
      </c>
      <c r="AZ124" s="21">
        <v>29.592300000000002</v>
      </c>
      <c r="BA124" s="21">
        <v>-1.47919E-2</v>
      </c>
      <c r="BB124" s="21">
        <v>114</v>
      </c>
      <c r="BC124" s="21">
        <v>0.47354099999999999</v>
      </c>
      <c r="BD124">
        <f t="shared" si="22"/>
        <v>18.261604938271603</v>
      </c>
      <c r="BE124">
        <f t="shared" si="23"/>
        <v>8.6576625467901227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1.2410000000000001</v>
      </c>
      <c r="H125" s="21">
        <v>6.8964999999999996</v>
      </c>
      <c r="I125" s="21">
        <v>-1.40442E-2</v>
      </c>
      <c r="J125" s="21">
        <v>115</v>
      </c>
      <c r="K125" s="21">
        <v>1.23993</v>
      </c>
      <c r="L125">
        <f t="shared" si="12"/>
        <v>17.338518518518516</v>
      </c>
      <c r="M125">
        <f t="shared" si="13"/>
        <v>21.517101481481479</v>
      </c>
      <c r="N125" s="9"/>
      <c r="O125" s="21">
        <v>0.479126</v>
      </c>
      <c r="P125" s="21">
        <v>10.756</v>
      </c>
      <c r="Q125" s="21">
        <v>-1.4849899999999999E-2</v>
      </c>
      <c r="R125" s="21">
        <v>115</v>
      </c>
      <c r="S125" s="21">
        <v>0.47854600000000003</v>
      </c>
      <c r="T125">
        <f t="shared" si="14"/>
        <v>18.333209876543208</v>
      </c>
      <c r="U125">
        <f t="shared" si="15"/>
        <v>8.7839175153086408</v>
      </c>
      <c r="X125" s="9"/>
      <c r="Y125" s="21">
        <v>1.2410000000000001</v>
      </c>
      <c r="Z125" s="21">
        <v>16.334700000000002</v>
      </c>
      <c r="AA125" s="21">
        <v>-1.42303E-2</v>
      </c>
      <c r="AB125" s="21">
        <v>115</v>
      </c>
      <c r="AC125" s="21">
        <v>1.2402299999999999</v>
      </c>
      <c r="AD125">
        <f t="shared" si="16"/>
        <v>17.568271604938271</v>
      </c>
      <c r="AE125">
        <f t="shared" si="17"/>
        <v>21.802225061728397</v>
      </c>
      <c r="AF125" s="9"/>
      <c r="AG125" s="21">
        <v>0.479126</v>
      </c>
      <c r="AH125" s="21">
        <v>20.194199999999999</v>
      </c>
      <c r="AI125" s="21">
        <v>-1.4767499999999999E-2</v>
      </c>
      <c r="AJ125" s="21">
        <v>115</v>
      </c>
      <c r="AK125" s="21">
        <v>0.47845500000000002</v>
      </c>
      <c r="AL125">
        <f t="shared" si="18"/>
        <v>18.231481481481481</v>
      </c>
      <c r="AM125">
        <f t="shared" si="19"/>
        <v>8.7351767962962956</v>
      </c>
      <c r="AP125" s="9"/>
      <c r="AQ125" s="21">
        <v>1.2410000000000001</v>
      </c>
      <c r="AR125" s="21">
        <v>25.742899999999999</v>
      </c>
      <c r="AS125" s="21">
        <v>-1.4294400000000001E-2</v>
      </c>
      <c r="AT125" s="21">
        <v>115</v>
      </c>
      <c r="AU125" s="21">
        <v>1.2396199999999999</v>
      </c>
      <c r="AV125">
        <f t="shared" si="20"/>
        <v>17.647407407407407</v>
      </c>
      <c r="AW125">
        <f t="shared" si="21"/>
        <v>21.900432592592594</v>
      </c>
      <c r="AX125" s="9"/>
      <c r="AY125" s="21">
        <v>0.479126</v>
      </c>
      <c r="AZ125" s="21">
        <v>29.602399999999999</v>
      </c>
      <c r="BA125" s="21">
        <v>-1.4801E-2</v>
      </c>
      <c r="BB125" s="21">
        <v>115</v>
      </c>
      <c r="BC125" s="21">
        <v>0.47845500000000002</v>
      </c>
      <c r="BD125">
        <f t="shared" si="22"/>
        <v>18.27283950617284</v>
      </c>
      <c r="BE125">
        <f t="shared" si="23"/>
        <v>8.7549925012345682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1.2359599999999999</v>
      </c>
      <c r="H126" s="21">
        <v>6.9065700000000003</v>
      </c>
      <c r="I126" s="21">
        <v>-1.40594E-2</v>
      </c>
      <c r="J126" s="21">
        <v>116</v>
      </c>
      <c r="K126" s="21">
        <v>1.2353499999999999</v>
      </c>
      <c r="L126">
        <f t="shared" si="12"/>
        <v>17.357283950617283</v>
      </c>
      <c r="M126">
        <f t="shared" si="13"/>
        <v>21.452908671604938</v>
      </c>
      <c r="N126" s="9"/>
      <c r="O126" s="21">
        <v>0.48416100000000001</v>
      </c>
      <c r="P126" s="21">
        <v>10.766</v>
      </c>
      <c r="Q126" s="21">
        <v>-1.4843800000000001E-2</v>
      </c>
      <c r="R126" s="21">
        <v>116</v>
      </c>
      <c r="S126" s="21">
        <v>0.48361199999999999</v>
      </c>
      <c r="T126">
        <f t="shared" si="14"/>
        <v>18.325679012345677</v>
      </c>
      <c r="U126">
        <f t="shared" si="15"/>
        <v>8.8725790762962955</v>
      </c>
      <c r="X126" s="9"/>
      <c r="Y126" s="21">
        <v>1.2359599999999999</v>
      </c>
      <c r="Z126" s="21">
        <v>16.344799999999999</v>
      </c>
      <c r="AA126" s="21">
        <v>-1.42395E-2</v>
      </c>
      <c r="AB126" s="21">
        <v>116</v>
      </c>
      <c r="AC126" s="21">
        <v>1.2347399999999999</v>
      </c>
      <c r="AD126">
        <f t="shared" si="16"/>
        <v>17.579629629629629</v>
      </c>
      <c r="AE126">
        <f t="shared" si="17"/>
        <v>21.727719037037037</v>
      </c>
      <c r="AF126" s="9"/>
      <c r="AG126" s="21">
        <v>0.48416100000000001</v>
      </c>
      <c r="AH126" s="21">
        <v>20.2043</v>
      </c>
      <c r="AI126" s="21">
        <v>-1.4770500000000001E-2</v>
      </c>
      <c r="AJ126" s="21">
        <v>116</v>
      </c>
      <c r="AK126" s="21">
        <v>0.48352099999999998</v>
      </c>
      <c r="AL126">
        <f t="shared" si="18"/>
        <v>18.235185185185184</v>
      </c>
      <c r="AM126">
        <f t="shared" si="19"/>
        <v>8.8287654944444434</v>
      </c>
      <c r="AP126" s="9"/>
      <c r="AQ126" s="21">
        <v>1.2359599999999999</v>
      </c>
      <c r="AR126" s="21">
        <v>25.753</v>
      </c>
      <c r="AS126" s="21">
        <v>-1.4306599999999999E-2</v>
      </c>
      <c r="AT126" s="21">
        <v>116</v>
      </c>
      <c r="AU126" s="21">
        <v>1.2347399999999999</v>
      </c>
      <c r="AV126">
        <f t="shared" si="20"/>
        <v>17.662469135802468</v>
      </c>
      <c r="AW126">
        <f t="shared" si="21"/>
        <v>21.830105353086417</v>
      </c>
      <c r="AX126" s="9"/>
      <c r="AY126" s="21">
        <v>0.48416100000000001</v>
      </c>
      <c r="AZ126" s="21">
        <v>29.612500000000001</v>
      </c>
      <c r="BA126" s="21">
        <v>-1.4804100000000001E-2</v>
      </c>
      <c r="BB126" s="21">
        <v>116</v>
      </c>
      <c r="BC126" s="21">
        <v>0.48352099999999998</v>
      </c>
      <c r="BD126">
        <f t="shared" si="22"/>
        <v>18.276666666666667</v>
      </c>
      <c r="BE126">
        <f t="shared" si="23"/>
        <v>8.8488492100000009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1.2309300000000001</v>
      </c>
      <c r="H127" s="21">
        <v>6.9166400000000001</v>
      </c>
      <c r="I127" s="21">
        <v>-1.4080799999999999E-2</v>
      </c>
      <c r="J127" s="21">
        <v>117</v>
      </c>
      <c r="K127" s="21">
        <v>1.2301599999999999</v>
      </c>
      <c r="L127">
        <f t="shared" si="12"/>
        <v>17.383703703703702</v>
      </c>
      <c r="M127">
        <f t="shared" si="13"/>
        <v>21.398122399999998</v>
      </c>
      <c r="N127" s="9"/>
      <c r="O127" s="21">
        <v>0.48919699999999999</v>
      </c>
      <c r="P127" s="21">
        <v>10.7761</v>
      </c>
      <c r="Q127" s="21">
        <v>-1.4837599999999999E-2</v>
      </c>
      <c r="R127" s="21">
        <v>117</v>
      </c>
      <c r="S127" s="21">
        <v>0.48855599999999999</v>
      </c>
      <c r="T127">
        <f t="shared" si="14"/>
        <v>18.318024691358023</v>
      </c>
      <c r="U127">
        <f t="shared" si="15"/>
        <v>8.9611227249382708</v>
      </c>
      <c r="X127" s="9"/>
      <c r="Y127" s="21">
        <v>1.2309300000000001</v>
      </c>
      <c r="Z127" s="21">
        <v>16.354900000000001</v>
      </c>
      <c r="AA127" s="21">
        <v>-1.4245600000000001E-2</v>
      </c>
      <c r="AB127" s="21">
        <v>117</v>
      </c>
      <c r="AC127" s="21">
        <v>1.22986</v>
      </c>
      <c r="AD127">
        <f t="shared" si="16"/>
        <v>17.58716049382716</v>
      </c>
      <c r="AE127">
        <f t="shared" si="17"/>
        <v>21.648563466666666</v>
      </c>
      <c r="AF127" s="9"/>
      <c r="AG127" s="21">
        <v>0.48919699999999999</v>
      </c>
      <c r="AH127" s="21">
        <v>20.214300000000001</v>
      </c>
      <c r="AI127" s="21">
        <v>-1.4770500000000001E-2</v>
      </c>
      <c r="AJ127" s="21">
        <v>117</v>
      </c>
      <c r="AK127" s="21">
        <v>0.48855599999999999</v>
      </c>
      <c r="AL127">
        <f t="shared" si="18"/>
        <v>18.235185185185184</v>
      </c>
      <c r="AM127">
        <f t="shared" si="19"/>
        <v>8.9205978870370366</v>
      </c>
      <c r="AP127" s="9"/>
      <c r="AQ127" s="21">
        <v>1.2309300000000001</v>
      </c>
      <c r="AR127" s="21">
        <v>25.763100000000001</v>
      </c>
      <c r="AS127" s="21">
        <v>-1.4306599999999999E-2</v>
      </c>
      <c r="AT127" s="21">
        <v>117</v>
      </c>
      <c r="AU127" s="21">
        <v>1.2301599999999999</v>
      </c>
      <c r="AV127">
        <f t="shared" si="20"/>
        <v>17.662469135802468</v>
      </c>
      <c r="AW127">
        <f t="shared" si="21"/>
        <v>21.741263133333334</v>
      </c>
      <c r="AX127" s="9"/>
      <c r="AY127" s="21">
        <v>0.48919699999999999</v>
      </c>
      <c r="AZ127" s="21">
        <v>29.622599999999998</v>
      </c>
      <c r="BA127" s="21">
        <v>-1.4801E-2</v>
      </c>
      <c r="BB127" s="21">
        <v>117</v>
      </c>
      <c r="BC127" s="21">
        <v>0.48855599999999999</v>
      </c>
      <c r="BD127">
        <f t="shared" si="22"/>
        <v>18.27283950617284</v>
      </c>
      <c r="BE127">
        <f t="shared" si="23"/>
        <v>8.9390182679012344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1.2258899999999999</v>
      </c>
      <c r="H128" s="21">
        <v>6.9267099999999999</v>
      </c>
      <c r="I128" s="21">
        <v>-1.4093E-2</v>
      </c>
      <c r="J128" s="21">
        <v>118</v>
      </c>
      <c r="K128" s="21">
        <v>1.22498</v>
      </c>
      <c r="L128">
        <f t="shared" si="12"/>
        <v>17.398765432098763</v>
      </c>
      <c r="M128">
        <f t="shared" si="13"/>
        <v>21.328972555555552</v>
      </c>
      <c r="N128" s="9"/>
      <c r="O128" s="21">
        <v>0.494232</v>
      </c>
      <c r="P128" s="21">
        <v>10.786199999999999</v>
      </c>
      <c r="Q128" s="21">
        <v>-1.4831499999999999E-2</v>
      </c>
      <c r="R128" s="21">
        <v>118</v>
      </c>
      <c r="S128" s="21">
        <v>0.49362200000000001</v>
      </c>
      <c r="T128">
        <f t="shared" si="14"/>
        <v>18.310493827160489</v>
      </c>
      <c r="U128">
        <f t="shared" si="15"/>
        <v>9.049631985185183</v>
      </c>
      <c r="X128" s="9"/>
      <c r="Y128" s="21">
        <v>1.2258899999999999</v>
      </c>
      <c r="Z128" s="21">
        <v>16.364899999999999</v>
      </c>
      <c r="AA128" s="21">
        <v>-1.42609E-2</v>
      </c>
      <c r="AB128" s="21">
        <v>118</v>
      </c>
      <c r="AC128" s="21">
        <v>1.2246699999999999</v>
      </c>
      <c r="AD128">
        <f t="shared" si="16"/>
        <v>17.606049382716048</v>
      </c>
      <c r="AE128">
        <f t="shared" si="17"/>
        <v>21.583079877777774</v>
      </c>
      <c r="AF128" s="9"/>
      <c r="AG128" s="21">
        <v>0.494232</v>
      </c>
      <c r="AH128" s="21">
        <v>20.224399999999999</v>
      </c>
      <c r="AI128" s="21">
        <v>-1.4770500000000001E-2</v>
      </c>
      <c r="AJ128" s="21">
        <v>118</v>
      </c>
      <c r="AK128" s="21">
        <v>0.493591</v>
      </c>
      <c r="AL128">
        <f t="shared" si="18"/>
        <v>18.235185185185184</v>
      </c>
      <c r="AM128">
        <f t="shared" si="19"/>
        <v>9.012412044444444</v>
      </c>
      <c r="AP128" s="9"/>
      <c r="AQ128" s="21">
        <v>1.2258899999999999</v>
      </c>
      <c r="AR128" s="21">
        <v>25.773199999999999</v>
      </c>
      <c r="AS128" s="21">
        <v>-1.4312699999999999E-2</v>
      </c>
      <c r="AT128" s="21">
        <v>118</v>
      </c>
      <c r="AU128" s="21">
        <v>1.2252799999999999</v>
      </c>
      <c r="AV128">
        <f t="shared" si="20"/>
        <v>17.669999999999998</v>
      </c>
      <c r="AW128">
        <f t="shared" si="21"/>
        <v>21.661476299999997</v>
      </c>
      <c r="AX128" s="9"/>
      <c r="AY128" s="21">
        <v>0.494232</v>
      </c>
      <c r="AZ128" s="21">
        <v>29.6326</v>
      </c>
      <c r="BA128" s="21">
        <v>-1.4782699999999999E-2</v>
      </c>
      <c r="BB128" s="21">
        <v>118</v>
      </c>
      <c r="BC128" s="21">
        <v>0.49356100000000003</v>
      </c>
      <c r="BD128">
        <f t="shared" si="22"/>
        <v>18.250246913580245</v>
      </c>
      <c r="BE128">
        <f t="shared" si="23"/>
        <v>9.0198560325925925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1.2208600000000001</v>
      </c>
      <c r="H129" s="21">
        <v>6.9367799999999997</v>
      </c>
      <c r="I129" s="21">
        <v>-1.4108300000000001E-2</v>
      </c>
      <c r="J129" s="21">
        <v>119</v>
      </c>
      <c r="K129" s="21">
        <v>1.2200899999999999</v>
      </c>
      <c r="L129">
        <f t="shared" si="12"/>
        <v>17.417654320987655</v>
      </c>
      <c r="M129">
        <f t="shared" si="13"/>
        <v>21.264517454320988</v>
      </c>
      <c r="N129" s="9"/>
      <c r="O129" s="21">
        <v>0.49926799999999999</v>
      </c>
      <c r="P129" s="21">
        <v>10.7963</v>
      </c>
      <c r="Q129" s="21">
        <v>-1.48285E-2</v>
      </c>
      <c r="R129" s="21">
        <v>119</v>
      </c>
      <c r="S129" s="21">
        <v>0.49859599999999998</v>
      </c>
      <c r="T129">
        <f t="shared" si="14"/>
        <v>18.306790123456789</v>
      </c>
      <c r="U129">
        <f t="shared" si="15"/>
        <v>9.1399944913580242</v>
      </c>
      <c r="X129" s="9"/>
      <c r="Y129" s="21">
        <v>1.2208600000000001</v>
      </c>
      <c r="Z129" s="21">
        <v>16.375</v>
      </c>
      <c r="AA129" s="21">
        <v>-1.42731E-2</v>
      </c>
      <c r="AB129" s="21">
        <v>119</v>
      </c>
      <c r="AC129" s="21">
        <v>1.2197899999999999</v>
      </c>
      <c r="AD129">
        <f t="shared" si="16"/>
        <v>17.621111111111112</v>
      </c>
      <c r="AE129">
        <f t="shared" si="17"/>
        <v>21.512909711111114</v>
      </c>
      <c r="AF129" s="9"/>
      <c r="AG129" s="21">
        <v>0.49926799999999999</v>
      </c>
      <c r="AH129" s="21">
        <v>20.234500000000001</v>
      </c>
      <c r="AI129" s="21">
        <v>-1.4782699999999999E-2</v>
      </c>
      <c r="AJ129" s="21">
        <v>119</v>
      </c>
      <c r="AK129" s="21">
        <v>0.49865700000000002</v>
      </c>
      <c r="AL129">
        <f t="shared" si="18"/>
        <v>18.250246913580245</v>
      </c>
      <c r="AM129">
        <f t="shared" si="19"/>
        <v>9.1117642760493816</v>
      </c>
      <c r="AP129" s="9"/>
      <c r="AQ129" s="21">
        <v>1.2208600000000001</v>
      </c>
      <c r="AR129" s="21">
        <v>25.783200000000001</v>
      </c>
      <c r="AS129" s="21">
        <v>-1.4328E-2</v>
      </c>
      <c r="AT129" s="21">
        <v>119</v>
      </c>
      <c r="AU129" s="21">
        <v>1.2203999999999999</v>
      </c>
      <c r="AV129">
        <f t="shared" si="20"/>
        <v>17.68888888888889</v>
      </c>
      <c r="AW129">
        <f t="shared" si="21"/>
        <v>21.59565688888889</v>
      </c>
      <c r="AX129" s="9"/>
      <c r="AY129" s="21">
        <v>0.49926799999999999</v>
      </c>
      <c r="AZ129" s="21">
        <v>29.642700000000001</v>
      </c>
      <c r="BA129" s="21">
        <v>-1.4776600000000001E-2</v>
      </c>
      <c r="BB129" s="21">
        <v>119</v>
      </c>
      <c r="BC129" s="21">
        <v>0.49862699999999999</v>
      </c>
      <c r="BD129">
        <f t="shared" si="22"/>
        <v>18.242716049382715</v>
      </c>
      <c r="BE129">
        <f t="shared" si="23"/>
        <v>9.1080043565432085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1.2158199999999999</v>
      </c>
      <c r="H130" s="21">
        <v>6.9468500000000004</v>
      </c>
      <c r="I130" s="21">
        <v>-1.4129600000000001E-2</v>
      </c>
      <c r="J130" s="21">
        <v>120</v>
      </c>
      <c r="K130" s="21">
        <v>1.2145999999999999</v>
      </c>
      <c r="L130">
        <f t="shared" si="12"/>
        <v>17.443950617283949</v>
      </c>
      <c r="M130">
        <f t="shared" si="13"/>
        <v>21.20870403950617</v>
      </c>
      <c r="N130" s="9"/>
      <c r="O130" s="21">
        <v>0.50430299999999995</v>
      </c>
      <c r="P130" s="21">
        <v>10.8063</v>
      </c>
      <c r="Q130" s="21">
        <v>-1.4810200000000001E-2</v>
      </c>
      <c r="R130" s="21">
        <v>120</v>
      </c>
      <c r="S130" s="21">
        <v>0.50366200000000005</v>
      </c>
      <c r="T130">
        <f t="shared" si="14"/>
        <v>18.284197530864198</v>
      </c>
      <c r="U130">
        <f t="shared" si="15"/>
        <v>9.2207756674074073</v>
      </c>
      <c r="X130" s="9"/>
      <c r="Y130" s="21">
        <v>1.2158199999999999</v>
      </c>
      <c r="Z130" s="21">
        <v>16.385100000000001</v>
      </c>
      <c r="AA130" s="21">
        <v>-1.4279200000000001E-2</v>
      </c>
      <c r="AB130" s="21">
        <v>120</v>
      </c>
      <c r="AC130" s="21">
        <v>1.2149000000000001</v>
      </c>
      <c r="AD130">
        <f t="shared" si="16"/>
        <v>17.628641975308639</v>
      </c>
      <c r="AE130">
        <f t="shared" si="17"/>
        <v>21.433255486419746</v>
      </c>
      <c r="AF130" s="9"/>
      <c r="AG130" s="21">
        <v>0.50430299999999995</v>
      </c>
      <c r="AH130" s="21">
        <v>20.244499999999999</v>
      </c>
      <c r="AI130" s="21">
        <v>-1.47919E-2</v>
      </c>
      <c r="AJ130" s="21">
        <v>120</v>
      </c>
      <c r="AK130" s="21">
        <v>0.50357099999999999</v>
      </c>
      <c r="AL130">
        <f t="shared" si="18"/>
        <v>18.261604938271603</v>
      </c>
      <c r="AM130">
        <f t="shared" si="19"/>
        <v>9.2093821551851835</v>
      </c>
      <c r="AP130" s="9"/>
      <c r="AQ130" s="21">
        <v>1.2158199999999999</v>
      </c>
      <c r="AR130" s="21">
        <v>25.793299999999999</v>
      </c>
      <c r="AS130" s="21">
        <v>-1.4331099999999999E-2</v>
      </c>
      <c r="AT130" s="21">
        <v>120</v>
      </c>
      <c r="AU130" s="21">
        <v>1.2152099999999999</v>
      </c>
      <c r="AV130">
        <f t="shared" si="20"/>
        <v>17.692716049382714</v>
      </c>
      <c r="AW130">
        <f t="shared" si="21"/>
        <v>21.511158027160491</v>
      </c>
      <c r="AX130" s="9"/>
      <c r="AY130" s="21">
        <v>0.50430299999999995</v>
      </c>
      <c r="AZ130" s="21">
        <v>29.652799999999999</v>
      </c>
      <c r="BA130" s="21">
        <v>-1.47736E-2</v>
      </c>
      <c r="BB130" s="21">
        <v>120</v>
      </c>
      <c r="BC130" s="21">
        <v>0.50369299999999995</v>
      </c>
      <c r="BD130">
        <f t="shared" si="22"/>
        <v>18.239012345679011</v>
      </c>
      <c r="BE130">
        <f t="shared" si="23"/>
        <v>9.1979886429629616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1.21078</v>
      </c>
      <c r="H131" s="21">
        <v>6.9569299999999998</v>
      </c>
      <c r="I131" s="21">
        <v>-1.4135699999999999E-2</v>
      </c>
      <c r="J131" s="21">
        <v>121</v>
      </c>
      <c r="K131" s="21">
        <v>1.2100200000000001</v>
      </c>
      <c r="L131">
        <f t="shared" si="12"/>
        <v>17.45148148148148</v>
      </c>
      <c r="M131">
        <f t="shared" si="13"/>
        <v>21.129904748148146</v>
      </c>
      <c r="N131" s="9"/>
      <c r="O131" s="21">
        <v>0.50933799999999996</v>
      </c>
      <c r="P131" s="21">
        <v>10.8164</v>
      </c>
      <c r="Q131" s="21">
        <v>-1.4798E-2</v>
      </c>
      <c r="R131" s="21">
        <v>121</v>
      </c>
      <c r="S131" s="21">
        <v>0.508575</v>
      </c>
      <c r="T131">
        <f t="shared" si="14"/>
        <v>18.269135802469137</v>
      </c>
      <c r="U131">
        <f t="shared" si="15"/>
        <v>9.3051650913580239</v>
      </c>
      <c r="X131" s="9"/>
      <c r="Y131" s="21">
        <v>1.21078</v>
      </c>
      <c r="Z131" s="21">
        <v>16.395099999999999</v>
      </c>
      <c r="AA131" s="21">
        <v>-1.4285300000000001E-2</v>
      </c>
      <c r="AB131" s="21">
        <v>121</v>
      </c>
      <c r="AC131" s="21">
        <v>1.2103299999999999</v>
      </c>
      <c r="AD131">
        <f t="shared" si="16"/>
        <v>17.636172839506173</v>
      </c>
      <c r="AE131">
        <f t="shared" si="17"/>
        <v>21.353525350617282</v>
      </c>
      <c r="AF131" s="9"/>
      <c r="AG131" s="21">
        <v>0.50933799999999996</v>
      </c>
      <c r="AH131" s="21">
        <v>20.2546</v>
      </c>
      <c r="AI131" s="21">
        <v>-1.4798E-2</v>
      </c>
      <c r="AJ131" s="21">
        <v>121</v>
      </c>
      <c r="AK131" s="21">
        <v>0.50866699999999998</v>
      </c>
      <c r="AL131">
        <f t="shared" si="18"/>
        <v>18.269135802469137</v>
      </c>
      <c r="AM131">
        <f t="shared" si="19"/>
        <v>9.3051650913580239</v>
      </c>
      <c r="AP131" s="9"/>
      <c r="AQ131" s="21">
        <v>1.21078</v>
      </c>
      <c r="AR131" s="21">
        <v>25.8034</v>
      </c>
      <c r="AS131" s="21">
        <v>-1.4334100000000001E-2</v>
      </c>
      <c r="AT131" s="21">
        <v>121</v>
      </c>
      <c r="AU131" s="21">
        <v>1.2091099999999999</v>
      </c>
      <c r="AV131">
        <f t="shared" si="20"/>
        <v>17.69641975308642</v>
      </c>
      <c r="AW131">
        <f t="shared" si="21"/>
        <v>21.426471108641977</v>
      </c>
      <c r="AX131" s="9"/>
      <c r="AY131" s="21">
        <v>0.50933799999999996</v>
      </c>
      <c r="AZ131" s="21">
        <v>29.662800000000001</v>
      </c>
      <c r="BA131" s="21">
        <v>-1.47736E-2</v>
      </c>
      <c r="BB131" s="21">
        <v>121</v>
      </c>
      <c r="BC131" s="21">
        <v>0.508606</v>
      </c>
      <c r="BD131">
        <f t="shared" si="22"/>
        <v>18.239012345679011</v>
      </c>
      <c r="BE131">
        <f t="shared" si="23"/>
        <v>9.2898220701234564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1.2057500000000001</v>
      </c>
      <c r="H132" s="21">
        <v>6.9669999999999996</v>
      </c>
      <c r="I132" s="21">
        <v>-1.41479E-2</v>
      </c>
      <c r="J132" s="21">
        <v>122</v>
      </c>
      <c r="K132" s="21">
        <v>1.2045300000000001</v>
      </c>
      <c r="L132">
        <f t="shared" si="12"/>
        <v>17.466543209876541</v>
      </c>
      <c r="M132">
        <f t="shared" si="13"/>
        <v>21.060284475308642</v>
      </c>
      <c r="N132" s="9"/>
      <c r="O132" s="21">
        <v>0.514374</v>
      </c>
      <c r="P132" s="21">
        <v>10.826499999999999</v>
      </c>
      <c r="Q132" s="21">
        <v>-1.47949E-2</v>
      </c>
      <c r="R132" s="21">
        <v>122</v>
      </c>
      <c r="S132" s="21">
        <v>0.513733</v>
      </c>
      <c r="T132">
        <f t="shared" si="14"/>
        <v>18.265308641975306</v>
      </c>
      <c r="U132">
        <f t="shared" si="15"/>
        <v>9.3951998674074062</v>
      </c>
      <c r="X132" s="9"/>
      <c r="Y132" s="21">
        <v>1.2057500000000001</v>
      </c>
      <c r="Z132" s="21">
        <v>16.405200000000001</v>
      </c>
      <c r="AA132" s="21">
        <v>-1.4294400000000001E-2</v>
      </c>
      <c r="AB132" s="21">
        <v>122</v>
      </c>
      <c r="AC132" s="21">
        <v>1.2051400000000001</v>
      </c>
      <c r="AD132">
        <f t="shared" si="16"/>
        <v>17.647407407407407</v>
      </c>
      <c r="AE132">
        <f t="shared" si="17"/>
        <v>21.278361481481483</v>
      </c>
      <c r="AF132" s="9"/>
      <c r="AG132" s="21">
        <v>0.514374</v>
      </c>
      <c r="AH132" s="21">
        <v>20.264700000000001</v>
      </c>
      <c r="AI132" s="21">
        <v>-1.4798E-2</v>
      </c>
      <c r="AJ132" s="21">
        <v>122</v>
      </c>
      <c r="AK132" s="21">
        <v>0.51376299999999997</v>
      </c>
      <c r="AL132">
        <f t="shared" si="18"/>
        <v>18.269135802469137</v>
      </c>
      <c r="AM132">
        <f t="shared" si="19"/>
        <v>9.3971684592592606</v>
      </c>
      <c r="AP132" s="9"/>
      <c r="AQ132" s="21">
        <v>1.2057500000000001</v>
      </c>
      <c r="AR132" s="21">
        <v>25.813400000000001</v>
      </c>
      <c r="AS132" s="21">
        <v>-1.4346299999999999E-2</v>
      </c>
      <c r="AT132" s="21">
        <v>122</v>
      </c>
      <c r="AU132" s="21">
        <v>1.2042200000000001</v>
      </c>
      <c r="AV132">
        <f t="shared" si="20"/>
        <v>17.711481481481481</v>
      </c>
      <c r="AW132">
        <f t="shared" si="21"/>
        <v>21.355618796296298</v>
      </c>
      <c r="AX132" s="9"/>
      <c r="AY132" s="21">
        <v>0.514374</v>
      </c>
      <c r="AZ132" s="21">
        <v>29.672899999999998</v>
      </c>
      <c r="BA132" s="21">
        <v>-1.47736E-2</v>
      </c>
      <c r="BB132" s="21">
        <v>122</v>
      </c>
      <c r="BC132" s="21">
        <v>0.51370199999999999</v>
      </c>
      <c r="BD132">
        <f t="shared" si="22"/>
        <v>18.239012345679011</v>
      </c>
      <c r="BE132">
        <f t="shared" si="23"/>
        <v>9.3816737362962961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1.2007099999999999</v>
      </c>
      <c r="H133" s="21">
        <v>6.9770700000000003</v>
      </c>
      <c r="I133" s="21">
        <v>-1.4151E-2</v>
      </c>
      <c r="J133" s="21">
        <v>123</v>
      </c>
      <c r="K133" s="21">
        <v>1.1996500000000001</v>
      </c>
      <c r="L133">
        <f t="shared" si="12"/>
        <v>17.470370370370368</v>
      </c>
      <c r="M133">
        <f t="shared" si="13"/>
        <v>20.976848407407402</v>
      </c>
      <c r="N133" s="9"/>
      <c r="O133" s="21">
        <v>0.51940900000000001</v>
      </c>
      <c r="P133" s="21">
        <v>10.836499999999999</v>
      </c>
      <c r="Q133" s="21">
        <v>-1.47919E-2</v>
      </c>
      <c r="R133" s="21">
        <v>123</v>
      </c>
      <c r="S133" s="21">
        <v>0.51876800000000001</v>
      </c>
      <c r="T133">
        <f t="shared" si="14"/>
        <v>18.261604938271603</v>
      </c>
      <c r="U133">
        <f t="shared" si="15"/>
        <v>9.4852419593827157</v>
      </c>
      <c r="X133" s="9"/>
      <c r="Y133" s="21">
        <v>1.2007099999999999</v>
      </c>
      <c r="Z133" s="21">
        <v>16.415299999999998</v>
      </c>
      <c r="AA133" s="21">
        <v>-1.43097E-2</v>
      </c>
      <c r="AB133" s="21">
        <v>123</v>
      </c>
      <c r="AC133" s="21">
        <v>1.1990400000000001</v>
      </c>
      <c r="AD133">
        <f t="shared" si="16"/>
        <v>17.666296296296295</v>
      </c>
      <c r="AE133">
        <f t="shared" si="17"/>
        <v>21.212098625925922</v>
      </c>
      <c r="AF133" s="9"/>
      <c r="AG133" s="21">
        <v>0.51940900000000001</v>
      </c>
      <c r="AH133" s="21">
        <v>20.274799999999999</v>
      </c>
      <c r="AI133" s="21">
        <v>-1.47949E-2</v>
      </c>
      <c r="AJ133" s="21">
        <v>123</v>
      </c>
      <c r="AK133" s="21">
        <v>0.51882899999999998</v>
      </c>
      <c r="AL133">
        <f t="shared" si="18"/>
        <v>18.265308641975306</v>
      </c>
      <c r="AM133">
        <f t="shared" si="19"/>
        <v>9.4871656964197513</v>
      </c>
      <c r="AP133" s="9"/>
      <c r="AQ133" s="21">
        <v>1.2007099999999999</v>
      </c>
      <c r="AR133" s="21">
        <v>25.823499999999999</v>
      </c>
      <c r="AS133" s="21">
        <v>-1.43585E-2</v>
      </c>
      <c r="AT133" s="21">
        <v>123</v>
      </c>
      <c r="AU133" s="21">
        <v>1.1996500000000001</v>
      </c>
      <c r="AV133">
        <f t="shared" si="20"/>
        <v>17.726543209876542</v>
      </c>
      <c r="AW133">
        <f t="shared" si="21"/>
        <v>21.284437697530862</v>
      </c>
      <c r="AX133" s="9"/>
      <c r="AY133" s="21">
        <v>0.51940900000000001</v>
      </c>
      <c r="AZ133" s="21">
        <v>29.683</v>
      </c>
      <c r="BA133" s="21">
        <v>-1.47736E-2</v>
      </c>
      <c r="BB133" s="21">
        <v>123</v>
      </c>
      <c r="BC133" s="21">
        <v>0.51879900000000001</v>
      </c>
      <c r="BD133">
        <f t="shared" si="22"/>
        <v>18.239012345679011</v>
      </c>
      <c r="BE133">
        <f t="shared" si="23"/>
        <v>9.4735071634567891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1.1956800000000001</v>
      </c>
      <c r="H134" s="21">
        <v>6.9871400000000001</v>
      </c>
      <c r="I134" s="21">
        <v>-1.4154099999999999E-2</v>
      </c>
      <c r="J134" s="21">
        <v>124</v>
      </c>
      <c r="K134" s="21">
        <v>1.1944600000000001</v>
      </c>
      <c r="L134">
        <f t="shared" si="12"/>
        <v>17.474197530864195</v>
      </c>
      <c r="M134">
        <f t="shared" si="13"/>
        <v>20.893548503703702</v>
      </c>
      <c r="N134" s="9"/>
      <c r="O134" s="21">
        <v>0.52444500000000005</v>
      </c>
      <c r="P134" s="21">
        <v>10.8466</v>
      </c>
      <c r="Q134" s="21">
        <v>-1.47919E-2</v>
      </c>
      <c r="R134" s="21">
        <v>124</v>
      </c>
      <c r="S134" s="21">
        <v>0.52374299999999996</v>
      </c>
      <c r="T134">
        <f t="shared" si="14"/>
        <v>18.261604938271603</v>
      </c>
      <c r="U134">
        <f t="shared" si="15"/>
        <v>9.5772074018518509</v>
      </c>
      <c r="X134" s="9"/>
      <c r="Y134" s="21">
        <v>1.1956800000000001</v>
      </c>
      <c r="Z134" s="21">
        <v>16.4254</v>
      </c>
      <c r="AA134" s="21">
        <v>-1.4324999999999999E-2</v>
      </c>
      <c r="AB134" s="21">
        <v>124</v>
      </c>
      <c r="AC134" s="21">
        <v>1.1944600000000001</v>
      </c>
      <c r="AD134">
        <f t="shared" si="16"/>
        <v>17.685185185185183</v>
      </c>
      <c r="AE134">
        <f t="shared" si="17"/>
        <v>21.145822222222222</v>
      </c>
      <c r="AF134" s="9"/>
      <c r="AG134" s="21">
        <v>0.52444500000000005</v>
      </c>
      <c r="AH134" s="21">
        <v>20.284800000000001</v>
      </c>
      <c r="AI134" s="21">
        <v>-1.4798E-2</v>
      </c>
      <c r="AJ134" s="21">
        <v>124</v>
      </c>
      <c r="AK134" s="21">
        <v>0.52380400000000005</v>
      </c>
      <c r="AL134">
        <f t="shared" si="18"/>
        <v>18.269135802469137</v>
      </c>
      <c r="AM134">
        <f t="shared" si="19"/>
        <v>9.5811569259259279</v>
      </c>
      <c r="AP134" s="9"/>
      <c r="AQ134" s="21">
        <v>1.1956800000000001</v>
      </c>
      <c r="AR134" s="21">
        <v>25.833600000000001</v>
      </c>
      <c r="AS134" s="21">
        <v>-1.43768E-2</v>
      </c>
      <c r="AT134" s="21">
        <v>124</v>
      </c>
      <c r="AU134" s="21">
        <v>1.19476</v>
      </c>
      <c r="AV134">
        <f t="shared" si="20"/>
        <v>17.749135802469137</v>
      </c>
      <c r="AW134">
        <f t="shared" si="21"/>
        <v>21.222286696296301</v>
      </c>
      <c r="AX134" s="9"/>
      <c r="AY134" s="21">
        <v>0.52444500000000005</v>
      </c>
      <c r="AZ134" s="21">
        <v>29.693100000000001</v>
      </c>
      <c r="BA134" s="21">
        <v>-1.4770500000000001E-2</v>
      </c>
      <c r="BB134" s="21">
        <v>124</v>
      </c>
      <c r="BC134" s="21">
        <v>0.52368199999999998</v>
      </c>
      <c r="BD134">
        <f t="shared" si="22"/>
        <v>18.235185185185184</v>
      </c>
      <c r="BE134">
        <f t="shared" si="23"/>
        <v>9.5633516944444441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1.1906399999999999</v>
      </c>
      <c r="H135" s="21">
        <v>6.9972099999999999</v>
      </c>
      <c r="I135" s="21">
        <v>-1.4163200000000001E-2</v>
      </c>
      <c r="J135" s="21">
        <v>125</v>
      </c>
      <c r="K135" s="21">
        <v>1.18896</v>
      </c>
      <c r="L135">
        <f t="shared" si="12"/>
        <v>17.485432098765433</v>
      </c>
      <c r="M135">
        <f t="shared" si="13"/>
        <v>20.818854874074074</v>
      </c>
      <c r="N135" s="9"/>
      <c r="O135" s="21">
        <v>0.52947999999999995</v>
      </c>
      <c r="P135" s="21">
        <v>10.8567</v>
      </c>
      <c r="Q135" s="21">
        <v>-1.47949E-2</v>
      </c>
      <c r="R135" s="21">
        <v>125</v>
      </c>
      <c r="S135" s="21">
        <v>0.52880899999999997</v>
      </c>
      <c r="T135">
        <f t="shared" si="14"/>
        <v>18.265308641975306</v>
      </c>
      <c r="U135">
        <f t="shared" si="15"/>
        <v>9.6711156197530848</v>
      </c>
      <c r="X135" s="9"/>
      <c r="Y135" s="21">
        <v>1.1906399999999999</v>
      </c>
      <c r="Z135" s="21">
        <v>16.435400000000001</v>
      </c>
      <c r="AA135" s="21">
        <v>-1.43433E-2</v>
      </c>
      <c r="AB135" s="21">
        <v>125</v>
      </c>
      <c r="AC135" s="21">
        <v>1.18988</v>
      </c>
      <c r="AD135">
        <f t="shared" si="16"/>
        <v>17.707777777777778</v>
      </c>
      <c r="AE135">
        <f t="shared" si="17"/>
        <v>21.083588533333334</v>
      </c>
      <c r="AF135" s="9"/>
      <c r="AG135" s="21">
        <v>0.52947999999999995</v>
      </c>
      <c r="AH135" s="21">
        <v>20.294899999999998</v>
      </c>
      <c r="AI135" s="21">
        <v>-1.4798E-2</v>
      </c>
      <c r="AJ135" s="21">
        <v>125</v>
      </c>
      <c r="AK135" s="21">
        <v>0.52883899999999995</v>
      </c>
      <c r="AL135">
        <f t="shared" si="18"/>
        <v>18.269135802469137</v>
      </c>
      <c r="AM135">
        <f t="shared" si="19"/>
        <v>9.6731420246913569</v>
      </c>
      <c r="AP135" s="9"/>
      <c r="AQ135" s="21">
        <v>1.1906399999999999</v>
      </c>
      <c r="AR135" s="21">
        <v>25.843699999999998</v>
      </c>
      <c r="AS135" s="21">
        <v>-1.4395099999999999E-2</v>
      </c>
      <c r="AT135" s="21">
        <v>125</v>
      </c>
      <c r="AU135" s="21">
        <v>1.18927</v>
      </c>
      <c r="AV135">
        <f t="shared" si="20"/>
        <v>17.771728395061729</v>
      </c>
      <c r="AW135">
        <f t="shared" si="21"/>
        <v>21.159730696296297</v>
      </c>
      <c r="AX135" s="9"/>
      <c r="AY135" s="21">
        <v>0.52947999999999995</v>
      </c>
      <c r="AZ135" s="21">
        <v>29.703099999999999</v>
      </c>
      <c r="BA135" s="21">
        <v>-1.4767499999999999E-2</v>
      </c>
      <c r="BB135" s="21">
        <v>125</v>
      </c>
      <c r="BC135" s="21">
        <v>0.52886999999999995</v>
      </c>
      <c r="BD135">
        <f t="shared" si="22"/>
        <v>18.231481481481481</v>
      </c>
      <c r="BE135">
        <f t="shared" si="23"/>
        <v>9.6532048148148135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1.1856100000000001</v>
      </c>
      <c r="H136" s="21">
        <v>7.0072799999999997</v>
      </c>
      <c r="I136" s="21">
        <v>-1.4163200000000001E-2</v>
      </c>
      <c r="J136" s="21">
        <v>126</v>
      </c>
      <c r="K136" s="21">
        <v>1.18469</v>
      </c>
      <c r="L136">
        <f t="shared" si="12"/>
        <v>17.485432098765433</v>
      </c>
      <c r="M136">
        <f t="shared" si="13"/>
        <v>20.730903150617287</v>
      </c>
      <c r="N136" s="9"/>
      <c r="O136" s="21">
        <v>0.53451499999999996</v>
      </c>
      <c r="P136" s="21">
        <v>10.8668</v>
      </c>
      <c r="Q136" s="21">
        <v>-1.47949E-2</v>
      </c>
      <c r="R136" s="21">
        <v>126</v>
      </c>
      <c r="S136" s="21">
        <v>0.53381299999999998</v>
      </c>
      <c r="T136">
        <f t="shared" si="14"/>
        <v>18.265308641975306</v>
      </c>
      <c r="U136">
        <f t="shared" si="15"/>
        <v>9.7630814487654298</v>
      </c>
      <c r="X136" s="9"/>
      <c r="Y136" s="21">
        <v>1.1856100000000001</v>
      </c>
      <c r="Z136" s="21">
        <v>16.445499999999999</v>
      </c>
      <c r="AA136" s="21">
        <v>-1.43494E-2</v>
      </c>
      <c r="AB136" s="21">
        <v>126</v>
      </c>
      <c r="AC136" s="21">
        <v>1.18408</v>
      </c>
      <c r="AD136">
        <f t="shared" si="16"/>
        <v>17.715308641975309</v>
      </c>
      <c r="AE136">
        <f t="shared" si="17"/>
        <v>21.003447079012346</v>
      </c>
      <c r="AF136" s="9"/>
      <c r="AG136" s="21">
        <v>0.53451499999999996</v>
      </c>
      <c r="AH136" s="21">
        <v>20.305</v>
      </c>
      <c r="AI136" s="21">
        <v>-1.47888E-2</v>
      </c>
      <c r="AJ136" s="21">
        <v>126</v>
      </c>
      <c r="AK136" s="21">
        <v>0.53363000000000005</v>
      </c>
      <c r="AL136">
        <f t="shared" si="18"/>
        <v>18.257777777777775</v>
      </c>
      <c r="AM136">
        <f t="shared" si="19"/>
        <v>9.7590560888888866</v>
      </c>
      <c r="AP136" s="9"/>
      <c r="AQ136" s="21">
        <v>1.1856100000000001</v>
      </c>
      <c r="AR136" s="21">
        <v>25.8537</v>
      </c>
      <c r="AS136" s="21">
        <v>-1.4401199999999999E-2</v>
      </c>
      <c r="AT136" s="21">
        <v>126</v>
      </c>
      <c r="AU136" s="21">
        <v>1.1843900000000001</v>
      </c>
      <c r="AV136">
        <f t="shared" si="20"/>
        <v>17.779259259259259</v>
      </c>
      <c r="AW136">
        <f t="shared" si="21"/>
        <v>21.079267570370369</v>
      </c>
      <c r="AX136" s="9"/>
      <c r="AY136" s="21">
        <v>0.53451499999999996</v>
      </c>
      <c r="AZ136" s="21">
        <v>29.713200000000001</v>
      </c>
      <c r="BA136" s="21">
        <v>-1.4767499999999999E-2</v>
      </c>
      <c r="BB136" s="21">
        <v>126</v>
      </c>
      <c r="BC136" s="21">
        <v>0.53381299999999998</v>
      </c>
      <c r="BD136">
        <f t="shared" si="22"/>
        <v>18.231481481481481</v>
      </c>
      <c r="BE136">
        <f t="shared" si="23"/>
        <v>9.7450003240740735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1.1805699999999999</v>
      </c>
      <c r="H137" s="21">
        <v>7.0173500000000004</v>
      </c>
      <c r="I137" s="21">
        <v>-1.4175399999999999E-2</v>
      </c>
      <c r="J137" s="21">
        <v>127</v>
      </c>
      <c r="K137" s="21">
        <v>1.18011</v>
      </c>
      <c r="L137">
        <f t="shared" si="12"/>
        <v>17.500493827160494</v>
      </c>
      <c r="M137">
        <f t="shared" si="13"/>
        <v>20.660557997530862</v>
      </c>
      <c r="N137" s="9"/>
      <c r="O137" s="21">
        <v>0.539551</v>
      </c>
      <c r="P137" s="21">
        <v>10.876799999999999</v>
      </c>
      <c r="Q137" s="21">
        <v>-1.4782699999999999E-2</v>
      </c>
      <c r="R137" s="21">
        <v>127</v>
      </c>
      <c r="S137" s="21">
        <v>0.538879</v>
      </c>
      <c r="T137">
        <f t="shared" si="14"/>
        <v>18.250246913580245</v>
      </c>
      <c r="U137">
        <f t="shared" si="15"/>
        <v>9.8469389724691343</v>
      </c>
      <c r="X137" s="9"/>
      <c r="Y137" s="21">
        <v>1.1805699999999999</v>
      </c>
      <c r="Z137" s="21">
        <v>16.4556</v>
      </c>
      <c r="AA137" s="21">
        <v>-1.43524E-2</v>
      </c>
      <c r="AB137" s="21">
        <v>127</v>
      </c>
      <c r="AC137" s="21">
        <v>1.1795</v>
      </c>
      <c r="AD137">
        <f t="shared" si="16"/>
        <v>17.719012345679008</v>
      </c>
      <c r="AE137">
        <f t="shared" si="17"/>
        <v>20.918534404938264</v>
      </c>
      <c r="AF137" s="9"/>
      <c r="AG137" s="21">
        <v>0.539551</v>
      </c>
      <c r="AH137" s="21">
        <v>20.315000000000001</v>
      </c>
      <c r="AI137" s="21">
        <v>-1.47919E-2</v>
      </c>
      <c r="AJ137" s="21">
        <v>127</v>
      </c>
      <c r="AK137" s="21">
        <v>0.538879</v>
      </c>
      <c r="AL137">
        <f t="shared" si="18"/>
        <v>18.261604938271603</v>
      </c>
      <c r="AM137">
        <f t="shared" si="19"/>
        <v>9.8530672060493814</v>
      </c>
      <c r="AP137" s="9"/>
      <c r="AQ137" s="21">
        <v>1.1805699999999999</v>
      </c>
      <c r="AR137" s="21">
        <v>25.863800000000001</v>
      </c>
      <c r="AS137" s="21">
        <v>-1.44043E-2</v>
      </c>
      <c r="AT137" s="21">
        <v>127</v>
      </c>
      <c r="AU137" s="21">
        <v>1.1795</v>
      </c>
      <c r="AV137">
        <f t="shared" si="20"/>
        <v>17.783086419753086</v>
      </c>
      <c r="AW137">
        <f t="shared" si="21"/>
        <v>20.994178334567899</v>
      </c>
      <c r="AX137" s="9"/>
      <c r="AY137" s="21">
        <v>0.539551</v>
      </c>
      <c r="AZ137" s="21">
        <v>29.723299999999998</v>
      </c>
      <c r="BA137" s="21">
        <v>-1.4770500000000001E-2</v>
      </c>
      <c r="BB137" s="21">
        <v>127</v>
      </c>
      <c r="BC137" s="21">
        <v>0.53884900000000002</v>
      </c>
      <c r="BD137">
        <f t="shared" si="22"/>
        <v>18.235185185185184</v>
      </c>
      <c r="BE137">
        <f t="shared" si="23"/>
        <v>9.8388124018518521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1.17554</v>
      </c>
      <c r="H138" s="21">
        <v>7.0274200000000002</v>
      </c>
      <c r="I138" s="21">
        <v>-1.41815E-2</v>
      </c>
      <c r="J138" s="21">
        <v>128</v>
      </c>
      <c r="K138" s="21">
        <v>1.17432</v>
      </c>
      <c r="L138">
        <f t="shared" si="12"/>
        <v>17.508024691358024</v>
      </c>
      <c r="M138">
        <f t="shared" si="13"/>
        <v>20.581383345679011</v>
      </c>
      <c r="N138" s="9"/>
      <c r="O138" s="21">
        <v>0.54458600000000001</v>
      </c>
      <c r="P138" s="21">
        <v>10.886900000000001</v>
      </c>
      <c r="Q138" s="21">
        <v>-1.4776600000000001E-2</v>
      </c>
      <c r="R138" s="21">
        <v>128</v>
      </c>
      <c r="S138" s="21">
        <v>0.54394500000000001</v>
      </c>
      <c r="T138">
        <f t="shared" si="14"/>
        <v>18.242716049382715</v>
      </c>
      <c r="U138">
        <f t="shared" si="15"/>
        <v>9.9347277624691355</v>
      </c>
      <c r="X138" s="9"/>
      <c r="Y138" s="21">
        <v>1.17554</v>
      </c>
      <c r="Z138" s="21">
        <v>16.465599999999998</v>
      </c>
      <c r="AA138" s="21">
        <v>-1.43524E-2</v>
      </c>
      <c r="AB138" s="21">
        <v>128</v>
      </c>
      <c r="AC138" s="21">
        <v>1.17432</v>
      </c>
      <c r="AD138">
        <f t="shared" si="16"/>
        <v>17.719012345679008</v>
      </c>
      <c r="AE138">
        <f t="shared" si="17"/>
        <v>20.829407772839502</v>
      </c>
      <c r="AF138" s="9"/>
      <c r="AG138" s="21">
        <v>0.54458600000000001</v>
      </c>
      <c r="AH138" s="21">
        <v>20.325099999999999</v>
      </c>
      <c r="AI138" s="21">
        <v>-1.47919E-2</v>
      </c>
      <c r="AJ138" s="21">
        <v>128</v>
      </c>
      <c r="AK138" s="21">
        <v>0.54382299999999995</v>
      </c>
      <c r="AL138">
        <f t="shared" si="18"/>
        <v>18.261604938271603</v>
      </c>
      <c r="AM138">
        <f t="shared" si="19"/>
        <v>9.945014386913579</v>
      </c>
      <c r="AP138" s="9"/>
      <c r="AQ138" s="21">
        <v>1.17554</v>
      </c>
      <c r="AR138" s="21">
        <v>25.873899999999999</v>
      </c>
      <c r="AS138" s="21">
        <v>-1.44073E-2</v>
      </c>
      <c r="AT138" s="21">
        <v>128</v>
      </c>
      <c r="AU138" s="21">
        <v>1.17462</v>
      </c>
      <c r="AV138">
        <f t="shared" si="20"/>
        <v>17.78679012345679</v>
      </c>
      <c r="AW138">
        <f t="shared" si="21"/>
        <v>20.909083261728394</v>
      </c>
      <c r="AX138" s="9"/>
      <c r="AY138" s="21">
        <v>0.54458600000000001</v>
      </c>
      <c r="AZ138" s="21">
        <v>29.7333</v>
      </c>
      <c r="BA138" s="21">
        <v>-1.47736E-2</v>
      </c>
      <c r="BB138" s="21">
        <v>128</v>
      </c>
      <c r="BC138" s="21">
        <v>0.54391500000000004</v>
      </c>
      <c r="BD138">
        <f t="shared" si="22"/>
        <v>18.239012345679011</v>
      </c>
      <c r="BE138">
        <f t="shared" si="23"/>
        <v>9.9327107772839511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1.1705000000000001</v>
      </c>
      <c r="H139" s="21">
        <v>7.03749</v>
      </c>
      <c r="I139" s="21">
        <v>-1.4196800000000001E-2</v>
      </c>
      <c r="J139" s="21">
        <v>129</v>
      </c>
      <c r="K139" s="21">
        <v>1.16974</v>
      </c>
      <c r="L139">
        <f t="shared" si="12"/>
        <v>17.526913580246916</v>
      </c>
      <c r="M139">
        <f t="shared" si="13"/>
        <v>20.515252345679016</v>
      </c>
      <c r="N139" s="9"/>
      <c r="O139" s="21">
        <v>0.54962200000000005</v>
      </c>
      <c r="P139" s="21">
        <v>10.897</v>
      </c>
      <c r="Q139" s="21">
        <v>-1.47797E-2</v>
      </c>
      <c r="R139" s="21">
        <v>129</v>
      </c>
      <c r="S139" s="21">
        <v>0.54898100000000005</v>
      </c>
      <c r="T139">
        <f t="shared" si="14"/>
        <v>18.246543209876542</v>
      </c>
      <c r="U139">
        <f t="shared" si="15"/>
        <v>10.028701572098766</v>
      </c>
      <c r="X139" s="9"/>
      <c r="Y139" s="21">
        <v>1.1705000000000001</v>
      </c>
      <c r="Z139" s="21">
        <v>16.4757</v>
      </c>
      <c r="AA139" s="21">
        <v>-1.43585E-2</v>
      </c>
      <c r="AB139" s="21">
        <v>129</v>
      </c>
      <c r="AC139" s="21">
        <v>1.16943</v>
      </c>
      <c r="AD139">
        <f t="shared" si="16"/>
        <v>17.726543209876542</v>
      </c>
      <c r="AE139">
        <f t="shared" si="17"/>
        <v>20.748918827160495</v>
      </c>
      <c r="AF139" s="9"/>
      <c r="AG139" s="21">
        <v>0.54962200000000005</v>
      </c>
      <c r="AH139" s="21">
        <v>20.3352</v>
      </c>
      <c r="AI139" s="21">
        <v>-1.47888E-2</v>
      </c>
      <c r="AJ139" s="21">
        <v>129</v>
      </c>
      <c r="AK139" s="21">
        <v>0.54888899999999996</v>
      </c>
      <c r="AL139">
        <f t="shared" si="18"/>
        <v>18.257777777777775</v>
      </c>
      <c r="AM139">
        <f t="shared" si="19"/>
        <v>10.034876337777778</v>
      </c>
      <c r="AP139" s="9"/>
      <c r="AQ139" s="21">
        <v>1.1705000000000001</v>
      </c>
      <c r="AR139" s="21">
        <v>25.883900000000001</v>
      </c>
      <c r="AS139" s="21">
        <v>-1.44043E-2</v>
      </c>
      <c r="AT139" s="21">
        <v>129</v>
      </c>
      <c r="AU139" s="21">
        <v>1.16943</v>
      </c>
      <c r="AV139">
        <f t="shared" si="20"/>
        <v>17.783086419753086</v>
      </c>
      <c r="AW139">
        <f t="shared" si="21"/>
        <v>20.815102654320988</v>
      </c>
      <c r="AX139" s="9"/>
      <c r="AY139" s="21">
        <v>0.54962200000000005</v>
      </c>
      <c r="AZ139" s="21">
        <v>29.743400000000001</v>
      </c>
      <c r="BA139" s="21">
        <v>-1.4782699999999999E-2</v>
      </c>
      <c r="BB139" s="21">
        <v>129</v>
      </c>
      <c r="BC139" s="21">
        <v>0.54895000000000005</v>
      </c>
      <c r="BD139">
        <f t="shared" si="22"/>
        <v>18.250246913580245</v>
      </c>
      <c r="BE139">
        <f t="shared" si="23"/>
        <v>10.030737209135802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1.16547</v>
      </c>
      <c r="H140" s="21">
        <v>7.0475599999999998</v>
      </c>
      <c r="I140" s="21">
        <v>-1.42059E-2</v>
      </c>
      <c r="J140" s="21">
        <v>130</v>
      </c>
      <c r="K140" s="21">
        <v>1.16486</v>
      </c>
      <c r="L140">
        <f t="shared" ref="L140:L203" si="24">-I140/$F$2*1000</f>
        <v>17.538148148148146</v>
      </c>
      <c r="M140">
        <f t="shared" ref="M140:M203" si="25">L140*G140</f>
        <v>20.440185522222219</v>
      </c>
      <c r="N140" s="9"/>
      <c r="O140" s="21">
        <v>0.55465699999999996</v>
      </c>
      <c r="P140" s="21">
        <v>10.907</v>
      </c>
      <c r="Q140" s="21">
        <v>-1.47736E-2</v>
      </c>
      <c r="R140" s="21">
        <v>130</v>
      </c>
      <c r="S140" s="21">
        <v>0.55395499999999998</v>
      </c>
      <c r="T140">
        <f t="shared" ref="T140:T203" si="26">-Q140/$F$2*1000</f>
        <v>18.239012345679011</v>
      </c>
      <c r="U140">
        <f t="shared" ref="U140:U203" si="27">T140*O140</f>
        <v>10.116395870617282</v>
      </c>
      <c r="X140" s="9"/>
      <c r="Y140" s="21">
        <v>1.16547</v>
      </c>
      <c r="Z140" s="21">
        <v>16.485800000000001</v>
      </c>
      <c r="AA140" s="21">
        <v>-1.43585E-2</v>
      </c>
      <c r="AB140" s="21">
        <v>130</v>
      </c>
      <c r="AC140" s="21">
        <v>1.16425</v>
      </c>
      <c r="AD140">
        <f t="shared" ref="AD140:AD203" si="28">-AA140/$F$2*1000</f>
        <v>17.726543209876542</v>
      </c>
      <c r="AE140">
        <f t="shared" ref="AE140:AE203" si="29">AD140*Y140</f>
        <v>20.659754314814816</v>
      </c>
      <c r="AF140" s="9"/>
      <c r="AG140" s="21">
        <v>0.55465699999999996</v>
      </c>
      <c r="AH140" s="21">
        <v>20.345300000000002</v>
      </c>
      <c r="AI140" s="21">
        <v>-1.47736E-2</v>
      </c>
      <c r="AJ140" s="21">
        <v>130</v>
      </c>
      <c r="AK140" s="21">
        <v>0.55404699999999996</v>
      </c>
      <c r="AL140">
        <f t="shared" ref="AL140:AL203" si="30">-AI140/$F$2*1000</f>
        <v>18.239012345679011</v>
      </c>
      <c r="AM140">
        <f t="shared" ref="AM140:AM203" si="31">AL140*AG140</f>
        <v>10.116395870617282</v>
      </c>
      <c r="AP140" s="9"/>
      <c r="AQ140" s="21">
        <v>1.16547</v>
      </c>
      <c r="AR140" s="21">
        <v>25.893999999999998</v>
      </c>
      <c r="AS140" s="21">
        <v>-1.44073E-2</v>
      </c>
      <c r="AT140" s="21">
        <v>130</v>
      </c>
      <c r="AU140" s="21">
        <v>1.16486</v>
      </c>
      <c r="AV140">
        <f t="shared" ref="AV140:AV203" si="32">-AS140/$F$2*1000</f>
        <v>17.78679012345679</v>
      </c>
      <c r="AW140">
        <f t="shared" ref="AW140:AW203" si="33">AV140*AQ140</f>
        <v>20.729970285185185</v>
      </c>
      <c r="AX140" s="9"/>
      <c r="AY140" s="21">
        <v>0.55465699999999996</v>
      </c>
      <c r="AZ140" s="21">
        <v>29.753499999999999</v>
      </c>
      <c r="BA140" s="21">
        <v>-1.47736E-2</v>
      </c>
      <c r="BB140" s="21">
        <v>130</v>
      </c>
      <c r="BC140" s="21">
        <v>0.55395499999999998</v>
      </c>
      <c r="BD140">
        <f t="shared" ref="BD140:BD203" si="34">-BA140/$F$2*1000</f>
        <v>18.239012345679011</v>
      </c>
      <c r="BE140">
        <f t="shared" ref="BE140:BE203" si="35">BD140*AY140</f>
        <v>10.116395870617282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1.1604300000000001</v>
      </c>
      <c r="H141" s="21">
        <v>7.0576400000000001</v>
      </c>
      <c r="I141" s="21">
        <v>-1.42151E-2</v>
      </c>
      <c r="J141" s="21">
        <v>131</v>
      </c>
      <c r="K141" s="21">
        <v>1.15967</v>
      </c>
      <c r="L141">
        <f t="shared" si="24"/>
        <v>17.549506172839507</v>
      </c>
      <c r="M141">
        <f t="shared" si="25"/>
        <v>20.364973448148152</v>
      </c>
      <c r="N141" s="9"/>
      <c r="O141" s="21">
        <v>0.55969199999999997</v>
      </c>
      <c r="P141" s="21">
        <v>10.9171</v>
      </c>
      <c r="Q141" s="21">
        <v>-1.47736E-2</v>
      </c>
      <c r="R141" s="21">
        <v>131</v>
      </c>
      <c r="S141" s="21">
        <v>0.55905199999999999</v>
      </c>
      <c r="T141">
        <f t="shared" si="26"/>
        <v>18.239012345679011</v>
      </c>
      <c r="U141">
        <f t="shared" si="27"/>
        <v>10.208229297777777</v>
      </c>
      <c r="X141" s="9"/>
      <c r="Y141" s="21">
        <v>1.1604300000000001</v>
      </c>
      <c r="Z141" s="21">
        <v>16.495899999999999</v>
      </c>
      <c r="AA141" s="21">
        <v>-1.4367700000000001E-2</v>
      </c>
      <c r="AB141" s="21">
        <v>131</v>
      </c>
      <c r="AC141" s="21">
        <v>1.1593599999999999</v>
      </c>
      <c r="AD141">
        <f t="shared" si="28"/>
        <v>17.7379012345679</v>
      </c>
      <c r="AE141">
        <f t="shared" si="29"/>
        <v>20.583592729629629</v>
      </c>
      <c r="AF141" s="9"/>
      <c r="AG141" s="21">
        <v>0.55969199999999997</v>
      </c>
      <c r="AH141" s="21">
        <v>20.3553</v>
      </c>
      <c r="AI141" s="21">
        <v>-1.4767499999999999E-2</v>
      </c>
      <c r="AJ141" s="21">
        <v>131</v>
      </c>
      <c r="AK141" s="21">
        <v>0.55914299999999995</v>
      </c>
      <c r="AL141">
        <f t="shared" si="30"/>
        <v>18.231481481481481</v>
      </c>
      <c r="AM141">
        <f t="shared" si="31"/>
        <v>10.204014333333333</v>
      </c>
      <c r="AP141" s="9"/>
      <c r="AQ141" s="21">
        <v>1.1604300000000001</v>
      </c>
      <c r="AR141" s="21">
        <v>25.9041</v>
      </c>
      <c r="AS141" s="21">
        <v>-1.4419599999999999E-2</v>
      </c>
      <c r="AT141" s="21">
        <v>131</v>
      </c>
      <c r="AU141" s="21">
        <v>1.1593599999999999</v>
      </c>
      <c r="AV141">
        <f t="shared" si="32"/>
        <v>17.801975308641975</v>
      </c>
      <c r="AW141">
        <f t="shared" si="33"/>
        <v>20.657946207407409</v>
      </c>
      <c r="AX141" s="9"/>
      <c r="AY141" s="21">
        <v>0.55969199999999997</v>
      </c>
      <c r="AZ141" s="21">
        <v>29.7636</v>
      </c>
      <c r="BA141" s="21">
        <v>-1.47644E-2</v>
      </c>
      <c r="BB141" s="21">
        <v>131</v>
      </c>
      <c r="BC141" s="21">
        <v>0.55905199999999999</v>
      </c>
      <c r="BD141">
        <f t="shared" si="34"/>
        <v>18.227654320987654</v>
      </c>
      <c r="BE141">
        <f t="shared" si="35"/>
        <v>10.20187230222222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1.1554</v>
      </c>
      <c r="H142" s="21">
        <v>7.0677099999999999</v>
      </c>
      <c r="I142" s="21">
        <v>-1.4218099999999999E-2</v>
      </c>
      <c r="J142" s="21">
        <v>132</v>
      </c>
      <c r="K142" s="21">
        <v>1.1541699999999999</v>
      </c>
      <c r="L142">
        <f t="shared" si="24"/>
        <v>17.553209876543207</v>
      </c>
      <c r="M142">
        <f t="shared" si="25"/>
        <v>20.280978691358019</v>
      </c>
      <c r="N142" s="9"/>
      <c r="O142" s="21">
        <v>0.56472800000000001</v>
      </c>
      <c r="P142" s="21">
        <v>10.927199999999999</v>
      </c>
      <c r="Q142" s="21">
        <v>-1.4770500000000001E-2</v>
      </c>
      <c r="R142" s="21">
        <v>132</v>
      </c>
      <c r="S142" s="21">
        <v>0.56402600000000003</v>
      </c>
      <c r="T142">
        <f t="shared" si="26"/>
        <v>18.235185185185184</v>
      </c>
      <c r="U142">
        <f t="shared" si="27"/>
        <v>10.297919659259259</v>
      </c>
      <c r="X142" s="9"/>
      <c r="Y142" s="21">
        <v>1.1554</v>
      </c>
      <c r="Z142" s="21">
        <v>16.5059</v>
      </c>
      <c r="AA142" s="21">
        <v>-1.4379899999999999E-2</v>
      </c>
      <c r="AB142" s="21">
        <v>132</v>
      </c>
      <c r="AC142" s="21">
        <v>1.15448</v>
      </c>
      <c r="AD142">
        <f t="shared" si="28"/>
        <v>17.752962962962961</v>
      </c>
      <c r="AE142">
        <f t="shared" si="29"/>
        <v>20.511773407407404</v>
      </c>
      <c r="AF142" s="9"/>
      <c r="AG142" s="21">
        <v>0.56472800000000001</v>
      </c>
      <c r="AH142" s="21">
        <v>20.365400000000001</v>
      </c>
      <c r="AI142" s="21">
        <v>-1.47552E-2</v>
      </c>
      <c r="AJ142" s="21">
        <v>132</v>
      </c>
      <c r="AK142" s="21">
        <v>0.56417799999999996</v>
      </c>
      <c r="AL142">
        <f t="shared" si="30"/>
        <v>18.216296296296292</v>
      </c>
      <c r="AM142">
        <f t="shared" si="31"/>
        <v>10.287252574814813</v>
      </c>
      <c r="AP142" s="9"/>
      <c r="AQ142" s="21">
        <v>1.1554</v>
      </c>
      <c r="AR142" s="21">
        <v>25.914200000000001</v>
      </c>
      <c r="AS142" s="21">
        <v>-1.4422600000000001E-2</v>
      </c>
      <c r="AT142" s="21">
        <v>132</v>
      </c>
      <c r="AU142" s="21">
        <v>1.15448</v>
      </c>
      <c r="AV142">
        <f t="shared" si="32"/>
        <v>17.805679012345678</v>
      </c>
      <c r="AW142">
        <f t="shared" si="33"/>
        <v>20.572681530864195</v>
      </c>
      <c r="AX142" s="9"/>
      <c r="AY142" s="21">
        <v>0.56472800000000001</v>
      </c>
      <c r="AZ142" s="21">
        <v>29.773599999999998</v>
      </c>
      <c r="BA142" s="21">
        <v>-1.47552E-2</v>
      </c>
      <c r="BB142" s="21">
        <v>132</v>
      </c>
      <c r="BC142" s="21">
        <v>0.56399500000000002</v>
      </c>
      <c r="BD142">
        <f t="shared" si="34"/>
        <v>18.216296296296292</v>
      </c>
      <c r="BE142">
        <f t="shared" si="35"/>
        <v>10.287252574814813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1.15036</v>
      </c>
      <c r="H143" s="21">
        <v>7.0777799999999997</v>
      </c>
      <c r="I143" s="21">
        <v>-1.4224199999999999E-2</v>
      </c>
      <c r="J143" s="21">
        <v>133</v>
      </c>
      <c r="K143" s="21">
        <v>1.1496</v>
      </c>
      <c r="L143">
        <f t="shared" si="24"/>
        <v>17.560740740740737</v>
      </c>
      <c r="M143">
        <f t="shared" si="25"/>
        <v>20.201173718518515</v>
      </c>
      <c r="N143" s="9"/>
      <c r="O143" s="21">
        <v>0.56976300000000002</v>
      </c>
      <c r="P143" s="21">
        <v>10.9373</v>
      </c>
      <c r="Q143" s="21">
        <v>-1.47644E-2</v>
      </c>
      <c r="R143" s="21">
        <v>133</v>
      </c>
      <c r="S143" s="21">
        <v>0.56909200000000004</v>
      </c>
      <c r="T143">
        <f t="shared" si="26"/>
        <v>18.227654320987654</v>
      </c>
      <c r="U143">
        <f t="shared" si="27"/>
        <v>10.385443008888888</v>
      </c>
      <c r="X143" s="9"/>
      <c r="Y143" s="21">
        <v>1.15036</v>
      </c>
      <c r="Z143" s="21">
        <v>16.515999999999998</v>
      </c>
      <c r="AA143" s="21">
        <v>-1.4389000000000001E-2</v>
      </c>
      <c r="AB143" s="21">
        <v>133</v>
      </c>
      <c r="AC143" s="21">
        <v>1.1486799999999999</v>
      </c>
      <c r="AD143">
        <f t="shared" si="28"/>
        <v>17.764197530864198</v>
      </c>
      <c r="AE143">
        <f t="shared" si="29"/>
        <v>20.435222271604939</v>
      </c>
      <c r="AF143" s="9"/>
      <c r="AG143" s="21">
        <v>0.56976300000000002</v>
      </c>
      <c r="AH143" s="21">
        <v>20.375499999999999</v>
      </c>
      <c r="AI143" s="21">
        <v>-1.47552E-2</v>
      </c>
      <c r="AJ143" s="21">
        <v>133</v>
      </c>
      <c r="AK143" s="21">
        <v>0.56915300000000002</v>
      </c>
      <c r="AL143">
        <f t="shared" si="30"/>
        <v>18.216296296296292</v>
      </c>
      <c r="AM143">
        <f t="shared" si="31"/>
        <v>10.378971626666665</v>
      </c>
      <c r="AP143" s="9"/>
      <c r="AQ143" s="21">
        <v>1.15036</v>
      </c>
      <c r="AR143" s="21">
        <v>25.924199999999999</v>
      </c>
      <c r="AS143" s="21">
        <v>-1.44257E-2</v>
      </c>
      <c r="AT143" s="21">
        <v>133</v>
      </c>
      <c r="AU143" s="21">
        <v>1.1492899999999999</v>
      </c>
      <c r="AV143">
        <f t="shared" si="32"/>
        <v>17.809506172839505</v>
      </c>
      <c r="AW143">
        <f t="shared" si="33"/>
        <v>20.487343520987654</v>
      </c>
      <c r="AX143" s="9"/>
      <c r="AY143" s="21">
        <v>0.56976300000000002</v>
      </c>
      <c r="AZ143" s="21">
        <v>29.7837</v>
      </c>
      <c r="BA143" s="21">
        <v>-1.47644E-2</v>
      </c>
      <c r="BB143" s="21">
        <v>133</v>
      </c>
      <c r="BC143" s="21">
        <v>0.56912200000000002</v>
      </c>
      <c r="BD143">
        <f t="shared" si="34"/>
        <v>18.227654320987654</v>
      </c>
      <c r="BE143">
        <f t="shared" si="35"/>
        <v>10.385443008888888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1.1453199999999999</v>
      </c>
      <c r="H144" s="21">
        <v>7.0878500000000004</v>
      </c>
      <c r="I144" s="21">
        <v>-1.4236499999999999E-2</v>
      </c>
      <c r="J144" s="21">
        <v>134</v>
      </c>
      <c r="K144" s="21">
        <v>1.1447099999999999</v>
      </c>
      <c r="L144">
        <f t="shared" si="24"/>
        <v>17.575925925925926</v>
      </c>
      <c r="M144">
        <f t="shared" si="25"/>
        <v>20.130059481481478</v>
      </c>
      <c r="N144" s="9"/>
      <c r="O144" s="21">
        <v>0.57479899999999995</v>
      </c>
      <c r="P144" s="21">
        <v>10.9473</v>
      </c>
      <c r="Q144" s="21">
        <v>-1.47552E-2</v>
      </c>
      <c r="R144" s="21">
        <v>134</v>
      </c>
      <c r="S144" s="21">
        <v>0.57397500000000001</v>
      </c>
      <c r="T144">
        <f t="shared" si="26"/>
        <v>18.216296296296292</v>
      </c>
      <c r="U144">
        <f t="shared" si="27"/>
        <v>10.470708894814811</v>
      </c>
      <c r="X144" s="9"/>
      <c r="Y144" s="21">
        <v>1.1453199999999999</v>
      </c>
      <c r="Z144" s="21">
        <v>16.5261</v>
      </c>
      <c r="AA144" s="21">
        <v>-1.43921E-2</v>
      </c>
      <c r="AB144" s="21">
        <v>134</v>
      </c>
      <c r="AC144" s="21">
        <v>1.1444099999999999</v>
      </c>
      <c r="AD144">
        <f t="shared" si="28"/>
        <v>17.768024691358022</v>
      </c>
      <c r="AE144">
        <f t="shared" si="29"/>
        <v>20.350074039506168</v>
      </c>
      <c r="AF144" s="9"/>
      <c r="AG144" s="21">
        <v>0.57479899999999995</v>
      </c>
      <c r="AH144" s="21">
        <v>20.3855</v>
      </c>
      <c r="AI144" s="21">
        <v>-1.4761399999999999E-2</v>
      </c>
      <c r="AJ144" s="21">
        <v>134</v>
      </c>
      <c r="AK144" s="21">
        <v>0.57406599999999997</v>
      </c>
      <c r="AL144">
        <f t="shared" si="30"/>
        <v>18.22395061728395</v>
      </c>
      <c r="AM144">
        <f t="shared" si="31"/>
        <v>10.475108590864197</v>
      </c>
      <c r="AP144" s="9"/>
      <c r="AQ144" s="21">
        <v>1.1453199999999999</v>
      </c>
      <c r="AR144" s="21">
        <v>25.9343</v>
      </c>
      <c r="AS144" s="21">
        <v>-1.44257E-2</v>
      </c>
      <c r="AT144" s="21">
        <v>134</v>
      </c>
      <c r="AU144" s="21">
        <v>1.1444099999999999</v>
      </c>
      <c r="AV144">
        <f t="shared" si="32"/>
        <v>17.809506172839505</v>
      </c>
      <c r="AW144">
        <f t="shared" si="33"/>
        <v>20.397583609876541</v>
      </c>
      <c r="AX144" s="9"/>
      <c r="AY144" s="21">
        <v>0.57479899999999995</v>
      </c>
      <c r="AZ144" s="21">
        <v>29.793800000000001</v>
      </c>
      <c r="BA144" s="21">
        <v>-1.47644E-2</v>
      </c>
      <c r="BB144" s="21">
        <v>134</v>
      </c>
      <c r="BC144" s="21">
        <v>0.57406599999999997</v>
      </c>
      <c r="BD144">
        <f t="shared" si="34"/>
        <v>18.227654320987654</v>
      </c>
      <c r="BE144">
        <f t="shared" si="35"/>
        <v>10.477237476049382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1.14029</v>
      </c>
      <c r="H145" s="21">
        <v>7.0979200000000002</v>
      </c>
      <c r="I145" s="21">
        <v>-1.4245600000000001E-2</v>
      </c>
      <c r="J145" s="21">
        <v>135</v>
      </c>
      <c r="K145" s="21">
        <v>1.1395299999999999</v>
      </c>
      <c r="L145">
        <f t="shared" si="24"/>
        <v>17.58716049382716</v>
      </c>
      <c r="M145">
        <f t="shared" si="25"/>
        <v>20.054463239506173</v>
      </c>
      <c r="N145" s="9"/>
      <c r="O145" s="21">
        <v>0.57983399999999996</v>
      </c>
      <c r="P145" s="21">
        <v>10.9574</v>
      </c>
      <c r="Q145" s="21">
        <v>-1.47522E-2</v>
      </c>
      <c r="R145" s="21">
        <v>135</v>
      </c>
      <c r="S145" s="21">
        <v>0.57919299999999996</v>
      </c>
      <c r="T145">
        <f t="shared" si="26"/>
        <v>18.212592592592593</v>
      </c>
      <c r="U145">
        <f t="shared" si="27"/>
        <v>10.560280413333333</v>
      </c>
      <c r="X145" s="9"/>
      <c r="Y145" s="21">
        <v>1.14029</v>
      </c>
      <c r="Z145" s="21">
        <v>16.536100000000001</v>
      </c>
      <c r="AA145" s="21">
        <v>-1.44043E-2</v>
      </c>
      <c r="AB145" s="21">
        <v>135</v>
      </c>
      <c r="AC145" s="21">
        <v>1.1398299999999999</v>
      </c>
      <c r="AD145">
        <f t="shared" si="28"/>
        <v>17.783086419753086</v>
      </c>
      <c r="AE145">
        <f t="shared" si="29"/>
        <v>20.277875613580246</v>
      </c>
      <c r="AF145" s="9"/>
      <c r="AG145" s="21">
        <v>0.57983399999999996</v>
      </c>
      <c r="AH145" s="21">
        <v>20.395600000000002</v>
      </c>
      <c r="AI145" s="21">
        <v>-1.47552E-2</v>
      </c>
      <c r="AJ145" s="21">
        <v>135</v>
      </c>
      <c r="AK145" s="21">
        <v>0.57919299999999996</v>
      </c>
      <c r="AL145">
        <f t="shared" si="30"/>
        <v>18.216296296296292</v>
      </c>
      <c r="AM145">
        <f t="shared" si="31"/>
        <v>10.562427946666663</v>
      </c>
      <c r="AP145" s="9"/>
      <c r="AQ145" s="21">
        <v>1.14029</v>
      </c>
      <c r="AR145" s="21">
        <v>25.944400000000002</v>
      </c>
      <c r="AS145" s="21">
        <v>-1.4413499999999999E-2</v>
      </c>
      <c r="AT145" s="21">
        <v>135</v>
      </c>
      <c r="AU145" s="21">
        <v>1.1392199999999999</v>
      </c>
      <c r="AV145">
        <f t="shared" si="32"/>
        <v>17.794444444444444</v>
      </c>
      <c r="AW145">
        <f t="shared" si="33"/>
        <v>20.290827055555557</v>
      </c>
      <c r="AX145" s="9"/>
      <c r="AY145" s="21">
        <v>0.57983399999999996</v>
      </c>
      <c r="AZ145" s="21">
        <v>29.803799999999999</v>
      </c>
      <c r="BA145" s="21">
        <v>-1.47736E-2</v>
      </c>
      <c r="BB145" s="21">
        <v>135</v>
      </c>
      <c r="BC145" s="21">
        <v>0.57919299999999996</v>
      </c>
      <c r="BD145">
        <f t="shared" si="34"/>
        <v>18.239012345679011</v>
      </c>
      <c r="BE145">
        <f t="shared" si="35"/>
        <v>10.575599484444442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1.1352500000000001</v>
      </c>
      <c r="H146" s="21">
        <v>7.10799</v>
      </c>
      <c r="I146" s="21">
        <v>-1.42487E-2</v>
      </c>
      <c r="J146" s="21">
        <v>136</v>
      </c>
      <c r="K146" s="21">
        <v>1.1343399999999999</v>
      </c>
      <c r="L146">
        <f t="shared" si="24"/>
        <v>17.590987654320987</v>
      </c>
      <c r="M146">
        <f t="shared" si="25"/>
        <v>19.970168734567903</v>
      </c>
      <c r="N146" s="9"/>
      <c r="O146" s="21">
        <v>0.58486899999999997</v>
      </c>
      <c r="P146" s="21">
        <v>10.967499999999999</v>
      </c>
      <c r="Q146" s="21">
        <v>-1.47522E-2</v>
      </c>
      <c r="R146" s="21">
        <v>136</v>
      </c>
      <c r="S146" s="21">
        <v>0.584198</v>
      </c>
      <c r="T146">
        <f t="shared" si="26"/>
        <v>18.212592592592593</v>
      </c>
      <c r="U146">
        <f t="shared" si="27"/>
        <v>10.651980817037037</v>
      </c>
      <c r="X146" s="9"/>
      <c r="Y146" s="21">
        <v>1.1352500000000001</v>
      </c>
      <c r="Z146" s="21">
        <v>16.546199999999999</v>
      </c>
      <c r="AA146" s="21">
        <v>-1.44165E-2</v>
      </c>
      <c r="AB146" s="21">
        <v>136</v>
      </c>
      <c r="AC146" s="21">
        <v>1.1343399999999999</v>
      </c>
      <c r="AD146">
        <f t="shared" si="28"/>
        <v>17.798148148148147</v>
      </c>
      <c r="AE146">
        <f t="shared" si="29"/>
        <v>20.205347685185185</v>
      </c>
      <c r="AF146" s="9"/>
      <c r="AG146" s="21">
        <v>0.58486899999999997</v>
      </c>
      <c r="AH146" s="21">
        <v>20.4057</v>
      </c>
      <c r="AI146" s="21">
        <v>-1.47552E-2</v>
      </c>
      <c r="AJ146" s="21">
        <v>136</v>
      </c>
      <c r="AK146" s="21">
        <v>0.584229</v>
      </c>
      <c r="AL146">
        <f t="shared" si="30"/>
        <v>18.216296296296292</v>
      </c>
      <c r="AM146">
        <f t="shared" si="31"/>
        <v>10.654146998518515</v>
      </c>
      <c r="AP146" s="9"/>
      <c r="AQ146" s="21">
        <v>1.1352500000000001</v>
      </c>
      <c r="AR146" s="21">
        <v>25.9544</v>
      </c>
      <c r="AS146" s="21">
        <v>-1.44073E-2</v>
      </c>
      <c r="AT146" s="21">
        <v>136</v>
      </c>
      <c r="AU146" s="21">
        <v>1.1343399999999999</v>
      </c>
      <c r="AV146">
        <f t="shared" si="32"/>
        <v>17.78679012345679</v>
      </c>
      <c r="AW146">
        <f t="shared" si="33"/>
        <v>20.192453487654323</v>
      </c>
      <c r="AX146" s="9"/>
      <c r="AY146" s="21">
        <v>0.58486899999999997</v>
      </c>
      <c r="AZ146" s="21">
        <v>29.8139</v>
      </c>
      <c r="BA146" s="21">
        <v>-1.47797E-2</v>
      </c>
      <c r="BB146" s="21">
        <v>136</v>
      </c>
      <c r="BC146" s="21">
        <v>0.58425899999999997</v>
      </c>
      <c r="BD146">
        <f t="shared" si="34"/>
        <v>18.246543209876542</v>
      </c>
      <c r="BE146">
        <f t="shared" si="35"/>
        <v>10.671837480617283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1.13022</v>
      </c>
      <c r="H147" s="21">
        <v>7.1180599999999998</v>
      </c>
      <c r="I147" s="21">
        <v>-1.4251700000000001E-2</v>
      </c>
      <c r="J147" s="21">
        <v>137</v>
      </c>
      <c r="K147" s="21">
        <v>1.1297600000000001</v>
      </c>
      <c r="L147">
        <f t="shared" si="24"/>
        <v>17.594691358024694</v>
      </c>
      <c r="M147">
        <f t="shared" si="25"/>
        <v>19.885872066666668</v>
      </c>
      <c r="N147" s="9"/>
      <c r="O147" s="21">
        <v>0.58990500000000001</v>
      </c>
      <c r="P147" s="21">
        <v>10.977499999999999</v>
      </c>
      <c r="Q147" s="21">
        <v>-1.47522E-2</v>
      </c>
      <c r="R147" s="21">
        <v>137</v>
      </c>
      <c r="S147" s="21">
        <v>0.58932499999999999</v>
      </c>
      <c r="T147">
        <f t="shared" si="26"/>
        <v>18.212592592592593</v>
      </c>
      <c r="U147">
        <f t="shared" si="27"/>
        <v>10.743699433333333</v>
      </c>
      <c r="X147" s="9"/>
      <c r="Y147" s="21">
        <v>1.13022</v>
      </c>
      <c r="Z147" s="21">
        <v>16.5563</v>
      </c>
      <c r="AA147" s="21">
        <v>-1.44165E-2</v>
      </c>
      <c r="AB147" s="21">
        <v>137</v>
      </c>
      <c r="AC147" s="21">
        <v>1.1291500000000001</v>
      </c>
      <c r="AD147">
        <f t="shared" si="28"/>
        <v>17.798148148148147</v>
      </c>
      <c r="AE147">
        <f t="shared" si="29"/>
        <v>20.115822999999999</v>
      </c>
      <c r="AF147" s="9"/>
      <c r="AG147" s="21">
        <v>0.58990500000000001</v>
      </c>
      <c r="AH147" s="21">
        <v>20.415800000000001</v>
      </c>
      <c r="AI147" s="21">
        <v>-1.4749099999999999E-2</v>
      </c>
      <c r="AJ147" s="21">
        <v>137</v>
      </c>
      <c r="AK147" s="21">
        <v>0.58920300000000003</v>
      </c>
      <c r="AL147">
        <f t="shared" si="30"/>
        <v>18.208765432098765</v>
      </c>
      <c r="AM147">
        <f t="shared" si="31"/>
        <v>10.741441772222222</v>
      </c>
      <c r="AP147" s="9"/>
      <c r="AQ147" s="21">
        <v>1.13022</v>
      </c>
      <c r="AR147" s="21">
        <v>25.964500000000001</v>
      </c>
      <c r="AS147" s="21">
        <v>-1.4413499999999999E-2</v>
      </c>
      <c r="AT147" s="21">
        <v>137</v>
      </c>
      <c r="AU147" s="21">
        <v>1.1294599999999999</v>
      </c>
      <c r="AV147">
        <f t="shared" si="32"/>
        <v>17.794444444444444</v>
      </c>
      <c r="AW147">
        <f t="shared" si="33"/>
        <v>20.111636999999998</v>
      </c>
      <c r="AX147" s="9"/>
      <c r="AY147" s="21">
        <v>0.58990500000000001</v>
      </c>
      <c r="AZ147" s="21">
        <v>29.824000000000002</v>
      </c>
      <c r="BA147" s="21">
        <v>-1.47797E-2</v>
      </c>
      <c r="BB147" s="21">
        <v>137</v>
      </c>
      <c r="BC147" s="21">
        <v>0.58926400000000001</v>
      </c>
      <c r="BD147">
        <f t="shared" si="34"/>
        <v>18.246543209876542</v>
      </c>
      <c r="BE147">
        <f t="shared" si="35"/>
        <v>10.763727072222222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1.1251800000000001</v>
      </c>
      <c r="H148" s="21">
        <v>7.1281299999999996</v>
      </c>
      <c r="I148" s="21">
        <v>-1.42548E-2</v>
      </c>
      <c r="J148" s="21">
        <v>138</v>
      </c>
      <c r="K148" s="21">
        <v>1.1239600000000001</v>
      </c>
      <c r="L148">
        <f t="shared" si="24"/>
        <v>17.598518518518517</v>
      </c>
      <c r="M148">
        <f t="shared" si="25"/>
        <v>19.801501066666667</v>
      </c>
      <c r="N148" s="9"/>
      <c r="O148" s="21">
        <v>0.59494000000000002</v>
      </c>
      <c r="P148" s="21">
        <v>10.9876</v>
      </c>
      <c r="Q148" s="21">
        <v>-1.47461E-2</v>
      </c>
      <c r="R148" s="21">
        <v>138</v>
      </c>
      <c r="S148" s="21">
        <v>0.59417699999999996</v>
      </c>
      <c r="T148">
        <f t="shared" si="26"/>
        <v>18.205061728395062</v>
      </c>
      <c r="U148">
        <f t="shared" si="27"/>
        <v>10.830919424691359</v>
      </c>
      <c r="X148" s="9"/>
      <c r="Y148" s="21">
        <v>1.1251800000000001</v>
      </c>
      <c r="Z148" s="21">
        <v>16.566400000000002</v>
      </c>
      <c r="AA148" s="21">
        <v>-1.4428699999999999E-2</v>
      </c>
      <c r="AB148" s="21">
        <v>138</v>
      </c>
      <c r="AC148" s="21">
        <v>1.1239600000000001</v>
      </c>
      <c r="AD148">
        <f t="shared" si="28"/>
        <v>17.813209876543205</v>
      </c>
      <c r="AE148">
        <f t="shared" si="29"/>
        <v>20.043067488888884</v>
      </c>
      <c r="AF148" s="9"/>
      <c r="AG148" s="21">
        <v>0.59494000000000002</v>
      </c>
      <c r="AH148" s="21">
        <v>20.425799999999999</v>
      </c>
      <c r="AI148" s="21">
        <v>-1.4742999999999999E-2</v>
      </c>
      <c r="AJ148" s="21">
        <v>138</v>
      </c>
      <c r="AK148" s="21">
        <v>0.59423800000000004</v>
      </c>
      <c r="AL148">
        <f t="shared" si="30"/>
        <v>18.201234567901235</v>
      </c>
      <c r="AM148">
        <f t="shared" si="31"/>
        <v>10.828642493827161</v>
      </c>
      <c r="AP148" s="9"/>
      <c r="AQ148" s="21">
        <v>1.1251800000000001</v>
      </c>
      <c r="AR148" s="21">
        <v>25.974599999999999</v>
      </c>
      <c r="AS148" s="21">
        <v>-1.4428699999999999E-2</v>
      </c>
      <c r="AT148" s="21">
        <v>138</v>
      </c>
      <c r="AU148" s="21">
        <v>1.1242700000000001</v>
      </c>
      <c r="AV148">
        <f t="shared" si="32"/>
        <v>17.813209876543205</v>
      </c>
      <c r="AW148">
        <f t="shared" si="33"/>
        <v>20.043067488888884</v>
      </c>
      <c r="AX148" s="9"/>
      <c r="AY148" s="21">
        <v>0.59494000000000002</v>
      </c>
      <c r="AZ148" s="21">
        <v>29.834099999999999</v>
      </c>
      <c r="BA148" s="21">
        <v>-1.47797E-2</v>
      </c>
      <c r="BB148" s="21">
        <v>138</v>
      </c>
      <c r="BC148" s="21">
        <v>0.59423800000000004</v>
      </c>
      <c r="BD148">
        <f t="shared" si="34"/>
        <v>18.246543209876542</v>
      </c>
      <c r="BE148">
        <f t="shared" si="35"/>
        <v>10.85559841728395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1.12015</v>
      </c>
      <c r="H149" s="21">
        <v>7.1382000000000003</v>
      </c>
      <c r="I149" s="21">
        <v>-1.42609E-2</v>
      </c>
      <c r="J149" s="21">
        <v>139</v>
      </c>
      <c r="K149" s="21">
        <v>1.1190800000000001</v>
      </c>
      <c r="L149">
        <f t="shared" si="24"/>
        <v>17.606049382716048</v>
      </c>
      <c r="M149">
        <f t="shared" si="25"/>
        <v>19.721416216049381</v>
      </c>
      <c r="N149" s="9"/>
      <c r="O149" s="21">
        <v>0.59997599999999995</v>
      </c>
      <c r="P149" s="21">
        <v>10.9977</v>
      </c>
      <c r="Q149" s="21">
        <v>-1.4736900000000001E-2</v>
      </c>
      <c r="R149" s="21">
        <v>139</v>
      </c>
      <c r="S149" s="21">
        <v>0.59927399999999997</v>
      </c>
      <c r="T149">
        <f t="shared" si="26"/>
        <v>18.193703703703704</v>
      </c>
      <c r="U149">
        <f t="shared" si="27"/>
        <v>10.915785573333332</v>
      </c>
      <c r="X149" s="9"/>
      <c r="Y149" s="21">
        <v>1.12015</v>
      </c>
      <c r="Z149" s="21">
        <v>16.5764</v>
      </c>
      <c r="AA149" s="21">
        <v>-1.4434799999999999E-2</v>
      </c>
      <c r="AB149" s="21">
        <v>139</v>
      </c>
      <c r="AC149" s="21">
        <v>1.11938</v>
      </c>
      <c r="AD149">
        <f t="shared" si="28"/>
        <v>17.820740740740739</v>
      </c>
      <c r="AE149">
        <f t="shared" si="29"/>
        <v>19.961902740740737</v>
      </c>
      <c r="AF149" s="9"/>
      <c r="AG149" s="21">
        <v>0.59997599999999995</v>
      </c>
      <c r="AH149" s="21">
        <v>20.4359</v>
      </c>
      <c r="AI149" s="21">
        <v>-1.47522E-2</v>
      </c>
      <c r="AJ149" s="21">
        <v>139</v>
      </c>
      <c r="AK149" s="21">
        <v>0.59939600000000004</v>
      </c>
      <c r="AL149">
        <f t="shared" si="30"/>
        <v>18.212592592592593</v>
      </c>
      <c r="AM149">
        <f t="shared" si="31"/>
        <v>10.927118453333332</v>
      </c>
      <c r="AP149" s="9"/>
      <c r="AQ149" s="21">
        <v>1.12015</v>
      </c>
      <c r="AR149" s="21">
        <v>25.9847</v>
      </c>
      <c r="AS149" s="21">
        <v>-1.4447E-2</v>
      </c>
      <c r="AT149" s="21">
        <v>139</v>
      </c>
      <c r="AU149" s="21">
        <v>1.1190800000000001</v>
      </c>
      <c r="AV149">
        <f t="shared" si="32"/>
        <v>17.8358024691358</v>
      </c>
      <c r="AW149">
        <f t="shared" si="33"/>
        <v>19.978774135802464</v>
      </c>
      <c r="AX149" s="9"/>
      <c r="AY149" s="21">
        <v>0.59997599999999995</v>
      </c>
      <c r="AZ149" s="21">
        <v>29.844100000000001</v>
      </c>
      <c r="BA149" s="21">
        <v>-1.47797E-2</v>
      </c>
      <c r="BB149" s="21">
        <v>139</v>
      </c>
      <c r="BC149" s="21">
        <v>0.59936500000000004</v>
      </c>
      <c r="BD149">
        <f t="shared" si="34"/>
        <v>18.246543209876542</v>
      </c>
      <c r="BE149">
        <f t="shared" si="35"/>
        <v>10.947488008888888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1.11511</v>
      </c>
      <c r="H150" s="21">
        <v>7.1482700000000001</v>
      </c>
      <c r="I150" s="21">
        <v>-1.4267E-2</v>
      </c>
      <c r="J150" s="21">
        <v>140</v>
      </c>
      <c r="K150" s="21">
        <v>1.1135900000000001</v>
      </c>
      <c r="L150">
        <f t="shared" si="24"/>
        <v>17.613580246913582</v>
      </c>
      <c r="M150">
        <f t="shared" si="25"/>
        <v>19.641079469135803</v>
      </c>
      <c r="N150" s="9"/>
      <c r="O150" s="21">
        <v>0.60501099999999997</v>
      </c>
      <c r="P150" s="21">
        <v>11.0077</v>
      </c>
      <c r="Q150" s="21">
        <v>-1.4733899999999999E-2</v>
      </c>
      <c r="R150" s="21">
        <v>140</v>
      </c>
      <c r="S150" s="21">
        <v>0.60424800000000001</v>
      </c>
      <c r="T150">
        <f t="shared" si="26"/>
        <v>18.189999999999998</v>
      </c>
      <c r="U150">
        <f t="shared" si="27"/>
        <v>11.005150089999997</v>
      </c>
      <c r="X150" s="9"/>
      <c r="Y150" s="21">
        <v>1.11511</v>
      </c>
      <c r="Z150" s="21">
        <v>16.586500000000001</v>
      </c>
      <c r="AA150" s="21">
        <v>-1.4447E-2</v>
      </c>
      <c r="AB150" s="21">
        <v>140</v>
      </c>
      <c r="AC150" s="21">
        <v>1.11389</v>
      </c>
      <c r="AD150">
        <f t="shared" si="28"/>
        <v>17.8358024691358</v>
      </c>
      <c r="AE150">
        <f t="shared" si="29"/>
        <v>19.888881691358023</v>
      </c>
      <c r="AF150" s="9"/>
      <c r="AG150" s="21">
        <v>0.60501099999999997</v>
      </c>
      <c r="AH150" s="21">
        <v>20.446000000000002</v>
      </c>
      <c r="AI150" s="21">
        <v>-1.47522E-2</v>
      </c>
      <c r="AJ150" s="21">
        <v>140</v>
      </c>
      <c r="AK150" s="21">
        <v>0.60427900000000001</v>
      </c>
      <c r="AL150">
        <f t="shared" si="30"/>
        <v>18.212592592592593</v>
      </c>
      <c r="AM150">
        <f t="shared" si="31"/>
        <v>11.018818857037036</v>
      </c>
      <c r="AP150" s="9"/>
      <c r="AQ150" s="21">
        <v>1.11511</v>
      </c>
      <c r="AR150" s="21">
        <v>25.994700000000002</v>
      </c>
      <c r="AS150" s="21">
        <v>-1.4462300000000001E-2</v>
      </c>
      <c r="AT150" s="21">
        <v>140</v>
      </c>
      <c r="AU150" s="21">
        <v>1.11389</v>
      </c>
      <c r="AV150">
        <f t="shared" si="32"/>
        <v>17.854691358024692</v>
      </c>
      <c r="AW150">
        <f t="shared" si="33"/>
        <v>19.909944880246915</v>
      </c>
      <c r="AX150" s="9"/>
      <c r="AY150" s="21">
        <v>0.60501099999999997</v>
      </c>
      <c r="AZ150" s="21">
        <v>29.854199999999999</v>
      </c>
      <c r="BA150" s="21">
        <v>-1.47797E-2</v>
      </c>
      <c r="BB150" s="21">
        <v>140</v>
      </c>
      <c r="BC150" s="21">
        <v>0.60421800000000003</v>
      </c>
      <c r="BD150">
        <f t="shared" si="34"/>
        <v>18.246543209876542</v>
      </c>
      <c r="BE150">
        <f t="shared" si="35"/>
        <v>11.039359353950616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1.11008</v>
      </c>
      <c r="H151" s="21">
        <v>7.1583500000000004</v>
      </c>
      <c r="I151" s="21">
        <v>-1.4279200000000001E-2</v>
      </c>
      <c r="J151" s="21">
        <v>141</v>
      </c>
      <c r="K151" s="21">
        <v>1.10992</v>
      </c>
      <c r="L151">
        <f t="shared" si="24"/>
        <v>17.628641975308639</v>
      </c>
      <c r="M151">
        <f t="shared" si="25"/>
        <v>19.569202883950613</v>
      </c>
      <c r="N151" s="9"/>
      <c r="O151" s="21">
        <v>0.61004599999999998</v>
      </c>
      <c r="P151" s="21">
        <v>11.017799999999999</v>
      </c>
      <c r="Q151" s="21">
        <v>-1.47247E-2</v>
      </c>
      <c r="R151" s="21">
        <v>141</v>
      </c>
      <c r="S151" s="21">
        <v>0.609344</v>
      </c>
      <c r="T151">
        <f t="shared" si="26"/>
        <v>18.178641975308643</v>
      </c>
      <c r="U151">
        <f t="shared" si="27"/>
        <v>11.089807822469137</v>
      </c>
      <c r="X151" s="9"/>
      <c r="Y151" s="21">
        <v>1.11008</v>
      </c>
      <c r="Z151" s="21">
        <v>16.596599999999999</v>
      </c>
      <c r="AA151" s="21">
        <v>-1.4462300000000001E-2</v>
      </c>
      <c r="AB151" s="21">
        <v>141</v>
      </c>
      <c r="AC151" s="21">
        <v>1.1096200000000001</v>
      </c>
      <c r="AD151">
        <f t="shared" si="28"/>
        <v>17.854691358024692</v>
      </c>
      <c r="AE151">
        <f t="shared" si="29"/>
        <v>19.820135782716047</v>
      </c>
      <c r="AF151" s="9"/>
      <c r="AG151" s="21">
        <v>0.61004599999999998</v>
      </c>
      <c r="AH151" s="21">
        <v>20.456</v>
      </c>
      <c r="AI151" s="21">
        <v>-1.47522E-2</v>
      </c>
      <c r="AJ151" s="21">
        <v>141</v>
      </c>
      <c r="AK151" s="21">
        <v>0.609406</v>
      </c>
      <c r="AL151">
        <f t="shared" si="30"/>
        <v>18.212592592592593</v>
      </c>
      <c r="AM151">
        <f t="shared" si="31"/>
        <v>11.110519260740741</v>
      </c>
      <c r="AP151" s="9"/>
      <c r="AQ151" s="21">
        <v>1.11008</v>
      </c>
      <c r="AR151" s="21">
        <v>26.004799999999999</v>
      </c>
      <c r="AS151" s="21">
        <v>-1.4468399999999999E-2</v>
      </c>
      <c r="AT151" s="21">
        <v>141</v>
      </c>
      <c r="AU151" s="21">
        <v>1.1084000000000001</v>
      </c>
      <c r="AV151">
        <f t="shared" si="32"/>
        <v>17.862222222222222</v>
      </c>
      <c r="AW151">
        <f t="shared" si="33"/>
        <v>19.828495644444445</v>
      </c>
      <c r="AX151" s="9"/>
      <c r="AY151" s="21">
        <v>0.61004599999999998</v>
      </c>
      <c r="AZ151" s="21">
        <v>29.8643</v>
      </c>
      <c r="BA151" s="21">
        <v>-1.47736E-2</v>
      </c>
      <c r="BB151" s="21">
        <v>141</v>
      </c>
      <c r="BC151" s="21">
        <v>0.609375</v>
      </c>
      <c r="BD151">
        <f t="shared" si="34"/>
        <v>18.239012345679011</v>
      </c>
      <c r="BE151">
        <f t="shared" si="35"/>
        <v>11.126636525432097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1.10504</v>
      </c>
      <c r="H152" s="21">
        <v>7.1684200000000002</v>
      </c>
      <c r="I152" s="21">
        <v>-1.4285300000000001E-2</v>
      </c>
      <c r="J152" s="21">
        <v>142</v>
      </c>
      <c r="K152" s="21">
        <v>1.10443</v>
      </c>
      <c r="L152">
        <f t="shared" si="24"/>
        <v>17.636172839506173</v>
      </c>
      <c r="M152">
        <f t="shared" si="25"/>
        <v>19.488676434567903</v>
      </c>
      <c r="N152" s="9"/>
      <c r="O152" s="21">
        <v>0.61508200000000002</v>
      </c>
      <c r="P152" s="21">
        <v>11.027900000000001</v>
      </c>
      <c r="Q152" s="21">
        <v>-1.47308E-2</v>
      </c>
      <c r="R152" s="21">
        <v>142</v>
      </c>
      <c r="S152" s="21">
        <v>0.61441000000000001</v>
      </c>
      <c r="T152">
        <f t="shared" si="26"/>
        <v>18.186172839506174</v>
      </c>
      <c r="U152">
        <f t="shared" si="27"/>
        <v>11.185987562469137</v>
      </c>
      <c r="X152" s="9"/>
      <c r="Y152" s="21">
        <v>1.10504</v>
      </c>
      <c r="Z152" s="21">
        <v>16.6066</v>
      </c>
      <c r="AA152" s="21">
        <v>-1.4468399999999999E-2</v>
      </c>
      <c r="AB152" s="21">
        <v>142</v>
      </c>
      <c r="AC152" s="21">
        <v>1.10382</v>
      </c>
      <c r="AD152">
        <f t="shared" si="28"/>
        <v>17.862222222222222</v>
      </c>
      <c r="AE152">
        <f t="shared" si="29"/>
        <v>19.738470044444444</v>
      </c>
      <c r="AF152" s="9"/>
      <c r="AG152" s="21">
        <v>0.61508200000000002</v>
      </c>
      <c r="AH152" s="21">
        <v>20.466100000000001</v>
      </c>
      <c r="AI152" s="21">
        <v>-1.47552E-2</v>
      </c>
      <c r="AJ152" s="21">
        <v>142</v>
      </c>
      <c r="AK152" s="21">
        <v>0.61428799999999995</v>
      </c>
      <c r="AL152">
        <f t="shared" si="30"/>
        <v>18.216296296296292</v>
      </c>
      <c r="AM152">
        <f t="shared" si="31"/>
        <v>11.204515958518517</v>
      </c>
      <c r="AP152" s="9"/>
      <c r="AQ152" s="21">
        <v>1.10504</v>
      </c>
      <c r="AR152" s="21">
        <v>26.014900000000001</v>
      </c>
      <c r="AS152" s="21">
        <v>-1.44745E-2</v>
      </c>
      <c r="AT152" s="21">
        <v>142</v>
      </c>
      <c r="AU152" s="21">
        <v>1.10382</v>
      </c>
      <c r="AV152">
        <f t="shared" si="32"/>
        <v>17.869753086419752</v>
      </c>
      <c r="AW152">
        <f t="shared" si="33"/>
        <v>19.746791950617283</v>
      </c>
      <c r="AX152" s="9"/>
      <c r="AY152" s="21">
        <v>0.61508200000000002</v>
      </c>
      <c r="AZ152" s="21">
        <v>29.874300000000002</v>
      </c>
      <c r="BA152" s="21">
        <v>-1.4770500000000001E-2</v>
      </c>
      <c r="BB152" s="21">
        <v>142</v>
      </c>
      <c r="BC152" s="21">
        <v>0.61456299999999997</v>
      </c>
      <c r="BD152">
        <f t="shared" si="34"/>
        <v>18.235185185185184</v>
      </c>
      <c r="BE152">
        <f t="shared" si="35"/>
        <v>11.216134174074075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1.1000099999999999</v>
      </c>
      <c r="H153" s="21">
        <v>7.17849</v>
      </c>
      <c r="I153" s="21">
        <v>-1.4294400000000001E-2</v>
      </c>
      <c r="J153" s="21">
        <v>143</v>
      </c>
      <c r="K153" s="21">
        <v>1.09924</v>
      </c>
      <c r="L153">
        <f t="shared" si="24"/>
        <v>17.647407407407407</v>
      </c>
      <c r="M153">
        <f t="shared" si="25"/>
        <v>19.412324622222219</v>
      </c>
      <c r="N153" s="9"/>
      <c r="O153" s="21">
        <v>0.62011700000000003</v>
      </c>
      <c r="P153" s="21">
        <v>11.038</v>
      </c>
      <c r="Q153" s="21">
        <v>-1.4742999999999999E-2</v>
      </c>
      <c r="R153" s="21">
        <v>143</v>
      </c>
      <c r="S153" s="21">
        <v>0.61947600000000003</v>
      </c>
      <c r="T153">
        <f t="shared" si="26"/>
        <v>18.201234567901235</v>
      </c>
      <c r="U153">
        <f t="shared" si="27"/>
        <v>11.286894976543211</v>
      </c>
      <c r="X153" s="9"/>
      <c r="Y153" s="21">
        <v>1.1000099999999999</v>
      </c>
      <c r="Z153" s="21">
        <v>16.616700000000002</v>
      </c>
      <c r="AA153" s="21">
        <v>-1.44745E-2</v>
      </c>
      <c r="AB153" s="21">
        <v>143</v>
      </c>
      <c r="AC153" s="21">
        <v>1.09894</v>
      </c>
      <c r="AD153">
        <f t="shared" si="28"/>
        <v>17.869753086419752</v>
      </c>
      <c r="AE153">
        <f t="shared" si="29"/>
        <v>19.65690709259259</v>
      </c>
      <c r="AF153" s="9"/>
      <c r="AG153" s="21">
        <v>0.62011700000000003</v>
      </c>
      <c r="AH153" s="21">
        <v>20.476199999999999</v>
      </c>
      <c r="AI153" s="21">
        <v>-1.47583E-2</v>
      </c>
      <c r="AJ153" s="21">
        <v>143</v>
      </c>
      <c r="AK153" s="21">
        <v>0.61950700000000003</v>
      </c>
      <c r="AL153">
        <f t="shared" si="30"/>
        <v>18.22012345679012</v>
      </c>
      <c r="AM153">
        <f t="shared" si="31"/>
        <v>11.298608297654319</v>
      </c>
      <c r="AP153" s="9"/>
      <c r="AQ153" s="21">
        <v>1.1000099999999999</v>
      </c>
      <c r="AR153" s="21">
        <v>26.024899999999999</v>
      </c>
      <c r="AS153" s="21">
        <v>-1.44745E-2</v>
      </c>
      <c r="AT153" s="21">
        <v>143</v>
      </c>
      <c r="AU153" s="21">
        <v>1.09955</v>
      </c>
      <c r="AV153">
        <f t="shared" si="32"/>
        <v>17.869753086419752</v>
      </c>
      <c r="AW153">
        <f t="shared" si="33"/>
        <v>19.65690709259259</v>
      </c>
      <c r="AX153" s="9"/>
      <c r="AY153" s="21">
        <v>0.62011700000000003</v>
      </c>
      <c r="AZ153" s="21">
        <v>29.884399999999999</v>
      </c>
      <c r="BA153" s="21">
        <v>-1.47644E-2</v>
      </c>
      <c r="BB153" s="21">
        <v>143</v>
      </c>
      <c r="BC153" s="21">
        <v>0.61941500000000005</v>
      </c>
      <c r="BD153">
        <f t="shared" si="34"/>
        <v>18.227654320987654</v>
      </c>
      <c r="BE153">
        <f t="shared" si="35"/>
        <v>11.303278314567901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1.09497</v>
      </c>
      <c r="H154" s="21">
        <v>7.1885599999999998</v>
      </c>
      <c r="I154" s="21">
        <v>-1.43036E-2</v>
      </c>
      <c r="J154" s="21">
        <v>144</v>
      </c>
      <c r="K154" s="21">
        <v>1.09436</v>
      </c>
      <c r="L154">
        <f t="shared" si="24"/>
        <v>17.658765432098765</v>
      </c>
      <c r="M154">
        <f t="shared" si="25"/>
        <v>19.335818385185185</v>
      </c>
      <c r="N154" s="9"/>
      <c r="O154" s="21">
        <v>0.62515299999999996</v>
      </c>
      <c r="P154" s="21">
        <v>11.048</v>
      </c>
      <c r="Q154" s="21">
        <v>-1.4749099999999999E-2</v>
      </c>
      <c r="R154" s="21">
        <v>144</v>
      </c>
      <c r="S154" s="21">
        <v>0.62445099999999998</v>
      </c>
      <c r="T154">
        <f t="shared" si="26"/>
        <v>18.208765432098765</v>
      </c>
      <c r="U154">
        <f t="shared" si="27"/>
        <v>11.383264336172839</v>
      </c>
      <c r="X154" s="9"/>
      <c r="Y154" s="21">
        <v>1.09497</v>
      </c>
      <c r="Z154" s="21">
        <v>16.626799999999999</v>
      </c>
      <c r="AA154" s="21">
        <v>-1.4477500000000001E-2</v>
      </c>
      <c r="AB154" s="21">
        <v>144</v>
      </c>
      <c r="AC154" s="21">
        <v>1.09375</v>
      </c>
      <c r="AD154">
        <f t="shared" si="28"/>
        <v>17.873456790123456</v>
      </c>
      <c r="AE154">
        <f t="shared" si="29"/>
        <v>19.570898981481481</v>
      </c>
      <c r="AF154" s="9"/>
      <c r="AG154" s="21">
        <v>0.62515299999999996</v>
      </c>
      <c r="AH154" s="21">
        <v>20.4863</v>
      </c>
      <c r="AI154" s="21">
        <v>-1.47583E-2</v>
      </c>
      <c r="AJ154" s="21">
        <v>144</v>
      </c>
      <c r="AK154" s="21">
        <v>0.62451199999999996</v>
      </c>
      <c r="AL154">
        <f t="shared" si="30"/>
        <v>18.22012345679012</v>
      </c>
      <c r="AM154">
        <f t="shared" si="31"/>
        <v>11.390364839382713</v>
      </c>
      <c r="AP154" s="9"/>
      <c r="AQ154" s="21">
        <v>1.09497</v>
      </c>
      <c r="AR154" s="21">
        <v>26.035</v>
      </c>
      <c r="AS154" s="21">
        <v>-1.44745E-2</v>
      </c>
      <c r="AT154" s="21">
        <v>144</v>
      </c>
      <c r="AU154" s="21">
        <v>1.09406</v>
      </c>
      <c r="AV154">
        <f t="shared" si="32"/>
        <v>17.869753086419752</v>
      </c>
      <c r="AW154">
        <f t="shared" si="33"/>
        <v>19.566843537037037</v>
      </c>
      <c r="AX154" s="9"/>
      <c r="AY154" s="21">
        <v>0.62515299999999996</v>
      </c>
      <c r="AZ154" s="21">
        <v>29.894500000000001</v>
      </c>
      <c r="BA154" s="21">
        <v>-1.4767499999999999E-2</v>
      </c>
      <c r="BB154" s="21">
        <v>144</v>
      </c>
      <c r="BC154" s="21">
        <v>0.62448099999999995</v>
      </c>
      <c r="BD154">
        <f t="shared" si="34"/>
        <v>18.231481481481481</v>
      </c>
      <c r="BE154">
        <f t="shared" si="35"/>
        <v>11.397465342592591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1.0899399999999999</v>
      </c>
      <c r="H155" s="21">
        <v>7.1986299999999996</v>
      </c>
      <c r="I155" s="21">
        <v>-1.43036E-2</v>
      </c>
      <c r="J155" s="21">
        <v>145</v>
      </c>
      <c r="K155" s="21">
        <v>1.08887</v>
      </c>
      <c r="L155">
        <f t="shared" si="24"/>
        <v>17.658765432098765</v>
      </c>
      <c r="M155">
        <f t="shared" si="25"/>
        <v>19.246994795061728</v>
      </c>
      <c r="N155" s="9"/>
      <c r="O155" s="21">
        <v>0.63018799999999997</v>
      </c>
      <c r="P155" s="21">
        <v>11.0581</v>
      </c>
      <c r="Q155" s="21">
        <v>-1.47552E-2</v>
      </c>
      <c r="R155" s="21">
        <v>145</v>
      </c>
      <c r="S155" s="21">
        <v>0.62963899999999995</v>
      </c>
      <c r="T155">
        <f t="shared" si="26"/>
        <v>18.216296296296292</v>
      </c>
      <c r="U155">
        <f t="shared" si="27"/>
        <v>11.479691330370366</v>
      </c>
      <c r="X155" s="9"/>
      <c r="Y155" s="21">
        <v>1.0899399999999999</v>
      </c>
      <c r="Z155" s="21">
        <v>16.636800000000001</v>
      </c>
      <c r="AA155" s="21">
        <v>-1.4477500000000001E-2</v>
      </c>
      <c r="AB155" s="21">
        <v>145</v>
      </c>
      <c r="AC155" s="21">
        <v>1.08856</v>
      </c>
      <c r="AD155">
        <f t="shared" si="28"/>
        <v>17.873456790123456</v>
      </c>
      <c r="AE155">
        <f t="shared" si="29"/>
        <v>19.480995493827159</v>
      </c>
      <c r="AF155" s="9"/>
      <c r="AG155" s="21">
        <v>0.63018799999999997</v>
      </c>
      <c r="AH155" s="21">
        <v>20.496300000000002</v>
      </c>
      <c r="AI155" s="21">
        <v>-1.4761399999999999E-2</v>
      </c>
      <c r="AJ155" s="21">
        <v>145</v>
      </c>
      <c r="AK155" s="21">
        <v>0.62951699999999999</v>
      </c>
      <c r="AL155">
        <f t="shared" si="30"/>
        <v>18.22395061728395</v>
      </c>
      <c r="AM155">
        <f t="shared" si="31"/>
        <v>11.484514991604938</v>
      </c>
      <c r="AP155" s="9"/>
      <c r="AQ155" s="21">
        <v>1.0899399999999999</v>
      </c>
      <c r="AR155" s="21">
        <v>26.045100000000001</v>
      </c>
      <c r="AS155" s="21">
        <v>-1.4483599999999999E-2</v>
      </c>
      <c r="AT155" s="21">
        <v>145</v>
      </c>
      <c r="AU155" s="21">
        <v>1.08887</v>
      </c>
      <c r="AV155">
        <f t="shared" si="32"/>
        <v>17.880987654320986</v>
      </c>
      <c r="AW155">
        <f t="shared" si="33"/>
        <v>19.489203683950613</v>
      </c>
      <c r="AX155" s="9"/>
      <c r="AY155" s="21">
        <v>0.63018799999999997</v>
      </c>
      <c r="AZ155" s="21">
        <v>29.904499999999999</v>
      </c>
      <c r="BA155" s="21">
        <v>-1.4761399999999999E-2</v>
      </c>
      <c r="BB155" s="21">
        <v>145</v>
      </c>
      <c r="BC155" s="21">
        <v>0.62954699999999997</v>
      </c>
      <c r="BD155">
        <f t="shared" si="34"/>
        <v>18.22395061728395</v>
      </c>
      <c r="BE155">
        <f t="shared" si="35"/>
        <v>11.484514991604938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1.0849</v>
      </c>
      <c r="H156" s="21">
        <v>7.2087000000000003</v>
      </c>
      <c r="I156" s="21">
        <v>-1.4300500000000001E-2</v>
      </c>
      <c r="J156" s="21">
        <v>146</v>
      </c>
      <c r="K156" s="21">
        <v>1.08368</v>
      </c>
      <c r="L156">
        <f t="shared" si="24"/>
        <v>17.654938271604937</v>
      </c>
      <c r="M156">
        <f t="shared" si="25"/>
        <v>19.153842530864196</v>
      </c>
      <c r="N156" s="9"/>
      <c r="O156" s="21">
        <v>0.63522299999999998</v>
      </c>
      <c r="P156" s="21">
        <v>11.068199999999999</v>
      </c>
      <c r="Q156" s="21">
        <v>-1.47583E-2</v>
      </c>
      <c r="R156" s="21">
        <v>146</v>
      </c>
      <c r="S156" s="21">
        <v>0.634521</v>
      </c>
      <c r="T156">
        <f t="shared" si="26"/>
        <v>18.22012345679012</v>
      </c>
      <c r="U156">
        <f t="shared" si="27"/>
        <v>11.57384148259259</v>
      </c>
      <c r="X156" s="9"/>
      <c r="Y156" s="21">
        <v>1.0849</v>
      </c>
      <c r="Z156" s="21">
        <v>16.646899999999999</v>
      </c>
      <c r="AA156" s="21">
        <v>-1.44745E-2</v>
      </c>
      <c r="AB156" s="21">
        <v>146</v>
      </c>
      <c r="AC156" s="21">
        <v>1.08368</v>
      </c>
      <c r="AD156">
        <f t="shared" si="28"/>
        <v>17.869753086419752</v>
      </c>
      <c r="AE156">
        <f t="shared" si="29"/>
        <v>19.386895123456789</v>
      </c>
      <c r="AF156" s="9"/>
      <c r="AG156" s="21">
        <v>0.63522299999999998</v>
      </c>
      <c r="AH156" s="21">
        <v>20.506399999999999</v>
      </c>
      <c r="AI156" s="21">
        <v>-1.47522E-2</v>
      </c>
      <c r="AJ156" s="21">
        <v>146</v>
      </c>
      <c r="AK156" s="21">
        <v>0.63449100000000003</v>
      </c>
      <c r="AL156">
        <f t="shared" si="30"/>
        <v>18.212592592592593</v>
      </c>
      <c r="AM156">
        <f t="shared" si="31"/>
        <v>11.569057704444445</v>
      </c>
      <c r="AP156" s="9"/>
      <c r="AQ156" s="21">
        <v>1.0849</v>
      </c>
      <c r="AR156" s="21">
        <v>26.055099999999999</v>
      </c>
      <c r="AS156" s="21">
        <v>-1.4483599999999999E-2</v>
      </c>
      <c r="AT156" s="21">
        <v>146</v>
      </c>
      <c r="AU156" s="21">
        <v>1.0839799999999999</v>
      </c>
      <c r="AV156">
        <f t="shared" si="32"/>
        <v>17.880987654320986</v>
      </c>
      <c r="AW156">
        <f t="shared" si="33"/>
        <v>19.399083506172836</v>
      </c>
      <c r="AX156" s="9"/>
      <c r="AY156" s="21">
        <v>0.63522299999999998</v>
      </c>
      <c r="AZ156" s="21">
        <v>29.9146</v>
      </c>
      <c r="BA156" s="21">
        <v>-1.47552E-2</v>
      </c>
      <c r="BB156" s="21">
        <v>146</v>
      </c>
      <c r="BC156" s="21">
        <v>0.634552</v>
      </c>
      <c r="BD156">
        <f t="shared" si="34"/>
        <v>18.216296296296292</v>
      </c>
      <c r="BE156">
        <f t="shared" si="35"/>
        <v>11.571410382222219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1.07986</v>
      </c>
      <c r="H157" s="21">
        <v>7.2187700000000001</v>
      </c>
      <c r="I157" s="21">
        <v>-1.4297499999999999E-2</v>
      </c>
      <c r="J157" s="21">
        <v>147</v>
      </c>
      <c r="K157" s="21">
        <v>1.07941</v>
      </c>
      <c r="L157">
        <f t="shared" si="24"/>
        <v>17.651234567901231</v>
      </c>
      <c r="M157">
        <f t="shared" si="25"/>
        <v>19.060862160493823</v>
      </c>
      <c r="N157" s="9"/>
      <c r="O157" s="21">
        <v>0.64025900000000002</v>
      </c>
      <c r="P157" s="21">
        <v>11.078200000000001</v>
      </c>
      <c r="Q157" s="21">
        <v>-1.4749099999999999E-2</v>
      </c>
      <c r="R157" s="21">
        <v>147</v>
      </c>
      <c r="S157" s="21">
        <v>0.63958700000000002</v>
      </c>
      <c r="T157">
        <f t="shared" si="26"/>
        <v>18.208765432098765</v>
      </c>
      <c r="U157">
        <f t="shared" si="27"/>
        <v>11.658325946790123</v>
      </c>
      <c r="X157" s="9"/>
      <c r="Y157" s="21">
        <v>1.07986</v>
      </c>
      <c r="Z157" s="21">
        <v>16.657</v>
      </c>
      <c r="AA157" s="21">
        <v>-1.4477500000000001E-2</v>
      </c>
      <c r="AB157" s="21">
        <v>147</v>
      </c>
      <c r="AC157" s="21">
        <v>1.0784899999999999</v>
      </c>
      <c r="AD157">
        <f t="shared" si="28"/>
        <v>17.873456790123456</v>
      </c>
      <c r="AE157">
        <f t="shared" si="29"/>
        <v>19.300831049382715</v>
      </c>
      <c r="AF157" s="9"/>
      <c r="AG157" s="21">
        <v>0.64025900000000002</v>
      </c>
      <c r="AH157" s="21">
        <v>20.516500000000001</v>
      </c>
      <c r="AI157" s="21">
        <v>-1.4749099999999999E-2</v>
      </c>
      <c r="AJ157" s="21">
        <v>147</v>
      </c>
      <c r="AK157" s="21">
        <v>0.63961800000000002</v>
      </c>
      <c r="AL157">
        <f t="shared" si="30"/>
        <v>18.208765432098765</v>
      </c>
      <c r="AM157">
        <f t="shared" si="31"/>
        <v>11.658325946790123</v>
      </c>
      <c r="AP157" s="9"/>
      <c r="AQ157" s="21">
        <v>1.07986</v>
      </c>
      <c r="AR157" s="21">
        <v>26.065200000000001</v>
      </c>
      <c r="AS157" s="21">
        <v>-1.44928E-2</v>
      </c>
      <c r="AT157" s="21">
        <v>147</v>
      </c>
      <c r="AU157" s="21">
        <v>1.07941</v>
      </c>
      <c r="AV157">
        <f t="shared" si="32"/>
        <v>17.892345679012344</v>
      </c>
      <c r="AW157">
        <f t="shared" si="33"/>
        <v>19.321228404938271</v>
      </c>
      <c r="AX157" s="9"/>
      <c r="AY157" s="21">
        <v>0.64025900000000002</v>
      </c>
      <c r="AZ157" s="21">
        <v>29.924700000000001</v>
      </c>
      <c r="BA157" s="21">
        <v>-1.47552E-2</v>
      </c>
      <c r="BB157" s="21">
        <v>147</v>
      </c>
      <c r="BC157" s="21">
        <v>0.63955700000000004</v>
      </c>
      <c r="BD157">
        <f t="shared" si="34"/>
        <v>18.216296296296292</v>
      </c>
      <c r="BE157">
        <f t="shared" si="35"/>
        <v>11.663147650370368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1.07483</v>
      </c>
      <c r="H158" s="21">
        <v>7.2288399999999999</v>
      </c>
      <c r="I158" s="21">
        <v>-1.4297499999999999E-2</v>
      </c>
      <c r="J158" s="21">
        <v>148</v>
      </c>
      <c r="K158" s="21">
        <v>1.07422</v>
      </c>
      <c r="L158">
        <f t="shared" si="24"/>
        <v>17.651234567901231</v>
      </c>
      <c r="M158">
        <f t="shared" si="25"/>
        <v>18.97207645061728</v>
      </c>
      <c r="N158" s="9"/>
      <c r="O158" s="21">
        <v>0.64529400000000003</v>
      </c>
      <c r="P158" s="21">
        <v>11.0883</v>
      </c>
      <c r="Q158" s="21">
        <v>-1.474E-2</v>
      </c>
      <c r="R158" s="21">
        <v>148</v>
      </c>
      <c r="S158" s="21">
        <v>0.64465300000000003</v>
      </c>
      <c r="T158">
        <f t="shared" si="26"/>
        <v>18.197530864197528</v>
      </c>
      <c r="U158">
        <f t="shared" si="27"/>
        <v>11.74275748148148</v>
      </c>
      <c r="X158" s="9"/>
      <c r="Y158" s="21">
        <v>1.07483</v>
      </c>
      <c r="Z158" s="21">
        <v>16.667100000000001</v>
      </c>
      <c r="AA158" s="21">
        <v>-1.44745E-2</v>
      </c>
      <c r="AB158" s="21">
        <v>148</v>
      </c>
      <c r="AC158" s="21">
        <v>1.07422</v>
      </c>
      <c r="AD158">
        <f t="shared" si="28"/>
        <v>17.869753086419752</v>
      </c>
      <c r="AE158">
        <f t="shared" si="29"/>
        <v>19.20694670987654</v>
      </c>
      <c r="AF158" s="9"/>
      <c r="AG158" s="21">
        <v>0.64529400000000003</v>
      </c>
      <c r="AH158" s="21">
        <v>20.526499999999999</v>
      </c>
      <c r="AI158" s="21">
        <v>-1.47552E-2</v>
      </c>
      <c r="AJ158" s="21">
        <v>148</v>
      </c>
      <c r="AK158" s="21">
        <v>0.64459200000000005</v>
      </c>
      <c r="AL158">
        <f t="shared" si="30"/>
        <v>18.216296296296292</v>
      </c>
      <c r="AM158">
        <f t="shared" si="31"/>
        <v>11.75486670222222</v>
      </c>
      <c r="AP158" s="9"/>
      <c r="AQ158" s="21">
        <v>1.07483</v>
      </c>
      <c r="AR158" s="21">
        <v>26.075299999999999</v>
      </c>
      <c r="AS158" s="21">
        <v>-1.44958E-2</v>
      </c>
      <c r="AT158" s="21">
        <v>148</v>
      </c>
      <c r="AU158" s="21">
        <v>1.07361</v>
      </c>
      <c r="AV158">
        <f t="shared" si="32"/>
        <v>17.896049382716047</v>
      </c>
      <c r="AW158">
        <f t="shared" si="33"/>
        <v>19.235210758024689</v>
      </c>
      <c r="AX158" s="9"/>
      <c r="AY158" s="21">
        <v>0.64529400000000003</v>
      </c>
      <c r="AZ158" s="21">
        <v>29.934799999999999</v>
      </c>
      <c r="BA158" s="21">
        <v>-1.4749099999999999E-2</v>
      </c>
      <c r="BB158" s="21">
        <v>148</v>
      </c>
      <c r="BC158" s="21">
        <v>0.64465300000000003</v>
      </c>
      <c r="BD158">
        <f t="shared" si="34"/>
        <v>18.208765432098765</v>
      </c>
      <c r="BE158">
        <f t="shared" si="35"/>
        <v>11.75000708074074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1.06979</v>
      </c>
      <c r="H159" s="21">
        <v>7.2389099999999997</v>
      </c>
      <c r="I159" s="21">
        <v>-1.4294400000000001E-2</v>
      </c>
      <c r="J159" s="21">
        <v>149</v>
      </c>
      <c r="K159" s="21">
        <v>1.0684199999999999</v>
      </c>
      <c r="L159">
        <f t="shared" si="24"/>
        <v>17.647407407407407</v>
      </c>
      <c r="M159">
        <f t="shared" si="25"/>
        <v>18.879019970370368</v>
      </c>
      <c r="N159" s="9"/>
      <c r="O159" s="21">
        <v>0.65032999999999996</v>
      </c>
      <c r="P159" s="21">
        <v>11.0984</v>
      </c>
      <c r="Q159" s="21">
        <v>-1.474E-2</v>
      </c>
      <c r="R159" s="21">
        <v>149</v>
      </c>
      <c r="S159" s="21">
        <v>0.649841</v>
      </c>
      <c r="T159">
        <f t="shared" si="26"/>
        <v>18.197530864197528</v>
      </c>
      <c r="U159">
        <f t="shared" si="27"/>
        <v>11.834400246913578</v>
      </c>
      <c r="X159" s="9"/>
      <c r="Y159" s="21">
        <v>1.06979</v>
      </c>
      <c r="Z159" s="21">
        <v>16.677099999999999</v>
      </c>
      <c r="AA159" s="21">
        <v>-1.44806E-2</v>
      </c>
      <c r="AB159" s="21">
        <v>149</v>
      </c>
      <c r="AC159" s="21">
        <v>1.0684199999999999</v>
      </c>
      <c r="AD159">
        <f t="shared" si="28"/>
        <v>17.877283950617283</v>
      </c>
      <c r="AE159">
        <f t="shared" si="29"/>
        <v>19.124939597530865</v>
      </c>
      <c r="AF159" s="9"/>
      <c r="AG159" s="21">
        <v>0.65032999999999996</v>
      </c>
      <c r="AH159" s="21">
        <v>20.5366</v>
      </c>
      <c r="AI159" s="21">
        <v>-1.4749099999999999E-2</v>
      </c>
      <c r="AJ159" s="21">
        <v>149</v>
      </c>
      <c r="AK159" s="21">
        <v>0.64971900000000005</v>
      </c>
      <c r="AL159">
        <f t="shared" si="30"/>
        <v>18.208765432098765</v>
      </c>
      <c r="AM159">
        <f t="shared" si="31"/>
        <v>11.84170642345679</v>
      </c>
      <c r="AP159" s="9"/>
      <c r="AQ159" s="21">
        <v>1.06979</v>
      </c>
      <c r="AR159" s="21">
        <v>26.0854</v>
      </c>
      <c r="AS159" s="21">
        <v>-1.4505000000000001E-2</v>
      </c>
      <c r="AT159" s="21">
        <v>149</v>
      </c>
      <c r="AU159" s="21">
        <v>1.0690299999999999</v>
      </c>
      <c r="AV159">
        <f t="shared" si="32"/>
        <v>17.907407407407408</v>
      </c>
      <c r="AW159">
        <f t="shared" si="33"/>
        <v>19.157165370370372</v>
      </c>
      <c r="AX159" s="9"/>
      <c r="AY159" s="21">
        <v>0.65032999999999996</v>
      </c>
      <c r="AZ159" s="21">
        <v>29.944800000000001</v>
      </c>
      <c r="BA159" s="21">
        <v>-1.474E-2</v>
      </c>
      <c r="BB159" s="21">
        <v>149</v>
      </c>
      <c r="BC159" s="21">
        <v>0.64965799999999996</v>
      </c>
      <c r="BD159">
        <f t="shared" si="34"/>
        <v>18.197530864197528</v>
      </c>
      <c r="BE159">
        <f t="shared" si="35"/>
        <v>11.834400246913578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1.0647599999999999</v>
      </c>
      <c r="H160" s="21">
        <v>7.2489800000000004</v>
      </c>
      <c r="I160" s="21">
        <v>-1.4294400000000001E-2</v>
      </c>
      <c r="J160" s="21">
        <v>150</v>
      </c>
      <c r="K160" s="21">
        <v>1.0638399999999999</v>
      </c>
      <c r="L160">
        <f t="shared" si="24"/>
        <v>17.647407407407407</v>
      </c>
      <c r="M160">
        <f t="shared" si="25"/>
        <v>18.790253511111111</v>
      </c>
      <c r="N160" s="9"/>
      <c r="O160" s="21">
        <v>0.65536499999999998</v>
      </c>
      <c r="P160" s="21">
        <v>11.108499999999999</v>
      </c>
      <c r="Q160" s="21">
        <v>-1.47461E-2</v>
      </c>
      <c r="R160" s="21">
        <v>150</v>
      </c>
      <c r="S160" s="21">
        <v>0.65472399999999997</v>
      </c>
      <c r="T160">
        <f t="shared" si="26"/>
        <v>18.205061728395062</v>
      </c>
      <c r="U160">
        <f t="shared" si="27"/>
        <v>11.93096027962963</v>
      </c>
      <c r="X160" s="9"/>
      <c r="Y160" s="21">
        <v>1.0647599999999999</v>
      </c>
      <c r="Z160" s="21">
        <v>16.687200000000001</v>
      </c>
      <c r="AA160" s="21">
        <v>-1.44867E-2</v>
      </c>
      <c r="AB160" s="21">
        <v>150</v>
      </c>
      <c r="AC160" s="21">
        <v>1.0638399999999999</v>
      </c>
      <c r="AD160">
        <f t="shared" si="28"/>
        <v>17.884814814814817</v>
      </c>
      <c r="AE160">
        <f t="shared" si="29"/>
        <v>19.043035422222225</v>
      </c>
      <c r="AF160" s="9"/>
      <c r="AG160" s="21">
        <v>0.65536499999999998</v>
      </c>
      <c r="AH160" s="21">
        <v>20.546700000000001</v>
      </c>
      <c r="AI160" s="21">
        <v>-1.4733899999999999E-2</v>
      </c>
      <c r="AJ160" s="21">
        <v>150</v>
      </c>
      <c r="AK160" s="21">
        <v>0.65475499999999998</v>
      </c>
      <c r="AL160">
        <f t="shared" si="30"/>
        <v>18.189999999999998</v>
      </c>
      <c r="AM160">
        <f t="shared" si="31"/>
        <v>11.921089349999997</v>
      </c>
      <c r="AP160" s="9"/>
      <c r="AQ160" s="21">
        <v>1.0647599999999999</v>
      </c>
      <c r="AR160" s="21">
        <v>26.095400000000001</v>
      </c>
      <c r="AS160" s="21">
        <v>-1.4505000000000001E-2</v>
      </c>
      <c r="AT160" s="21">
        <v>150</v>
      </c>
      <c r="AU160" s="21">
        <v>1.0644499999999999</v>
      </c>
      <c r="AV160">
        <f t="shared" si="32"/>
        <v>17.907407407407408</v>
      </c>
      <c r="AW160">
        <f t="shared" si="33"/>
        <v>19.067091111111111</v>
      </c>
      <c r="AX160" s="9"/>
      <c r="AY160" s="21">
        <v>0.65536499999999998</v>
      </c>
      <c r="AZ160" s="21">
        <v>29.954899999999999</v>
      </c>
      <c r="BA160" s="21">
        <v>-1.4742999999999999E-2</v>
      </c>
      <c r="BB160" s="21">
        <v>150</v>
      </c>
      <c r="BC160" s="21">
        <v>0.654694</v>
      </c>
      <c r="BD160">
        <f t="shared" si="34"/>
        <v>18.201234567901235</v>
      </c>
      <c r="BE160">
        <f t="shared" si="35"/>
        <v>11.928452092592593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1.05972</v>
      </c>
      <c r="H161" s="21">
        <v>7.2590599999999998</v>
      </c>
      <c r="I161" s="21">
        <v>-1.4294400000000001E-2</v>
      </c>
      <c r="J161" s="21">
        <v>151</v>
      </c>
      <c r="K161" s="21">
        <v>1.0589599999999999</v>
      </c>
      <c r="L161">
        <f t="shared" si="24"/>
        <v>17.647407407407407</v>
      </c>
      <c r="M161">
        <f t="shared" si="25"/>
        <v>18.701310577777775</v>
      </c>
      <c r="N161" s="9"/>
      <c r="O161" s="21">
        <v>0.66039999999999999</v>
      </c>
      <c r="P161" s="21">
        <v>11.118499999999999</v>
      </c>
      <c r="Q161" s="21">
        <v>-1.474E-2</v>
      </c>
      <c r="R161" s="21">
        <v>151</v>
      </c>
      <c r="S161" s="21">
        <v>0.65976000000000001</v>
      </c>
      <c r="T161">
        <f t="shared" si="26"/>
        <v>18.197530864197528</v>
      </c>
      <c r="U161">
        <f t="shared" si="27"/>
        <v>12.017649382716048</v>
      </c>
      <c r="X161" s="9"/>
      <c r="Y161" s="21">
        <v>1.05972</v>
      </c>
      <c r="Z161" s="21">
        <v>16.697299999999998</v>
      </c>
      <c r="AA161" s="21">
        <v>-1.44958E-2</v>
      </c>
      <c r="AB161" s="21">
        <v>151</v>
      </c>
      <c r="AC161" s="21">
        <v>1.0583499999999999</v>
      </c>
      <c r="AD161">
        <f t="shared" si="28"/>
        <v>17.896049382716047</v>
      </c>
      <c r="AE161">
        <f t="shared" si="29"/>
        <v>18.964801451851848</v>
      </c>
      <c r="AF161" s="9"/>
      <c r="AG161" s="21">
        <v>0.66039999999999999</v>
      </c>
      <c r="AH161" s="21">
        <v>20.556699999999999</v>
      </c>
      <c r="AI161" s="21">
        <v>-1.4721700000000001E-2</v>
      </c>
      <c r="AJ161" s="21">
        <v>151</v>
      </c>
      <c r="AK161" s="21">
        <v>0.65966800000000003</v>
      </c>
      <c r="AL161">
        <f t="shared" si="30"/>
        <v>18.174938271604937</v>
      </c>
      <c r="AM161">
        <f t="shared" si="31"/>
        <v>12.0027292345679</v>
      </c>
      <c r="AP161" s="9"/>
      <c r="AQ161" s="21">
        <v>1.05972</v>
      </c>
      <c r="AR161" s="21">
        <v>26.105499999999999</v>
      </c>
      <c r="AS161" s="21">
        <v>-1.4508099999999999E-2</v>
      </c>
      <c r="AT161" s="21">
        <v>151</v>
      </c>
      <c r="AU161" s="21">
        <v>1.0586500000000001</v>
      </c>
      <c r="AV161">
        <f t="shared" si="32"/>
        <v>17.911234567901232</v>
      </c>
      <c r="AW161">
        <f t="shared" si="33"/>
        <v>18.980893496296293</v>
      </c>
      <c r="AX161" s="9"/>
      <c r="AY161" s="21">
        <v>0.66039999999999999</v>
      </c>
      <c r="AZ161" s="21">
        <v>29.965</v>
      </c>
      <c r="BA161" s="21">
        <v>-1.47461E-2</v>
      </c>
      <c r="BB161" s="21">
        <v>151</v>
      </c>
      <c r="BC161" s="21">
        <v>0.65972900000000001</v>
      </c>
      <c r="BD161">
        <f t="shared" si="34"/>
        <v>18.205061728395062</v>
      </c>
      <c r="BE161">
        <f t="shared" si="35"/>
        <v>12.022622765432098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1.0546899999999999</v>
      </c>
      <c r="H162" s="21">
        <v>7.2691299999999996</v>
      </c>
      <c r="I162" s="21">
        <v>-1.4306599999999999E-2</v>
      </c>
      <c r="J162" s="21">
        <v>152</v>
      </c>
      <c r="K162" s="21">
        <v>1.0534699999999999</v>
      </c>
      <c r="L162">
        <f t="shared" si="24"/>
        <v>17.662469135802468</v>
      </c>
      <c r="M162">
        <f t="shared" si="25"/>
        <v>18.628429572839504</v>
      </c>
      <c r="N162" s="9"/>
      <c r="O162" s="21">
        <v>0.66543600000000003</v>
      </c>
      <c r="P162" s="21">
        <v>11.1286</v>
      </c>
      <c r="Q162" s="21">
        <v>-1.4733899999999999E-2</v>
      </c>
      <c r="R162" s="21">
        <v>152</v>
      </c>
      <c r="S162" s="21">
        <v>0.66479500000000002</v>
      </c>
      <c r="T162">
        <f t="shared" si="26"/>
        <v>18.189999999999998</v>
      </c>
      <c r="U162">
        <f t="shared" si="27"/>
        <v>12.104280839999999</v>
      </c>
      <c r="X162" s="9"/>
      <c r="Y162" s="21">
        <v>1.0546899999999999</v>
      </c>
      <c r="Z162" s="21">
        <v>16.7073</v>
      </c>
      <c r="AA162" s="21">
        <v>-1.44989E-2</v>
      </c>
      <c r="AB162" s="21">
        <v>152</v>
      </c>
      <c r="AC162" s="21">
        <v>1.0531600000000001</v>
      </c>
      <c r="AD162">
        <f t="shared" si="28"/>
        <v>17.899876543209874</v>
      </c>
      <c r="AE162">
        <f t="shared" si="29"/>
        <v>18.87882079135802</v>
      </c>
      <c r="AF162" s="9"/>
      <c r="AG162" s="21">
        <v>0.66543600000000003</v>
      </c>
      <c r="AH162" s="21">
        <v>20.566800000000001</v>
      </c>
      <c r="AI162" s="21">
        <v>-1.47095E-2</v>
      </c>
      <c r="AJ162" s="21">
        <v>152</v>
      </c>
      <c r="AK162" s="21">
        <v>0.66476400000000002</v>
      </c>
      <c r="AL162">
        <f t="shared" si="30"/>
        <v>18.159876543209876</v>
      </c>
      <c r="AM162">
        <f t="shared" si="31"/>
        <v>12.084235607407408</v>
      </c>
      <c r="AP162" s="9"/>
      <c r="AQ162" s="21">
        <v>1.0546899999999999</v>
      </c>
      <c r="AR162" s="21">
        <v>26.115600000000001</v>
      </c>
      <c r="AS162" s="21">
        <v>-1.4505000000000001E-2</v>
      </c>
      <c r="AT162" s="21">
        <v>152</v>
      </c>
      <c r="AU162" s="21">
        <v>1.0534699999999999</v>
      </c>
      <c r="AV162">
        <f t="shared" si="32"/>
        <v>17.907407407407408</v>
      </c>
      <c r="AW162">
        <f t="shared" si="33"/>
        <v>18.886763518518517</v>
      </c>
      <c r="AX162" s="9"/>
      <c r="AY162" s="21">
        <v>0.66543600000000003</v>
      </c>
      <c r="AZ162" s="21">
        <v>29.975000000000001</v>
      </c>
      <c r="BA162" s="21">
        <v>-1.47522E-2</v>
      </c>
      <c r="BB162" s="21">
        <v>152</v>
      </c>
      <c r="BC162" s="21">
        <v>0.66494799999999998</v>
      </c>
      <c r="BD162">
        <f t="shared" si="34"/>
        <v>18.212592592592593</v>
      </c>
      <c r="BE162">
        <f t="shared" si="35"/>
        <v>12.119314764444445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1.04965</v>
      </c>
      <c r="H163" s="21">
        <v>7.2792000000000003</v>
      </c>
      <c r="I163" s="21">
        <v>-1.4306599999999999E-2</v>
      </c>
      <c r="J163" s="21">
        <v>153</v>
      </c>
      <c r="K163" s="21">
        <v>1.0488900000000001</v>
      </c>
      <c r="L163">
        <f t="shared" si="24"/>
        <v>17.662469135802468</v>
      </c>
      <c r="M163">
        <f t="shared" si="25"/>
        <v>18.539410728395058</v>
      </c>
      <c r="N163" s="9"/>
      <c r="O163" s="21">
        <v>0.67047100000000004</v>
      </c>
      <c r="P163" s="21">
        <v>11.1387</v>
      </c>
      <c r="Q163" s="21">
        <v>-1.4727799999999999E-2</v>
      </c>
      <c r="R163" s="21">
        <v>153</v>
      </c>
      <c r="S163" s="21">
        <v>0.66976899999999995</v>
      </c>
      <c r="T163">
        <f t="shared" si="26"/>
        <v>18.182469135802467</v>
      </c>
      <c r="U163">
        <f t="shared" si="27"/>
        <v>12.190818263950616</v>
      </c>
      <c r="X163" s="9"/>
      <c r="Y163" s="21">
        <v>1.04965</v>
      </c>
      <c r="Z163" s="21">
        <v>16.717400000000001</v>
      </c>
      <c r="AA163" s="21">
        <v>-1.4501999999999999E-2</v>
      </c>
      <c r="AB163" s="21">
        <v>153</v>
      </c>
      <c r="AC163" s="21">
        <v>1.0482800000000001</v>
      </c>
      <c r="AD163">
        <f t="shared" si="28"/>
        <v>17.903703703703702</v>
      </c>
      <c r="AE163">
        <f t="shared" si="29"/>
        <v>18.79262259259259</v>
      </c>
      <c r="AF163" s="9"/>
      <c r="AG163" s="21">
        <v>0.67047100000000004</v>
      </c>
      <c r="AH163" s="21">
        <v>20.576899999999998</v>
      </c>
      <c r="AI163" s="21">
        <v>-1.47034E-2</v>
      </c>
      <c r="AJ163" s="21">
        <v>153</v>
      </c>
      <c r="AK163" s="21">
        <v>0.66976899999999995</v>
      </c>
      <c r="AL163">
        <f t="shared" si="30"/>
        <v>18.152345679012342</v>
      </c>
      <c r="AM163">
        <f t="shared" si="31"/>
        <v>12.170621359753085</v>
      </c>
      <c r="AP163" s="9"/>
      <c r="AQ163" s="21">
        <v>1.04965</v>
      </c>
      <c r="AR163" s="21">
        <v>26.125599999999999</v>
      </c>
      <c r="AS163" s="21">
        <v>-1.4505000000000001E-2</v>
      </c>
      <c r="AT163" s="21">
        <v>153</v>
      </c>
      <c r="AU163" s="21">
        <v>1.0485800000000001</v>
      </c>
      <c r="AV163">
        <f t="shared" si="32"/>
        <v>17.907407407407408</v>
      </c>
      <c r="AW163">
        <f t="shared" si="33"/>
        <v>18.796510185185184</v>
      </c>
      <c r="AX163" s="9"/>
      <c r="AY163" s="21">
        <v>0.67047100000000004</v>
      </c>
      <c r="AZ163" s="21">
        <v>29.985099999999999</v>
      </c>
      <c r="BA163" s="21">
        <v>-1.47552E-2</v>
      </c>
      <c r="BB163" s="21">
        <v>153</v>
      </c>
      <c r="BC163" s="21">
        <v>0.66983000000000004</v>
      </c>
      <c r="BD163">
        <f t="shared" si="34"/>
        <v>18.216296296296292</v>
      </c>
      <c r="BE163">
        <f t="shared" si="35"/>
        <v>12.213498394074072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1.0446200000000001</v>
      </c>
      <c r="H164" s="21">
        <v>7.2892700000000001</v>
      </c>
      <c r="I164" s="21">
        <v>-1.43097E-2</v>
      </c>
      <c r="J164" s="21">
        <v>154</v>
      </c>
      <c r="K164" s="21">
        <v>1.0437000000000001</v>
      </c>
      <c r="L164">
        <f t="shared" si="24"/>
        <v>17.666296296296295</v>
      </c>
      <c r="M164">
        <f t="shared" si="25"/>
        <v>18.454566437037037</v>
      </c>
      <c r="N164" s="9"/>
      <c r="O164" s="21">
        <v>0.67550699999999997</v>
      </c>
      <c r="P164" s="21">
        <v>11.1487</v>
      </c>
      <c r="Q164" s="21">
        <v>-1.4715600000000001E-2</v>
      </c>
      <c r="R164" s="21">
        <v>154</v>
      </c>
      <c r="S164" s="21">
        <v>0.67483499999999996</v>
      </c>
      <c r="T164">
        <f t="shared" si="26"/>
        <v>18.167407407407406</v>
      </c>
      <c r="U164">
        <f t="shared" si="27"/>
        <v>12.272210875555555</v>
      </c>
      <c r="X164" s="9"/>
      <c r="Y164" s="21">
        <v>1.0446200000000001</v>
      </c>
      <c r="Z164" s="21">
        <v>16.727499999999999</v>
      </c>
      <c r="AA164" s="21">
        <v>-1.4505000000000001E-2</v>
      </c>
      <c r="AB164" s="21">
        <v>154</v>
      </c>
      <c r="AC164" s="21">
        <v>1.0440100000000001</v>
      </c>
      <c r="AD164">
        <f t="shared" si="28"/>
        <v>17.907407407407408</v>
      </c>
      <c r="AE164">
        <f t="shared" si="29"/>
        <v>18.706435925925931</v>
      </c>
      <c r="AF164" s="9"/>
      <c r="AG164" s="21">
        <v>0.67550699999999997</v>
      </c>
      <c r="AH164" s="21">
        <v>20.587</v>
      </c>
      <c r="AI164" s="21">
        <v>-1.47034E-2</v>
      </c>
      <c r="AJ164" s="21">
        <v>154</v>
      </c>
      <c r="AK164" s="21">
        <v>0.67477399999999998</v>
      </c>
      <c r="AL164">
        <f t="shared" si="30"/>
        <v>18.152345679012342</v>
      </c>
      <c r="AM164">
        <f t="shared" si="31"/>
        <v>12.262036572592589</v>
      </c>
      <c r="AP164" s="9"/>
      <c r="AQ164" s="21">
        <v>1.0446200000000001</v>
      </c>
      <c r="AR164" s="21">
        <v>26.1357</v>
      </c>
      <c r="AS164" s="21">
        <v>-1.4511100000000001E-2</v>
      </c>
      <c r="AT164" s="21">
        <v>154</v>
      </c>
      <c r="AU164" s="21">
        <v>1.0437000000000001</v>
      </c>
      <c r="AV164">
        <f t="shared" si="32"/>
        <v>17.914938271604939</v>
      </c>
      <c r="AW164">
        <f t="shared" si="33"/>
        <v>18.714302817283954</v>
      </c>
      <c r="AX164" s="9"/>
      <c r="AY164" s="21">
        <v>0.67550699999999997</v>
      </c>
      <c r="AZ164" s="21">
        <v>29.995200000000001</v>
      </c>
      <c r="BA164" s="21">
        <v>-1.47522E-2</v>
      </c>
      <c r="BB164" s="21">
        <v>154</v>
      </c>
      <c r="BC164" s="21">
        <v>0.67483499999999996</v>
      </c>
      <c r="BD164">
        <f t="shared" si="34"/>
        <v>18.212592592592593</v>
      </c>
      <c r="BE164">
        <f t="shared" si="35"/>
        <v>12.302733784444444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1.0395799999999999</v>
      </c>
      <c r="H165" s="21">
        <v>7.2993399999999999</v>
      </c>
      <c r="I165" s="21">
        <v>-1.43097E-2</v>
      </c>
      <c r="J165" s="21">
        <v>155</v>
      </c>
      <c r="K165" s="21">
        <v>1.03851</v>
      </c>
      <c r="L165">
        <f t="shared" si="24"/>
        <v>17.666296296296295</v>
      </c>
      <c r="M165">
        <f t="shared" si="25"/>
        <v>18.365528303703702</v>
      </c>
      <c r="N165" s="9"/>
      <c r="O165" s="21">
        <v>0.68054199999999998</v>
      </c>
      <c r="P165" s="21">
        <v>11.158799999999999</v>
      </c>
      <c r="Q165" s="21">
        <v>-1.4694199999999999E-2</v>
      </c>
      <c r="R165" s="21">
        <v>155</v>
      </c>
      <c r="S165" s="21">
        <v>0.67984</v>
      </c>
      <c r="T165">
        <f t="shared" si="26"/>
        <v>18.140987654320988</v>
      </c>
      <c r="U165">
        <f t="shared" si="27"/>
        <v>12.345704020246913</v>
      </c>
      <c r="X165" s="9"/>
      <c r="Y165" s="21">
        <v>1.0395799999999999</v>
      </c>
      <c r="Z165" s="21">
        <v>16.7376</v>
      </c>
      <c r="AA165" s="21">
        <v>-1.4523299999999999E-2</v>
      </c>
      <c r="AB165" s="21">
        <v>155</v>
      </c>
      <c r="AC165" s="21">
        <v>1.0379</v>
      </c>
      <c r="AD165">
        <f t="shared" si="28"/>
        <v>17.93</v>
      </c>
      <c r="AE165">
        <f t="shared" si="29"/>
        <v>18.639669399999999</v>
      </c>
      <c r="AF165" s="9"/>
      <c r="AG165" s="21">
        <v>0.68054199999999998</v>
      </c>
      <c r="AH165" s="21">
        <v>20.597000000000001</v>
      </c>
      <c r="AI165" s="21">
        <v>-1.4700299999999999E-2</v>
      </c>
      <c r="AJ165" s="21">
        <v>155</v>
      </c>
      <c r="AK165" s="21">
        <v>0.67977900000000002</v>
      </c>
      <c r="AL165">
        <f t="shared" si="30"/>
        <v>18.148518518518514</v>
      </c>
      <c r="AM165">
        <f t="shared" si="31"/>
        <v>12.350829089629627</v>
      </c>
      <c r="AP165" s="9"/>
      <c r="AQ165" s="21">
        <v>1.0395799999999999</v>
      </c>
      <c r="AR165" s="21">
        <v>26.145800000000001</v>
      </c>
      <c r="AS165" s="21">
        <v>-1.4508099999999999E-2</v>
      </c>
      <c r="AT165" s="21">
        <v>155</v>
      </c>
      <c r="AU165" s="21">
        <v>1.03851</v>
      </c>
      <c r="AV165">
        <f t="shared" si="32"/>
        <v>17.911234567901232</v>
      </c>
      <c r="AW165">
        <f t="shared" si="33"/>
        <v>18.620161232098763</v>
      </c>
      <c r="AX165" s="9"/>
      <c r="AY165" s="21">
        <v>0.68054199999999998</v>
      </c>
      <c r="AZ165" s="21">
        <v>30.005299999999998</v>
      </c>
      <c r="BA165" s="21">
        <v>-1.4749099999999999E-2</v>
      </c>
      <c r="BB165" s="21">
        <v>155</v>
      </c>
      <c r="BC165" s="21">
        <v>0.67993199999999998</v>
      </c>
      <c r="BD165">
        <f t="shared" si="34"/>
        <v>18.208765432098765</v>
      </c>
      <c r="BE165">
        <f t="shared" si="35"/>
        <v>12.391829644691358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1.0345500000000001</v>
      </c>
      <c r="H166" s="21">
        <v>7.3094099999999997</v>
      </c>
      <c r="I166" s="21">
        <v>-1.43219E-2</v>
      </c>
      <c r="J166" s="21">
        <v>156</v>
      </c>
      <c r="K166" s="21">
        <v>1.0333300000000001</v>
      </c>
      <c r="L166">
        <f t="shared" si="24"/>
        <v>17.68135802469136</v>
      </c>
      <c r="M166">
        <f t="shared" si="25"/>
        <v>18.292248944444449</v>
      </c>
      <c r="N166" s="9"/>
      <c r="O166" s="21">
        <v>0.68557699999999999</v>
      </c>
      <c r="P166" s="21">
        <v>11.168900000000001</v>
      </c>
      <c r="Q166" s="21">
        <v>-1.46912E-2</v>
      </c>
      <c r="R166" s="21">
        <v>156</v>
      </c>
      <c r="S166" s="21">
        <v>0.68484500000000004</v>
      </c>
      <c r="T166">
        <f t="shared" si="26"/>
        <v>18.137283950617284</v>
      </c>
      <c r="U166">
        <f t="shared" si="27"/>
        <v>12.434504719012345</v>
      </c>
      <c r="X166" s="9"/>
      <c r="Y166" s="21">
        <v>1.0345500000000001</v>
      </c>
      <c r="Z166" s="21">
        <v>16.747599999999998</v>
      </c>
      <c r="AA166" s="21">
        <v>-1.45294E-2</v>
      </c>
      <c r="AB166" s="21">
        <v>156</v>
      </c>
      <c r="AC166" s="21">
        <v>1.03363</v>
      </c>
      <c r="AD166">
        <f t="shared" si="28"/>
        <v>17.93753086419753</v>
      </c>
      <c r="AE166">
        <f t="shared" si="29"/>
        <v>18.557272555555556</v>
      </c>
      <c r="AF166" s="9"/>
      <c r="AG166" s="21">
        <v>0.68557699999999999</v>
      </c>
      <c r="AH166" s="21">
        <v>20.607099999999999</v>
      </c>
      <c r="AI166" s="21">
        <v>-1.4694199999999999E-2</v>
      </c>
      <c r="AJ166" s="21">
        <v>156</v>
      </c>
      <c r="AK166" s="21">
        <v>0.68490600000000001</v>
      </c>
      <c r="AL166">
        <f t="shared" si="30"/>
        <v>18.140987654320988</v>
      </c>
      <c r="AM166">
        <f t="shared" si="31"/>
        <v>12.43704389308642</v>
      </c>
      <c r="AP166" s="9"/>
      <c r="AQ166" s="21">
        <v>1.0345500000000001</v>
      </c>
      <c r="AR166" s="21">
        <v>26.155899999999999</v>
      </c>
      <c r="AS166" s="21">
        <v>-1.45203E-2</v>
      </c>
      <c r="AT166" s="21">
        <v>156</v>
      </c>
      <c r="AU166" s="21">
        <v>1.03302</v>
      </c>
      <c r="AV166">
        <f t="shared" si="32"/>
        <v>17.926296296296293</v>
      </c>
      <c r="AW166">
        <f t="shared" si="33"/>
        <v>18.545649833333332</v>
      </c>
      <c r="AX166" s="9"/>
      <c r="AY166" s="21">
        <v>0.68557699999999999</v>
      </c>
      <c r="AZ166" s="21">
        <v>30.0153</v>
      </c>
      <c r="BA166" s="21">
        <v>-1.4749099999999999E-2</v>
      </c>
      <c r="BB166" s="21">
        <v>156</v>
      </c>
      <c r="BC166" s="21">
        <v>0.68496699999999999</v>
      </c>
      <c r="BD166">
        <f t="shared" si="34"/>
        <v>18.208765432098765</v>
      </c>
      <c r="BE166">
        <f t="shared" si="35"/>
        <v>12.483510778641975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1.0295099999999999</v>
      </c>
      <c r="H167" s="21">
        <v>7.3194800000000004</v>
      </c>
      <c r="I167" s="21">
        <v>-1.43219E-2</v>
      </c>
      <c r="J167" s="21">
        <v>157</v>
      </c>
      <c r="K167" s="21">
        <v>1.0281400000000001</v>
      </c>
      <c r="L167">
        <f t="shared" si="24"/>
        <v>17.68135802469136</v>
      </c>
      <c r="M167">
        <f t="shared" si="25"/>
        <v>18.203134900000002</v>
      </c>
      <c r="N167" s="9"/>
      <c r="O167" s="21">
        <v>0.69061300000000003</v>
      </c>
      <c r="P167" s="21">
        <v>11.179</v>
      </c>
      <c r="Q167" s="21">
        <v>-1.4688100000000001E-2</v>
      </c>
      <c r="R167" s="21">
        <v>157</v>
      </c>
      <c r="S167" s="21">
        <v>0.68991100000000005</v>
      </c>
      <c r="T167">
        <f t="shared" si="26"/>
        <v>18.133456790123457</v>
      </c>
      <c r="U167">
        <f t="shared" si="27"/>
        <v>12.523200994197532</v>
      </c>
      <c r="X167" s="9"/>
      <c r="Y167" s="21">
        <v>1.0295099999999999</v>
      </c>
      <c r="Z167" s="21">
        <v>16.7577</v>
      </c>
      <c r="AA167" s="21">
        <v>-1.45325E-2</v>
      </c>
      <c r="AB167" s="21">
        <v>157</v>
      </c>
      <c r="AC167" s="21">
        <v>1.02783</v>
      </c>
      <c r="AD167">
        <f t="shared" si="28"/>
        <v>17.941358024691358</v>
      </c>
      <c r="AE167">
        <f t="shared" si="29"/>
        <v>18.470807499999999</v>
      </c>
      <c r="AF167" s="9"/>
      <c r="AG167" s="21">
        <v>0.69061300000000003</v>
      </c>
      <c r="AH167" s="21">
        <v>20.6172</v>
      </c>
      <c r="AI167" s="21">
        <v>-1.4694199999999999E-2</v>
      </c>
      <c r="AJ167" s="21">
        <v>157</v>
      </c>
      <c r="AK167" s="21">
        <v>0.690002</v>
      </c>
      <c r="AL167">
        <f t="shared" si="30"/>
        <v>18.140987654320988</v>
      </c>
      <c r="AM167">
        <f t="shared" si="31"/>
        <v>12.528401906913581</v>
      </c>
      <c r="AP167" s="9"/>
      <c r="AQ167" s="21">
        <v>1.0295099999999999</v>
      </c>
      <c r="AR167" s="21">
        <v>26.165900000000001</v>
      </c>
      <c r="AS167" s="21">
        <v>-1.45355E-2</v>
      </c>
      <c r="AT167" s="21">
        <v>157</v>
      </c>
      <c r="AU167" s="21">
        <v>1.0287500000000001</v>
      </c>
      <c r="AV167">
        <f t="shared" si="32"/>
        <v>17.945061728395061</v>
      </c>
      <c r="AW167">
        <f t="shared" si="33"/>
        <v>18.474620499999997</v>
      </c>
      <c r="AX167" s="9"/>
      <c r="AY167" s="21">
        <v>0.69061300000000003</v>
      </c>
      <c r="AZ167" s="21">
        <v>30.025400000000001</v>
      </c>
      <c r="BA167" s="21">
        <v>-1.4749099999999999E-2</v>
      </c>
      <c r="BB167" s="21">
        <v>157</v>
      </c>
      <c r="BC167" s="21">
        <v>0.68997200000000003</v>
      </c>
      <c r="BD167">
        <f t="shared" si="34"/>
        <v>18.208765432098765</v>
      </c>
      <c r="BE167">
        <f t="shared" si="35"/>
        <v>12.575210121358026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1.0244800000000001</v>
      </c>
      <c r="H168" s="21">
        <v>7.3295500000000002</v>
      </c>
      <c r="I168" s="21">
        <v>-1.4324999999999999E-2</v>
      </c>
      <c r="J168" s="21">
        <v>158</v>
      </c>
      <c r="K168" s="21">
        <v>1.02356</v>
      </c>
      <c r="L168">
        <f t="shared" si="24"/>
        <v>17.685185185185183</v>
      </c>
      <c r="M168">
        <f t="shared" si="25"/>
        <v>18.118118518518518</v>
      </c>
      <c r="N168" s="9"/>
      <c r="O168" s="21">
        <v>0.69564800000000004</v>
      </c>
      <c r="P168" s="21">
        <v>11.189</v>
      </c>
      <c r="Q168" s="21">
        <v>-1.4694199999999999E-2</v>
      </c>
      <c r="R168" s="21">
        <v>158</v>
      </c>
      <c r="S168" s="21">
        <v>0.69500700000000004</v>
      </c>
      <c r="T168">
        <f t="shared" si="26"/>
        <v>18.140987654320988</v>
      </c>
      <c r="U168">
        <f t="shared" si="27"/>
        <v>12.619741779753086</v>
      </c>
      <c r="X168" s="9"/>
      <c r="Y168" s="21">
        <v>1.0244800000000001</v>
      </c>
      <c r="Z168" s="21">
        <v>16.767800000000001</v>
      </c>
      <c r="AA168" s="21">
        <v>-1.45416E-2</v>
      </c>
      <c r="AB168" s="21">
        <v>158</v>
      </c>
      <c r="AC168" s="21">
        <v>1.02356</v>
      </c>
      <c r="AD168">
        <f t="shared" si="28"/>
        <v>17.952592592592595</v>
      </c>
      <c r="AE168">
        <f t="shared" si="29"/>
        <v>18.392072059259263</v>
      </c>
      <c r="AF168" s="9"/>
      <c r="AG168" s="21">
        <v>0.69564800000000004</v>
      </c>
      <c r="AH168" s="21">
        <v>20.627199999999998</v>
      </c>
      <c r="AI168" s="21">
        <v>-1.46912E-2</v>
      </c>
      <c r="AJ168" s="21">
        <v>158</v>
      </c>
      <c r="AK168" s="21">
        <v>0.69500700000000004</v>
      </c>
      <c r="AL168">
        <f t="shared" si="30"/>
        <v>18.137283950617284</v>
      </c>
      <c r="AM168">
        <f t="shared" si="31"/>
        <v>12.617165305679013</v>
      </c>
      <c r="AP168" s="9"/>
      <c r="AQ168" s="21">
        <v>1.0244800000000001</v>
      </c>
      <c r="AR168" s="21">
        <v>26.175999999999998</v>
      </c>
      <c r="AS168" s="21">
        <v>-1.45355E-2</v>
      </c>
      <c r="AT168" s="21">
        <v>158</v>
      </c>
      <c r="AU168" s="21">
        <v>1.02356</v>
      </c>
      <c r="AV168">
        <f t="shared" si="32"/>
        <v>17.945061728395061</v>
      </c>
      <c r="AW168">
        <f t="shared" si="33"/>
        <v>18.384356839506172</v>
      </c>
      <c r="AX168" s="9"/>
      <c r="AY168" s="21">
        <v>0.69564800000000004</v>
      </c>
      <c r="AZ168" s="21">
        <v>30.035499999999999</v>
      </c>
      <c r="BA168" s="21">
        <v>-1.4749099999999999E-2</v>
      </c>
      <c r="BB168" s="21">
        <v>158</v>
      </c>
      <c r="BC168" s="21">
        <v>0.69506800000000002</v>
      </c>
      <c r="BD168">
        <f t="shared" si="34"/>
        <v>18.208765432098765</v>
      </c>
      <c r="BE168">
        <f t="shared" si="35"/>
        <v>12.666891255308643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1.0194399999999999</v>
      </c>
      <c r="H169" s="21">
        <v>7.33962</v>
      </c>
      <c r="I169" s="21">
        <v>-1.43372E-2</v>
      </c>
      <c r="J169" s="21">
        <v>159</v>
      </c>
      <c r="K169" s="21">
        <v>1.01837</v>
      </c>
      <c r="L169">
        <f t="shared" si="24"/>
        <v>17.700246913580244</v>
      </c>
      <c r="M169">
        <f t="shared" si="25"/>
        <v>18.044339713580243</v>
      </c>
      <c r="N169" s="9"/>
      <c r="O169" s="21">
        <v>0.70068399999999997</v>
      </c>
      <c r="P169" s="21">
        <v>11.1991</v>
      </c>
      <c r="Q169" s="21">
        <v>-1.46973E-2</v>
      </c>
      <c r="R169" s="21">
        <v>159</v>
      </c>
      <c r="S169" s="21">
        <v>0.70004299999999997</v>
      </c>
      <c r="T169">
        <f t="shared" si="26"/>
        <v>18.144814814814815</v>
      </c>
      <c r="U169">
        <f t="shared" si="27"/>
        <v>12.713781423703704</v>
      </c>
      <c r="X169" s="9"/>
      <c r="Y169" s="21">
        <v>1.0194399999999999</v>
      </c>
      <c r="Z169" s="21">
        <v>16.777799999999999</v>
      </c>
      <c r="AA169" s="21">
        <v>-1.45477E-2</v>
      </c>
      <c r="AB169" s="21">
        <v>159</v>
      </c>
      <c r="AC169" s="21">
        <v>1.01898</v>
      </c>
      <c r="AD169">
        <f t="shared" si="28"/>
        <v>17.960123456790122</v>
      </c>
      <c r="AE169">
        <f t="shared" si="29"/>
        <v>18.309268256790119</v>
      </c>
      <c r="AF169" s="9"/>
      <c r="AG169" s="21">
        <v>0.70068399999999997</v>
      </c>
      <c r="AH169" s="21">
        <v>20.6373</v>
      </c>
      <c r="AI169" s="21">
        <v>-1.4682000000000001E-2</v>
      </c>
      <c r="AJ169" s="21">
        <v>159</v>
      </c>
      <c r="AK169" s="21">
        <v>0.69995099999999999</v>
      </c>
      <c r="AL169">
        <f t="shared" si="30"/>
        <v>18.125925925925923</v>
      </c>
      <c r="AM169">
        <f t="shared" si="31"/>
        <v>12.700546281481479</v>
      </c>
      <c r="AP169" s="9"/>
      <c r="AQ169" s="21">
        <v>1.0194399999999999</v>
      </c>
      <c r="AR169" s="21">
        <v>26.1861</v>
      </c>
      <c r="AS169" s="21">
        <v>-1.4550799999999999E-2</v>
      </c>
      <c r="AT169" s="21">
        <v>159</v>
      </c>
      <c r="AU169" s="21">
        <v>1.01898</v>
      </c>
      <c r="AV169">
        <f t="shared" si="32"/>
        <v>17.963950617283949</v>
      </c>
      <c r="AW169">
        <f t="shared" si="33"/>
        <v>18.313169817283946</v>
      </c>
      <c r="AX169" s="9"/>
      <c r="AY169" s="21">
        <v>0.70068399999999997</v>
      </c>
      <c r="AZ169" s="21">
        <v>30.045500000000001</v>
      </c>
      <c r="BA169" s="21">
        <v>-1.4733899999999999E-2</v>
      </c>
      <c r="BB169" s="21">
        <v>159</v>
      </c>
      <c r="BC169" s="21">
        <v>0.69998199999999999</v>
      </c>
      <c r="BD169">
        <f t="shared" si="34"/>
        <v>18.189999999999998</v>
      </c>
      <c r="BE169">
        <f t="shared" si="35"/>
        <v>12.745441959999997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1.0144</v>
      </c>
      <c r="H170" s="21">
        <v>7.3496899999999998</v>
      </c>
      <c r="I170" s="21">
        <v>-1.4346299999999999E-2</v>
      </c>
      <c r="J170" s="21">
        <v>160</v>
      </c>
      <c r="K170" s="21">
        <v>1.01349</v>
      </c>
      <c r="L170">
        <f t="shared" si="24"/>
        <v>17.711481481481481</v>
      </c>
      <c r="M170">
        <f t="shared" si="25"/>
        <v>17.966526814814813</v>
      </c>
      <c r="N170" s="9"/>
      <c r="O170" s="21">
        <v>0.70571899999999999</v>
      </c>
      <c r="P170" s="21">
        <v>11.209199999999999</v>
      </c>
      <c r="Q170" s="21">
        <v>-1.47034E-2</v>
      </c>
      <c r="R170" s="21">
        <v>160</v>
      </c>
      <c r="S170" s="21">
        <v>0.70510899999999999</v>
      </c>
      <c r="T170">
        <f t="shared" si="26"/>
        <v>18.152345679012342</v>
      </c>
      <c r="U170">
        <f t="shared" si="27"/>
        <v>12.810455240246911</v>
      </c>
      <c r="X170" s="9"/>
      <c r="Y170" s="21">
        <v>1.0144</v>
      </c>
      <c r="Z170" s="21">
        <v>16.7879</v>
      </c>
      <c r="AA170" s="21">
        <v>-1.4556899999999999E-2</v>
      </c>
      <c r="AB170" s="21">
        <v>160</v>
      </c>
      <c r="AC170" s="21">
        <v>1.01349</v>
      </c>
      <c r="AD170">
        <f t="shared" si="28"/>
        <v>17.971481481481479</v>
      </c>
      <c r="AE170">
        <f t="shared" si="29"/>
        <v>18.230270814814812</v>
      </c>
      <c r="AF170" s="9"/>
      <c r="AG170" s="21">
        <v>0.70571899999999999</v>
      </c>
      <c r="AH170" s="21">
        <v>20.647400000000001</v>
      </c>
      <c r="AI170" s="21">
        <v>-1.4682000000000001E-2</v>
      </c>
      <c r="AJ170" s="21">
        <v>160</v>
      </c>
      <c r="AK170" s="21">
        <v>0.70513899999999996</v>
      </c>
      <c r="AL170">
        <f t="shared" si="30"/>
        <v>18.125925925925923</v>
      </c>
      <c r="AM170">
        <f t="shared" si="31"/>
        <v>12.791810318518516</v>
      </c>
      <c r="AP170" s="9"/>
      <c r="AQ170" s="21">
        <v>1.0144</v>
      </c>
      <c r="AR170" s="21">
        <v>26.196100000000001</v>
      </c>
      <c r="AS170" s="21">
        <v>-1.45538E-2</v>
      </c>
      <c r="AT170" s="21">
        <v>160</v>
      </c>
      <c r="AU170" s="21">
        <v>1.01379</v>
      </c>
      <c r="AV170">
        <f t="shared" si="32"/>
        <v>17.967654320987652</v>
      </c>
      <c r="AW170">
        <f t="shared" si="33"/>
        <v>18.226388543209875</v>
      </c>
      <c r="AX170" s="9"/>
      <c r="AY170" s="21">
        <v>0.70571899999999999</v>
      </c>
      <c r="AZ170" s="21">
        <v>30.055599999999998</v>
      </c>
      <c r="BA170" s="21">
        <v>-1.47247E-2</v>
      </c>
      <c r="BB170" s="21">
        <v>160</v>
      </c>
      <c r="BC170" s="21">
        <v>0.70513899999999996</v>
      </c>
      <c r="BD170">
        <f t="shared" si="34"/>
        <v>18.178641975308643</v>
      </c>
      <c r="BE170">
        <f t="shared" si="35"/>
        <v>12.829013036172841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1.0093700000000001</v>
      </c>
      <c r="H171" s="21">
        <v>7.3597700000000001</v>
      </c>
      <c r="I171" s="21">
        <v>-1.43494E-2</v>
      </c>
      <c r="J171" s="21">
        <v>161</v>
      </c>
      <c r="K171" s="21">
        <v>1.0083</v>
      </c>
      <c r="L171">
        <f t="shared" si="24"/>
        <v>17.715308641975309</v>
      </c>
      <c r="M171">
        <f t="shared" si="25"/>
        <v>17.881301083950618</v>
      </c>
      <c r="N171" s="9"/>
      <c r="O171" s="21">
        <v>0.710754</v>
      </c>
      <c r="P171" s="21">
        <v>11.219200000000001</v>
      </c>
      <c r="Q171" s="21">
        <v>-1.47064E-2</v>
      </c>
      <c r="R171" s="21">
        <v>161</v>
      </c>
      <c r="S171" s="21">
        <v>0.710144</v>
      </c>
      <c r="T171">
        <f t="shared" si="26"/>
        <v>18.156049382716049</v>
      </c>
      <c r="U171">
        <f t="shared" si="27"/>
        <v>12.904484722962962</v>
      </c>
      <c r="X171" s="9"/>
      <c r="Y171" s="21">
        <v>1.0093700000000001</v>
      </c>
      <c r="Z171" s="21">
        <v>16.797999999999998</v>
      </c>
      <c r="AA171" s="21">
        <v>-1.4559900000000001E-2</v>
      </c>
      <c r="AB171" s="21">
        <v>161</v>
      </c>
      <c r="AC171" s="21">
        <v>1.0083</v>
      </c>
      <c r="AD171">
        <f t="shared" si="28"/>
        <v>17.975185185185186</v>
      </c>
      <c r="AE171">
        <f t="shared" si="29"/>
        <v>18.143612670370374</v>
      </c>
      <c r="AF171" s="9"/>
      <c r="AG171" s="21">
        <v>0.710754</v>
      </c>
      <c r="AH171" s="21">
        <v>20.657499999999999</v>
      </c>
      <c r="AI171" s="21">
        <v>-1.46912E-2</v>
      </c>
      <c r="AJ171" s="21">
        <v>161</v>
      </c>
      <c r="AK171" s="21">
        <v>0.71011400000000002</v>
      </c>
      <c r="AL171">
        <f t="shared" si="30"/>
        <v>18.137283950617284</v>
      </c>
      <c r="AM171">
        <f t="shared" si="31"/>
        <v>12.891147117037038</v>
      </c>
      <c r="AP171" s="9"/>
      <c r="AQ171" s="21">
        <v>1.0093700000000001</v>
      </c>
      <c r="AR171" s="21">
        <v>26.206199999999999</v>
      </c>
      <c r="AS171" s="21">
        <v>-1.4550799999999999E-2</v>
      </c>
      <c r="AT171" s="21">
        <v>161</v>
      </c>
      <c r="AU171" s="21">
        <v>1.00922</v>
      </c>
      <c r="AV171">
        <f t="shared" si="32"/>
        <v>17.963950617283949</v>
      </c>
      <c r="AW171">
        <f t="shared" si="33"/>
        <v>18.1322728345679</v>
      </c>
      <c r="AX171" s="9"/>
      <c r="AY171" s="21">
        <v>0.710754</v>
      </c>
      <c r="AZ171" s="21">
        <v>30.0657</v>
      </c>
      <c r="BA171" s="21">
        <v>-1.4721700000000001E-2</v>
      </c>
      <c r="BB171" s="21">
        <v>161</v>
      </c>
      <c r="BC171" s="21">
        <v>0.71002200000000004</v>
      </c>
      <c r="BD171">
        <f t="shared" si="34"/>
        <v>18.174938271604937</v>
      </c>
      <c r="BE171">
        <f t="shared" si="35"/>
        <v>12.917910076296295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1.0043299999999999</v>
      </c>
      <c r="H172" s="21">
        <v>7.3698399999999999</v>
      </c>
      <c r="I172" s="21">
        <v>-1.43524E-2</v>
      </c>
      <c r="J172" s="21">
        <v>162</v>
      </c>
      <c r="K172" s="21">
        <v>1.00342</v>
      </c>
      <c r="L172">
        <f t="shared" si="24"/>
        <v>17.719012345679008</v>
      </c>
      <c r="M172">
        <f t="shared" si="25"/>
        <v>17.795735669135798</v>
      </c>
      <c r="N172" s="9"/>
      <c r="O172" s="21">
        <v>0.71579000000000004</v>
      </c>
      <c r="P172" s="21">
        <v>11.2293</v>
      </c>
      <c r="Q172" s="21">
        <v>-1.47095E-2</v>
      </c>
      <c r="R172" s="21">
        <v>162</v>
      </c>
      <c r="S172" s="21">
        <v>0.71514900000000003</v>
      </c>
      <c r="T172">
        <f t="shared" si="26"/>
        <v>18.159876543209876</v>
      </c>
      <c r="U172">
        <f t="shared" si="27"/>
        <v>12.998658030864197</v>
      </c>
      <c r="X172" s="9"/>
      <c r="Y172" s="21">
        <v>1.0043299999999999</v>
      </c>
      <c r="Z172" s="21">
        <v>16.8081</v>
      </c>
      <c r="AA172" s="21">
        <v>-1.4566000000000001E-2</v>
      </c>
      <c r="AB172" s="21">
        <v>162</v>
      </c>
      <c r="AC172" s="21">
        <v>1.00342</v>
      </c>
      <c r="AD172">
        <f t="shared" si="28"/>
        <v>17.982716049382717</v>
      </c>
      <c r="AE172">
        <f t="shared" si="29"/>
        <v>18.060581209876542</v>
      </c>
      <c r="AF172" s="9"/>
      <c r="AG172" s="21">
        <v>0.71579000000000004</v>
      </c>
      <c r="AH172" s="21">
        <v>20.6675</v>
      </c>
      <c r="AI172" s="21">
        <v>-1.46973E-2</v>
      </c>
      <c r="AJ172" s="21">
        <v>162</v>
      </c>
      <c r="AK172" s="21">
        <v>0.71514900000000003</v>
      </c>
      <c r="AL172">
        <f t="shared" si="30"/>
        <v>18.144814814814815</v>
      </c>
      <c r="AM172">
        <f t="shared" si="31"/>
        <v>12.987876996296297</v>
      </c>
      <c r="AP172" s="9"/>
      <c r="AQ172" s="21">
        <v>1.0043299999999999</v>
      </c>
      <c r="AR172" s="21">
        <v>26.2163</v>
      </c>
      <c r="AS172" s="21">
        <v>-1.4550799999999999E-2</v>
      </c>
      <c r="AT172" s="21">
        <v>162</v>
      </c>
      <c r="AU172" s="21">
        <v>1.0031099999999999</v>
      </c>
      <c r="AV172">
        <f t="shared" si="32"/>
        <v>17.963950617283949</v>
      </c>
      <c r="AW172">
        <f t="shared" si="33"/>
        <v>18.041734523456789</v>
      </c>
      <c r="AX172" s="9"/>
      <c r="AY172" s="21">
        <v>0.71579000000000004</v>
      </c>
      <c r="AZ172" s="21">
        <v>30.075800000000001</v>
      </c>
      <c r="BA172" s="21">
        <v>-1.47247E-2</v>
      </c>
      <c r="BB172" s="21">
        <v>162</v>
      </c>
      <c r="BC172" s="21">
        <v>0.71514900000000003</v>
      </c>
      <c r="BD172">
        <f t="shared" si="34"/>
        <v>18.178641975308643</v>
      </c>
      <c r="BE172">
        <f t="shared" si="35"/>
        <v>13.012090139506174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0.99929800000000002</v>
      </c>
      <c r="H173" s="21">
        <v>7.3799099999999997</v>
      </c>
      <c r="I173" s="21">
        <v>-1.43555E-2</v>
      </c>
      <c r="J173" s="21">
        <v>163</v>
      </c>
      <c r="K173" s="21">
        <v>0.99914599999999998</v>
      </c>
      <c r="L173">
        <f t="shared" si="24"/>
        <v>17.722839506172836</v>
      </c>
      <c r="M173">
        <f t="shared" si="25"/>
        <v>17.710398072839503</v>
      </c>
      <c r="N173" s="9"/>
      <c r="O173" s="21">
        <v>0.72082500000000005</v>
      </c>
      <c r="P173" s="21">
        <v>11.2394</v>
      </c>
      <c r="Q173" s="21">
        <v>-1.47034E-2</v>
      </c>
      <c r="R173" s="21">
        <v>163</v>
      </c>
      <c r="S173" s="21">
        <v>0.72012299999999996</v>
      </c>
      <c r="T173">
        <f t="shared" si="26"/>
        <v>18.152345679012342</v>
      </c>
      <c r="U173">
        <f t="shared" si="27"/>
        <v>13.084664574074072</v>
      </c>
      <c r="X173" s="9"/>
      <c r="Y173" s="21">
        <v>0.99929800000000002</v>
      </c>
      <c r="Z173" s="21">
        <v>16.818100000000001</v>
      </c>
      <c r="AA173" s="21">
        <v>-1.45691E-2</v>
      </c>
      <c r="AB173" s="21">
        <v>163</v>
      </c>
      <c r="AC173" s="21">
        <v>0.99792499999999995</v>
      </c>
      <c r="AD173">
        <f t="shared" si="28"/>
        <v>17.98654320987654</v>
      </c>
      <c r="AE173">
        <f t="shared" si="29"/>
        <v>17.973916656543206</v>
      </c>
      <c r="AF173" s="9"/>
      <c r="AG173" s="21">
        <v>0.72082500000000005</v>
      </c>
      <c r="AH173" s="21">
        <v>20.677600000000002</v>
      </c>
      <c r="AI173" s="21">
        <v>-1.4694199999999999E-2</v>
      </c>
      <c r="AJ173" s="21">
        <v>163</v>
      </c>
      <c r="AK173" s="21">
        <v>0.72009299999999998</v>
      </c>
      <c r="AL173">
        <f t="shared" si="30"/>
        <v>18.140987654320988</v>
      </c>
      <c r="AM173">
        <f t="shared" si="31"/>
        <v>13.076477425925926</v>
      </c>
      <c r="AP173" s="9"/>
      <c r="AQ173" s="21">
        <v>0.99929800000000002</v>
      </c>
      <c r="AR173" s="21">
        <v>26.226400000000002</v>
      </c>
      <c r="AS173" s="21">
        <v>-1.45477E-2</v>
      </c>
      <c r="AT173" s="21">
        <v>163</v>
      </c>
      <c r="AU173" s="21">
        <v>0.99883999999999995</v>
      </c>
      <c r="AV173">
        <f t="shared" si="32"/>
        <v>17.960123456790122</v>
      </c>
      <c r="AW173">
        <f t="shared" si="33"/>
        <v>17.947515450123454</v>
      </c>
      <c r="AX173" s="9"/>
      <c r="AY173" s="21">
        <v>0.72082500000000005</v>
      </c>
      <c r="AZ173" s="21">
        <v>30.085799999999999</v>
      </c>
      <c r="BA173" s="21">
        <v>-1.4715600000000001E-2</v>
      </c>
      <c r="BB173" s="21">
        <v>163</v>
      </c>
      <c r="BC173" s="21">
        <v>0.72012299999999996</v>
      </c>
      <c r="BD173">
        <f t="shared" si="34"/>
        <v>18.167407407407406</v>
      </c>
      <c r="BE173">
        <f t="shared" si="35"/>
        <v>13.095521444444445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0.99426300000000001</v>
      </c>
      <c r="H174" s="21">
        <v>7.3899800000000004</v>
      </c>
      <c r="I174" s="21">
        <v>-1.43585E-2</v>
      </c>
      <c r="J174" s="21">
        <v>164</v>
      </c>
      <c r="K174" s="21">
        <v>0.99304199999999998</v>
      </c>
      <c r="L174">
        <f t="shared" si="24"/>
        <v>17.726543209876542</v>
      </c>
      <c r="M174">
        <f t="shared" si="25"/>
        <v>17.624846031481482</v>
      </c>
      <c r="N174" s="9"/>
      <c r="O174" s="21">
        <v>0.72586099999999998</v>
      </c>
      <c r="P174" s="21">
        <v>11.249499999999999</v>
      </c>
      <c r="Q174" s="21">
        <v>-1.4700299999999999E-2</v>
      </c>
      <c r="R174" s="21">
        <v>164</v>
      </c>
      <c r="S174" s="21">
        <v>0.725159</v>
      </c>
      <c r="T174">
        <f t="shared" si="26"/>
        <v>18.148518518518514</v>
      </c>
      <c r="U174">
        <f t="shared" si="27"/>
        <v>13.173301800370368</v>
      </c>
      <c r="X174" s="9"/>
      <c r="Y174" s="21">
        <v>0.99426300000000001</v>
      </c>
      <c r="Z174" s="21">
        <v>16.828199999999999</v>
      </c>
      <c r="AA174" s="21">
        <v>-1.45691E-2</v>
      </c>
      <c r="AB174" s="21">
        <v>164</v>
      </c>
      <c r="AC174" s="21">
        <v>0.99365199999999998</v>
      </c>
      <c r="AD174">
        <f t="shared" si="28"/>
        <v>17.98654320987654</v>
      </c>
      <c r="AE174">
        <f t="shared" si="29"/>
        <v>17.883354411481477</v>
      </c>
      <c r="AF174" s="9"/>
      <c r="AG174" s="21">
        <v>0.72586099999999998</v>
      </c>
      <c r="AH174" s="21">
        <v>20.6877</v>
      </c>
      <c r="AI174" s="21">
        <v>-1.4678999999999999E-2</v>
      </c>
      <c r="AJ174" s="21">
        <v>164</v>
      </c>
      <c r="AK174" s="21">
        <v>0.72509800000000002</v>
      </c>
      <c r="AL174">
        <f t="shared" si="30"/>
        <v>18.12222222222222</v>
      </c>
      <c r="AM174">
        <f t="shared" si="31"/>
        <v>13.154214344444442</v>
      </c>
      <c r="AP174" s="9"/>
      <c r="AQ174" s="21">
        <v>0.99426300000000001</v>
      </c>
      <c r="AR174" s="21">
        <v>26.2364</v>
      </c>
      <c r="AS174" s="21">
        <v>-1.45477E-2</v>
      </c>
      <c r="AT174" s="21">
        <v>164</v>
      </c>
      <c r="AU174" s="21">
        <v>0.99395800000000001</v>
      </c>
      <c r="AV174">
        <f t="shared" si="32"/>
        <v>17.960123456790122</v>
      </c>
      <c r="AW174">
        <f t="shared" si="33"/>
        <v>17.857086228518515</v>
      </c>
      <c r="AX174" s="9"/>
      <c r="AY174" s="21">
        <v>0.72586099999999998</v>
      </c>
      <c r="AZ174" s="21">
        <v>30.0959</v>
      </c>
      <c r="BA174" s="21">
        <v>-1.47125E-2</v>
      </c>
      <c r="BB174" s="21">
        <v>164</v>
      </c>
      <c r="BC174" s="21">
        <v>0.72521999999999998</v>
      </c>
      <c r="BD174">
        <f t="shared" si="34"/>
        <v>18.163580246913579</v>
      </c>
      <c r="BE174">
        <f t="shared" si="35"/>
        <v>13.184234521604937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0.98922699999999997</v>
      </c>
      <c r="H175" s="21">
        <v>7.4000500000000002</v>
      </c>
      <c r="I175" s="21">
        <v>-1.43585E-2</v>
      </c>
      <c r="J175" s="21">
        <v>165</v>
      </c>
      <c r="K175" s="21">
        <v>0.98754900000000001</v>
      </c>
      <c r="L175">
        <f t="shared" si="24"/>
        <v>17.726543209876542</v>
      </c>
      <c r="M175">
        <f t="shared" si="25"/>
        <v>17.53557515987654</v>
      </c>
      <c r="N175" s="9"/>
      <c r="O175" s="21">
        <v>0.73089599999999999</v>
      </c>
      <c r="P175" s="21">
        <v>11.259499999999999</v>
      </c>
      <c r="Q175" s="21">
        <v>-1.4700299999999999E-2</v>
      </c>
      <c r="R175" s="21">
        <v>165</v>
      </c>
      <c r="S175" s="21">
        <v>0.73019400000000001</v>
      </c>
      <c r="T175">
        <f t="shared" si="26"/>
        <v>18.148518518518514</v>
      </c>
      <c r="U175">
        <f t="shared" si="27"/>
        <v>13.264679591111108</v>
      </c>
      <c r="X175" s="9"/>
      <c r="Y175" s="21">
        <v>0.98922699999999997</v>
      </c>
      <c r="Z175" s="21">
        <v>16.8383</v>
      </c>
      <c r="AA175" s="21">
        <v>-1.4563E-2</v>
      </c>
      <c r="AB175" s="21">
        <v>165</v>
      </c>
      <c r="AC175" s="21">
        <v>0.98785400000000001</v>
      </c>
      <c r="AD175">
        <f t="shared" si="28"/>
        <v>17.979012345679013</v>
      </c>
      <c r="AE175">
        <f t="shared" si="29"/>
        <v>17.785324445679013</v>
      </c>
      <c r="AF175" s="9"/>
      <c r="AG175" s="21">
        <v>0.73089599999999999</v>
      </c>
      <c r="AH175" s="21">
        <v>20.697700000000001</v>
      </c>
      <c r="AI175" s="21">
        <v>-1.46667E-2</v>
      </c>
      <c r="AJ175" s="21">
        <v>165</v>
      </c>
      <c r="AK175" s="21">
        <v>0.73016400000000004</v>
      </c>
      <c r="AL175">
        <f t="shared" si="30"/>
        <v>18.107037037037035</v>
      </c>
      <c r="AM175">
        <f t="shared" si="31"/>
        <v>13.234360942222221</v>
      </c>
      <c r="AP175" s="9"/>
      <c r="AQ175" s="21">
        <v>0.98922699999999997</v>
      </c>
      <c r="AR175" s="21">
        <v>26.246500000000001</v>
      </c>
      <c r="AS175" s="21">
        <v>-1.45477E-2</v>
      </c>
      <c r="AT175" s="21">
        <v>165</v>
      </c>
      <c r="AU175" s="21">
        <v>0.98815900000000001</v>
      </c>
      <c r="AV175">
        <f t="shared" si="32"/>
        <v>17.960123456790122</v>
      </c>
      <c r="AW175">
        <f t="shared" si="33"/>
        <v>17.766639046790122</v>
      </c>
      <c r="AX175" s="9"/>
      <c r="AY175" s="21">
        <v>0.73089599999999999</v>
      </c>
      <c r="AZ175" s="21">
        <v>30.106000000000002</v>
      </c>
      <c r="BA175" s="21">
        <v>-1.47034E-2</v>
      </c>
      <c r="BB175" s="21">
        <v>165</v>
      </c>
      <c r="BC175" s="21">
        <v>0.73025499999999999</v>
      </c>
      <c r="BD175">
        <f t="shared" si="34"/>
        <v>18.152345679012342</v>
      </c>
      <c r="BE175">
        <f t="shared" si="35"/>
        <v>13.267476847407405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0.98419199999999996</v>
      </c>
      <c r="H176" s="21">
        <v>7.41012</v>
      </c>
      <c r="I176" s="21">
        <v>-1.43707E-2</v>
      </c>
      <c r="J176" s="21">
        <v>166</v>
      </c>
      <c r="K176" s="21">
        <v>0.98297100000000004</v>
      </c>
      <c r="L176">
        <f t="shared" si="24"/>
        <v>17.741604938271603</v>
      </c>
      <c r="M176">
        <f t="shared" si="25"/>
        <v>17.461145647407406</v>
      </c>
      <c r="N176" s="9"/>
      <c r="O176" s="21">
        <v>0.735931</v>
      </c>
      <c r="P176" s="21">
        <v>11.269600000000001</v>
      </c>
      <c r="Q176" s="21">
        <v>-1.47034E-2</v>
      </c>
      <c r="R176" s="21">
        <v>166</v>
      </c>
      <c r="S176" s="21">
        <v>0.73522900000000002</v>
      </c>
      <c r="T176">
        <f t="shared" si="26"/>
        <v>18.152345679012342</v>
      </c>
      <c r="U176">
        <f t="shared" si="27"/>
        <v>13.358873907901232</v>
      </c>
      <c r="X176" s="9"/>
      <c r="Y176" s="21">
        <v>0.98419199999999996</v>
      </c>
      <c r="Z176" s="21">
        <v>16.848299999999998</v>
      </c>
      <c r="AA176" s="21">
        <v>-1.4566000000000001E-2</v>
      </c>
      <c r="AB176" s="21">
        <v>166</v>
      </c>
      <c r="AC176" s="21">
        <v>0.98388699999999996</v>
      </c>
      <c r="AD176">
        <f t="shared" si="28"/>
        <v>17.982716049382717</v>
      </c>
      <c r="AE176">
        <f t="shared" si="29"/>
        <v>17.698445274074075</v>
      </c>
      <c r="AF176" s="9"/>
      <c r="AG176" s="21">
        <v>0.735931</v>
      </c>
      <c r="AH176" s="21">
        <v>20.707799999999999</v>
      </c>
      <c r="AI176" s="21">
        <v>-1.46515E-2</v>
      </c>
      <c r="AJ176" s="21">
        <v>166</v>
      </c>
      <c r="AK176" s="21">
        <v>0.73526000000000002</v>
      </c>
      <c r="AL176">
        <f t="shared" si="30"/>
        <v>18.088271604938271</v>
      </c>
      <c r="AM176">
        <f t="shared" si="31"/>
        <v>13.311719810493827</v>
      </c>
      <c r="AP176" s="9"/>
      <c r="AQ176" s="21">
        <v>0.98419199999999996</v>
      </c>
      <c r="AR176" s="21">
        <v>26.256599999999999</v>
      </c>
      <c r="AS176" s="21">
        <v>-1.45477E-2</v>
      </c>
      <c r="AT176" s="21">
        <v>166</v>
      </c>
      <c r="AU176" s="21">
        <v>0.98327600000000004</v>
      </c>
      <c r="AV176">
        <f t="shared" si="32"/>
        <v>17.960123456790122</v>
      </c>
      <c r="AW176">
        <f t="shared" si="33"/>
        <v>17.676209825185182</v>
      </c>
      <c r="AX176" s="9"/>
      <c r="AY176" s="21">
        <v>0.735931</v>
      </c>
      <c r="AZ176" s="21">
        <v>30.116</v>
      </c>
      <c r="BA176" s="21">
        <v>-1.4694199999999999E-2</v>
      </c>
      <c r="BB176" s="21">
        <v>166</v>
      </c>
      <c r="BC176" s="21">
        <v>0.73526000000000002</v>
      </c>
      <c r="BD176">
        <f t="shared" si="34"/>
        <v>18.140987654320988</v>
      </c>
      <c r="BE176">
        <f t="shared" si="35"/>
        <v>13.3505151854321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0.97915600000000003</v>
      </c>
      <c r="H177" s="21">
        <v>7.4201899999999998</v>
      </c>
      <c r="I177" s="21">
        <v>-1.4379899999999999E-2</v>
      </c>
      <c r="J177" s="21">
        <v>167</v>
      </c>
      <c r="K177" s="21">
        <v>0.97808799999999996</v>
      </c>
      <c r="L177">
        <f t="shared" si="24"/>
        <v>17.752962962962961</v>
      </c>
      <c r="M177">
        <f t="shared" si="25"/>
        <v>17.382920202962961</v>
      </c>
      <c r="N177" s="9"/>
      <c r="O177" s="21">
        <v>0.74096700000000004</v>
      </c>
      <c r="P177" s="21">
        <v>11.2797</v>
      </c>
      <c r="Q177" s="21">
        <v>-1.4700299999999999E-2</v>
      </c>
      <c r="R177" s="21">
        <v>167</v>
      </c>
      <c r="S177" s="21">
        <v>0.74026499999999995</v>
      </c>
      <c r="T177">
        <f t="shared" si="26"/>
        <v>18.148518518518514</v>
      </c>
      <c r="U177">
        <f t="shared" si="27"/>
        <v>13.447453321111109</v>
      </c>
      <c r="X177" s="9"/>
      <c r="Y177" s="21">
        <v>0.97915600000000003</v>
      </c>
      <c r="Z177" s="21">
        <v>16.8584</v>
      </c>
      <c r="AA177" s="21">
        <v>-1.45691E-2</v>
      </c>
      <c r="AB177" s="21">
        <v>167</v>
      </c>
      <c r="AC177" s="21">
        <v>0.97839399999999999</v>
      </c>
      <c r="AD177">
        <f t="shared" si="28"/>
        <v>17.98654320987654</v>
      </c>
      <c r="AE177">
        <f t="shared" si="29"/>
        <v>17.611631703209873</v>
      </c>
      <c r="AF177" s="9"/>
      <c r="AG177" s="21">
        <v>0.74096700000000004</v>
      </c>
      <c r="AH177" s="21">
        <v>20.7179</v>
      </c>
      <c r="AI177" s="21">
        <v>-1.4648400000000001E-2</v>
      </c>
      <c r="AJ177" s="21">
        <v>167</v>
      </c>
      <c r="AK177" s="21">
        <v>0.74029500000000004</v>
      </c>
      <c r="AL177">
        <f t="shared" si="30"/>
        <v>18.084444444444443</v>
      </c>
      <c r="AM177">
        <f t="shared" si="31"/>
        <v>13.399976546666666</v>
      </c>
      <c r="AP177" s="9"/>
      <c r="AQ177" s="21">
        <v>0.97915600000000003</v>
      </c>
      <c r="AR177" s="21">
        <v>26.2666</v>
      </c>
      <c r="AS177" s="21">
        <v>-1.4556899999999999E-2</v>
      </c>
      <c r="AT177" s="21">
        <v>167</v>
      </c>
      <c r="AU177" s="21">
        <v>0.97808799999999996</v>
      </c>
      <c r="AV177">
        <f t="shared" si="32"/>
        <v>17.971481481481479</v>
      </c>
      <c r="AW177">
        <f t="shared" si="33"/>
        <v>17.596883921481481</v>
      </c>
      <c r="AX177" s="9"/>
      <c r="AY177" s="21">
        <v>0.74096700000000004</v>
      </c>
      <c r="AZ177" s="21">
        <v>30.126100000000001</v>
      </c>
      <c r="BA177" s="21">
        <v>-1.46973E-2</v>
      </c>
      <c r="BB177" s="21">
        <v>167</v>
      </c>
      <c r="BC177" s="21">
        <v>0.74026499999999995</v>
      </c>
      <c r="BD177">
        <f t="shared" si="34"/>
        <v>18.144814814814815</v>
      </c>
      <c r="BE177">
        <f t="shared" si="35"/>
        <v>13.44470899888889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0.97412100000000001</v>
      </c>
      <c r="H178" s="21">
        <v>7.4302599999999996</v>
      </c>
      <c r="I178" s="21">
        <v>-1.43982E-2</v>
      </c>
      <c r="J178" s="21">
        <v>168</v>
      </c>
      <c r="K178" s="21">
        <v>0.97289999999999999</v>
      </c>
      <c r="L178">
        <f t="shared" si="24"/>
        <v>17.775555555555556</v>
      </c>
      <c r="M178">
        <f t="shared" si="25"/>
        <v>17.315541953333334</v>
      </c>
      <c r="N178" s="9"/>
      <c r="O178" s="21">
        <v>0.74600200000000005</v>
      </c>
      <c r="P178" s="21">
        <v>11.2897</v>
      </c>
      <c r="Q178" s="21">
        <v>-1.4700299999999999E-2</v>
      </c>
      <c r="R178" s="21">
        <v>168</v>
      </c>
      <c r="S178" s="21">
        <v>0.74533099999999997</v>
      </c>
      <c r="T178">
        <f t="shared" si="26"/>
        <v>18.148518518518514</v>
      </c>
      <c r="U178">
        <f t="shared" si="27"/>
        <v>13.538831111851851</v>
      </c>
      <c r="X178" s="9"/>
      <c r="Y178" s="21">
        <v>0.97412100000000001</v>
      </c>
      <c r="Z178" s="21">
        <v>16.868500000000001</v>
      </c>
      <c r="AA178" s="21">
        <v>-1.4578199999999999E-2</v>
      </c>
      <c r="AB178" s="21">
        <v>168</v>
      </c>
      <c r="AC178" s="21">
        <v>0.97351100000000002</v>
      </c>
      <c r="AD178">
        <f t="shared" si="28"/>
        <v>17.997777777777777</v>
      </c>
      <c r="AE178">
        <f t="shared" si="29"/>
        <v>17.532013286666668</v>
      </c>
      <c r="AF178" s="9"/>
      <c r="AG178" s="21">
        <v>0.74600200000000005</v>
      </c>
      <c r="AH178" s="21">
        <v>20.728000000000002</v>
      </c>
      <c r="AI178" s="21">
        <v>-1.4639299999999999E-2</v>
      </c>
      <c r="AJ178" s="21">
        <v>168</v>
      </c>
      <c r="AK178" s="21">
        <v>0.74539200000000005</v>
      </c>
      <c r="AL178">
        <f t="shared" si="30"/>
        <v>18.07320987654321</v>
      </c>
      <c r="AM178">
        <f t="shared" si="31"/>
        <v>13.482650714320989</v>
      </c>
      <c r="AP178" s="9"/>
      <c r="AQ178" s="21">
        <v>0.97412100000000001</v>
      </c>
      <c r="AR178" s="21">
        <v>26.276700000000002</v>
      </c>
      <c r="AS178" s="21">
        <v>-1.4572099999999999E-2</v>
      </c>
      <c r="AT178" s="21">
        <v>168</v>
      </c>
      <c r="AU178" s="21">
        <v>0.97289999999999999</v>
      </c>
      <c r="AV178">
        <f t="shared" si="32"/>
        <v>17.990246913580243</v>
      </c>
      <c r="AW178">
        <f t="shared" si="33"/>
        <v>17.524677313703702</v>
      </c>
      <c r="AX178" s="9"/>
      <c r="AY178" s="21">
        <v>0.74600200000000005</v>
      </c>
      <c r="AZ178" s="21">
        <v>30.136199999999999</v>
      </c>
      <c r="BA178" s="21">
        <v>-1.46973E-2</v>
      </c>
      <c r="BB178" s="21">
        <v>168</v>
      </c>
      <c r="BC178" s="21">
        <v>0.74539200000000005</v>
      </c>
      <c r="BD178">
        <f t="shared" si="34"/>
        <v>18.144814814814815</v>
      </c>
      <c r="BE178">
        <f t="shared" si="35"/>
        <v>13.536068141481483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0.969086</v>
      </c>
      <c r="H179" s="21">
        <v>7.4403300000000003</v>
      </c>
      <c r="I179" s="21">
        <v>-1.44043E-2</v>
      </c>
      <c r="J179" s="21">
        <v>169</v>
      </c>
      <c r="K179" s="21">
        <v>0.96801800000000005</v>
      </c>
      <c r="L179">
        <f t="shared" si="24"/>
        <v>17.783086419753086</v>
      </c>
      <c r="M179">
        <f t="shared" si="25"/>
        <v>17.233340086172838</v>
      </c>
      <c r="N179" s="9"/>
      <c r="O179" s="21">
        <v>0.75103799999999998</v>
      </c>
      <c r="P179" s="21">
        <v>11.299799999999999</v>
      </c>
      <c r="Q179" s="21">
        <v>-1.4700299999999999E-2</v>
      </c>
      <c r="R179" s="21">
        <v>169</v>
      </c>
      <c r="S179" s="21">
        <v>0.750305</v>
      </c>
      <c r="T179">
        <f t="shared" si="26"/>
        <v>18.148518518518514</v>
      </c>
      <c r="U179">
        <f t="shared" si="27"/>
        <v>13.630227051111108</v>
      </c>
      <c r="X179" s="9"/>
      <c r="Y179" s="21">
        <v>0.969086</v>
      </c>
      <c r="Z179" s="21">
        <v>16.878599999999999</v>
      </c>
      <c r="AA179" s="21">
        <v>-1.4578199999999999E-2</v>
      </c>
      <c r="AB179" s="21">
        <v>169</v>
      </c>
      <c r="AC179" s="21">
        <v>0.96893300000000004</v>
      </c>
      <c r="AD179">
        <f t="shared" si="28"/>
        <v>17.997777777777777</v>
      </c>
      <c r="AE179">
        <f t="shared" si="29"/>
        <v>17.441394475555555</v>
      </c>
      <c r="AF179" s="9"/>
      <c r="AG179" s="21">
        <v>0.75103799999999998</v>
      </c>
      <c r="AH179" s="21">
        <v>20.738</v>
      </c>
      <c r="AI179" s="21">
        <v>-1.4627100000000001E-2</v>
      </c>
      <c r="AJ179" s="21">
        <v>169</v>
      </c>
      <c r="AK179" s="21">
        <v>0.75045799999999996</v>
      </c>
      <c r="AL179">
        <f t="shared" si="30"/>
        <v>18.058148148148145</v>
      </c>
      <c r="AM179">
        <f t="shared" si="31"/>
        <v>13.562355468888887</v>
      </c>
      <c r="AP179" s="9"/>
      <c r="AQ179" s="21">
        <v>0.969086</v>
      </c>
      <c r="AR179" s="21">
        <v>26.286799999999999</v>
      </c>
      <c r="AS179" s="21">
        <v>-1.4584400000000001E-2</v>
      </c>
      <c r="AT179" s="21">
        <v>169</v>
      </c>
      <c r="AU179" s="21">
        <v>0.96801800000000005</v>
      </c>
      <c r="AV179">
        <f t="shared" si="32"/>
        <v>18.005432098765432</v>
      </c>
      <c r="AW179">
        <f t="shared" si="33"/>
        <v>17.448812170864198</v>
      </c>
      <c r="AX179" s="9"/>
      <c r="AY179" s="21">
        <v>0.75103799999999998</v>
      </c>
      <c r="AZ179" s="21">
        <v>30.1463</v>
      </c>
      <c r="BA179" s="21">
        <v>-1.47034E-2</v>
      </c>
      <c r="BB179" s="21">
        <v>169</v>
      </c>
      <c r="BC179" s="21">
        <v>0.750336</v>
      </c>
      <c r="BD179">
        <f t="shared" si="34"/>
        <v>18.152345679012342</v>
      </c>
      <c r="BE179">
        <f t="shared" si="35"/>
        <v>13.633101394074071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0.96404999999999996</v>
      </c>
      <c r="H180" s="21">
        <v>7.4504000000000001</v>
      </c>
      <c r="I180" s="21">
        <v>-1.44104E-2</v>
      </c>
      <c r="J180" s="21">
        <v>170</v>
      </c>
      <c r="K180" s="21">
        <v>0.96282999999999996</v>
      </c>
      <c r="L180">
        <f t="shared" si="24"/>
        <v>17.790617283950617</v>
      </c>
      <c r="M180">
        <f t="shared" si="25"/>
        <v>17.151044592592591</v>
      </c>
      <c r="N180" s="9"/>
      <c r="O180" s="21">
        <v>0.756073</v>
      </c>
      <c r="P180" s="21">
        <v>11.309900000000001</v>
      </c>
      <c r="Q180" s="21">
        <v>-1.4688100000000001E-2</v>
      </c>
      <c r="R180" s="21">
        <v>170</v>
      </c>
      <c r="S180" s="21">
        <v>0.75531000000000004</v>
      </c>
      <c r="T180">
        <f t="shared" si="26"/>
        <v>18.133456790123457</v>
      </c>
      <c r="U180">
        <f t="shared" si="27"/>
        <v>13.710217075679013</v>
      </c>
      <c r="X180" s="9"/>
      <c r="Y180" s="21">
        <v>0.96404999999999996</v>
      </c>
      <c r="Z180" s="21">
        <v>16.8886</v>
      </c>
      <c r="AA180" s="21">
        <v>-1.4584400000000001E-2</v>
      </c>
      <c r="AB180" s="21">
        <v>170</v>
      </c>
      <c r="AC180" s="21">
        <v>0.96282999999999996</v>
      </c>
      <c r="AD180">
        <f t="shared" si="28"/>
        <v>18.005432098765432</v>
      </c>
      <c r="AE180">
        <f t="shared" si="29"/>
        <v>17.358136814814813</v>
      </c>
      <c r="AF180" s="9"/>
      <c r="AG180" s="21">
        <v>0.756073</v>
      </c>
      <c r="AH180" s="21">
        <v>20.748100000000001</v>
      </c>
      <c r="AI180" s="21">
        <v>-1.4627100000000001E-2</v>
      </c>
      <c r="AJ180" s="21">
        <v>170</v>
      </c>
      <c r="AK180" s="21">
        <v>0.75531000000000004</v>
      </c>
      <c r="AL180">
        <f t="shared" si="30"/>
        <v>18.058148148148145</v>
      </c>
      <c r="AM180">
        <f t="shared" si="31"/>
        <v>13.653278244814812</v>
      </c>
      <c r="AP180" s="9"/>
      <c r="AQ180" s="21">
        <v>0.96404999999999996</v>
      </c>
      <c r="AR180" s="21">
        <v>26.296900000000001</v>
      </c>
      <c r="AS180" s="21">
        <v>-1.45966E-2</v>
      </c>
      <c r="AT180" s="21">
        <v>170</v>
      </c>
      <c r="AU180" s="21">
        <v>0.96252400000000005</v>
      </c>
      <c r="AV180">
        <f t="shared" si="32"/>
        <v>18.020493827160493</v>
      </c>
      <c r="AW180">
        <f t="shared" si="33"/>
        <v>17.372657074074073</v>
      </c>
      <c r="AX180" s="9"/>
      <c r="AY180" s="21">
        <v>0.756073</v>
      </c>
      <c r="AZ180" s="21">
        <v>30.156300000000002</v>
      </c>
      <c r="BA180" s="21">
        <v>-1.47095E-2</v>
      </c>
      <c r="BB180" s="21">
        <v>170</v>
      </c>
      <c r="BC180" s="21">
        <v>0.75531000000000004</v>
      </c>
      <c r="BD180">
        <f t="shared" si="34"/>
        <v>18.159876543209876</v>
      </c>
      <c r="BE180">
        <f t="shared" si="35"/>
        <v>13.730192337654321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0.95901499999999995</v>
      </c>
      <c r="H181" s="21">
        <v>7.4604799999999996</v>
      </c>
      <c r="I181" s="21">
        <v>-1.44165E-2</v>
      </c>
      <c r="J181" s="21">
        <v>171</v>
      </c>
      <c r="K181" s="21">
        <v>0.95764199999999999</v>
      </c>
      <c r="L181">
        <f t="shared" si="24"/>
        <v>17.798148148148147</v>
      </c>
      <c r="M181">
        <f t="shared" si="25"/>
        <v>17.068691046296294</v>
      </c>
      <c r="N181" s="9"/>
      <c r="O181" s="21">
        <v>0.76110800000000001</v>
      </c>
      <c r="P181" s="21">
        <v>11.32</v>
      </c>
      <c r="Q181" s="21">
        <v>-1.4682000000000001E-2</v>
      </c>
      <c r="R181" s="21">
        <v>171</v>
      </c>
      <c r="S181" s="21">
        <v>0.76049800000000001</v>
      </c>
      <c r="T181">
        <f t="shared" si="26"/>
        <v>18.125925925925923</v>
      </c>
      <c r="U181">
        <f t="shared" si="27"/>
        <v>13.795787229629628</v>
      </c>
      <c r="X181" s="9"/>
      <c r="Y181" s="21">
        <v>0.95901499999999995</v>
      </c>
      <c r="Z181" s="21">
        <v>16.898700000000002</v>
      </c>
      <c r="AA181" s="21">
        <v>-1.45874E-2</v>
      </c>
      <c r="AB181" s="21">
        <v>171</v>
      </c>
      <c r="AC181" s="21">
        <v>0.95764199999999999</v>
      </c>
      <c r="AD181">
        <f t="shared" si="28"/>
        <v>18.009135802469135</v>
      </c>
      <c r="AE181">
        <f t="shared" si="29"/>
        <v>17.271031371604938</v>
      </c>
      <c r="AF181" s="9"/>
      <c r="AG181" s="21">
        <v>0.76110800000000001</v>
      </c>
      <c r="AH181" s="21">
        <v>20.758199999999999</v>
      </c>
      <c r="AI181" s="21">
        <v>-1.4621E-2</v>
      </c>
      <c r="AJ181" s="21">
        <v>171</v>
      </c>
      <c r="AK181" s="21">
        <v>0.76049800000000001</v>
      </c>
      <c r="AL181">
        <f t="shared" si="30"/>
        <v>18.050617283950618</v>
      </c>
      <c r="AM181">
        <f t="shared" si="31"/>
        <v>13.738469219753087</v>
      </c>
      <c r="AP181" s="9"/>
      <c r="AQ181" s="21">
        <v>0.95901499999999995</v>
      </c>
      <c r="AR181" s="21">
        <v>26.306899999999999</v>
      </c>
      <c r="AS181" s="21">
        <v>-1.4599600000000001E-2</v>
      </c>
      <c r="AT181" s="21">
        <v>171</v>
      </c>
      <c r="AU181" s="21">
        <v>0.95794699999999999</v>
      </c>
      <c r="AV181">
        <f t="shared" si="32"/>
        <v>18.0241975308642</v>
      </c>
      <c r="AW181">
        <f t="shared" si="33"/>
        <v>17.285475795061728</v>
      </c>
      <c r="AX181" s="9"/>
      <c r="AY181" s="21">
        <v>0.76110800000000001</v>
      </c>
      <c r="AZ181" s="21">
        <v>30.166399999999999</v>
      </c>
      <c r="BA181" s="21">
        <v>-1.47095E-2</v>
      </c>
      <c r="BB181" s="21">
        <v>171</v>
      </c>
      <c r="BC181" s="21">
        <v>0.76019300000000001</v>
      </c>
      <c r="BD181">
        <f t="shared" si="34"/>
        <v>18.159876543209876</v>
      </c>
      <c r="BE181">
        <f t="shared" si="35"/>
        <v>13.821627316049382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0.95397900000000002</v>
      </c>
      <c r="H182" s="21">
        <v>7.4705500000000002</v>
      </c>
      <c r="I182" s="21">
        <v>-1.4428699999999999E-2</v>
      </c>
      <c r="J182" s="21">
        <v>172</v>
      </c>
      <c r="K182" s="21">
        <v>0.95275900000000002</v>
      </c>
      <c r="L182">
        <f t="shared" si="24"/>
        <v>17.813209876543205</v>
      </c>
      <c r="M182">
        <f t="shared" si="25"/>
        <v>16.993428144814811</v>
      </c>
      <c r="N182" s="9"/>
      <c r="O182" s="21">
        <v>0.76614400000000005</v>
      </c>
      <c r="P182" s="21">
        <v>11.33</v>
      </c>
      <c r="Q182" s="21">
        <v>-1.4672899999999999E-2</v>
      </c>
      <c r="R182" s="21">
        <v>172</v>
      </c>
      <c r="S182" s="21">
        <v>0.76538099999999998</v>
      </c>
      <c r="T182">
        <f t="shared" si="26"/>
        <v>18.11469135802469</v>
      </c>
      <c r="U182">
        <f t="shared" si="27"/>
        <v>13.878462095802469</v>
      </c>
      <c r="X182" s="9"/>
      <c r="Y182" s="21">
        <v>0.95397900000000002</v>
      </c>
      <c r="Z182" s="21">
        <v>16.908799999999999</v>
      </c>
      <c r="AA182" s="21">
        <v>-1.4599600000000001E-2</v>
      </c>
      <c r="AB182" s="21">
        <v>172</v>
      </c>
      <c r="AC182" s="21">
        <v>0.95336900000000002</v>
      </c>
      <c r="AD182">
        <f t="shared" si="28"/>
        <v>18.0241975308642</v>
      </c>
      <c r="AE182">
        <f t="shared" si="29"/>
        <v>17.194705936296298</v>
      </c>
      <c r="AF182" s="9"/>
      <c r="AG182" s="21">
        <v>0.76614400000000005</v>
      </c>
      <c r="AH182" s="21">
        <v>20.7682</v>
      </c>
      <c r="AI182" s="21">
        <v>-1.46149E-2</v>
      </c>
      <c r="AJ182" s="21">
        <v>172</v>
      </c>
      <c r="AK182" s="21">
        <v>0.76507599999999998</v>
      </c>
      <c r="AL182">
        <f t="shared" si="30"/>
        <v>18.043086419753088</v>
      </c>
      <c r="AM182">
        <f t="shared" si="31"/>
        <v>13.823602401975311</v>
      </c>
      <c r="AP182" s="9"/>
      <c r="AQ182" s="21">
        <v>0.95397900000000002</v>
      </c>
      <c r="AR182" s="21">
        <v>26.317</v>
      </c>
      <c r="AS182" s="21">
        <v>-1.46027E-2</v>
      </c>
      <c r="AT182" s="21">
        <v>172</v>
      </c>
      <c r="AU182" s="21">
        <v>0.95336900000000002</v>
      </c>
      <c r="AV182">
        <f t="shared" si="32"/>
        <v>18.028024691358024</v>
      </c>
      <c r="AW182">
        <f t="shared" si="33"/>
        <v>17.198356967037036</v>
      </c>
      <c r="AX182" s="9"/>
      <c r="AY182" s="21">
        <v>0.76614400000000005</v>
      </c>
      <c r="AZ182" s="21">
        <v>30.176500000000001</v>
      </c>
      <c r="BA182" s="21">
        <v>-1.47095E-2</v>
      </c>
      <c r="BB182" s="21">
        <v>172</v>
      </c>
      <c r="BC182" s="21">
        <v>0.76538099999999998</v>
      </c>
      <c r="BD182">
        <f t="shared" si="34"/>
        <v>18.159876543209876</v>
      </c>
      <c r="BE182">
        <f t="shared" si="35"/>
        <v>13.913080454320989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0.94894400000000001</v>
      </c>
      <c r="H183" s="21">
        <v>7.48062</v>
      </c>
      <c r="I183" s="21">
        <v>-1.4434799999999999E-2</v>
      </c>
      <c r="J183" s="21">
        <v>173</v>
      </c>
      <c r="K183" s="21">
        <v>0.94818100000000005</v>
      </c>
      <c r="L183">
        <f t="shared" si="24"/>
        <v>17.820740740740739</v>
      </c>
      <c r="M183">
        <f t="shared" si="25"/>
        <v>16.910885001481478</v>
      </c>
      <c r="N183" s="9"/>
      <c r="O183" s="21">
        <v>0.77117899999999995</v>
      </c>
      <c r="P183" s="21">
        <v>11.3401</v>
      </c>
      <c r="Q183" s="21">
        <v>-1.46698E-2</v>
      </c>
      <c r="R183" s="21">
        <v>173</v>
      </c>
      <c r="S183" s="21">
        <v>0.77056899999999995</v>
      </c>
      <c r="T183">
        <f t="shared" si="26"/>
        <v>18.110864197530866</v>
      </c>
      <c r="U183">
        <f t="shared" si="27"/>
        <v>13.966718140987654</v>
      </c>
      <c r="X183" s="9"/>
      <c r="Y183" s="21">
        <v>0.94894400000000001</v>
      </c>
      <c r="Z183" s="21">
        <v>16.918800000000001</v>
      </c>
      <c r="AA183" s="21">
        <v>-1.4599600000000001E-2</v>
      </c>
      <c r="AB183" s="21">
        <v>173</v>
      </c>
      <c r="AC183" s="21">
        <v>0.94757100000000005</v>
      </c>
      <c r="AD183">
        <f t="shared" si="28"/>
        <v>18.0241975308642</v>
      </c>
      <c r="AE183">
        <f t="shared" si="29"/>
        <v>17.103954101728398</v>
      </c>
      <c r="AF183" s="9"/>
      <c r="AG183" s="21">
        <v>0.77117899999999995</v>
      </c>
      <c r="AH183" s="21">
        <v>20.778300000000002</v>
      </c>
      <c r="AI183" s="21">
        <v>-1.46179E-2</v>
      </c>
      <c r="AJ183" s="21">
        <v>173</v>
      </c>
      <c r="AK183" s="21">
        <v>0.77117899999999995</v>
      </c>
      <c r="AL183">
        <f t="shared" si="30"/>
        <v>18.046790123456791</v>
      </c>
      <c r="AM183">
        <f t="shared" si="31"/>
        <v>13.917305560617283</v>
      </c>
      <c r="AP183" s="9"/>
      <c r="AQ183" s="21">
        <v>0.94894400000000001</v>
      </c>
      <c r="AR183" s="21">
        <v>26.327100000000002</v>
      </c>
      <c r="AS183" s="21">
        <v>-1.46088E-2</v>
      </c>
      <c r="AT183" s="21">
        <v>173</v>
      </c>
      <c r="AU183" s="21">
        <v>0.94818100000000005</v>
      </c>
      <c r="AV183">
        <f t="shared" si="32"/>
        <v>18.035555555555554</v>
      </c>
      <c r="AW183">
        <f t="shared" si="33"/>
        <v>17.114732231111109</v>
      </c>
      <c r="AX183" s="9"/>
      <c r="AY183" s="21">
        <v>0.77117899999999995</v>
      </c>
      <c r="AZ183" s="21">
        <v>30.186499999999999</v>
      </c>
      <c r="BA183" s="21">
        <v>-1.4700299999999999E-2</v>
      </c>
      <c r="BB183" s="21">
        <v>173</v>
      </c>
      <c r="BC183" s="21">
        <v>0.77056899999999995</v>
      </c>
      <c r="BD183">
        <f t="shared" si="34"/>
        <v>18.148518518518514</v>
      </c>
      <c r="BE183">
        <f t="shared" si="35"/>
        <v>13.995756362592589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0.943909</v>
      </c>
      <c r="H184" s="21">
        <v>7.4906899999999998</v>
      </c>
      <c r="I184" s="21">
        <v>-1.4434799999999999E-2</v>
      </c>
      <c r="J184" s="21">
        <v>174</v>
      </c>
      <c r="K184" s="21">
        <v>0.94299299999999997</v>
      </c>
      <c r="L184">
        <f t="shared" si="24"/>
        <v>17.820740740740739</v>
      </c>
      <c r="M184">
        <f t="shared" si="25"/>
        <v>16.821157571851849</v>
      </c>
      <c r="N184" s="9"/>
      <c r="O184" s="21">
        <v>0.77621499999999999</v>
      </c>
      <c r="P184" s="21">
        <v>11.350199999999999</v>
      </c>
      <c r="Q184" s="21">
        <v>-1.46698E-2</v>
      </c>
      <c r="R184" s="21">
        <v>174</v>
      </c>
      <c r="S184" s="21">
        <v>0.775146</v>
      </c>
      <c r="T184">
        <f t="shared" si="26"/>
        <v>18.110864197530866</v>
      </c>
      <c r="U184">
        <f t="shared" si="27"/>
        <v>14.057924453086422</v>
      </c>
      <c r="X184" s="9"/>
      <c r="Y184" s="21">
        <v>0.943909</v>
      </c>
      <c r="Z184" s="21">
        <v>16.928899999999999</v>
      </c>
      <c r="AA184" s="21">
        <v>-1.4605699999999999E-2</v>
      </c>
      <c r="AB184" s="21">
        <v>174</v>
      </c>
      <c r="AC184" s="21">
        <v>0.94299299999999997</v>
      </c>
      <c r="AD184">
        <f t="shared" si="28"/>
        <v>18.031728395061727</v>
      </c>
      <c r="AE184">
        <f t="shared" si="29"/>
        <v>17.020310717654318</v>
      </c>
      <c r="AF184" s="9"/>
      <c r="AG184" s="21">
        <v>0.77621499999999999</v>
      </c>
      <c r="AH184" s="21">
        <v>20.788399999999999</v>
      </c>
      <c r="AI184" s="21">
        <v>-1.4627100000000001E-2</v>
      </c>
      <c r="AJ184" s="21">
        <v>174</v>
      </c>
      <c r="AK184" s="21">
        <v>0.77575700000000003</v>
      </c>
      <c r="AL184">
        <f t="shared" si="30"/>
        <v>18.058148148148145</v>
      </c>
      <c r="AM184">
        <f t="shared" si="31"/>
        <v>14.017005464814812</v>
      </c>
      <c r="AP184" s="9"/>
      <c r="AQ184" s="21">
        <v>0.943909</v>
      </c>
      <c r="AR184" s="21">
        <v>26.3371</v>
      </c>
      <c r="AS184" s="21">
        <v>-1.4611799999999999E-2</v>
      </c>
      <c r="AT184" s="21">
        <v>174</v>
      </c>
      <c r="AU184" s="21">
        <v>0.94329799999999997</v>
      </c>
      <c r="AV184">
        <f t="shared" si="32"/>
        <v>18.039259259259257</v>
      </c>
      <c r="AW184">
        <f t="shared" si="33"/>
        <v>17.027419168148146</v>
      </c>
      <c r="AX184" s="9"/>
      <c r="AY184" s="21">
        <v>0.77621499999999999</v>
      </c>
      <c r="AZ184" s="21">
        <v>30.1966</v>
      </c>
      <c r="BA184" s="21">
        <v>-1.4700299999999999E-2</v>
      </c>
      <c r="BB184" s="21">
        <v>174</v>
      </c>
      <c r="BC184" s="21">
        <v>0.775146</v>
      </c>
      <c r="BD184">
        <f t="shared" si="34"/>
        <v>18.148518518518514</v>
      </c>
      <c r="BE184">
        <f t="shared" si="35"/>
        <v>14.087152301851848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0.93887299999999996</v>
      </c>
      <c r="H185" s="21">
        <v>7.5007599999999996</v>
      </c>
      <c r="I185" s="21">
        <v>-1.44409E-2</v>
      </c>
      <c r="J185" s="21">
        <v>175</v>
      </c>
      <c r="K185" s="21">
        <v>0.93841600000000003</v>
      </c>
      <c r="L185">
        <f t="shared" si="24"/>
        <v>17.828271604938269</v>
      </c>
      <c r="M185">
        <f t="shared" si="25"/>
        <v>16.738482846543207</v>
      </c>
      <c r="N185" s="9"/>
      <c r="O185" s="21">
        <v>0.78125</v>
      </c>
      <c r="P185" s="21">
        <v>11.360200000000001</v>
      </c>
      <c r="Q185" s="21">
        <v>-1.4660599999999999E-2</v>
      </c>
      <c r="R185" s="21">
        <v>175</v>
      </c>
      <c r="S185" s="21">
        <v>0.78033399999999997</v>
      </c>
      <c r="T185">
        <f t="shared" si="26"/>
        <v>18.099506172839504</v>
      </c>
      <c r="U185">
        <f t="shared" si="27"/>
        <v>14.140239197530862</v>
      </c>
      <c r="X185" s="9"/>
      <c r="Y185" s="21">
        <v>0.93887299999999996</v>
      </c>
      <c r="Z185" s="21">
        <v>16.939</v>
      </c>
      <c r="AA185" s="21">
        <v>-1.46027E-2</v>
      </c>
      <c r="AB185" s="21">
        <v>175</v>
      </c>
      <c r="AC185" s="21">
        <v>0.93811</v>
      </c>
      <c r="AD185">
        <f t="shared" si="28"/>
        <v>18.028024691358024</v>
      </c>
      <c r="AE185">
        <f t="shared" si="29"/>
        <v>16.92602562604938</v>
      </c>
      <c r="AF185" s="9"/>
      <c r="AG185" s="21">
        <v>0.78125</v>
      </c>
      <c r="AH185" s="21">
        <v>20.798500000000001</v>
      </c>
      <c r="AI185" s="21">
        <v>-1.46362E-2</v>
      </c>
      <c r="AJ185" s="21">
        <v>175</v>
      </c>
      <c r="AK185" s="21">
        <v>0.78064</v>
      </c>
      <c r="AL185">
        <f t="shared" si="30"/>
        <v>18.069382716049383</v>
      </c>
      <c r="AM185">
        <f t="shared" si="31"/>
        <v>14.116705246913581</v>
      </c>
      <c r="AP185" s="9"/>
      <c r="AQ185" s="21">
        <v>0.93887299999999996</v>
      </c>
      <c r="AR185" s="21">
        <v>26.347200000000001</v>
      </c>
      <c r="AS185" s="21">
        <v>-1.46088E-2</v>
      </c>
      <c r="AT185" s="21">
        <v>175</v>
      </c>
      <c r="AU185" s="21">
        <v>0.937805</v>
      </c>
      <c r="AV185">
        <f t="shared" si="32"/>
        <v>18.035555555555554</v>
      </c>
      <c r="AW185">
        <f t="shared" si="33"/>
        <v>16.933096151111108</v>
      </c>
      <c r="AX185" s="9"/>
      <c r="AY185" s="21">
        <v>0.78125</v>
      </c>
      <c r="AZ185" s="21">
        <v>30.206700000000001</v>
      </c>
      <c r="BA185" s="21">
        <v>-1.4694199999999999E-2</v>
      </c>
      <c r="BB185" s="21">
        <v>175</v>
      </c>
      <c r="BC185" s="21">
        <v>0.78033399999999997</v>
      </c>
      <c r="BD185">
        <f t="shared" si="34"/>
        <v>18.140987654320988</v>
      </c>
      <c r="BE185">
        <f t="shared" si="35"/>
        <v>14.172646604938272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0.93383799999999995</v>
      </c>
      <c r="H186" s="21">
        <v>7.5108300000000003</v>
      </c>
      <c r="I186" s="21">
        <v>-1.44501E-2</v>
      </c>
      <c r="J186" s="21">
        <v>176</v>
      </c>
      <c r="K186" s="21">
        <v>0.93322799999999995</v>
      </c>
      <c r="L186">
        <f t="shared" si="24"/>
        <v>17.839629629629631</v>
      </c>
      <c r="M186">
        <f t="shared" si="25"/>
        <v>16.659324054074073</v>
      </c>
      <c r="N186" s="9"/>
      <c r="O186" s="21">
        <v>0.78628500000000001</v>
      </c>
      <c r="P186" s="21">
        <v>11.3703</v>
      </c>
      <c r="Q186" s="21">
        <v>-1.4654500000000001E-2</v>
      </c>
      <c r="R186" s="21">
        <v>176</v>
      </c>
      <c r="S186" s="21">
        <v>0.78552200000000005</v>
      </c>
      <c r="T186">
        <f t="shared" si="26"/>
        <v>18.091975308641977</v>
      </c>
      <c r="U186">
        <f t="shared" si="27"/>
        <v>14.225448805555557</v>
      </c>
      <c r="X186" s="9"/>
      <c r="Y186" s="21">
        <v>0.93383799999999995</v>
      </c>
      <c r="Z186" s="21">
        <v>16.949100000000001</v>
      </c>
      <c r="AA186" s="21">
        <v>-1.4590499999999999E-2</v>
      </c>
      <c r="AB186" s="21">
        <v>176</v>
      </c>
      <c r="AC186" s="21">
        <v>0.93322799999999995</v>
      </c>
      <c r="AD186">
        <f t="shared" si="28"/>
        <v>18.012962962962959</v>
      </c>
      <c r="AE186">
        <f t="shared" si="29"/>
        <v>16.821189307407401</v>
      </c>
      <c r="AF186" s="9"/>
      <c r="AG186" s="21">
        <v>0.78628500000000001</v>
      </c>
      <c r="AH186" s="21">
        <v>20.808499999999999</v>
      </c>
      <c r="AI186" s="21">
        <v>-1.4627100000000001E-2</v>
      </c>
      <c r="AJ186" s="21">
        <v>176</v>
      </c>
      <c r="AK186" s="21">
        <v>0.78521700000000005</v>
      </c>
      <c r="AL186">
        <f t="shared" si="30"/>
        <v>18.058148148148145</v>
      </c>
      <c r="AM186">
        <f t="shared" si="31"/>
        <v>14.198851016666664</v>
      </c>
      <c r="AP186" s="9"/>
      <c r="AQ186" s="21">
        <v>0.93383799999999995</v>
      </c>
      <c r="AR186" s="21">
        <v>26.357299999999999</v>
      </c>
      <c r="AS186" s="21">
        <v>-1.46149E-2</v>
      </c>
      <c r="AT186" s="21">
        <v>176</v>
      </c>
      <c r="AU186" s="21">
        <v>0.93322799999999995</v>
      </c>
      <c r="AV186">
        <f t="shared" si="32"/>
        <v>18.043086419753088</v>
      </c>
      <c r="AW186">
        <f t="shared" si="33"/>
        <v>16.849319736049384</v>
      </c>
      <c r="AX186" s="9"/>
      <c r="AY186" s="21">
        <v>0.78628500000000001</v>
      </c>
      <c r="AZ186" s="21">
        <v>30.216699999999999</v>
      </c>
      <c r="BA186" s="21">
        <v>-1.4694199999999999E-2</v>
      </c>
      <c r="BB186" s="21">
        <v>176</v>
      </c>
      <c r="BC186" s="21">
        <v>0.78552200000000005</v>
      </c>
      <c r="BD186">
        <f t="shared" si="34"/>
        <v>18.140987654320988</v>
      </c>
      <c r="BE186">
        <f t="shared" si="35"/>
        <v>14.263986477777777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0.92880200000000002</v>
      </c>
      <c r="H187" s="21">
        <v>7.5209000000000001</v>
      </c>
      <c r="I187" s="21">
        <v>-1.4462300000000001E-2</v>
      </c>
      <c r="J187" s="21">
        <v>177</v>
      </c>
      <c r="K187" s="21">
        <v>0.92742899999999995</v>
      </c>
      <c r="L187">
        <f t="shared" si="24"/>
        <v>17.854691358024692</v>
      </c>
      <c r="M187">
        <f t="shared" si="25"/>
        <v>16.583473042716051</v>
      </c>
      <c r="N187" s="9"/>
      <c r="O187" s="21">
        <v>0.79132100000000005</v>
      </c>
      <c r="P187" s="21">
        <v>11.3804</v>
      </c>
      <c r="Q187" s="21">
        <v>-1.4645399999999999E-2</v>
      </c>
      <c r="R187" s="21">
        <v>177</v>
      </c>
      <c r="S187" s="21">
        <v>0.79010000000000002</v>
      </c>
      <c r="T187">
        <f t="shared" si="26"/>
        <v>18.080740740740737</v>
      </c>
      <c r="U187">
        <f t="shared" si="27"/>
        <v>14.307669843703701</v>
      </c>
      <c r="X187" s="9"/>
      <c r="Y187" s="21">
        <v>0.92880200000000002</v>
      </c>
      <c r="Z187" s="21">
        <v>16.959099999999999</v>
      </c>
      <c r="AA187" s="21">
        <v>-1.4590499999999999E-2</v>
      </c>
      <c r="AB187" s="21">
        <v>177</v>
      </c>
      <c r="AC187" s="21">
        <v>0.92773399999999995</v>
      </c>
      <c r="AD187">
        <f t="shared" si="28"/>
        <v>18.012962962962959</v>
      </c>
      <c r="AE187">
        <f t="shared" si="29"/>
        <v>16.730476025925924</v>
      </c>
      <c r="AF187" s="9"/>
      <c r="AG187" s="21">
        <v>0.79132100000000005</v>
      </c>
      <c r="AH187" s="21">
        <v>20.8186</v>
      </c>
      <c r="AI187" s="21">
        <v>-1.46179E-2</v>
      </c>
      <c r="AJ187" s="21">
        <v>177</v>
      </c>
      <c r="AK187" s="21">
        <v>0.79040500000000002</v>
      </c>
      <c r="AL187">
        <f t="shared" si="30"/>
        <v>18.046790123456791</v>
      </c>
      <c r="AM187">
        <f t="shared" si="31"/>
        <v>14.280804007283953</v>
      </c>
      <c r="AP187" s="9"/>
      <c r="AQ187" s="21">
        <v>0.92880200000000002</v>
      </c>
      <c r="AR187" s="21">
        <v>26.3673</v>
      </c>
      <c r="AS187" s="21">
        <v>-1.4611799999999999E-2</v>
      </c>
      <c r="AT187" s="21">
        <v>177</v>
      </c>
      <c r="AU187" s="21">
        <v>0.92773399999999995</v>
      </c>
      <c r="AV187">
        <f t="shared" si="32"/>
        <v>18.039259259259257</v>
      </c>
      <c r="AW187">
        <f t="shared" si="33"/>
        <v>16.754900078518517</v>
      </c>
      <c r="AX187" s="9"/>
      <c r="AY187" s="21">
        <v>0.79132100000000005</v>
      </c>
      <c r="AZ187" s="21">
        <v>30.226800000000001</v>
      </c>
      <c r="BA187" s="21">
        <v>-1.46912E-2</v>
      </c>
      <c r="BB187" s="21">
        <v>177</v>
      </c>
      <c r="BC187" s="21">
        <v>0.79040500000000002</v>
      </c>
      <c r="BD187">
        <f t="shared" si="34"/>
        <v>18.137283950617284</v>
      </c>
      <c r="BE187">
        <f t="shared" si="35"/>
        <v>14.352413673086421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0.923767</v>
      </c>
      <c r="H188" s="21">
        <v>7.5309699999999999</v>
      </c>
      <c r="I188" s="21">
        <v>-1.44653E-2</v>
      </c>
      <c r="J188" s="21">
        <v>178</v>
      </c>
      <c r="K188" s="21">
        <v>0.92315700000000001</v>
      </c>
      <c r="L188">
        <f t="shared" si="24"/>
        <v>17.858395061728395</v>
      </c>
      <c r="M188">
        <f t="shared" si="25"/>
        <v>16.496996030987653</v>
      </c>
      <c r="N188" s="9"/>
      <c r="O188" s="21">
        <v>0.79635599999999995</v>
      </c>
      <c r="P188" s="21">
        <v>11.3904</v>
      </c>
      <c r="Q188" s="21">
        <v>-1.4648400000000001E-2</v>
      </c>
      <c r="R188" s="21">
        <v>178</v>
      </c>
      <c r="S188" s="21">
        <v>0.79589799999999999</v>
      </c>
      <c r="T188">
        <f t="shared" si="26"/>
        <v>18.084444444444443</v>
      </c>
      <c r="U188">
        <f t="shared" si="27"/>
        <v>14.401655839999998</v>
      </c>
      <c r="X188" s="9"/>
      <c r="Y188" s="21">
        <v>0.923767</v>
      </c>
      <c r="Z188" s="21">
        <v>16.969200000000001</v>
      </c>
      <c r="AA188" s="21">
        <v>-1.4578199999999999E-2</v>
      </c>
      <c r="AB188" s="21">
        <v>178</v>
      </c>
      <c r="AC188" s="21">
        <v>0.92285200000000001</v>
      </c>
      <c r="AD188">
        <f t="shared" si="28"/>
        <v>17.997777777777777</v>
      </c>
      <c r="AE188">
        <f t="shared" si="29"/>
        <v>16.625753184444445</v>
      </c>
      <c r="AF188" s="9"/>
      <c r="AG188" s="21">
        <v>0.79635599999999995</v>
      </c>
      <c r="AH188" s="21">
        <v>20.828700000000001</v>
      </c>
      <c r="AI188" s="21">
        <v>-1.4611799999999999E-2</v>
      </c>
      <c r="AJ188" s="21">
        <v>178</v>
      </c>
      <c r="AK188" s="21">
        <v>0.79528799999999999</v>
      </c>
      <c r="AL188">
        <f t="shared" si="30"/>
        <v>18.039259259259257</v>
      </c>
      <c r="AM188">
        <f t="shared" si="31"/>
        <v>14.365672346666663</v>
      </c>
      <c r="AP188" s="9"/>
      <c r="AQ188" s="21">
        <v>0.923767</v>
      </c>
      <c r="AR188" s="21">
        <v>26.377400000000002</v>
      </c>
      <c r="AS188" s="21">
        <v>-1.4605699999999999E-2</v>
      </c>
      <c r="AT188" s="21">
        <v>178</v>
      </c>
      <c r="AU188" s="21">
        <v>0.92254599999999998</v>
      </c>
      <c r="AV188">
        <f t="shared" si="32"/>
        <v>18.031728395061727</v>
      </c>
      <c r="AW188">
        <f t="shared" si="33"/>
        <v>16.657115644320985</v>
      </c>
      <c r="AX188" s="9"/>
      <c r="AY188" s="21">
        <v>0.79635599999999995</v>
      </c>
      <c r="AZ188" s="21">
        <v>30.236899999999999</v>
      </c>
      <c r="BA188" s="21">
        <v>-1.4678999999999999E-2</v>
      </c>
      <c r="BB188" s="21">
        <v>178</v>
      </c>
      <c r="BC188" s="21">
        <v>0.79528799999999999</v>
      </c>
      <c r="BD188">
        <f t="shared" si="34"/>
        <v>18.12222222222222</v>
      </c>
      <c r="BE188">
        <f t="shared" si="35"/>
        <v>14.431740399999997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0.91873199999999999</v>
      </c>
      <c r="H189" s="21">
        <v>7.5410399999999997</v>
      </c>
      <c r="I189" s="21">
        <v>-1.4468399999999999E-2</v>
      </c>
      <c r="J189" s="21">
        <v>179</v>
      </c>
      <c r="K189" s="21">
        <v>0.91827400000000003</v>
      </c>
      <c r="L189">
        <f t="shared" si="24"/>
        <v>17.862222222222222</v>
      </c>
      <c r="M189">
        <f t="shared" si="25"/>
        <v>16.410595146666665</v>
      </c>
      <c r="N189" s="9"/>
      <c r="O189" s="21">
        <v>0.80139199999999999</v>
      </c>
      <c r="P189" s="21">
        <v>11.400499999999999</v>
      </c>
      <c r="Q189" s="21">
        <v>-1.46515E-2</v>
      </c>
      <c r="R189" s="21">
        <v>179</v>
      </c>
      <c r="S189" s="21">
        <v>0.80078099999999997</v>
      </c>
      <c r="T189">
        <f t="shared" si="26"/>
        <v>18.088271604938271</v>
      </c>
      <c r="U189">
        <f t="shared" si="27"/>
        <v>14.495796158024691</v>
      </c>
      <c r="X189" s="9"/>
      <c r="Y189" s="21">
        <v>0.91873199999999999</v>
      </c>
      <c r="Z189" s="21">
        <v>16.979299999999999</v>
      </c>
      <c r="AA189" s="21">
        <v>-1.45813E-2</v>
      </c>
      <c r="AB189" s="21">
        <v>179</v>
      </c>
      <c r="AC189" s="21">
        <v>0.91766400000000004</v>
      </c>
      <c r="AD189">
        <f t="shared" si="28"/>
        <v>18.001604938271605</v>
      </c>
      <c r="AE189">
        <f t="shared" si="29"/>
        <v>16.538650508148148</v>
      </c>
      <c r="AF189" s="9"/>
      <c r="AG189" s="21">
        <v>0.80139199999999999</v>
      </c>
      <c r="AH189" s="21">
        <v>20.838699999999999</v>
      </c>
      <c r="AI189" s="21">
        <v>-1.46179E-2</v>
      </c>
      <c r="AJ189" s="21">
        <v>179</v>
      </c>
      <c r="AK189" s="21">
        <v>0.80047599999999997</v>
      </c>
      <c r="AL189">
        <f t="shared" si="30"/>
        <v>18.046790123456791</v>
      </c>
      <c r="AM189">
        <f t="shared" si="31"/>
        <v>14.462553230617285</v>
      </c>
      <c r="AP189" s="9"/>
      <c r="AQ189" s="21">
        <v>0.91873199999999999</v>
      </c>
      <c r="AR189" s="21">
        <v>26.387499999999999</v>
      </c>
      <c r="AS189" s="21">
        <v>-1.46027E-2</v>
      </c>
      <c r="AT189" s="21">
        <v>179</v>
      </c>
      <c r="AU189" s="21">
        <v>0.91796900000000003</v>
      </c>
      <c r="AV189">
        <f t="shared" si="32"/>
        <v>18.028024691358024</v>
      </c>
      <c r="AW189">
        <f t="shared" si="33"/>
        <v>16.562923180740739</v>
      </c>
      <c r="AX189" s="9"/>
      <c r="AY189" s="21">
        <v>0.80139199999999999</v>
      </c>
      <c r="AZ189" s="21">
        <v>30.247</v>
      </c>
      <c r="BA189" s="21">
        <v>-1.46759E-2</v>
      </c>
      <c r="BB189" s="21">
        <v>179</v>
      </c>
      <c r="BC189" s="21">
        <v>0.80078099999999997</v>
      </c>
      <c r="BD189">
        <f t="shared" si="34"/>
        <v>18.118395061728396</v>
      </c>
      <c r="BE189">
        <f t="shared" si="35"/>
        <v>14.519936855308643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0.91369599999999995</v>
      </c>
      <c r="H190" s="21">
        <v>7.5511100000000004</v>
      </c>
      <c r="I190" s="21">
        <v>-1.4468399999999999E-2</v>
      </c>
      <c r="J190" s="21">
        <v>180</v>
      </c>
      <c r="K190" s="21">
        <v>0.91247599999999995</v>
      </c>
      <c r="L190">
        <f t="shared" si="24"/>
        <v>17.862222222222222</v>
      </c>
      <c r="M190">
        <f t="shared" si="25"/>
        <v>16.320640995555554</v>
      </c>
      <c r="N190" s="9"/>
      <c r="O190" s="21">
        <v>0.806427</v>
      </c>
      <c r="P190" s="21">
        <v>11.410600000000001</v>
      </c>
      <c r="Q190" s="21">
        <v>-1.4648400000000001E-2</v>
      </c>
      <c r="R190" s="21">
        <v>180</v>
      </c>
      <c r="S190" s="21">
        <v>0.80535900000000005</v>
      </c>
      <c r="T190">
        <f t="shared" si="26"/>
        <v>18.084444444444443</v>
      </c>
      <c r="U190">
        <f t="shared" si="27"/>
        <v>14.58378428</v>
      </c>
      <c r="X190" s="9"/>
      <c r="Y190" s="21">
        <v>0.91369599999999995</v>
      </c>
      <c r="Z190" s="21">
        <v>16.9893</v>
      </c>
      <c r="AA190" s="21">
        <v>-1.4578199999999999E-2</v>
      </c>
      <c r="AB190" s="21">
        <v>180</v>
      </c>
      <c r="AC190" s="21">
        <v>0.91278099999999995</v>
      </c>
      <c r="AD190">
        <f t="shared" si="28"/>
        <v>17.997777777777777</v>
      </c>
      <c r="AE190">
        <f t="shared" si="29"/>
        <v>16.444497564444443</v>
      </c>
      <c r="AF190" s="9"/>
      <c r="AG190" s="21">
        <v>0.806427</v>
      </c>
      <c r="AH190" s="21">
        <v>20.848800000000001</v>
      </c>
      <c r="AI190" s="21">
        <v>-1.4621E-2</v>
      </c>
      <c r="AJ190" s="21">
        <v>180</v>
      </c>
      <c r="AK190" s="21">
        <v>0.80566400000000005</v>
      </c>
      <c r="AL190">
        <f t="shared" si="30"/>
        <v>18.050617283950618</v>
      </c>
      <c r="AM190">
        <f t="shared" si="31"/>
        <v>14.556505144444445</v>
      </c>
      <c r="AP190" s="9"/>
      <c r="AQ190" s="21">
        <v>0.91369599999999995</v>
      </c>
      <c r="AR190" s="21">
        <v>26.397600000000001</v>
      </c>
      <c r="AS190" s="21">
        <v>-1.46027E-2</v>
      </c>
      <c r="AT190" s="21">
        <v>180</v>
      </c>
      <c r="AU190" s="21">
        <v>0.91278099999999995</v>
      </c>
      <c r="AV190">
        <f t="shared" si="32"/>
        <v>18.028024691358024</v>
      </c>
      <c r="AW190">
        <f t="shared" si="33"/>
        <v>16.472134048395059</v>
      </c>
      <c r="AX190" s="9"/>
      <c r="AY190" s="21">
        <v>0.806427</v>
      </c>
      <c r="AZ190" s="21">
        <v>30.257000000000001</v>
      </c>
      <c r="BA190" s="21">
        <v>-1.46759E-2</v>
      </c>
      <c r="BB190" s="21">
        <v>180</v>
      </c>
      <c r="BC190" s="21">
        <v>0.80535900000000005</v>
      </c>
      <c r="BD190">
        <f t="shared" si="34"/>
        <v>18.118395061728396</v>
      </c>
      <c r="BE190">
        <f t="shared" si="35"/>
        <v>14.611162974444445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0.90866100000000005</v>
      </c>
      <c r="H191" s="21">
        <v>7.5611899999999999</v>
      </c>
      <c r="I191" s="21">
        <v>-1.4468399999999999E-2</v>
      </c>
      <c r="J191" s="21">
        <v>181</v>
      </c>
      <c r="K191" s="21">
        <v>0.90789799999999998</v>
      </c>
      <c r="L191">
        <f t="shared" si="24"/>
        <v>17.862222222222222</v>
      </c>
      <c r="M191">
        <f t="shared" si="25"/>
        <v>16.230704706666668</v>
      </c>
      <c r="N191" s="9"/>
      <c r="O191" s="21">
        <v>0.81146200000000002</v>
      </c>
      <c r="P191" s="21">
        <v>11.4207</v>
      </c>
      <c r="Q191" s="21">
        <v>-1.4645399999999999E-2</v>
      </c>
      <c r="R191" s="21">
        <v>181</v>
      </c>
      <c r="S191" s="21">
        <v>0.80993700000000002</v>
      </c>
      <c r="T191">
        <f t="shared" si="26"/>
        <v>18.080740740740737</v>
      </c>
      <c r="U191">
        <f t="shared" si="27"/>
        <v>14.67183404296296</v>
      </c>
      <c r="X191" s="9"/>
      <c r="Y191" s="21">
        <v>0.90866100000000005</v>
      </c>
      <c r="Z191" s="21">
        <v>16.999400000000001</v>
      </c>
      <c r="AA191" s="21">
        <v>-1.45813E-2</v>
      </c>
      <c r="AB191" s="21">
        <v>181</v>
      </c>
      <c r="AC191" s="21">
        <v>0.90759299999999998</v>
      </c>
      <c r="AD191">
        <f t="shared" si="28"/>
        <v>18.001604938271605</v>
      </c>
      <c r="AE191">
        <f t="shared" si="29"/>
        <v>16.357356344814814</v>
      </c>
      <c r="AF191" s="9"/>
      <c r="AG191" s="21">
        <v>0.81146200000000002</v>
      </c>
      <c r="AH191" s="21">
        <v>20.858899999999998</v>
      </c>
      <c r="AI191" s="21">
        <v>-1.4621E-2</v>
      </c>
      <c r="AJ191" s="21">
        <v>181</v>
      </c>
      <c r="AK191" s="21">
        <v>0.81024200000000002</v>
      </c>
      <c r="AL191">
        <f t="shared" si="30"/>
        <v>18.050617283950618</v>
      </c>
      <c r="AM191">
        <f t="shared" si="31"/>
        <v>14.647390002469137</v>
      </c>
      <c r="AP191" s="9"/>
      <c r="AQ191" s="21">
        <v>0.90866100000000005</v>
      </c>
      <c r="AR191" s="21">
        <v>26.407599999999999</v>
      </c>
      <c r="AS191" s="21">
        <v>-1.4605699999999999E-2</v>
      </c>
      <c r="AT191" s="21">
        <v>181</v>
      </c>
      <c r="AU191" s="21">
        <v>0.90820299999999998</v>
      </c>
      <c r="AV191">
        <f t="shared" si="32"/>
        <v>18.031728395061727</v>
      </c>
      <c r="AW191">
        <f t="shared" si="33"/>
        <v>16.384728355185185</v>
      </c>
      <c r="AX191" s="9"/>
      <c r="AY191" s="21">
        <v>0.81146200000000002</v>
      </c>
      <c r="AZ191" s="21">
        <v>30.267099999999999</v>
      </c>
      <c r="BA191" s="21">
        <v>-1.4678999999999999E-2</v>
      </c>
      <c r="BB191" s="21">
        <v>181</v>
      </c>
      <c r="BC191" s="21">
        <v>0.81054700000000002</v>
      </c>
      <c r="BD191">
        <f t="shared" si="34"/>
        <v>18.12222222222222</v>
      </c>
      <c r="BE191">
        <f t="shared" si="35"/>
        <v>14.705494688888887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0.90362500000000001</v>
      </c>
      <c r="H192" s="21">
        <v>7.5712599999999997</v>
      </c>
      <c r="I192" s="21">
        <v>-1.4477500000000001E-2</v>
      </c>
      <c r="J192" s="21">
        <v>182</v>
      </c>
      <c r="K192" s="21">
        <v>0.90210000000000001</v>
      </c>
      <c r="L192">
        <f t="shared" si="24"/>
        <v>17.873456790123456</v>
      </c>
      <c r="M192">
        <f t="shared" si="25"/>
        <v>16.150902391975308</v>
      </c>
      <c r="N192" s="9"/>
      <c r="O192" s="21">
        <v>0.81649799999999995</v>
      </c>
      <c r="P192" s="21">
        <v>11.4307</v>
      </c>
      <c r="Q192" s="21">
        <v>-1.46362E-2</v>
      </c>
      <c r="R192" s="21">
        <v>182</v>
      </c>
      <c r="S192" s="21">
        <v>0.81542999999999999</v>
      </c>
      <c r="T192">
        <f t="shared" si="26"/>
        <v>18.069382716049383</v>
      </c>
      <c r="U192">
        <f t="shared" si="27"/>
        <v>14.753614848888887</v>
      </c>
      <c r="X192" s="9"/>
      <c r="Y192" s="21">
        <v>0.90362500000000001</v>
      </c>
      <c r="Z192" s="21">
        <v>17.009499999999999</v>
      </c>
      <c r="AA192" s="21">
        <v>-1.45874E-2</v>
      </c>
      <c r="AB192" s="21">
        <v>182</v>
      </c>
      <c r="AC192" s="21">
        <v>0.90301500000000001</v>
      </c>
      <c r="AD192">
        <f t="shared" si="28"/>
        <v>18.009135802469135</v>
      </c>
      <c r="AE192">
        <f t="shared" si="29"/>
        <v>16.273505339506173</v>
      </c>
      <c r="AF192" s="9"/>
      <c r="AG192" s="21">
        <v>0.81649799999999995</v>
      </c>
      <c r="AH192" s="21">
        <v>20.8689</v>
      </c>
      <c r="AI192" s="21">
        <v>-1.4621E-2</v>
      </c>
      <c r="AJ192" s="21">
        <v>182</v>
      </c>
      <c r="AK192" s="21">
        <v>0.81573499999999999</v>
      </c>
      <c r="AL192">
        <f t="shared" si="30"/>
        <v>18.050617283950618</v>
      </c>
      <c r="AM192">
        <f t="shared" si="31"/>
        <v>14.738292911111111</v>
      </c>
      <c r="AP192" s="9"/>
      <c r="AQ192" s="21">
        <v>0.90362500000000001</v>
      </c>
      <c r="AR192" s="21">
        <v>26.4177</v>
      </c>
      <c r="AS192" s="21">
        <v>-1.4605699999999999E-2</v>
      </c>
      <c r="AT192" s="21">
        <v>182</v>
      </c>
      <c r="AU192" s="21">
        <v>0.90332000000000001</v>
      </c>
      <c r="AV192">
        <f t="shared" si="32"/>
        <v>18.031728395061727</v>
      </c>
      <c r="AW192">
        <f t="shared" si="33"/>
        <v>16.293920570987652</v>
      </c>
      <c r="AX192" s="9"/>
      <c r="AY192" s="21">
        <v>0.81649799999999995</v>
      </c>
      <c r="AZ192" s="21">
        <v>30.277200000000001</v>
      </c>
      <c r="BA192" s="21">
        <v>-1.46759E-2</v>
      </c>
      <c r="BB192" s="21">
        <v>182</v>
      </c>
      <c r="BC192" s="21">
        <v>0.81481899999999996</v>
      </c>
      <c r="BD192">
        <f t="shared" si="34"/>
        <v>18.118395061728396</v>
      </c>
      <c r="BE192">
        <f t="shared" si="35"/>
        <v>14.793633331111112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0.89859</v>
      </c>
      <c r="H193" s="21">
        <v>7.5813300000000003</v>
      </c>
      <c r="I193" s="21">
        <v>-1.44806E-2</v>
      </c>
      <c r="J193" s="21">
        <v>183</v>
      </c>
      <c r="K193" s="21">
        <v>0.89813200000000004</v>
      </c>
      <c r="L193">
        <f t="shared" si="24"/>
        <v>17.877283950617283</v>
      </c>
      <c r="M193">
        <f t="shared" si="25"/>
        <v>16.064348585185183</v>
      </c>
      <c r="N193" s="9"/>
      <c r="O193" s="21">
        <v>0.82153299999999996</v>
      </c>
      <c r="P193" s="21">
        <v>11.440799999999999</v>
      </c>
      <c r="Q193" s="21">
        <v>-1.4639299999999999E-2</v>
      </c>
      <c r="R193" s="21">
        <v>183</v>
      </c>
      <c r="S193" s="21">
        <v>0.82092299999999996</v>
      </c>
      <c r="T193">
        <f t="shared" si="26"/>
        <v>18.07320987654321</v>
      </c>
      <c r="U193">
        <f t="shared" si="27"/>
        <v>14.847738329506171</v>
      </c>
      <c r="X193" s="9"/>
      <c r="Y193" s="21">
        <v>0.89859</v>
      </c>
      <c r="Z193" s="21">
        <v>17.019500000000001</v>
      </c>
      <c r="AA193" s="21">
        <v>-1.45966E-2</v>
      </c>
      <c r="AB193" s="21">
        <v>183</v>
      </c>
      <c r="AC193" s="21">
        <v>0.89782700000000004</v>
      </c>
      <c r="AD193">
        <f t="shared" si="28"/>
        <v>18.020493827160493</v>
      </c>
      <c r="AE193">
        <f t="shared" si="29"/>
        <v>16.193035548148149</v>
      </c>
      <c r="AF193" s="9"/>
      <c r="AG193" s="21">
        <v>0.82153299999999996</v>
      </c>
      <c r="AH193" s="21">
        <v>20.879000000000001</v>
      </c>
      <c r="AI193" s="21">
        <v>-1.46149E-2</v>
      </c>
      <c r="AJ193" s="21">
        <v>183</v>
      </c>
      <c r="AK193" s="21">
        <v>0.82061799999999996</v>
      </c>
      <c r="AL193">
        <f t="shared" si="30"/>
        <v>18.043086419753088</v>
      </c>
      <c r="AM193">
        <f t="shared" si="31"/>
        <v>14.822990915679013</v>
      </c>
      <c r="AP193" s="9"/>
      <c r="AQ193" s="21">
        <v>0.89859</v>
      </c>
      <c r="AR193" s="21">
        <v>26.427800000000001</v>
      </c>
      <c r="AS193" s="21">
        <v>-1.4605699999999999E-2</v>
      </c>
      <c r="AT193" s="21">
        <v>183</v>
      </c>
      <c r="AU193" s="21">
        <v>0.89752200000000004</v>
      </c>
      <c r="AV193">
        <f t="shared" si="32"/>
        <v>18.031728395061727</v>
      </c>
      <c r="AW193">
        <f t="shared" si="33"/>
        <v>16.203130818518517</v>
      </c>
      <c r="AX193" s="9"/>
      <c r="AY193" s="21">
        <v>0.82153299999999996</v>
      </c>
      <c r="AZ193" s="21">
        <v>30.287199999999999</v>
      </c>
      <c r="BA193" s="21">
        <v>-1.4672899999999999E-2</v>
      </c>
      <c r="BB193" s="21">
        <v>183</v>
      </c>
      <c r="BC193" s="21">
        <v>0.82031299999999996</v>
      </c>
      <c r="BD193">
        <f t="shared" si="34"/>
        <v>18.11469135802469</v>
      </c>
      <c r="BE193">
        <f t="shared" si="35"/>
        <v>14.881816735432096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0.89355499999999999</v>
      </c>
      <c r="H194" s="21">
        <v>7.5914000000000001</v>
      </c>
      <c r="I194" s="21">
        <v>-1.44806E-2</v>
      </c>
      <c r="J194" s="21">
        <v>184</v>
      </c>
      <c r="K194" s="21">
        <v>0.89233399999999996</v>
      </c>
      <c r="L194">
        <f t="shared" si="24"/>
        <v>17.877283950617283</v>
      </c>
      <c r="M194">
        <f t="shared" si="25"/>
        <v>15.974336460493825</v>
      </c>
      <c r="N194" s="9"/>
      <c r="O194" s="21">
        <v>0.826569</v>
      </c>
      <c r="P194" s="21">
        <v>11.450900000000001</v>
      </c>
      <c r="Q194" s="21">
        <v>-1.46301E-2</v>
      </c>
      <c r="R194" s="21">
        <v>184</v>
      </c>
      <c r="S194" s="21">
        <v>0.82611100000000004</v>
      </c>
      <c r="T194">
        <f t="shared" si="26"/>
        <v>18.061851851851848</v>
      </c>
      <c r="U194">
        <f t="shared" si="27"/>
        <v>14.92936682333333</v>
      </c>
      <c r="X194" s="9"/>
      <c r="Y194" s="21">
        <v>0.89355499999999999</v>
      </c>
      <c r="Z194" s="21">
        <v>17.029599999999999</v>
      </c>
      <c r="AA194" s="21">
        <v>-1.46179E-2</v>
      </c>
      <c r="AB194" s="21">
        <v>184</v>
      </c>
      <c r="AC194" s="21">
        <v>0.89233399999999996</v>
      </c>
      <c r="AD194">
        <f t="shared" si="28"/>
        <v>18.046790123456791</v>
      </c>
      <c r="AE194">
        <f t="shared" si="29"/>
        <v>16.125799548765432</v>
      </c>
      <c r="AF194" s="9"/>
      <c r="AG194" s="21">
        <v>0.826569</v>
      </c>
      <c r="AH194" s="21">
        <v>20.889099999999999</v>
      </c>
      <c r="AI194" s="21">
        <v>-1.4627100000000001E-2</v>
      </c>
      <c r="AJ194" s="21">
        <v>184</v>
      </c>
      <c r="AK194" s="21">
        <v>0.82611100000000004</v>
      </c>
      <c r="AL194">
        <f t="shared" si="30"/>
        <v>18.058148148148145</v>
      </c>
      <c r="AM194">
        <f t="shared" si="31"/>
        <v>14.926305456666665</v>
      </c>
      <c r="AP194" s="9"/>
      <c r="AQ194" s="21">
        <v>0.89355499999999999</v>
      </c>
      <c r="AR194" s="21">
        <v>26.437799999999999</v>
      </c>
      <c r="AS194" s="21">
        <v>-1.4605699999999999E-2</v>
      </c>
      <c r="AT194" s="21">
        <v>184</v>
      </c>
      <c r="AU194" s="21">
        <v>0.89294399999999996</v>
      </c>
      <c r="AV194">
        <f t="shared" si="32"/>
        <v>18.031728395061727</v>
      </c>
      <c r="AW194">
        <f t="shared" si="33"/>
        <v>16.112341066049382</v>
      </c>
      <c r="AX194" s="9"/>
      <c r="AY194" s="21">
        <v>0.826569</v>
      </c>
      <c r="AZ194" s="21">
        <v>30.2973</v>
      </c>
      <c r="BA194" s="21">
        <v>-1.46698E-2</v>
      </c>
      <c r="BB194" s="21">
        <v>184</v>
      </c>
      <c r="BC194" s="21">
        <v>0.82611100000000004</v>
      </c>
      <c r="BD194">
        <f t="shared" si="34"/>
        <v>18.110864197530866</v>
      </c>
      <c r="BE194">
        <f t="shared" si="35"/>
        <v>14.969878908888891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0.88851899999999995</v>
      </c>
      <c r="H195" s="21">
        <v>7.6014699999999999</v>
      </c>
      <c r="I195" s="21">
        <v>-1.44928E-2</v>
      </c>
      <c r="J195" s="21">
        <v>185</v>
      </c>
      <c r="K195" s="21">
        <v>0.88745099999999999</v>
      </c>
      <c r="L195">
        <f t="shared" si="24"/>
        <v>17.892345679012344</v>
      </c>
      <c r="M195">
        <f t="shared" si="25"/>
        <v>15.897689090370367</v>
      </c>
      <c r="N195" s="9"/>
      <c r="O195" s="21">
        <v>0.83160400000000001</v>
      </c>
      <c r="P195" s="21">
        <v>11.460900000000001</v>
      </c>
      <c r="Q195" s="21">
        <v>-1.46301E-2</v>
      </c>
      <c r="R195" s="21">
        <v>185</v>
      </c>
      <c r="S195" s="21">
        <v>0.83129900000000001</v>
      </c>
      <c r="T195">
        <f t="shared" si="26"/>
        <v>18.061851851851848</v>
      </c>
      <c r="U195">
        <f t="shared" si="27"/>
        <v>15.020308247407405</v>
      </c>
      <c r="X195" s="9"/>
      <c r="Y195" s="21">
        <v>0.88851899999999995</v>
      </c>
      <c r="Z195" s="21">
        <v>17.0397</v>
      </c>
      <c r="AA195" s="21">
        <v>-1.46301E-2</v>
      </c>
      <c r="AB195" s="21">
        <v>185</v>
      </c>
      <c r="AC195" s="21">
        <v>0.88775599999999999</v>
      </c>
      <c r="AD195">
        <f t="shared" si="28"/>
        <v>18.061851851851848</v>
      </c>
      <c r="AE195">
        <f t="shared" si="29"/>
        <v>16.04829854555555</v>
      </c>
      <c r="AF195" s="9"/>
      <c r="AG195" s="21">
        <v>0.83160400000000001</v>
      </c>
      <c r="AH195" s="21">
        <v>20.8992</v>
      </c>
      <c r="AI195" s="21">
        <v>-1.4627100000000001E-2</v>
      </c>
      <c r="AJ195" s="21">
        <v>185</v>
      </c>
      <c r="AK195" s="21">
        <v>0.83099400000000001</v>
      </c>
      <c r="AL195">
        <f t="shared" si="30"/>
        <v>18.058148148148145</v>
      </c>
      <c r="AM195">
        <f t="shared" si="31"/>
        <v>15.01722823259259</v>
      </c>
      <c r="AP195" s="9"/>
      <c r="AQ195" s="21">
        <v>0.88851899999999995</v>
      </c>
      <c r="AR195" s="21">
        <v>26.447900000000001</v>
      </c>
      <c r="AS195" s="21">
        <v>-1.4605699999999999E-2</v>
      </c>
      <c r="AT195" s="21">
        <v>185</v>
      </c>
      <c r="AU195" s="21">
        <v>0.88745099999999999</v>
      </c>
      <c r="AV195">
        <f t="shared" si="32"/>
        <v>18.031728395061727</v>
      </c>
      <c r="AW195">
        <f t="shared" si="33"/>
        <v>16.021533281851848</v>
      </c>
      <c r="AX195" s="9"/>
      <c r="AY195" s="21">
        <v>0.83160400000000001</v>
      </c>
      <c r="AZ195" s="21">
        <v>30.307400000000001</v>
      </c>
      <c r="BA195" s="21">
        <v>-1.46667E-2</v>
      </c>
      <c r="BB195" s="21">
        <v>185</v>
      </c>
      <c r="BC195" s="21">
        <v>0.83068799999999998</v>
      </c>
      <c r="BD195">
        <f t="shared" si="34"/>
        <v>18.107037037037035</v>
      </c>
      <c r="BE195">
        <f t="shared" si="35"/>
        <v>15.057884428148146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0.88348400000000005</v>
      </c>
      <c r="H196" s="21">
        <v>7.6115399999999998</v>
      </c>
      <c r="I196" s="21">
        <v>-1.44928E-2</v>
      </c>
      <c r="J196" s="21">
        <v>186</v>
      </c>
      <c r="K196" s="21">
        <v>0.88226300000000002</v>
      </c>
      <c r="L196">
        <f t="shared" si="24"/>
        <v>17.892345679012344</v>
      </c>
      <c r="M196">
        <f t="shared" si="25"/>
        <v>15.807601129876543</v>
      </c>
      <c r="N196" s="9"/>
      <c r="O196" s="21">
        <v>0.83663900000000002</v>
      </c>
      <c r="P196" s="21">
        <v>11.471</v>
      </c>
      <c r="Q196" s="21">
        <v>-1.46362E-2</v>
      </c>
      <c r="R196" s="21">
        <v>186</v>
      </c>
      <c r="S196" s="21">
        <v>0.83587599999999995</v>
      </c>
      <c r="T196">
        <f t="shared" si="26"/>
        <v>18.069382716049383</v>
      </c>
      <c r="U196">
        <f t="shared" si="27"/>
        <v>15.11755028617284</v>
      </c>
      <c r="X196" s="9"/>
      <c r="Y196" s="21">
        <v>0.88348400000000005</v>
      </c>
      <c r="Z196" s="21">
        <v>17.049800000000001</v>
      </c>
      <c r="AA196" s="21">
        <v>-1.46423E-2</v>
      </c>
      <c r="AB196" s="21">
        <v>186</v>
      </c>
      <c r="AC196" s="21">
        <v>0.88256800000000002</v>
      </c>
      <c r="AD196">
        <f t="shared" si="28"/>
        <v>18.076913580246913</v>
      </c>
      <c r="AE196">
        <f t="shared" si="29"/>
        <v>15.970663917530864</v>
      </c>
      <c r="AF196" s="9"/>
      <c r="AG196" s="21">
        <v>0.83663900000000002</v>
      </c>
      <c r="AH196" s="21">
        <v>20.909199999999998</v>
      </c>
      <c r="AI196" s="21">
        <v>-1.4624E-2</v>
      </c>
      <c r="AJ196" s="21">
        <v>186</v>
      </c>
      <c r="AK196" s="21">
        <v>0.83557099999999995</v>
      </c>
      <c r="AL196">
        <f t="shared" si="30"/>
        <v>18.054320987654318</v>
      </c>
      <c r="AM196">
        <f t="shared" si="31"/>
        <v>15.104949056790121</v>
      </c>
      <c r="AP196" s="9"/>
      <c r="AQ196" s="21">
        <v>0.88348400000000005</v>
      </c>
      <c r="AR196" s="21">
        <v>26.457999999999998</v>
      </c>
      <c r="AS196" s="21">
        <v>-1.46088E-2</v>
      </c>
      <c r="AT196" s="21">
        <v>186</v>
      </c>
      <c r="AU196" s="21">
        <v>0.88348400000000005</v>
      </c>
      <c r="AV196">
        <f t="shared" si="32"/>
        <v>18.035555555555554</v>
      </c>
      <c r="AW196">
        <f t="shared" si="33"/>
        <v>15.934124764444444</v>
      </c>
      <c r="AX196" s="9"/>
      <c r="AY196" s="21">
        <v>0.83663900000000002</v>
      </c>
      <c r="AZ196" s="21">
        <v>30.317499999999999</v>
      </c>
      <c r="BA196" s="21">
        <v>-1.46637E-2</v>
      </c>
      <c r="BB196" s="21">
        <v>186</v>
      </c>
      <c r="BC196" s="21">
        <v>0.83587599999999995</v>
      </c>
      <c r="BD196">
        <f t="shared" si="34"/>
        <v>18.103333333333332</v>
      </c>
      <c r="BE196">
        <f t="shared" si="35"/>
        <v>15.145954696666665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0.87844800000000001</v>
      </c>
      <c r="H197" s="21">
        <v>7.6216100000000004</v>
      </c>
      <c r="I197" s="21">
        <v>-1.4505000000000001E-2</v>
      </c>
      <c r="J197" s="21">
        <v>187</v>
      </c>
      <c r="K197" s="21">
        <v>0.87738000000000005</v>
      </c>
      <c r="L197">
        <f t="shared" si="24"/>
        <v>17.907407407407408</v>
      </c>
      <c r="M197">
        <f t="shared" si="25"/>
        <v>15.730726222222223</v>
      </c>
      <c r="N197" s="9"/>
      <c r="O197" s="21">
        <v>0.84167499999999995</v>
      </c>
      <c r="P197" s="21">
        <v>11.4811</v>
      </c>
      <c r="Q197" s="21">
        <v>-1.4633200000000001E-2</v>
      </c>
      <c r="R197" s="21">
        <v>187</v>
      </c>
      <c r="S197" s="21">
        <v>0.84075900000000003</v>
      </c>
      <c r="T197">
        <f t="shared" si="26"/>
        <v>18.065679012345679</v>
      </c>
      <c r="U197">
        <f t="shared" si="27"/>
        <v>15.205430382716049</v>
      </c>
      <c r="X197" s="9"/>
      <c r="Y197" s="21">
        <v>0.87844800000000001</v>
      </c>
      <c r="Z197" s="21">
        <v>17.059799999999999</v>
      </c>
      <c r="AA197" s="21">
        <v>-1.4645399999999999E-2</v>
      </c>
      <c r="AB197" s="21">
        <v>187</v>
      </c>
      <c r="AC197" s="21">
        <v>0.87738000000000005</v>
      </c>
      <c r="AD197">
        <f t="shared" si="28"/>
        <v>18.080740740740737</v>
      </c>
      <c r="AE197">
        <f t="shared" si="29"/>
        <v>15.882990542222219</v>
      </c>
      <c r="AF197" s="9"/>
      <c r="AG197" s="21">
        <v>0.84167499999999995</v>
      </c>
      <c r="AH197" s="21">
        <v>20.9193</v>
      </c>
      <c r="AI197" s="21">
        <v>-1.46179E-2</v>
      </c>
      <c r="AJ197" s="21">
        <v>187</v>
      </c>
      <c r="AK197" s="21">
        <v>0.84075900000000003</v>
      </c>
      <c r="AL197">
        <f t="shared" si="30"/>
        <v>18.046790123456791</v>
      </c>
      <c r="AM197">
        <f t="shared" si="31"/>
        <v>15.189532077160493</v>
      </c>
      <c r="AP197" s="9"/>
      <c r="AQ197" s="21">
        <v>0.87844800000000001</v>
      </c>
      <c r="AR197" s="21">
        <v>26.4681</v>
      </c>
      <c r="AS197" s="21">
        <v>-1.4605699999999999E-2</v>
      </c>
      <c r="AT197" s="21">
        <v>187</v>
      </c>
      <c r="AU197" s="21">
        <v>0.87677000000000005</v>
      </c>
      <c r="AV197">
        <f t="shared" si="32"/>
        <v>18.031728395061727</v>
      </c>
      <c r="AW197">
        <f t="shared" si="33"/>
        <v>15.839935745185183</v>
      </c>
      <c r="AX197" s="9"/>
      <c r="AY197" s="21">
        <v>0.84167499999999995</v>
      </c>
      <c r="AZ197" s="21">
        <v>30.327500000000001</v>
      </c>
      <c r="BA197" s="21">
        <v>-1.46637E-2</v>
      </c>
      <c r="BB197" s="21">
        <v>187</v>
      </c>
      <c r="BC197" s="21">
        <v>0.84106400000000003</v>
      </c>
      <c r="BD197">
        <f t="shared" si="34"/>
        <v>18.103333333333332</v>
      </c>
      <c r="BE197">
        <f t="shared" si="35"/>
        <v>15.237123083333332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0.87341299999999999</v>
      </c>
      <c r="H198" s="21">
        <v>7.6316800000000002</v>
      </c>
      <c r="I198" s="21">
        <v>-1.44928E-2</v>
      </c>
      <c r="J198" s="21">
        <v>188</v>
      </c>
      <c r="K198" s="21">
        <v>0.872498</v>
      </c>
      <c r="L198">
        <f t="shared" si="24"/>
        <v>17.892345679012344</v>
      </c>
      <c r="M198">
        <f t="shared" si="25"/>
        <v>15.627407316543207</v>
      </c>
      <c r="N198" s="9"/>
      <c r="O198" s="21">
        <v>0.84670999999999996</v>
      </c>
      <c r="P198" s="21">
        <v>11.491199999999999</v>
      </c>
      <c r="Q198" s="21">
        <v>-1.4633200000000001E-2</v>
      </c>
      <c r="R198" s="21">
        <v>188</v>
      </c>
      <c r="S198" s="21">
        <v>0.845642</v>
      </c>
      <c r="T198">
        <f t="shared" si="26"/>
        <v>18.065679012345679</v>
      </c>
      <c r="U198">
        <f t="shared" si="27"/>
        <v>15.296391076543209</v>
      </c>
      <c r="X198" s="9"/>
      <c r="Y198" s="21">
        <v>0.87341299999999999</v>
      </c>
      <c r="Z198" s="21">
        <v>17.069900000000001</v>
      </c>
      <c r="AA198" s="21">
        <v>-1.4654500000000001E-2</v>
      </c>
      <c r="AB198" s="21">
        <v>188</v>
      </c>
      <c r="AC198" s="21">
        <v>0.87219199999999997</v>
      </c>
      <c r="AD198">
        <f t="shared" si="28"/>
        <v>18.091975308641977</v>
      </c>
      <c r="AE198">
        <f t="shared" si="29"/>
        <v>15.801766430246916</v>
      </c>
      <c r="AF198" s="9"/>
      <c r="AG198" s="21">
        <v>0.84670999999999996</v>
      </c>
      <c r="AH198" s="21">
        <v>20.929400000000001</v>
      </c>
      <c r="AI198" s="21">
        <v>-1.46088E-2</v>
      </c>
      <c r="AJ198" s="21">
        <v>188</v>
      </c>
      <c r="AK198" s="21">
        <v>0.84533700000000001</v>
      </c>
      <c r="AL198">
        <f t="shared" si="30"/>
        <v>18.035555555555554</v>
      </c>
      <c r="AM198">
        <f t="shared" si="31"/>
        <v>15.270885244444443</v>
      </c>
      <c r="AP198" s="9"/>
      <c r="AQ198" s="21">
        <v>0.87341299999999999</v>
      </c>
      <c r="AR198" s="21">
        <v>26.478100000000001</v>
      </c>
      <c r="AS198" s="21">
        <v>-1.4605699999999999E-2</v>
      </c>
      <c r="AT198" s="21">
        <v>188</v>
      </c>
      <c r="AU198" s="21">
        <v>0.872498</v>
      </c>
      <c r="AV198">
        <f t="shared" si="32"/>
        <v>18.031728395061727</v>
      </c>
      <c r="AW198">
        <f t="shared" si="33"/>
        <v>15.749145992716048</v>
      </c>
      <c r="AX198" s="9"/>
      <c r="AY198" s="21">
        <v>0.84670999999999996</v>
      </c>
      <c r="AZ198" s="21">
        <v>30.337599999999998</v>
      </c>
      <c r="BA198" s="21">
        <v>-1.46637E-2</v>
      </c>
      <c r="BB198" s="21">
        <v>188</v>
      </c>
      <c r="BC198" s="21">
        <v>0.845947</v>
      </c>
      <c r="BD198">
        <f t="shared" si="34"/>
        <v>18.103333333333332</v>
      </c>
      <c r="BE198">
        <f t="shared" si="35"/>
        <v>15.328273366666664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0.86837799999999998</v>
      </c>
      <c r="H199" s="21">
        <v>7.64175</v>
      </c>
      <c r="I199" s="21">
        <v>-1.4489699999999999E-2</v>
      </c>
      <c r="J199" s="21">
        <v>189</v>
      </c>
      <c r="K199" s="21">
        <v>0.86761500000000003</v>
      </c>
      <c r="L199">
        <f t="shared" si="24"/>
        <v>17.888518518518516</v>
      </c>
      <c r="M199">
        <f t="shared" si="25"/>
        <v>15.533995934074072</v>
      </c>
      <c r="N199" s="9"/>
      <c r="O199" s="21">
        <v>0.851746</v>
      </c>
      <c r="P199" s="21">
        <v>11.501200000000001</v>
      </c>
      <c r="Q199" s="21">
        <v>-1.46301E-2</v>
      </c>
      <c r="R199" s="21">
        <v>189</v>
      </c>
      <c r="S199" s="21">
        <v>0.85113499999999997</v>
      </c>
      <c r="T199">
        <f t="shared" si="26"/>
        <v>18.061851851851848</v>
      </c>
      <c r="U199">
        <f t="shared" si="27"/>
        <v>15.384110067407404</v>
      </c>
      <c r="X199" s="9"/>
      <c r="Y199" s="21">
        <v>0.86837799999999998</v>
      </c>
      <c r="Z199" s="21">
        <v>17.079999999999998</v>
      </c>
      <c r="AA199" s="21">
        <v>-1.46576E-2</v>
      </c>
      <c r="AB199" s="21">
        <v>189</v>
      </c>
      <c r="AC199" s="21">
        <v>0.86761500000000003</v>
      </c>
      <c r="AD199">
        <f t="shared" si="28"/>
        <v>18.095802469135801</v>
      </c>
      <c r="AE199">
        <f t="shared" si="29"/>
        <v>15.713996756543208</v>
      </c>
      <c r="AF199" s="9"/>
      <c r="AG199" s="21">
        <v>0.851746</v>
      </c>
      <c r="AH199" s="21">
        <v>20.939399999999999</v>
      </c>
      <c r="AI199" s="21">
        <v>-1.46027E-2</v>
      </c>
      <c r="AJ199" s="21">
        <v>189</v>
      </c>
      <c r="AK199" s="21">
        <v>0.85113499999999997</v>
      </c>
      <c r="AL199">
        <f t="shared" si="30"/>
        <v>18.028024691358024</v>
      </c>
      <c r="AM199">
        <f t="shared" si="31"/>
        <v>15.355297918765432</v>
      </c>
      <c r="AP199" s="9"/>
      <c r="AQ199" s="21">
        <v>0.86837799999999998</v>
      </c>
      <c r="AR199" s="21">
        <v>26.488199999999999</v>
      </c>
      <c r="AS199" s="21">
        <v>-1.46027E-2</v>
      </c>
      <c r="AT199" s="21">
        <v>189</v>
      </c>
      <c r="AU199" s="21">
        <v>0.86761500000000003</v>
      </c>
      <c r="AV199">
        <f t="shared" si="32"/>
        <v>18.028024691358024</v>
      </c>
      <c r="AW199">
        <f t="shared" si="33"/>
        <v>15.655140025432097</v>
      </c>
      <c r="AX199" s="9"/>
      <c r="AY199" s="21">
        <v>0.851746</v>
      </c>
      <c r="AZ199" s="21">
        <v>30.3477</v>
      </c>
      <c r="BA199" s="21">
        <v>-1.4660599999999999E-2</v>
      </c>
      <c r="BB199" s="21">
        <v>189</v>
      </c>
      <c r="BC199" s="21">
        <v>0.85113499999999997</v>
      </c>
      <c r="BD199">
        <f t="shared" si="34"/>
        <v>18.099506172839504</v>
      </c>
      <c r="BE199">
        <f t="shared" si="35"/>
        <v>15.416181984691356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0.86334200000000005</v>
      </c>
      <c r="H200" s="21">
        <v>7.6518199999999998</v>
      </c>
      <c r="I200" s="21">
        <v>-1.4501999999999999E-2</v>
      </c>
      <c r="J200" s="21">
        <v>190</v>
      </c>
      <c r="K200" s="21">
        <v>0.86242700000000005</v>
      </c>
      <c r="L200">
        <f t="shared" si="24"/>
        <v>17.903703703703702</v>
      </c>
      <c r="M200">
        <f t="shared" si="25"/>
        <v>15.457019362962962</v>
      </c>
      <c r="N200" s="9"/>
      <c r="O200" s="21">
        <v>0.85678100000000001</v>
      </c>
      <c r="P200" s="21">
        <v>11.5113</v>
      </c>
      <c r="Q200" s="21">
        <v>-1.4624E-2</v>
      </c>
      <c r="R200" s="21">
        <v>190</v>
      </c>
      <c r="S200" s="21">
        <v>0.85540799999999995</v>
      </c>
      <c r="T200">
        <f t="shared" si="26"/>
        <v>18.054320987654318</v>
      </c>
      <c r="U200">
        <f t="shared" si="27"/>
        <v>15.468599190123454</v>
      </c>
      <c r="X200" s="9"/>
      <c r="Y200" s="21">
        <v>0.86334200000000005</v>
      </c>
      <c r="Z200" s="21">
        <v>17.09</v>
      </c>
      <c r="AA200" s="21">
        <v>-1.4648400000000001E-2</v>
      </c>
      <c r="AB200" s="21">
        <v>190</v>
      </c>
      <c r="AC200" s="21">
        <v>0.86273200000000005</v>
      </c>
      <c r="AD200">
        <f t="shared" si="28"/>
        <v>18.084444444444443</v>
      </c>
      <c r="AE200">
        <f t="shared" si="29"/>
        <v>15.613060435555555</v>
      </c>
      <c r="AF200" s="9"/>
      <c r="AG200" s="21">
        <v>0.85678100000000001</v>
      </c>
      <c r="AH200" s="21">
        <v>20.9495</v>
      </c>
      <c r="AI200" s="21">
        <v>-1.4590499999999999E-2</v>
      </c>
      <c r="AJ200" s="21">
        <v>190</v>
      </c>
      <c r="AK200" s="21">
        <v>0.85601799999999995</v>
      </c>
      <c r="AL200">
        <f t="shared" si="30"/>
        <v>18.012962962962959</v>
      </c>
      <c r="AM200">
        <f t="shared" si="31"/>
        <v>15.433164420370368</v>
      </c>
      <c r="AP200" s="9"/>
      <c r="AQ200" s="21">
        <v>0.86334200000000005</v>
      </c>
      <c r="AR200" s="21">
        <v>26.4983</v>
      </c>
      <c r="AS200" s="21">
        <v>-1.4605699999999999E-2</v>
      </c>
      <c r="AT200" s="21">
        <v>190</v>
      </c>
      <c r="AU200" s="21">
        <v>0.86273200000000005</v>
      </c>
      <c r="AV200">
        <f t="shared" si="32"/>
        <v>18.031728395061727</v>
      </c>
      <c r="AW200">
        <f t="shared" si="33"/>
        <v>15.567548456049382</v>
      </c>
      <c r="AX200" s="9"/>
      <c r="AY200" s="21">
        <v>0.85678100000000001</v>
      </c>
      <c r="AZ200" s="21">
        <v>30.357700000000001</v>
      </c>
      <c r="BA200" s="21">
        <v>-1.46576E-2</v>
      </c>
      <c r="BB200" s="21">
        <v>190</v>
      </c>
      <c r="BC200" s="21">
        <v>0.85571299999999995</v>
      </c>
      <c r="BD200">
        <f t="shared" si="34"/>
        <v>18.095802469135801</v>
      </c>
      <c r="BE200">
        <f t="shared" si="35"/>
        <v>15.504139735308641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0.85830700000000004</v>
      </c>
      <c r="H201" s="21">
        <v>7.6619000000000002</v>
      </c>
      <c r="I201" s="21">
        <v>-1.44989E-2</v>
      </c>
      <c r="J201" s="21">
        <v>191</v>
      </c>
      <c r="K201" s="21">
        <v>0.85815399999999997</v>
      </c>
      <c r="L201">
        <f t="shared" si="24"/>
        <v>17.899876543209874</v>
      </c>
      <c r="M201">
        <f t="shared" si="25"/>
        <v>15.363589336172838</v>
      </c>
      <c r="N201" s="9"/>
      <c r="O201" s="21">
        <v>0.86181600000000003</v>
      </c>
      <c r="P201" s="21">
        <v>11.5214</v>
      </c>
      <c r="Q201" s="21">
        <v>-1.46179E-2</v>
      </c>
      <c r="R201" s="21">
        <v>191</v>
      </c>
      <c r="S201" s="21">
        <v>0.86029100000000003</v>
      </c>
      <c r="T201">
        <f t="shared" si="26"/>
        <v>18.046790123456791</v>
      </c>
      <c r="U201">
        <f t="shared" si="27"/>
        <v>15.553012477037038</v>
      </c>
      <c r="X201" s="9"/>
      <c r="Y201" s="21">
        <v>0.85830700000000004</v>
      </c>
      <c r="Z201" s="21">
        <v>17.100100000000001</v>
      </c>
      <c r="AA201" s="21">
        <v>-1.4645399999999999E-2</v>
      </c>
      <c r="AB201" s="21">
        <v>191</v>
      </c>
      <c r="AC201" s="21">
        <v>0.85754399999999997</v>
      </c>
      <c r="AD201">
        <f t="shared" si="28"/>
        <v>18.080740740740737</v>
      </c>
      <c r="AE201">
        <f t="shared" si="29"/>
        <v>15.51882634296296</v>
      </c>
      <c r="AF201" s="9"/>
      <c r="AG201" s="21">
        <v>0.86181600000000003</v>
      </c>
      <c r="AH201" s="21">
        <v>20.959599999999998</v>
      </c>
      <c r="AI201" s="21">
        <v>-1.4584400000000001E-2</v>
      </c>
      <c r="AJ201" s="21">
        <v>191</v>
      </c>
      <c r="AK201" s="21">
        <v>0.86090100000000003</v>
      </c>
      <c r="AL201">
        <f t="shared" si="30"/>
        <v>18.005432098765432</v>
      </c>
      <c r="AM201">
        <f t="shared" si="31"/>
        <v>15.51736946962963</v>
      </c>
      <c r="AP201" s="9"/>
      <c r="AQ201" s="21">
        <v>0.85830700000000004</v>
      </c>
      <c r="AR201" s="21">
        <v>26.508299999999998</v>
      </c>
      <c r="AS201" s="21">
        <v>-1.4611799999999999E-2</v>
      </c>
      <c r="AT201" s="21">
        <v>191</v>
      </c>
      <c r="AU201" s="21">
        <v>0.85784899999999997</v>
      </c>
      <c r="AV201">
        <f t="shared" si="32"/>
        <v>18.039259259259257</v>
      </c>
      <c r="AW201">
        <f t="shared" si="33"/>
        <v>15.483222497037035</v>
      </c>
      <c r="AX201" s="9"/>
      <c r="AY201" s="21">
        <v>0.86181600000000003</v>
      </c>
      <c r="AZ201" s="21">
        <v>30.367799999999999</v>
      </c>
      <c r="BA201" s="21">
        <v>-1.4654500000000001E-2</v>
      </c>
      <c r="BB201" s="21">
        <v>191</v>
      </c>
      <c r="BC201" s="21">
        <v>0.86151100000000003</v>
      </c>
      <c r="BD201">
        <f t="shared" si="34"/>
        <v>18.091975308641977</v>
      </c>
      <c r="BE201">
        <f t="shared" si="35"/>
        <v>15.591953792592594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0.853271</v>
      </c>
      <c r="H202" s="21">
        <v>7.67197</v>
      </c>
      <c r="I202" s="21">
        <v>-1.4501999999999999E-2</v>
      </c>
      <c r="J202" s="21">
        <v>192</v>
      </c>
      <c r="K202" s="21">
        <v>0.852356</v>
      </c>
      <c r="L202">
        <f t="shared" si="24"/>
        <v>17.903703703703702</v>
      </c>
      <c r="M202">
        <f t="shared" si="25"/>
        <v>15.276711162962961</v>
      </c>
      <c r="N202" s="9"/>
      <c r="O202" s="21">
        <v>0.86685199999999996</v>
      </c>
      <c r="P202" s="21">
        <v>11.5314</v>
      </c>
      <c r="Q202" s="21">
        <v>-1.46179E-2</v>
      </c>
      <c r="R202" s="21">
        <v>192</v>
      </c>
      <c r="S202" s="21">
        <v>0.865784</v>
      </c>
      <c r="T202">
        <f t="shared" si="26"/>
        <v>18.046790123456791</v>
      </c>
      <c r="U202">
        <f t="shared" si="27"/>
        <v>15.643896112098766</v>
      </c>
      <c r="X202" s="9"/>
      <c r="Y202" s="21">
        <v>0.853271</v>
      </c>
      <c r="Z202" s="21">
        <v>17.110199999999999</v>
      </c>
      <c r="AA202" s="21">
        <v>-1.46423E-2</v>
      </c>
      <c r="AB202" s="21">
        <v>192</v>
      </c>
      <c r="AC202" s="21">
        <v>0.852661</v>
      </c>
      <c r="AD202">
        <f t="shared" si="28"/>
        <v>18.076913580246913</v>
      </c>
      <c r="AE202">
        <f t="shared" si="29"/>
        <v>15.424506127530863</v>
      </c>
      <c r="AF202" s="9"/>
      <c r="AG202" s="21">
        <v>0.86685199999999996</v>
      </c>
      <c r="AH202" s="21">
        <v>20.9697</v>
      </c>
      <c r="AI202" s="21">
        <v>-1.45752E-2</v>
      </c>
      <c r="AJ202" s="21">
        <v>192</v>
      </c>
      <c r="AK202" s="21">
        <v>0.866394</v>
      </c>
      <c r="AL202">
        <f t="shared" si="30"/>
        <v>17.994074074074071</v>
      </c>
      <c r="AM202">
        <f t="shared" si="31"/>
        <v>15.598199099259256</v>
      </c>
      <c r="AP202" s="9"/>
      <c r="AQ202" s="21">
        <v>0.853271</v>
      </c>
      <c r="AR202" s="21">
        <v>26.5184</v>
      </c>
      <c r="AS202" s="21">
        <v>-1.46179E-2</v>
      </c>
      <c r="AT202" s="21">
        <v>192</v>
      </c>
      <c r="AU202" s="21">
        <v>0.852661</v>
      </c>
      <c r="AV202">
        <f t="shared" si="32"/>
        <v>18.046790123456791</v>
      </c>
      <c r="AW202">
        <f t="shared" si="33"/>
        <v>15.3988026554321</v>
      </c>
      <c r="AX202" s="9"/>
      <c r="AY202" s="21">
        <v>0.86685199999999996</v>
      </c>
      <c r="AZ202" s="21">
        <v>30.3779</v>
      </c>
      <c r="BA202" s="21">
        <v>-1.4645399999999999E-2</v>
      </c>
      <c r="BB202" s="21">
        <v>192</v>
      </c>
      <c r="BC202" s="21">
        <v>0.865784</v>
      </c>
      <c r="BD202">
        <f t="shared" si="34"/>
        <v>18.080740740740737</v>
      </c>
      <c r="BE202">
        <f t="shared" si="35"/>
        <v>15.673326272592588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0.84823599999999999</v>
      </c>
      <c r="H203" s="21">
        <v>7.6820399999999998</v>
      </c>
      <c r="I203" s="21">
        <v>-1.4505000000000001E-2</v>
      </c>
      <c r="J203" s="21">
        <v>193</v>
      </c>
      <c r="K203" s="21">
        <v>0.84777800000000003</v>
      </c>
      <c r="L203">
        <f t="shared" si="24"/>
        <v>17.907407407407408</v>
      </c>
      <c r="M203">
        <f t="shared" si="25"/>
        <v>15.189707629629631</v>
      </c>
      <c r="N203" s="9"/>
      <c r="O203" s="21">
        <v>0.87188699999999997</v>
      </c>
      <c r="P203" s="21">
        <v>11.541499999999999</v>
      </c>
      <c r="Q203" s="21">
        <v>-1.4621E-2</v>
      </c>
      <c r="R203" s="21">
        <v>193</v>
      </c>
      <c r="S203" s="21">
        <v>0.87097199999999997</v>
      </c>
      <c r="T203">
        <f t="shared" si="26"/>
        <v>18.050617283950618</v>
      </c>
      <c r="U203">
        <f t="shared" si="27"/>
        <v>15.738098551851852</v>
      </c>
      <c r="X203" s="9"/>
      <c r="Y203" s="21">
        <v>0.84823599999999999</v>
      </c>
      <c r="Z203" s="21">
        <v>17.1203</v>
      </c>
      <c r="AA203" s="21">
        <v>-1.4645399999999999E-2</v>
      </c>
      <c r="AB203" s="21">
        <v>193</v>
      </c>
      <c r="AC203" s="21">
        <v>0.84716800000000003</v>
      </c>
      <c r="AD203">
        <f t="shared" si="28"/>
        <v>18.080740740740737</v>
      </c>
      <c r="AE203">
        <f t="shared" si="29"/>
        <v>15.336735202962959</v>
      </c>
      <c r="AF203" s="9"/>
      <c r="AG203" s="21">
        <v>0.87188699999999997</v>
      </c>
      <c r="AH203" s="21">
        <v>20.979700000000001</v>
      </c>
      <c r="AI203" s="21">
        <v>-1.4566000000000001E-2</v>
      </c>
      <c r="AJ203" s="21">
        <v>193</v>
      </c>
      <c r="AK203" s="21">
        <v>0.87127699999999997</v>
      </c>
      <c r="AL203">
        <f t="shared" si="30"/>
        <v>17.982716049382717</v>
      </c>
      <c r="AM203">
        <f t="shared" si="31"/>
        <v>15.678896348148148</v>
      </c>
      <c r="AP203" s="9"/>
      <c r="AQ203" s="21">
        <v>0.84823599999999999</v>
      </c>
      <c r="AR203" s="21">
        <v>26.528500000000001</v>
      </c>
      <c r="AS203" s="21">
        <v>-1.4624E-2</v>
      </c>
      <c r="AT203" s="21">
        <v>193</v>
      </c>
      <c r="AU203" s="21">
        <v>0.84686300000000003</v>
      </c>
      <c r="AV203">
        <f t="shared" si="32"/>
        <v>18.054320987654318</v>
      </c>
      <c r="AW203">
        <f t="shared" si="33"/>
        <v>15.314325017283949</v>
      </c>
      <c r="AX203" s="9"/>
      <c r="AY203" s="21">
        <v>0.87188699999999997</v>
      </c>
      <c r="AZ203" s="21">
        <v>30.388000000000002</v>
      </c>
      <c r="BA203" s="21">
        <v>-1.46301E-2</v>
      </c>
      <c r="BB203" s="21">
        <v>193</v>
      </c>
      <c r="BC203" s="21">
        <v>0.87066699999999997</v>
      </c>
      <c r="BD203">
        <f t="shared" si="34"/>
        <v>18.061851851851848</v>
      </c>
      <c r="BE203">
        <f t="shared" si="35"/>
        <v>15.747893825555552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0.84320099999999998</v>
      </c>
      <c r="H204" s="21">
        <v>7.6921099999999996</v>
      </c>
      <c r="I204" s="21">
        <v>-1.4511100000000001E-2</v>
      </c>
      <c r="J204" s="21">
        <v>194</v>
      </c>
      <c r="K204" s="21">
        <v>0.84197999999999995</v>
      </c>
      <c r="L204">
        <f t="shared" ref="L204:L267" si="36">-I204/$F$2*1000</f>
        <v>17.914938271604939</v>
      </c>
      <c r="M204">
        <f t="shared" ref="M204:M267" si="37">L204*G204</f>
        <v>15.105893865555556</v>
      </c>
      <c r="N204" s="9"/>
      <c r="O204" s="21">
        <v>0.87692300000000001</v>
      </c>
      <c r="P204" s="21">
        <v>11.551600000000001</v>
      </c>
      <c r="Q204" s="21">
        <v>-1.4624E-2</v>
      </c>
      <c r="R204" s="21">
        <v>194</v>
      </c>
      <c r="S204" s="21">
        <v>0.87585400000000002</v>
      </c>
      <c r="T204">
        <f t="shared" ref="T204:T267" si="38">-Q204/$F$2*1000</f>
        <v>18.054320987654318</v>
      </c>
      <c r="U204">
        <f t="shared" ref="U204:U267" si="39">T204*O204</f>
        <v>15.832249323456788</v>
      </c>
      <c r="X204" s="9"/>
      <c r="Y204" s="21">
        <v>0.84320099999999998</v>
      </c>
      <c r="Z204" s="21">
        <v>17.130299999999998</v>
      </c>
      <c r="AA204" s="21">
        <v>-1.4648400000000001E-2</v>
      </c>
      <c r="AB204" s="21">
        <v>194</v>
      </c>
      <c r="AC204" s="21">
        <v>0.84197999999999995</v>
      </c>
      <c r="AD204">
        <f t="shared" ref="AD204:AD267" si="40">-AA204/$F$2*1000</f>
        <v>18.084444444444443</v>
      </c>
      <c r="AE204">
        <f t="shared" ref="AE204:AE267" si="41">AD204*Y204</f>
        <v>15.248821639999999</v>
      </c>
      <c r="AF204" s="9"/>
      <c r="AG204" s="21">
        <v>0.87692300000000001</v>
      </c>
      <c r="AH204" s="21">
        <v>20.989799999999999</v>
      </c>
      <c r="AI204" s="21">
        <v>-1.4566000000000001E-2</v>
      </c>
      <c r="AJ204" s="21">
        <v>194</v>
      </c>
      <c r="AK204" s="21">
        <v>0.87616000000000005</v>
      </c>
      <c r="AL204">
        <f t="shared" ref="AL204:AL267" si="42">-AI204/$F$2*1000</f>
        <v>17.982716049382717</v>
      </c>
      <c r="AM204">
        <f t="shared" ref="AM204:AM267" si="43">AL204*AG204</f>
        <v>15.769457306172841</v>
      </c>
      <c r="AP204" s="9"/>
      <c r="AQ204" s="21">
        <v>0.84320099999999998</v>
      </c>
      <c r="AR204" s="21">
        <v>26.538599999999999</v>
      </c>
      <c r="AS204" s="21">
        <v>-1.4624E-2</v>
      </c>
      <c r="AT204" s="21">
        <v>194</v>
      </c>
      <c r="AU204" s="21">
        <v>0.84228499999999995</v>
      </c>
      <c r="AV204">
        <f t="shared" ref="AV204:AV267" si="44">-AS204/$F$2*1000</f>
        <v>18.054320987654318</v>
      </c>
      <c r="AW204">
        <f t="shared" ref="AW204:AW267" si="45">AV204*AQ204</f>
        <v>15.223421511111109</v>
      </c>
      <c r="AX204" s="9"/>
      <c r="AY204" s="21">
        <v>0.87692300000000001</v>
      </c>
      <c r="AZ204" s="21">
        <v>30.398</v>
      </c>
      <c r="BA204" s="21">
        <v>-1.46149E-2</v>
      </c>
      <c r="BB204" s="21">
        <v>194</v>
      </c>
      <c r="BC204" s="21">
        <v>0.87616000000000005</v>
      </c>
      <c r="BD204">
        <f t="shared" ref="BD204:BD267" si="46">-BA204/$F$2*1000</f>
        <v>18.043086419753088</v>
      </c>
      <c r="BE204">
        <f t="shared" ref="BE204:BE267" si="47">BD204*AY204</f>
        <v>15.822397472469138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0.83816500000000005</v>
      </c>
      <c r="H205" s="21">
        <v>7.7021800000000002</v>
      </c>
      <c r="I205" s="21">
        <v>-1.4523299999999999E-2</v>
      </c>
      <c r="J205" s="21">
        <v>195</v>
      </c>
      <c r="K205" s="21">
        <v>0.83740199999999998</v>
      </c>
      <c r="L205">
        <f t="shared" si="36"/>
        <v>17.93</v>
      </c>
      <c r="M205">
        <f t="shared" si="37"/>
        <v>15.028298450000001</v>
      </c>
      <c r="N205" s="9"/>
      <c r="O205" s="21">
        <v>0.88195800000000002</v>
      </c>
      <c r="P205" s="21">
        <v>11.5617</v>
      </c>
      <c r="Q205" s="21">
        <v>-1.46179E-2</v>
      </c>
      <c r="R205" s="21">
        <v>195</v>
      </c>
      <c r="S205" s="21">
        <v>0.88165300000000002</v>
      </c>
      <c r="T205">
        <f t="shared" si="38"/>
        <v>18.046790123456791</v>
      </c>
      <c r="U205">
        <f t="shared" si="39"/>
        <v>15.916510923703704</v>
      </c>
      <c r="X205" s="9"/>
      <c r="Y205" s="21">
        <v>0.83816500000000005</v>
      </c>
      <c r="Z205" s="21">
        <v>17.1404</v>
      </c>
      <c r="AA205" s="21">
        <v>-1.46576E-2</v>
      </c>
      <c r="AB205" s="21">
        <v>195</v>
      </c>
      <c r="AC205" s="21">
        <v>0.83740199999999998</v>
      </c>
      <c r="AD205">
        <f t="shared" si="40"/>
        <v>18.095802469135801</v>
      </c>
      <c r="AE205">
        <f t="shared" si="41"/>
        <v>15.16726827654321</v>
      </c>
      <c r="AF205" s="9"/>
      <c r="AG205" s="21">
        <v>0.88195800000000002</v>
      </c>
      <c r="AH205" s="21">
        <v>20.9999</v>
      </c>
      <c r="AI205" s="21">
        <v>-1.4563E-2</v>
      </c>
      <c r="AJ205" s="21">
        <v>195</v>
      </c>
      <c r="AK205" s="21">
        <v>0.88104199999999999</v>
      </c>
      <c r="AL205">
        <f t="shared" si="42"/>
        <v>17.979012345679013</v>
      </c>
      <c r="AM205">
        <f t="shared" si="43"/>
        <v>15.856733770370372</v>
      </c>
      <c r="AP205" s="9"/>
      <c r="AQ205" s="21">
        <v>0.83816500000000005</v>
      </c>
      <c r="AR205" s="21">
        <v>26.5486</v>
      </c>
      <c r="AS205" s="21">
        <v>-1.46362E-2</v>
      </c>
      <c r="AT205" s="21">
        <v>195</v>
      </c>
      <c r="AU205" s="21">
        <v>0.83709699999999998</v>
      </c>
      <c r="AV205">
        <f t="shared" si="44"/>
        <v>18.069382716049383</v>
      </c>
      <c r="AW205">
        <f t="shared" si="45"/>
        <v>15.145124164197531</v>
      </c>
      <c r="AX205" s="9"/>
      <c r="AY205" s="21">
        <v>0.88195800000000002</v>
      </c>
      <c r="AZ205" s="21">
        <v>30.408100000000001</v>
      </c>
      <c r="BA205" s="21">
        <v>-1.4605699999999999E-2</v>
      </c>
      <c r="BB205" s="21">
        <v>195</v>
      </c>
      <c r="BC205" s="21">
        <v>0.88165300000000002</v>
      </c>
      <c r="BD205">
        <f t="shared" si="46"/>
        <v>18.031728395061727</v>
      </c>
      <c r="BE205">
        <f t="shared" si="47"/>
        <v>15.90322711185185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0.83313000000000004</v>
      </c>
      <c r="H206" s="21">
        <v>7.71225</v>
      </c>
      <c r="I206" s="21">
        <v>-1.45325E-2</v>
      </c>
      <c r="J206" s="21">
        <v>196</v>
      </c>
      <c r="K206" s="21">
        <v>0.83221400000000001</v>
      </c>
      <c r="L206">
        <f t="shared" si="36"/>
        <v>17.941358024691358</v>
      </c>
      <c r="M206">
        <f t="shared" si="37"/>
        <v>14.947483611111112</v>
      </c>
      <c r="N206" s="9"/>
      <c r="O206" s="21">
        <v>0.88699300000000003</v>
      </c>
      <c r="P206" s="21">
        <v>11.5717</v>
      </c>
      <c r="Q206" s="21">
        <v>-1.4611799999999999E-2</v>
      </c>
      <c r="R206" s="21">
        <v>196</v>
      </c>
      <c r="S206" s="21">
        <v>0.88561999999999996</v>
      </c>
      <c r="T206">
        <f t="shared" si="38"/>
        <v>18.039259259259257</v>
      </c>
      <c r="U206">
        <f t="shared" si="39"/>
        <v>16.000696688148146</v>
      </c>
      <c r="X206" s="9"/>
      <c r="Y206" s="21">
        <v>0.83313000000000004</v>
      </c>
      <c r="Z206" s="21">
        <v>17.150500000000001</v>
      </c>
      <c r="AA206" s="21">
        <v>-1.46576E-2</v>
      </c>
      <c r="AB206" s="21">
        <v>196</v>
      </c>
      <c r="AC206" s="21">
        <v>0.83252000000000004</v>
      </c>
      <c r="AD206">
        <f t="shared" si="40"/>
        <v>18.095802469135801</v>
      </c>
      <c r="AE206">
        <f t="shared" si="41"/>
        <v>15.07615591111111</v>
      </c>
      <c r="AF206" s="9"/>
      <c r="AG206" s="21">
        <v>0.88699300000000003</v>
      </c>
      <c r="AH206" s="21">
        <v>21.009899999999998</v>
      </c>
      <c r="AI206" s="21">
        <v>-1.4559900000000001E-2</v>
      </c>
      <c r="AJ206" s="21">
        <v>196</v>
      </c>
      <c r="AK206" s="21">
        <v>0.88622999999999996</v>
      </c>
      <c r="AL206">
        <f t="shared" si="42"/>
        <v>17.975185185185186</v>
      </c>
      <c r="AM206">
        <f t="shared" si="43"/>
        <v>15.943863432962964</v>
      </c>
      <c r="AP206" s="9"/>
      <c r="AQ206" s="21">
        <v>0.83313000000000004</v>
      </c>
      <c r="AR206" s="21">
        <v>26.558700000000002</v>
      </c>
      <c r="AS206" s="21">
        <v>-1.4645399999999999E-2</v>
      </c>
      <c r="AT206" s="21">
        <v>196</v>
      </c>
      <c r="AU206" s="21">
        <v>0.83252000000000004</v>
      </c>
      <c r="AV206">
        <f t="shared" si="44"/>
        <v>18.080740740740737</v>
      </c>
      <c r="AW206">
        <f t="shared" si="45"/>
        <v>15.063607533333331</v>
      </c>
      <c r="AX206" s="9"/>
      <c r="AY206" s="21">
        <v>0.88699300000000003</v>
      </c>
      <c r="AZ206" s="21">
        <v>30.418199999999999</v>
      </c>
      <c r="BA206" s="21">
        <v>-1.46027E-2</v>
      </c>
      <c r="BB206" s="21">
        <v>196</v>
      </c>
      <c r="BC206" s="21">
        <v>0.88561999999999996</v>
      </c>
      <c r="BD206">
        <f t="shared" si="46"/>
        <v>18.028024691358024</v>
      </c>
      <c r="BE206">
        <f t="shared" si="47"/>
        <v>15.990731705061728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0.828094</v>
      </c>
      <c r="H207" s="21">
        <v>7.7223199999999999</v>
      </c>
      <c r="I207" s="21">
        <v>-1.45386E-2</v>
      </c>
      <c r="J207" s="21">
        <v>197</v>
      </c>
      <c r="K207" s="21">
        <v>0.82702600000000004</v>
      </c>
      <c r="L207">
        <f t="shared" si="36"/>
        <v>17.948888888888888</v>
      </c>
      <c r="M207">
        <f t="shared" si="37"/>
        <v>14.863367195555554</v>
      </c>
      <c r="N207" s="9"/>
      <c r="O207" s="21">
        <v>0.89202899999999996</v>
      </c>
      <c r="P207" s="21">
        <v>11.581799999999999</v>
      </c>
      <c r="Q207" s="21">
        <v>-1.4605699999999999E-2</v>
      </c>
      <c r="R207" s="21">
        <v>197</v>
      </c>
      <c r="S207" s="21">
        <v>0.89050300000000004</v>
      </c>
      <c r="T207">
        <f t="shared" si="38"/>
        <v>18.031728395061727</v>
      </c>
      <c r="U207">
        <f t="shared" si="39"/>
        <v>16.084824648518516</v>
      </c>
      <c r="X207" s="9"/>
      <c r="Y207" s="21">
        <v>0.828094</v>
      </c>
      <c r="Z207" s="21">
        <v>17.160499999999999</v>
      </c>
      <c r="AA207" s="21">
        <v>-1.46637E-2</v>
      </c>
      <c r="AB207" s="21">
        <v>197</v>
      </c>
      <c r="AC207" s="21">
        <v>0.82702600000000004</v>
      </c>
      <c r="AD207">
        <f t="shared" si="40"/>
        <v>18.103333333333332</v>
      </c>
      <c r="AE207">
        <f t="shared" si="41"/>
        <v>14.991261713333332</v>
      </c>
      <c r="AF207" s="9"/>
      <c r="AG207" s="21">
        <v>0.89202899999999996</v>
      </c>
      <c r="AH207" s="21">
        <v>21.02</v>
      </c>
      <c r="AI207" s="21">
        <v>-1.4550799999999999E-2</v>
      </c>
      <c r="AJ207" s="21">
        <v>197</v>
      </c>
      <c r="AK207" s="21">
        <v>0.89141800000000004</v>
      </c>
      <c r="AL207">
        <f t="shared" si="42"/>
        <v>17.963950617283949</v>
      </c>
      <c r="AM207">
        <f t="shared" si="43"/>
        <v>16.024364905185184</v>
      </c>
      <c r="AP207" s="9"/>
      <c r="AQ207" s="21">
        <v>0.828094</v>
      </c>
      <c r="AR207" s="21">
        <v>26.5688</v>
      </c>
      <c r="AS207" s="21">
        <v>-1.4648400000000001E-2</v>
      </c>
      <c r="AT207" s="21">
        <v>197</v>
      </c>
      <c r="AU207" s="21">
        <v>0.82733199999999996</v>
      </c>
      <c r="AV207">
        <f t="shared" si="44"/>
        <v>18.084444444444443</v>
      </c>
      <c r="AW207">
        <f t="shared" si="45"/>
        <v>14.975619937777777</v>
      </c>
      <c r="AX207" s="9"/>
      <c r="AY207" s="21">
        <v>0.89202899999999996</v>
      </c>
      <c r="AZ207" s="21">
        <v>30.4282</v>
      </c>
      <c r="BA207" s="21">
        <v>-1.4599600000000001E-2</v>
      </c>
      <c r="BB207" s="21">
        <v>197</v>
      </c>
      <c r="BC207" s="21">
        <v>0.89080800000000004</v>
      </c>
      <c r="BD207">
        <f t="shared" si="46"/>
        <v>18.0241975308642</v>
      </c>
      <c r="BE207">
        <f t="shared" si="47"/>
        <v>16.078106899259261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0.82305899999999999</v>
      </c>
      <c r="H208" s="21">
        <v>7.7323899999999997</v>
      </c>
      <c r="I208" s="21">
        <v>-1.4550799999999999E-2</v>
      </c>
      <c r="J208" s="21">
        <v>198</v>
      </c>
      <c r="K208" s="21">
        <v>0.82275399999999999</v>
      </c>
      <c r="L208">
        <f t="shared" si="36"/>
        <v>17.963950617283949</v>
      </c>
      <c r="M208">
        <f t="shared" si="37"/>
        <v>14.78539123111111</v>
      </c>
      <c r="N208" s="9"/>
      <c r="O208" s="21">
        <v>0.89706399999999997</v>
      </c>
      <c r="P208" s="21">
        <v>11.591900000000001</v>
      </c>
      <c r="Q208" s="21">
        <v>-1.46027E-2</v>
      </c>
      <c r="R208" s="21">
        <v>198</v>
      </c>
      <c r="S208" s="21">
        <v>0.89630100000000001</v>
      </c>
      <c r="T208">
        <f t="shared" si="38"/>
        <v>18.028024691358024</v>
      </c>
      <c r="U208">
        <f t="shared" si="39"/>
        <v>16.172291941728393</v>
      </c>
      <c r="X208" s="9"/>
      <c r="Y208" s="21">
        <v>0.82305899999999999</v>
      </c>
      <c r="Z208" s="21">
        <v>17.1706</v>
      </c>
      <c r="AA208" s="21">
        <v>-1.46637E-2</v>
      </c>
      <c r="AB208" s="21">
        <v>198</v>
      </c>
      <c r="AC208" s="21">
        <v>0.82214399999999999</v>
      </c>
      <c r="AD208">
        <f t="shared" si="40"/>
        <v>18.103333333333332</v>
      </c>
      <c r="AE208">
        <f t="shared" si="41"/>
        <v>14.900111429999999</v>
      </c>
      <c r="AF208" s="9"/>
      <c r="AG208" s="21">
        <v>0.89706399999999997</v>
      </c>
      <c r="AH208" s="21">
        <v>21.030100000000001</v>
      </c>
      <c r="AI208" s="21">
        <v>-1.45386E-2</v>
      </c>
      <c r="AJ208" s="21">
        <v>198</v>
      </c>
      <c r="AK208" s="21">
        <v>0.89599600000000001</v>
      </c>
      <c r="AL208">
        <f t="shared" si="42"/>
        <v>17.948888888888888</v>
      </c>
      <c r="AM208">
        <f t="shared" si="43"/>
        <v>16.101302062222221</v>
      </c>
      <c r="AP208" s="9"/>
      <c r="AQ208" s="21">
        <v>0.82305899999999999</v>
      </c>
      <c r="AR208" s="21">
        <v>26.578800000000001</v>
      </c>
      <c r="AS208" s="21">
        <v>-1.4648400000000001E-2</v>
      </c>
      <c r="AT208" s="21">
        <v>198</v>
      </c>
      <c r="AU208" s="21">
        <v>0.82183799999999996</v>
      </c>
      <c r="AV208">
        <f t="shared" si="44"/>
        <v>18.084444444444443</v>
      </c>
      <c r="AW208">
        <f t="shared" si="45"/>
        <v>14.884564759999998</v>
      </c>
      <c r="AX208" s="9"/>
      <c r="AY208" s="21">
        <v>0.89706399999999997</v>
      </c>
      <c r="AZ208" s="21">
        <v>30.438300000000002</v>
      </c>
      <c r="BA208" s="21">
        <v>-1.4599600000000001E-2</v>
      </c>
      <c r="BB208" s="21">
        <v>198</v>
      </c>
      <c r="BC208" s="21">
        <v>0.89630100000000001</v>
      </c>
      <c r="BD208">
        <f t="shared" si="46"/>
        <v>18.0241975308642</v>
      </c>
      <c r="BE208">
        <f t="shared" si="47"/>
        <v>16.168858733827161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0.81802399999999997</v>
      </c>
      <c r="H209" s="21">
        <v>7.7424600000000003</v>
      </c>
      <c r="I209" s="21">
        <v>-1.4566000000000001E-2</v>
      </c>
      <c r="J209" s="21">
        <v>199</v>
      </c>
      <c r="K209" s="21">
        <v>0.81726100000000002</v>
      </c>
      <c r="L209">
        <f t="shared" si="36"/>
        <v>17.982716049382717</v>
      </c>
      <c r="M209">
        <f t="shared" si="37"/>
        <v>14.710293313580246</v>
      </c>
      <c r="N209" s="9"/>
      <c r="O209" s="21">
        <v>0.90210000000000001</v>
      </c>
      <c r="P209" s="21">
        <v>11.601900000000001</v>
      </c>
      <c r="Q209" s="21">
        <v>-1.4599600000000001E-2</v>
      </c>
      <c r="R209" s="21">
        <v>199</v>
      </c>
      <c r="S209" s="21">
        <v>0.90118399999999999</v>
      </c>
      <c r="T209">
        <f t="shared" si="38"/>
        <v>18.0241975308642</v>
      </c>
      <c r="U209">
        <f t="shared" si="39"/>
        <v>16.259628592592595</v>
      </c>
      <c r="X209" s="9"/>
      <c r="Y209" s="21">
        <v>0.81802399999999997</v>
      </c>
      <c r="Z209" s="21">
        <v>17.180700000000002</v>
      </c>
      <c r="AA209" s="21">
        <v>-1.46698E-2</v>
      </c>
      <c r="AB209" s="21">
        <v>199</v>
      </c>
      <c r="AC209" s="21">
        <v>0.81756600000000001</v>
      </c>
      <c r="AD209">
        <f t="shared" si="40"/>
        <v>18.110864197530866</v>
      </c>
      <c r="AE209">
        <f t="shared" si="41"/>
        <v>14.815121574320989</v>
      </c>
      <c r="AF209" s="9"/>
      <c r="AG209" s="21">
        <v>0.90210000000000001</v>
      </c>
      <c r="AH209" s="21">
        <v>21.040199999999999</v>
      </c>
      <c r="AI209" s="21">
        <v>-1.4523299999999999E-2</v>
      </c>
      <c r="AJ209" s="21">
        <v>199</v>
      </c>
      <c r="AK209" s="21">
        <v>0.90087899999999999</v>
      </c>
      <c r="AL209">
        <f t="shared" si="42"/>
        <v>17.93</v>
      </c>
      <c r="AM209">
        <f t="shared" si="43"/>
        <v>16.174652999999999</v>
      </c>
      <c r="AP209" s="9"/>
      <c r="AQ209" s="21">
        <v>0.81802399999999997</v>
      </c>
      <c r="AR209" s="21">
        <v>26.588899999999999</v>
      </c>
      <c r="AS209" s="21">
        <v>-1.4648400000000001E-2</v>
      </c>
      <c r="AT209" s="21">
        <v>199</v>
      </c>
      <c r="AU209" s="21">
        <v>0.81664999999999999</v>
      </c>
      <c r="AV209">
        <f t="shared" si="44"/>
        <v>18.084444444444443</v>
      </c>
      <c r="AW209">
        <f t="shared" si="45"/>
        <v>14.793509582222221</v>
      </c>
      <c r="AX209" s="9"/>
      <c r="AY209" s="21">
        <v>0.90210000000000001</v>
      </c>
      <c r="AZ209" s="21">
        <v>30.448399999999999</v>
      </c>
      <c r="BA209" s="21">
        <v>-1.4590499999999999E-2</v>
      </c>
      <c r="BB209" s="21">
        <v>199</v>
      </c>
      <c r="BC209" s="21">
        <v>0.90087899999999999</v>
      </c>
      <c r="BD209">
        <f t="shared" si="46"/>
        <v>18.012962962962959</v>
      </c>
      <c r="BE209">
        <f t="shared" si="47"/>
        <v>16.249493888888885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0.81298800000000004</v>
      </c>
      <c r="H210" s="21">
        <v>7.7525300000000001</v>
      </c>
      <c r="I210" s="21">
        <v>-1.4566000000000001E-2</v>
      </c>
      <c r="J210" s="21">
        <v>200</v>
      </c>
      <c r="K210" s="21">
        <v>0.81207300000000004</v>
      </c>
      <c r="L210">
        <f t="shared" si="36"/>
        <v>17.982716049382717</v>
      </c>
      <c r="M210">
        <f t="shared" si="37"/>
        <v>14.619732355555557</v>
      </c>
      <c r="N210" s="9"/>
      <c r="O210" s="21">
        <v>0.90713500000000002</v>
      </c>
      <c r="P210" s="21">
        <v>11.612</v>
      </c>
      <c r="Q210" s="21">
        <v>-1.45966E-2</v>
      </c>
      <c r="R210" s="21">
        <v>200</v>
      </c>
      <c r="S210" s="21">
        <v>0.90637199999999996</v>
      </c>
      <c r="T210">
        <f t="shared" si="38"/>
        <v>18.020493827160493</v>
      </c>
      <c r="U210">
        <f t="shared" si="39"/>
        <v>16.347020667901234</v>
      </c>
      <c r="X210" s="9"/>
      <c r="Y210" s="21">
        <v>0.81298800000000004</v>
      </c>
      <c r="Z210" s="21">
        <v>17.190799999999999</v>
      </c>
      <c r="AA210" s="21">
        <v>-1.4672899999999999E-2</v>
      </c>
      <c r="AB210" s="21">
        <v>200</v>
      </c>
      <c r="AC210" s="21">
        <v>0.81237800000000004</v>
      </c>
      <c r="AD210">
        <f t="shared" si="40"/>
        <v>18.11469135802469</v>
      </c>
      <c r="AE210">
        <f t="shared" si="41"/>
        <v>14.727026697777777</v>
      </c>
      <c r="AF210" s="9"/>
      <c r="AG210" s="21">
        <v>0.90713500000000002</v>
      </c>
      <c r="AH210" s="21">
        <v>21.0502</v>
      </c>
      <c r="AI210" s="21">
        <v>-1.45294E-2</v>
      </c>
      <c r="AJ210" s="21">
        <v>200</v>
      </c>
      <c r="AK210" s="21">
        <v>0.90637199999999996</v>
      </c>
      <c r="AL210">
        <f t="shared" si="42"/>
        <v>17.93753086419753</v>
      </c>
      <c r="AM210">
        <f t="shared" si="43"/>
        <v>16.271762060493828</v>
      </c>
      <c r="AP210" s="9"/>
      <c r="AQ210" s="21">
        <v>0.81298800000000004</v>
      </c>
      <c r="AR210" s="21">
        <v>26.599</v>
      </c>
      <c r="AS210" s="21">
        <v>-1.4639299999999999E-2</v>
      </c>
      <c r="AT210" s="21">
        <v>200</v>
      </c>
      <c r="AU210" s="21">
        <v>0.81176800000000005</v>
      </c>
      <c r="AV210">
        <f t="shared" si="44"/>
        <v>18.07320987654321</v>
      </c>
      <c r="AW210">
        <f t="shared" si="45"/>
        <v>14.693302751111112</v>
      </c>
      <c r="AX210" s="9"/>
      <c r="AY210" s="21">
        <v>0.90713500000000002</v>
      </c>
      <c r="AZ210" s="21">
        <v>30.458500000000001</v>
      </c>
      <c r="BA210" s="21">
        <v>-1.4584400000000001E-2</v>
      </c>
      <c r="BB210" s="21">
        <v>200</v>
      </c>
      <c r="BC210" s="21">
        <v>0.90606699999999996</v>
      </c>
      <c r="BD210">
        <f t="shared" si="46"/>
        <v>18.005432098765432</v>
      </c>
      <c r="BE210">
        <f t="shared" si="47"/>
        <v>16.33335764691358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0.80795300000000003</v>
      </c>
      <c r="H211" s="21">
        <v>7.7626099999999996</v>
      </c>
      <c r="I211" s="21">
        <v>-1.45752E-2</v>
      </c>
      <c r="J211" s="21">
        <v>201</v>
      </c>
      <c r="K211" s="21">
        <v>0.80657999999999996</v>
      </c>
      <c r="L211">
        <f t="shared" si="36"/>
        <v>17.994074074074071</v>
      </c>
      <c r="M211">
        <f t="shared" si="37"/>
        <v>14.538366130370369</v>
      </c>
      <c r="N211" s="9"/>
      <c r="O211" s="21">
        <v>0.91217000000000004</v>
      </c>
      <c r="P211" s="21">
        <v>11.6221</v>
      </c>
      <c r="Q211" s="21">
        <v>-1.4593500000000001E-2</v>
      </c>
      <c r="R211" s="21">
        <v>201</v>
      </c>
      <c r="S211" s="21">
        <v>0.91156000000000004</v>
      </c>
      <c r="T211">
        <f t="shared" si="38"/>
        <v>18.016666666666666</v>
      </c>
      <c r="U211">
        <f t="shared" si="39"/>
        <v>16.434262833333332</v>
      </c>
      <c r="X211" s="9"/>
      <c r="Y211" s="21">
        <v>0.80795300000000003</v>
      </c>
      <c r="Z211" s="21">
        <v>17.200800000000001</v>
      </c>
      <c r="AA211" s="21">
        <v>-1.4672899999999999E-2</v>
      </c>
      <c r="AB211" s="21">
        <v>201</v>
      </c>
      <c r="AC211" s="21">
        <v>0.80688499999999996</v>
      </c>
      <c r="AD211">
        <f t="shared" si="40"/>
        <v>18.11469135802469</v>
      </c>
      <c r="AE211">
        <f t="shared" si="41"/>
        <v>14.635819226790122</v>
      </c>
      <c r="AF211" s="9"/>
      <c r="AG211" s="21">
        <v>0.91217000000000004</v>
      </c>
      <c r="AH211" s="21">
        <v>21.060300000000002</v>
      </c>
      <c r="AI211" s="21">
        <v>-1.45355E-2</v>
      </c>
      <c r="AJ211" s="21">
        <v>201</v>
      </c>
      <c r="AK211" s="21">
        <v>0.91156000000000004</v>
      </c>
      <c r="AL211">
        <f t="shared" si="42"/>
        <v>17.945061728395061</v>
      </c>
      <c r="AM211">
        <f t="shared" si="43"/>
        <v>16.368946956790122</v>
      </c>
      <c r="AP211" s="9"/>
      <c r="AQ211" s="21">
        <v>0.80795300000000003</v>
      </c>
      <c r="AR211" s="21">
        <v>26.609100000000002</v>
      </c>
      <c r="AS211" s="21">
        <v>-1.46362E-2</v>
      </c>
      <c r="AT211" s="21">
        <v>201</v>
      </c>
      <c r="AU211" s="21">
        <v>0.80657999999999996</v>
      </c>
      <c r="AV211">
        <f t="shared" si="44"/>
        <v>18.069382716049383</v>
      </c>
      <c r="AW211">
        <f t="shared" si="45"/>
        <v>14.599211973580248</v>
      </c>
      <c r="AX211" s="9"/>
      <c r="AY211" s="21">
        <v>0.91217000000000004</v>
      </c>
      <c r="AZ211" s="21">
        <v>30.468499999999999</v>
      </c>
      <c r="BA211" s="21">
        <v>-1.4572099999999999E-2</v>
      </c>
      <c r="BB211" s="21">
        <v>201</v>
      </c>
      <c r="BC211" s="21">
        <v>0.91095000000000004</v>
      </c>
      <c r="BD211">
        <f t="shared" si="46"/>
        <v>17.990246913580243</v>
      </c>
      <c r="BE211">
        <f t="shared" si="47"/>
        <v>16.410163527160492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0.80291699999999999</v>
      </c>
      <c r="H212" s="21">
        <v>7.7726800000000003</v>
      </c>
      <c r="I212" s="21">
        <v>-1.45874E-2</v>
      </c>
      <c r="J212" s="21">
        <v>202</v>
      </c>
      <c r="K212" s="21">
        <v>0.80230699999999999</v>
      </c>
      <c r="L212">
        <f t="shared" si="36"/>
        <v>18.009135802469135</v>
      </c>
      <c r="M212">
        <f t="shared" si="37"/>
        <v>14.459841291111111</v>
      </c>
      <c r="N212" s="9"/>
      <c r="O212" s="21">
        <v>0.91720599999999997</v>
      </c>
      <c r="P212" s="21">
        <v>11.632199999999999</v>
      </c>
      <c r="Q212" s="21">
        <v>-1.4593500000000001E-2</v>
      </c>
      <c r="R212" s="21">
        <v>202</v>
      </c>
      <c r="S212" s="21">
        <v>0.91644300000000001</v>
      </c>
      <c r="T212">
        <f t="shared" si="38"/>
        <v>18.016666666666666</v>
      </c>
      <c r="U212">
        <f t="shared" si="39"/>
        <v>16.524994766666666</v>
      </c>
      <c r="X212" s="9"/>
      <c r="Y212" s="21">
        <v>0.80291699999999999</v>
      </c>
      <c r="Z212" s="21">
        <v>17.210899999999999</v>
      </c>
      <c r="AA212" s="21">
        <v>-1.46667E-2</v>
      </c>
      <c r="AB212" s="21">
        <v>202</v>
      </c>
      <c r="AC212" s="21">
        <v>0.80261199999999999</v>
      </c>
      <c r="AD212">
        <f t="shared" si="40"/>
        <v>18.107037037037035</v>
      </c>
      <c r="AE212">
        <f t="shared" si="41"/>
        <v>14.538447856666664</v>
      </c>
      <c r="AF212" s="9"/>
      <c r="AG212" s="21">
        <v>0.91720599999999997</v>
      </c>
      <c r="AH212" s="21">
        <v>21.070399999999999</v>
      </c>
      <c r="AI212" s="21">
        <v>-1.45386E-2</v>
      </c>
      <c r="AJ212" s="21">
        <v>202</v>
      </c>
      <c r="AK212" s="21">
        <v>0.91644300000000001</v>
      </c>
      <c r="AL212">
        <f t="shared" si="42"/>
        <v>17.948888888888888</v>
      </c>
      <c r="AM212">
        <f t="shared" si="43"/>
        <v>16.462828582222222</v>
      </c>
      <c r="AP212" s="9"/>
      <c r="AQ212" s="21">
        <v>0.80291699999999999</v>
      </c>
      <c r="AR212" s="21">
        <v>26.6191</v>
      </c>
      <c r="AS212" s="21">
        <v>-1.46423E-2</v>
      </c>
      <c r="AT212" s="21">
        <v>202</v>
      </c>
      <c r="AU212" s="21">
        <v>0.80200199999999999</v>
      </c>
      <c r="AV212">
        <f t="shared" si="44"/>
        <v>18.076913580246913</v>
      </c>
      <c r="AW212">
        <f t="shared" si="45"/>
        <v>14.514261221111111</v>
      </c>
      <c r="AX212" s="9"/>
      <c r="AY212" s="21">
        <v>0.91720599999999997</v>
      </c>
      <c r="AZ212" s="21">
        <v>30.4786</v>
      </c>
      <c r="BA212" s="21">
        <v>-1.45752E-2</v>
      </c>
      <c r="BB212" s="21">
        <v>202</v>
      </c>
      <c r="BC212" s="21">
        <v>0.91705300000000001</v>
      </c>
      <c r="BD212">
        <f t="shared" si="46"/>
        <v>17.994074074074071</v>
      </c>
      <c r="BE212">
        <f t="shared" si="47"/>
        <v>16.50427270518518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0.79788199999999998</v>
      </c>
      <c r="H213" s="21">
        <v>7.7827500000000001</v>
      </c>
      <c r="I213" s="21">
        <v>-1.4599600000000001E-2</v>
      </c>
      <c r="J213" s="21">
        <v>203</v>
      </c>
      <c r="K213" s="21">
        <v>0.79711900000000002</v>
      </c>
      <c r="L213">
        <f t="shared" si="36"/>
        <v>18.0241975308642</v>
      </c>
      <c r="M213">
        <f t="shared" si="37"/>
        <v>14.381182774320989</v>
      </c>
      <c r="N213" s="9"/>
      <c r="O213" s="21">
        <v>0.92224099999999998</v>
      </c>
      <c r="P213" s="21">
        <v>11.642200000000001</v>
      </c>
      <c r="Q213" s="21">
        <v>-1.4593500000000001E-2</v>
      </c>
      <c r="R213" s="21">
        <v>203</v>
      </c>
      <c r="S213" s="21">
        <v>0.92163099999999998</v>
      </c>
      <c r="T213">
        <f t="shared" si="38"/>
        <v>18.016666666666666</v>
      </c>
      <c r="U213">
        <f t="shared" si="39"/>
        <v>16.615708683333331</v>
      </c>
      <c r="X213" s="9"/>
      <c r="Y213" s="21">
        <v>0.79788199999999998</v>
      </c>
      <c r="Z213" s="21">
        <v>17.221</v>
      </c>
      <c r="AA213" s="21">
        <v>-1.4660599999999999E-2</v>
      </c>
      <c r="AB213" s="21">
        <v>203</v>
      </c>
      <c r="AC213" s="21">
        <v>0.79650900000000002</v>
      </c>
      <c r="AD213">
        <f t="shared" si="40"/>
        <v>18.099506172839504</v>
      </c>
      <c r="AE213">
        <f t="shared" si="41"/>
        <v>14.44127018419753</v>
      </c>
      <c r="AF213" s="9"/>
      <c r="AG213" s="21">
        <v>0.92224099999999998</v>
      </c>
      <c r="AH213" s="21">
        <v>21.080400000000001</v>
      </c>
      <c r="AI213" s="21">
        <v>-1.45325E-2</v>
      </c>
      <c r="AJ213" s="21">
        <v>203</v>
      </c>
      <c r="AK213" s="21">
        <v>0.92102099999999998</v>
      </c>
      <c r="AL213">
        <f t="shared" si="42"/>
        <v>17.941358024691358</v>
      </c>
      <c r="AM213">
        <f t="shared" si="43"/>
        <v>16.546255966049383</v>
      </c>
      <c r="AP213" s="9"/>
      <c r="AQ213" s="21">
        <v>0.79788199999999998</v>
      </c>
      <c r="AR213" s="21">
        <v>26.629200000000001</v>
      </c>
      <c r="AS213" s="21">
        <v>-1.4645399999999999E-2</v>
      </c>
      <c r="AT213" s="21">
        <v>203</v>
      </c>
      <c r="AU213" s="21">
        <v>0.79711900000000002</v>
      </c>
      <c r="AV213">
        <f t="shared" si="44"/>
        <v>18.080740740740737</v>
      </c>
      <c r="AW213">
        <f t="shared" si="45"/>
        <v>14.4262975837037</v>
      </c>
      <c r="AX213" s="9"/>
      <c r="AY213" s="21">
        <v>0.92224099999999998</v>
      </c>
      <c r="AZ213" s="21">
        <v>30.488700000000001</v>
      </c>
      <c r="BA213" s="21">
        <v>-1.45813E-2</v>
      </c>
      <c r="BB213" s="21">
        <v>203</v>
      </c>
      <c r="BC213" s="21">
        <v>0.92132599999999998</v>
      </c>
      <c r="BD213">
        <f t="shared" si="46"/>
        <v>18.001604938271605</v>
      </c>
      <c r="BE213">
        <f t="shared" si="47"/>
        <v>16.601818139876542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0.79284699999999997</v>
      </c>
      <c r="H214" s="21">
        <v>7.7928199999999999</v>
      </c>
      <c r="I214" s="21">
        <v>-1.4599600000000001E-2</v>
      </c>
      <c r="J214" s="21">
        <v>204</v>
      </c>
      <c r="K214" s="21">
        <v>0.79193100000000005</v>
      </c>
      <c r="L214">
        <f t="shared" si="36"/>
        <v>18.0241975308642</v>
      </c>
      <c r="M214">
        <f t="shared" si="37"/>
        <v>14.290430939753088</v>
      </c>
      <c r="N214" s="9"/>
      <c r="O214" s="21">
        <v>0.92727700000000002</v>
      </c>
      <c r="P214" s="21">
        <v>11.6523</v>
      </c>
      <c r="Q214" s="21">
        <v>-1.45874E-2</v>
      </c>
      <c r="R214" s="21">
        <v>204</v>
      </c>
      <c r="S214" s="21">
        <v>0.92651399999999995</v>
      </c>
      <c r="T214">
        <f t="shared" si="38"/>
        <v>18.009135802469135</v>
      </c>
      <c r="U214">
        <f t="shared" si="39"/>
        <v>16.699457419506171</v>
      </c>
      <c r="X214" s="9"/>
      <c r="Y214" s="21">
        <v>0.79284699999999997</v>
      </c>
      <c r="Z214" s="21">
        <v>17.231000000000002</v>
      </c>
      <c r="AA214" s="21">
        <v>-1.4648400000000001E-2</v>
      </c>
      <c r="AB214" s="21">
        <v>204</v>
      </c>
      <c r="AC214" s="21">
        <v>0.79193100000000005</v>
      </c>
      <c r="AD214">
        <f t="shared" si="40"/>
        <v>18.084444444444443</v>
      </c>
      <c r="AE214">
        <f t="shared" si="41"/>
        <v>14.338197524444443</v>
      </c>
      <c r="AF214" s="9"/>
      <c r="AG214" s="21">
        <v>0.92727700000000002</v>
      </c>
      <c r="AH214" s="21">
        <v>21.090499999999999</v>
      </c>
      <c r="AI214" s="21">
        <v>-1.45264E-2</v>
      </c>
      <c r="AJ214" s="21">
        <v>204</v>
      </c>
      <c r="AK214" s="21">
        <v>0.92590300000000003</v>
      </c>
      <c r="AL214">
        <f t="shared" si="42"/>
        <v>17.933827160493827</v>
      </c>
      <c r="AM214">
        <f t="shared" si="43"/>
        <v>16.629625447901233</v>
      </c>
      <c r="AP214" s="9"/>
      <c r="AQ214" s="21">
        <v>0.79284699999999997</v>
      </c>
      <c r="AR214" s="21">
        <v>26.639299999999999</v>
      </c>
      <c r="AS214" s="21">
        <v>-1.46576E-2</v>
      </c>
      <c r="AT214" s="21">
        <v>204</v>
      </c>
      <c r="AU214" s="21">
        <v>0.79193100000000005</v>
      </c>
      <c r="AV214">
        <f t="shared" si="44"/>
        <v>18.095802469135801</v>
      </c>
      <c r="AW214">
        <f t="shared" si="45"/>
        <v>14.347202700246912</v>
      </c>
      <c r="AX214" s="9"/>
      <c r="AY214" s="21">
        <v>0.92727700000000002</v>
      </c>
      <c r="AZ214" s="21">
        <v>30.498699999999999</v>
      </c>
      <c r="BA214" s="21">
        <v>-1.45752E-2</v>
      </c>
      <c r="BB214" s="21">
        <v>204</v>
      </c>
      <c r="BC214" s="21">
        <v>0.92681899999999995</v>
      </c>
      <c r="BD214">
        <f t="shared" si="46"/>
        <v>17.994074074074071</v>
      </c>
      <c r="BE214">
        <f t="shared" si="47"/>
        <v>16.685491025185183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0.78781100000000004</v>
      </c>
      <c r="H215" s="21">
        <v>7.8028899999999997</v>
      </c>
      <c r="I215" s="21">
        <v>-1.46027E-2</v>
      </c>
      <c r="J215" s="21">
        <v>205</v>
      </c>
      <c r="K215" s="21">
        <v>0.787354</v>
      </c>
      <c r="L215">
        <f t="shared" si="36"/>
        <v>18.028024691358024</v>
      </c>
      <c r="M215">
        <f t="shared" si="37"/>
        <v>14.202676160123456</v>
      </c>
      <c r="N215" s="9"/>
      <c r="O215" s="21">
        <v>0.93231200000000003</v>
      </c>
      <c r="P215" s="21">
        <v>11.6624</v>
      </c>
      <c r="Q215" s="21">
        <v>-1.45813E-2</v>
      </c>
      <c r="R215" s="21">
        <v>205</v>
      </c>
      <c r="S215" s="21">
        <v>0.93170200000000003</v>
      </c>
      <c r="T215">
        <f t="shared" si="38"/>
        <v>18.001604938271605</v>
      </c>
      <c r="U215">
        <f t="shared" si="39"/>
        <v>16.783112303209876</v>
      </c>
      <c r="X215" s="9"/>
      <c r="Y215" s="21">
        <v>0.78781100000000004</v>
      </c>
      <c r="Z215" s="21">
        <v>17.241099999999999</v>
      </c>
      <c r="AA215" s="21">
        <v>-1.4645399999999999E-2</v>
      </c>
      <c r="AB215" s="21">
        <v>205</v>
      </c>
      <c r="AC215" s="21">
        <v>0.78704799999999997</v>
      </c>
      <c r="AD215">
        <f t="shared" si="40"/>
        <v>18.080740740740737</v>
      </c>
      <c r="AE215">
        <f t="shared" si="41"/>
        <v>14.244206443703701</v>
      </c>
      <c r="AF215" s="9"/>
      <c r="AG215" s="21">
        <v>0.93231200000000003</v>
      </c>
      <c r="AH215" s="21">
        <v>21.1006</v>
      </c>
      <c r="AI215" s="21">
        <v>-1.4517199999999999E-2</v>
      </c>
      <c r="AJ215" s="21">
        <v>205</v>
      </c>
      <c r="AK215" s="21">
        <v>0.931091</v>
      </c>
      <c r="AL215">
        <f t="shared" si="42"/>
        <v>17.922469135802466</v>
      </c>
      <c r="AM215">
        <f t="shared" si="43"/>
        <v>16.709333044938269</v>
      </c>
      <c r="AP215" s="9"/>
      <c r="AQ215" s="21">
        <v>0.78781100000000004</v>
      </c>
      <c r="AR215" s="21">
        <v>26.6493</v>
      </c>
      <c r="AS215" s="21">
        <v>-1.46576E-2</v>
      </c>
      <c r="AT215" s="21">
        <v>205</v>
      </c>
      <c r="AU215" s="21">
        <v>0.78643799999999997</v>
      </c>
      <c r="AV215">
        <f t="shared" si="44"/>
        <v>18.095802469135801</v>
      </c>
      <c r="AW215">
        <f t="shared" si="45"/>
        <v>14.256072239012346</v>
      </c>
      <c r="AX215" s="9"/>
      <c r="AY215" s="21">
        <v>0.93231200000000003</v>
      </c>
      <c r="AZ215" s="21">
        <v>30.508800000000001</v>
      </c>
      <c r="BA215" s="21">
        <v>-1.4572099999999999E-2</v>
      </c>
      <c r="BB215" s="21">
        <v>205</v>
      </c>
      <c r="BC215" s="21">
        <v>0.931091</v>
      </c>
      <c r="BD215">
        <f t="shared" si="46"/>
        <v>17.990246913580243</v>
      </c>
      <c r="BE215">
        <f t="shared" si="47"/>
        <v>16.772523080493823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0.78277600000000003</v>
      </c>
      <c r="H216" s="21">
        <v>7.8129600000000003</v>
      </c>
      <c r="I216" s="21">
        <v>-1.4605699999999999E-2</v>
      </c>
      <c r="J216" s="21">
        <v>206</v>
      </c>
      <c r="K216" s="21">
        <v>0.78186</v>
      </c>
      <c r="L216">
        <f t="shared" si="36"/>
        <v>18.031728395061727</v>
      </c>
      <c r="M216">
        <f t="shared" si="37"/>
        <v>14.114804226172838</v>
      </c>
      <c r="N216" s="9"/>
      <c r="O216" s="21">
        <v>0.93734700000000004</v>
      </c>
      <c r="P216" s="21">
        <v>11.6724</v>
      </c>
      <c r="Q216" s="21">
        <v>-1.45752E-2</v>
      </c>
      <c r="R216" s="21">
        <v>206</v>
      </c>
      <c r="S216" s="21">
        <v>0.93627899999999997</v>
      </c>
      <c r="T216">
        <f t="shared" si="38"/>
        <v>17.994074074074071</v>
      </c>
      <c r="U216">
        <f t="shared" si="39"/>
        <v>16.866691351111108</v>
      </c>
      <c r="X216" s="9"/>
      <c r="Y216" s="21">
        <v>0.78277600000000003</v>
      </c>
      <c r="Z216" s="21">
        <v>17.251200000000001</v>
      </c>
      <c r="AA216" s="21">
        <v>-1.4654500000000001E-2</v>
      </c>
      <c r="AB216" s="21">
        <v>206</v>
      </c>
      <c r="AC216" s="21">
        <v>0.78216600000000003</v>
      </c>
      <c r="AD216">
        <f t="shared" si="40"/>
        <v>18.091975308641977</v>
      </c>
      <c r="AE216">
        <f t="shared" si="41"/>
        <v>14.161964064197534</v>
      </c>
      <c r="AF216" s="9"/>
      <c r="AG216" s="21">
        <v>0.93734700000000004</v>
      </c>
      <c r="AH216" s="21">
        <v>21.110700000000001</v>
      </c>
      <c r="AI216" s="21">
        <v>-1.4511100000000001E-2</v>
      </c>
      <c r="AJ216" s="21">
        <v>206</v>
      </c>
      <c r="AK216" s="21">
        <v>0.93597399999999997</v>
      </c>
      <c r="AL216">
        <f t="shared" si="42"/>
        <v>17.914938271604939</v>
      </c>
      <c r="AM216">
        <f t="shared" si="43"/>
        <v>16.792513644074074</v>
      </c>
      <c r="AP216" s="9"/>
      <c r="AQ216" s="21">
        <v>0.78277600000000003</v>
      </c>
      <c r="AR216" s="21">
        <v>26.659400000000002</v>
      </c>
      <c r="AS216" s="21">
        <v>-1.4660599999999999E-2</v>
      </c>
      <c r="AT216" s="21">
        <v>206</v>
      </c>
      <c r="AU216" s="21">
        <v>0.781555</v>
      </c>
      <c r="AV216">
        <f t="shared" si="44"/>
        <v>18.099506172839504</v>
      </c>
      <c r="AW216">
        <f t="shared" si="45"/>
        <v>14.167859043950616</v>
      </c>
      <c r="AX216" s="9"/>
      <c r="AY216" s="21">
        <v>0.93734700000000004</v>
      </c>
      <c r="AZ216" s="21">
        <v>30.518899999999999</v>
      </c>
      <c r="BA216" s="21">
        <v>-1.4563E-2</v>
      </c>
      <c r="BB216" s="21">
        <v>206</v>
      </c>
      <c r="BC216" s="21">
        <v>0.93689</v>
      </c>
      <c r="BD216">
        <f t="shared" si="46"/>
        <v>17.979012345679013</v>
      </c>
      <c r="BE216">
        <f t="shared" si="47"/>
        <v>16.852573285185187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0.77773999999999999</v>
      </c>
      <c r="H217" s="21">
        <v>7.8230300000000002</v>
      </c>
      <c r="I217" s="21">
        <v>-1.46088E-2</v>
      </c>
      <c r="J217" s="21">
        <v>207</v>
      </c>
      <c r="K217" s="21">
        <v>0.77728299999999995</v>
      </c>
      <c r="L217">
        <f t="shared" si="36"/>
        <v>18.035555555555554</v>
      </c>
      <c r="M217">
        <f t="shared" si="37"/>
        <v>14.026972977777776</v>
      </c>
      <c r="N217" s="9"/>
      <c r="O217" s="21">
        <v>0.94238299999999997</v>
      </c>
      <c r="P217" s="21">
        <v>11.682499999999999</v>
      </c>
      <c r="Q217" s="21">
        <v>-1.4572099999999999E-2</v>
      </c>
      <c r="R217" s="21">
        <v>207</v>
      </c>
      <c r="S217" s="21">
        <v>0.94177200000000005</v>
      </c>
      <c r="T217">
        <f t="shared" si="38"/>
        <v>17.990246913580243</v>
      </c>
      <c r="U217">
        <f t="shared" si="39"/>
        <v>16.95370285716049</v>
      </c>
      <c r="X217" s="9"/>
      <c r="Y217" s="21">
        <v>0.77773999999999999</v>
      </c>
      <c r="Z217" s="21">
        <v>17.261299999999999</v>
      </c>
      <c r="AA217" s="21">
        <v>-1.46667E-2</v>
      </c>
      <c r="AB217" s="21">
        <v>207</v>
      </c>
      <c r="AC217" s="21">
        <v>0.77728299999999995</v>
      </c>
      <c r="AD217">
        <f t="shared" si="40"/>
        <v>18.107037037037035</v>
      </c>
      <c r="AE217">
        <f t="shared" si="41"/>
        <v>14.082566985185183</v>
      </c>
      <c r="AF217" s="9"/>
      <c r="AG217" s="21">
        <v>0.94238299999999997</v>
      </c>
      <c r="AH217" s="21">
        <v>21.120699999999999</v>
      </c>
      <c r="AI217" s="21">
        <v>-1.4517199999999999E-2</v>
      </c>
      <c r="AJ217" s="21">
        <v>207</v>
      </c>
      <c r="AK217" s="21">
        <v>0.94146700000000005</v>
      </c>
      <c r="AL217">
        <f t="shared" si="42"/>
        <v>17.922469135802466</v>
      </c>
      <c r="AM217">
        <f t="shared" si="43"/>
        <v>16.889830231604936</v>
      </c>
      <c r="AP217" s="9"/>
      <c r="AQ217" s="21">
        <v>0.77773999999999999</v>
      </c>
      <c r="AR217" s="21">
        <v>26.669499999999999</v>
      </c>
      <c r="AS217" s="21">
        <v>-1.46637E-2</v>
      </c>
      <c r="AT217" s="21">
        <v>207</v>
      </c>
      <c r="AU217" s="21">
        <v>0.77697799999999995</v>
      </c>
      <c r="AV217">
        <f t="shared" si="44"/>
        <v>18.103333333333332</v>
      </c>
      <c r="AW217">
        <f t="shared" si="45"/>
        <v>14.079686466666665</v>
      </c>
      <c r="AX217" s="9"/>
      <c r="AY217" s="21">
        <v>0.94238299999999997</v>
      </c>
      <c r="AZ217" s="21">
        <v>30.529</v>
      </c>
      <c r="BA217" s="21">
        <v>-1.45538E-2</v>
      </c>
      <c r="BB217" s="21">
        <v>207</v>
      </c>
      <c r="BC217" s="21">
        <v>0.94146700000000005</v>
      </c>
      <c r="BD217">
        <f t="shared" si="46"/>
        <v>17.967654320987652</v>
      </c>
      <c r="BE217">
        <f t="shared" si="47"/>
        <v>16.932411981975307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0.77270499999999998</v>
      </c>
      <c r="H218" s="21">
        <v>7.8331</v>
      </c>
      <c r="I218" s="21">
        <v>-1.46088E-2</v>
      </c>
      <c r="J218" s="21">
        <v>208</v>
      </c>
      <c r="K218" s="21">
        <v>0.77209499999999998</v>
      </c>
      <c r="L218">
        <f t="shared" si="36"/>
        <v>18.035555555555554</v>
      </c>
      <c r="M218">
        <f t="shared" si="37"/>
        <v>13.936163955555553</v>
      </c>
      <c r="N218" s="9"/>
      <c r="O218" s="21">
        <v>0.94741799999999998</v>
      </c>
      <c r="P218" s="21">
        <v>11.692600000000001</v>
      </c>
      <c r="Q218" s="21">
        <v>-1.4559900000000001E-2</v>
      </c>
      <c r="R218" s="21">
        <v>208</v>
      </c>
      <c r="S218" s="21">
        <v>0.94604500000000002</v>
      </c>
      <c r="T218">
        <f t="shared" si="38"/>
        <v>17.975185185185186</v>
      </c>
      <c r="U218">
        <f t="shared" si="39"/>
        <v>17.030013997777779</v>
      </c>
      <c r="X218" s="9"/>
      <c r="Y218" s="21">
        <v>0.77270499999999998</v>
      </c>
      <c r="Z218" s="21">
        <v>17.2713</v>
      </c>
      <c r="AA218" s="21">
        <v>-1.4688100000000001E-2</v>
      </c>
      <c r="AB218" s="21">
        <v>208</v>
      </c>
      <c r="AC218" s="21">
        <v>0.77178999999999998</v>
      </c>
      <c r="AD218">
        <f t="shared" si="40"/>
        <v>18.133456790123457</v>
      </c>
      <c r="AE218">
        <f t="shared" si="41"/>
        <v>14.011812729012345</v>
      </c>
      <c r="AF218" s="9"/>
      <c r="AG218" s="21">
        <v>0.94741799999999998</v>
      </c>
      <c r="AH218" s="21">
        <v>21.130800000000001</v>
      </c>
      <c r="AI218" s="21">
        <v>-1.45203E-2</v>
      </c>
      <c r="AJ218" s="21">
        <v>208</v>
      </c>
      <c r="AK218" s="21">
        <v>0.94635000000000002</v>
      </c>
      <c r="AL218">
        <f t="shared" si="42"/>
        <v>17.926296296296293</v>
      </c>
      <c r="AM218">
        <f t="shared" si="43"/>
        <v>16.983695784444443</v>
      </c>
      <c r="AP218" s="9"/>
      <c r="AQ218" s="21">
        <v>0.77270499999999998</v>
      </c>
      <c r="AR218" s="21">
        <v>26.679500000000001</v>
      </c>
      <c r="AS218" s="21">
        <v>-1.4660599999999999E-2</v>
      </c>
      <c r="AT218" s="21">
        <v>208</v>
      </c>
      <c r="AU218" s="21">
        <v>0.77209499999999998</v>
      </c>
      <c r="AV218">
        <f t="shared" si="44"/>
        <v>18.099506172839504</v>
      </c>
      <c r="AW218">
        <f t="shared" si="45"/>
        <v>13.985578917283949</v>
      </c>
      <c r="AX218" s="9"/>
      <c r="AY218" s="21">
        <v>0.94741799999999998</v>
      </c>
      <c r="AZ218" s="21">
        <v>30.539000000000001</v>
      </c>
      <c r="BA218" s="21">
        <v>-1.45538E-2</v>
      </c>
      <c r="BB218" s="21">
        <v>208</v>
      </c>
      <c r="BC218" s="21">
        <v>0.94696000000000002</v>
      </c>
      <c r="BD218">
        <f t="shared" si="46"/>
        <v>17.967654320987652</v>
      </c>
      <c r="BE218">
        <f t="shared" si="47"/>
        <v>17.022879121481481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0.76766999999999996</v>
      </c>
      <c r="H219" s="21">
        <v>7.8431699999999998</v>
      </c>
      <c r="I219" s="21">
        <v>-1.46149E-2</v>
      </c>
      <c r="J219" s="21">
        <v>209</v>
      </c>
      <c r="K219" s="21">
        <v>0.76660200000000001</v>
      </c>
      <c r="L219">
        <f t="shared" si="36"/>
        <v>18.043086419753088</v>
      </c>
      <c r="M219">
        <f t="shared" si="37"/>
        <v>13.851136151851852</v>
      </c>
      <c r="N219" s="9"/>
      <c r="O219" s="21">
        <v>0.95245400000000002</v>
      </c>
      <c r="P219" s="21">
        <v>11.7026</v>
      </c>
      <c r="Q219" s="21">
        <v>-1.45538E-2</v>
      </c>
      <c r="R219" s="21">
        <v>209</v>
      </c>
      <c r="S219" s="21">
        <v>0.95184299999999999</v>
      </c>
      <c r="T219">
        <f t="shared" si="38"/>
        <v>17.967654320987652</v>
      </c>
      <c r="U219">
        <f t="shared" si="39"/>
        <v>17.113364228641974</v>
      </c>
      <c r="X219" s="9"/>
      <c r="Y219" s="21">
        <v>0.76766999999999996</v>
      </c>
      <c r="Z219" s="21">
        <v>17.281400000000001</v>
      </c>
      <c r="AA219" s="21">
        <v>-1.46912E-2</v>
      </c>
      <c r="AB219" s="21">
        <v>209</v>
      </c>
      <c r="AC219" s="21">
        <v>0.76660200000000001</v>
      </c>
      <c r="AD219">
        <f t="shared" si="40"/>
        <v>18.137283950617284</v>
      </c>
      <c r="AE219">
        <f t="shared" si="41"/>
        <v>13.923448770370371</v>
      </c>
      <c r="AF219" s="9"/>
      <c r="AG219" s="21">
        <v>0.95245400000000002</v>
      </c>
      <c r="AH219" s="21">
        <v>21.140899999999998</v>
      </c>
      <c r="AI219" s="21">
        <v>-1.4523299999999999E-2</v>
      </c>
      <c r="AJ219" s="21">
        <v>209</v>
      </c>
      <c r="AK219" s="21">
        <v>0.95153799999999999</v>
      </c>
      <c r="AL219">
        <f t="shared" si="42"/>
        <v>17.93</v>
      </c>
      <c r="AM219">
        <f t="shared" si="43"/>
        <v>17.077500220000001</v>
      </c>
      <c r="AP219" s="9"/>
      <c r="AQ219" s="21">
        <v>0.76766999999999996</v>
      </c>
      <c r="AR219" s="21">
        <v>26.689599999999999</v>
      </c>
      <c r="AS219" s="21">
        <v>-1.4654500000000001E-2</v>
      </c>
      <c r="AT219" s="21">
        <v>209</v>
      </c>
      <c r="AU219" s="21">
        <v>0.76721200000000001</v>
      </c>
      <c r="AV219">
        <f t="shared" si="44"/>
        <v>18.091975308641977</v>
      </c>
      <c r="AW219">
        <f t="shared" si="45"/>
        <v>13.888666685185186</v>
      </c>
      <c r="AX219" s="9"/>
      <c r="AY219" s="21">
        <v>0.95245400000000002</v>
      </c>
      <c r="AZ219" s="21">
        <v>30.549099999999999</v>
      </c>
      <c r="BA219" s="21">
        <v>-1.4556899999999999E-2</v>
      </c>
      <c r="BB219" s="21">
        <v>209</v>
      </c>
      <c r="BC219" s="21">
        <v>0.95153799999999999</v>
      </c>
      <c r="BD219">
        <f t="shared" si="46"/>
        <v>17.971481481481479</v>
      </c>
      <c r="BE219">
        <f t="shared" si="47"/>
        <v>17.117009422962962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0.76263400000000003</v>
      </c>
      <c r="H220" s="21">
        <v>7.8532400000000004</v>
      </c>
      <c r="I220" s="21">
        <v>-1.46179E-2</v>
      </c>
      <c r="J220" s="21">
        <v>210</v>
      </c>
      <c r="K220" s="21">
        <v>0.76110800000000001</v>
      </c>
      <c r="L220">
        <f t="shared" si="36"/>
        <v>18.046790123456791</v>
      </c>
      <c r="M220">
        <f t="shared" si="37"/>
        <v>13.763095739012346</v>
      </c>
      <c r="N220" s="9"/>
      <c r="O220" s="21">
        <v>0.95748900000000003</v>
      </c>
      <c r="P220" s="21">
        <v>11.7127</v>
      </c>
      <c r="Q220" s="21">
        <v>-1.45477E-2</v>
      </c>
      <c r="R220" s="21">
        <v>210</v>
      </c>
      <c r="S220" s="21">
        <v>0.95581099999999997</v>
      </c>
      <c r="T220">
        <f t="shared" si="38"/>
        <v>17.960123456790122</v>
      </c>
      <c r="U220">
        <f t="shared" si="39"/>
        <v>17.196620648518518</v>
      </c>
      <c r="X220" s="9"/>
      <c r="Y220" s="21">
        <v>0.76263400000000003</v>
      </c>
      <c r="Z220" s="21">
        <v>17.291499999999999</v>
      </c>
      <c r="AA220" s="21">
        <v>-1.4700299999999999E-2</v>
      </c>
      <c r="AB220" s="21">
        <v>210</v>
      </c>
      <c r="AC220" s="21">
        <v>0.76171900000000003</v>
      </c>
      <c r="AD220">
        <f t="shared" si="40"/>
        <v>18.148518518518514</v>
      </c>
      <c r="AE220">
        <f t="shared" si="41"/>
        <v>13.840677271851849</v>
      </c>
      <c r="AF220" s="9"/>
      <c r="AG220" s="21">
        <v>0.95748900000000003</v>
      </c>
      <c r="AH220" s="21">
        <v>21.1509</v>
      </c>
      <c r="AI220" s="21">
        <v>-1.4523299999999999E-2</v>
      </c>
      <c r="AJ220" s="21">
        <v>210</v>
      </c>
      <c r="AK220" s="21">
        <v>0.95672599999999997</v>
      </c>
      <c r="AL220">
        <f t="shared" si="42"/>
        <v>17.93</v>
      </c>
      <c r="AM220">
        <f t="shared" si="43"/>
        <v>17.167777770000001</v>
      </c>
      <c r="AP220" s="9"/>
      <c r="AQ220" s="21">
        <v>0.76263400000000003</v>
      </c>
      <c r="AR220" s="21">
        <v>26.6997</v>
      </c>
      <c r="AS220" s="21">
        <v>-1.4645399999999999E-2</v>
      </c>
      <c r="AT220" s="21">
        <v>210</v>
      </c>
      <c r="AU220" s="21">
        <v>0.76171900000000003</v>
      </c>
      <c r="AV220">
        <f t="shared" si="44"/>
        <v>18.080740740740737</v>
      </c>
      <c r="AW220">
        <f t="shared" si="45"/>
        <v>13.788987634074072</v>
      </c>
      <c r="AX220" s="9"/>
      <c r="AY220" s="21">
        <v>0.95748900000000003</v>
      </c>
      <c r="AZ220" s="21">
        <v>30.559200000000001</v>
      </c>
      <c r="BA220" s="21">
        <v>-1.4544700000000001E-2</v>
      </c>
      <c r="BB220" s="21">
        <v>210</v>
      </c>
      <c r="BC220" s="21">
        <v>0.95642099999999997</v>
      </c>
      <c r="BD220">
        <f t="shared" si="46"/>
        <v>17.956419753086422</v>
      </c>
      <c r="BE220">
        <f t="shared" si="47"/>
        <v>17.193074392962966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0.75759900000000002</v>
      </c>
      <c r="H221" s="21">
        <v>7.8633199999999999</v>
      </c>
      <c r="I221" s="21">
        <v>-1.4624E-2</v>
      </c>
      <c r="J221" s="21">
        <v>211</v>
      </c>
      <c r="K221" s="21">
        <v>0.75622599999999995</v>
      </c>
      <c r="L221">
        <f t="shared" si="36"/>
        <v>18.054320987654318</v>
      </c>
      <c r="M221">
        <f t="shared" si="37"/>
        <v>13.677935525925925</v>
      </c>
      <c r="N221" s="9"/>
      <c r="O221" s="21">
        <v>0.96252400000000005</v>
      </c>
      <c r="P221" s="21">
        <v>11.722799999999999</v>
      </c>
      <c r="Q221" s="21">
        <v>-1.45355E-2</v>
      </c>
      <c r="R221" s="21">
        <v>211</v>
      </c>
      <c r="S221" s="21">
        <v>0.96160900000000005</v>
      </c>
      <c r="T221">
        <f t="shared" si="38"/>
        <v>17.945061728395061</v>
      </c>
      <c r="U221">
        <f t="shared" si="39"/>
        <v>17.272552595061729</v>
      </c>
      <c r="X221" s="9"/>
      <c r="Y221" s="21">
        <v>0.75759900000000002</v>
      </c>
      <c r="Z221" s="21">
        <v>17.301500000000001</v>
      </c>
      <c r="AA221" s="21">
        <v>-1.47034E-2</v>
      </c>
      <c r="AB221" s="21">
        <v>211</v>
      </c>
      <c r="AC221" s="21">
        <v>0.75683599999999995</v>
      </c>
      <c r="AD221">
        <f t="shared" si="40"/>
        <v>18.152345679012342</v>
      </c>
      <c r="AE221">
        <f t="shared" si="41"/>
        <v>13.752198934074071</v>
      </c>
      <c r="AF221" s="9"/>
      <c r="AG221" s="21">
        <v>0.96252400000000005</v>
      </c>
      <c r="AH221" s="21">
        <v>21.161000000000001</v>
      </c>
      <c r="AI221" s="21">
        <v>-1.4523299999999999E-2</v>
      </c>
      <c r="AJ221" s="21">
        <v>211</v>
      </c>
      <c r="AK221" s="21">
        <v>0.96160900000000005</v>
      </c>
      <c r="AL221">
        <f t="shared" si="42"/>
        <v>17.93</v>
      </c>
      <c r="AM221">
        <f t="shared" si="43"/>
        <v>17.25805532</v>
      </c>
      <c r="AP221" s="9"/>
      <c r="AQ221" s="21">
        <v>0.75759900000000002</v>
      </c>
      <c r="AR221" s="21">
        <v>26.709800000000001</v>
      </c>
      <c r="AS221" s="21">
        <v>-1.46576E-2</v>
      </c>
      <c r="AT221" s="21">
        <v>211</v>
      </c>
      <c r="AU221" s="21">
        <v>0.75653099999999995</v>
      </c>
      <c r="AV221">
        <f t="shared" si="44"/>
        <v>18.095802469135801</v>
      </c>
      <c r="AW221">
        <f t="shared" si="45"/>
        <v>13.709361854814814</v>
      </c>
      <c r="AX221" s="9"/>
      <c r="AY221" s="21">
        <v>0.96252400000000005</v>
      </c>
      <c r="AZ221" s="21">
        <v>30.569199999999999</v>
      </c>
      <c r="BA221" s="21">
        <v>-1.45325E-2</v>
      </c>
      <c r="BB221" s="21">
        <v>211</v>
      </c>
      <c r="BC221" s="21">
        <v>0.96130400000000005</v>
      </c>
      <c r="BD221">
        <f t="shared" si="46"/>
        <v>17.941358024691358</v>
      </c>
      <c r="BE221">
        <f t="shared" si="47"/>
        <v>17.268987691358024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0.75256299999999998</v>
      </c>
      <c r="H222" s="21">
        <v>7.8733899999999997</v>
      </c>
      <c r="I222" s="21">
        <v>-1.4624E-2</v>
      </c>
      <c r="J222" s="21">
        <v>212</v>
      </c>
      <c r="K222" s="21">
        <v>0.75164799999999998</v>
      </c>
      <c r="L222">
        <f t="shared" si="36"/>
        <v>18.054320987654318</v>
      </c>
      <c r="M222">
        <f t="shared" si="37"/>
        <v>13.587013965432096</v>
      </c>
      <c r="N222" s="9"/>
      <c r="O222" s="21">
        <v>0.96755999999999998</v>
      </c>
      <c r="P222" s="21">
        <v>11.732900000000001</v>
      </c>
      <c r="Q222" s="21">
        <v>-1.45294E-2</v>
      </c>
      <c r="R222" s="21">
        <v>212</v>
      </c>
      <c r="S222" s="21">
        <v>0.96710200000000002</v>
      </c>
      <c r="T222">
        <f t="shared" si="38"/>
        <v>17.93753086419753</v>
      </c>
      <c r="U222">
        <f t="shared" si="39"/>
        <v>17.355637362962963</v>
      </c>
      <c r="X222" s="9"/>
      <c r="Y222" s="21">
        <v>0.75256299999999998</v>
      </c>
      <c r="Z222" s="21">
        <v>17.311599999999999</v>
      </c>
      <c r="AA222" s="21">
        <v>-1.47064E-2</v>
      </c>
      <c r="AB222" s="21">
        <v>212</v>
      </c>
      <c r="AC222" s="21">
        <v>0.75164799999999998</v>
      </c>
      <c r="AD222">
        <f t="shared" si="40"/>
        <v>18.156049382716049</v>
      </c>
      <c r="AE222">
        <f t="shared" si="41"/>
        <v>13.663570991604937</v>
      </c>
      <c r="AF222" s="9"/>
      <c r="AG222" s="21">
        <v>0.96755999999999998</v>
      </c>
      <c r="AH222" s="21">
        <v>21.171099999999999</v>
      </c>
      <c r="AI222" s="21">
        <v>-1.4517199999999999E-2</v>
      </c>
      <c r="AJ222" s="21">
        <v>212</v>
      </c>
      <c r="AK222" s="21">
        <v>0.96710200000000002</v>
      </c>
      <c r="AL222">
        <f t="shared" si="42"/>
        <v>17.922469135802466</v>
      </c>
      <c r="AM222">
        <f t="shared" si="43"/>
        <v>17.341064237037035</v>
      </c>
      <c r="AP222" s="9"/>
      <c r="AQ222" s="21">
        <v>0.75256299999999998</v>
      </c>
      <c r="AR222" s="21">
        <v>26.719799999999999</v>
      </c>
      <c r="AS222" s="21">
        <v>-1.46576E-2</v>
      </c>
      <c r="AT222" s="21">
        <v>212</v>
      </c>
      <c r="AU222" s="21">
        <v>0.75195299999999998</v>
      </c>
      <c r="AV222">
        <f t="shared" si="44"/>
        <v>18.095802469135801</v>
      </c>
      <c r="AW222">
        <f t="shared" si="45"/>
        <v>13.618231393580245</v>
      </c>
      <c r="AX222" s="9"/>
      <c r="AY222" s="21">
        <v>0.96755999999999998</v>
      </c>
      <c r="AZ222" s="21">
        <v>30.5793</v>
      </c>
      <c r="BA222" s="21">
        <v>-1.45325E-2</v>
      </c>
      <c r="BB222" s="21">
        <v>212</v>
      </c>
      <c r="BC222" s="21">
        <v>0.96649200000000002</v>
      </c>
      <c r="BD222">
        <f t="shared" si="46"/>
        <v>17.941358024691358</v>
      </c>
      <c r="BE222">
        <f t="shared" si="47"/>
        <v>17.359340370370369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0.74752799999999997</v>
      </c>
      <c r="H223" s="21">
        <v>7.8834600000000004</v>
      </c>
      <c r="I223" s="21">
        <v>-1.46179E-2</v>
      </c>
      <c r="J223" s="21">
        <v>213</v>
      </c>
      <c r="K223" s="21">
        <v>0.74682599999999999</v>
      </c>
      <c r="L223">
        <f t="shared" si="36"/>
        <v>18.046790123456791</v>
      </c>
      <c r="M223">
        <f t="shared" si="37"/>
        <v>13.490480927407408</v>
      </c>
      <c r="N223" s="9"/>
      <c r="O223" s="21">
        <v>0.97259499999999999</v>
      </c>
      <c r="P223" s="21">
        <v>11.742900000000001</v>
      </c>
      <c r="Q223" s="21">
        <v>-1.45264E-2</v>
      </c>
      <c r="R223" s="21">
        <v>213</v>
      </c>
      <c r="S223" s="21">
        <v>0.97137499999999999</v>
      </c>
      <c r="T223">
        <f t="shared" si="38"/>
        <v>17.933827160493827</v>
      </c>
      <c r="U223">
        <f t="shared" si="39"/>
        <v>17.442350627160494</v>
      </c>
      <c r="X223" s="9"/>
      <c r="Y223" s="21">
        <v>0.74752799999999997</v>
      </c>
      <c r="Z223" s="21">
        <v>17.3217</v>
      </c>
      <c r="AA223" s="21">
        <v>-1.47034E-2</v>
      </c>
      <c r="AB223" s="21">
        <v>213</v>
      </c>
      <c r="AC223" s="21">
        <v>0.74691799999999997</v>
      </c>
      <c r="AD223">
        <f t="shared" si="40"/>
        <v>18.152345679012342</v>
      </c>
      <c r="AE223">
        <f t="shared" si="41"/>
        <v>13.569386660740737</v>
      </c>
      <c r="AF223" s="9"/>
      <c r="AG223" s="21">
        <v>0.97259499999999999</v>
      </c>
      <c r="AH223" s="21">
        <v>21.181100000000001</v>
      </c>
      <c r="AI223" s="21">
        <v>-1.45142E-2</v>
      </c>
      <c r="AJ223" s="21">
        <v>213</v>
      </c>
      <c r="AK223" s="21">
        <v>0.97167999999999999</v>
      </c>
      <c r="AL223">
        <f t="shared" si="42"/>
        <v>17.918765432098763</v>
      </c>
      <c r="AM223">
        <f t="shared" si="43"/>
        <v>17.427701665432096</v>
      </c>
      <c r="AP223" s="9"/>
      <c r="AQ223" s="21">
        <v>0.74752799999999997</v>
      </c>
      <c r="AR223" s="21">
        <v>26.729900000000001</v>
      </c>
      <c r="AS223" s="21">
        <v>-1.46576E-2</v>
      </c>
      <c r="AT223" s="21">
        <v>213</v>
      </c>
      <c r="AU223" s="21">
        <v>0.74685699999999999</v>
      </c>
      <c r="AV223">
        <f t="shared" si="44"/>
        <v>18.095802469135801</v>
      </c>
      <c r="AW223">
        <f t="shared" si="45"/>
        <v>13.527119028148146</v>
      </c>
      <c r="AX223" s="9"/>
      <c r="AY223" s="21">
        <v>0.97259499999999999</v>
      </c>
      <c r="AZ223" s="21">
        <v>30.589400000000001</v>
      </c>
      <c r="BA223" s="21">
        <v>-1.45325E-2</v>
      </c>
      <c r="BB223" s="21">
        <v>213</v>
      </c>
      <c r="BC223" s="21">
        <v>0.97137499999999999</v>
      </c>
      <c r="BD223">
        <f t="shared" si="46"/>
        <v>17.941358024691358</v>
      </c>
      <c r="BE223">
        <f t="shared" si="47"/>
        <v>17.449675108024692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0.74249299999999996</v>
      </c>
      <c r="H224" s="21">
        <v>7.8935300000000002</v>
      </c>
      <c r="I224" s="21">
        <v>-1.4611799999999999E-2</v>
      </c>
      <c r="J224" s="21">
        <v>214</v>
      </c>
      <c r="K224" s="21">
        <v>0.74182099999999995</v>
      </c>
      <c r="L224">
        <f t="shared" si="36"/>
        <v>18.039259259259257</v>
      </c>
      <c r="M224">
        <f t="shared" si="37"/>
        <v>13.394023725185184</v>
      </c>
      <c r="N224" s="9"/>
      <c r="O224" s="21">
        <v>0.97763100000000003</v>
      </c>
      <c r="P224" s="21">
        <v>11.753</v>
      </c>
      <c r="Q224" s="21">
        <v>-1.45203E-2</v>
      </c>
      <c r="R224" s="21">
        <v>214</v>
      </c>
      <c r="S224" s="21">
        <v>0.97686799999999996</v>
      </c>
      <c r="T224">
        <f t="shared" si="38"/>
        <v>17.926296296296293</v>
      </c>
      <c r="U224">
        <f t="shared" si="39"/>
        <v>17.525302974444443</v>
      </c>
      <c r="X224" s="9"/>
      <c r="Y224" s="21">
        <v>0.74249299999999996</v>
      </c>
      <c r="Z224" s="21">
        <v>17.331700000000001</v>
      </c>
      <c r="AA224" s="21">
        <v>-1.47064E-2</v>
      </c>
      <c r="AB224" s="21">
        <v>214</v>
      </c>
      <c r="AC224" s="21">
        <v>0.74175999999999997</v>
      </c>
      <c r="AD224">
        <f t="shared" si="40"/>
        <v>18.156049382716049</v>
      </c>
      <c r="AE224">
        <f t="shared" si="41"/>
        <v>13.480739574320987</v>
      </c>
      <c r="AF224" s="9"/>
      <c r="AG224" s="21">
        <v>0.97763100000000003</v>
      </c>
      <c r="AH224" s="21">
        <v>21.191199999999998</v>
      </c>
      <c r="AI224" s="21">
        <v>-1.4511100000000001E-2</v>
      </c>
      <c r="AJ224" s="21">
        <v>214</v>
      </c>
      <c r="AK224" s="21">
        <v>0.97625700000000004</v>
      </c>
      <c r="AL224">
        <f t="shared" si="42"/>
        <v>17.914938271604939</v>
      </c>
      <c r="AM224">
        <f t="shared" si="43"/>
        <v>17.514199017407407</v>
      </c>
      <c r="AP224" s="9"/>
      <c r="AQ224" s="21">
        <v>0.74249299999999996</v>
      </c>
      <c r="AR224" s="21">
        <v>26.74</v>
      </c>
      <c r="AS224" s="21">
        <v>-1.46515E-2</v>
      </c>
      <c r="AT224" s="21">
        <v>214</v>
      </c>
      <c r="AU224" s="21">
        <v>0.74182099999999995</v>
      </c>
      <c r="AV224">
        <f t="shared" si="44"/>
        <v>18.088271604938271</v>
      </c>
      <c r="AW224">
        <f t="shared" si="45"/>
        <v>13.430415048765431</v>
      </c>
      <c r="AX224" s="9"/>
      <c r="AY224" s="21">
        <v>0.97763100000000003</v>
      </c>
      <c r="AZ224" s="21">
        <v>30.599399999999999</v>
      </c>
      <c r="BA224" s="21">
        <v>-1.45294E-2</v>
      </c>
      <c r="BB224" s="21">
        <v>214</v>
      </c>
      <c r="BC224" s="21">
        <v>0.97656299999999996</v>
      </c>
      <c r="BD224">
        <f t="shared" si="46"/>
        <v>17.93753086419753</v>
      </c>
      <c r="BE224">
        <f t="shared" si="47"/>
        <v>17.536286236296295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0.73745700000000003</v>
      </c>
      <c r="H225" s="21">
        <v>7.9036</v>
      </c>
      <c r="I225" s="21">
        <v>-1.4605699999999999E-2</v>
      </c>
      <c r="J225" s="21">
        <v>215</v>
      </c>
      <c r="K225" s="21">
        <v>0.73675500000000005</v>
      </c>
      <c r="L225">
        <f t="shared" si="36"/>
        <v>18.031728395061727</v>
      </c>
      <c r="M225">
        <f t="shared" si="37"/>
        <v>13.297624327037036</v>
      </c>
      <c r="N225" s="9"/>
      <c r="O225" s="21">
        <v>0.98266600000000004</v>
      </c>
      <c r="P225" s="21">
        <v>11.7631</v>
      </c>
      <c r="Q225" s="21">
        <v>-1.45203E-2</v>
      </c>
      <c r="R225" s="21">
        <v>215</v>
      </c>
      <c r="S225" s="21">
        <v>0.98114000000000001</v>
      </c>
      <c r="T225">
        <f t="shared" si="38"/>
        <v>17.926296296296293</v>
      </c>
      <c r="U225">
        <f t="shared" si="39"/>
        <v>17.615561876296294</v>
      </c>
      <c r="X225" s="9"/>
      <c r="Y225" s="21">
        <v>0.73745700000000003</v>
      </c>
      <c r="Z225" s="21">
        <v>17.341799999999999</v>
      </c>
      <c r="AA225" s="21">
        <v>-1.47034E-2</v>
      </c>
      <c r="AB225" s="21">
        <v>215</v>
      </c>
      <c r="AC225" s="21">
        <v>0.73681600000000003</v>
      </c>
      <c r="AD225">
        <f t="shared" si="40"/>
        <v>18.152345679012342</v>
      </c>
      <c r="AE225">
        <f t="shared" si="41"/>
        <v>13.386574387407405</v>
      </c>
      <c r="AF225" s="9"/>
      <c r="AG225" s="21">
        <v>0.98266600000000004</v>
      </c>
      <c r="AH225" s="21">
        <v>21.2013</v>
      </c>
      <c r="AI225" s="21">
        <v>-1.4511100000000001E-2</v>
      </c>
      <c r="AJ225" s="21">
        <v>215</v>
      </c>
      <c r="AK225" s="21">
        <v>0.98175000000000001</v>
      </c>
      <c r="AL225">
        <f t="shared" si="42"/>
        <v>17.914938271604939</v>
      </c>
      <c r="AM225">
        <f t="shared" si="43"/>
        <v>17.60440073160494</v>
      </c>
      <c r="AP225" s="9"/>
      <c r="AQ225" s="21">
        <v>0.73745700000000003</v>
      </c>
      <c r="AR225" s="21">
        <v>26.75</v>
      </c>
      <c r="AS225" s="21">
        <v>-1.46423E-2</v>
      </c>
      <c r="AT225" s="21">
        <v>215</v>
      </c>
      <c r="AU225" s="21">
        <v>0.736877</v>
      </c>
      <c r="AV225">
        <f t="shared" si="44"/>
        <v>18.076913580246913</v>
      </c>
      <c r="AW225">
        <f t="shared" si="45"/>
        <v>13.330946458148148</v>
      </c>
      <c r="AX225" s="9"/>
      <c r="AY225" s="21">
        <v>0.98266600000000004</v>
      </c>
      <c r="AZ225" s="21">
        <v>30.609500000000001</v>
      </c>
      <c r="BA225" s="21">
        <v>-1.4523299999999999E-2</v>
      </c>
      <c r="BB225" s="21">
        <v>215</v>
      </c>
      <c r="BC225" s="21">
        <v>0.98205600000000004</v>
      </c>
      <c r="BD225">
        <f t="shared" si="46"/>
        <v>17.93</v>
      </c>
      <c r="BE225">
        <f t="shared" si="47"/>
        <v>17.61920138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0.73242200000000002</v>
      </c>
      <c r="H226" s="21">
        <v>7.9136699999999998</v>
      </c>
      <c r="I226" s="21">
        <v>-1.4599600000000001E-2</v>
      </c>
      <c r="J226" s="21">
        <v>216</v>
      </c>
      <c r="K226" s="21">
        <v>0.73172000000000004</v>
      </c>
      <c r="L226">
        <f t="shared" si="36"/>
        <v>18.0241975308642</v>
      </c>
      <c r="M226">
        <f t="shared" si="37"/>
        <v>13.201318803950619</v>
      </c>
      <c r="N226" s="9"/>
      <c r="O226" s="21">
        <v>0.98770100000000005</v>
      </c>
      <c r="P226" s="21">
        <v>11.773099999999999</v>
      </c>
      <c r="Q226" s="21">
        <v>-1.4517199999999999E-2</v>
      </c>
      <c r="R226" s="21">
        <v>216</v>
      </c>
      <c r="S226" s="21">
        <v>0.98663299999999998</v>
      </c>
      <c r="T226">
        <f t="shared" si="38"/>
        <v>17.922469135802466</v>
      </c>
      <c r="U226">
        <f t="shared" si="39"/>
        <v>17.702040687901231</v>
      </c>
      <c r="X226" s="9"/>
      <c r="Y226" s="21">
        <v>0.73242200000000002</v>
      </c>
      <c r="Z226" s="21">
        <v>17.351900000000001</v>
      </c>
      <c r="AA226" s="21">
        <v>-1.47064E-2</v>
      </c>
      <c r="AB226" s="21">
        <v>216</v>
      </c>
      <c r="AC226" s="21">
        <v>0.73168900000000003</v>
      </c>
      <c r="AD226">
        <f t="shared" si="40"/>
        <v>18.156049382716049</v>
      </c>
      <c r="AE226">
        <f t="shared" si="41"/>
        <v>13.297890000987653</v>
      </c>
      <c r="AF226" s="9"/>
      <c r="AG226" s="21">
        <v>0.98770100000000005</v>
      </c>
      <c r="AH226" s="21">
        <v>21.211400000000001</v>
      </c>
      <c r="AI226" s="21">
        <v>-1.4508099999999999E-2</v>
      </c>
      <c r="AJ226" s="21">
        <v>216</v>
      </c>
      <c r="AK226" s="21">
        <v>0.98632799999999998</v>
      </c>
      <c r="AL226">
        <f t="shared" si="42"/>
        <v>17.911234567901232</v>
      </c>
      <c r="AM226">
        <f t="shared" si="43"/>
        <v>17.690944293950615</v>
      </c>
      <c r="AP226" s="9"/>
      <c r="AQ226" s="21">
        <v>0.73242200000000002</v>
      </c>
      <c r="AR226" s="21">
        <v>26.760100000000001</v>
      </c>
      <c r="AS226" s="21">
        <v>-1.4645399999999999E-2</v>
      </c>
      <c r="AT226" s="21">
        <v>216</v>
      </c>
      <c r="AU226" s="21">
        <v>0.73178100000000001</v>
      </c>
      <c r="AV226">
        <f t="shared" si="44"/>
        <v>18.080740740740737</v>
      </c>
      <c r="AW226">
        <f t="shared" si="45"/>
        <v>13.242732294814813</v>
      </c>
      <c r="AX226" s="9"/>
      <c r="AY226" s="21">
        <v>0.98770100000000005</v>
      </c>
      <c r="AZ226" s="21">
        <v>30.619599999999998</v>
      </c>
      <c r="BA226" s="21">
        <v>-1.4511100000000001E-2</v>
      </c>
      <c r="BB226" s="21">
        <v>216</v>
      </c>
      <c r="BC226" s="21">
        <v>0.98693799999999998</v>
      </c>
      <c r="BD226">
        <f t="shared" si="46"/>
        <v>17.914938271604939</v>
      </c>
      <c r="BE226">
        <f t="shared" si="47"/>
        <v>17.69460244580247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0.72738599999999998</v>
      </c>
      <c r="H227" s="21">
        <v>7.9237399999999996</v>
      </c>
      <c r="I227" s="21">
        <v>-1.4599600000000001E-2</v>
      </c>
      <c r="J227" s="21">
        <v>217</v>
      </c>
      <c r="K227" s="21">
        <v>0.72677599999999998</v>
      </c>
      <c r="L227">
        <f t="shared" si="36"/>
        <v>18.0241975308642</v>
      </c>
      <c r="M227">
        <f t="shared" si="37"/>
        <v>13.110548945185187</v>
      </c>
      <c r="N227" s="9"/>
      <c r="O227" s="21">
        <v>0.99273699999999998</v>
      </c>
      <c r="P227" s="21">
        <v>11.783200000000001</v>
      </c>
      <c r="Q227" s="21">
        <v>-1.45142E-2</v>
      </c>
      <c r="R227" s="21">
        <v>217</v>
      </c>
      <c r="S227" s="21">
        <v>0.99212599999999995</v>
      </c>
      <c r="T227">
        <f t="shared" si="38"/>
        <v>17.918765432098763</v>
      </c>
      <c r="U227">
        <f t="shared" si="39"/>
        <v>17.788621438765428</v>
      </c>
      <c r="X227" s="9"/>
      <c r="Y227" s="21">
        <v>0.72738599999999998</v>
      </c>
      <c r="Z227" s="21">
        <v>17.361999999999998</v>
      </c>
      <c r="AA227" s="21">
        <v>-1.4700299999999999E-2</v>
      </c>
      <c r="AB227" s="21">
        <v>217</v>
      </c>
      <c r="AC227" s="21">
        <v>0.72677599999999998</v>
      </c>
      <c r="AD227">
        <f t="shared" si="40"/>
        <v>18.148518518518514</v>
      </c>
      <c r="AE227">
        <f t="shared" si="41"/>
        <v>13.200978291111108</v>
      </c>
      <c r="AF227" s="9"/>
      <c r="AG227" s="21">
        <v>0.99273699999999998</v>
      </c>
      <c r="AH227" s="21">
        <v>21.221399999999999</v>
      </c>
      <c r="AI227" s="21">
        <v>-1.44958E-2</v>
      </c>
      <c r="AJ227" s="21">
        <v>217</v>
      </c>
      <c r="AK227" s="21">
        <v>0.99212599999999995</v>
      </c>
      <c r="AL227">
        <f t="shared" si="42"/>
        <v>17.896049382716047</v>
      </c>
      <c r="AM227">
        <f t="shared" si="43"/>
        <v>17.766070376049381</v>
      </c>
      <c r="AP227" s="9"/>
      <c r="AQ227" s="21">
        <v>0.72738599999999998</v>
      </c>
      <c r="AR227" s="21">
        <v>26.770199999999999</v>
      </c>
      <c r="AS227" s="21">
        <v>-1.4654500000000001E-2</v>
      </c>
      <c r="AT227" s="21">
        <v>217</v>
      </c>
      <c r="AU227" s="21">
        <v>0.726715</v>
      </c>
      <c r="AV227">
        <f t="shared" si="44"/>
        <v>18.091975308641977</v>
      </c>
      <c r="AW227">
        <f t="shared" si="45"/>
        <v>13.159849551851853</v>
      </c>
      <c r="AX227" s="9"/>
      <c r="AY227" s="21">
        <v>0.99273699999999998</v>
      </c>
      <c r="AZ227" s="21">
        <v>30.6297</v>
      </c>
      <c r="BA227" s="21">
        <v>-1.4501999999999999E-2</v>
      </c>
      <c r="BB227" s="21">
        <v>217</v>
      </c>
      <c r="BC227" s="21">
        <v>0.99121099999999995</v>
      </c>
      <c r="BD227">
        <f t="shared" si="46"/>
        <v>17.903703703703702</v>
      </c>
      <c r="BE227">
        <f t="shared" si="47"/>
        <v>17.7736691037037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0.72235099999999997</v>
      </c>
      <c r="H228" s="21">
        <v>7.9338100000000003</v>
      </c>
      <c r="I228" s="21">
        <v>-1.46027E-2</v>
      </c>
      <c r="J228" s="21">
        <v>218</v>
      </c>
      <c r="K228" s="21">
        <v>0.72167999999999999</v>
      </c>
      <c r="L228">
        <f t="shared" si="36"/>
        <v>18.028024691358024</v>
      </c>
      <c r="M228">
        <f t="shared" si="37"/>
        <v>13.022561663827158</v>
      </c>
      <c r="N228" s="9"/>
      <c r="O228" s="21">
        <v>0.99777199999999999</v>
      </c>
      <c r="P228" s="21">
        <v>11.7933</v>
      </c>
      <c r="Q228" s="21">
        <v>-1.4508099999999999E-2</v>
      </c>
      <c r="R228" s="21">
        <v>218</v>
      </c>
      <c r="S228" s="21">
        <v>0.99670400000000003</v>
      </c>
      <c r="T228">
        <f t="shared" si="38"/>
        <v>17.911234567901232</v>
      </c>
      <c r="U228">
        <f t="shared" si="39"/>
        <v>17.871328337283948</v>
      </c>
      <c r="X228" s="9"/>
      <c r="Y228" s="21">
        <v>0.72235099999999997</v>
      </c>
      <c r="Z228" s="21">
        <v>17.372</v>
      </c>
      <c r="AA228" s="21">
        <v>-1.4694199999999999E-2</v>
      </c>
      <c r="AB228" s="21">
        <v>218</v>
      </c>
      <c r="AC228" s="21">
        <v>0.72164899999999998</v>
      </c>
      <c r="AD228">
        <f t="shared" si="40"/>
        <v>18.140987654320988</v>
      </c>
      <c r="AE228">
        <f t="shared" si="41"/>
        <v>13.104160573086419</v>
      </c>
      <c r="AF228" s="9"/>
      <c r="AG228" s="21">
        <v>0.99777199999999999</v>
      </c>
      <c r="AH228" s="21">
        <v>21.2315</v>
      </c>
      <c r="AI228" s="21">
        <v>-1.44806E-2</v>
      </c>
      <c r="AJ228" s="21">
        <v>218</v>
      </c>
      <c r="AK228" s="21">
        <v>0.99609400000000003</v>
      </c>
      <c r="AL228">
        <f t="shared" si="42"/>
        <v>17.877283950617283</v>
      </c>
      <c r="AM228">
        <f t="shared" si="43"/>
        <v>17.837453361975307</v>
      </c>
      <c r="AP228" s="9"/>
      <c r="AQ228" s="21">
        <v>0.72235099999999997</v>
      </c>
      <c r="AR228" s="21">
        <v>26.7803</v>
      </c>
      <c r="AS228" s="21">
        <v>-1.46515E-2</v>
      </c>
      <c r="AT228" s="21">
        <v>218</v>
      </c>
      <c r="AU228" s="21">
        <v>0.72164899999999998</v>
      </c>
      <c r="AV228">
        <f t="shared" si="44"/>
        <v>18.088271604938271</v>
      </c>
      <c r="AW228">
        <f t="shared" si="45"/>
        <v>13.066081082098764</v>
      </c>
      <c r="AX228" s="9"/>
      <c r="AY228" s="21">
        <v>0.99777199999999999</v>
      </c>
      <c r="AZ228" s="21">
        <v>30.639700000000001</v>
      </c>
      <c r="BA228" s="21">
        <v>-1.44928E-2</v>
      </c>
      <c r="BB228" s="21">
        <v>218</v>
      </c>
      <c r="BC228" s="21">
        <v>0.99731400000000003</v>
      </c>
      <c r="BD228">
        <f t="shared" si="46"/>
        <v>17.892345679012344</v>
      </c>
      <c r="BE228">
        <f t="shared" si="47"/>
        <v>17.852481532839505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0.71731599999999995</v>
      </c>
      <c r="H229" s="21">
        <v>7.9438800000000001</v>
      </c>
      <c r="I229" s="21">
        <v>-1.4599600000000001E-2</v>
      </c>
      <c r="J229" s="21">
        <v>219</v>
      </c>
      <c r="K229" s="21">
        <v>0.71667499999999995</v>
      </c>
      <c r="L229">
        <f t="shared" si="36"/>
        <v>18.0241975308642</v>
      </c>
      <c r="M229">
        <f t="shared" si="37"/>
        <v>12.929045276049383</v>
      </c>
      <c r="N229" s="9"/>
      <c r="O229" s="21">
        <v>1.00281</v>
      </c>
      <c r="P229" s="21">
        <v>11.8034</v>
      </c>
      <c r="Q229" s="21">
        <v>-1.4501999999999999E-2</v>
      </c>
      <c r="R229" s="21">
        <v>219</v>
      </c>
      <c r="S229" s="21">
        <v>1.0018899999999999</v>
      </c>
      <c r="T229">
        <f t="shared" si="38"/>
        <v>17.903703703703702</v>
      </c>
      <c r="U229">
        <f t="shared" si="39"/>
        <v>17.954013111111109</v>
      </c>
      <c r="X229" s="9"/>
      <c r="Y229" s="21">
        <v>0.71731599999999995</v>
      </c>
      <c r="Z229" s="21">
        <v>17.382100000000001</v>
      </c>
      <c r="AA229" s="21">
        <v>-1.4688100000000001E-2</v>
      </c>
      <c r="AB229" s="21">
        <v>219</v>
      </c>
      <c r="AC229" s="21">
        <v>0.71658299999999997</v>
      </c>
      <c r="AD229">
        <f t="shared" si="40"/>
        <v>18.133456790123457</v>
      </c>
      <c r="AE229">
        <f t="shared" si="41"/>
        <v>13.007418690864197</v>
      </c>
      <c r="AF229" s="9"/>
      <c r="AG229" s="21">
        <v>1.00281</v>
      </c>
      <c r="AH229" s="21">
        <v>21.241599999999998</v>
      </c>
      <c r="AI229" s="21">
        <v>-1.4471400000000001E-2</v>
      </c>
      <c r="AJ229" s="21">
        <v>219</v>
      </c>
      <c r="AK229" s="21">
        <v>1.0018899999999999</v>
      </c>
      <c r="AL229">
        <f t="shared" si="42"/>
        <v>17.865925925925925</v>
      </c>
      <c r="AM229">
        <f t="shared" si="43"/>
        <v>17.916129177777776</v>
      </c>
      <c r="AP229" s="9"/>
      <c r="AQ229" s="21">
        <v>0.71731599999999995</v>
      </c>
      <c r="AR229" s="21">
        <v>26.790299999999998</v>
      </c>
      <c r="AS229" s="21">
        <v>-1.46576E-2</v>
      </c>
      <c r="AT229" s="21">
        <v>219</v>
      </c>
      <c r="AU229" s="21">
        <v>0.71667499999999995</v>
      </c>
      <c r="AV229">
        <f t="shared" si="44"/>
        <v>18.095802469135801</v>
      </c>
      <c r="AW229">
        <f t="shared" si="45"/>
        <v>12.980408643950616</v>
      </c>
      <c r="AX229" s="9"/>
      <c r="AY229" s="21">
        <v>1.00281</v>
      </c>
      <c r="AZ229" s="21">
        <v>30.649799999999999</v>
      </c>
      <c r="BA229" s="21">
        <v>-1.44928E-2</v>
      </c>
      <c r="BB229" s="21">
        <v>219</v>
      </c>
      <c r="BC229" s="21">
        <v>1.0018899999999999</v>
      </c>
      <c r="BD229">
        <f t="shared" si="46"/>
        <v>17.892345679012344</v>
      </c>
      <c r="BE229">
        <f t="shared" si="47"/>
        <v>17.942623170370368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0.71228000000000002</v>
      </c>
      <c r="H230" s="21">
        <v>7.9539499999999999</v>
      </c>
      <c r="I230" s="21">
        <v>-1.45966E-2</v>
      </c>
      <c r="J230" s="21">
        <v>220</v>
      </c>
      <c r="K230" s="21">
        <v>0.71167000000000002</v>
      </c>
      <c r="L230">
        <f t="shared" si="36"/>
        <v>18.020493827160493</v>
      </c>
      <c r="M230">
        <f t="shared" si="37"/>
        <v>12.835637343209877</v>
      </c>
      <c r="N230" s="9"/>
      <c r="O230" s="21">
        <v>1.0078400000000001</v>
      </c>
      <c r="P230" s="21">
        <v>11.8134</v>
      </c>
      <c r="Q230" s="21">
        <v>-1.44958E-2</v>
      </c>
      <c r="R230" s="21">
        <v>220</v>
      </c>
      <c r="S230" s="21">
        <v>1.00647</v>
      </c>
      <c r="T230">
        <f t="shared" si="38"/>
        <v>17.896049382716047</v>
      </c>
      <c r="U230">
        <f t="shared" si="39"/>
        <v>18.036354409876541</v>
      </c>
      <c r="X230" s="9"/>
      <c r="Y230" s="21">
        <v>0.71228000000000002</v>
      </c>
      <c r="Z230" s="21">
        <v>17.392199999999999</v>
      </c>
      <c r="AA230" s="21">
        <v>-1.46912E-2</v>
      </c>
      <c r="AB230" s="21">
        <v>220</v>
      </c>
      <c r="AC230" s="21">
        <v>0.71154799999999996</v>
      </c>
      <c r="AD230">
        <f t="shared" si="40"/>
        <v>18.137283950617284</v>
      </c>
      <c r="AE230">
        <f t="shared" si="41"/>
        <v>12.918824612345681</v>
      </c>
      <c r="AF230" s="9"/>
      <c r="AG230" s="21">
        <v>1.0078400000000001</v>
      </c>
      <c r="AH230" s="21">
        <v>21.2516</v>
      </c>
      <c r="AI230" s="21">
        <v>-1.4468399999999999E-2</v>
      </c>
      <c r="AJ230" s="21">
        <v>220</v>
      </c>
      <c r="AK230" s="21">
        <v>1.00739</v>
      </c>
      <c r="AL230">
        <f t="shared" si="42"/>
        <v>17.862222222222222</v>
      </c>
      <c r="AM230">
        <f t="shared" si="43"/>
        <v>18.002262044444446</v>
      </c>
      <c r="AP230" s="9"/>
      <c r="AQ230" s="21">
        <v>0.71228000000000002</v>
      </c>
      <c r="AR230" s="21">
        <v>26.8004</v>
      </c>
      <c r="AS230" s="21">
        <v>-1.4654500000000001E-2</v>
      </c>
      <c r="AT230" s="21">
        <v>220</v>
      </c>
      <c r="AU230" s="21">
        <v>0.71163900000000002</v>
      </c>
      <c r="AV230">
        <f t="shared" si="44"/>
        <v>18.091975308641977</v>
      </c>
      <c r="AW230">
        <f t="shared" si="45"/>
        <v>12.886552172839508</v>
      </c>
      <c r="AX230" s="9"/>
      <c r="AY230" s="21">
        <v>1.0078400000000001</v>
      </c>
      <c r="AZ230" s="21">
        <v>30.6599</v>
      </c>
      <c r="BA230" s="21">
        <v>-1.4489699999999999E-2</v>
      </c>
      <c r="BB230" s="21">
        <v>220</v>
      </c>
      <c r="BC230" s="21">
        <v>1.0067699999999999</v>
      </c>
      <c r="BD230">
        <f t="shared" si="46"/>
        <v>17.888518518518516</v>
      </c>
      <c r="BE230">
        <f t="shared" si="47"/>
        <v>18.028764503703702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0.70724500000000001</v>
      </c>
      <c r="H231" s="21">
        <v>7.9640300000000002</v>
      </c>
      <c r="I231" s="21">
        <v>-1.4611799999999999E-2</v>
      </c>
      <c r="J231" s="21">
        <v>221</v>
      </c>
      <c r="K231" s="21">
        <v>0.70663500000000001</v>
      </c>
      <c r="L231">
        <f t="shared" si="36"/>
        <v>18.039259259259257</v>
      </c>
      <c r="M231">
        <f t="shared" si="37"/>
        <v>12.758175914814814</v>
      </c>
      <c r="N231" s="9"/>
      <c r="O231" s="21">
        <v>1.01288</v>
      </c>
      <c r="P231" s="21">
        <v>11.823499999999999</v>
      </c>
      <c r="Q231" s="21">
        <v>-1.44867E-2</v>
      </c>
      <c r="R231" s="21">
        <v>221</v>
      </c>
      <c r="S231" s="21">
        <v>1.01257</v>
      </c>
      <c r="T231">
        <f t="shared" si="38"/>
        <v>17.884814814814817</v>
      </c>
      <c r="U231">
        <f t="shared" si="39"/>
        <v>18.115171229629631</v>
      </c>
      <c r="X231" s="9"/>
      <c r="Y231" s="21">
        <v>0.70724500000000001</v>
      </c>
      <c r="Z231" s="21">
        <v>17.402200000000001</v>
      </c>
      <c r="AA231" s="21">
        <v>-1.46912E-2</v>
      </c>
      <c r="AB231" s="21">
        <v>221</v>
      </c>
      <c r="AC231" s="21">
        <v>0.70669599999999999</v>
      </c>
      <c r="AD231">
        <f t="shared" si="40"/>
        <v>18.137283950617284</v>
      </c>
      <c r="AE231">
        <f t="shared" si="41"/>
        <v>12.827503387654321</v>
      </c>
      <c r="AF231" s="9"/>
      <c r="AG231" s="21">
        <v>1.01288</v>
      </c>
      <c r="AH231" s="21">
        <v>21.261700000000001</v>
      </c>
      <c r="AI231" s="21">
        <v>-1.44531E-2</v>
      </c>
      <c r="AJ231" s="21">
        <v>221</v>
      </c>
      <c r="AK231" s="21">
        <v>1.01196</v>
      </c>
      <c r="AL231">
        <f t="shared" si="42"/>
        <v>17.843333333333334</v>
      </c>
      <c r="AM231">
        <f t="shared" si="43"/>
        <v>18.073155466666666</v>
      </c>
      <c r="AP231" s="9"/>
      <c r="AQ231" s="21">
        <v>0.70724500000000001</v>
      </c>
      <c r="AR231" s="21">
        <v>26.810500000000001</v>
      </c>
      <c r="AS231" s="21">
        <v>-1.4654500000000001E-2</v>
      </c>
      <c r="AT231" s="21">
        <v>221</v>
      </c>
      <c r="AU231" s="21">
        <v>0.70663500000000001</v>
      </c>
      <c r="AV231">
        <f t="shared" si="44"/>
        <v>18.091975308641977</v>
      </c>
      <c r="AW231">
        <f t="shared" si="45"/>
        <v>12.795459077160496</v>
      </c>
      <c r="AX231" s="9"/>
      <c r="AY231" s="21">
        <v>1.01288</v>
      </c>
      <c r="AZ231" s="21">
        <v>30.669899999999998</v>
      </c>
      <c r="BA231" s="21">
        <v>-1.44867E-2</v>
      </c>
      <c r="BB231" s="21">
        <v>221</v>
      </c>
      <c r="BC231" s="21">
        <v>1.01196</v>
      </c>
      <c r="BD231">
        <f t="shared" si="46"/>
        <v>17.884814814814817</v>
      </c>
      <c r="BE231">
        <f t="shared" si="47"/>
        <v>18.115171229629631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0.70220899999999997</v>
      </c>
      <c r="H232" s="21">
        <v>7.9741</v>
      </c>
      <c r="I232" s="21">
        <v>-1.4624E-2</v>
      </c>
      <c r="J232" s="21">
        <v>222</v>
      </c>
      <c r="K232" s="21">
        <v>0.701569</v>
      </c>
      <c r="L232">
        <f t="shared" si="36"/>
        <v>18.054320987654318</v>
      </c>
      <c r="M232">
        <f t="shared" si="37"/>
        <v>12.677906686419751</v>
      </c>
      <c r="N232" s="9"/>
      <c r="O232" s="21">
        <v>1.0179100000000001</v>
      </c>
      <c r="P232" s="21">
        <v>11.833600000000001</v>
      </c>
      <c r="Q232" s="21">
        <v>-1.44806E-2</v>
      </c>
      <c r="R232" s="21">
        <v>222</v>
      </c>
      <c r="S232" s="21">
        <v>1.01685</v>
      </c>
      <c r="T232">
        <f t="shared" si="38"/>
        <v>17.877283950617283</v>
      </c>
      <c r="U232">
        <f t="shared" si="39"/>
        <v>18.19746610617284</v>
      </c>
      <c r="X232" s="9"/>
      <c r="Y232" s="21">
        <v>0.70220899999999997</v>
      </c>
      <c r="Z232" s="21">
        <v>17.412299999999998</v>
      </c>
      <c r="AA232" s="21">
        <v>-1.46912E-2</v>
      </c>
      <c r="AB232" s="21">
        <v>222</v>
      </c>
      <c r="AC232" s="21">
        <v>0.701569</v>
      </c>
      <c r="AD232">
        <f t="shared" si="40"/>
        <v>18.137283950617284</v>
      </c>
      <c r="AE232">
        <f t="shared" si="41"/>
        <v>12.736164025679011</v>
      </c>
      <c r="AF232" s="9"/>
      <c r="AG232" s="21">
        <v>1.0179100000000001</v>
      </c>
      <c r="AH232" s="21">
        <v>21.271799999999999</v>
      </c>
      <c r="AI232" s="21">
        <v>-1.44409E-2</v>
      </c>
      <c r="AJ232" s="21">
        <v>222</v>
      </c>
      <c r="AK232" s="21">
        <v>1.01746</v>
      </c>
      <c r="AL232">
        <f t="shared" si="42"/>
        <v>17.828271604938269</v>
      </c>
      <c r="AM232">
        <f t="shared" si="43"/>
        <v>18.147575949382716</v>
      </c>
      <c r="AP232" s="9"/>
      <c r="AQ232" s="21">
        <v>0.70220899999999997</v>
      </c>
      <c r="AR232" s="21">
        <v>26.820499999999999</v>
      </c>
      <c r="AS232" s="21">
        <v>-1.4654500000000001E-2</v>
      </c>
      <c r="AT232" s="21">
        <v>222</v>
      </c>
      <c r="AU232" s="21">
        <v>0.70162999999999998</v>
      </c>
      <c r="AV232">
        <f t="shared" si="44"/>
        <v>18.091975308641977</v>
      </c>
      <c r="AW232">
        <f t="shared" si="45"/>
        <v>12.704347889506174</v>
      </c>
      <c r="AX232" s="9"/>
      <c r="AY232" s="21">
        <v>1.0179100000000001</v>
      </c>
      <c r="AZ232" s="21">
        <v>30.68</v>
      </c>
      <c r="BA232" s="21">
        <v>-1.44867E-2</v>
      </c>
      <c r="BB232" s="21">
        <v>222</v>
      </c>
      <c r="BC232" s="21">
        <v>1.01654</v>
      </c>
      <c r="BD232">
        <f t="shared" si="46"/>
        <v>17.884814814814817</v>
      </c>
      <c r="BE232">
        <f t="shared" si="47"/>
        <v>18.205131848148152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0.69717399999999996</v>
      </c>
      <c r="H233" s="21">
        <v>7.9841699999999998</v>
      </c>
      <c r="I233" s="21">
        <v>-1.46362E-2</v>
      </c>
      <c r="J233" s="21">
        <v>223</v>
      </c>
      <c r="K233" s="21">
        <v>0.69656399999999996</v>
      </c>
      <c r="L233">
        <f t="shared" si="36"/>
        <v>18.069382716049383</v>
      </c>
      <c r="M233">
        <f t="shared" si="37"/>
        <v>12.597503825679011</v>
      </c>
      <c r="N233" s="9"/>
      <c r="O233" s="21">
        <v>1.02295</v>
      </c>
      <c r="P233" s="21">
        <v>11.8436</v>
      </c>
      <c r="Q233" s="21">
        <v>-1.4468399999999999E-2</v>
      </c>
      <c r="R233" s="21">
        <v>223</v>
      </c>
      <c r="S233" s="21">
        <v>1.02142</v>
      </c>
      <c r="T233">
        <f t="shared" si="38"/>
        <v>17.862222222222222</v>
      </c>
      <c r="U233">
        <f t="shared" si="39"/>
        <v>18.272160222222222</v>
      </c>
      <c r="X233" s="9"/>
      <c r="Y233" s="21">
        <v>0.69717399999999996</v>
      </c>
      <c r="Z233" s="21">
        <v>17.4224</v>
      </c>
      <c r="AA233" s="21">
        <v>-1.46912E-2</v>
      </c>
      <c r="AB233" s="21">
        <v>223</v>
      </c>
      <c r="AC233" s="21">
        <v>0.69647199999999998</v>
      </c>
      <c r="AD233">
        <f t="shared" si="40"/>
        <v>18.137283950617284</v>
      </c>
      <c r="AE233">
        <f t="shared" si="41"/>
        <v>12.644842800987654</v>
      </c>
      <c r="AF233" s="9"/>
      <c r="AG233" s="21">
        <v>1.02295</v>
      </c>
      <c r="AH233" s="21">
        <v>21.2819</v>
      </c>
      <c r="AI233" s="21">
        <v>-1.4434799999999999E-2</v>
      </c>
      <c r="AJ233" s="21">
        <v>223</v>
      </c>
      <c r="AK233" s="21">
        <v>1.02234</v>
      </c>
      <c r="AL233">
        <f t="shared" si="42"/>
        <v>17.820740740740739</v>
      </c>
      <c r="AM233">
        <f t="shared" si="43"/>
        <v>18.229726740740738</v>
      </c>
      <c r="AP233" s="9"/>
      <c r="AQ233" s="21">
        <v>0.69717399999999996</v>
      </c>
      <c r="AR233" s="21">
        <v>26.8306</v>
      </c>
      <c r="AS233" s="21">
        <v>-1.46667E-2</v>
      </c>
      <c r="AT233" s="21">
        <v>223</v>
      </c>
      <c r="AU233" s="21">
        <v>0.69656399999999996</v>
      </c>
      <c r="AV233">
        <f t="shared" si="44"/>
        <v>18.107037037037035</v>
      </c>
      <c r="AW233">
        <f t="shared" si="45"/>
        <v>12.623755439259257</v>
      </c>
      <c r="AX233" s="9"/>
      <c r="AY233" s="21">
        <v>1.02295</v>
      </c>
      <c r="AZ233" s="21">
        <v>30.690100000000001</v>
      </c>
      <c r="BA233" s="21">
        <v>-1.4471400000000001E-2</v>
      </c>
      <c r="BB233" s="21">
        <v>223</v>
      </c>
      <c r="BC233" s="21">
        <v>1.02203</v>
      </c>
      <c r="BD233">
        <f t="shared" si="46"/>
        <v>17.865925925925925</v>
      </c>
      <c r="BE233">
        <f t="shared" si="47"/>
        <v>18.275948925925924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0.69213899999999995</v>
      </c>
      <c r="H234" s="21">
        <v>7.9942399999999996</v>
      </c>
      <c r="I234" s="21">
        <v>-1.4648400000000001E-2</v>
      </c>
      <c r="J234" s="21">
        <v>224</v>
      </c>
      <c r="K234" s="21">
        <v>0.69155900000000003</v>
      </c>
      <c r="L234">
        <f t="shared" si="36"/>
        <v>18.084444444444443</v>
      </c>
      <c r="M234">
        <f t="shared" si="37"/>
        <v>12.516949293333331</v>
      </c>
      <c r="N234" s="9"/>
      <c r="O234" s="21">
        <v>1.0279799999999999</v>
      </c>
      <c r="P234" s="21">
        <v>11.8537</v>
      </c>
      <c r="Q234" s="21">
        <v>-1.44653E-2</v>
      </c>
      <c r="R234" s="21">
        <v>224</v>
      </c>
      <c r="S234" s="21">
        <v>1.0275300000000001</v>
      </c>
      <c r="T234">
        <f t="shared" si="38"/>
        <v>17.858395061728395</v>
      </c>
      <c r="U234">
        <f t="shared" si="39"/>
        <v>18.358072955555553</v>
      </c>
      <c r="X234" s="9"/>
      <c r="Y234" s="21">
        <v>0.69213899999999995</v>
      </c>
      <c r="Z234" s="21">
        <v>17.432500000000001</v>
      </c>
      <c r="AA234" s="21">
        <v>-1.46973E-2</v>
      </c>
      <c r="AB234" s="21">
        <v>224</v>
      </c>
      <c r="AC234" s="21">
        <v>0.69140599999999997</v>
      </c>
      <c r="AD234">
        <f t="shared" si="40"/>
        <v>18.144814814814815</v>
      </c>
      <c r="AE234">
        <f t="shared" si="41"/>
        <v>12.558733981111111</v>
      </c>
      <c r="AF234" s="9"/>
      <c r="AG234" s="21">
        <v>1.0279799999999999</v>
      </c>
      <c r="AH234" s="21">
        <v>21.291899999999998</v>
      </c>
      <c r="AI234" s="21">
        <v>-1.4434799999999999E-2</v>
      </c>
      <c r="AJ234" s="21">
        <v>224</v>
      </c>
      <c r="AK234" s="21">
        <v>1.02722</v>
      </c>
      <c r="AL234">
        <f t="shared" si="42"/>
        <v>17.820740740740739</v>
      </c>
      <c r="AM234">
        <f t="shared" si="43"/>
        <v>18.319365066666663</v>
      </c>
      <c r="AP234" s="9"/>
      <c r="AQ234" s="21">
        <v>0.69213899999999995</v>
      </c>
      <c r="AR234" s="21">
        <v>26.840699999999998</v>
      </c>
      <c r="AS234" s="21">
        <v>-1.4678999999999999E-2</v>
      </c>
      <c r="AT234" s="21">
        <v>224</v>
      </c>
      <c r="AU234" s="21">
        <v>0.69146700000000005</v>
      </c>
      <c r="AV234">
        <f t="shared" si="44"/>
        <v>18.12222222222222</v>
      </c>
      <c r="AW234">
        <f t="shared" si="45"/>
        <v>12.543096766666665</v>
      </c>
      <c r="AX234" s="9"/>
      <c r="AY234" s="21">
        <v>1.0279799999999999</v>
      </c>
      <c r="AZ234" s="21">
        <v>30.700199999999999</v>
      </c>
      <c r="BA234" s="21">
        <v>-1.4462300000000001E-2</v>
      </c>
      <c r="BB234" s="21">
        <v>224</v>
      </c>
      <c r="BC234" s="21">
        <v>1.0275300000000001</v>
      </c>
      <c r="BD234">
        <f t="shared" si="46"/>
        <v>17.854691358024692</v>
      </c>
      <c r="BE234">
        <f t="shared" si="47"/>
        <v>18.354265622222222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0.68710300000000002</v>
      </c>
      <c r="H235" s="21">
        <v>8.0043100000000003</v>
      </c>
      <c r="I235" s="21">
        <v>-1.4648400000000001E-2</v>
      </c>
      <c r="J235" s="21">
        <v>225</v>
      </c>
      <c r="K235" s="21">
        <v>0.68637099999999995</v>
      </c>
      <c r="L235">
        <f t="shared" si="36"/>
        <v>18.084444444444443</v>
      </c>
      <c r="M235">
        <f t="shared" si="37"/>
        <v>12.425876031111111</v>
      </c>
      <c r="N235" s="9"/>
      <c r="O235" s="21">
        <v>1.03302</v>
      </c>
      <c r="P235" s="21">
        <v>11.863799999999999</v>
      </c>
      <c r="Q235" s="21">
        <v>-1.4462300000000001E-2</v>
      </c>
      <c r="R235" s="21">
        <v>225</v>
      </c>
      <c r="S235" s="21">
        <v>1.0321</v>
      </c>
      <c r="T235">
        <f t="shared" si="38"/>
        <v>17.854691358024692</v>
      </c>
      <c r="U235">
        <f t="shared" si="39"/>
        <v>18.444253266666667</v>
      </c>
      <c r="X235" s="9"/>
      <c r="Y235" s="21">
        <v>0.68710300000000002</v>
      </c>
      <c r="Z235" s="21">
        <v>17.442499999999999</v>
      </c>
      <c r="AA235" s="21">
        <v>-1.47034E-2</v>
      </c>
      <c r="AB235" s="21">
        <v>225</v>
      </c>
      <c r="AC235" s="21">
        <v>0.68637099999999995</v>
      </c>
      <c r="AD235">
        <f t="shared" si="40"/>
        <v>18.152345679012342</v>
      </c>
      <c r="AE235">
        <f t="shared" si="41"/>
        <v>12.472531173086418</v>
      </c>
      <c r="AF235" s="9"/>
      <c r="AG235" s="21">
        <v>1.03302</v>
      </c>
      <c r="AH235" s="21">
        <v>21.302</v>
      </c>
      <c r="AI235" s="21">
        <v>-1.4434799999999999E-2</v>
      </c>
      <c r="AJ235" s="21">
        <v>225</v>
      </c>
      <c r="AK235" s="21">
        <v>1.0318000000000001</v>
      </c>
      <c r="AL235">
        <f t="shared" si="42"/>
        <v>17.820740740740739</v>
      </c>
      <c r="AM235">
        <f t="shared" si="43"/>
        <v>18.4091816</v>
      </c>
      <c r="AP235" s="9"/>
      <c r="AQ235" s="21">
        <v>0.68710300000000002</v>
      </c>
      <c r="AR235" s="21">
        <v>26.8508</v>
      </c>
      <c r="AS235" s="21">
        <v>-1.4682000000000001E-2</v>
      </c>
      <c r="AT235" s="21">
        <v>225</v>
      </c>
      <c r="AU235" s="21">
        <v>0.68646200000000002</v>
      </c>
      <c r="AV235">
        <f t="shared" si="44"/>
        <v>18.125925925925923</v>
      </c>
      <c r="AW235">
        <f t="shared" si="45"/>
        <v>12.45437808148148</v>
      </c>
      <c r="AX235" s="9"/>
      <c r="AY235" s="21">
        <v>1.03302</v>
      </c>
      <c r="AZ235" s="21">
        <v>30.7102</v>
      </c>
      <c r="BA235" s="21">
        <v>-1.4462300000000001E-2</v>
      </c>
      <c r="BB235" s="21">
        <v>225</v>
      </c>
      <c r="BC235" s="21">
        <v>1.0321</v>
      </c>
      <c r="BD235">
        <f t="shared" si="46"/>
        <v>17.854691358024692</v>
      </c>
      <c r="BE235">
        <f t="shared" si="47"/>
        <v>18.444253266666667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0.68206800000000001</v>
      </c>
      <c r="H236" s="21">
        <v>8.0143799999999992</v>
      </c>
      <c r="I236" s="21">
        <v>-1.4654500000000001E-2</v>
      </c>
      <c r="J236" s="21">
        <v>226</v>
      </c>
      <c r="K236" s="21">
        <v>0.68148799999999998</v>
      </c>
      <c r="L236">
        <f t="shared" si="36"/>
        <v>18.091975308641977</v>
      </c>
      <c r="M236">
        <f t="shared" si="37"/>
        <v>12.339957414814817</v>
      </c>
      <c r="N236" s="9"/>
      <c r="O236" s="21">
        <v>1.03806</v>
      </c>
      <c r="P236" s="21">
        <v>11.873900000000001</v>
      </c>
      <c r="Q236" s="21">
        <v>-1.44531E-2</v>
      </c>
      <c r="R236" s="21">
        <v>226</v>
      </c>
      <c r="S236" s="21">
        <v>1.03729</v>
      </c>
      <c r="T236">
        <f t="shared" si="38"/>
        <v>17.843333333333334</v>
      </c>
      <c r="U236">
        <f t="shared" si="39"/>
        <v>18.522450599999999</v>
      </c>
      <c r="X236" s="9"/>
      <c r="Y236" s="21">
        <v>0.68206800000000001</v>
      </c>
      <c r="Z236" s="21">
        <v>17.4526</v>
      </c>
      <c r="AA236" s="21">
        <v>-1.47034E-2</v>
      </c>
      <c r="AB236" s="21">
        <v>226</v>
      </c>
      <c r="AC236" s="21">
        <v>0.681396</v>
      </c>
      <c r="AD236">
        <f t="shared" si="40"/>
        <v>18.152345679012342</v>
      </c>
      <c r="AE236">
        <f t="shared" si="41"/>
        <v>12.381134112592591</v>
      </c>
      <c r="AF236" s="9"/>
      <c r="AG236" s="21">
        <v>1.03806</v>
      </c>
      <c r="AH236" s="21">
        <v>21.312100000000001</v>
      </c>
      <c r="AI236" s="21">
        <v>-1.44379E-2</v>
      </c>
      <c r="AJ236" s="21">
        <v>226</v>
      </c>
      <c r="AK236" s="21">
        <v>1.03729</v>
      </c>
      <c r="AL236">
        <f t="shared" si="42"/>
        <v>17.824567901234566</v>
      </c>
      <c r="AM236">
        <f t="shared" si="43"/>
        <v>18.502970955555554</v>
      </c>
      <c r="AP236" s="9"/>
      <c r="AQ236" s="21">
        <v>0.68206800000000001</v>
      </c>
      <c r="AR236" s="21">
        <v>26.860800000000001</v>
      </c>
      <c r="AS236" s="21">
        <v>-1.4678999999999999E-2</v>
      </c>
      <c r="AT236" s="21">
        <v>226</v>
      </c>
      <c r="AU236" s="21">
        <v>0.681396</v>
      </c>
      <c r="AV236">
        <f t="shared" si="44"/>
        <v>18.12222222222222</v>
      </c>
      <c r="AW236">
        <f t="shared" si="45"/>
        <v>12.360587866666664</v>
      </c>
      <c r="AX236" s="9"/>
      <c r="AY236" s="21">
        <v>1.03806</v>
      </c>
      <c r="AZ236" s="21">
        <v>30.720300000000002</v>
      </c>
      <c r="BA236" s="21">
        <v>-1.44501E-2</v>
      </c>
      <c r="BB236" s="21">
        <v>226</v>
      </c>
      <c r="BC236" s="21">
        <v>1.0369900000000001</v>
      </c>
      <c r="BD236">
        <f t="shared" si="46"/>
        <v>17.839629629629631</v>
      </c>
      <c r="BE236">
        <f t="shared" si="47"/>
        <v>18.518605933333333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0.67703199999999997</v>
      </c>
      <c r="H237" s="21">
        <v>8.0244499999999999</v>
      </c>
      <c r="I237" s="21">
        <v>-1.4654500000000001E-2</v>
      </c>
      <c r="J237" s="21">
        <v>227</v>
      </c>
      <c r="K237" s="21">
        <v>0.67633100000000002</v>
      </c>
      <c r="L237">
        <f t="shared" si="36"/>
        <v>18.091975308641977</v>
      </c>
      <c r="M237">
        <f t="shared" si="37"/>
        <v>12.248846227160495</v>
      </c>
      <c r="N237" s="9"/>
      <c r="O237" s="21">
        <v>1.0430900000000001</v>
      </c>
      <c r="P237" s="21">
        <v>11.883900000000001</v>
      </c>
      <c r="Q237" s="21">
        <v>-1.44501E-2</v>
      </c>
      <c r="R237" s="21">
        <v>227</v>
      </c>
      <c r="S237" s="21">
        <v>1.0424800000000001</v>
      </c>
      <c r="T237">
        <f t="shared" si="38"/>
        <v>17.839629629629631</v>
      </c>
      <c r="U237">
        <f t="shared" si="39"/>
        <v>18.608339270370372</v>
      </c>
      <c r="X237" s="9"/>
      <c r="Y237" s="21">
        <v>0.67703199999999997</v>
      </c>
      <c r="Z237" s="21">
        <v>17.462700000000002</v>
      </c>
      <c r="AA237" s="21">
        <v>-1.46973E-2</v>
      </c>
      <c r="AB237" s="21">
        <v>227</v>
      </c>
      <c r="AC237" s="21">
        <v>0.67633100000000002</v>
      </c>
      <c r="AD237">
        <f t="shared" si="40"/>
        <v>18.144814814814815</v>
      </c>
      <c r="AE237">
        <f t="shared" si="41"/>
        <v>12.284620263703703</v>
      </c>
      <c r="AF237" s="9"/>
      <c r="AG237" s="21">
        <v>1.0430900000000001</v>
      </c>
      <c r="AH237" s="21">
        <v>21.322099999999999</v>
      </c>
      <c r="AI237" s="21">
        <v>-1.44379E-2</v>
      </c>
      <c r="AJ237" s="21">
        <v>227</v>
      </c>
      <c r="AK237" s="21">
        <v>1.0424800000000001</v>
      </c>
      <c r="AL237">
        <f t="shared" si="42"/>
        <v>17.824567901234566</v>
      </c>
      <c r="AM237">
        <f t="shared" si="43"/>
        <v>18.592628532098765</v>
      </c>
      <c r="AP237" s="9"/>
      <c r="AQ237" s="21">
        <v>0.67703199999999997</v>
      </c>
      <c r="AR237" s="21">
        <v>26.870899999999999</v>
      </c>
      <c r="AS237" s="21">
        <v>-1.4682000000000001E-2</v>
      </c>
      <c r="AT237" s="21">
        <v>227</v>
      </c>
      <c r="AU237" s="21">
        <v>0.67642199999999997</v>
      </c>
      <c r="AV237">
        <f t="shared" si="44"/>
        <v>18.125925925925923</v>
      </c>
      <c r="AW237">
        <f t="shared" si="45"/>
        <v>12.271831881481479</v>
      </c>
      <c r="AX237" s="9"/>
      <c r="AY237" s="21">
        <v>1.0430900000000001</v>
      </c>
      <c r="AZ237" s="21">
        <v>30.730399999999999</v>
      </c>
      <c r="BA237" s="21">
        <v>-1.44409E-2</v>
      </c>
      <c r="BB237" s="21">
        <v>227</v>
      </c>
      <c r="BC237" s="21">
        <v>1.0421800000000001</v>
      </c>
      <c r="BD237">
        <f t="shared" si="46"/>
        <v>17.828271604938269</v>
      </c>
      <c r="BE237">
        <f t="shared" si="47"/>
        <v>18.59649182839506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0.67199699999999996</v>
      </c>
      <c r="H238" s="21">
        <v>8.0345200000000006</v>
      </c>
      <c r="I238" s="21">
        <v>-1.4654500000000001E-2</v>
      </c>
      <c r="J238" s="21">
        <v>228</v>
      </c>
      <c r="K238" s="21">
        <v>0.67120400000000002</v>
      </c>
      <c r="L238">
        <f t="shared" si="36"/>
        <v>18.091975308641977</v>
      </c>
      <c r="M238">
        <f t="shared" si="37"/>
        <v>12.157753131481481</v>
      </c>
      <c r="N238" s="9"/>
      <c r="O238" s="21">
        <v>1.04813</v>
      </c>
      <c r="P238" s="21">
        <v>11.894</v>
      </c>
      <c r="Q238" s="21">
        <v>-1.44501E-2</v>
      </c>
      <c r="R238" s="21">
        <v>228</v>
      </c>
      <c r="S238" s="21">
        <v>1.0473600000000001</v>
      </c>
      <c r="T238">
        <f t="shared" si="38"/>
        <v>17.839629629629631</v>
      </c>
      <c r="U238">
        <f t="shared" si="39"/>
        <v>18.698251003703703</v>
      </c>
      <c r="X238" s="9"/>
      <c r="Y238" s="21">
        <v>0.67199699999999996</v>
      </c>
      <c r="Z238" s="21">
        <v>17.4727</v>
      </c>
      <c r="AA238" s="21">
        <v>-1.4694199999999999E-2</v>
      </c>
      <c r="AB238" s="21">
        <v>228</v>
      </c>
      <c r="AC238" s="21">
        <v>0.67138699999999996</v>
      </c>
      <c r="AD238">
        <f t="shared" si="40"/>
        <v>18.140987654320988</v>
      </c>
      <c r="AE238">
        <f t="shared" si="41"/>
        <v>12.19068928074074</v>
      </c>
      <c r="AF238" s="9"/>
      <c r="AG238" s="21">
        <v>1.04813</v>
      </c>
      <c r="AH238" s="21">
        <v>21.3322</v>
      </c>
      <c r="AI238" s="21">
        <v>-1.44318E-2</v>
      </c>
      <c r="AJ238" s="21">
        <v>228</v>
      </c>
      <c r="AK238" s="21">
        <v>1.0470600000000001</v>
      </c>
      <c r="AL238">
        <f t="shared" si="42"/>
        <v>17.817037037037036</v>
      </c>
      <c r="AM238">
        <f t="shared" si="43"/>
        <v>18.674571029629629</v>
      </c>
      <c r="AP238" s="9"/>
      <c r="AQ238" s="21">
        <v>0.67199699999999996</v>
      </c>
      <c r="AR238" s="21">
        <v>26.881</v>
      </c>
      <c r="AS238" s="21">
        <v>-1.4700299999999999E-2</v>
      </c>
      <c r="AT238" s="21">
        <v>228</v>
      </c>
      <c r="AU238" s="21">
        <v>0.67135599999999995</v>
      </c>
      <c r="AV238">
        <f t="shared" si="44"/>
        <v>18.148518518518514</v>
      </c>
      <c r="AW238">
        <f t="shared" si="45"/>
        <v>12.195749998888886</v>
      </c>
      <c r="AX238" s="9"/>
      <c r="AY238" s="21">
        <v>1.04813</v>
      </c>
      <c r="AZ238" s="21">
        <v>30.740400000000001</v>
      </c>
      <c r="BA238" s="21">
        <v>-1.4428699999999999E-2</v>
      </c>
      <c r="BB238" s="21">
        <v>228</v>
      </c>
      <c r="BC238" s="21">
        <v>1.0473600000000001</v>
      </c>
      <c r="BD238">
        <f t="shared" si="46"/>
        <v>17.813209876543205</v>
      </c>
      <c r="BE238">
        <f t="shared" si="47"/>
        <v>18.67055966790123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0.66696200000000005</v>
      </c>
      <c r="H239" s="21">
        <v>8.0445899999999995</v>
      </c>
      <c r="I239" s="21">
        <v>-1.4654500000000001E-2</v>
      </c>
      <c r="J239" s="21">
        <v>229</v>
      </c>
      <c r="K239" s="21">
        <v>0.66625999999999996</v>
      </c>
      <c r="L239">
        <f t="shared" si="36"/>
        <v>18.091975308641977</v>
      </c>
      <c r="M239">
        <f t="shared" si="37"/>
        <v>12.066660035802471</v>
      </c>
      <c r="N239" s="9"/>
      <c r="O239" s="21">
        <v>1.0531600000000001</v>
      </c>
      <c r="P239" s="21">
        <v>11.9041</v>
      </c>
      <c r="Q239" s="21">
        <v>-1.44501E-2</v>
      </c>
      <c r="R239" s="21">
        <v>229</v>
      </c>
      <c r="S239" s="21">
        <v>1.0522499999999999</v>
      </c>
      <c r="T239">
        <f t="shared" si="38"/>
        <v>17.839629629629631</v>
      </c>
      <c r="U239">
        <f t="shared" si="39"/>
        <v>18.787984340740742</v>
      </c>
      <c r="X239" s="9"/>
      <c r="Y239" s="21">
        <v>0.66696200000000005</v>
      </c>
      <c r="Z239" s="21">
        <v>17.482800000000001</v>
      </c>
      <c r="AA239" s="21">
        <v>-1.47095E-2</v>
      </c>
      <c r="AB239" s="21">
        <v>229</v>
      </c>
      <c r="AC239" s="21">
        <v>0.66632100000000005</v>
      </c>
      <c r="AD239">
        <f t="shared" si="40"/>
        <v>18.159876543209876</v>
      </c>
      <c r="AE239">
        <f t="shared" si="41"/>
        <v>12.111947579012346</v>
      </c>
      <c r="AF239" s="9"/>
      <c r="AG239" s="21">
        <v>1.0531600000000001</v>
      </c>
      <c r="AH239" s="21">
        <v>21.342300000000002</v>
      </c>
      <c r="AI239" s="21">
        <v>-1.4419599999999999E-2</v>
      </c>
      <c r="AJ239" s="21">
        <v>229</v>
      </c>
      <c r="AK239" s="21">
        <v>1.0522499999999999</v>
      </c>
      <c r="AL239">
        <f t="shared" si="42"/>
        <v>17.801975308641975</v>
      </c>
      <c r="AM239">
        <f t="shared" si="43"/>
        <v>18.748328316049385</v>
      </c>
      <c r="AP239" s="9"/>
      <c r="AQ239" s="21">
        <v>0.66696200000000005</v>
      </c>
      <c r="AR239" s="21">
        <v>26.890999999999998</v>
      </c>
      <c r="AS239" s="21">
        <v>-1.47125E-2</v>
      </c>
      <c r="AT239" s="21">
        <v>229</v>
      </c>
      <c r="AU239" s="21">
        <v>0.66629000000000005</v>
      </c>
      <c r="AV239">
        <f t="shared" si="44"/>
        <v>18.163580246913579</v>
      </c>
      <c r="AW239">
        <f t="shared" si="45"/>
        <v>12.114417808641976</v>
      </c>
      <c r="AX239" s="9"/>
      <c r="AY239" s="21">
        <v>1.0531600000000001</v>
      </c>
      <c r="AZ239" s="21">
        <v>30.750499999999999</v>
      </c>
      <c r="BA239" s="21">
        <v>-1.44165E-2</v>
      </c>
      <c r="BB239" s="21">
        <v>229</v>
      </c>
      <c r="BC239" s="21">
        <v>1.0522499999999999</v>
      </c>
      <c r="BD239">
        <f t="shared" si="46"/>
        <v>17.798148148148147</v>
      </c>
      <c r="BE239">
        <f t="shared" si="47"/>
        <v>18.744297703703705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0.66192600000000001</v>
      </c>
      <c r="H240" s="21">
        <v>8.0546600000000002</v>
      </c>
      <c r="I240" s="21">
        <v>-1.46576E-2</v>
      </c>
      <c r="J240" s="21">
        <v>230</v>
      </c>
      <c r="K240" s="21">
        <v>0.66125500000000004</v>
      </c>
      <c r="L240">
        <f t="shared" si="36"/>
        <v>18.095802469135801</v>
      </c>
      <c r="M240">
        <f t="shared" si="37"/>
        <v>11.978082145185185</v>
      </c>
      <c r="N240" s="9"/>
      <c r="O240" s="21">
        <v>1.0582</v>
      </c>
      <c r="P240" s="21">
        <v>11.914099999999999</v>
      </c>
      <c r="Q240" s="21">
        <v>-1.44409E-2</v>
      </c>
      <c r="R240" s="21">
        <v>230</v>
      </c>
      <c r="S240" s="21">
        <v>1.0571299999999999</v>
      </c>
      <c r="T240">
        <f t="shared" si="38"/>
        <v>17.828271604938269</v>
      </c>
      <c r="U240">
        <f t="shared" si="39"/>
        <v>18.865877012345678</v>
      </c>
      <c r="X240" s="9"/>
      <c r="Y240" s="21">
        <v>0.66192600000000001</v>
      </c>
      <c r="Z240" s="21">
        <v>17.492899999999999</v>
      </c>
      <c r="AA240" s="21">
        <v>-1.4727799999999999E-2</v>
      </c>
      <c r="AB240" s="21">
        <v>230</v>
      </c>
      <c r="AC240" s="21">
        <v>0.66122400000000003</v>
      </c>
      <c r="AD240">
        <f t="shared" si="40"/>
        <v>18.182469135802467</v>
      </c>
      <c r="AE240">
        <f t="shared" si="41"/>
        <v>12.035449065185185</v>
      </c>
      <c r="AF240" s="9"/>
      <c r="AG240" s="21">
        <v>1.0582</v>
      </c>
      <c r="AH240" s="21">
        <v>21.352399999999999</v>
      </c>
      <c r="AI240" s="21">
        <v>-1.44104E-2</v>
      </c>
      <c r="AJ240" s="21">
        <v>230</v>
      </c>
      <c r="AK240" s="21">
        <v>1.0574300000000001</v>
      </c>
      <c r="AL240">
        <f t="shared" si="42"/>
        <v>17.790617283950617</v>
      </c>
      <c r="AM240">
        <f t="shared" si="43"/>
        <v>18.826031209876543</v>
      </c>
      <c r="AP240" s="9"/>
      <c r="AQ240" s="21">
        <v>0.66192600000000001</v>
      </c>
      <c r="AR240" s="21">
        <v>26.9011</v>
      </c>
      <c r="AS240" s="21">
        <v>-1.47095E-2</v>
      </c>
      <c r="AT240" s="21">
        <v>230</v>
      </c>
      <c r="AU240" s="21">
        <v>0.66128500000000001</v>
      </c>
      <c r="AV240">
        <f t="shared" si="44"/>
        <v>18.159876543209876</v>
      </c>
      <c r="AW240">
        <f t="shared" si="45"/>
        <v>12.020494440740741</v>
      </c>
      <c r="AX240" s="9"/>
      <c r="AY240" s="21">
        <v>1.0582</v>
      </c>
      <c r="AZ240" s="21">
        <v>30.7606</v>
      </c>
      <c r="BA240" s="21">
        <v>-1.4413499999999999E-2</v>
      </c>
      <c r="BB240" s="21">
        <v>230</v>
      </c>
      <c r="BC240" s="21">
        <v>1.0574300000000001</v>
      </c>
      <c r="BD240">
        <f t="shared" si="46"/>
        <v>17.794444444444444</v>
      </c>
      <c r="BE240">
        <f t="shared" si="47"/>
        <v>18.830081111111113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0.656891</v>
      </c>
      <c r="H241" s="21">
        <v>8.0647400000000005</v>
      </c>
      <c r="I241" s="21">
        <v>-1.46667E-2</v>
      </c>
      <c r="J241" s="21">
        <v>231</v>
      </c>
      <c r="K241" s="21">
        <v>0.65625</v>
      </c>
      <c r="L241">
        <f t="shared" si="36"/>
        <v>18.107037037037035</v>
      </c>
      <c r="M241">
        <f t="shared" si="37"/>
        <v>11.894349666296295</v>
      </c>
      <c r="N241" s="9"/>
      <c r="O241" s="21">
        <v>1.0632299999999999</v>
      </c>
      <c r="P241" s="21">
        <v>11.924200000000001</v>
      </c>
      <c r="Q241" s="21">
        <v>-1.44409E-2</v>
      </c>
      <c r="R241" s="21">
        <v>231</v>
      </c>
      <c r="S241" s="21">
        <v>1.0620099999999999</v>
      </c>
      <c r="T241">
        <f t="shared" si="38"/>
        <v>17.828271604938269</v>
      </c>
      <c r="U241">
        <f t="shared" si="39"/>
        <v>18.955553218518514</v>
      </c>
      <c r="X241" s="9"/>
      <c r="Y241" s="21">
        <v>0.656891</v>
      </c>
      <c r="Z241" s="21">
        <v>17.503</v>
      </c>
      <c r="AA241" s="21">
        <v>-1.4742999999999999E-2</v>
      </c>
      <c r="AB241" s="21">
        <v>231</v>
      </c>
      <c r="AC241" s="21">
        <v>0.65634199999999998</v>
      </c>
      <c r="AD241">
        <f t="shared" si="40"/>
        <v>18.201234567901235</v>
      </c>
      <c r="AE241">
        <f t="shared" si="41"/>
        <v>11.95622717654321</v>
      </c>
      <c r="AF241" s="9"/>
      <c r="AG241" s="21">
        <v>1.0632299999999999</v>
      </c>
      <c r="AH241" s="21">
        <v>21.362400000000001</v>
      </c>
      <c r="AI241" s="21">
        <v>-1.4401199999999999E-2</v>
      </c>
      <c r="AJ241" s="21">
        <v>231</v>
      </c>
      <c r="AK241" s="21">
        <v>1.0626199999999999</v>
      </c>
      <c r="AL241">
        <f t="shared" si="42"/>
        <v>17.779259259259259</v>
      </c>
      <c r="AM241">
        <f t="shared" si="43"/>
        <v>18.90344182222222</v>
      </c>
      <c r="AP241" s="9"/>
      <c r="AQ241" s="21">
        <v>0.656891</v>
      </c>
      <c r="AR241" s="21">
        <v>26.911200000000001</v>
      </c>
      <c r="AS241" s="21">
        <v>-1.47064E-2</v>
      </c>
      <c r="AT241" s="21">
        <v>231</v>
      </c>
      <c r="AU241" s="21">
        <v>0.65625</v>
      </c>
      <c r="AV241">
        <f t="shared" si="44"/>
        <v>18.156049382716049</v>
      </c>
      <c r="AW241">
        <f t="shared" si="45"/>
        <v>11.926545435061728</v>
      </c>
      <c r="AX241" s="9"/>
      <c r="AY241" s="21">
        <v>1.0632299999999999</v>
      </c>
      <c r="AZ241" s="21">
        <v>30.770700000000001</v>
      </c>
      <c r="BA241" s="21">
        <v>-1.4419599999999999E-2</v>
      </c>
      <c r="BB241" s="21">
        <v>231</v>
      </c>
      <c r="BC241" s="21">
        <v>1.0620099999999999</v>
      </c>
      <c r="BD241">
        <f t="shared" si="46"/>
        <v>17.801975308641975</v>
      </c>
      <c r="BE241">
        <f t="shared" si="47"/>
        <v>18.927594207407406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0.65185499999999996</v>
      </c>
      <c r="H242" s="21">
        <v>8.0748099999999994</v>
      </c>
      <c r="I242" s="21">
        <v>-1.4672899999999999E-2</v>
      </c>
      <c r="J242" s="21">
        <v>232</v>
      </c>
      <c r="K242" s="21">
        <v>0.65130600000000005</v>
      </c>
      <c r="L242">
        <f t="shared" si="36"/>
        <v>18.11469135802469</v>
      </c>
      <c r="M242">
        <f t="shared" si="37"/>
        <v>11.808152135185184</v>
      </c>
      <c r="N242" s="9"/>
      <c r="O242" s="21">
        <v>1.0682700000000001</v>
      </c>
      <c r="P242" s="21">
        <v>11.9343</v>
      </c>
      <c r="Q242" s="21">
        <v>-1.4434799999999999E-2</v>
      </c>
      <c r="R242" s="21">
        <v>232</v>
      </c>
      <c r="S242" s="21">
        <v>1.0674999999999999</v>
      </c>
      <c r="T242">
        <f t="shared" si="38"/>
        <v>17.820740740740739</v>
      </c>
      <c r="U242">
        <f t="shared" si="39"/>
        <v>19.037362711111111</v>
      </c>
      <c r="X242" s="9"/>
      <c r="Y242" s="21">
        <v>0.65185499999999996</v>
      </c>
      <c r="Z242" s="21">
        <v>17.513000000000002</v>
      </c>
      <c r="AA242" s="21">
        <v>-1.47522E-2</v>
      </c>
      <c r="AB242" s="21">
        <v>232</v>
      </c>
      <c r="AC242" s="21">
        <v>0.65127599999999997</v>
      </c>
      <c r="AD242">
        <f t="shared" si="40"/>
        <v>18.212592592592593</v>
      </c>
      <c r="AE242">
        <f t="shared" si="41"/>
        <v>11.871969544444443</v>
      </c>
      <c r="AF242" s="9"/>
      <c r="AG242" s="21">
        <v>1.0682700000000001</v>
      </c>
      <c r="AH242" s="21">
        <v>21.372499999999999</v>
      </c>
      <c r="AI242" s="21">
        <v>-1.44073E-2</v>
      </c>
      <c r="AJ242" s="21">
        <v>232</v>
      </c>
      <c r="AK242" s="21">
        <v>1.0671999999999999</v>
      </c>
      <c r="AL242">
        <f t="shared" si="42"/>
        <v>17.78679012345679</v>
      </c>
      <c r="AM242">
        <f t="shared" si="43"/>
        <v>19.001094285185186</v>
      </c>
      <c r="AP242" s="9"/>
      <c r="AQ242" s="21">
        <v>0.65185499999999996</v>
      </c>
      <c r="AR242" s="21">
        <v>26.921299999999999</v>
      </c>
      <c r="AS242" s="21">
        <v>-1.47125E-2</v>
      </c>
      <c r="AT242" s="21">
        <v>232</v>
      </c>
      <c r="AU242" s="21">
        <v>0.65109300000000003</v>
      </c>
      <c r="AV242">
        <f t="shared" si="44"/>
        <v>18.163580246913579</v>
      </c>
      <c r="AW242">
        <f t="shared" si="45"/>
        <v>11.840020601851851</v>
      </c>
      <c r="AX242" s="9"/>
      <c r="AY242" s="21">
        <v>1.0682700000000001</v>
      </c>
      <c r="AZ242" s="21">
        <v>30.7807</v>
      </c>
      <c r="BA242" s="21">
        <v>-1.44318E-2</v>
      </c>
      <c r="BB242" s="21">
        <v>232</v>
      </c>
      <c r="BC242" s="21">
        <v>1.0678099999999999</v>
      </c>
      <c r="BD242">
        <f t="shared" si="46"/>
        <v>17.817037037037036</v>
      </c>
      <c r="BE242">
        <f t="shared" si="47"/>
        <v>19.033406155555554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0.64681999999999995</v>
      </c>
      <c r="H243" s="21">
        <v>8.0848800000000001</v>
      </c>
      <c r="I243" s="21">
        <v>-1.4672899999999999E-2</v>
      </c>
      <c r="J243" s="21">
        <v>233</v>
      </c>
      <c r="K243" s="21">
        <v>0.64611799999999997</v>
      </c>
      <c r="L243">
        <f t="shared" si="36"/>
        <v>18.11469135802469</v>
      </c>
      <c r="M243">
        <f t="shared" si="37"/>
        <v>11.716944664197529</v>
      </c>
      <c r="N243" s="9"/>
      <c r="O243" s="21">
        <v>1.0732999999999999</v>
      </c>
      <c r="P243" s="21">
        <v>11.9444</v>
      </c>
      <c r="Q243" s="21">
        <v>-1.44318E-2</v>
      </c>
      <c r="R243" s="21">
        <v>233</v>
      </c>
      <c r="S243" s="21">
        <v>1.0720799999999999</v>
      </c>
      <c r="T243">
        <f t="shared" si="38"/>
        <v>17.817037037037036</v>
      </c>
      <c r="U243">
        <f t="shared" si="39"/>
        <v>19.12302585185185</v>
      </c>
      <c r="X243" s="9"/>
      <c r="Y243" s="21">
        <v>0.64681999999999995</v>
      </c>
      <c r="Z243" s="21">
        <v>17.523099999999999</v>
      </c>
      <c r="AA243" s="21">
        <v>-1.4761399999999999E-2</v>
      </c>
      <c r="AB243" s="21">
        <v>233</v>
      </c>
      <c r="AC243" s="21">
        <v>0.64620999999999995</v>
      </c>
      <c r="AD243">
        <f t="shared" si="40"/>
        <v>18.22395061728395</v>
      </c>
      <c r="AE243">
        <f t="shared" si="41"/>
        <v>11.787615738271604</v>
      </c>
      <c r="AF243" s="9"/>
      <c r="AG243" s="21">
        <v>1.0732999999999999</v>
      </c>
      <c r="AH243" s="21">
        <v>21.3826</v>
      </c>
      <c r="AI243" s="21">
        <v>-1.44104E-2</v>
      </c>
      <c r="AJ243" s="21">
        <v>233</v>
      </c>
      <c r="AK243" s="21">
        <v>1.0720799999999999</v>
      </c>
      <c r="AL243">
        <f t="shared" si="42"/>
        <v>17.790617283950617</v>
      </c>
      <c r="AM243">
        <f t="shared" si="43"/>
        <v>19.094669530864195</v>
      </c>
      <c r="AP243" s="9"/>
      <c r="AQ243" s="21">
        <v>0.64681999999999995</v>
      </c>
      <c r="AR243" s="21">
        <v>26.9313</v>
      </c>
      <c r="AS243" s="21">
        <v>-1.4700299999999999E-2</v>
      </c>
      <c r="AT243" s="21">
        <v>233</v>
      </c>
      <c r="AU243" s="21">
        <v>0.64614899999999997</v>
      </c>
      <c r="AV243">
        <f t="shared" si="44"/>
        <v>18.148518518518514</v>
      </c>
      <c r="AW243">
        <f t="shared" si="45"/>
        <v>11.738824748148145</v>
      </c>
      <c r="AX243" s="9"/>
      <c r="AY243" s="21">
        <v>1.0732999999999999</v>
      </c>
      <c r="AZ243" s="21">
        <v>30.790800000000001</v>
      </c>
      <c r="BA243" s="21">
        <v>-1.4434799999999999E-2</v>
      </c>
      <c r="BB243" s="21">
        <v>233</v>
      </c>
      <c r="BC243" s="21">
        <v>1.07239</v>
      </c>
      <c r="BD243">
        <f t="shared" si="46"/>
        <v>17.820740740740739</v>
      </c>
      <c r="BE243">
        <f t="shared" si="47"/>
        <v>19.127001037037033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0.64178500000000005</v>
      </c>
      <c r="H244" s="21">
        <v>8.0949500000000008</v>
      </c>
      <c r="I244" s="21">
        <v>-1.46667E-2</v>
      </c>
      <c r="J244" s="21">
        <v>234</v>
      </c>
      <c r="K244" s="21">
        <v>0.64108299999999996</v>
      </c>
      <c r="L244">
        <f t="shared" si="36"/>
        <v>18.107037037037035</v>
      </c>
      <c r="M244">
        <f t="shared" si="37"/>
        <v>11.620824764814815</v>
      </c>
      <c r="N244" s="9"/>
      <c r="O244" s="21">
        <v>1.0783400000000001</v>
      </c>
      <c r="P244" s="21">
        <v>11.9544</v>
      </c>
      <c r="Q244" s="21">
        <v>-1.4434799999999999E-2</v>
      </c>
      <c r="R244" s="21">
        <v>234</v>
      </c>
      <c r="S244" s="21">
        <v>1.0778799999999999</v>
      </c>
      <c r="T244">
        <f t="shared" si="38"/>
        <v>17.820740740740739</v>
      </c>
      <c r="U244">
        <f t="shared" si="39"/>
        <v>19.21681757037037</v>
      </c>
      <c r="X244" s="9"/>
      <c r="Y244" s="21">
        <v>0.64178500000000005</v>
      </c>
      <c r="Z244" s="21">
        <v>17.533200000000001</v>
      </c>
      <c r="AA244" s="21">
        <v>-1.47583E-2</v>
      </c>
      <c r="AB244" s="21">
        <v>234</v>
      </c>
      <c r="AC244" s="21">
        <v>0.64093</v>
      </c>
      <c r="AD244">
        <f t="shared" si="40"/>
        <v>18.22012345679012</v>
      </c>
      <c r="AE244">
        <f t="shared" si="41"/>
        <v>11.693401932716048</v>
      </c>
      <c r="AF244" s="9"/>
      <c r="AG244" s="21">
        <v>1.0783400000000001</v>
      </c>
      <c r="AH244" s="21">
        <v>21.392600000000002</v>
      </c>
      <c r="AI244" s="21">
        <v>-1.44104E-2</v>
      </c>
      <c r="AJ244" s="21">
        <v>234</v>
      </c>
      <c r="AK244" s="21">
        <v>1.07758</v>
      </c>
      <c r="AL244">
        <f t="shared" si="42"/>
        <v>17.790617283950617</v>
      </c>
      <c r="AM244">
        <f t="shared" si="43"/>
        <v>19.184334241975311</v>
      </c>
      <c r="AP244" s="9"/>
      <c r="AQ244" s="21">
        <v>0.64178500000000005</v>
      </c>
      <c r="AR244" s="21">
        <v>26.941400000000002</v>
      </c>
      <c r="AS244" s="21">
        <v>-1.46973E-2</v>
      </c>
      <c r="AT244" s="21">
        <v>234</v>
      </c>
      <c r="AU244" s="21">
        <v>0.64114400000000005</v>
      </c>
      <c r="AV244">
        <f t="shared" si="44"/>
        <v>18.144814814814815</v>
      </c>
      <c r="AW244">
        <f t="shared" si="45"/>
        <v>11.645069975925926</v>
      </c>
      <c r="AX244" s="9"/>
      <c r="AY244" s="21">
        <v>1.0783400000000001</v>
      </c>
      <c r="AZ244" s="21">
        <v>30.800899999999999</v>
      </c>
      <c r="BA244" s="21">
        <v>-1.44379E-2</v>
      </c>
      <c r="BB244" s="21">
        <v>234</v>
      </c>
      <c r="BC244" s="21">
        <v>1.07758</v>
      </c>
      <c r="BD244">
        <f t="shared" si="46"/>
        <v>17.824567901234566</v>
      </c>
      <c r="BE244">
        <f t="shared" si="47"/>
        <v>19.220944550617283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0.63674900000000001</v>
      </c>
      <c r="H245" s="21">
        <v>8.1050199999999997</v>
      </c>
      <c r="I245" s="21">
        <v>-1.4660599999999999E-2</v>
      </c>
      <c r="J245" s="21">
        <v>235</v>
      </c>
      <c r="K245" s="21">
        <v>0.63601700000000005</v>
      </c>
      <c r="L245">
        <f t="shared" si="36"/>
        <v>18.099506172839504</v>
      </c>
      <c r="M245">
        <f t="shared" si="37"/>
        <v>11.524842456049381</v>
      </c>
      <c r="N245" s="9"/>
      <c r="O245" s="21">
        <v>1.0833699999999999</v>
      </c>
      <c r="P245" s="21">
        <v>11.964499999999999</v>
      </c>
      <c r="Q245" s="21">
        <v>-1.44318E-2</v>
      </c>
      <c r="R245" s="21">
        <v>235</v>
      </c>
      <c r="S245" s="21">
        <v>1.0821499999999999</v>
      </c>
      <c r="T245">
        <f t="shared" si="38"/>
        <v>17.817037037037036</v>
      </c>
      <c r="U245">
        <f t="shared" si="39"/>
        <v>19.302443414814814</v>
      </c>
      <c r="X245" s="9"/>
      <c r="Y245" s="21">
        <v>0.63674900000000001</v>
      </c>
      <c r="Z245" s="21">
        <v>17.543199999999999</v>
      </c>
      <c r="AA245" s="21">
        <v>-1.47644E-2</v>
      </c>
      <c r="AB245" s="21">
        <v>235</v>
      </c>
      <c r="AC245" s="21">
        <v>0.63595599999999997</v>
      </c>
      <c r="AD245">
        <f t="shared" si="40"/>
        <v>18.227654320987654</v>
      </c>
      <c r="AE245">
        <f t="shared" si="41"/>
        <v>11.606440661234567</v>
      </c>
      <c r="AF245" s="9"/>
      <c r="AG245" s="21">
        <v>1.0833699999999999</v>
      </c>
      <c r="AH245" s="21">
        <v>21.402699999999999</v>
      </c>
      <c r="AI245" s="21">
        <v>-1.44104E-2</v>
      </c>
      <c r="AJ245" s="21">
        <v>235</v>
      </c>
      <c r="AK245" s="21">
        <v>1.0833699999999999</v>
      </c>
      <c r="AL245">
        <f t="shared" si="42"/>
        <v>17.790617283950617</v>
      </c>
      <c r="AM245">
        <f t="shared" si="43"/>
        <v>19.273821046913579</v>
      </c>
      <c r="AP245" s="9"/>
      <c r="AQ245" s="21">
        <v>0.63674900000000001</v>
      </c>
      <c r="AR245" s="21">
        <v>26.951499999999999</v>
      </c>
      <c r="AS245" s="21">
        <v>-1.4700299999999999E-2</v>
      </c>
      <c r="AT245" s="21">
        <v>235</v>
      </c>
      <c r="AU245" s="21">
        <v>0.63619999999999999</v>
      </c>
      <c r="AV245">
        <f t="shared" si="44"/>
        <v>18.148518518518514</v>
      </c>
      <c r="AW245">
        <f t="shared" si="45"/>
        <v>11.556051018148146</v>
      </c>
      <c r="AX245" s="9"/>
      <c r="AY245" s="21">
        <v>1.0833699999999999</v>
      </c>
      <c r="AZ245" s="21">
        <v>30.8109</v>
      </c>
      <c r="BA245" s="21">
        <v>-1.4434799999999999E-2</v>
      </c>
      <c r="BB245" s="21">
        <v>235</v>
      </c>
      <c r="BC245" s="21">
        <v>1.08185</v>
      </c>
      <c r="BD245">
        <f t="shared" si="46"/>
        <v>17.820740740740739</v>
      </c>
      <c r="BE245">
        <f t="shared" si="47"/>
        <v>19.306455896296292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0.631714</v>
      </c>
      <c r="H246" s="21">
        <v>8.1150900000000004</v>
      </c>
      <c r="I246" s="21">
        <v>-1.4660599999999999E-2</v>
      </c>
      <c r="J246" s="21">
        <v>236</v>
      </c>
      <c r="K246" s="21">
        <v>0.63116499999999998</v>
      </c>
      <c r="L246">
        <f t="shared" si="36"/>
        <v>18.099506172839504</v>
      </c>
      <c r="M246">
        <f t="shared" si="37"/>
        <v>11.433711442469134</v>
      </c>
      <c r="N246" s="9"/>
      <c r="O246" s="21">
        <v>1.0884100000000001</v>
      </c>
      <c r="P246" s="21">
        <v>11.974600000000001</v>
      </c>
      <c r="Q246" s="21">
        <v>-1.4434799999999999E-2</v>
      </c>
      <c r="R246" s="21">
        <v>236</v>
      </c>
      <c r="S246" s="21">
        <v>1.08795</v>
      </c>
      <c r="T246">
        <f t="shared" si="38"/>
        <v>17.820740740740739</v>
      </c>
      <c r="U246">
        <f t="shared" si="39"/>
        <v>19.396272429629629</v>
      </c>
      <c r="X246" s="9"/>
      <c r="Y246" s="21">
        <v>0.631714</v>
      </c>
      <c r="Z246" s="21">
        <v>17.5533</v>
      </c>
      <c r="AA246" s="21">
        <v>-1.47736E-2</v>
      </c>
      <c r="AB246" s="21">
        <v>236</v>
      </c>
      <c r="AC246" s="21">
        <v>0.631104</v>
      </c>
      <c r="AD246">
        <f t="shared" si="40"/>
        <v>18.239012345679011</v>
      </c>
      <c r="AE246">
        <f t="shared" si="41"/>
        <v>11.521839444938271</v>
      </c>
      <c r="AF246" s="9"/>
      <c r="AG246" s="21">
        <v>1.0884100000000001</v>
      </c>
      <c r="AH246" s="21">
        <v>21.412800000000001</v>
      </c>
      <c r="AI246" s="21">
        <v>-1.44043E-2</v>
      </c>
      <c r="AJ246" s="21">
        <v>236</v>
      </c>
      <c r="AK246" s="21">
        <v>1.08734</v>
      </c>
      <c r="AL246">
        <f t="shared" si="42"/>
        <v>17.783086419753086</v>
      </c>
      <c r="AM246">
        <f t="shared" si="43"/>
        <v>19.35528909012346</v>
      </c>
      <c r="AP246" s="9"/>
      <c r="AQ246" s="21">
        <v>0.631714</v>
      </c>
      <c r="AR246" s="21">
        <v>26.961500000000001</v>
      </c>
      <c r="AS246" s="21">
        <v>-1.47095E-2</v>
      </c>
      <c r="AT246" s="21">
        <v>236</v>
      </c>
      <c r="AU246" s="21">
        <v>0.63104199999999999</v>
      </c>
      <c r="AV246">
        <f t="shared" si="44"/>
        <v>18.159876543209876</v>
      </c>
      <c r="AW246">
        <f t="shared" si="45"/>
        <v>11.471848250617283</v>
      </c>
      <c r="AX246" s="9"/>
      <c r="AY246" s="21">
        <v>1.0884100000000001</v>
      </c>
      <c r="AZ246" s="21">
        <v>30.821000000000002</v>
      </c>
      <c r="BA246" s="21">
        <v>-1.44318E-2</v>
      </c>
      <c r="BB246" s="21">
        <v>236</v>
      </c>
      <c r="BC246" s="21">
        <v>1.08765</v>
      </c>
      <c r="BD246">
        <f t="shared" si="46"/>
        <v>17.817037037037036</v>
      </c>
      <c r="BE246">
        <f t="shared" si="47"/>
        <v>19.392241281481482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0.62667799999999996</v>
      </c>
      <c r="H247" s="21">
        <v>8.1251599999999993</v>
      </c>
      <c r="I247" s="21">
        <v>-1.46698E-2</v>
      </c>
      <c r="J247" s="21">
        <v>237</v>
      </c>
      <c r="K247" s="21">
        <v>0.62591600000000003</v>
      </c>
      <c r="L247">
        <f t="shared" si="36"/>
        <v>18.110864197530866</v>
      </c>
      <c r="M247">
        <f t="shared" si="37"/>
        <v>11.349680153580247</v>
      </c>
      <c r="N247" s="9"/>
      <c r="O247" s="21">
        <v>1.09344</v>
      </c>
      <c r="P247" s="21">
        <v>11.9846</v>
      </c>
      <c r="Q247" s="21">
        <v>-1.44318E-2</v>
      </c>
      <c r="R247" s="21">
        <v>237</v>
      </c>
      <c r="S247" s="21">
        <v>1.09283</v>
      </c>
      <c r="T247">
        <f t="shared" si="38"/>
        <v>17.817037037037036</v>
      </c>
      <c r="U247">
        <f t="shared" si="39"/>
        <v>19.481860977777774</v>
      </c>
      <c r="X247" s="9"/>
      <c r="Y247" s="21">
        <v>0.62667799999999996</v>
      </c>
      <c r="Z247" s="21">
        <v>17.563400000000001</v>
      </c>
      <c r="AA247" s="21">
        <v>-1.4776600000000001E-2</v>
      </c>
      <c r="AB247" s="21">
        <v>237</v>
      </c>
      <c r="AC247" s="21">
        <v>0.62609899999999996</v>
      </c>
      <c r="AD247">
        <f t="shared" si="40"/>
        <v>18.242716049382715</v>
      </c>
      <c r="AE247">
        <f t="shared" si="41"/>
        <v>11.43230880839506</v>
      </c>
      <c r="AF247" s="9"/>
      <c r="AG247" s="21">
        <v>1.09344</v>
      </c>
      <c r="AH247" s="21">
        <v>21.422899999999998</v>
      </c>
      <c r="AI247" s="21">
        <v>-1.43982E-2</v>
      </c>
      <c r="AJ247" s="21">
        <v>237</v>
      </c>
      <c r="AK247" s="21">
        <v>1.09283</v>
      </c>
      <c r="AL247">
        <f t="shared" si="42"/>
        <v>17.775555555555556</v>
      </c>
      <c r="AM247">
        <f t="shared" si="43"/>
        <v>19.436503466666668</v>
      </c>
      <c r="AP247" s="9"/>
      <c r="AQ247" s="21">
        <v>0.62667799999999996</v>
      </c>
      <c r="AR247" s="21">
        <v>26.971599999999999</v>
      </c>
      <c r="AS247" s="21">
        <v>-1.47186E-2</v>
      </c>
      <c r="AT247" s="21">
        <v>237</v>
      </c>
      <c r="AU247" s="21">
        <v>0.625946</v>
      </c>
      <c r="AV247">
        <f t="shared" si="44"/>
        <v>18.171111111111109</v>
      </c>
      <c r="AW247">
        <f t="shared" si="45"/>
        <v>11.387435568888886</v>
      </c>
      <c r="AX247" s="9"/>
      <c r="AY247" s="21">
        <v>1.09344</v>
      </c>
      <c r="AZ247" s="21">
        <v>30.831099999999999</v>
      </c>
      <c r="BA247" s="21">
        <v>-1.4428699999999999E-2</v>
      </c>
      <c r="BB247" s="21">
        <v>237</v>
      </c>
      <c r="BC247" s="21">
        <v>1.09283</v>
      </c>
      <c r="BD247">
        <f t="shared" si="46"/>
        <v>17.813209876543205</v>
      </c>
      <c r="BE247">
        <f t="shared" si="47"/>
        <v>19.477676207407402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0.62164299999999995</v>
      </c>
      <c r="H248" s="21">
        <v>8.13523</v>
      </c>
      <c r="I248" s="21">
        <v>-1.46851E-2</v>
      </c>
      <c r="J248" s="21">
        <v>238</v>
      </c>
      <c r="K248" s="21">
        <v>0.62087999999999999</v>
      </c>
      <c r="L248">
        <f t="shared" si="36"/>
        <v>18.12975308641975</v>
      </c>
      <c r="M248">
        <f t="shared" si="37"/>
        <v>11.270234097901232</v>
      </c>
      <c r="N248" s="9"/>
      <c r="O248" s="21">
        <v>1.0984799999999999</v>
      </c>
      <c r="P248" s="21">
        <v>11.9947</v>
      </c>
      <c r="Q248" s="21">
        <v>-1.4428699999999999E-2</v>
      </c>
      <c r="R248" s="21">
        <v>238</v>
      </c>
      <c r="S248" s="21">
        <v>1.09833</v>
      </c>
      <c r="T248">
        <f t="shared" si="38"/>
        <v>17.813209876543205</v>
      </c>
      <c r="U248">
        <f t="shared" si="39"/>
        <v>19.567454785185177</v>
      </c>
      <c r="X248" s="9"/>
      <c r="Y248" s="21">
        <v>0.62164299999999995</v>
      </c>
      <c r="Z248" s="21">
        <v>17.573499999999999</v>
      </c>
      <c r="AA248" s="21">
        <v>-1.4776600000000001E-2</v>
      </c>
      <c r="AB248" s="21">
        <v>238</v>
      </c>
      <c r="AC248" s="21">
        <v>0.62103299999999995</v>
      </c>
      <c r="AD248">
        <f t="shared" si="40"/>
        <v>18.242716049382715</v>
      </c>
      <c r="AE248">
        <f t="shared" si="41"/>
        <v>11.340456733086418</v>
      </c>
      <c r="AF248" s="9"/>
      <c r="AG248" s="21">
        <v>1.0984799999999999</v>
      </c>
      <c r="AH248" s="21">
        <v>21.4329</v>
      </c>
      <c r="AI248" s="21">
        <v>-1.43921E-2</v>
      </c>
      <c r="AJ248" s="21">
        <v>238</v>
      </c>
      <c r="AK248" s="21">
        <v>1.09711</v>
      </c>
      <c r="AL248">
        <f t="shared" si="42"/>
        <v>17.768024691358022</v>
      </c>
      <c r="AM248">
        <f t="shared" si="43"/>
        <v>19.517819762962958</v>
      </c>
      <c r="AP248" s="9"/>
      <c r="AQ248" s="21">
        <v>0.62164299999999995</v>
      </c>
      <c r="AR248" s="21">
        <v>26.9817</v>
      </c>
      <c r="AS248" s="21">
        <v>-1.474E-2</v>
      </c>
      <c r="AT248" s="21">
        <v>238</v>
      </c>
      <c r="AU248" s="21">
        <v>0.62094099999999997</v>
      </c>
      <c r="AV248">
        <f t="shared" si="44"/>
        <v>18.197530864197528</v>
      </c>
      <c r="AW248">
        <f t="shared" si="45"/>
        <v>11.312367679012343</v>
      </c>
      <c r="AX248" s="9"/>
      <c r="AY248" s="21">
        <v>1.0984799999999999</v>
      </c>
      <c r="AZ248" s="21">
        <v>30.841200000000001</v>
      </c>
      <c r="BA248" s="21">
        <v>-1.4419599999999999E-2</v>
      </c>
      <c r="BB248" s="21">
        <v>238</v>
      </c>
      <c r="BC248" s="21">
        <v>1.09711</v>
      </c>
      <c r="BD248">
        <f t="shared" si="46"/>
        <v>17.801975308641975</v>
      </c>
      <c r="BE248">
        <f t="shared" si="47"/>
        <v>19.555113837037034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0.61660800000000004</v>
      </c>
      <c r="H249" s="21">
        <v>8.1453000000000007</v>
      </c>
      <c r="I249" s="21">
        <v>-1.46912E-2</v>
      </c>
      <c r="J249" s="21">
        <v>239</v>
      </c>
      <c r="K249" s="21">
        <v>0.61593600000000004</v>
      </c>
      <c r="L249">
        <f t="shared" si="36"/>
        <v>18.137283950617284</v>
      </c>
      <c r="M249">
        <f t="shared" si="37"/>
        <v>11.183594382222223</v>
      </c>
      <c r="N249" s="9"/>
      <c r="O249" s="21">
        <v>1.1035200000000001</v>
      </c>
      <c r="P249" s="21">
        <v>12.004799999999999</v>
      </c>
      <c r="Q249" s="21">
        <v>-1.44257E-2</v>
      </c>
      <c r="R249" s="21">
        <v>239</v>
      </c>
      <c r="S249" s="21">
        <v>1.1029100000000001</v>
      </c>
      <c r="T249">
        <f t="shared" si="38"/>
        <v>17.809506172839505</v>
      </c>
      <c r="U249">
        <f t="shared" si="39"/>
        <v>19.653146251851851</v>
      </c>
      <c r="X249" s="9"/>
      <c r="Y249" s="21">
        <v>0.61660800000000004</v>
      </c>
      <c r="Z249" s="21">
        <v>17.583500000000001</v>
      </c>
      <c r="AA249" s="21">
        <v>-1.4770500000000001E-2</v>
      </c>
      <c r="AB249" s="21">
        <v>239</v>
      </c>
      <c r="AC249" s="21">
        <v>0.61593600000000004</v>
      </c>
      <c r="AD249">
        <f t="shared" si="40"/>
        <v>18.235185185185184</v>
      </c>
      <c r="AE249">
        <f t="shared" si="41"/>
        <v>11.243961066666667</v>
      </c>
      <c r="AF249" s="9"/>
      <c r="AG249" s="21">
        <v>1.1035200000000001</v>
      </c>
      <c r="AH249" s="21">
        <v>21.443000000000001</v>
      </c>
      <c r="AI249" s="21">
        <v>-1.4382900000000001E-2</v>
      </c>
      <c r="AJ249" s="21">
        <v>239</v>
      </c>
      <c r="AK249" s="21">
        <v>1.10229</v>
      </c>
      <c r="AL249">
        <f t="shared" si="42"/>
        <v>17.756666666666668</v>
      </c>
      <c r="AM249">
        <f t="shared" si="43"/>
        <v>19.594836800000003</v>
      </c>
      <c r="AP249" s="9"/>
      <c r="AQ249" s="21">
        <v>0.61660800000000004</v>
      </c>
      <c r="AR249" s="21">
        <v>26.991800000000001</v>
      </c>
      <c r="AS249" s="21">
        <v>-1.47522E-2</v>
      </c>
      <c r="AT249" s="21">
        <v>239</v>
      </c>
      <c r="AU249" s="21">
        <v>0.61590599999999995</v>
      </c>
      <c r="AV249">
        <f t="shared" si="44"/>
        <v>18.212592592592593</v>
      </c>
      <c r="AW249">
        <f t="shared" si="45"/>
        <v>11.230030293333334</v>
      </c>
      <c r="AX249" s="9"/>
      <c r="AY249" s="21">
        <v>1.1035200000000001</v>
      </c>
      <c r="AZ249" s="21">
        <v>30.851199999999999</v>
      </c>
      <c r="BA249" s="21">
        <v>-1.44073E-2</v>
      </c>
      <c r="BB249" s="21">
        <v>239</v>
      </c>
      <c r="BC249" s="21">
        <v>1.1026</v>
      </c>
      <c r="BD249">
        <f t="shared" si="46"/>
        <v>17.78679012345679</v>
      </c>
      <c r="BE249">
        <f t="shared" si="47"/>
        <v>19.628078637037039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0.611572</v>
      </c>
      <c r="H250" s="21">
        <v>8.1553699999999996</v>
      </c>
      <c r="I250" s="21">
        <v>-1.47034E-2</v>
      </c>
      <c r="J250" s="21">
        <v>240</v>
      </c>
      <c r="K250" s="21">
        <v>0.61087000000000002</v>
      </c>
      <c r="L250">
        <f t="shared" si="36"/>
        <v>18.152345679012342</v>
      </c>
      <c r="M250">
        <f t="shared" si="37"/>
        <v>11.101466351604936</v>
      </c>
      <c r="N250" s="9"/>
      <c r="O250" s="21">
        <v>1.1085499999999999</v>
      </c>
      <c r="P250" s="21">
        <v>12.014799999999999</v>
      </c>
      <c r="Q250" s="21">
        <v>-1.44318E-2</v>
      </c>
      <c r="R250" s="21">
        <v>240</v>
      </c>
      <c r="S250" s="21">
        <v>1.1077900000000001</v>
      </c>
      <c r="T250">
        <f t="shared" si="38"/>
        <v>17.817037037037036</v>
      </c>
      <c r="U250">
        <f t="shared" si="39"/>
        <v>19.751076407407403</v>
      </c>
      <c r="X250" s="9"/>
      <c r="Y250" s="21">
        <v>0.611572</v>
      </c>
      <c r="Z250" s="21">
        <v>17.593599999999999</v>
      </c>
      <c r="AA250" s="21">
        <v>-1.47736E-2</v>
      </c>
      <c r="AB250" s="21">
        <v>240</v>
      </c>
      <c r="AC250" s="21">
        <v>0.61087000000000002</v>
      </c>
      <c r="AD250">
        <f t="shared" si="40"/>
        <v>18.239012345679011</v>
      </c>
      <c r="AE250">
        <f t="shared" si="41"/>
        <v>11.154469258271604</v>
      </c>
      <c r="AF250" s="9"/>
      <c r="AG250" s="21">
        <v>1.1085499999999999</v>
      </c>
      <c r="AH250" s="21">
        <v>21.453099999999999</v>
      </c>
      <c r="AI250" s="21">
        <v>-1.43707E-2</v>
      </c>
      <c r="AJ250" s="21">
        <v>240</v>
      </c>
      <c r="AK250" s="21">
        <v>1.10687</v>
      </c>
      <c r="AL250">
        <f t="shared" si="42"/>
        <v>17.741604938271603</v>
      </c>
      <c r="AM250">
        <f t="shared" si="43"/>
        <v>19.667456154320984</v>
      </c>
      <c r="AP250" s="9"/>
      <c r="AQ250" s="21">
        <v>0.611572</v>
      </c>
      <c r="AR250" s="21">
        <v>27.001799999999999</v>
      </c>
      <c r="AS250" s="21">
        <v>-1.47583E-2</v>
      </c>
      <c r="AT250" s="21">
        <v>240</v>
      </c>
      <c r="AU250" s="21">
        <v>0.61090100000000003</v>
      </c>
      <c r="AV250">
        <f t="shared" si="44"/>
        <v>18.22012345679012</v>
      </c>
      <c r="AW250">
        <f t="shared" si="45"/>
        <v>11.142917342716046</v>
      </c>
      <c r="AX250" s="9"/>
      <c r="AY250" s="21">
        <v>1.1085499999999999</v>
      </c>
      <c r="AZ250" s="21">
        <v>30.8613</v>
      </c>
      <c r="BA250" s="21">
        <v>-1.43982E-2</v>
      </c>
      <c r="BB250" s="21">
        <v>240</v>
      </c>
      <c r="BC250" s="21">
        <v>1.10748</v>
      </c>
      <c r="BD250">
        <f t="shared" si="46"/>
        <v>17.775555555555556</v>
      </c>
      <c r="BE250">
        <f t="shared" si="47"/>
        <v>19.70509211111111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0.60653699999999999</v>
      </c>
      <c r="H251" s="21">
        <v>8.1654499999999999</v>
      </c>
      <c r="I251" s="21">
        <v>-1.47186E-2</v>
      </c>
      <c r="J251" s="21">
        <v>241</v>
      </c>
      <c r="K251" s="21">
        <v>0.60586499999999999</v>
      </c>
      <c r="L251">
        <f t="shared" si="36"/>
        <v>18.171111111111109</v>
      </c>
      <c r="M251">
        <f t="shared" si="37"/>
        <v>11.021451219999999</v>
      </c>
      <c r="N251" s="9"/>
      <c r="O251" s="21">
        <v>1.1135900000000001</v>
      </c>
      <c r="P251" s="21">
        <v>12.024900000000001</v>
      </c>
      <c r="Q251" s="21">
        <v>-1.4428699999999999E-2</v>
      </c>
      <c r="R251" s="21">
        <v>241</v>
      </c>
      <c r="S251" s="21">
        <v>1.1129800000000001</v>
      </c>
      <c r="T251">
        <f t="shared" si="38"/>
        <v>17.813209876543205</v>
      </c>
      <c r="U251">
        <f t="shared" si="39"/>
        <v>19.836612386419748</v>
      </c>
      <c r="X251" s="9"/>
      <c r="Y251" s="21">
        <v>0.60653699999999999</v>
      </c>
      <c r="Z251" s="21">
        <v>17.6037</v>
      </c>
      <c r="AA251" s="21">
        <v>-1.47858E-2</v>
      </c>
      <c r="AB251" s="21">
        <v>241</v>
      </c>
      <c r="AC251" s="21">
        <v>0.60589599999999999</v>
      </c>
      <c r="AD251">
        <f t="shared" si="40"/>
        <v>18.254074074074072</v>
      </c>
      <c r="AE251">
        <f t="shared" si="41"/>
        <v>11.071771326666665</v>
      </c>
      <c r="AF251" s="9"/>
      <c r="AG251" s="21">
        <v>1.1135900000000001</v>
      </c>
      <c r="AH251" s="21">
        <v>21.463100000000001</v>
      </c>
      <c r="AI251" s="21">
        <v>-1.43555E-2</v>
      </c>
      <c r="AJ251" s="21">
        <v>241</v>
      </c>
      <c r="AK251" s="21">
        <v>1.11206</v>
      </c>
      <c r="AL251">
        <f t="shared" si="42"/>
        <v>17.722839506172836</v>
      </c>
      <c r="AM251">
        <f t="shared" si="43"/>
        <v>19.735976845679009</v>
      </c>
      <c r="AP251" s="9"/>
      <c r="AQ251" s="21">
        <v>0.60653699999999999</v>
      </c>
      <c r="AR251" s="21">
        <v>27.011900000000001</v>
      </c>
      <c r="AS251" s="21">
        <v>-1.47644E-2</v>
      </c>
      <c r="AT251" s="21">
        <v>241</v>
      </c>
      <c r="AU251" s="21">
        <v>0.60583500000000001</v>
      </c>
      <c r="AV251">
        <f t="shared" si="44"/>
        <v>18.227654320987654</v>
      </c>
      <c r="AW251">
        <f t="shared" si="45"/>
        <v>11.055746768888888</v>
      </c>
      <c r="AX251" s="9"/>
      <c r="AY251" s="21">
        <v>1.1135900000000001</v>
      </c>
      <c r="AZ251" s="21">
        <v>30.871400000000001</v>
      </c>
      <c r="BA251" s="21">
        <v>-1.4385999999999999E-2</v>
      </c>
      <c r="BB251" s="21">
        <v>241</v>
      </c>
      <c r="BC251" s="21">
        <v>1.1123700000000001</v>
      </c>
      <c r="BD251">
        <f t="shared" si="46"/>
        <v>17.760493827160492</v>
      </c>
      <c r="BE251">
        <f t="shared" si="47"/>
        <v>19.777908320987653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0.60150099999999995</v>
      </c>
      <c r="H252" s="21">
        <v>8.1755200000000006</v>
      </c>
      <c r="I252" s="21">
        <v>-1.47247E-2</v>
      </c>
      <c r="J252" s="21">
        <v>242</v>
      </c>
      <c r="K252" s="21">
        <v>0.600769</v>
      </c>
      <c r="L252">
        <f t="shared" si="36"/>
        <v>18.178641975308643</v>
      </c>
      <c r="M252">
        <f t="shared" si="37"/>
        <v>10.934471326790124</v>
      </c>
      <c r="N252" s="9"/>
      <c r="O252" s="21">
        <v>1.1186199999999999</v>
      </c>
      <c r="P252" s="21">
        <v>12.035</v>
      </c>
      <c r="Q252" s="21">
        <v>-1.44257E-2</v>
      </c>
      <c r="R252" s="21">
        <v>242</v>
      </c>
      <c r="S252" s="21">
        <v>1.1184700000000001</v>
      </c>
      <c r="T252">
        <f t="shared" si="38"/>
        <v>17.809506172839505</v>
      </c>
      <c r="U252">
        <f t="shared" si="39"/>
        <v>19.922069795061727</v>
      </c>
      <c r="X252" s="9"/>
      <c r="Y252" s="21">
        <v>0.60150099999999995</v>
      </c>
      <c r="Z252" s="21">
        <v>17.613700000000001</v>
      </c>
      <c r="AA252" s="21">
        <v>-1.4798E-2</v>
      </c>
      <c r="AB252" s="21">
        <v>242</v>
      </c>
      <c r="AC252" s="21">
        <v>0.60082999999999998</v>
      </c>
      <c r="AD252">
        <f t="shared" si="40"/>
        <v>18.269135802469137</v>
      </c>
      <c r="AE252">
        <f t="shared" si="41"/>
        <v>10.988903454320987</v>
      </c>
      <c r="AF252" s="9"/>
      <c r="AG252" s="21">
        <v>1.1186199999999999</v>
      </c>
      <c r="AH252" s="21">
        <v>21.473199999999999</v>
      </c>
      <c r="AI252" s="21">
        <v>-1.43494E-2</v>
      </c>
      <c r="AJ252" s="21">
        <v>242</v>
      </c>
      <c r="AK252" s="21">
        <v>1.1178600000000001</v>
      </c>
      <c r="AL252">
        <f t="shared" si="42"/>
        <v>17.715308641975309</v>
      </c>
      <c r="AM252">
        <f t="shared" si="43"/>
        <v>19.816698553086418</v>
      </c>
      <c r="AP252" s="9"/>
      <c r="AQ252" s="21">
        <v>0.60150099999999995</v>
      </c>
      <c r="AR252" s="21">
        <v>27.021999999999998</v>
      </c>
      <c r="AS252" s="21">
        <v>-1.47461E-2</v>
      </c>
      <c r="AT252" s="21">
        <v>242</v>
      </c>
      <c r="AU252" s="21">
        <v>0.60082999999999998</v>
      </c>
      <c r="AV252">
        <f t="shared" si="44"/>
        <v>18.205061728395062</v>
      </c>
      <c r="AW252">
        <f t="shared" si="45"/>
        <v>10.950362834691358</v>
      </c>
      <c r="AX252" s="9"/>
      <c r="AY252" s="21">
        <v>1.1186199999999999</v>
      </c>
      <c r="AZ252" s="21">
        <v>30.881399999999999</v>
      </c>
      <c r="BA252" s="21">
        <v>-1.4379899999999999E-2</v>
      </c>
      <c r="BB252" s="21">
        <v>242</v>
      </c>
      <c r="BC252" s="21">
        <v>1.11816</v>
      </c>
      <c r="BD252">
        <f t="shared" si="46"/>
        <v>17.752962962962961</v>
      </c>
      <c r="BE252">
        <f t="shared" si="47"/>
        <v>19.858819429629627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0.59646600000000005</v>
      </c>
      <c r="H253" s="21">
        <v>8.1855899999999995</v>
      </c>
      <c r="I253" s="21">
        <v>-1.4733899999999999E-2</v>
      </c>
      <c r="J253" s="21">
        <v>243</v>
      </c>
      <c r="K253" s="21">
        <v>0.59567300000000001</v>
      </c>
      <c r="L253">
        <f t="shared" si="36"/>
        <v>18.189999999999998</v>
      </c>
      <c r="M253">
        <f t="shared" si="37"/>
        <v>10.849716539999999</v>
      </c>
      <c r="N253" s="9"/>
      <c r="O253" s="21">
        <v>1.1236600000000001</v>
      </c>
      <c r="P253" s="21">
        <v>12.0451</v>
      </c>
      <c r="Q253" s="21">
        <v>-1.4422600000000001E-2</v>
      </c>
      <c r="R253" s="21">
        <v>243</v>
      </c>
      <c r="S253" s="21">
        <v>1.1224400000000001</v>
      </c>
      <c r="T253">
        <f t="shared" si="38"/>
        <v>17.805679012345678</v>
      </c>
      <c r="U253">
        <f t="shared" si="39"/>
        <v>20.007529279012346</v>
      </c>
      <c r="X253" s="9"/>
      <c r="Y253" s="21">
        <v>0.59646600000000005</v>
      </c>
      <c r="Z253" s="21">
        <v>17.623799999999999</v>
      </c>
      <c r="AA253" s="21">
        <v>-1.4804100000000001E-2</v>
      </c>
      <c r="AB253" s="21">
        <v>243</v>
      </c>
      <c r="AC253" s="21">
        <v>0.59585600000000005</v>
      </c>
      <c r="AD253">
        <f t="shared" si="40"/>
        <v>18.276666666666667</v>
      </c>
      <c r="AE253">
        <f t="shared" si="41"/>
        <v>10.90141026</v>
      </c>
      <c r="AF253" s="9"/>
      <c r="AG253" s="21">
        <v>1.1236600000000001</v>
      </c>
      <c r="AH253" s="21">
        <v>21.4833</v>
      </c>
      <c r="AI253" s="21">
        <v>-1.4340200000000001E-2</v>
      </c>
      <c r="AJ253" s="21">
        <v>243</v>
      </c>
      <c r="AK253" s="21">
        <v>1.1224400000000001</v>
      </c>
      <c r="AL253">
        <f t="shared" si="42"/>
        <v>17.703950617283951</v>
      </c>
      <c r="AM253">
        <f t="shared" si="43"/>
        <v>19.893221150617286</v>
      </c>
      <c r="AP253" s="9"/>
      <c r="AQ253" s="21">
        <v>0.59646600000000005</v>
      </c>
      <c r="AR253" s="21">
        <v>27.032</v>
      </c>
      <c r="AS253" s="21">
        <v>-1.474E-2</v>
      </c>
      <c r="AT253" s="21">
        <v>243</v>
      </c>
      <c r="AU253" s="21">
        <v>0.59576399999999996</v>
      </c>
      <c r="AV253">
        <f t="shared" si="44"/>
        <v>18.197530864197528</v>
      </c>
      <c r="AW253">
        <f t="shared" si="45"/>
        <v>10.854208444444444</v>
      </c>
      <c r="AX253" s="9"/>
      <c r="AY253" s="21">
        <v>1.1236600000000001</v>
      </c>
      <c r="AZ253" s="21">
        <v>30.891500000000001</v>
      </c>
      <c r="BA253" s="21">
        <v>-1.4367700000000001E-2</v>
      </c>
      <c r="BB253" s="21">
        <v>243</v>
      </c>
      <c r="BC253" s="21">
        <v>1.1230500000000001</v>
      </c>
      <c r="BD253">
        <f t="shared" si="46"/>
        <v>17.7379012345679</v>
      </c>
      <c r="BE253">
        <f t="shared" si="47"/>
        <v>19.931370101234567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0.59143100000000004</v>
      </c>
      <c r="H254" s="21">
        <v>8.1956600000000002</v>
      </c>
      <c r="I254" s="21">
        <v>-1.474E-2</v>
      </c>
      <c r="J254" s="21">
        <v>244</v>
      </c>
      <c r="K254" s="21">
        <v>0.59069799999999995</v>
      </c>
      <c r="L254">
        <f t="shared" si="36"/>
        <v>18.197530864197528</v>
      </c>
      <c r="M254">
        <f t="shared" si="37"/>
        <v>10.762583876543209</v>
      </c>
      <c r="N254" s="9"/>
      <c r="O254" s="21">
        <v>1.12869</v>
      </c>
      <c r="P254" s="21">
        <v>12.055099999999999</v>
      </c>
      <c r="Q254" s="21">
        <v>-1.4413499999999999E-2</v>
      </c>
      <c r="R254" s="21">
        <v>244</v>
      </c>
      <c r="S254" s="21">
        <v>1.1276200000000001</v>
      </c>
      <c r="T254">
        <f t="shared" si="38"/>
        <v>17.794444444444444</v>
      </c>
      <c r="U254">
        <f t="shared" si="39"/>
        <v>20.084411499999998</v>
      </c>
      <c r="X254" s="9"/>
      <c r="Y254" s="21">
        <v>0.59143100000000004</v>
      </c>
      <c r="Z254" s="21">
        <v>17.633900000000001</v>
      </c>
      <c r="AA254" s="21">
        <v>-1.48071E-2</v>
      </c>
      <c r="AB254" s="21">
        <v>244</v>
      </c>
      <c r="AC254" s="21">
        <v>0.59069799999999995</v>
      </c>
      <c r="AD254">
        <f t="shared" si="40"/>
        <v>18.28037037037037</v>
      </c>
      <c r="AE254">
        <f t="shared" si="41"/>
        <v>10.81157772851852</v>
      </c>
      <c r="AF254" s="9"/>
      <c r="AG254" s="21">
        <v>1.12869</v>
      </c>
      <c r="AH254" s="21">
        <v>21.493400000000001</v>
      </c>
      <c r="AI254" s="21">
        <v>-1.43372E-2</v>
      </c>
      <c r="AJ254" s="21">
        <v>244</v>
      </c>
      <c r="AK254" s="21">
        <v>1.1279300000000001</v>
      </c>
      <c r="AL254">
        <f t="shared" si="42"/>
        <v>17.700246913580244</v>
      </c>
      <c r="AM254">
        <f t="shared" si="43"/>
        <v>19.978091688888885</v>
      </c>
      <c r="AP254" s="9"/>
      <c r="AQ254" s="21">
        <v>0.59143100000000004</v>
      </c>
      <c r="AR254" s="21">
        <v>27.042100000000001</v>
      </c>
      <c r="AS254" s="21">
        <v>-1.4742999999999999E-2</v>
      </c>
      <c r="AT254" s="21">
        <v>244</v>
      </c>
      <c r="AU254" s="21">
        <v>0.59079000000000004</v>
      </c>
      <c r="AV254">
        <f t="shared" si="44"/>
        <v>18.201234567901235</v>
      </c>
      <c r="AW254">
        <f t="shared" si="45"/>
        <v>10.764774361728396</v>
      </c>
      <c r="AX254" s="9"/>
      <c r="AY254" s="21">
        <v>1.12869</v>
      </c>
      <c r="AZ254" s="21">
        <v>30.901599999999998</v>
      </c>
      <c r="BA254" s="21">
        <v>-1.43616E-2</v>
      </c>
      <c r="BB254" s="21">
        <v>244</v>
      </c>
      <c r="BC254" s="21">
        <v>1.1276200000000001</v>
      </c>
      <c r="BD254">
        <f t="shared" si="46"/>
        <v>17.73037037037037</v>
      </c>
      <c r="BE254">
        <f t="shared" si="47"/>
        <v>20.012091733333332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0.586395</v>
      </c>
      <c r="H255" s="21">
        <v>8.2057300000000009</v>
      </c>
      <c r="I255" s="21">
        <v>-1.4736900000000001E-2</v>
      </c>
      <c r="J255" s="21">
        <v>245</v>
      </c>
      <c r="K255" s="21">
        <v>0.58569300000000002</v>
      </c>
      <c r="L255">
        <f t="shared" si="36"/>
        <v>18.193703703703704</v>
      </c>
      <c r="M255">
        <f t="shared" si="37"/>
        <v>10.668696883333334</v>
      </c>
      <c r="N255" s="9"/>
      <c r="O255" s="21">
        <v>1.1337299999999999</v>
      </c>
      <c r="P255" s="21">
        <v>12.065200000000001</v>
      </c>
      <c r="Q255" s="21">
        <v>-1.43982E-2</v>
      </c>
      <c r="R255" s="21">
        <v>245</v>
      </c>
      <c r="S255" s="21">
        <v>1.1322000000000001</v>
      </c>
      <c r="T255">
        <f t="shared" si="38"/>
        <v>17.775555555555556</v>
      </c>
      <c r="U255">
        <f t="shared" si="39"/>
        <v>20.1526806</v>
      </c>
      <c r="X255" s="9"/>
      <c r="Y255" s="21">
        <v>0.586395</v>
      </c>
      <c r="Z255" s="21">
        <v>17.643899999999999</v>
      </c>
      <c r="AA255" s="21">
        <v>-1.4798E-2</v>
      </c>
      <c r="AB255" s="21">
        <v>245</v>
      </c>
      <c r="AC255" s="21">
        <v>0.58566300000000004</v>
      </c>
      <c r="AD255">
        <f t="shared" si="40"/>
        <v>18.269135802469137</v>
      </c>
      <c r="AE255">
        <f t="shared" si="41"/>
        <v>10.712929888888889</v>
      </c>
      <c r="AF255" s="9"/>
      <c r="AG255" s="21">
        <v>1.1337299999999999</v>
      </c>
      <c r="AH255" s="21">
        <v>21.503399999999999</v>
      </c>
      <c r="AI255" s="21">
        <v>-1.4331099999999999E-2</v>
      </c>
      <c r="AJ255" s="21">
        <v>245</v>
      </c>
      <c r="AK255" s="21">
        <v>1.1328100000000001</v>
      </c>
      <c r="AL255">
        <f t="shared" si="42"/>
        <v>17.692716049382714</v>
      </c>
      <c r="AM255">
        <f t="shared" si="43"/>
        <v>20.058762966666663</v>
      </c>
      <c r="AP255" s="9"/>
      <c r="AQ255" s="21">
        <v>0.586395</v>
      </c>
      <c r="AR255" s="21">
        <v>27.052199999999999</v>
      </c>
      <c r="AS255" s="21">
        <v>-1.4727799999999999E-2</v>
      </c>
      <c r="AT255" s="21">
        <v>245</v>
      </c>
      <c r="AU255" s="21">
        <v>0.58560199999999996</v>
      </c>
      <c r="AV255">
        <f t="shared" si="44"/>
        <v>18.182469135802467</v>
      </c>
      <c r="AW255">
        <f t="shared" si="45"/>
        <v>10.662108988888887</v>
      </c>
      <c r="AX255" s="9"/>
      <c r="AY255" s="21">
        <v>1.1337299999999999</v>
      </c>
      <c r="AZ255" s="21">
        <v>30.9116</v>
      </c>
      <c r="BA255" s="21">
        <v>-1.43555E-2</v>
      </c>
      <c r="BB255" s="21">
        <v>245</v>
      </c>
      <c r="BC255" s="21">
        <v>1.1331199999999999</v>
      </c>
      <c r="BD255">
        <f t="shared" si="46"/>
        <v>17.722839506172836</v>
      </c>
      <c r="BE255">
        <f t="shared" si="47"/>
        <v>20.092914833333328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0.58135999999999999</v>
      </c>
      <c r="H256" s="21">
        <v>8.2157999999999998</v>
      </c>
      <c r="I256" s="21">
        <v>-1.47308E-2</v>
      </c>
      <c r="J256" s="21">
        <v>246</v>
      </c>
      <c r="K256" s="21">
        <v>0.58071899999999999</v>
      </c>
      <c r="L256">
        <f t="shared" si="36"/>
        <v>18.186172839506174</v>
      </c>
      <c r="M256">
        <f t="shared" si="37"/>
        <v>10.57271344197531</v>
      </c>
      <c r="N256" s="9"/>
      <c r="O256" s="21">
        <v>1.13876</v>
      </c>
      <c r="P256" s="21">
        <v>12.0753</v>
      </c>
      <c r="Q256" s="21">
        <v>-1.4382900000000001E-2</v>
      </c>
      <c r="R256" s="21">
        <v>246</v>
      </c>
      <c r="S256" s="21">
        <v>1.1379999999999999</v>
      </c>
      <c r="T256">
        <f t="shared" si="38"/>
        <v>17.756666666666668</v>
      </c>
      <c r="U256">
        <f t="shared" si="39"/>
        <v>20.220581733333333</v>
      </c>
      <c r="X256" s="9"/>
      <c r="Y256" s="21">
        <v>0.58135999999999999</v>
      </c>
      <c r="Z256" s="21">
        <v>17.654</v>
      </c>
      <c r="AA256" s="21">
        <v>-1.4798E-2</v>
      </c>
      <c r="AB256" s="21">
        <v>246</v>
      </c>
      <c r="AC256" s="21">
        <v>0.58071899999999999</v>
      </c>
      <c r="AD256">
        <f t="shared" si="40"/>
        <v>18.269135802469137</v>
      </c>
      <c r="AE256">
        <f t="shared" si="41"/>
        <v>10.620944790123458</v>
      </c>
      <c r="AF256" s="9"/>
      <c r="AG256" s="21">
        <v>1.13876</v>
      </c>
      <c r="AH256" s="21">
        <v>21.513500000000001</v>
      </c>
      <c r="AI256" s="21">
        <v>-1.43188E-2</v>
      </c>
      <c r="AJ256" s="21">
        <v>246</v>
      </c>
      <c r="AK256" s="21">
        <v>1.1383099999999999</v>
      </c>
      <c r="AL256">
        <f t="shared" si="42"/>
        <v>17.677530864197529</v>
      </c>
      <c r="AM256">
        <f t="shared" si="43"/>
        <v>20.130465046913578</v>
      </c>
      <c r="AP256" s="9"/>
      <c r="AQ256" s="21">
        <v>0.58135999999999999</v>
      </c>
      <c r="AR256" s="21">
        <v>27.062200000000001</v>
      </c>
      <c r="AS256" s="21">
        <v>-1.4727799999999999E-2</v>
      </c>
      <c r="AT256" s="21">
        <v>246</v>
      </c>
      <c r="AU256" s="21">
        <v>0.58065800000000001</v>
      </c>
      <c r="AV256">
        <f t="shared" si="44"/>
        <v>18.182469135802467</v>
      </c>
      <c r="AW256">
        <f t="shared" si="45"/>
        <v>10.570560256790122</v>
      </c>
      <c r="AX256" s="9"/>
      <c r="AY256" s="21">
        <v>1.13876</v>
      </c>
      <c r="AZ256" s="21">
        <v>30.921700000000001</v>
      </c>
      <c r="BA256" s="21">
        <v>-1.4346299999999999E-2</v>
      </c>
      <c r="BB256" s="21">
        <v>246</v>
      </c>
      <c r="BC256" s="21">
        <v>1.1379999999999999</v>
      </c>
      <c r="BD256">
        <f t="shared" si="46"/>
        <v>17.711481481481481</v>
      </c>
      <c r="BE256">
        <f t="shared" si="47"/>
        <v>20.169126651851851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0.57632399999999995</v>
      </c>
      <c r="H257" s="21">
        <v>8.2258700000000005</v>
      </c>
      <c r="I257" s="21">
        <v>-1.4736900000000001E-2</v>
      </c>
      <c r="J257" s="21">
        <v>247</v>
      </c>
      <c r="K257" s="21">
        <v>0.57565299999999997</v>
      </c>
      <c r="L257">
        <f t="shared" si="36"/>
        <v>18.193703703703704</v>
      </c>
      <c r="M257">
        <f t="shared" si="37"/>
        <v>10.485468093333333</v>
      </c>
      <c r="N257" s="9"/>
      <c r="O257" s="21">
        <v>1.1437999999999999</v>
      </c>
      <c r="P257" s="21">
        <v>12.0853</v>
      </c>
      <c r="Q257" s="21">
        <v>-1.4373800000000001E-2</v>
      </c>
      <c r="R257" s="21">
        <v>247</v>
      </c>
      <c r="S257" s="21">
        <v>1.1431899999999999</v>
      </c>
      <c r="T257">
        <f t="shared" si="38"/>
        <v>17.745432098765431</v>
      </c>
      <c r="U257">
        <f t="shared" si="39"/>
        <v>20.297225234567897</v>
      </c>
      <c r="X257" s="9"/>
      <c r="Y257" s="21">
        <v>0.57632399999999995</v>
      </c>
      <c r="Z257" s="21">
        <v>17.664100000000001</v>
      </c>
      <c r="AA257" s="21">
        <v>-1.4782699999999999E-2</v>
      </c>
      <c r="AB257" s="21">
        <v>247</v>
      </c>
      <c r="AC257" s="21">
        <v>0.57568399999999997</v>
      </c>
      <c r="AD257">
        <f t="shared" si="40"/>
        <v>18.250246913580245</v>
      </c>
      <c r="AE257">
        <f t="shared" si="41"/>
        <v>10.518055302222221</v>
      </c>
      <c r="AF257" s="9"/>
      <c r="AG257" s="21">
        <v>1.1437999999999999</v>
      </c>
      <c r="AH257" s="21">
        <v>21.523599999999998</v>
      </c>
      <c r="AI257" s="21">
        <v>-1.43097E-2</v>
      </c>
      <c r="AJ257" s="21">
        <v>247</v>
      </c>
      <c r="AK257" s="21">
        <v>1.1431899999999999</v>
      </c>
      <c r="AL257">
        <f t="shared" si="42"/>
        <v>17.666296296296295</v>
      </c>
      <c r="AM257">
        <f t="shared" si="43"/>
        <v>20.206709703703702</v>
      </c>
      <c r="AP257" s="9"/>
      <c r="AQ257" s="21">
        <v>0.57632399999999995</v>
      </c>
      <c r="AR257" s="21">
        <v>27.072299999999998</v>
      </c>
      <c r="AS257" s="21">
        <v>-1.4733899999999999E-2</v>
      </c>
      <c r="AT257" s="21">
        <v>247</v>
      </c>
      <c r="AU257" s="21">
        <v>0.57556200000000002</v>
      </c>
      <c r="AV257">
        <f t="shared" si="44"/>
        <v>18.189999999999998</v>
      </c>
      <c r="AW257">
        <f t="shared" si="45"/>
        <v>10.483333559999998</v>
      </c>
      <c r="AX257" s="9"/>
      <c r="AY257" s="21">
        <v>1.1437999999999999</v>
      </c>
      <c r="AZ257" s="21">
        <v>30.931799999999999</v>
      </c>
      <c r="BA257" s="21">
        <v>-1.4340200000000001E-2</v>
      </c>
      <c r="BB257" s="21">
        <v>247</v>
      </c>
      <c r="BC257" s="21">
        <v>1.1428799999999999</v>
      </c>
      <c r="BD257">
        <f t="shared" si="46"/>
        <v>17.703950617283951</v>
      </c>
      <c r="BE257">
        <f t="shared" si="47"/>
        <v>20.249778716049381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0.57128900000000005</v>
      </c>
      <c r="H258" s="21">
        <v>8.2359399999999994</v>
      </c>
      <c r="I258" s="21">
        <v>-1.47461E-2</v>
      </c>
      <c r="J258" s="21">
        <v>248</v>
      </c>
      <c r="K258" s="21">
        <v>0.57064800000000004</v>
      </c>
      <c r="L258">
        <f t="shared" si="36"/>
        <v>18.205061728395062</v>
      </c>
      <c r="M258">
        <f t="shared" si="37"/>
        <v>10.400351509753088</v>
      </c>
      <c r="N258" s="9"/>
      <c r="O258" s="21">
        <v>1.14883</v>
      </c>
      <c r="P258" s="21">
        <v>12.0954</v>
      </c>
      <c r="Q258" s="21">
        <v>-1.43646E-2</v>
      </c>
      <c r="R258" s="21">
        <v>248</v>
      </c>
      <c r="S258" s="21">
        <v>1.14838</v>
      </c>
      <c r="T258">
        <f t="shared" si="38"/>
        <v>17.734074074074073</v>
      </c>
      <c r="U258">
        <f t="shared" si="39"/>
        <v>20.373436318518518</v>
      </c>
      <c r="X258" s="9"/>
      <c r="Y258" s="21">
        <v>0.57128900000000005</v>
      </c>
      <c r="Z258" s="21">
        <v>17.674199999999999</v>
      </c>
      <c r="AA258" s="21">
        <v>-1.47797E-2</v>
      </c>
      <c r="AB258" s="21">
        <v>248</v>
      </c>
      <c r="AC258" s="21">
        <v>0.57067900000000005</v>
      </c>
      <c r="AD258">
        <f t="shared" si="40"/>
        <v>18.246543209876542</v>
      </c>
      <c r="AE258">
        <f t="shared" si="41"/>
        <v>10.42404942382716</v>
      </c>
      <c r="AF258" s="9"/>
      <c r="AG258" s="21">
        <v>1.14883</v>
      </c>
      <c r="AH258" s="21">
        <v>21.5336</v>
      </c>
      <c r="AI258" s="21">
        <v>-1.4300500000000001E-2</v>
      </c>
      <c r="AJ258" s="21">
        <v>248</v>
      </c>
      <c r="AK258" s="21">
        <v>1.1480699999999999</v>
      </c>
      <c r="AL258">
        <f t="shared" si="42"/>
        <v>17.654938271604937</v>
      </c>
      <c r="AM258">
        <f t="shared" si="43"/>
        <v>20.282522734567902</v>
      </c>
      <c r="AP258" s="9"/>
      <c r="AQ258" s="21">
        <v>0.57128900000000005</v>
      </c>
      <c r="AR258" s="21">
        <v>27.0824</v>
      </c>
      <c r="AS258" s="21">
        <v>-1.4733899999999999E-2</v>
      </c>
      <c r="AT258" s="21">
        <v>248</v>
      </c>
      <c r="AU258" s="21">
        <v>0.57055699999999998</v>
      </c>
      <c r="AV258">
        <f t="shared" si="44"/>
        <v>18.189999999999998</v>
      </c>
      <c r="AW258">
        <f t="shared" si="45"/>
        <v>10.39174691</v>
      </c>
      <c r="AX258" s="9"/>
      <c r="AY258" s="21">
        <v>1.14883</v>
      </c>
      <c r="AZ258" s="21">
        <v>30.9419</v>
      </c>
      <c r="BA258" s="21">
        <v>-1.4328E-2</v>
      </c>
      <c r="BB258" s="21">
        <v>248</v>
      </c>
      <c r="BC258" s="21">
        <v>1.1480699999999999</v>
      </c>
      <c r="BD258">
        <f t="shared" si="46"/>
        <v>17.68888888888889</v>
      </c>
      <c r="BE258">
        <f t="shared" si="47"/>
        <v>20.321526222222225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0.56625400000000004</v>
      </c>
      <c r="H259" s="21">
        <v>8.2460100000000001</v>
      </c>
      <c r="I259" s="21">
        <v>-1.47522E-2</v>
      </c>
      <c r="J259" s="21">
        <v>249</v>
      </c>
      <c r="K259" s="21">
        <v>0.56567400000000001</v>
      </c>
      <c r="L259">
        <f t="shared" si="36"/>
        <v>18.212592592592593</v>
      </c>
      <c r="M259">
        <f t="shared" si="37"/>
        <v>10.312953405925926</v>
      </c>
      <c r="N259" s="9"/>
      <c r="O259" s="21">
        <v>1.15387</v>
      </c>
      <c r="P259" s="21">
        <v>12.105499999999999</v>
      </c>
      <c r="Q259" s="21">
        <v>-1.4346299999999999E-2</v>
      </c>
      <c r="R259" s="21">
        <v>249</v>
      </c>
      <c r="S259" s="21">
        <v>1.15265</v>
      </c>
      <c r="T259">
        <f t="shared" si="38"/>
        <v>17.711481481481481</v>
      </c>
      <c r="U259">
        <f t="shared" si="39"/>
        <v>20.436747137037035</v>
      </c>
      <c r="X259" s="9"/>
      <c r="Y259" s="21">
        <v>0.56625400000000004</v>
      </c>
      <c r="Z259" s="21">
        <v>17.684200000000001</v>
      </c>
      <c r="AA259" s="21">
        <v>-1.47736E-2</v>
      </c>
      <c r="AB259" s="21">
        <v>249</v>
      </c>
      <c r="AC259" s="21">
        <v>0.56558200000000003</v>
      </c>
      <c r="AD259">
        <f t="shared" si="40"/>
        <v>18.239012345679011</v>
      </c>
      <c r="AE259">
        <f t="shared" si="41"/>
        <v>10.327913696790123</v>
      </c>
      <c r="AF259" s="9"/>
      <c r="AG259" s="21">
        <v>1.15387</v>
      </c>
      <c r="AH259" s="21">
        <v>21.543700000000001</v>
      </c>
      <c r="AI259" s="21">
        <v>-1.4294400000000001E-2</v>
      </c>
      <c r="AJ259" s="21">
        <v>249</v>
      </c>
      <c r="AK259" s="21">
        <v>1.15265</v>
      </c>
      <c r="AL259">
        <f t="shared" si="42"/>
        <v>17.647407407407407</v>
      </c>
      <c r="AM259">
        <f t="shared" si="43"/>
        <v>20.362813985185184</v>
      </c>
      <c r="AP259" s="9"/>
      <c r="AQ259" s="21">
        <v>0.56625400000000004</v>
      </c>
      <c r="AR259" s="21">
        <v>27.092500000000001</v>
      </c>
      <c r="AS259" s="21">
        <v>-1.4742999999999999E-2</v>
      </c>
      <c r="AT259" s="21">
        <v>249</v>
      </c>
      <c r="AU259" s="21">
        <v>0.56564300000000001</v>
      </c>
      <c r="AV259">
        <f t="shared" si="44"/>
        <v>18.201234567901235</v>
      </c>
      <c r="AW259">
        <f t="shared" si="45"/>
        <v>10.306521879012346</v>
      </c>
      <c r="AX259" s="9"/>
      <c r="AY259" s="21">
        <v>1.15387</v>
      </c>
      <c r="AZ259" s="21">
        <v>30.951899999999998</v>
      </c>
      <c r="BA259" s="21">
        <v>-1.43188E-2</v>
      </c>
      <c r="BB259" s="21">
        <v>249</v>
      </c>
      <c r="BC259" s="21">
        <v>1.15326</v>
      </c>
      <c r="BD259">
        <f t="shared" si="46"/>
        <v>17.677530864197529</v>
      </c>
      <c r="BE259">
        <f t="shared" si="47"/>
        <v>20.3975725382716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0.56121799999999999</v>
      </c>
      <c r="H260" s="21">
        <v>8.2560800000000008</v>
      </c>
      <c r="I260" s="21">
        <v>-1.47522E-2</v>
      </c>
      <c r="J260" s="21">
        <v>250</v>
      </c>
      <c r="K260" s="21">
        <v>0.56054700000000002</v>
      </c>
      <c r="L260">
        <f t="shared" si="36"/>
        <v>18.212592592592593</v>
      </c>
      <c r="M260">
        <f t="shared" si="37"/>
        <v>10.22123478962963</v>
      </c>
      <c r="N260" s="9"/>
      <c r="O260" s="21">
        <v>1.1589100000000001</v>
      </c>
      <c r="P260" s="21">
        <v>12.115600000000001</v>
      </c>
      <c r="Q260" s="21">
        <v>-1.4331099999999999E-2</v>
      </c>
      <c r="R260" s="21">
        <v>250</v>
      </c>
      <c r="S260" s="21">
        <v>1.15784</v>
      </c>
      <c r="T260">
        <f t="shared" si="38"/>
        <v>17.692716049382714</v>
      </c>
      <c r="U260">
        <f t="shared" si="39"/>
        <v>20.504265556790124</v>
      </c>
      <c r="X260" s="9"/>
      <c r="Y260" s="21">
        <v>0.56121799999999999</v>
      </c>
      <c r="Z260" s="21">
        <v>17.694299999999998</v>
      </c>
      <c r="AA260" s="21">
        <v>-1.4767499999999999E-2</v>
      </c>
      <c r="AB260" s="21">
        <v>250</v>
      </c>
      <c r="AC260" s="21">
        <v>0.56063799999999997</v>
      </c>
      <c r="AD260">
        <f t="shared" si="40"/>
        <v>18.231481481481481</v>
      </c>
      <c r="AE260">
        <f t="shared" si="41"/>
        <v>10.231835574074074</v>
      </c>
      <c r="AF260" s="9"/>
      <c r="AG260" s="21">
        <v>1.1589100000000001</v>
      </c>
      <c r="AH260" s="21">
        <v>21.553799999999999</v>
      </c>
      <c r="AI260" s="21">
        <v>-1.42822E-2</v>
      </c>
      <c r="AJ260" s="21">
        <v>250</v>
      </c>
      <c r="AK260" s="21">
        <v>1.15784</v>
      </c>
      <c r="AL260">
        <f t="shared" si="42"/>
        <v>17.632345679012342</v>
      </c>
      <c r="AM260">
        <f t="shared" si="43"/>
        <v>20.434301730864195</v>
      </c>
      <c r="AP260" s="9"/>
      <c r="AQ260" s="21">
        <v>0.56121799999999999</v>
      </c>
      <c r="AR260" s="21">
        <v>27.102499999999999</v>
      </c>
      <c r="AS260" s="21">
        <v>-1.474E-2</v>
      </c>
      <c r="AT260" s="21">
        <v>250</v>
      </c>
      <c r="AU260" s="21">
        <v>0.56057699999999999</v>
      </c>
      <c r="AV260">
        <f t="shared" si="44"/>
        <v>18.197530864197528</v>
      </c>
      <c r="AW260">
        <f t="shared" si="45"/>
        <v>10.212781876543207</v>
      </c>
      <c r="AX260" s="9"/>
      <c r="AY260" s="21">
        <v>1.1589100000000001</v>
      </c>
      <c r="AZ260" s="21">
        <v>30.962</v>
      </c>
      <c r="BA260" s="21">
        <v>-1.43097E-2</v>
      </c>
      <c r="BB260" s="21">
        <v>250</v>
      </c>
      <c r="BC260" s="21">
        <v>1.15784</v>
      </c>
      <c r="BD260">
        <f t="shared" si="46"/>
        <v>17.666296296296295</v>
      </c>
      <c r="BE260">
        <f t="shared" si="47"/>
        <v>20.473647440740741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0.55618299999999998</v>
      </c>
      <c r="H261" s="21">
        <v>8.2661599999999993</v>
      </c>
      <c r="I261" s="21">
        <v>-1.47461E-2</v>
      </c>
      <c r="J261" s="21">
        <v>251</v>
      </c>
      <c r="K261" s="21">
        <v>0.55545</v>
      </c>
      <c r="L261">
        <f t="shared" si="36"/>
        <v>18.205061728395062</v>
      </c>
      <c r="M261">
        <f t="shared" si="37"/>
        <v>10.125345847283951</v>
      </c>
      <c r="N261" s="9"/>
      <c r="O261" s="21">
        <v>1.16394</v>
      </c>
      <c r="P261" s="21">
        <v>12.1256</v>
      </c>
      <c r="Q261" s="21">
        <v>-1.4328E-2</v>
      </c>
      <c r="R261" s="21">
        <v>251</v>
      </c>
      <c r="S261" s="21">
        <v>1.16364</v>
      </c>
      <c r="T261">
        <f t="shared" si="38"/>
        <v>17.68888888888889</v>
      </c>
      <c r="U261">
        <f t="shared" si="39"/>
        <v>20.588805333333333</v>
      </c>
      <c r="X261" s="9"/>
      <c r="Y261" s="21">
        <v>0.55618299999999998</v>
      </c>
      <c r="Z261" s="21">
        <v>17.7044</v>
      </c>
      <c r="AA261" s="21">
        <v>-1.4770500000000001E-2</v>
      </c>
      <c r="AB261" s="21">
        <v>251</v>
      </c>
      <c r="AC261" s="21">
        <v>0.55557299999999998</v>
      </c>
      <c r="AD261">
        <f t="shared" si="40"/>
        <v>18.235185185185184</v>
      </c>
      <c r="AE261">
        <f t="shared" si="41"/>
        <v>10.142100001851851</v>
      </c>
      <c r="AF261" s="9"/>
      <c r="AG261" s="21">
        <v>1.16394</v>
      </c>
      <c r="AH261" s="21">
        <v>21.563800000000001</v>
      </c>
      <c r="AI261" s="21">
        <v>-1.4279200000000001E-2</v>
      </c>
      <c r="AJ261" s="21">
        <v>251</v>
      </c>
      <c r="AK261" s="21">
        <v>1.16272</v>
      </c>
      <c r="AL261">
        <f t="shared" si="42"/>
        <v>17.628641975308639</v>
      </c>
      <c r="AM261">
        <f t="shared" si="43"/>
        <v>20.518681540740737</v>
      </c>
      <c r="AP261" s="9"/>
      <c r="AQ261" s="21">
        <v>0.55618299999999998</v>
      </c>
      <c r="AR261" s="21">
        <v>27.1126</v>
      </c>
      <c r="AS261" s="21">
        <v>-1.4733899999999999E-2</v>
      </c>
      <c r="AT261" s="21">
        <v>251</v>
      </c>
      <c r="AU261" s="21">
        <v>0.55554199999999998</v>
      </c>
      <c r="AV261">
        <f t="shared" si="44"/>
        <v>18.189999999999998</v>
      </c>
      <c r="AW261">
        <f t="shared" si="45"/>
        <v>10.116968769999998</v>
      </c>
      <c r="AX261" s="9"/>
      <c r="AY261" s="21">
        <v>1.16394</v>
      </c>
      <c r="AZ261" s="21">
        <v>30.972100000000001</v>
      </c>
      <c r="BA261" s="21">
        <v>-1.4300500000000001E-2</v>
      </c>
      <c r="BB261" s="21">
        <v>251</v>
      </c>
      <c r="BC261" s="21">
        <v>1.16364</v>
      </c>
      <c r="BD261">
        <f t="shared" si="46"/>
        <v>17.654938271604937</v>
      </c>
      <c r="BE261">
        <f t="shared" si="47"/>
        <v>20.549288851851852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0.55114700000000005</v>
      </c>
      <c r="H262" s="21">
        <v>8.27623</v>
      </c>
      <c r="I262" s="21">
        <v>-1.47461E-2</v>
      </c>
      <c r="J262" s="21">
        <v>252</v>
      </c>
      <c r="K262" s="21">
        <v>0.55044599999999999</v>
      </c>
      <c r="L262">
        <f t="shared" si="36"/>
        <v>18.205061728395062</v>
      </c>
      <c r="M262">
        <f t="shared" si="37"/>
        <v>10.033665156419755</v>
      </c>
      <c r="N262" s="9"/>
      <c r="O262" s="21">
        <v>1.1689799999999999</v>
      </c>
      <c r="P262" s="21">
        <v>12.1357</v>
      </c>
      <c r="Q262" s="21">
        <v>-1.4312699999999999E-2</v>
      </c>
      <c r="R262" s="21">
        <v>252</v>
      </c>
      <c r="S262" s="21">
        <v>1.16821</v>
      </c>
      <c r="T262">
        <f t="shared" si="38"/>
        <v>17.669999999999998</v>
      </c>
      <c r="U262">
        <f t="shared" si="39"/>
        <v>20.655876599999996</v>
      </c>
      <c r="X262" s="9"/>
      <c r="Y262" s="21">
        <v>0.55114700000000005</v>
      </c>
      <c r="Z262" s="21">
        <v>17.714400000000001</v>
      </c>
      <c r="AA262" s="21">
        <v>-1.47736E-2</v>
      </c>
      <c r="AB262" s="21">
        <v>252</v>
      </c>
      <c r="AC262" s="21">
        <v>0.55047599999999997</v>
      </c>
      <c r="AD262">
        <f t="shared" si="40"/>
        <v>18.239012345679011</v>
      </c>
      <c r="AE262">
        <f t="shared" si="41"/>
        <v>10.052376937283951</v>
      </c>
      <c r="AF262" s="9"/>
      <c r="AG262" s="21">
        <v>1.1689799999999999</v>
      </c>
      <c r="AH262" s="21">
        <v>21.573899999999998</v>
      </c>
      <c r="AI262" s="21">
        <v>-1.427E-2</v>
      </c>
      <c r="AJ262" s="21">
        <v>252</v>
      </c>
      <c r="AK262" s="21">
        <v>1.1676</v>
      </c>
      <c r="AL262">
        <f t="shared" si="42"/>
        <v>17.617283950617285</v>
      </c>
      <c r="AM262">
        <f t="shared" si="43"/>
        <v>20.594252592592593</v>
      </c>
      <c r="AP262" s="9"/>
      <c r="AQ262" s="21">
        <v>0.55114700000000005</v>
      </c>
      <c r="AR262" s="21">
        <v>27.122699999999998</v>
      </c>
      <c r="AS262" s="21">
        <v>-1.4736900000000001E-2</v>
      </c>
      <c r="AT262" s="21">
        <v>252</v>
      </c>
      <c r="AU262" s="21">
        <v>0.55053700000000005</v>
      </c>
      <c r="AV262">
        <f t="shared" si="44"/>
        <v>18.193703703703704</v>
      </c>
      <c r="AW262">
        <f t="shared" si="45"/>
        <v>10.027405215185187</v>
      </c>
      <c r="AX262" s="9"/>
      <c r="AY262" s="21">
        <v>1.1689799999999999</v>
      </c>
      <c r="AZ262" s="21">
        <v>30.982099999999999</v>
      </c>
      <c r="BA262" s="21">
        <v>-1.4291399999999999E-2</v>
      </c>
      <c r="BB262" s="21">
        <v>252</v>
      </c>
      <c r="BC262" s="21">
        <v>1.16821</v>
      </c>
      <c r="BD262">
        <f t="shared" si="46"/>
        <v>17.643703703703704</v>
      </c>
      <c r="BE262">
        <f t="shared" si="47"/>
        <v>20.625136755555555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0.54611200000000004</v>
      </c>
      <c r="H263" s="21">
        <v>8.2863000000000007</v>
      </c>
      <c r="I263" s="21">
        <v>-1.4749099999999999E-2</v>
      </c>
      <c r="J263" s="21">
        <v>253</v>
      </c>
      <c r="K263" s="21">
        <v>0.54553200000000002</v>
      </c>
      <c r="L263">
        <f t="shared" si="36"/>
        <v>18.208765432098765</v>
      </c>
      <c r="M263">
        <f t="shared" si="37"/>
        <v>9.9440253076543215</v>
      </c>
      <c r="N263" s="9"/>
      <c r="O263" s="21">
        <v>1.17401</v>
      </c>
      <c r="P263" s="21">
        <v>12.145799999999999</v>
      </c>
      <c r="Q263" s="21">
        <v>-1.4300500000000001E-2</v>
      </c>
      <c r="R263" s="21">
        <v>253</v>
      </c>
      <c r="S263" s="21">
        <v>1.1731</v>
      </c>
      <c r="T263">
        <f t="shared" si="38"/>
        <v>17.654938271604937</v>
      </c>
      <c r="U263">
        <f t="shared" si="39"/>
        <v>20.727074080246911</v>
      </c>
      <c r="X263" s="9"/>
      <c r="Y263" s="21">
        <v>0.54611200000000004</v>
      </c>
      <c r="Z263" s="21">
        <v>17.724499999999999</v>
      </c>
      <c r="AA263" s="21">
        <v>-1.47888E-2</v>
      </c>
      <c r="AB263" s="21">
        <v>253</v>
      </c>
      <c r="AC263" s="21">
        <v>0.54547100000000004</v>
      </c>
      <c r="AD263">
        <f t="shared" si="40"/>
        <v>18.257777777777775</v>
      </c>
      <c r="AE263">
        <f t="shared" si="41"/>
        <v>9.970791537777778</v>
      </c>
      <c r="AF263" s="9"/>
      <c r="AG263" s="21">
        <v>1.17401</v>
      </c>
      <c r="AH263" s="21">
        <v>21.584</v>
      </c>
      <c r="AI263" s="21">
        <v>-1.42609E-2</v>
      </c>
      <c r="AJ263" s="21">
        <v>253</v>
      </c>
      <c r="AK263" s="21">
        <v>1.17249</v>
      </c>
      <c r="AL263">
        <f t="shared" si="42"/>
        <v>17.606049382716048</v>
      </c>
      <c r="AM263">
        <f t="shared" si="43"/>
        <v>20.669678035802466</v>
      </c>
      <c r="AP263" s="9"/>
      <c r="AQ263" s="21">
        <v>0.54611200000000004</v>
      </c>
      <c r="AR263" s="21">
        <v>27.1327</v>
      </c>
      <c r="AS263" s="21">
        <v>-1.47308E-2</v>
      </c>
      <c r="AT263" s="21">
        <v>253</v>
      </c>
      <c r="AU263" s="21">
        <v>0.54544099999999995</v>
      </c>
      <c r="AV263">
        <f t="shared" si="44"/>
        <v>18.186172839506174</v>
      </c>
      <c r="AW263">
        <f t="shared" si="45"/>
        <v>9.9316872217283958</v>
      </c>
      <c r="AX263" s="9"/>
      <c r="AY263" s="21">
        <v>1.17401</v>
      </c>
      <c r="AZ263" s="21">
        <v>30.9922</v>
      </c>
      <c r="BA263" s="21">
        <v>-1.4279200000000001E-2</v>
      </c>
      <c r="BB263" s="21">
        <v>253</v>
      </c>
      <c r="BC263" s="21">
        <v>1.17249</v>
      </c>
      <c r="BD263">
        <f t="shared" si="46"/>
        <v>17.628641975308639</v>
      </c>
      <c r="BE263">
        <f t="shared" si="47"/>
        <v>20.696201965432095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0.54107700000000003</v>
      </c>
      <c r="H264" s="21">
        <v>8.2963699999999996</v>
      </c>
      <c r="I264" s="21">
        <v>-1.4736900000000001E-2</v>
      </c>
      <c r="J264" s="21">
        <v>254</v>
      </c>
      <c r="K264" s="21">
        <v>0.54034400000000005</v>
      </c>
      <c r="L264">
        <f t="shared" si="36"/>
        <v>18.193703703703704</v>
      </c>
      <c r="M264">
        <f t="shared" si="37"/>
        <v>9.8441946188888902</v>
      </c>
      <c r="N264" s="9"/>
      <c r="O264" s="21">
        <v>1.1790499999999999</v>
      </c>
      <c r="P264" s="21">
        <v>12.155799999999999</v>
      </c>
      <c r="Q264" s="21">
        <v>-1.4297499999999999E-2</v>
      </c>
      <c r="R264" s="21">
        <v>254</v>
      </c>
      <c r="S264" s="21">
        <v>1.17828</v>
      </c>
      <c r="T264">
        <f t="shared" si="38"/>
        <v>17.651234567901231</v>
      </c>
      <c r="U264">
        <f t="shared" si="39"/>
        <v>20.811688117283946</v>
      </c>
      <c r="X264" s="9"/>
      <c r="Y264" s="21">
        <v>0.54107700000000003</v>
      </c>
      <c r="Z264" s="21">
        <v>17.7346</v>
      </c>
      <c r="AA264" s="21">
        <v>-1.47919E-2</v>
      </c>
      <c r="AB264" s="21">
        <v>254</v>
      </c>
      <c r="AC264" s="21">
        <v>0.54040500000000002</v>
      </c>
      <c r="AD264">
        <f t="shared" si="40"/>
        <v>18.261604938271603</v>
      </c>
      <c r="AE264">
        <f t="shared" si="41"/>
        <v>9.8809344151851839</v>
      </c>
      <c r="AF264" s="9"/>
      <c r="AG264" s="21">
        <v>1.1790499999999999</v>
      </c>
      <c r="AH264" s="21">
        <v>21.594100000000001</v>
      </c>
      <c r="AI264" s="21">
        <v>-1.4245600000000001E-2</v>
      </c>
      <c r="AJ264" s="21">
        <v>254</v>
      </c>
      <c r="AK264" s="21">
        <v>1.17828</v>
      </c>
      <c r="AL264">
        <f t="shared" si="42"/>
        <v>17.58716049382716</v>
      </c>
      <c r="AM264">
        <f t="shared" si="43"/>
        <v>20.736141580246912</v>
      </c>
      <c r="AP264" s="9"/>
      <c r="AQ264" s="21">
        <v>0.54107700000000003</v>
      </c>
      <c r="AR264" s="21">
        <v>27.142800000000001</v>
      </c>
      <c r="AS264" s="21">
        <v>-1.4721700000000001E-2</v>
      </c>
      <c r="AT264" s="21">
        <v>254</v>
      </c>
      <c r="AU264" s="21">
        <v>0.54043600000000003</v>
      </c>
      <c r="AV264">
        <f t="shared" si="44"/>
        <v>18.174938271604937</v>
      </c>
      <c r="AW264">
        <f t="shared" si="45"/>
        <v>9.8340410751851852</v>
      </c>
      <c r="AX264" s="9"/>
      <c r="AY264" s="21">
        <v>1.1790499999999999</v>
      </c>
      <c r="AZ264" s="21">
        <v>31.002300000000002</v>
      </c>
      <c r="BA264" s="21">
        <v>-1.4267E-2</v>
      </c>
      <c r="BB264" s="21">
        <v>254</v>
      </c>
      <c r="BC264" s="21">
        <v>1.17767</v>
      </c>
      <c r="BD264">
        <f t="shared" si="46"/>
        <v>17.613580246913582</v>
      </c>
      <c r="BE264">
        <f t="shared" si="47"/>
        <v>20.767291790123458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0.53604099999999999</v>
      </c>
      <c r="H265" s="21">
        <v>8.3064400000000003</v>
      </c>
      <c r="I265" s="21">
        <v>-1.4736900000000001E-2</v>
      </c>
      <c r="J265" s="21">
        <v>255</v>
      </c>
      <c r="K265" s="21">
        <v>0.53537000000000001</v>
      </c>
      <c r="L265">
        <f t="shared" si="36"/>
        <v>18.193703703703704</v>
      </c>
      <c r="M265">
        <f t="shared" si="37"/>
        <v>9.7525711270370365</v>
      </c>
      <c r="N265" s="9"/>
      <c r="O265" s="21">
        <v>1.18408</v>
      </c>
      <c r="P265" s="21">
        <v>12.165900000000001</v>
      </c>
      <c r="Q265" s="21">
        <v>-1.42883E-2</v>
      </c>
      <c r="R265" s="21">
        <v>255</v>
      </c>
      <c r="S265" s="21">
        <v>1.18347</v>
      </c>
      <c r="T265">
        <f t="shared" si="38"/>
        <v>17.639876543209876</v>
      </c>
      <c r="U265">
        <f t="shared" si="39"/>
        <v>20.88702501728395</v>
      </c>
      <c r="X265" s="9"/>
      <c r="Y265" s="21">
        <v>0.53604099999999999</v>
      </c>
      <c r="Z265" s="21">
        <v>17.744700000000002</v>
      </c>
      <c r="AA265" s="21">
        <v>-1.4798E-2</v>
      </c>
      <c r="AB265" s="21">
        <v>255</v>
      </c>
      <c r="AC265" s="21">
        <v>0.53543099999999999</v>
      </c>
      <c r="AD265">
        <f t="shared" si="40"/>
        <v>18.269135802469137</v>
      </c>
      <c r="AE265">
        <f t="shared" si="41"/>
        <v>9.7930058246913578</v>
      </c>
      <c r="AF265" s="9"/>
      <c r="AG265" s="21">
        <v>1.18408</v>
      </c>
      <c r="AH265" s="21">
        <v>21.604099999999999</v>
      </c>
      <c r="AI265" s="21">
        <v>-1.4245600000000001E-2</v>
      </c>
      <c r="AJ265" s="21">
        <v>255</v>
      </c>
      <c r="AK265" s="21">
        <v>1.1831700000000001</v>
      </c>
      <c r="AL265">
        <f t="shared" si="42"/>
        <v>17.58716049382716</v>
      </c>
      <c r="AM265">
        <f t="shared" si="43"/>
        <v>20.824604997530862</v>
      </c>
      <c r="AP265" s="9"/>
      <c r="AQ265" s="21">
        <v>0.53604099999999999</v>
      </c>
      <c r="AR265" s="21">
        <v>27.152899999999999</v>
      </c>
      <c r="AS265" s="21">
        <v>-1.4727799999999999E-2</v>
      </c>
      <c r="AT265" s="21">
        <v>255</v>
      </c>
      <c r="AU265" s="21">
        <v>0.53537000000000001</v>
      </c>
      <c r="AV265">
        <f t="shared" si="44"/>
        <v>18.182469135802467</v>
      </c>
      <c r="AW265">
        <f t="shared" si="45"/>
        <v>9.7465489380246897</v>
      </c>
      <c r="AX265" s="9"/>
      <c r="AY265" s="21">
        <v>1.18408</v>
      </c>
      <c r="AZ265" s="21">
        <v>31.0124</v>
      </c>
      <c r="BA265" s="21">
        <v>-1.4251700000000001E-2</v>
      </c>
      <c r="BB265" s="21">
        <v>255</v>
      </c>
      <c r="BC265" s="21">
        <v>1.1825600000000001</v>
      </c>
      <c r="BD265">
        <f t="shared" si="46"/>
        <v>17.594691358024694</v>
      </c>
      <c r="BE265">
        <f t="shared" si="47"/>
        <v>20.83352214320988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0.53100599999999998</v>
      </c>
      <c r="H266" s="21">
        <v>8.3165099999999992</v>
      </c>
      <c r="I266" s="21">
        <v>-1.4742999999999999E-2</v>
      </c>
      <c r="J266" s="21">
        <v>256</v>
      </c>
      <c r="K266" s="21">
        <v>0.53027299999999999</v>
      </c>
      <c r="L266">
        <f t="shared" si="36"/>
        <v>18.201234567901235</v>
      </c>
      <c r="M266">
        <f t="shared" si="37"/>
        <v>9.6649647629629634</v>
      </c>
      <c r="N266" s="9"/>
      <c r="O266" s="21">
        <v>1.18912</v>
      </c>
      <c r="P266" s="21">
        <v>12.176</v>
      </c>
      <c r="Q266" s="21">
        <v>-1.4285300000000001E-2</v>
      </c>
      <c r="R266" s="21">
        <v>256</v>
      </c>
      <c r="S266" s="21">
        <v>1.18774</v>
      </c>
      <c r="T266">
        <f t="shared" si="38"/>
        <v>17.636172839506173</v>
      </c>
      <c r="U266">
        <f t="shared" si="39"/>
        <v>20.971525846913579</v>
      </c>
      <c r="X266" s="9"/>
      <c r="Y266" s="21">
        <v>0.53100599999999998</v>
      </c>
      <c r="Z266" s="21">
        <v>17.7547</v>
      </c>
      <c r="AA266" s="21">
        <v>-1.48071E-2</v>
      </c>
      <c r="AB266" s="21">
        <v>256</v>
      </c>
      <c r="AC266" s="21">
        <v>0.53036499999999998</v>
      </c>
      <c r="AD266">
        <f t="shared" si="40"/>
        <v>18.28037037037037</v>
      </c>
      <c r="AE266">
        <f t="shared" si="41"/>
        <v>9.7069863488888881</v>
      </c>
      <c r="AF266" s="9"/>
      <c r="AG266" s="21">
        <v>1.18912</v>
      </c>
      <c r="AH266" s="21">
        <v>21.6142</v>
      </c>
      <c r="AI266" s="21">
        <v>-1.4251700000000001E-2</v>
      </c>
      <c r="AJ266" s="21">
        <v>256</v>
      </c>
      <c r="AK266" s="21">
        <v>1.1880500000000001</v>
      </c>
      <c r="AL266">
        <f t="shared" si="42"/>
        <v>17.594691358024694</v>
      </c>
      <c r="AM266">
        <f t="shared" si="43"/>
        <v>20.922199387654324</v>
      </c>
      <c r="AP266" s="9"/>
      <c r="AQ266" s="21">
        <v>0.53100599999999998</v>
      </c>
      <c r="AR266" s="21">
        <v>27.163</v>
      </c>
      <c r="AS266" s="21">
        <v>-1.4727799999999999E-2</v>
      </c>
      <c r="AT266" s="21">
        <v>256</v>
      </c>
      <c r="AU266" s="21">
        <v>0.53027299999999999</v>
      </c>
      <c r="AV266">
        <f t="shared" si="44"/>
        <v>18.182469135802467</v>
      </c>
      <c r="AW266">
        <f t="shared" si="45"/>
        <v>9.6550002059259246</v>
      </c>
      <c r="AX266" s="9"/>
      <c r="AY266" s="21">
        <v>1.18912</v>
      </c>
      <c r="AZ266" s="21">
        <v>31.022400000000001</v>
      </c>
      <c r="BA266" s="21">
        <v>-1.4245600000000001E-2</v>
      </c>
      <c r="BB266" s="21">
        <v>256</v>
      </c>
      <c r="BC266" s="21">
        <v>1.18774</v>
      </c>
      <c r="BD266">
        <f t="shared" si="46"/>
        <v>17.58716049382716</v>
      </c>
      <c r="BE266">
        <f t="shared" si="47"/>
        <v>20.913244286419751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0.52597000000000005</v>
      </c>
      <c r="H267" s="21">
        <v>8.3265799999999999</v>
      </c>
      <c r="I267" s="21">
        <v>-1.4749099999999999E-2</v>
      </c>
      <c r="J267" s="21">
        <v>257</v>
      </c>
      <c r="K267" s="21">
        <v>0.52526899999999999</v>
      </c>
      <c r="L267">
        <f t="shared" si="36"/>
        <v>18.208765432098765</v>
      </c>
      <c r="M267">
        <f t="shared" si="37"/>
        <v>9.5772643543209881</v>
      </c>
      <c r="N267" s="9"/>
      <c r="O267" s="21">
        <v>1.19415</v>
      </c>
      <c r="P267" s="21">
        <v>12.1861</v>
      </c>
      <c r="Q267" s="21">
        <v>-1.42761E-2</v>
      </c>
      <c r="R267" s="21">
        <v>257</v>
      </c>
      <c r="S267" s="21">
        <v>1.1926300000000001</v>
      </c>
      <c r="T267">
        <f t="shared" si="38"/>
        <v>17.624814814814812</v>
      </c>
      <c r="U267">
        <f t="shared" si="39"/>
        <v>21.046672611111109</v>
      </c>
      <c r="X267" s="9"/>
      <c r="Y267" s="21">
        <v>0.52597000000000005</v>
      </c>
      <c r="Z267" s="21">
        <v>17.764800000000001</v>
      </c>
      <c r="AA267" s="21">
        <v>-1.48132E-2</v>
      </c>
      <c r="AB267" s="21">
        <v>257</v>
      </c>
      <c r="AC267" s="21">
        <v>0.52529899999999996</v>
      </c>
      <c r="AD267">
        <f t="shared" si="40"/>
        <v>18.287901234567901</v>
      </c>
      <c r="AE267">
        <f t="shared" si="41"/>
        <v>9.6188874123456802</v>
      </c>
      <c r="AF267" s="9"/>
      <c r="AG267" s="21">
        <v>1.19415</v>
      </c>
      <c r="AH267" s="21">
        <v>21.624300000000002</v>
      </c>
      <c r="AI267" s="21">
        <v>-1.42548E-2</v>
      </c>
      <c r="AJ267" s="21">
        <v>257</v>
      </c>
      <c r="AK267" s="21">
        <v>1.19354</v>
      </c>
      <c r="AL267">
        <f t="shared" si="42"/>
        <v>17.598518518518517</v>
      </c>
      <c r="AM267">
        <f t="shared" si="43"/>
        <v>21.015270888888889</v>
      </c>
      <c r="AP267" s="9"/>
      <c r="AQ267" s="21">
        <v>0.52597000000000005</v>
      </c>
      <c r="AR267" s="21">
        <v>27.172999999999998</v>
      </c>
      <c r="AS267" s="21">
        <v>-1.4736900000000001E-2</v>
      </c>
      <c r="AT267" s="21">
        <v>257</v>
      </c>
      <c r="AU267" s="21">
        <v>0.52532999999999996</v>
      </c>
      <c r="AV267">
        <f t="shared" si="44"/>
        <v>18.193703703703704</v>
      </c>
      <c r="AW267">
        <f t="shared" si="45"/>
        <v>9.569342337037039</v>
      </c>
      <c r="AX267" s="9"/>
      <c r="AY267" s="21">
        <v>1.19415</v>
      </c>
      <c r="AZ267" s="21">
        <v>31.032499999999999</v>
      </c>
      <c r="BA267" s="21">
        <v>-1.42303E-2</v>
      </c>
      <c r="BB267" s="21">
        <v>257</v>
      </c>
      <c r="BC267" s="21">
        <v>1.1932400000000001</v>
      </c>
      <c r="BD267">
        <f t="shared" si="46"/>
        <v>17.568271604938271</v>
      </c>
      <c r="BE267">
        <f t="shared" si="47"/>
        <v>20.979151537037037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0.52093500000000004</v>
      </c>
      <c r="H268" s="21">
        <v>8.3366500000000006</v>
      </c>
      <c r="I268" s="21">
        <v>-1.47583E-2</v>
      </c>
      <c r="J268" s="21">
        <v>258</v>
      </c>
      <c r="K268" s="21">
        <v>0.52032500000000004</v>
      </c>
      <c r="L268">
        <f t="shared" ref="L268:L331" si="48">-I268/$F$2*1000</f>
        <v>18.22012345679012</v>
      </c>
      <c r="M268">
        <f t="shared" ref="M268:M331" si="49">L268*G268</f>
        <v>9.4915000129629608</v>
      </c>
      <c r="N268" s="9"/>
      <c r="O268" s="21">
        <v>1.19919</v>
      </c>
      <c r="P268" s="21">
        <v>12.196099999999999</v>
      </c>
      <c r="Q268" s="21">
        <v>-1.427E-2</v>
      </c>
      <c r="R268" s="21">
        <v>258</v>
      </c>
      <c r="S268" s="21">
        <v>1.1984300000000001</v>
      </c>
      <c r="T268">
        <f t="shared" ref="T268:T331" si="50">-Q268/$F$2*1000</f>
        <v>17.617283950617285</v>
      </c>
      <c r="U268">
        <f t="shared" ref="U268:U331" si="51">T268*O268</f>
        <v>21.126470740740743</v>
      </c>
      <c r="X268" s="9"/>
      <c r="Y268" s="21">
        <v>0.52093500000000004</v>
      </c>
      <c r="Z268" s="21">
        <v>17.774899999999999</v>
      </c>
      <c r="AA268" s="21">
        <v>-1.4819300000000001E-2</v>
      </c>
      <c r="AB268" s="21">
        <v>258</v>
      </c>
      <c r="AC268" s="21">
        <v>0.52029400000000003</v>
      </c>
      <c r="AD268">
        <f t="shared" ref="AD268:AD331" si="52">-AA268/$F$2*1000</f>
        <v>18.295432098765431</v>
      </c>
      <c r="AE268">
        <f t="shared" ref="AE268:AE331" si="53">AD268*Y268</f>
        <v>9.5307309203703703</v>
      </c>
      <c r="AF268" s="9"/>
      <c r="AG268" s="21">
        <v>1.19919</v>
      </c>
      <c r="AH268" s="21">
        <v>21.6343</v>
      </c>
      <c r="AI268" s="21">
        <v>-1.4251700000000001E-2</v>
      </c>
      <c r="AJ268" s="21">
        <v>258</v>
      </c>
      <c r="AK268" s="21">
        <v>1.1981200000000001</v>
      </c>
      <c r="AL268">
        <f t="shared" ref="AL268:AL331" si="54">-AI268/$F$2*1000</f>
        <v>17.594691358024694</v>
      </c>
      <c r="AM268">
        <f t="shared" ref="AM268:AM331" si="55">AL268*AG268</f>
        <v>21.099377929629632</v>
      </c>
      <c r="AP268" s="9"/>
      <c r="AQ268" s="21">
        <v>0.52093500000000004</v>
      </c>
      <c r="AR268" s="21">
        <v>27.1831</v>
      </c>
      <c r="AS268" s="21">
        <v>-1.47552E-2</v>
      </c>
      <c r="AT268" s="21">
        <v>258</v>
      </c>
      <c r="AU268" s="21">
        <v>0.52032500000000004</v>
      </c>
      <c r="AV268">
        <f t="shared" ref="AV268:AV331" si="56">-AS268/$F$2*1000</f>
        <v>18.216296296296292</v>
      </c>
      <c r="AW268">
        <f t="shared" ref="AW268:AW331" si="57">AV268*AQ268</f>
        <v>9.4895063111111089</v>
      </c>
      <c r="AX268" s="9"/>
      <c r="AY268" s="21">
        <v>1.19919</v>
      </c>
      <c r="AZ268" s="21">
        <v>31.0426</v>
      </c>
      <c r="BA268" s="21">
        <v>-1.4224199999999999E-2</v>
      </c>
      <c r="BB268" s="21">
        <v>258</v>
      </c>
      <c r="BC268" s="21">
        <v>1.1984300000000001</v>
      </c>
      <c r="BD268">
        <f t="shared" ref="BD268:BD331" si="58">-BA268/$F$2*1000</f>
        <v>17.560740740740737</v>
      </c>
      <c r="BE268">
        <f t="shared" ref="BE268:BE331" si="59">BD268*AY268</f>
        <v>21.058664688888886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0.51590000000000003</v>
      </c>
      <c r="H269" s="21">
        <v>8.3467199999999995</v>
      </c>
      <c r="I269" s="21">
        <v>-1.47736E-2</v>
      </c>
      <c r="J269" s="21">
        <v>259</v>
      </c>
      <c r="K269" s="21">
        <v>0.51516700000000004</v>
      </c>
      <c r="L269">
        <f t="shared" si="48"/>
        <v>18.239012345679011</v>
      </c>
      <c r="M269">
        <f t="shared" si="49"/>
        <v>9.4095064691358026</v>
      </c>
      <c r="N269" s="9"/>
      <c r="O269" s="21">
        <v>1.2042200000000001</v>
      </c>
      <c r="P269" s="21">
        <v>12.206200000000001</v>
      </c>
      <c r="Q269" s="21">
        <v>-1.42609E-2</v>
      </c>
      <c r="R269" s="21">
        <v>259</v>
      </c>
      <c r="S269" s="21">
        <v>1.2036100000000001</v>
      </c>
      <c r="T269">
        <f t="shared" si="50"/>
        <v>17.606049382716048</v>
      </c>
      <c r="U269">
        <f t="shared" si="51"/>
        <v>21.201556787654319</v>
      </c>
      <c r="X269" s="9"/>
      <c r="Y269" s="21">
        <v>0.51590000000000003</v>
      </c>
      <c r="Z269" s="21">
        <v>17.7849</v>
      </c>
      <c r="AA269" s="21">
        <v>-1.48285E-2</v>
      </c>
      <c r="AB269" s="21">
        <v>259</v>
      </c>
      <c r="AC269" s="21">
        <v>0.51525900000000002</v>
      </c>
      <c r="AD269">
        <f t="shared" si="52"/>
        <v>18.306790123456789</v>
      </c>
      <c r="AE269">
        <f t="shared" si="53"/>
        <v>9.4444730246913586</v>
      </c>
      <c r="AF269" s="9"/>
      <c r="AG269" s="21">
        <v>1.2042200000000001</v>
      </c>
      <c r="AH269" s="21">
        <v>21.644400000000001</v>
      </c>
      <c r="AI269" s="21">
        <v>-1.4245600000000001E-2</v>
      </c>
      <c r="AJ269" s="21">
        <v>259</v>
      </c>
      <c r="AK269" s="21">
        <v>1.2030000000000001</v>
      </c>
      <c r="AL269">
        <f t="shared" si="54"/>
        <v>17.58716049382716</v>
      </c>
      <c r="AM269">
        <f t="shared" si="55"/>
        <v>21.178810409876544</v>
      </c>
      <c r="AP269" s="9"/>
      <c r="AQ269" s="21">
        <v>0.51590000000000003</v>
      </c>
      <c r="AR269" s="21">
        <v>27.193200000000001</v>
      </c>
      <c r="AS269" s="21">
        <v>-1.4767499999999999E-2</v>
      </c>
      <c r="AT269" s="21">
        <v>259</v>
      </c>
      <c r="AU269" s="21">
        <v>0.51532</v>
      </c>
      <c r="AV269">
        <f t="shared" si="56"/>
        <v>18.231481481481481</v>
      </c>
      <c r="AW269">
        <f t="shared" si="57"/>
        <v>9.405621296296296</v>
      </c>
      <c r="AX269" s="9"/>
      <c r="AY269" s="21">
        <v>1.2042200000000001</v>
      </c>
      <c r="AZ269" s="21">
        <v>31.052600000000002</v>
      </c>
      <c r="BA269" s="21">
        <v>-1.4208999999999999E-2</v>
      </c>
      <c r="BB269" s="21">
        <v>259</v>
      </c>
      <c r="BC269" s="21">
        <v>1.2036100000000001</v>
      </c>
      <c r="BD269">
        <f t="shared" si="58"/>
        <v>17.541975308641973</v>
      </c>
      <c r="BE269">
        <f t="shared" si="59"/>
        <v>21.124397506172837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0.51086399999999998</v>
      </c>
      <c r="H270" s="21">
        <v>8.3567900000000002</v>
      </c>
      <c r="I270" s="21">
        <v>-1.47858E-2</v>
      </c>
      <c r="J270" s="21">
        <v>260</v>
      </c>
      <c r="K270" s="21">
        <v>0.510162</v>
      </c>
      <c r="L270">
        <f t="shared" si="48"/>
        <v>18.254074074074072</v>
      </c>
      <c r="M270">
        <f t="shared" si="49"/>
        <v>9.3253492977777768</v>
      </c>
      <c r="N270" s="9"/>
      <c r="O270" s="21">
        <v>1.20926</v>
      </c>
      <c r="P270" s="21">
        <v>12.2163</v>
      </c>
      <c r="Q270" s="21">
        <v>-1.4245600000000001E-2</v>
      </c>
      <c r="R270" s="21">
        <v>260</v>
      </c>
      <c r="S270" s="21">
        <v>1.2081900000000001</v>
      </c>
      <c r="T270">
        <f t="shared" si="50"/>
        <v>17.58716049382716</v>
      </c>
      <c r="U270">
        <f t="shared" si="51"/>
        <v>21.267449698765432</v>
      </c>
      <c r="X270" s="9"/>
      <c r="Y270" s="21">
        <v>0.51086399999999998</v>
      </c>
      <c r="Z270" s="21">
        <v>17.795000000000002</v>
      </c>
      <c r="AA270" s="21">
        <v>-1.48346E-2</v>
      </c>
      <c r="AB270" s="21">
        <v>260</v>
      </c>
      <c r="AC270" s="21">
        <v>0.51022299999999998</v>
      </c>
      <c r="AD270">
        <f t="shared" si="52"/>
        <v>18.31432098765432</v>
      </c>
      <c r="AE270">
        <f t="shared" si="53"/>
        <v>9.3561272770370358</v>
      </c>
      <c r="AF270" s="9"/>
      <c r="AG270" s="21">
        <v>1.20926</v>
      </c>
      <c r="AH270" s="21">
        <v>21.654499999999999</v>
      </c>
      <c r="AI270" s="21">
        <v>-1.42334E-2</v>
      </c>
      <c r="AJ270" s="21">
        <v>260</v>
      </c>
      <c r="AK270" s="21">
        <v>1.2084999999999999</v>
      </c>
      <c r="AL270">
        <f t="shared" si="54"/>
        <v>17.572098765432099</v>
      </c>
      <c r="AM270">
        <f t="shared" si="55"/>
        <v>21.249236153086418</v>
      </c>
      <c r="AP270" s="9"/>
      <c r="AQ270" s="21">
        <v>0.51086399999999998</v>
      </c>
      <c r="AR270" s="21">
        <v>27.203199999999999</v>
      </c>
      <c r="AS270" s="21">
        <v>-1.4767499999999999E-2</v>
      </c>
      <c r="AT270" s="21">
        <v>260</v>
      </c>
      <c r="AU270" s="21">
        <v>0.51013200000000003</v>
      </c>
      <c r="AV270">
        <f t="shared" si="56"/>
        <v>18.231481481481481</v>
      </c>
      <c r="AW270">
        <f t="shared" si="57"/>
        <v>9.3138075555555542</v>
      </c>
      <c r="AX270" s="9"/>
      <c r="AY270" s="21">
        <v>1.20926</v>
      </c>
      <c r="AZ270" s="21">
        <v>31.0627</v>
      </c>
      <c r="BA270" s="21">
        <v>-1.41998E-2</v>
      </c>
      <c r="BB270" s="21">
        <v>260</v>
      </c>
      <c r="BC270" s="21">
        <v>1.2088000000000001</v>
      </c>
      <c r="BD270">
        <f t="shared" si="58"/>
        <v>17.530617283950615</v>
      </c>
      <c r="BE270">
        <f t="shared" si="59"/>
        <v>21.199074256790123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0.50582899999999997</v>
      </c>
      <c r="H271" s="21">
        <v>8.3668700000000005</v>
      </c>
      <c r="I271" s="21">
        <v>-1.47949E-2</v>
      </c>
      <c r="J271" s="21">
        <v>261</v>
      </c>
      <c r="K271" s="21">
        <v>0.50512699999999999</v>
      </c>
      <c r="L271">
        <f t="shared" si="48"/>
        <v>18.265308641975306</v>
      </c>
      <c r="M271">
        <f t="shared" si="49"/>
        <v>9.2391228050617258</v>
      </c>
      <c r="N271" s="9"/>
      <c r="O271" s="21">
        <v>1.2142900000000001</v>
      </c>
      <c r="P271" s="21">
        <v>12.2263</v>
      </c>
      <c r="Q271" s="21">
        <v>-1.42334E-2</v>
      </c>
      <c r="R271" s="21">
        <v>261</v>
      </c>
      <c r="S271" s="21">
        <v>1.2127699999999999</v>
      </c>
      <c r="T271">
        <f t="shared" si="50"/>
        <v>17.572098765432099</v>
      </c>
      <c r="U271">
        <f t="shared" si="51"/>
        <v>21.337623809876543</v>
      </c>
      <c r="X271" s="9"/>
      <c r="Y271" s="21">
        <v>0.50582899999999997</v>
      </c>
      <c r="Z271" s="21">
        <v>17.805099999999999</v>
      </c>
      <c r="AA271" s="21">
        <v>-1.4837599999999999E-2</v>
      </c>
      <c r="AB271" s="21">
        <v>261</v>
      </c>
      <c r="AC271" s="21">
        <v>0.50518799999999997</v>
      </c>
      <c r="AD271">
        <f t="shared" si="52"/>
        <v>18.318024691358023</v>
      </c>
      <c r="AE271">
        <f t="shared" si="53"/>
        <v>9.2657881116049374</v>
      </c>
      <c r="AF271" s="9"/>
      <c r="AG271" s="21">
        <v>1.2142900000000001</v>
      </c>
      <c r="AH271" s="21">
        <v>21.6646</v>
      </c>
      <c r="AI271" s="21">
        <v>-1.42212E-2</v>
      </c>
      <c r="AJ271" s="21">
        <v>261</v>
      </c>
      <c r="AK271" s="21">
        <v>1.2133799999999999</v>
      </c>
      <c r="AL271">
        <f t="shared" si="54"/>
        <v>17.557037037037034</v>
      </c>
      <c r="AM271">
        <f t="shared" si="55"/>
        <v>21.319334503703701</v>
      </c>
      <c r="AP271" s="9"/>
      <c r="AQ271" s="21">
        <v>0.50582899999999997</v>
      </c>
      <c r="AR271" s="21">
        <v>27.2133</v>
      </c>
      <c r="AS271" s="21">
        <v>-1.4761399999999999E-2</v>
      </c>
      <c r="AT271" s="21">
        <v>261</v>
      </c>
      <c r="AU271" s="21">
        <v>0.50515699999999997</v>
      </c>
      <c r="AV271">
        <f t="shared" si="56"/>
        <v>18.22395061728395</v>
      </c>
      <c r="AW271">
        <f t="shared" si="57"/>
        <v>9.2182027167901222</v>
      </c>
      <c r="AX271" s="9"/>
      <c r="AY271" s="21">
        <v>1.2142900000000001</v>
      </c>
      <c r="AZ271" s="21">
        <v>31.072800000000001</v>
      </c>
      <c r="BA271" s="21">
        <v>-1.4190700000000001E-2</v>
      </c>
      <c r="BB271" s="21">
        <v>261</v>
      </c>
      <c r="BC271" s="21">
        <v>1.2133799999999999</v>
      </c>
      <c r="BD271">
        <f t="shared" si="58"/>
        <v>17.519382716049382</v>
      </c>
      <c r="BE271">
        <f t="shared" si="59"/>
        <v>21.273611238271606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0.50079300000000004</v>
      </c>
      <c r="H272" s="21">
        <v>8.3769399999999994</v>
      </c>
      <c r="I272" s="21">
        <v>-1.48071E-2</v>
      </c>
      <c r="J272" s="21">
        <v>262</v>
      </c>
      <c r="K272" s="21">
        <v>0.50012199999999996</v>
      </c>
      <c r="L272">
        <f t="shared" si="48"/>
        <v>18.28037037037037</v>
      </c>
      <c r="M272">
        <f t="shared" si="49"/>
        <v>9.1546815188888893</v>
      </c>
      <c r="N272" s="9"/>
      <c r="O272" s="21">
        <v>1.21933</v>
      </c>
      <c r="P272" s="21">
        <v>12.2364</v>
      </c>
      <c r="Q272" s="21">
        <v>-1.4218099999999999E-2</v>
      </c>
      <c r="R272" s="21">
        <v>262</v>
      </c>
      <c r="S272" s="21">
        <v>1.2182599999999999</v>
      </c>
      <c r="T272">
        <f t="shared" si="50"/>
        <v>17.553209876543207</v>
      </c>
      <c r="U272">
        <f t="shared" si="51"/>
        <v>21.403155398765428</v>
      </c>
      <c r="X272" s="9"/>
      <c r="Y272" s="21">
        <v>0.50079300000000004</v>
      </c>
      <c r="Z272" s="21">
        <v>17.815200000000001</v>
      </c>
      <c r="AA272" s="21">
        <v>-1.48285E-2</v>
      </c>
      <c r="AB272" s="21">
        <v>262</v>
      </c>
      <c r="AC272" s="21">
        <v>0.50006099999999998</v>
      </c>
      <c r="AD272">
        <f t="shared" si="52"/>
        <v>18.306790123456789</v>
      </c>
      <c r="AE272">
        <f t="shared" si="53"/>
        <v>9.1679123462962959</v>
      </c>
      <c r="AF272" s="9"/>
      <c r="AG272" s="21">
        <v>1.21933</v>
      </c>
      <c r="AH272" s="21">
        <v>21.674600000000002</v>
      </c>
      <c r="AI272" s="21">
        <v>-1.4212000000000001E-2</v>
      </c>
      <c r="AJ272" s="21">
        <v>262</v>
      </c>
      <c r="AK272" s="21">
        <v>1.2179599999999999</v>
      </c>
      <c r="AL272">
        <f t="shared" si="54"/>
        <v>17.54567901234568</v>
      </c>
      <c r="AM272">
        <f t="shared" si="55"/>
        <v>21.39397279012346</v>
      </c>
      <c r="AP272" s="9"/>
      <c r="AQ272" s="21">
        <v>0.50079300000000004</v>
      </c>
      <c r="AR272" s="21">
        <v>27.223400000000002</v>
      </c>
      <c r="AS272" s="21">
        <v>-1.4767499999999999E-2</v>
      </c>
      <c r="AT272" s="21">
        <v>262</v>
      </c>
      <c r="AU272" s="21">
        <v>0.50006099999999998</v>
      </c>
      <c r="AV272">
        <f t="shared" si="56"/>
        <v>18.231481481481481</v>
      </c>
      <c r="AW272">
        <f t="shared" si="57"/>
        <v>9.130198305555556</v>
      </c>
      <c r="AX272" s="9"/>
      <c r="AY272" s="21">
        <v>1.21933</v>
      </c>
      <c r="AZ272" s="21">
        <v>31.082899999999999</v>
      </c>
      <c r="BA272" s="21">
        <v>-1.41876E-2</v>
      </c>
      <c r="BB272" s="21">
        <v>262</v>
      </c>
      <c r="BC272" s="21">
        <v>1.2185699999999999</v>
      </c>
      <c r="BD272">
        <f t="shared" si="58"/>
        <v>17.515555555555554</v>
      </c>
      <c r="BE272">
        <f t="shared" si="59"/>
        <v>21.357242355555556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0.49575799999999998</v>
      </c>
      <c r="H273" s="21">
        <v>8.3870100000000001</v>
      </c>
      <c r="I273" s="21">
        <v>-1.4810200000000001E-2</v>
      </c>
      <c r="J273" s="21">
        <v>263</v>
      </c>
      <c r="K273" s="21">
        <v>0.49511699999999997</v>
      </c>
      <c r="L273">
        <f t="shared" si="48"/>
        <v>18.284197530864198</v>
      </c>
      <c r="M273">
        <f t="shared" si="49"/>
        <v>9.064537199506173</v>
      </c>
      <c r="N273" s="9"/>
      <c r="O273" s="21">
        <v>1.22437</v>
      </c>
      <c r="P273" s="21">
        <v>12.246499999999999</v>
      </c>
      <c r="Q273" s="21">
        <v>-1.4218099999999999E-2</v>
      </c>
      <c r="R273" s="21">
        <v>263</v>
      </c>
      <c r="S273" s="21">
        <v>1.2234499999999999</v>
      </c>
      <c r="T273">
        <f t="shared" si="50"/>
        <v>17.553209876543207</v>
      </c>
      <c r="U273">
        <f t="shared" si="51"/>
        <v>21.491623576543205</v>
      </c>
      <c r="X273" s="9"/>
      <c r="Y273" s="21">
        <v>0.49575799999999998</v>
      </c>
      <c r="Z273" s="21">
        <v>17.825199999999999</v>
      </c>
      <c r="AA273" s="21">
        <v>-1.4822399999999999E-2</v>
      </c>
      <c r="AB273" s="21">
        <v>263</v>
      </c>
      <c r="AC273" s="21">
        <v>0.49514799999999998</v>
      </c>
      <c r="AD273">
        <f t="shared" si="52"/>
        <v>18.299259259259259</v>
      </c>
      <c r="AE273">
        <f t="shared" si="53"/>
        <v>9.0720041718518516</v>
      </c>
      <c r="AF273" s="9"/>
      <c r="AG273" s="21">
        <v>1.22437</v>
      </c>
      <c r="AH273" s="21">
        <v>21.684699999999999</v>
      </c>
      <c r="AI273" s="21">
        <v>-1.4190700000000001E-2</v>
      </c>
      <c r="AJ273" s="21">
        <v>263</v>
      </c>
      <c r="AK273" s="21">
        <v>1.2240599999999999</v>
      </c>
      <c r="AL273">
        <f t="shared" si="54"/>
        <v>17.519382716049382</v>
      </c>
      <c r="AM273">
        <f t="shared" si="55"/>
        <v>21.450206616049382</v>
      </c>
      <c r="AP273" s="9"/>
      <c r="AQ273" s="21">
        <v>0.49575799999999998</v>
      </c>
      <c r="AR273" s="21">
        <v>27.233499999999999</v>
      </c>
      <c r="AS273" s="21">
        <v>-1.4770500000000001E-2</v>
      </c>
      <c r="AT273" s="21">
        <v>263</v>
      </c>
      <c r="AU273" s="21">
        <v>0.495087</v>
      </c>
      <c r="AV273">
        <f t="shared" si="56"/>
        <v>18.235185185185184</v>
      </c>
      <c r="AW273">
        <f t="shared" si="57"/>
        <v>9.0402389370370368</v>
      </c>
      <c r="AX273" s="9"/>
      <c r="AY273" s="21">
        <v>1.22437</v>
      </c>
      <c r="AZ273" s="21">
        <v>31.0929</v>
      </c>
      <c r="BA273" s="21">
        <v>-1.41785E-2</v>
      </c>
      <c r="BB273" s="21">
        <v>263</v>
      </c>
      <c r="BC273" s="21">
        <v>1.2234499999999999</v>
      </c>
      <c r="BD273">
        <f t="shared" si="58"/>
        <v>17.504320987654321</v>
      </c>
      <c r="BE273">
        <f t="shared" si="59"/>
        <v>21.431765487654321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0.49072300000000002</v>
      </c>
      <c r="H274" s="21">
        <v>8.3970800000000008</v>
      </c>
      <c r="I274" s="21">
        <v>-1.4810200000000001E-2</v>
      </c>
      <c r="J274" s="21">
        <v>264</v>
      </c>
      <c r="K274" s="21">
        <v>0.490143</v>
      </c>
      <c r="L274">
        <f t="shared" si="48"/>
        <v>18.284197530864198</v>
      </c>
      <c r="M274">
        <f t="shared" si="49"/>
        <v>8.9724762649382725</v>
      </c>
      <c r="N274" s="9"/>
      <c r="O274" s="21">
        <v>1.2294</v>
      </c>
      <c r="P274" s="21">
        <v>12.256600000000001</v>
      </c>
      <c r="Q274" s="21">
        <v>-1.42151E-2</v>
      </c>
      <c r="R274" s="21">
        <v>264</v>
      </c>
      <c r="S274" s="21">
        <v>1.22864</v>
      </c>
      <c r="T274">
        <f t="shared" si="50"/>
        <v>17.549506172839507</v>
      </c>
      <c r="U274">
        <f t="shared" si="51"/>
        <v>21.57536288888889</v>
      </c>
      <c r="X274" s="9"/>
      <c r="Y274" s="21">
        <v>0.49072300000000002</v>
      </c>
      <c r="Z274" s="21">
        <v>17.8353</v>
      </c>
      <c r="AA274" s="21">
        <v>-1.4816299999999999E-2</v>
      </c>
      <c r="AB274" s="21">
        <v>264</v>
      </c>
      <c r="AC274" s="21">
        <v>0.49017300000000003</v>
      </c>
      <c r="AD274">
        <f t="shared" si="52"/>
        <v>18.291728395061728</v>
      </c>
      <c r="AE274">
        <f t="shared" si="53"/>
        <v>8.976171833209877</v>
      </c>
      <c r="AF274" s="9"/>
      <c r="AG274" s="21">
        <v>1.2294</v>
      </c>
      <c r="AH274" s="21">
        <v>21.694800000000001</v>
      </c>
      <c r="AI274" s="21">
        <v>-1.41785E-2</v>
      </c>
      <c r="AJ274" s="21">
        <v>264</v>
      </c>
      <c r="AK274" s="21">
        <v>1.22864</v>
      </c>
      <c r="AL274">
        <f t="shared" si="54"/>
        <v>17.504320987654321</v>
      </c>
      <c r="AM274">
        <f t="shared" si="55"/>
        <v>21.519812222222225</v>
      </c>
      <c r="AP274" s="9"/>
      <c r="AQ274" s="21">
        <v>0.49072300000000002</v>
      </c>
      <c r="AR274" s="21">
        <v>27.243500000000001</v>
      </c>
      <c r="AS274" s="21">
        <v>-1.47644E-2</v>
      </c>
      <c r="AT274" s="21">
        <v>264</v>
      </c>
      <c r="AU274" s="21">
        <v>0.49011199999999999</v>
      </c>
      <c r="AV274">
        <f t="shared" si="56"/>
        <v>18.227654320987654</v>
      </c>
      <c r="AW274">
        <f t="shared" si="57"/>
        <v>8.944729211358025</v>
      </c>
      <c r="AX274" s="9"/>
      <c r="AY274" s="21">
        <v>1.2294</v>
      </c>
      <c r="AZ274" s="21">
        <v>31.103000000000002</v>
      </c>
      <c r="BA274" s="21">
        <v>-1.4163200000000001E-2</v>
      </c>
      <c r="BB274" s="21">
        <v>264</v>
      </c>
      <c r="BC274" s="21">
        <v>1.22864</v>
      </c>
      <c r="BD274">
        <f t="shared" si="58"/>
        <v>17.485432098765433</v>
      </c>
      <c r="BE274">
        <f t="shared" si="59"/>
        <v>21.496590222222224</v>
      </c>
    </row>
    <row r="275" spans="6:101" x14ac:dyDescent="0.25">
      <c r="F275" s="9"/>
      <c r="G275" s="21">
        <v>0.48568699999999998</v>
      </c>
      <c r="H275" s="21">
        <v>8.4071499999999997</v>
      </c>
      <c r="I275" s="21">
        <v>-1.48132E-2</v>
      </c>
      <c r="J275" s="21">
        <v>265</v>
      </c>
      <c r="K275" s="21">
        <v>0.48504599999999998</v>
      </c>
      <c r="L275">
        <f t="shared" si="48"/>
        <v>18.287901234567901</v>
      </c>
      <c r="M275">
        <f t="shared" si="49"/>
        <v>8.8821958869135802</v>
      </c>
      <c r="N275" s="9"/>
      <c r="O275" s="21">
        <v>1.23444</v>
      </c>
      <c r="P275" s="21">
        <v>12.2666</v>
      </c>
      <c r="Q275" s="21">
        <v>-1.4202899999999999E-2</v>
      </c>
      <c r="R275" s="21">
        <v>265</v>
      </c>
      <c r="S275" s="21">
        <v>1.2335199999999999</v>
      </c>
      <c r="T275">
        <f t="shared" si="50"/>
        <v>17.534444444444443</v>
      </c>
      <c r="U275">
        <f t="shared" si="51"/>
        <v>21.645219599999997</v>
      </c>
      <c r="X275" s="9"/>
      <c r="Y275" s="21">
        <v>0.48568699999999998</v>
      </c>
      <c r="Z275" s="21">
        <v>17.845400000000001</v>
      </c>
      <c r="AA275" s="21">
        <v>-1.48132E-2</v>
      </c>
      <c r="AB275" s="21">
        <v>265</v>
      </c>
      <c r="AC275" s="21">
        <v>0.48507699999999998</v>
      </c>
      <c r="AD275">
        <f t="shared" si="52"/>
        <v>18.287901234567901</v>
      </c>
      <c r="AE275">
        <f t="shared" si="53"/>
        <v>8.8821958869135802</v>
      </c>
      <c r="AF275" s="9"/>
      <c r="AG275" s="21">
        <v>1.23444</v>
      </c>
      <c r="AH275" s="21">
        <v>21.704799999999999</v>
      </c>
      <c r="AI275" s="21">
        <v>-1.4163200000000001E-2</v>
      </c>
      <c r="AJ275" s="21">
        <v>265</v>
      </c>
      <c r="AK275" s="21">
        <v>1.2335199999999999</v>
      </c>
      <c r="AL275">
        <f t="shared" si="54"/>
        <v>17.485432098765433</v>
      </c>
      <c r="AM275">
        <f t="shared" si="55"/>
        <v>21.584716799999999</v>
      </c>
      <c r="AP275" s="9"/>
      <c r="AQ275" s="21">
        <v>0.48568699999999998</v>
      </c>
      <c r="AR275" s="21">
        <v>27.253599999999999</v>
      </c>
      <c r="AS275" s="21">
        <v>-1.4761399999999999E-2</v>
      </c>
      <c r="AT275" s="21">
        <v>265</v>
      </c>
      <c r="AU275" s="21">
        <v>0.48510700000000001</v>
      </c>
      <c r="AV275">
        <f t="shared" si="56"/>
        <v>18.22395061728395</v>
      </c>
      <c r="AW275">
        <f t="shared" si="57"/>
        <v>8.8511359034567896</v>
      </c>
      <c r="AX275" s="9"/>
      <c r="AY275" s="21">
        <v>1.23444</v>
      </c>
      <c r="AZ275" s="21">
        <v>31.113099999999999</v>
      </c>
      <c r="BA275" s="21">
        <v>-1.4154099999999999E-2</v>
      </c>
      <c r="BB275" s="21">
        <v>265</v>
      </c>
      <c r="BC275" s="21">
        <v>1.2335199999999999</v>
      </c>
      <c r="BD275">
        <f t="shared" si="58"/>
        <v>17.474197530864195</v>
      </c>
      <c r="BE275">
        <f t="shared" si="59"/>
        <v>21.570848399999996</v>
      </c>
    </row>
    <row r="276" spans="6:101" x14ac:dyDescent="0.25">
      <c r="F276" s="9"/>
      <c r="G276" s="21">
        <v>0.48065200000000002</v>
      </c>
      <c r="H276" s="21">
        <v>8.4172200000000004</v>
      </c>
      <c r="I276" s="21">
        <v>-1.4816299999999999E-2</v>
      </c>
      <c r="J276" s="21">
        <v>266</v>
      </c>
      <c r="K276" s="21">
        <v>0.47998000000000002</v>
      </c>
      <c r="L276">
        <f t="shared" si="48"/>
        <v>18.291728395061728</v>
      </c>
      <c r="M276">
        <f t="shared" si="49"/>
        <v>8.7919558365432096</v>
      </c>
      <c r="N276" s="9"/>
      <c r="O276" s="21">
        <v>1.2394700000000001</v>
      </c>
      <c r="P276" s="21">
        <v>12.2767</v>
      </c>
      <c r="Q276" s="21">
        <v>-1.41846E-2</v>
      </c>
      <c r="R276" s="21">
        <v>266</v>
      </c>
      <c r="S276" s="21">
        <v>1.2381</v>
      </c>
      <c r="T276">
        <f t="shared" si="50"/>
        <v>17.511851851851851</v>
      </c>
      <c r="U276">
        <f t="shared" si="51"/>
        <v>21.705415014814815</v>
      </c>
      <c r="X276" s="9"/>
      <c r="Y276" s="21">
        <v>0.48065200000000002</v>
      </c>
      <c r="Z276" s="21">
        <v>17.855399999999999</v>
      </c>
      <c r="AA276" s="21">
        <v>-1.4810200000000001E-2</v>
      </c>
      <c r="AB276" s="21">
        <v>266</v>
      </c>
      <c r="AC276" s="21">
        <v>0.47991899999999998</v>
      </c>
      <c r="AD276">
        <f t="shared" si="52"/>
        <v>18.284197530864198</v>
      </c>
      <c r="AE276">
        <f t="shared" si="53"/>
        <v>8.7883361116049397</v>
      </c>
      <c r="AF276" s="9"/>
      <c r="AG276" s="21">
        <v>1.2394700000000001</v>
      </c>
      <c r="AH276" s="21">
        <v>21.7149</v>
      </c>
      <c r="AI276" s="21">
        <v>-1.4154099999999999E-2</v>
      </c>
      <c r="AJ276" s="21">
        <v>266</v>
      </c>
      <c r="AK276" s="21">
        <v>1.2383999999999999</v>
      </c>
      <c r="AL276">
        <f t="shared" si="54"/>
        <v>17.474197530864195</v>
      </c>
      <c r="AM276">
        <f t="shared" si="55"/>
        <v>21.658743613580246</v>
      </c>
      <c r="AP276" s="9"/>
      <c r="AQ276" s="21">
        <v>0.48065200000000002</v>
      </c>
      <c r="AR276" s="21">
        <v>27.2637</v>
      </c>
      <c r="AS276" s="21">
        <v>-1.47522E-2</v>
      </c>
      <c r="AT276" s="21">
        <v>266</v>
      </c>
      <c r="AU276" s="21">
        <v>0.480072</v>
      </c>
      <c r="AV276">
        <f t="shared" si="56"/>
        <v>18.212592592592593</v>
      </c>
      <c r="AW276">
        <f t="shared" si="57"/>
        <v>8.7539190548148156</v>
      </c>
      <c r="AX276" s="9"/>
      <c r="AY276" s="21">
        <v>1.2394700000000001</v>
      </c>
      <c r="AZ276" s="21">
        <v>31.123100000000001</v>
      </c>
      <c r="BA276" s="21">
        <v>-1.41418E-2</v>
      </c>
      <c r="BB276" s="21">
        <v>266</v>
      </c>
      <c r="BC276" s="21">
        <v>1.2383999999999999</v>
      </c>
      <c r="BD276">
        <f t="shared" si="58"/>
        <v>17.45901234567901</v>
      </c>
      <c r="BE276">
        <f t="shared" si="59"/>
        <v>21.639922032098763</v>
      </c>
    </row>
    <row r="277" spans="6:101" x14ac:dyDescent="0.25">
      <c r="F277" s="9"/>
      <c r="G277" s="21">
        <v>0.47561599999999998</v>
      </c>
      <c r="H277" s="21">
        <v>8.4272899999999993</v>
      </c>
      <c r="I277" s="21">
        <v>-1.4816299999999999E-2</v>
      </c>
      <c r="J277" s="21">
        <v>267</v>
      </c>
      <c r="K277" s="21">
        <v>0.47497600000000001</v>
      </c>
      <c r="L277">
        <f t="shared" si="48"/>
        <v>18.291728395061728</v>
      </c>
      <c r="M277">
        <f t="shared" si="49"/>
        <v>8.6998386923456792</v>
      </c>
      <c r="N277" s="9"/>
      <c r="O277" s="21">
        <v>1.24451</v>
      </c>
      <c r="P277" s="21">
        <v>12.286799999999999</v>
      </c>
      <c r="Q277" s="21">
        <v>-1.41785E-2</v>
      </c>
      <c r="R277" s="21">
        <v>267</v>
      </c>
      <c r="S277" s="21">
        <v>1.24298</v>
      </c>
      <c r="T277">
        <f t="shared" si="50"/>
        <v>17.504320987654321</v>
      </c>
      <c r="U277">
        <f t="shared" si="51"/>
        <v>21.784302512345679</v>
      </c>
      <c r="X277" s="9"/>
      <c r="Y277" s="21">
        <v>0.47561599999999998</v>
      </c>
      <c r="Z277" s="21">
        <v>17.865500000000001</v>
      </c>
      <c r="AA277" s="21">
        <v>-1.4810200000000001E-2</v>
      </c>
      <c r="AB277" s="21">
        <v>267</v>
      </c>
      <c r="AC277" s="21">
        <v>0.47491499999999998</v>
      </c>
      <c r="AD277">
        <f t="shared" si="52"/>
        <v>18.284197530864198</v>
      </c>
      <c r="AE277">
        <f t="shared" si="53"/>
        <v>8.6962568928395054</v>
      </c>
      <c r="AF277" s="9"/>
      <c r="AG277" s="21">
        <v>1.24451</v>
      </c>
      <c r="AH277" s="21">
        <v>21.725000000000001</v>
      </c>
      <c r="AI277" s="21">
        <v>-1.41479E-2</v>
      </c>
      <c r="AJ277" s="21">
        <v>267</v>
      </c>
      <c r="AK277" s="21">
        <v>1.2442</v>
      </c>
      <c r="AL277">
        <f t="shared" si="54"/>
        <v>17.466543209876541</v>
      </c>
      <c r="AM277">
        <f t="shared" si="55"/>
        <v>21.737287690123456</v>
      </c>
      <c r="AP277" s="9"/>
      <c r="AQ277" s="21">
        <v>0.47561599999999998</v>
      </c>
      <c r="AR277" s="21">
        <v>27.273700000000002</v>
      </c>
      <c r="AS277" s="21">
        <v>-1.4749099999999999E-2</v>
      </c>
      <c r="AT277" s="21">
        <v>267</v>
      </c>
      <c r="AU277" s="21">
        <v>0.47491499999999998</v>
      </c>
      <c r="AV277">
        <f t="shared" si="56"/>
        <v>18.208765432098765</v>
      </c>
      <c r="AW277">
        <f t="shared" si="57"/>
        <v>8.6603801797530853</v>
      </c>
      <c r="AX277" s="9"/>
      <c r="AY277" s="21">
        <v>1.24451</v>
      </c>
      <c r="AZ277" s="21">
        <v>31.133199999999999</v>
      </c>
      <c r="BA277" s="21">
        <v>-1.4135699999999999E-2</v>
      </c>
      <c r="BB277" s="21">
        <v>267</v>
      </c>
      <c r="BC277" s="21">
        <v>1.24451</v>
      </c>
      <c r="BD277">
        <f t="shared" si="58"/>
        <v>17.45148148148148</v>
      </c>
      <c r="BE277">
        <f t="shared" si="59"/>
        <v>21.718543218518516</v>
      </c>
    </row>
    <row r="278" spans="6:101" x14ac:dyDescent="0.25">
      <c r="F278" s="9"/>
      <c r="G278" s="21">
        <v>0.47058100000000003</v>
      </c>
      <c r="H278" s="21">
        <v>8.43736</v>
      </c>
      <c r="I278" s="21">
        <v>-1.48071E-2</v>
      </c>
      <c r="J278" s="21">
        <v>268</v>
      </c>
      <c r="K278" s="21">
        <v>0.47003200000000001</v>
      </c>
      <c r="L278">
        <f t="shared" si="48"/>
        <v>18.28037037037037</v>
      </c>
      <c r="M278">
        <f t="shared" si="49"/>
        <v>8.6023949692592598</v>
      </c>
      <c r="N278" s="9"/>
      <c r="O278" s="21">
        <v>1.2495400000000001</v>
      </c>
      <c r="P278" s="21">
        <v>12.296799999999999</v>
      </c>
      <c r="Q278" s="21">
        <v>-1.41602E-2</v>
      </c>
      <c r="R278" s="21">
        <v>268</v>
      </c>
      <c r="S278" s="21">
        <v>1.24847</v>
      </c>
      <c r="T278">
        <f t="shared" si="50"/>
        <v>17.481728395061729</v>
      </c>
      <c r="U278">
        <f t="shared" si="51"/>
        <v>21.844118898765434</v>
      </c>
      <c r="X278" s="9"/>
      <c r="Y278" s="21">
        <v>0.47058100000000003</v>
      </c>
      <c r="Z278" s="21">
        <v>17.875599999999999</v>
      </c>
      <c r="AA278" s="21">
        <v>-1.4804100000000001E-2</v>
      </c>
      <c r="AB278" s="21">
        <v>268</v>
      </c>
      <c r="AC278" s="21">
        <v>0.470001</v>
      </c>
      <c r="AD278">
        <f t="shared" si="52"/>
        <v>18.276666666666667</v>
      </c>
      <c r="AE278">
        <f t="shared" si="53"/>
        <v>8.6006520766666679</v>
      </c>
      <c r="AF278" s="9"/>
      <c r="AG278" s="21">
        <v>1.2495400000000001</v>
      </c>
      <c r="AH278" s="21">
        <v>21.735099999999999</v>
      </c>
      <c r="AI278" s="21">
        <v>-1.41327E-2</v>
      </c>
      <c r="AJ278" s="21">
        <v>268</v>
      </c>
      <c r="AK278" s="21">
        <v>1.24786</v>
      </c>
      <c r="AL278">
        <f t="shared" si="54"/>
        <v>17.447777777777777</v>
      </c>
      <c r="AM278">
        <f t="shared" si="55"/>
        <v>21.801696244444443</v>
      </c>
      <c r="AP278" s="9"/>
      <c r="AQ278" s="21">
        <v>0.47058100000000003</v>
      </c>
      <c r="AR278" s="21">
        <v>27.283799999999999</v>
      </c>
      <c r="AS278" s="21">
        <v>-1.4749099999999999E-2</v>
      </c>
      <c r="AT278" s="21">
        <v>268</v>
      </c>
      <c r="AU278" s="21">
        <v>0.470001</v>
      </c>
      <c r="AV278">
        <f t="shared" si="56"/>
        <v>18.208765432098765</v>
      </c>
      <c r="AW278">
        <f t="shared" si="57"/>
        <v>8.5686990458024699</v>
      </c>
      <c r="AX278" s="9"/>
      <c r="AY278" s="21">
        <v>1.2495400000000001</v>
      </c>
      <c r="AZ278" s="21">
        <v>31.1433</v>
      </c>
      <c r="BA278" s="21">
        <v>-1.4123500000000001E-2</v>
      </c>
      <c r="BB278" s="21">
        <v>268</v>
      </c>
      <c r="BC278" s="21">
        <v>1.24878</v>
      </c>
      <c r="BD278">
        <f t="shared" si="58"/>
        <v>17.436419753086419</v>
      </c>
      <c r="BE278">
        <f t="shared" si="59"/>
        <v>21.787503938271605</v>
      </c>
    </row>
    <row r="279" spans="6:101" x14ac:dyDescent="0.25">
      <c r="F279" s="9"/>
      <c r="G279" s="21">
        <v>0.46554600000000002</v>
      </c>
      <c r="H279" s="21">
        <v>8.4474300000000007</v>
      </c>
      <c r="I279" s="21">
        <v>-1.4798E-2</v>
      </c>
      <c r="J279" s="21">
        <v>269</v>
      </c>
      <c r="K279" s="21">
        <v>0.46487400000000001</v>
      </c>
      <c r="L279">
        <f t="shared" si="48"/>
        <v>18.269135802469137</v>
      </c>
      <c r="M279">
        <f t="shared" si="49"/>
        <v>8.5051230962962965</v>
      </c>
      <c r="N279" s="9"/>
      <c r="O279" s="21">
        <v>1.25458</v>
      </c>
      <c r="P279" s="21">
        <v>12.306900000000001</v>
      </c>
      <c r="Q279" s="21">
        <v>-1.41327E-2</v>
      </c>
      <c r="R279" s="21">
        <v>269</v>
      </c>
      <c r="S279" s="21">
        <v>1.25336</v>
      </c>
      <c r="T279">
        <f t="shared" si="50"/>
        <v>17.447777777777777</v>
      </c>
      <c r="U279">
        <f t="shared" si="51"/>
        <v>21.889633044444444</v>
      </c>
      <c r="X279" s="9"/>
      <c r="Y279" s="21">
        <v>0.46554600000000002</v>
      </c>
      <c r="Z279" s="21">
        <v>17.8857</v>
      </c>
      <c r="AA279" s="21">
        <v>-1.4801E-2</v>
      </c>
      <c r="AB279" s="21">
        <v>269</v>
      </c>
      <c r="AC279" s="21">
        <v>0.464783</v>
      </c>
      <c r="AD279">
        <f t="shared" si="52"/>
        <v>18.27283950617284</v>
      </c>
      <c r="AE279">
        <f t="shared" si="53"/>
        <v>8.506847340740741</v>
      </c>
      <c r="AF279" s="9"/>
      <c r="AG279" s="21">
        <v>1.25458</v>
      </c>
      <c r="AH279" s="21">
        <v>21.745100000000001</v>
      </c>
      <c r="AI279" s="21">
        <v>-1.41266E-2</v>
      </c>
      <c r="AJ279" s="21">
        <v>269</v>
      </c>
      <c r="AK279" s="21">
        <v>1.25366</v>
      </c>
      <c r="AL279">
        <f t="shared" si="54"/>
        <v>17.440246913580246</v>
      </c>
      <c r="AM279">
        <f t="shared" si="55"/>
        <v>21.880184972839505</v>
      </c>
      <c r="AP279" s="9"/>
      <c r="AQ279" s="21">
        <v>0.46554600000000002</v>
      </c>
      <c r="AR279" s="21">
        <v>27.293900000000001</v>
      </c>
      <c r="AS279" s="21">
        <v>-1.4749099999999999E-2</v>
      </c>
      <c r="AT279" s="21">
        <v>269</v>
      </c>
      <c r="AU279" s="21">
        <v>0.46502700000000002</v>
      </c>
      <c r="AV279">
        <f t="shared" si="56"/>
        <v>18.208765432098765</v>
      </c>
      <c r="AW279">
        <f t="shared" si="57"/>
        <v>8.4770179118518527</v>
      </c>
      <c r="AX279" s="9"/>
      <c r="AY279" s="21">
        <v>1.25458</v>
      </c>
      <c r="AZ279" s="21">
        <v>31.153400000000001</v>
      </c>
      <c r="BA279" s="21">
        <v>-1.41113E-2</v>
      </c>
      <c r="BB279" s="21">
        <v>269</v>
      </c>
      <c r="BC279" s="21">
        <v>1.25397</v>
      </c>
      <c r="BD279">
        <f t="shared" si="58"/>
        <v>17.421358024691358</v>
      </c>
      <c r="BE279">
        <f t="shared" si="59"/>
        <v>21.856487350617286</v>
      </c>
    </row>
    <row r="280" spans="6:101" x14ac:dyDescent="0.25">
      <c r="F280" s="9"/>
      <c r="G280" s="21">
        <v>0.46050999999999997</v>
      </c>
      <c r="H280" s="21">
        <v>8.4574999999999996</v>
      </c>
      <c r="I280" s="21">
        <v>-1.4798E-2</v>
      </c>
      <c r="J280" s="21">
        <v>270</v>
      </c>
      <c r="K280" s="21">
        <v>0.45996100000000001</v>
      </c>
      <c r="L280">
        <f t="shared" si="48"/>
        <v>18.269135802469137</v>
      </c>
      <c r="M280">
        <f t="shared" si="49"/>
        <v>8.4131197283950616</v>
      </c>
      <c r="N280" s="9"/>
      <c r="O280" s="21">
        <v>1.2596099999999999</v>
      </c>
      <c r="P280" s="21">
        <v>12.317</v>
      </c>
      <c r="Q280" s="21">
        <v>-1.41113E-2</v>
      </c>
      <c r="R280" s="21">
        <v>270</v>
      </c>
      <c r="S280" s="21">
        <v>1.25854</v>
      </c>
      <c r="T280">
        <f t="shared" si="50"/>
        <v>17.421358024691358</v>
      </c>
      <c r="U280">
        <f t="shared" si="51"/>
        <v>21.94411678148148</v>
      </c>
      <c r="X280" s="9"/>
      <c r="Y280" s="21">
        <v>0.46050999999999997</v>
      </c>
      <c r="Z280" s="21">
        <v>17.895700000000001</v>
      </c>
      <c r="AA280" s="21">
        <v>-1.47949E-2</v>
      </c>
      <c r="AB280" s="21">
        <v>270</v>
      </c>
      <c r="AC280" s="21">
        <v>0.45989999999999998</v>
      </c>
      <c r="AD280">
        <f t="shared" si="52"/>
        <v>18.265308641975306</v>
      </c>
      <c r="AE280">
        <f t="shared" si="53"/>
        <v>8.4113572827160485</v>
      </c>
      <c r="AF280" s="9"/>
      <c r="AG280" s="21">
        <v>1.2596099999999999</v>
      </c>
      <c r="AH280" s="21">
        <v>21.755199999999999</v>
      </c>
      <c r="AI280" s="21">
        <v>-1.4114399999999999E-2</v>
      </c>
      <c r="AJ280" s="21">
        <v>270</v>
      </c>
      <c r="AK280" s="21">
        <v>1.25946</v>
      </c>
      <c r="AL280">
        <f t="shared" si="54"/>
        <v>17.425185185185182</v>
      </c>
      <c r="AM280">
        <f t="shared" si="55"/>
        <v>21.948937511111104</v>
      </c>
      <c r="AP280" s="9"/>
      <c r="AQ280" s="21">
        <v>0.46050999999999997</v>
      </c>
      <c r="AR280" s="21">
        <v>27.303999999999998</v>
      </c>
      <c r="AS280" s="21">
        <v>-1.4749099999999999E-2</v>
      </c>
      <c r="AT280" s="21">
        <v>270</v>
      </c>
      <c r="AU280" s="21">
        <v>0.45993000000000001</v>
      </c>
      <c r="AV280">
        <f t="shared" si="56"/>
        <v>18.208765432098765</v>
      </c>
      <c r="AW280">
        <f t="shared" si="57"/>
        <v>8.3853185691358014</v>
      </c>
      <c r="AX280" s="9"/>
      <c r="AY280" s="21">
        <v>1.2596099999999999</v>
      </c>
      <c r="AZ280" s="21">
        <v>31.163399999999999</v>
      </c>
      <c r="BA280" s="21">
        <v>-1.40991E-2</v>
      </c>
      <c r="BB280" s="21">
        <v>270</v>
      </c>
      <c r="BC280" s="21">
        <v>1.25885</v>
      </c>
      <c r="BD280">
        <f t="shared" si="58"/>
        <v>17.406296296296293</v>
      </c>
      <c r="BE280">
        <f t="shared" si="59"/>
        <v>21.925144877777772</v>
      </c>
    </row>
    <row r="281" spans="6:101" x14ac:dyDescent="0.25">
      <c r="F281" s="9"/>
      <c r="G281" s="21">
        <v>0.45547500000000002</v>
      </c>
      <c r="H281" s="21">
        <v>8.4675799999999999</v>
      </c>
      <c r="I281" s="21">
        <v>-1.4801E-2</v>
      </c>
      <c r="J281" s="21">
        <v>271</v>
      </c>
      <c r="K281" s="21">
        <v>0.45489499999999999</v>
      </c>
      <c r="L281">
        <f t="shared" si="48"/>
        <v>18.27283950617284</v>
      </c>
      <c r="M281">
        <f t="shared" si="49"/>
        <v>8.3228215740740747</v>
      </c>
      <c r="N281" s="9"/>
      <c r="O281" s="21">
        <v>1.2646500000000001</v>
      </c>
      <c r="P281" s="21">
        <v>12.3271</v>
      </c>
      <c r="Q281" s="21">
        <v>-1.4093E-2</v>
      </c>
      <c r="R281" s="21">
        <v>271</v>
      </c>
      <c r="S281" s="21">
        <v>1.2640400000000001</v>
      </c>
      <c r="T281">
        <f t="shared" si="50"/>
        <v>17.398765432098763</v>
      </c>
      <c r="U281">
        <f t="shared" si="51"/>
        <v>22.003348703703701</v>
      </c>
      <c r="X281" s="9"/>
      <c r="Y281" s="21">
        <v>0.45547500000000002</v>
      </c>
      <c r="Z281" s="21">
        <v>17.905799999999999</v>
      </c>
      <c r="AA281" s="21">
        <v>-1.47949E-2</v>
      </c>
      <c r="AB281" s="21">
        <v>271</v>
      </c>
      <c r="AC281" s="21">
        <v>0.45480300000000001</v>
      </c>
      <c r="AD281">
        <f t="shared" si="52"/>
        <v>18.265308641975306</v>
      </c>
      <c r="AE281">
        <f t="shared" si="53"/>
        <v>8.3193914537037035</v>
      </c>
      <c r="AF281" s="9"/>
      <c r="AG281" s="21">
        <v>1.2646500000000001</v>
      </c>
      <c r="AH281" s="21">
        <v>21.7653</v>
      </c>
      <c r="AI281" s="21">
        <v>-1.40991E-2</v>
      </c>
      <c r="AJ281" s="21">
        <v>271</v>
      </c>
      <c r="AK281" s="21">
        <v>1.26373</v>
      </c>
      <c r="AL281">
        <f t="shared" si="54"/>
        <v>17.406296296296293</v>
      </c>
      <c r="AM281">
        <f t="shared" si="55"/>
        <v>22.01287261111111</v>
      </c>
      <c r="AP281" s="9"/>
      <c r="AQ281" s="21">
        <v>0.45547500000000002</v>
      </c>
      <c r="AR281" s="21">
        <v>27.314</v>
      </c>
      <c r="AS281" s="21">
        <v>-1.4749099999999999E-2</v>
      </c>
      <c r="AT281" s="21">
        <v>271</v>
      </c>
      <c r="AU281" s="21">
        <v>0.45486500000000002</v>
      </c>
      <c r="AV281">
        <f t="shared" si="56"/>
        <v>18.208765432098765</v>
      </c>
      <c r="AW281">
        <f t="shared" si="57"/>
        <v>8.293637435185186</v>
      </c>
      <c r="AX281" s="9"/>
      <c r="AY281" s="21">
        <v>1.2646500000000001</v>
      </c>
      <c r="AZ281" s="21">
        <v>31.173500000000001</v>
      </c>
      <c r="BA281" s="21">
        <v>-1.40839E-2</v>
      </c>
      <c r="BB281" s="21">
        <v>271</v>
      </c>
      <c r="BC281" s="21">
        <v>1.2640400000000001</v>
      </c>
      <c r="BD281">
        <f t="shared" si="58"/>
        <v>17.387530864197529</v>
      </c>
      <c r="BE281">
        <f t="shared" si="59"/>
        <v>21.989140907407407</v>
      </c>
    </row>
    <row r="282" spans="6:101" x14ac:dyDescent="0.25">
      <c r="F282" s="9"/>
      <c r="G282" s="21">
        <v>0.45043899999999998</v>
      </c>
      <c r="H282" s="21">
        <v>8.4776500000000006</v>
      </c>
      <c r="I282" s="21">
        <v>-1.48132E-2</v>
      </c>
      <c r="J282" s="21">
        <v>272</v>
      </c>
      <c r="K282" s="21">
        <v>0.449768</v>
      </c>
      <c r="L282">
        <f t="shared" si="48"/>
        <v>18.287901234567901</v>
      </c>
      <c r="M282">
        <f t="shared" si="49"/>
        <v>8.2375839441975298</v>
      </c>
      <c r="N282" s="9"/>
      <c r="O282" s="21">
        <v>1.2696799999999999</v>
      </c>
      <c r="P282" s="21">
        <v>12.3371</v>
      </c>
      <c r="Q282" s="21">
        <v>-1.4071699999999999E-2</v>
      </c>
      <c r="R282" s="21">
        <v>272</v>
      </c>
      <c r="S282" s="21">
        <v>1.2692300000000001</v>
      </c>
      <c r="T282">
        <f t="shared" si="50"/>
        <v>17.372469135802469</v>
      </c>
      <c r="U282">
        <f t="shared" si="51"/>
        <v>22.057476612345678</v>
      </c>
      <c r="X282" s="9"/>
      <c r="Y282" s="21">
        <v>0.45043899999999998</v>
      </c>
      <c r="Z282" s="21">
        <v>17.915900000000001</v>
      </c>
      <c r="AA282" s="21">
        <v>-1.4804100000000001E-2</v>
      </c>
      <c r="AB282" s="21">
        <v>272</v>
      </c>
      <c r="AC282" s="21">
        <v>0.449799</v>
      </c>
      <c r="AD282">
        <f t="shared" si="52"/>
        <v>18.276666666666667</v>
      </c>
      <c r="AE282">
        <f t="shared" si="53"/>
        <v>8.2325234566666659</v>
      </c>
      <c r="AF282" s="9"/>
      <c r="AG282" s="21">
        <v>1.2696799999999999</v>
      </c>
      <c r="AH282" s="21">
        <v>21.775300000000001</v>
      </c>
      <c r="AI282" s="21">
        <v>-1.4080799999999999E-2</v>
      </c>
      <c r="AJ282" s="21">
        <v>272</v>
      </c>
      <c r="AK282" s="21">
        <v>1.2692300000000001</v>
      </c>
      <c r="AL282">
        <f t="shared" si="54"/>
        <v>17.383703703703702</v>
      </c>
      <c r="AM282">
        <f t="shared" si="55"/>
        <v>22.071740918518515</v>
      </c>
      <c r="AP282" s="9"/>
      <c r="AQ282" s="21">
        <v>0.45043899999999998</v>
      </c>
      <c r="AR282" s="21">
        <v>27.324100000000001</v>
      </c>
      <c r="AS282" s="21">
        <v>-1.47522E-2</v>
      </c>
      <c r="AT282" s="21">
        <v>272</v>
      </c>
      <c r="AU282" s="21">
        <v>0.449799</v>
      </c>
      <c r="AV282">
        <f t="shared" si="56"/>
        <v>18.212592592592593</v>
      </c>
      <c r="AW282">
        <f t="shared" si="57"/>
        <v>8.203661994814814</v>
      </c>
      <c r="AX282" s="9"/>
      <c r="AY282" s="21">
        <v>1.2696799999999999</v>
      </c>
      <c r="AZ282" s="21">
        <v>31.183599999999998</v>
      </c>
      <c r="BA282" s="21">
        <v>-1.40594E-2</v>
      </c>
      <c r="BB282" s="21">
        <v>272</v>
      </c>
      <c r="BC282" s="21">
        <v>1.2686200000000001</v>
      </c>
      <c r="BD282">
        <f t="shared" si="58"/>
        <v>17.357283950617283</v>
      </c>
      <c r="BE282">
        <f t="shared" si="59"/>
        <v>22.038196286419751</v>
      </c>
    </row>
    <row r="283" spans="6:101" x14ac:dyDescent="0.25">
      <c r="F283" s="9"/>
      <c r="G283" s="21">
        <v>0.44540400000000002</v>
      </c>
      <c r="H283" s="21">
        <v>8.4877199999999995</v>
      </c>
      <c r="I283" s="21">
        <v>-1.48285E-2</v>
      </c>
      <c r="J283" s="21">
        <v>273</v>
      </c>
      <c r="K283" s="21">
        <v>0.44473299999999999</v>
      </c>
      <c r="L283">
        <f t="shared" si="48"/>
        <v>18.306790123456789</v>
      </c>
      <c r="M283">
        <f t="shared" si="49"/>
        <v>8.153917548148149</v>
      </c>
      <c r="N283" s="9"/>
      <c r="O283" s="21">
        <v>1.2747200000000001</v>
      </c>
      <c r="P283" s="21">
        <v>12.347200000000001</v>
      </c>
      <c r="Q283" s="21">
        <v>-1.40625E-2</v>
      </c>
      <c r="R283" s="21">
        <v>273</v>
      </c>
      <c r="S283" s="21">
        <v>1.27441</v>
      </c>
      <c r="T283">
        <f t="shared" si="50"/>
        <v>17.361111111111111</v>
      </c>
      <c r="U283">
        <f t="shared" si="51"/>
        <v>22.130555555555556</v>
      </c>
      <c r="X283" s="9"/>
      <c r="Y283" s="21">
        <v>0.44540400000000002</v>
      </c>
      <c r="Z283" s="21">
        <v>17.925899999999999</v>
      </c>
      <c r="AA283" s="21">
        <v>-1.48132E-2</v>
      </c>
      <c r="AB283" s="21">
        <v>273</v>
      </c>
      <c r="AC283" s="21">
        <v>0.44476300000000002</v>
      </c>
      <c r="AD283">
        <f t="shared" si="52"/>
        <v>18.287901234567901</v>
      </c>
      <c r="AE283">
        <f t="shared" si="53"/>
        <v>8.1455043614814819</v>
      </c>
      <c r="AF283" s="9"/>
      <c r="AG283" s="21">
        <v>1.2747200000000001</v>
      </c>
      <c r="AH283" s="21">
        <v>21.785399999999999</v>
      </c>
      <c r="AI283" s="21">
        <v>-1.4074700000000001E-2</v>
      </c>
      <c r="AJ283" s="21">
        <v>273</v>
      </c>
      <c r="AK283" s="21">
        <v>1.2735000000000001</v>
      </c>
      <c r="AL283">
        <f t="shared" si="54"/>
        <v>17.376172839506172</v>
      </c>
      <c r="AM283">
        <f t="shared" si="55"/>
        <v>22.149755041975308</v>
      </c>
      <c r="AP283" s="9"/>
      <c r="AQ283" s="21">
        <v>0.44540400000000002</v>
      </c>
      <c r="AR283" s="21">
        <v>27.334199999999999</v>
      </c>
      <c r="AS283" s="21">
        <v>-1.47522E-2</v>
      </c>
      <c r="AT283" s="21">
        <v>273</v>
      </c>
      <c r="AU283" s="21">
        <v>0.44479400000000002</v>
      </c>
      <c r="AV283">
        <f t="shared" si="56"/>
        <v>18.212592592592593</v>
      </c>
      <c r="AW283">
        <f t="shared" si="57"/>
        <v>8.1119615911111111</v>
      </c>
      <c r="AX283" s="9"/>
      <c r="AY283" s="21">
        <v>1.2747200000000001</v>
      </c>
      <c r="AZ283" s="21">
        <v>31.1936</v>
      </c>
      <c r="BA283" s="21">
        <v>-1.40442E-2</v>
      </c>
      <c r="BB283" s="21">
        <v>273</v>
      </c>
      <c r="BC283" s="21">
        <v>1.2741100000000001</v>
      </c>
      <c r="BD283">
        <f t="shared" si="58"/>
        <v>17.338518518518516</v>
      </c>
      <c r="BE283">
        <f t="shared" si="59"/>
        <v>22.101756325925923</v>
      </c>
    </row>
    <row r="284" spans="6:101" x14ac:dyDescent="0.25">
      <c r="F284" s="9"/>
      <c r="G284" s="21">
        <v>0.44036900000000001</v>
      </c>
      <c r="H284" s="21">
        <v>8.4977900000000002</v>
      </c>
      <c r="I284" s="21">
        <v>-1.4837599999999999E-2</v>
      </c>
      <c r="J284" s="21">
        <v>274</v>
      </c>
      <c r="K284" s="21">
        <v>0.43975799999999998</v>
      </c>
      <c r="L284">
        <f t="shared" si="48"/>
        <v>18.318024691358023</v>
      </c>
      <c r="M284">
        <f t="shared" si="49"/>
        <v>8.0666902153086415</v>
      </c>
      <c r="N284" s="9"/>
      <c r="O284" s="21">
        <v>1.2797499999999999</v>
      </c>
      <c r="P284" s="21">
        <v>12.3573</v>
      </c>
      <c r="Q284" s="21">
        <v>-1.40503E-2</v>
      </c>
      <c r="R284" s="21">
        <v>274</v>
      </c>
      <c r="S284" s="21">
        <v>1.2786900000000001</v>
      </c>
      <c r="T284">
        <f t="shared" si="50"/>
        <v>17.34604938271605</v>
      </c>
      <c r="U284">
        <f t="shared" si="51"/>
        <v>22.198606697530863</v>
      </c>
      <c r="X284" s="9"/>
      <c r="Y284" s="21">
        <v>0.44036900000000001</v>
      </c>
      <c r="Z284" s="21">
        <v>17.936</v>
      </c>
      <c r="AA284" s="21">
        <v>-1.4816299999999999E-2</v>
      </c>
      <c r="AB284" s="21">
        <v>274</v>
      </c>
      <c r="AC284" s="21">
        <v>0.43975799999999998</v>
      </c>
      <c r="AD284">
        <f t="shared" si="52"/>
        <v>18.291728395061728</v>
      </c>
      <c r="AE284">
        <f t="shared" si="53"/>
        <v>8.0551101416049384</v>
      </c>
      <c r="AF284" s="9"/>
      <c r="AG284" s="21">
        <v>1.2797499999999999</v>
      </c>
      <c r="AH284" s="21">
        <v>21.795500000000001</v>
      </c>
      <c r="AI284" s="21">
        <v>-1.40625E-2</v>
      </c>
      <c r="AJ284" s="21">
        <v>274</v>
      </c>
      <c r="AK284" s="21">
        <v>1.2789900000000001</v>
      </c>
      <c r="AL284">
        <f t="shared" si="54"/>
        <v>17.361111111111111</v>
      </c>
      <c r="AM284">
        <f t="shared" si="55"/>
        <v>22.217881944444443</v>
      </c>
      <c r="AP284" s="9"/>
      <c r="AQ284" s="21">
        <v>0.44036900000000001</v>
      </c>
      <c r="AR284" s="21">
        <v>27.344200000000001</v>
      </c>
      <c r="AS284" s="21">
        <v>-1.47522E-2</v>
      </c>
      <c r="AT284" s="21">
        <v>274</v>
      </c>
      <c r="AU284" s="21">
        <v>0.43972800000000001</v>
      </c>
      <c r="AV284">
        <f t="shared" si="56"/>
        <v>18.212592592592593</v>
      </c>
      <c r="AW284">
        <f t="shared" si="57"/>
        <v>8.0202611874074083</v>
      </c>
      <c r="AX284" s="9"/>
      <c r="AY284" s="21">
        <v>1.2797499999999999</v>
      </c>
      <c r="AZ284" s="21">
        <v>31.203700000000001</v>
      </c>
      <c r="BA284" s="21">
        <v>-1.4025900000000001E-2</v>
      </c>
      <c r="BB284" s="21">
        <v>274</v>
      </c>
      <c r="BC284" s="21">
        <v>1.2789900000000001</v>
      </c>
      <c r="BD284">
        <f t="shared" si="58"/>
        <v>17.315925925925924</v>
      </c>
      <c r="BE284">
        <f t="shared" si="59"/>
        <v>22.1600562037037</v>
      </c>
    </row>
    <row r="285" spans="6:101" x14ac:dyDescent="0.25">
      <c r="F285" s="9"/>
      <c r="G285" s="21">
        <v>0.43533300000000003</v>
      </c>
      <c r="H285" s="21">
        <v>8.5078600000000009</v>
      </c>
      <c r="I285" s="21">
        <v>-1.4831499999999999E-2</v>
      </c>
      <c r="J285" s="21">
        <v>275</v>
      </c>
      <c r="K285" s="21">
        <v>0.43469200000000002</v>
      </c>
      <c r="L285">
        <f t="shared" si="48"/>
        <v>18.310493827160489</v>
      </c>
      <c r="M285">
        <f t="shared" si="49"/>
        <v>7.9711622092592576</v>
      </c>
      <c r="N285" s="9"/>
      <c r="O285" s="21">
        <v>1.2847900000000001</v>
      </c>
      <c r="P285" s="21">
        <v>12.3673</v>
      </c>
      <c r="Q285" s="21">
        <v>-1.4035000000000001E-2</v>
      </c>
      <c r="R285" s="21">
        <v>275</v>
      </c>
      <c r="S285" s="21">
        <v>1.2841800000000001</v>
      </c>
      <c r="T285">
        <f t="shared" si="50"/>
        <v>17.327160493827162</v>
      </c>
      <c r="U285">
        <f t="shared" si="51"/>
        <v>22.2617625308642</v>
      </c>
      <c r="X285" s="9"/>
      <c r="Y285" s="21">
        <v>0.43533300000000003</v>
      </c>
      <c r="Z285" s="21">
        <v>17.946100000000001</v>
      </c>
      <c r="AA285" s="21">
        <v>-1.4816299999999999E-2</v>
      </c>
      <c r="AB285" s="21">
        <v>275</v>
      </c>
      <c r="AC285" s="21">
        <v>0.43469200000000002</v>
      </c>
      <c r="AD285">
        <f t="shared" si="52"/>
        <v>18.291728395061728</v>
      </c>
      <c r="AE285">
        <f t="shared" si="53"/>
        <v>7.9629929974074081</v>
      </c>
      <c r="AF285" s="9"/>
      <c r="AG285" s="21">
        <v>1.2847900000000001</v>
      </c>
      <c r="AH285" s="21">
        <v>21.805599999999998</v>
      </c>
      <c r="AI285" s="21">
        <v>-1.40503E-2</v>
      </c>
      <c r="AJ285" s="21">
        <v>275</v>
      </c>
      <c r="AK285" s="21">
        <v>1.2841800000000001</v>
      </c>
      <c r="AL285">
        <f t="shared" si="54"/>
        <v>17.34604938271605</v>
      </c>
      <c r="AM285">
        <f t="shared" si="55"/>
        <v>22.286030786419754</v>
      </c>
      <c r="AP285" s="9"/>
      <c r="AQ285" s="21">
        <v>0.43533300000000003</v>
      </c>
      <c r="AR285" s="21">
        <v>27.354299999999999</v>
      </c>
      <c r="AS285" s="21">
        <v>-1.47461E-2</v>
      </c>
      <c r="AT285" s="21">
        <v>275</v>
      </c>
      <c r="AU285" s="21">
        <v>0.43469200000000002</v>
      </c>
      <c r="AV285">
        <f t="shared" si="56"/>
        <v>18.205061728395062</v>
      </c>
      <c r="AW285">
        <f t="shared" si="57"/>
        <v>7.9252641374074084</v>
      </c>
      <c r="AX285" s="9"/>
      <c r="AY285" s="21">
        <v>1.2847900000000001</v>
      </c>
      <c r="AZ285" s="21">
        <v>31.213799999999999</v>
      </c>
      <c r="BA285" s="21">
        <v>-1.40076E-2</v>
      </c>
      <c r="BB285" s="21">
        <v>275</v>
      </c>
      <c r="BC285" s="21">
        <v>1.2838700000000001</v>
      </c>
      <c r="BD285">
        <f t="shared" si="58"/>
        <v>17.293333333333333</v>
      </c>
      <c r="BE285">
        <f t="shared" si="59"/>
        <v>22.218301733333334</v>
      </c>
    </row>
    <row r="286" spans="6:101" x14ac:dyDescent="0.25">
      <c r="F286" s="9"/>
      <c r="G286" s="21">
        <v>0.43029800000000001</v>
      </c>
      <c r="H286" s="21">
        <v>8.5179299999999998</v>
      </c>
      <c r="I286" s="21">
        <v>-1.4819300000000001E-2</v>
      </c>
      <c r="J286" s="21">
        <v>276</v>
      </c>
      <c r="K286" s="21">
        <v>0.42965700000000001</v>
      </c>
      <c r="L286">
        <f t="shared" si="48"/>
        <v>18.295432098765431</v>
      </c>
      <c r="M286">
        <f t="shared" si="49"/>
        <v>7.8724878412345678</v>
      </c>
      <c r="N286" s="9"/>
      <c r="O286" s="21">
        <v>1.28983</v>
      </c>
      <c r="P286" s="21">
        <v>12.3774</v>
      </c>
      <c r="Q286" s="21">
        <v>-1.40167E-2</v>
      </c>
      <c r="R286" s="21">
        <v>276</v>
      </c>
      <c r="S286" s="21">
        <v>1.2890600000000001</v>
      </c>
      <c r="T286">
        <f t="shared" si="50"/>
        <v>17.304567901234567</v>
      </c>
      <c r="U286">
        <f t="shared" si="51"/>
        <v>22.319950816049381</v>
      </c>
      <c r="X286" s="9"/>
      <c r="Y286" s="21">
        <v>0.43029800000000001</v>
      </c>
      <c r="Z286" s="21">
        <v>17.956199999999999</v>
      </c>
      <c r="AA286" s="21">
        <v>-1.4810200000000001E-2</v>
      </c>
      <c r="AB286" s="21">
        <v>276</v>
      </c>
      <c r="AC286" s="21">
        <v>0.42962600000000001</v>
      </c>
      <c r="AD286">
        <f t="shared" si="52"/>
        <v>18.284197530864198</v>
      </c>
      <c r="AE286">
        <f t="shared" si="53"/>
        <v>7.8676536291358028</v>
      </c>
      <c r="AF286" s="9"/>
      <c r="AG286" s="21">
        <v>1.28983</v>
      </c>
      <c r="AH286" s="21">
        <v>21.8156</v>
      </c>
      <c r="AI286" s="21">
        <v>-1.4035000000000001E-2</v>
      </c>
      <c r="AJ286" s="21">
        <v>276</v>
      </c>
      <c r="AK286" s="21">
        <v>1.2890600000000001</v>
      </c>
      <c r="AL286">
        <f t="shared" si="54"/>
        <v>17.327160493827162</v>
      </c>
      <c r="AM286">
        <f t="shared" si="55"/>
        <v>22.349091419753087</v>
      </c>
      <c r="AP286" s="9"/>
      <c r="AQ286" s="21">
        <v>0.43029800000000001</v>
      </c>
      <c r="AR286" s="21">
        <v>27.3644</v>
      </c>
      <c r="AS286" s="21">
        <v>-1.4733899999999999E-2</v>
      </c>
      <c r="AT286" s="21">
        <v>276</v>
      </c>
      <c r="AU286" s="21">
        <v>0.42971799999999999</v>
      </c>
      <c r="AV286">
        <f t="shared" si="56"/>
        <v>18.189999999999998</v>
      </c>
      <c r="AW286">
        <f t="shared" si="57"/>
        <v>7.8271206199999996</v>
      </c>
      <c r="AX286" s="9"/>
      <c r="AY286" s="21">
        <v>1.28983</v>
      </c>
      <c r="AZ286" s="21">
        <v>31.223800000000001</v>
      </c>
      <c r="BA286" s="21">
        <v>-1.39893E-2</v>
      </c>
      <c r="BB286" s="21">
        <v>276</v>
      </c>
      <c r="BC286" s="21">
        <v>1.2890600000000001</v>
      </c>
      <c r="BD286">
        <f t="shared" si="58"/>
        <v>17.270740740740738</v>
      </c>
      <c r="BE286">
        <f t="shared" si="59"/>
        <v>22.276319529629628</v>
      </c>
    </row>
    <row r="287" spans="6:101" x14ac:dyDescent="0.25">
      <c r="F287" s="9"/>
      <c r="G287" s="21">
        <v>0.42526199999999997</v>
      </c>
      <c r="H287" s="21">
        <v>8.5280000000000005</v>
      </c>
      <c r="I287" s="21">
        <v>-1.48132E-2</v>
      </c>
      <c r="J287" s="21">
        <v>277</v>
      </c>
      <c r="K287" s="21">
        <v>0.42468299999999998</v>
      </c>
      <c r="L287">
        <f t="shared" si="48"/>
        <v>18.287901234567901</v>
      </c>
      <c r="M287">
        <f t="shared" si="49"/>
        <v>7.7771494548148139</v>
      </c>
      <c r="N287" s="9"/>
      <c r="O287" s="21">
        <v>1.2948599999999999</v>
      </c>
      <c r="P287" s="21">
        <v>12.387499999999999</v>
      </c>
      <c r="Q287" s="21">
        <v>-1.40045E-2</v>
      </c>
      <c r="R287" s="21">
        <v>277</v>
      </c>
      <c r="S287" s="21">
        <v>1.2942499999999999</v>
      </c>
      <c r="T287">
        <f t="shared" si="50"/>
        <v>17.289506172839506</v>
      </c>
      <c r="U287">
        <f t="shared" si="51"/>
        <v>22.38748996296296</v>
      </c>
      <c r="X287" s="9"/>
      <c r="Y287" s="21">
        <v>0.42526199999999997</v>
      </c>
      <c r="Z287" s="21">
        <v>17.966200000000001</v>
      </c>
      <c r="AA287" s="21">
        <v>-1.4816299999999999E-2</v>
      </c>
      <c r="AB287" s="21">
        <v>277</v>
      </c>
      <c r="AC287" s="21">
        <v>0.42468299999999998</v>
      </c>
      <c r="AD287">
        <f t="shared" si="52"/>
        <v>18.291728395061728</v>
      </c>
      <c r="AE287">
        <f t="shared" si="53"/>
        <v>7.7787770007407397</v>
      </c>
      <c r="AF287" s="9"/>
      <c r="AG287" s="21">
        <v>1.2948599999999999</v>
      </c>
      <c r="AH287" s="21">
        <v>21.825700000000001</v>
      </c>
      <c r="AI287" s="21">
        <v>-1.40137E-2</v>
      </c>
      <c r="AJ287" s="21">
        <v>277</v>
      </c>
      <c r="AK287" s="21">
        <v>1.2939499999999999</v>
      </c>
      <c r="AL287">
        <f t="shared" si="54"/>
        <v>17.300864197530863</v>
      </c>
      <c r="AM287">
        <f t="shared" si="55"/>
        <v>22.402197014814814</v>
      </c>
      <c r="AP287" s="9"/>
      <c r="AQ287" s="21">
        <v>0.42526199999999997</v>
      </c>
      <c r="AR287" s="21">
        <v>27.374400000000001</v>
      </c>
      <c r="AS287" s="21">
        <v>-1.4742999999999999E-2</v>
      </c>
      <c r="AT287" s="21">
        <v>277</v>
      </c>
      <c r="AU287" s="21">
        <v>0.42474400000000001</v>
      </c>
      <c r="AV287">
        <f t="shared" si="56"/>
        <v>18.201234567901235</v>
      </c>
      <c r="AW287">
        <f t="shared" si="57"/>
        <v>7.7402934148148148</v>
      </c>
      <c r="AX287" s="9"/>
      <c r="AY287" s="21">
        <v>1.2948599999999999</v>
      </c>
      <c r="AZ287" s="21">
        <v>31.233899999999998</v>
      </c>
      <c r="BA287" s="21">
        <v>-1.3980100000000001E-2</v>
      </c>
      <c r="BB287" s="21">
        <v>277</v>
      </c>
      <c r="BC287" s="21">
        <v>1.2942499999999999</v>
      </c>
      <c r="BD287">
        <f t="shared" si="58"/>
        <v>17.259382716049384</v>
      </c>
      <c r="BE287">
        <f t="shared" si="59"/>
        <v>22.348484303703703</v>
      </c>
    </row>
    <row r="288" spans="6:101" x14ac:dyDescent="0.25">
      <c r="F288" s="9"/>
      <c r="G288" s="21">
        <v>0.42022700000000002</v>
      </c>
      <c r="H288" s="21">
        <v>8.5380699999999994</v>
      </c>
      <c r="I288" s="21">
        <v>-1.4825400000000001E-2</v>
      </c>
      <c r="J288" s="21">
        <v>278</v>
      </c>
      <c r="K288" s="21">
        <v>0.41961700000000002</v>
      </c>
      <c r="L288">
        <f t="shared" si="48"/>
        <v>18.302962962962962</v>
      </c>
      <c r="M288">
        <f t="shared" si="49"/>
        <v>7.6913992170370369</v>
      </c>
      <c r="N288" s="9"/>
      <c r="O288" s="21">
        <v>1.2999000000000001</v>
      </c>
      <c r="P288" s="21">
        <v>12.397500000000001</v>
      </c>
      <c r="Q288" s="21">
        <v>-1.39618E-2</v>
      </c>
      <c r="R288" s="21">
        <v>278</v>
      </c>
      <c r="S288" s="21">
        <v>1.2994399999999999</v>
      </c>
      <c r="T288">
        <f t="shared" si="50"/>
        <v>17.236790123456789</v>
      </c>
      <c r="U288">
        <f t="shared" si="51"/>
        <v>22.40610348148148</v>
      </c>
      <c r="X288" s="9"/>
      <c r="Y288" s="21">
        <v>0.42022700000000002</v>
      </c>
      <c r="Z288" s="21">
        <v>17.976299999999998</v>
      </c>
      <c r="AA288" s="21">
        <v>-1.4819300000000001E-2</v>
      </c>
      <c r="AB288" s="21">
        <v>278</v>
      </c>
      <c r="AC288" s="21">
        <v>0.419769</v>
      </c>
      <c r="AD288">
        <f t="shared" si="52"/>
        <v>18.295432098765431</v>
      </c>
      <c r="AE288">
        <f t="shared" si="53"/>
        <v>7.6882345445679015</v>
      </c>
      <c r="AF288" s="9"/>
      <c r="AG288" s="21">
        <v>1.2999000000000001</v>
      </c>
      <c r="AH288" s="21">
        <v>21.835799999999999</v>
      </c>
      <c r="AI288" s="21">
        <v>-1.40045E-2</v>
      </c>
      <c r="AJ288" s="21">
        <v>278</v>
      </c>
      <c r="AK288" s="21">
        <v>1.2991299999999999</v>
      </c>
      <c r="AL288">
        <f t="shared" si="54"/>
        <v>17.289506172839506</v>
      </c>
      <c r="AM288">
        <f t="shared" si="55"/>
        <v>22.474629074074073</v>
      </c>
      <c r="AP288" s="9"/>
      <c r="AQ288" s="21">
        <v>0.42022700000000002</v>
      </c>
      <c r="AR288" s="21">
        <v>27.384499999999999</v>
      </c>
      <c r="AS288" s="21">
        <v>-1.474E-2</v>
      </c>
      <c r="AT288" s="21">
        <v>278</v>
      </c>
      <c r="AU288" s="21">
        <v>0.41970800000000003</v>
      </c>
      <c r="AV288">
        <f t="shared" si="56"/>
        <v>18.197530864197528</v>
      </c>
      <c r="AW288">
        <f t="shared" si="57"/>
        <v>7.6470938024691346</v>
      </c>
      <c r="AX288" s="9"/>
      <c r="AY288" s="21">
        <v>1.2999000000000001</v>
      </c>
      <c r="AZ288" s="21">
        <v>31.244</v>
      </c>
      <c r="BA288" s="21">
        <v>-1.39709E-2</v>
      </c>
      <c r="BB288" s="21">
        <v>278</v>
      </c>
      <c r="BC288" s="21">
        <v>1.2994399999999999</v>
      </c>
      <c r="BD288">
        <f t="shared" si="58"/>
        <v>17.248024691358022</v>
      </c>
      <c r="BE288">
        <f t="shared" si="59"/>
        <v>22.420707296296293</v>
      </c>
    </row>
    <row r="289" spans="6:57" x14ac:dyDescent="0.25">
      <c r="F289" s="9"/>
      <c r="G289" s="21">
        <v>0.41519200000000001</v>
      </c>
      <c r="H289" s="21">
        <v>8.5481400000000001</v>
      </c>
      <c r="I289" s="21">
        <v>-1.4843800000000001E-2</v>
      </c>
      <c r="J289" s="21">
        <v>279</v>
      </c>
      <c r="K289" s="21">
        <v>0.41452</v>
      </c>
      <c r="L289">
        <f t="shared" si="48"/>
        <v>18.325679012345677</v>
      </c>
      <c r="M289">
        <f t="shared" si="49"/>
        <v>7.6086753204938269</v>
      </c>
      <c r="N289" s="9"/>
      <c r="O289" s="21">
        <v>1.3049299999999999</v>
      </c>
      <c r="P289" s="21">
        <v>12.4076</v>
      </c>
      <c r="Q289" s="21">
        <v>-1.39252E-2</v>
      </c>
      <c r="R289" s="21">
        <v>279</v>
      </c>
      <c r="S289" s="21">
        <v>1.3037099999999999</v>
      </c>
      <c r="T289">
        <f t="shared" si="50"/>
        <v>17.191604938271606</v>
      </c>
      <c r="U289">
        <f t="shared" si="51"/>
        <v>22.433841032098766</v>
      </c>
      <c r="X289" s="9"/>
      <c r="Y289" s="21">
        <v>0.41519200000000001</v>
      </c>
      <c r="Z289" s="21">
        <v>17.9864</v>
      </c>
      <c r="AA289" s="21">
        <v>-1.4810200000000001E-2</v>
      </c>
      <c r="AB289" s="21">
        <v>279</v>
      </c>
      <c r="AC289" s="21">
        <v>0.41464200000000001</v>
      </c>
      <c r="AD289">
        <f t="shared" si="52"/>
        <v>18.284197530864198</v>
      </c>
      <c r="AE289">
        <f t="shared" si="53"/>
        <v>7.5914525412345677</v>
      </c>
      <c r="AF289" s="9"/>
      <c r="AG289" s="21">
        <v>1.3049299999999999</v>
      </c>
      <c r="AH289" s="21">
        <v>21.845800000000001</v>
      </c>
      <c r="AI289" s="21">
        <v>-1.3986200000000001E-2</v>
      </c>
      <c r="AJ289" s="21">
        <v>279</v>
      </c>
      <c r="AK289" s="21">
        <v>1.3037099999999999</v>
      </c>
      <c r="AL289">
        <f t="shared" si="54"/>
        <v>17.266913580246914</v>
      </c>
      <c r="AM289">
        <f t="shared" si="55"/>
        <v>22.532113538271606</v>
      </c>
      <c r="AP289" s="9"/>
      <c r="AQ289" s="21">
        <v>0.41519200000000001</v>
      </c>
      <c r="AR289" s="21">
        <v>27.394600000000001</v>
      </c>
      <c r="AS289" s="21">
        <v>-1.4742999999999999E-2</v>
      </c>
      <c r="AT289" s="21">
        <v>279</v>
      </c>
      <c r="AU289" s="21">
        <v>0.41452</v>
      </c>
      <c r="AV289">
        <f t="shared" si="56"/>
        <v>18.201234567901235</v>
      </c>
      <c r="AW289">
        <f t="shared" si="57"/>
        <v>7.5570069827160493</v>
      </c>
      <c r="AX289" s="9"/>
      <c r="AY289" s="21">
        <v>1.3049299999999999</v>
      </c>
      <c r="AZ289" s="21">
        <v>31.254100000000001</v>
      </c>
      <c r="BA289" s="21">
        <v>-1.39557E-2</v>
      </c>
      <c r="BB289" s="21">
        <v>279</v>
      </c>
      <c r="BC289" s="21">
        <v>1.3043199999999999</v>
      </c>
      <c r="BD289">
        <f t="shared" si="58"/>
        <v>17.229259259259258</v>
      </c>
      <c r="BE289">
        <f t="shared" si="59"/>
        <v>22.482977285185182</v>
      </c>
    </row>
    <row r="290" spans="6:57" x14ac:dyDescent="0.25">
      <c r="F290" s="9"/>
      <c r="G290" s="21">
        <v>0.41015600000000002</v>
      </c>
      <c r="H290" s="21">
        <v>8.5582100000000008</v>
      </c>
      <c r="I290" s="21">
        <v>-1.48529E-2</v>
      </c>
      <c r="J290" s="21">
        <v>280</v>
      </c>
      <c r="K290" s="21">
        <v>0.409576</v>
      </c>
      <c r="L290">
        <f t="shared" si="48"/>
        <v>18.336913580246915</v>
      </c>
      <c r="M290">
        <f t="shared" si="49"/>
        <v>7.5209951264197539</v>
      </c>
      <c r="N290" s="9"/>
      <c r="O290" s="21">
        <v>1.3099700000000001</v>
      </c>
      <c r="P290" s="21">
        <v>12.4177</v>
      </c>
      <c r="Q290" s="21">
        <v>-1.39221E-2</v>
      </c>
      <c r="R290" s="21">
        <v>280</v>
      </c>
      <c r="S290" s="21">
        <v>1.3091999999999999</v>
      </c>
      <c r="T290">
        <f t="shared" si="50"/>
        <v>17.187777777777779</v>
      </c>
      <c r="U290">
        <f t="shared" si="51"/>
        <v>22.515473255555559</v>
      </c>
      <c r="X290" s="9"/>
      <c r="Y290" s="21">
        <v>0.41015600000000002</v>
      </c>
      <c r="Z290" s="21">
        <v>17.996400000000001</v>
      </c>
      <c r="AA290" s="21">
        <v>-1.4810200000000001E-2</v>
      </c>
      <c r="AB290" s="21">
        <v>280</v>
      </c>
      <c r="AC290" s="21">
        <v>0.40948499999999999</v>
      </c>
      <c r="AD290">
        <f t="shared" si="52"/>
        <v>18.284197530864198</v>
      </c>
      <c r="AE290">
        <f t="shared" si="53"/>
        <v>7.4993733224691361</v>
      </c>
      <c r="AF290" s="9"/>
      <c r="AG290" s="21">
        <v>1.3099700000000001</v>
      </c>
      <c r="AH290" s="21">
        <v>21.855899999999998</v>
      </c>
      <c r="AI290" s="21">
        <v>-1.3974E-2</v>
      </c>
      <c r="AJ290" s="21">
        <v>280</v>
      </c>
      <c r="AK290" s="21">
        <v>1.3091999999999999</v>
      </c>
      <c r="AL290">
        <f t="shared" si="54"/>
        <v>17.251851851851853</v>
      </c>
      <c r="AM290">
        <f t="shared" si="55"/>
        <v>22.599408370370373</v>
      </c>
      <c r="AP290" s="9"/>
      <c r="AQ290" s="21">
        <v>0.41015600000000002</v>
      </c>
      <c r="AR290" s="21">
        <v>27.404699999999998</v>
      </c>
      <c r="AS290" s="21">
        <v>-1.47552E-2</v>
      </c>
      <c r="AT290" s="21">
        <v>280</v>
      </c>
      <c r="AU290" s="21">
        <v>0.40954600000000002</v>
      </c>
      <c r="AV290">
        <f t="shared" si="56"/>
        <v>18.216296296296292</v>
      </c>
      <c r="AW290">
        <f t="shared" si="57"/>
        <v>7.4715232237037021</v>
      </c>
      <c r="AX290" s="9"/>
      <c r="AY290" s="21">
        <v>1.3099700000000001</v>
      </c>
      <c r="AZ290" s="21">
        <v>31.264099999999999</v>
      </c>
      <c r="BA290" s="21">
        <v>-1.3943499999999999E-2</v>
      </c>
      <c r="BB290" s="21">
        <v>280</v>
      </c>
      <c r="BC290" s="21">
        <v>1.31012</v>
      </c>
      <c r="BD290">
        <f t="shared" si="58"/>
        <v>17.214197530864197</v>
      </c>
      <c r="BE290">
        <f t="shared" si="59"/>
        <v>22.550082339506176</v>
      </c>
    </row>
    <row r="291" spans="6:57" x14ac:dyDescent="0.25">
      <c r="F291" s="9"/>
      <c r="G291" s="21">
        <v>0.40512100000000001</v>
      </c>
      <c r="H291" s="21">
        <v>8.5682899999999993</v>
      </c>
      <c r="I291" s="21">
        <v>-1.4871199999999999E-2</v>
      </c>
      <c r="J291" s="21">
        <v>281</v>
      </c>
      <c r="K291" s="21">
        <v>0.40457199999999999</v>
      </c>
      <c r="L291">
        <f t="shared" si="48"/>
        <v>18.359506172839506</v>
      </c>
      <c r="M291">
        <f t="shared" si="49"/>
        <v>7.4378215002469137</v>
      </c>
      <c r="N291" s="9"/>
      <c r="O291" s="21">
        <v>1.3149999999999999</v>
      </c>
      <c r="P291" s="21">
        <v>12.4278</v>
      </c>
      <c r="Q291" s="21">
        <v>-1.3903799999999999E-2</v>
      </c>
      <c r="R291" s="21">
        <v>281</v>
      </c>
      <c r="S291" s="21">
        <v>1.3147</v>
      </c>
      <c r="T291">
        <f t="shared" si="50"/>
        <v>17.165185185185184</v>
      </c>
      <c r="U291">
        <f t="shared" si="51"/>
        <v>22.572218518518515</v>
      </c>
      <c r="X291" s="9"/>
      <c r="Y291" s="21">
        <v>0.40512100000000001</v>
      </c>
      <c r="Z291" s="21">
        <v>18.006499999999999</v>
      </c>
      <c r="AA291" s="21">
        <v>-1.4804100000000001E-2</v>
      </c>
      <c r="AB291" s="21">
        <v>281</v>
      </c>
      <c r="AC291" s="21">
        <v>0.40457199999999999</v>
      </c>
      <c r="AD291">
        <f t="shared" si="52"/>
        <v>18.276666666666667</v>
      </c>
      <c r="AE291">
        <f t="shared" si="53"/>
        <v>7.404261476666667</v>
      </c>
      <c r="AF291" s="9"/>
      <c r="AG291" s="21">
        <v>1.3149999999999999</v>
      </c>
      <c r="AH291" s="21">
        <v>21.866</v>
      </c>
      <c r="AI291" s="21">
        <v>-1.3958699999999999E-2</v>
      </c>
      <c r="AJ291" s="21">
        <v>281</v>
      </c>
      <c r="AK291" s="21">
        <v>1.3137799999999999</v>
      </c>
      <c r="AL291">
        <f t="shared" si="54"/>
        <v>17.232962962962961</v>
      </c>
      <c r="AM291">
        <f t="shared" si="55"/>
        <v>22.661346296296294</v>
      </c>
      <c r="AP291" s="9"/>
      <c r="AQ291" s="21">
        <v>0.40512100000000001</v>
      </c>
      <c r="AR291" s="21">
        <v>27.4147</v>
      </c>
      <c r="AS291" s="21">
        <v>-1.4761399999999999E-2</v>
      </c>
      <c r="AT291" s="21">
        <v>281</v>
      </c>
      <c r="AU291" s="21">
        <v>0.40448000000000001</v>
      </c>
      <c r="AV291">
        <f t="shared" si="56"/>
        <v>18.22395061728395</v>
      </c>
      <c r="AW291">
        <f t="shared" si="57"/>
        <v>7.3829050980246915</v>
      </c>
      <c r="AX291" s="9"/>
      <c r="AY291" s="21">
        <v>1.3149999999999999</v>
      </c>
      <c r="AZ291" s="21">
        <v>31.2742</v>
      </c>
      <c r="BA291" s="21">
        <v>-1.39343E-2</v>
      </c>
      <c r="BB291" s="21">
        <v>281</v>
      </c>
      <c r="BC291" s="21">
        <v>1.3143899999999999</v>
      </c>
      <c r="BD291">
        <f t="shared" si="58"/>
        <v>17.202839506172836</v>
      </c>
      <c r="BE291">
        <f t="shared" si="59"/>
        <v>22.62173395061728</v>
      </c>
    </row>
    <row r="292" spans="6:57" x14ac:dyDescent="0.25">
      <c r="F292" s="9"/>
      <c r="G292" s="21">
        <v>0.40008500000000002</v>
      </c>
      <c r="H292" s="21">
        <v>8.57836</v>
      </c>
      <c r="I292" s="21">
        <v>-1.48743E-2</v>
      </c>
      <c r="J292" s="21">
        <v>282</v>
      </c>
      <c r="K292" s="21">
        <v>0.39944499999999999</v>
      </c>
      <c r="L292">
        <f t="shared" si="48"/>
        <v>18.363333333333333</v>
      </c>
      <c r="M292">
        <f t="shared" si="49"/>
        <v>7.3468942166666666</v>
      </c>
      <c r="N292" s="9"/>
      <c r="O292" s="21">
        <v>1.3200400000000001</v>
      </c>
      <c r="P292" s="21">
        <v>12.437799999999999</v>
      </c>
      <c r="Q292" s="21">
        <v>-1.38855E-2</v>
      </c>
      <c r="R292" s="21">
        <v>282</v>
      </c>
      <c r="S292" s="21">
        <v>1.3192699999999999</v>
      </c>
      <c r="T292">
        <f t="shared" si="50"/>
        <v>17.142592592592592</v>
      </c>
      <c r="U292">
        <f t="shared" si="51"/>
        <v>22.628907925925926</v>
      </c>
      <c r="X292" s="9"/>
      <c r="Y292" s="21">
        <v>0.40008500000000002</v>
      </c>
      <c r="Z292" s="21">
        <v>18.0166</v>
      </c>
      <c r="AA292" s="21">
        <v>-1.48071E-2</v>
      </c>
      <c r="AB292" s="21">
        <v>282</v>
      </c>
      <c r="AC292" s="21">
        <v>0.39935300000000001</v>
      </c>
      <c r="AD292">
        <f t="shared" si="52"/>
        <v>18.28037037037037</v>
      </c>
      <c r="AE292">
        <f t="shared" si="53"/>
        <v>7.3137019796296299</v>
      </c>
      <c r="AF292" s="9"/>
      <c r="AG292" s="21">
        <v>1.3200400000000001</v>
      </c>
      <c r="AH292" s="21">
        <v>21.876000000000001</v>
      </c>
      <c r="AI292" s="21">
        <v>-1.3937400000000001E-2</v>
      </c>
      <c r="AJ292" s="21">
        <v>282</v>
      </c>
      <c r="AK292" s="21">
        <v>1.3192699999999999</v>
      </c>
      <c r="AL292">
        <f t="shared" si="54"/>
        <v>17.206666666666667</v>
      </c>
      <c r="AM292">
        <f t="shared" si="55"/>
        <v>22.713488266666669</v>
      </c>
      <c r="AP292" s="9"/>
      <c r="AQ292" s="21">
        <v>0.40008500000000002</v>
      </c>
      <c r="AR292" s="21">
        <v>27.424800000000001</v>
      </c>
      <c r="AS292" s="21">
        <v>-1.47644E-2</v>
      </c>
      <c r="AT292" s="21">
        <v>282</v>
      </c>
      <c r="AU292" s="21">
        <v>0.399536</v>
      </c>
      <c r="AV292">
        <f t="shared" si="56"/>
        <v>18.227654320987654</v>
      </c>
      <c r="AW292">
        <f t="shared" si="57"/>
        <v>7.292611079012346</v>
      </c>
      <c r="AX292" s="9"/>
      <c r="AY292" s="21">
        <v>1.3200400000000001</v>
      </c>
      <c r="AZ292" s="21">
        <v>31.284300000000002</v>
      </c>
      <c r="BA292" s="21">
        <v>-1.39221E-2</v>
      </c>
      <c r="BB292" s="21">
        <v>282</v>
      </c>
      <c r="BC292" s="21">
        <v>1.31958</v>
      </c>
      <c r="BD292">
        <f t="shared" si="58"/>
        <v>17.187777777777779</v>
      </c>
      <c r="BE292">
        <f t="shared" si="59"/>
        <v>22.688554177777782</v>
      </c>
    </row>
    <row r="293" spans="6:57" x14ac:dyDescent="0.25">
      <c r="F293" s="9"/>
      <c r="G293" s="21">
        <v>0.39505000000000001</v>
      </c>
      <c r="H293" s="21">
        <v>8.5884300000000007</v>
      </c>
      <c r="I293" s="21">
        <v>-1.48834E-2</v>
      </c>
      <c r="J293" s="21">
        <v>283</v>
      </c>
      <c r="K293" s="21">
        <v>0.39444000000000001</v>
      </c>
      <c r="L293">
        <f t="shared" si="48"/>
        <v>18.374567901234567</v>
      </c>
      <c r="M293">
        <f t="shared" si="49"/>
        <v>7.258873049382716</v>
      </c>
      <c r="N293" s="9"/>
      <c r="O293" s="21">
        <v>1.32507</v>
      </c>
      <c r="P293" s="21">
        <v>12.447900000000001</v>
      </c>
      <c r="Q293" s="21">
        <v>-1.38519E-2</v>
      </c>
      <c r="R293" s="21">
        <v>283</v>
      </c>
      <c r="S293" s="21">
        <v>1.32416</v>
      </c>
      <c r="T293">
        <f t="shared" si="50"/>
        <v>17.101111111111113</v>
      </c>
      <c r="U293">
        <f t="shared" si="51"/>
        <v>22.660169300000003</v>
      </c>
      <c r="X293" s="9"/>
      <c r="Y293" s="21">
        <v>0.39505000000000001</v>
      </c>
      <c r="Z293" s="21">
        <v>18.026599999999998</v>
      </c>
      <c r="AA293" s="21">
        <v>-1.48132E-2</v>
      </c>
      <c r="AB293" s="21">
        <v>283</v>
      </c>
      <c r="AC293" s="21">
        <v>0.39444000000000001</v>
      </c>
      <c r="AD293">
        <f t="shared" si="52"/>
        <v>18.287901234567901</v>
      </c>
      <c r="AE293">
        <f t="shared" si="53"/>
        <v>7.2246353827160492</v>
      </c>
      <c r="AF293" s="9"/>
      <c r="AG293" s="21">
        <v>1.32507</v>
      </c>
      <c r="AH293" s="21">
        <v>21.886099999999999</v>
      </c>
      <c r="AI293" s="21">
        <v>-1.39282E-2</v>
      </c>
      <c r="AJ293" s="21">
        <v>283</v>
      </c>
      <c r="AK293" s="21">
        <v>1.32416</v>
      </c>
      <c r="AL293">
        <f t="shared" si="54"/>
        <v>17.195308641975309</v>
      </c>
      <c r="AM293">
        <f t="shared" si="55"/>
        <v>22.784987622222221</v>
      </c>
      <c r="AP293" s="9"/>
      <c r="AQ293" s="21">
        <v>0.39505000000000001</v>
      </c>
      <c r="AR293" s="21">
        <v>27.434899999999999</v>
      </c>
      <c r="AS293" s="21">
        <v>-1.47644E-2</v>
      </c>
      <c r="AT293" s="21">
        <v>283</v>
      </c>
      <c r="AU293" s="21">
        <v>0.39440900000000001</v>
      </c>
      <c r="AV293">
        <f t="shared" si="56"/>
        <v>18.227654320987654</v>
      </c>
      <c r="AW293">
        <f t="shared" si="57"/>
        <v>7.2008348395061725</v>
      </c>
      <c r="AX293" s="9"/>
      <c r="AY293" s="21">
        <v>1.32507</v>
      </c>
      <c r="AZ293" s="21">
        <v>31.2943</v>
      </c>
      <c r="BA293" s="21">
        <v>-1.3909899999999999E-2</v>
      </c>
      <c r="BB293" s="21">
        <v>283</v>
      </c>
      <c r="BC293" s="21">
        <v>1.32477</v>
      </c>
      <c r="BD293">
        <f t="shared" si="58"/>
        <v>17.172716049382714</v>
      </c>
      <c r="BE293">
        <f t="shared" si="59"/>
        <v>22.755050855555552</v>
      </c>
    </row>
    <row r="294" spans="6:57" x14ac:dyDescent="0.25">
      <c r="F294" s="9"/>
      <c r="G294" s="21">
        <v>0.390015</v>
      </c>
      <c r="H294" s="21">
        <v>8.5984999999999996</v>
      </c>
      <c r="I294" s="21">
        <v>-1.48865E-2</v>
      </c>
      <c r="J294" s="21">
        <v>284</v>
      </c>
      <c r="K294" s="21">
        <v>0.38946500000000001</v>
      </c>
      <c r="L294">
        <f t="shared" si="48"/>
        <v>18.378395061728394</v>
      </c>
      <c r="M294">
        <f t="shared" si="49"/>
        <v>7.1678497499999994</v>
      </c>
      <c r="N294" s="9"/>
      <c r="O294" s="21">
        <v>1.3301099999999999</v>
      </c>
      <c r="P294" s="21">
        <v>12.458</v>
      </c>
      <c r="Q294" s="21">
        <v>-1.38306E-2</v>
      </c>
      <c r="R294" s="21">
        <v>284</v>
      </c>
      <c r="S294" s="21">
        <v>1.32935</v>
      </c>
      <c r="T294">
        <f t="shared" si="50"/>
        <v>17.074814814814815</v>
      </c>
      <c r="U294">
        <f t="shared" si="51"/>
        <v>22.711381933333332</v>
      </c>
      <c r="X294" s="9"/>
      <c r="Y294" s="21">
        <v>0.390015</v>
      </c>
      <c r="Z294" s="21">
        <v>18.0367</v>
      </c>
      <c r="AA294" s="21">
        <v>-1.4822399999999999E-2</v>
      </c>
      <c r="AB294" s="21">
        <v>284</v>
      </c>
      <c r="AC294" s="21">
        <v>0.38946500000000001</v>
      </c>
      <c r="AD294">
        <f t="shared" si="52"/>
        <v>18.299259259259259</v>
      </c>
      <c r="AE294">
        <f t="shared" si="53"/>
        <v>7.1369856</v>
      </c>
      <c r="AF294" s="9"/>
      <c r="AG294" s="21">
        <v>1.3301099999999999</v>
      </c>
      <c r="AH294" s="21">
        <v>21.8962</v>
      </c>
      <c r="AI294" s="21">
        <v>-1.39221E-2</v>
      </c>
      <c r="AJ294" s="21">
        <v>284</v>
      </c>
      <c r="AK294" s="21">
        <v>1.32904</v>
      </c>
      <c r="AL294">
        <f t="shared" si="54"/>
        <v>17.187777777777779</v>
      </c>
      <c r="AM294">
        <f t="shared" si="55"/>
        <v>22.861635100000001</v>
      </c>
      <c r="AP294" s="9"/>
      <c r="AQ294" s="21">
        <v>0.390015</v>
      </c>
      <c r="AR294" s="21">
        <v>27.444900000000001</v>
      </c>
      <c r="AS294" s="21">
        <v>-1.4770500000000001E-2</v>
      </c>
      <c r="AT294" s="21">
        <v>284</v>
      </c>
      <c r="AU294" s="21">
        <v>0.389374</v>
      </c>
      <c r="AV294">
        <f t="shared" si="56"/>
        <v>18.235185185185184</v>
      </c>
      <c r="AW294">
        <f t="shared" si="57"/>
        <v>7.1119957499999993</v>
      </c>
      <c r="AX294" s="9"/>
      <c r="AY294" s="21">
        <v>1.3301099999999999</v>
      </c>
      <c r="AZ294" s="21">
        <v>31.304400000000001</v>
      </c>
      <c r="BA294" s="21">
        <v>-1.39008E-2</v>
      </c>
      <c r="BB294" s="21">
        <v>284</v>
      </c>
      <c r="BC294" s="21">
        <v>1.32935</v>
      </c>
      <c r="BD294">
        <f t="shared" si="58"/>
        <v>17.161481481481481</v>
      </c>
      <c r="BE294">
        <f t="shared" si="59"/>
        <v>22.826658133333332</v>
      </c>
    </row>
    <row r="295" spans="6:57" x14ac:dyDescent="0.25">
      <c r="F295" s="9"/>
      <c r="G295" s="21">
        <v>0.38497900000000002</v>
      </c>
      <c r="H295" s="21">
        <v>8.6085700000000003</v>
      </c>
      <c r="I295" s="21">
        <v>-1.48895E-2</v>
      </c>
      <c r="J295" s="21">
        <v>285</v>
      </c>
      <c r="K295" s="21">
        <v>0.38433800000000001</v>
      </c>
      <c r="L295">
        <f t="shared" si="48"/>
        <v>18.382098765432101</v>
      </c>
      <c r="M295">
        <f t="shared" si="49"/>
        <v>7.0767220006172851</v>
      </c>
      <c r="N295" s="9"/>
      <c r="O295" s="21">
        <v>1.33514</v>
      </c>
      <c r="P295" s="21">
        <v>12.468</v>
      </c>
      <c r="Q295" s="21">
        <v>-1.3806199999999999E-2</v>
      </c>
      <c r="R295" s="21">
        <v>285</v>
      </c>
      <c r="S295" s="21">
        <v>1.33453</v>
      </c>
      <c r="T295">
        <f t="shared" si="50"/>
        <v>17.044691358024689</v>
      </c>
      <c r="U295">
        <f t="shared" si="51"/>
        <v>22.757049219753082</v>
      </c>
      <c r="X295" s="9"/>
      <c r="Y295" s="21">
        <v>0.38497900000000002</v>
      </c>
      <c r="Z295" s="21">
        <v>18.046800000000001</v>
      </c>
      <c r="AA295" s="21">
        <v>-1.4819300000000001E-2</v>
      </c>
      <c r="AB295" s="21">
        <v>285</v>
      </c>
      <c r="AC295" s="21">
        <v>0.384552</v>
      </c>
      <c r="AD295">
        <f t="shared" si="52"/>
        <v>18.295432098765431</v>
      </c>
      <c r="AE295">
        <f t="shared" si="53"/>
        <v>7.043357153950617</v>
      </c>
      <c r="AF295" s="9"/>
      <c r="AG295" s="21">
        <v>1.33514</v>
      </c>
      <c r="AH295" s="21">
        <v>21.906300000000002</v>
      </c>
      <c r="AI295" s="21">
        <v>-1.3909899999999999E-2</v>
      </c>
      <c r="AJ295" s="21">
        <v>285</v>
      </c>
      <c r="AK295" s="21">
        <v>1.33392</v>
      </c>
      <c r="AL295">
        <f t="shared" si="54"/>
        <v>17.172716049382714</v>
      </c>
      <c r="AM295">
        <f t="shared" si="55"/>
        <v>22.927980106172836</v>
      </c>
      <c r="AP295" s="9"/>
      <c r="AQ295" s="21">
        <v>0.38497900000000002</v>
      </c>
      <c r="AR295" s="21">
        <v>27.454999999999998</v>
      </c>
      <c r="AS295" s="21">
        <v>-1.47797E-2</v>
      </c>
      <c r="AT295" s="21">
        <v>285</v>
      </c>
      <c r="AU295" s="21">
        <v>0.38433800000000001</v>
      </c>
      <c r="AV295">
        <f t="shared" si="56"/>
        <v>18.246543209876542</v>
      </c>
      <c r="AW295">
        <f t="shared" si="57"/>
        <v>7.0245359583950613</v>
      </c>
      <c r="AX295" s="9"/>
      <c r="AY295" s="21">
        <v>1.33514</v>
      </c>
      <c r="AZ295" s="21">
        <v>31.314499999999999</v>
      </c>
      <c r="BA295" s="21">
        <v>-1.38916E-2</v>
      </c>
      <c r="BB295" s="21">
        <v>285</v>
      </c>
      <c r="BC295" s="21">
        <v>1.33453</v>
      </c>
      <c r="BD295">
        <f t="shared" si="58"/>
        <v>17.150123456790123</v>
      </c>
      <c r="BE295">
        <f t="shared" si="59"/>
        <v>22.897815832098765</v>
      </c>
    </row>
    <row r="296" spans="6:57" x14ac:dyDescent="0.25">
      <c r="F296" s="9"/>
      <c r="G296" s="21">
        <v>0.379944</v>
      </c>
      <c r="H296" s="21">
        <v>8.6186399999999992</v>
      </c>
      <c r="I296" s="21">
        <v>-1.48895E-2</v>
      </c>
      <c r="J296" s="21">
        <v>286</v>
      </c>
      <c r="K296" s="21">
        <v>0.37936399999999998</v>
      </c>
      <c r="L296">
        <f t="shared" si="48"/>
        <v>18.382098765432101</v>
      </c>
      <c r="M296">
        <f t="shared" si="49"/>
        <v>6.9841681333333341</v>
      </c>
      <c r="N296" s="9"/>
      <c r="O296" s="21">
        <v>1.3401799999999999</v>
      </c>
      <c r="P296" s="21">
        <v>12.4781</v>
      </c>
      <c r="Q296" s="21">
        <v>-1.37787E-2</v>
      </c>
      <c r="R296" s="21">
        <v>286</v>
      </c>
      <c r="S296" s="21">
        <v>1.3394200000000001</v>
      </c>
      <c r="T296">
        <f t="shared" si="50"/>
        <v>17.01074074074074</v>
      </c>
      <c r="U296">
        <f t="shared" si="51"/>
        <v>22.797454525925925</v>
      </c>
      <c r="X296" s="9"/>
      <c r="Y296" s="21">
        <v>0.379944</v>
      </c>
      <c r="Z296" s="21">
        <v>18.056899999999999</v>
      </c>
      <c r="AA296" s="21">
        <v>-1.4819300000000001E-2</v>
      </c>
      <c r="AB296" s="21">
        <v>286</v>
      </c>
      <c r="AC296" s="21">
        <v>0.37933299999999998</v>
      </c>
      <c r="AD296">
        <f t="shared" si="52"/>
        <v>18.295432098765431</v>
      </c>
      <c r="AE296">
        <f t="shared" si="53"/>
        <v>6.9512396533333334</v>
      </c>
      <c r="AF296" s="9"/>
      <c r="AG296" s="21">
        <v>1.3401799999999999</v>
      </c>
      <c r="AH296" s="21">
        <v>21.9163</v>
      </c>
      <c r="AI296" s="21">
        <v>-1.38916E-2</v>
      </c>
      <c r="AJ296" s="21">
        <v>286</v>
      </c>
      <c r="AK296" s="21">
        <v>1.3394200000000001</v>
      </c>
      <c r="AL296">
        <f t="shared" si="54"/>
        <v>17.150123456790123</v>
      </c>
      <c r="AM296">
        <f t="shared" si="55"/>
        <v>22.984252454320984</v>
      </c>
      <c r="AP296" s="9"/>
      <c r="AQ296" s="21">
        <v>0.379944</v>
      </c>
      <c r="AR296" s="21">
        <v>27.4651</v>
      </c>
      <c r="AS296" s="21">
        <v>-1.47858E-2</v>
      </c>
      <c r="AT296" s="21">
        <v>286</v>
      </c>
      <c r="AU296" s="21">
        <v>0.37936399999999998</v>
      </c>
      <c r="AV296">
        <f t="shared" si="56"/>
        <v>18.254074074074072</v>
      </c>
      <c r="AW296">
        <f t="shared" si="57"/>
        <v>6.935525919999999</v>
      </c>
      <c r="AX296" s="9"/>
      <c r="AY296" s="21">
        <v>1.3401799999999999</v>
      </c>
      <c r="AZ296" s="21">
        <v>31.3246</v>
      </c>
      <c r="BA296" s="21">
        <v>-1.3861099999999999E-2</v>
      </c>
      <c r="BB296" s="21">
        <v>286</v>
      </c>
      <c r="BC296" s="21">
        <v>1.33911</v>
      </c>
      <c r="BD296">
        <f t="shared" si="58"/>
        <v>17.112469135802467</v>
      </c>
      <c r="BE296">
        <f t="shared" si="59"/>
        <v>22.933788886419748</v>
      </c>
    </row>
    <row r="297" spans="6:57" x14ac:dyDescent="0.25">
      <c r="F297" s="9"/>
      <c r="G297" s="21">
        <v>0.37490800000000002</v>
      </c>
      <c r="H297" s="21">
        <v>8.6287099999999999</v>
      </c>
      <c r="I297" s="21">
        <v>-1.48865E-2</v>
      </c>
      <c r="J297" s="21">
        <v>287</v>
      </c>
      <c r="K297" s="21">
        <v>0.374359</v>
      </c>
      <c r="L297">
        <f t="shared" si="48"/>
        <v>18.378395061728394</v>
      </c>
      <c r="M297">
        <f t="shared" si="49"/>
        <v>6.8902073358024696</v>
      </c>
      <c r="N297" s="9"/>
      <c r="O297" s="21">
        <v>1.34521</v>
      </c>
      <c r="P297" s="21">
        <v>12.488200000000001</v>
      </c>
      <c r="Q297" s="21">
        <v>-1.37573E-2</v>
      </c>
      <c r="R297" s="21">
        <v>287</v>
      </c>
      <c r="S297" s="21">
        <v>1.34491</v>
      </c>
      <c r="T297">
        <f t="shared" si="50"/>
        <v>16.984320987654321</v>
      </c>
      <c r="U297">
        <f t="shared" si="51"/>
        <v>22.847478435802469</v>
      </c>
      <c r="X297" s="9"/>
      <c r="Y297" s="21">
        <v>0.37490800000000002</v>
      </c>
      <c r="Z297" s="21">
        <v>18.0669</v>
      </c>
      <c r="AA297" s="21">
        <v>-1.48132E-2</v>
      </c>
      <c r="AB297" s="21">
        <v>287</v>
      </c>
      <c r="AC297" s="21">
        <v>0.37429800000000002</v>
      </c>
      <c r="AD297">
        <f t="shared" si="52"/>
        <v>18.287901234567901</v>
      </c>
      <c r="AE297">
        <f t="shared" si="53"/>
        <v>6.856280476049383</v>
      </c>
      <c r="AF297" s="9"/>
      <c r="AG297" s="21">
        <v>1.34521</v>
      </c>
      <c r="AH297" s="21">
        <v>21.926400000000001</v>
      </c>
      <c r="AI297" s="21">
        <v>-1.38794E-2</v>
      </c>
      <c r="AJ297" s="21">
        <v>287</v>
      </c>
      <c r="AK297" s="21">
        <v>1.34399</v>
      </c>
      <c r="AL297">
        <f t="shared" si="54"/>
        <v>17.135061728395058</v>
      </c>
      <c r="AM297">
        <f t="shared" si="55"/>
        <v>23.050256387654319</v>
      </c>
      <c r="AP297" s="9"/>
      <c r="AQ297" s="21">
        <v>0.37490800000000002</v>
      </c>
      <c r="AR297" s="21">
        <v>27.475200000000001</v>
      </c>
      <c r="AS297" s="21">
        <v>-1.47949E-2</v>
      </c>
      <c r="AT297" s="21">
        <v>287</v>
      </c>
      <c r="AU297" s="21">
        <v>0.37441999999999998</v>
      </c>
      <c r="AV297">
        <f t="shared" si="56"/>
        <v>18.265308641975306</v>
      </c>
      <c r="AW297">
        <f t="shared" si="57"/>
        <v>6.847810332345678</v>
      </c>
      <c r="AX297" s="9"/>
      <c r="AY297" s="21">
        <v>1.34521</v>
      </c>
      <c r="AZ297" s="21">
        <v>31.334599999999998</v>
      </c>
      <c r="BA297" s="21">
        <v>-1.38367E-2</v>
      </c>
      <c r="BB297" s="21">
        <v>287</v>
      </c>
      <c r="BC297" s="21">
        <v>1.3446</v>
      </c>
      <c r="BD297">
        <f t="shared" si="58"/>
        <v>17.082345679012345</v>
      </c>
      <c r="BE297">
        <f t="shared" si="59"/>
        <v>22.979342230864198</v>
      </c>
    </row>
    <row r="298" spans="6:57" x14ac:dyDescent="0.25">
      <c r="F298" s="9"/>
      <c r="G298" s="21">
        <v>0.36987300000000001</v>
      </c>
      <c r="H298" s="21">
        <v>8.6387800000000006</v>
      </c>
      <c r="I298" s="21">
        <v>-1.48895E-2</v>
      </c>
      <c r="J298" s="21">
        <v>288</v>
      </c>
      <c r="K298" s="21">
        <v>0.36929299999999998</v>
      </c>
      <c r="L298">
        <f t="shared" si="48"/>
        <v>18.382098765432101</v>
      </c>
      <c r="M298">
        <f t="shared" si="49"/>
        <v>6.7990420166666672</v>
      </c>
      <c r="N298" s="9"/>
      <c r="O298" s="21">
        <v>1.35025</v>
      </c>
      <c r="P298" s="21">
        <v>12.4983</v>
      </c>
      <c r="Q298" s="21">
        <v>-1.3738999999999999E-2</v>
      </c>
      <c r="R298" s="21">
        <v>288</v>
      </c>
      <c r="S298" s="21">
        <v>1.3494900000000001</v>
      </c>
      <c r="T298">
        <f t="shared" si="50"/>
        <v>16.961728395061726</v>
      </c>
      <c r="U298">
        <f t="shared" si="51"/>
        <v>22.902573765432095</v>
      </c>
      <c r="X298" s="9"/>
      <c r="Y298" s="21">
        <v>0.36987300000000001</v>
      </c>
      <c r="Z298" s="21">
        <v>18.077000000000002</v>
      </c>
      <c r="AA298" s="21">
        <v>-1.48132E-2</v>
      </c>
      <c r="AB298" s="21">
        <v>288</v>
      </c>
      <c r="AC298" s="21">
        <v>0.36920199999999997</v>
      </c>
      <c r="AD298">
        <f t="shared" si="52"/>
        <v>18.287901234567901</v>
      </c>
      <c r="AE298">
        <f t="shared" si="53"/>
        <v>6.7642008933333333</v>
      </c>
      <c r="AF298" s="9"/>
      <c r="AG298" s="21">
        <v>1.35025</v>
      </c>
      <c r="AH298" s="21">
        <v>21.936499999999999</v>
      </c>
      <c r="AI298" s="21">
        <v>-1.38794E-2</v>
      </c>
      <c r="AJ298" s="21">
        <v>288</v>
      </c>
      <c r="AK298" s="21">
        <v>1.34979</v>
      </c>
      <c r="AL298">
        <f t="shared" si="54"/>
        <v>17.135061728395058</v>
      </c>
      <c r="AM298">
        <f t="shared" si="55"/>
        <v>23.136617098765427</v>
      </c>
      <c r="AP298" s="9"/>
      <c r="AQ298" s="21">
        <v>0.36987300000000001</v>
      </c>
      <c r="AR298" s="21">
        <v>27.485199999999999</v>
      </c>
      <c r="AS298" s="21">
        <v>-1.4810200000000001E-2</v>
      </c>
      <c r="AT298" s="21">
        <v>288</v>
      </c>
      <c r="AU298" s="21">
        <v>0.369232</v>
      </c>
      <c r="AV298">
        <f t="shared" si="56"/>
        <v>18.284197530864198</v>
      </c>
      <c r="AW298">
        <f t="shared" si="57"/>
        <v>6.7628309933333339</v>
      </c>
      <c r="AX298" s="9"/>
      <c r="AY298" s="21">
        <v>1.35025</v>
      </c>
      <c r="AZ298" s="21">
        <v>31.3447</v>
      </c>
      <c r="BA298" s="21">
        <v>-1.3815300000000001E-2</v>
      </c>
      <c r="BB298" s="21">
        <v>288</v>
      </c>
      <c r="BC298" s="21">
        <v>1.34918</v>
      </c>
      <c r="BD298">
        <f t="shared" si="58"/>
        <v>17.055925925925926</v>
      </c>
      <c r="BE298">
        <f t="shared" si="59"/>
        <v>23.02976398148148</v>
      </c>
    </row>
    <row r="299" spans="6:57" x14ac:dyDescent="0.25">
      <c r="F299" s="9"/>
      <c r="G299" s="21">
        <v>0.364838</v>
      </c>
      <c r="H299" s="21">
        <v>8.6488499999999995</v>
      </c>
      <c r="I299" s="21">
        <v>-1.48804E-2</v>
      </c>
      <c r="J299" s="21">
        <v>289</v>
      </c>
      <c r="K299" s="21">
        <v>0.36422700000000002</v>
      </c>
      <c r="L299">
        <f t="shared" si="48"/>
        <v>18.370864197530864</v>
      </c>
      <c r="M299">
        <f t="shared" si="49"/>
        <v>6.7023893520987654</v>
      </c>
      <c r="N299" s="9"/>
      <c r="O299" s="21">
        <v>1.3552900000000001</v>
      </c>
      <c r="P299" s="21">
        <v>12.5083</v>
      </c>
      <c r="Q299" s="21">
        <v>-1.3726800000000001E-2</v>
      </c>
      <c r="R299" s="21">
        <v>289</v>
      </c>
      <c r="S299" s="21">
        <v>1.35406</v>
      </c>
      <c r="T299">
        <f t="shared" si="50"/>
        <v>16.946666666666665</v>
      </c>
      <c r="U299">
        <f t="shared" si="51"/>
        <v>22.967647866666667</v>
      </c>
      <c r="X299" s="9"/>
      <c r="Y299" s="21">
        <v>0.364838</v>
      </c>
      <c r="Z299" s="21">
        <v>18.0871</v>
      </c>
      <c r="AA299" s="21">
        <v>-1.4822399999999999E-2</v>
      </c>
      <c r="AB299" s="21">
        <v>289</v>
      </c>
      <c r="AC299" s="21">
        <v>0.36425800000000003</v>
      </c>
      <c r="AD299">
        <f t="shared" si="52"/>
        <v>18.299259259259259</v>
      </c>
      <c r="AE299">
        <f t="shared" si="53"/>
        <v>6.6762651496296295</v>
      </c>
      <c r="AF299" s="9"/>
      <c r="AG299" s="21">
        <v>1.3552900000000001</v>
      </c>
      <c r="AH299" s="21">
        <v>21.9465</v>
      </c>
      <c r="AI299" s="21">
        <v>-1.3861099999999999E-2</v>
      </c>
      <c r="AJ299" s="21">
        <v>289</v>
      </c>
      <c r="AK299" s="21">
        <v>1.3543700000000001</v>
      </c>
      <c r="AL299">
        <f t="shared" si="54"/>
        <v>17.112469135802467</v>
      </c>
      <c r="AM299">
        <f t="shared" si="55"/>
        <v>23.192358295061727</v>
      </c>
      <c r="AP299" s="9"/>
      <c r="AQ299" s="21">
        <v>0.364838</v>
      </c>
      <c r="AR299" s="21">
        <v>27.4953</v>
      </c>
      <c r="AS299" s="21">
        <v>-1.4816299999999999E-2</v>
      </c>
      <c r="AT299" s="21">
        <v>289</v>
      </c>
      <c r="AU299" s="21">
        <v>0.36410500000000001</v>
      </c>
      <c r="AV299">
        <f t="shared" si="56"/>
        <v>18.291728395061728</v>
      </c>
      <c r="AW299">
        <f t="shared" si="57"/>
        <v>6.6735176041975306</v>
      </c>
      <c r="AX299" s="9"/>
      <c r="AY299" s="21">
        <v>1.3552900000000001</v>
      </c>
      <c r="AZ299" s="21">
        <v>31.354800000000001</v>
      </c>
      <c r="BA299" s="21">
        <v>-1.3787799999999999E-2</v>
      </c>
      <c r="BB299" s="21">
        <v>289</v>
      </c>
      <c r="BC299" s="21">
        <v>1.3549800000000001</v>
      </c>
      <c r="BD299">
        <f t="shared" si="58"/>
        <v>17.021975308641974</v>
      </c>
      <c r="BE299">
        <f t="shared" si="59"/>
        <v>23.069712916049383</v>
      </c>
    </row>
    <row r="300" spans="6:57" x14ac:dyDescent="0.25">
      <c r="F300" s="9"/>
      <c r="G300" s="21">
        <v>0.35980200000000001</v>
      </c>
      <c r="H300" s="21">
        <v>8.6589200000000002</v>
      </c>
      <c r="I300" s="21">
        <v>-1.48895E-2</v>
      </c>
      <c r="J300" s="21">
        <v>290</v>
      </c>
      <c r="K300" s="21">
        <v>0.35907</v>
      </c>
      <c r="L300">
        <f t="shared" si="48"/>
        <v>18.382098765432101</v>
      </c>
      <c r="M300">
        <f t="shared" si="49"/>
        <v>6.6139159000000012</v>
      </c>
      <c r="N300" s="9"/>
      <c r="O300" s="21">
        <v>1.36032</v>
      </c>
      <c r="P300" s="21">
        <v>12.5184</v>
      </c>
      <c r="Q300" s="21">
        <v>-1.3699299999999999E-2</v>
      </c>
      <c r="R300" s="21">
        <v>290</v>
      </c>
      <c r="S300" s="21">
        <v>1.3601700000000001</v>
      </c>
      <c r="T300">
        <f t="shared" si="50"/>
        <v>16.912716049382716</v>
      </c>
      <c r="U300">
        <f t="shared" si="51"/>
        <v>23.006705896296296</v>
      </c>
      <c r="X300" s="9"/>
      <c r="Y300" s="21">
        <v>0.35980200000000001</v>
      </c>
      <c r="Z300" s="21">
        <v>18.097100000000001</v>
      </c>
      <c r="AA300" s="21">
        <v>-1.4822399999999999E-2</v>
      </c>
      <c r="AB300" s="21">
        <v>290</v>
      </c>
      <c r="AC300" s="21">
        <v>0.35922199999999999</v>
      </c>
      <c r="AD300">
        <f t="shared" si="52"/>
        <v>18.299259259259259</v>
      </c>
      <c r="AE300">
        <f t="shared" si="53"/>
        <v>6.5841100800000003</v>
      </c>
      <c r="AF300" s="9"/>
      <c r="AG300" s="21">
        <v>1.36032</v>
      </c>
      <c r="AH300" s="21">
        <v>21.956600000000002</v>
      </c>
      <c r="AI300" s="21">
        <v>-1.38275E-2</v>
      </c>
      <c r="AJ300" s="21">
        <v>290</v>
      </c>
      <c r="AK300" s="21">
        <v>1.3595600000000001</v>
      </c>
      <c r="AL300">
        <f t="shared" si="54"/>
        <v>17.070987654320987</v>
      </c>
      <c r="AM300">
        <f t="shared" si="55"/>
        <v>23.222005925925924</v>
      </c>
      <c r="AP300" s="9"/>
      <c r="AQ300" s="21">
        <v>0.35980200000000001</v>
      </c>
      <c r="AR300" s="21">
        <v>27.505400000000002</v>
      </c>
      <c r="AS300" s="21">
        <v>-1.4822399999999999E-2</v>
      </c>
      <c r="AT300" s="21">
        <v>290</v>
      </c>
      <c r="AU300" s="21">
        <v>0.35919200000000001</v>
      </c>
      <c r="AV300">
        <f t="shared" si="56"/>
        <v>18.299259259259259</v>
      </c>
      <c r="AW300">
        <f t="shared" si="57"/>
        <v>6.5841100800000003</v>
      </c>
      <c r="AX300" s="9"/>
      <c r="AY300" s="21">
        <v>1.36032</v>
      </c>
      <c r="AZ300" s="21">
        <v>31.364799999999999</v>
      </c>
      <c r="BA300" s="21">
        <v>-1.3766499999999999E-2</v>
      </c>
      <c r="BB300" s="21">
        <v>290</v>
      </c>
      <c r="BC300" s="21">
        <v>1.3592500000000001</v>
      </c>
      <c r="BD300">
        <f t="shared" si="58"/>
        <v>16.995679012345676</v>
      </c>
      <c r="BE300">
        <f t="shared" si="59"/>
        <v>23.119562074074068</v>
      </c>
    </row>
    <row r="301" spans="6:57" x14ac:dyDescent="0.25">
      <c r="F301" s="9"/>
      <c r="G301" s="21">
        <v>0.354767</v>
      </c>
      <c r="H301" s="21">
        <v>8.6690000000000005</v>
      </c>
      <c r="I301" s="21">
        <v>-1.4904799999999999E-2</v>
      </c>
      <c r="J301" s="21">
        <v>291</v>
      </c>
      <c r="K301" s="21">
        <v>0.35418699999999997</v>
      </c>
      <c r="L301">
        <f t="shared" si="48"/>
        <v>18.400987654320986</v>
      </c>
      <c r="M301">
        <f t="shared" si="49"/>
        <v>6.5280631871604928</v>
      </c>
      <c r="N301" s="9"/>
      <c r="O301" s="21">
        <v>1.3653599999999999</v>
      </c>
      <c r="P301" s="21">
        <v>12.528499999999999</v>
      </c>
      <c r="Q301" s="21">
        <v>-1.36749E-2</v>
      </c>
      <c r="R301" s="21">
        <v>291</v>
      </c>
      <c r="S301" s="21">
        <v>1.3647499999999999</v>
      </c>
      <c r="T301">
        <f t="shared" si="50"/>
        <v>16.882592592592591</v>
      </c>
      <c r="U301">
        <f t="shared" si="51"/>
        <v>23.050816622222218</v>
      </c>
      <c r="X301" s="9"/>
      <c r="Y301" s="21">
        <v>0.354767</v>
      </c>
      <c r="Z301" s="21">
        <v>18.107199999999999</v>
      </c>
      <c r="AA301" s="21">
        <v>-1.4822399999999999E-2</v>
      </c>
      <c r="AB301" s="21">
        <v>291</v>
      </c>
      <c r="AC301" s="21">
        <v>0.35424800000000001</v>
      </c>
      <c r="AD301">
        <f t="shared" si="52"/>
        <v>18.299259259259259</v>
      </c>
      <c r="AE301">
        <f t="shared" si="53"/>
        <v>6.4919733096296293</v>
      </c>
      <c r="AF301" s="9"/>
      <c r="AG301" s="21">
        <v>1.3653599999999999</v>
      </c>
      <c r="AH301" s="21">
        <v>21.966699999999999</v>
      </c>
      <c r="AI301" s="21">
        <v>-1.38031E-2</v>
      </c>
      <c r="AJ301" s="21">
        <v>291</v>
      </c>
      <c r="AK301" s="21">
        <v>1.3638300000000001</v>
      </c>
      <c r="AL301">
        <f t="shared" si="54"/>
        <v>17.040864197530862</v>
      </c>
      <c r="AM301">
        <f t="shared" si="55"/>
        <v>23.266914340740737</v>
      </c>
      <c r="AP301" s="9"/>
      <c r="AQ301" s="21">
        <v>0.354767</v>
      </c>
      <c r="AR301" s="21">
        <v>27.5154</v>
      </c>
      <c r="AS301" s="21">
        <v>-1.48285E-2</v>
      </c>
      <c r="AT301" s="21">
        <v>291</v>
      </c>
      <c r="AU301" s="21">
        <v>0.35433999999999999</v>
      </c>
      <c r="AV301">
        <f t="shared" si="56"/>
        <v>18.306790123456789</v>
      </c>
      <c r="AW301">
        <f t="shared" si="57"/>
        <v>6.4946450117283945</v>
      </c>
      <c r="AX301" s="9"/>
      <c r="AY301" s="21">
        <v>1.3653599999999999</v>
      </c>
      <c r="AZ301" s="21">
        <v>31.3749</v>
      </c>
      <c r="BA301" s="21">
        <v>-1.3738999999999999E-2</v>
      </c>
      <c r="BB301" s="21">
        <v>291</v>
      </c>
      <c r="BC301" s="21">
        <v>1.3647499999999999</v>
      </c>
      <c r="BD301">
        <f t="shared" si="58"/>
        <v>16.961728395061726</v>
      </c>
      <c r="BE301">
        <f t="shared" si="59"/>
        <v>23.158865481481477</v>
      </c>
    </row>
    <row r="302" spans="6:57" x14ac:dyDescent="0.25">
      <c r="F302" s="9"/>
      <c r="G302" s="21">
        <v>0.34973100000000001</v>
      </c>
      <c r="H302" s="21">
        <v>8.6790699999999994</v>
      </c>
      <c r="I302" s="21">
        <v>-1.4907800000000001E-2</v>
      </c>
      <c r="J302" s="21">
        <v>292</v>
      </c>
      <c r="K302" s="21">
        <v>0.34912100000000001</v>
      </c>
      <c r="L302">
        <f t="shared" si="48"/>
        <v>18.404691358024692</v>
      </c>
      <c r="M302">
        <f t="shared" si="49"/>
        <v>6.4366911133333335</v>
      </c>
      <c r="N302" s="9"/>
      <c r="O302" s="21">
        <v>1.37039</v>
      </c>
      <c r="P302" s="21">
        <v>12.538500000000001</v>
      </c>
      <c r="Q302" s="21">
        <v>-1.36475E-2</v>
      </c>
      <c r="R302" s="21">
        <v>292</v>
      </c>
      <c r="S302" s="21">
        <v>1.3693200000000001</v>
      </c>
      <c r="T302">
        <f t="shared" si="50"/>
        <v>16.848765432098766</v>
      </c>
      <c r="U302">
        <f t="shared" si="51"/>
        <v>23.089379660493826</v>
      </c>
      <c r="X302" s="9"/>
      <c r="Y302" s="21">
        <v>0.34973100000000001</v>
      </c>
      <c r="Z302" s="21">
        <v>18.1173</v>
      </c>
      <c r="AA302" s="21">
        <v>-1.4825400000000001E-2</v>
      </c>
      <c r="AB302" s="21">
        <v>292</v>
      </c>
      <c r="AC302" s="21">
        <v>0.34903000000000001</v>
      </c>
      <c r="AD302">
        <f t="shared" si="52"/>
        <v>18.302962962962962</v>
      </c>
      <c r="AE302">
        <f t="shared" si="53"/>
        <v>6.4011135399999999</v>
      </c>
      <c r="AF302" s="9"/>
      <c r="AG302" s="21">
        <v>1.37039</v>
      </c>
      <c r="AH302" s="21">
        <v>21.976800000000001</v>
      </c>
      <c r="AI302" s="21">
        <v>-1.37695E-2</v>
      </c>
      <c r="AJ302" s="21">
        <v>292</v>
      </c>
      <c r="AK302" s="21">
        <v>1.3696299999999999</v>
      </c>
      <c r="AL302">
        <f t="shared" si="54"/>
        <v>16.999382716049382</v>
      </c>
      <c r="AM302">
        <f t="shared" si="55"/>
        <v>23.295784080246914</v>
      </c>
      <c r="AP302" s="9"/>
      <c r="AQ302" s="21">
        <v>0.34973100000000001</v>
      </c>
      <c r="AR302" s="21">
        <v>27.525500000000001</v>
      </c>
      <c r="AS302" s="21">
        <v>-1.4822399999999999E-2</v>
      </c>
      <c r="AT302" s="21">
        <v>292</v>
      </c>
      <c r="AU302" s="21">
        <v>0.348999</v>
      </c>
      <c r="AV302">
        <f t="shared" si="56"/>
        <v>18.299259259259259</v>
      </c>
      <c r="AW302">
        <f t="shared" si="57"/>
        <v>6.3998182400000001</v>
      </c>
      <c r="AX302" s="9"/>
      <c r="AY302" s="21">
        <v>1.37039</v>
      </c>
      <c r="AZ302" s="21">
        <v>31.385000000000002</v>
      </c>
      <c r="BA302" s="21">
        <v>-1.37238E-2</v>
      </c>
      <c r="BB302" s="21">
        <v>292</v>
      </c>
      <c r="BC302" s="21">
        <v>1.3693200000000001</v>
      </c>
      <c r="BD302">
        <f t="shared" si="58"/>
        <v>16.942962962962962</v>
      </c>
      <c r="BE302">
        <f t="shared" si="59"/>
        <v>23.218467014814813</v>
      </c>
    </row>
    <row r="303" spans="6:57" x14ac:dyDescent="0.25">
      <c r="F303" s="9"/>
      <c r="G303" s="21">
        <v>0.344696</v>
      </c>
      <c r="H303" s="21">
        <v>8.6891400000000001</v>
      </c>
      <c r="I303" s="21">
        <v>-1.49017E-2</v>
      </c>
      <c r="J303" s="21">
        <v>293</v>
      </c>
      <c r="K303" s="21">
        <v>0.34414699999999998</v>
      </c>
      <c r="L303">
        <f t="shared" si="48"/>
        <v>18.397160493827158</v>
      </c>
      <c r="M303">
        <f t="shared" si="49"/>
        <v>6.3414276335802464</v>
      </c>
      <c r="N303" s="9"/>
      <c r="O303" s="21">
        <v>1.3754299999999999</v>
      </c>
      <c r="P303" s="21">
        <v>12.5486</v>
      </c>
      <c r="Q303" s="21">
        <v>-1.36139E-2</v>
      </c>
      <c r="R303" s="21">
        <v>293</v>
      </c>
      <c r="S303" s="21">
        <v>1.3751199999999999</v>
      </c>
      <c r="T303">
        <f t="shared" si="50"/>
        <v>16.807283950617283</v>
      </c>
      <c r="U303">
        <f t="shared" si="51"/>
        <v>23.117242564197529</v>
      </c>
      <c r="X303" s="9"/>
      <c r="Y303" s="21">
        <v>0.344696</v>
      </c>
      <c r="Z303" s="21">
        <v>18.127400000000002</v>
      </c>
      <c r="AA303" s="21">
        <v>-1.4822399999999999E-2</v>
      </c>
      <c r="AB303" s="21">
        <v>293</v>
      </c>
      <c r="AC303" s="21">
        <v>0.34396399999999999</v>
      </c>
      <c r="AD303">
        <f t="shared" si="52"/>
        <v>18.299259259259259</v>
      </c>
      <c r="AE303">
        <f t="shared" si="53"/>
        <v>6.3076814696296291</v>
      </c>
      <c r="AF303" s="9"/>
      <c r="AG303" s="21">
        <v>1.3754299999999999</v>
      </c>
      <c r="AH303" s="21">
        <v>21.986799999999999</v>
      </c>
      <c r="AI303" s="21">
        <v>-1.3754300000000001E-2</v>
      </c>
      <c r="AJ303" s="21">
        <v>293</v>
      </c>
      <c r="AK303" s="21">
        <v>1.3751199999999999</v>
      </c>
      <c r="AL303">
        <f t="shared" si="54"/>
        <v>16.980617283950615</v>
      </c>
      <c r="AM303">
        <f t="shared" si="55"/>
        <v>23.355650430864191</v>
      </c>
      <c r="AP303" s="9"/>
      <c r="AQ303" s="21">
        <v>0.344696</v>
      </c>
      <c r="AR303" s="21">
        <v>27.535599999999999</v>
      </c>
      <c r="AS303" s="21">
        <v>-1.4822399999999999E-2</v>
      </c>
      <c r="AT303" s="21">
        <v>293</v>
      </c>
      <c r="AU303" s="21">
        <v>0.34414699999999998</v>
      </c>
      <c r="AV303">
        <f t="shared" si="56"/>
        <v>18.299259259259259</v>
      </c>
      <c r="AW303">
        <f t="shared" si="57"/>
        <v>6.3076814696296291</v>
      </c>
      <c r="AX303" s="9"/>
      <c r="AY303" s="21">
        <v>1.3754299999999999</v>
      </c>
      <c r="AZ303" s="21">
        <v>31.395099999999999</v>
      </c>
      <c r="BA303" s="21">
        <v>-1.3699299999999999E-2</v>
      </c>
      <c r="BB303" s="21">
        <v>293</v>
      </c>
      <c r="BC303" s="21">
        <v>1.3742099999999999</v>
      </c>
      <c r="BD303">
        <f t="shared" si="58"/>
        <v>16.912716049382716</v>
      </c>
      <c r="BE303">
        <f t="shared" si="59"/>
        <v>23.262257035802467</v>
      </c>
    </row>
    <row r="304" spans="6:57" x14ac:dyDescent="0.25">
      <c r="F304" s="9"/>
      <c r="G304" s="21">
        <v>0.33966099999999999</v>
      </c>
      <c r="H304" s="21">
        <v>8.6992100000000008</v>
      </c>
      <c r="I304" s="21">
        <v>-1.49017E-2</v>
      </c>
      <c r="J304" s="21">
        <v>294</v>
      </c>
      <c r="K304" s="21">
        <v>0.33898899999999998</v>
      </c>
      <c r="L304">
        <f t="shared" si="48"/>
        <v>18.397160493827158</v>
      </c>
      <c r="M304">
        <f t="shared" si="49"/>
        <v>6.2487979304938266</v>
      </c>
      <c r="N304" s="9"/>
      <c r="O304" s="21">
        <v>1.38046</v>
      </c>
      <c r="P304" s="21">
        <v>12.5587</v>
      </c>
      <c r="Q304" s="21">
        <v>-1.3583400000000001E-2</v>
      </c>
      <c r="R304" s="21">
        <v>294</v>
      </c>
      <c r="S304" s="21">
        <v>1.3796999999999999</v>
      </c>
      <c r="T304">
        <f t="shared" si="50"/>
        <v>16.76962962962963</v>
      </c>
      <c r="U304">
        <f t="shared" si="51"/>
        <v>23.149802918518521</v>
      </c>
      <c r="X304" s="9"/>
      <c r="Y304" s="21">
        <v>0.33966099999999999</v>
      </c>
      <c r="Z304" s="21">
        <v>18.1374</v>
      </c>
      <c r="AA304" s="21">
        <v>-1.4831499999999999E-2</v>
      </c>
      <c r="AB304" s="21">
        <v>294</v>
      </c>
      <c r="AC304" s="21">
        <v>0.33905000000000002</v>
      </c>
      <c r="AD304">
        <f t="shared" si="52"/>
        <v>18.310493827160489</v>
      </c>
      <c r="AE304">
        <f t="shared" si="53"/>
        <v>6.2193606438271587</v>
      </c>
      <c r="AF304" s="9"/>
      <c r="AG304" s="21">
        <v>1.38046</v>
      </c>
      <c r="AH304" s="21">
        <v>21.9969</v>
      </c>
      <c r="AI304" s="21">
        <v>-1.3732899999999999E-2</v>
      </c>
      <c r="AJ304" s="21">
        <v>294</v>
      </c>
      <c r="AK304" s="21">
        <v>1.38</v>
      </c>
      <c r="AL304">
        <f t="shared" si="54"/>
        <v>16.954197530864196</v>
      </c>
      <c r="AM304">
        <f t="shared" si="55"/>
        <v>23.404591523456787</v>
      </c>
      <c r="AP304" s="9"/>
      <c r="AQ304" s="21">
        <v>0.33966099999999999</v>
      </c>
      <c r="AR304" s="21">
        <v>27.5457</v>
      </c>
      <c r="AS304" s="21">
        <v>-1.4816299999999999E-2</v>
      </c>
      <c r="AT304" s="21">
        <v>294</v>
      </c>
      <c r="AU304" s="21">
        <v>0.33905000000000002</v>
      </c>
      <c r="AV304">
        <f t="shared" si="56"/>
        <v>18.291728395061728</v>
      </c>
      <c r="AW304">
        <f t="shared" si="57"/>
        <v>6.2129867583950613</v>
      </c>
      <c r="AX304" s="9"/>
      <c r="AY304" s="21">
        <v>1.38046</v>
      </c>
      <c r="AZ304" s="21">
        <v>31.405100000000001</v>
      </c>
      <c r="BA304" s="21">
        <v>-1.3677999999999999E-2</v>
      </c>
      <c r="BB304" s="21">
        <v>294</v>
      </c>
      <c r="BC304" s="21">
        <v>1.3796999999999999</v>
      </c>
      <c r="BD304">
        <f t="shared" si="58"/>
        <v>16.886419753086418</v>
      </c>
      <c r="BE304">
        <f t="shared" si="59"/>
        <v>23.311027012345676</v>
      </c>
    </row>
    <row r="305" spans="6:57" x14ac:dyDescent="0.25">
      <c r="F305" s="9"/>
      <c r="G305" s="21">
        <v>0.33462500000000001</v>
      </c>
      <c r="H305" s="21">
        <v>8.7092799999999997</v>
      </c>
      <c r="I305" s="21">
        <v>-1.4907800000000001E-2</v>
      </c>
      <c r="J305" s="21">
        <v>295</v>
      </c>
      <c r="K305" s="21">
        <v>0.33395399999999997</v>
      </c>
      <c r="L305">
        <f t="shared" si="48"/>
        <v>18.404691358024692</v>
      </c>
      <c r="M305">
        <f t="shared" si="49"/>
        <v>6.1586698456790128</v>
      </c>
      <c r="N305" s="9"/>
      <c r="O305" s="21">
        <v>1.3855</v>
      </c>
      <c r="P305" s="21">
        <v>12.5688</v>
      </c>
      <c r="Q305" s="21">
        <v>-1.3559E-2</v>
      </c>
      <c r="R305" s="21">
        <v>295</v>
      </c>
      <c r="S305" s="21">
        <v>1.3845799999999999</v>
      </c>
      <c r="T305">
        <f t="shared" si="50"/>
        <v>16.739506172839505</v>
      </c>
      <c r="U305">
        <f t="shared" si="51"/>
        <v>23.192585802469132</v>
      </c>
      <c r="X305" s="9"/>
      <c r="Y305" s="21">
        <v>0.33462500000000001</v>
      </c>
      <c r="Z305" s="21">
        <v>18.147500000000001</v>
      </c>
      <c r="AA305" s="21">
        <v>-1.4831499999999999E-2</v>
      </c>
      <c r="AB305" s="21">
        <v>295</v>
      </c>
      <c r="AC305" s="21">
        <v>0.33401500000000001</v>
      </c>
      <c r="AD305">
        <f t="shared" si="52"/>
        <v>18.310493827160489</v>
      </c>
      <c r="AE305">
        <f t="shared" si="53"/>
        <v>6.1271489969135784</v>
      </c>
      <c r="AF305" s="9"/>
      <c r="AG305" s="21">
        <v>1.3855</v>
      </c>
      <c r="AH305" s="21">
        <v>22.007000000000001</v>
      </c>
      <c r="AI305" s="21">
        <v>-1.37085E-2</v>
      </c>
      <c r="AJ305" s="21">
        <v>295</v>
      </c>
      <c r="AK305" s="21">
        <v>1.3839699999999999</v>
      </c>
      <c r="AL305">
        <f t="shared" si="54"/>
        <v>16.924074074074074</v>
      </c>
      <c r="AM305">
        <f t="shared" si="55"/>
        <v>23.448304629629629</v>
      </c>
      <c r="AP305" s="9"/>
      <c r="AQ305" s="21">
        <v>0.33462500000000001</v>
      </c>
      <c r="AR305" s="21">
        <v>27.555700000000002</v>
      </c>
      <c r="AS305" s="21">
        <v>-1.4822399999999999E-2</v>
      </c>
      <c r="AT305" s="21">
        <v>295</v>
      </c>
      <c r="AU305" s="21">
        <v>0.33413700000000002</v>
      </c>
      <c r="AV305">
        <f t="shared" si="56"/>
        <v>18.299259259259259</v>
      </c>
      <c r="AW305">
        <f t="shared" si="57"/>
        <v>6.1233896296296297</v>
      </c>
      <c r="AX305" s="9"/>
      <c r="AY305" s="21">
        <v>1.3855</v>
      </c>
      <c r="AZ305" s="21">
        <v>31.415199999999999</v>
      </c>
      <c r="BA305" s="21">
        <v>-1.36566E-2</v>
      </c>
      <c r="BB305" s="21">
        <v>295</v>
      </c>
      <c r="BC305" s="21">
        <v>1.3845799999999999</v>
      </c>
      <c r="BD305">
        <f t="shared" si="58"/>
        <v>16.86</v>
      </c>
      <c r="BE305">
        <f t="shared" si="59"/>
        <v>23.359529999999999</v>
      </c>
    </row>
    <row r="306" spans="6:57" x14ac:dyDescent="0.25">
      <c r="F306" s="9"/>
      <c r="G306" s="21">
        <v>0.32958999999999999</v>
      </c>
      <c r="H306" s="21">
        <v>8.7193500000000004</v>
      </c>
      <c r="I306" s="21">
        <v>-1.49109E-2</v>
      </c>
      <c r="J306" s="21">
        <v>296</v>
      </c>
      <c r="K306" s="21">
        <v>0.32901000000000002</v>
      </c>
      <c r="L306">
        <f t="shared" si="48"/>
        <v>18.408518518518516</v>
      </c>
      <c r="M306">
        <f t="shared" si="49"/>
        <v>6.0672636185185178</v>
      </c>
      <c r="N306" s="9"/>
      <c r="O306" s="21">
        <v>1.39053</v>
      </c>
      <c r="P306" s="21">
        <v>12.578799999999999</v>
      </c>
      <c r="Q306" s="21">
        <v>-1.35406E-2</v>
      </c>
      <c r="R306" s="21">
        <v>296</v>
      </c>
      <c r="S306" s="21">
        <v>1.38947</v>
      </c>
      <c r="T306">
        <f t="shared" si="50"/>
        <v>16.716790123456789</v>
      </c>
      <c r="U306">
        <f t="shared" si="51"/>
        <v>23.245198170370369</v>
      </c>
      <c r="X306" s="9"/>
      <c r="Y306" s="21">
        <v>0.32958999999999999</v>
      </c>
      <c r="Z306" s="21">
        <v>18.157599999999999</v>
      </c>
      <c r="AA306" s="21">
        <v>-1.4831499999999999E-2</v>
      </c>
      <c r="AB306" s="21">
        <v>296</v>
      </c>
      <c r="AC306" s="21">
        <v>0.32901000000000002</v>
      </c>
      <c r="AD306">
        <f t="shared" si="52"/>
        <v>18.310493827160489</v>
      </c>
      <c r="AE306">
        <f t="shared" si="53"/>
        <v>6.034955660493825</v>
      </c>
      <c r="AF306" s="9"/>
      <c r="AG306" s="21">
        <v>1.39053</v>
      </c>
      <c r="AH306" s="21">
        <v>22.016999999999999</v>
      </c>
      <c r="AI306" s="21">
        <v>-1.3681E-2</v>
      </c>
      <c r="AJ306" s="21">
        <v>296</v>
      </c>
      <c r="AK306" s="21">
        <v>1.3897699999999999</v>
      </c>
      <c r="AL306">
        <f t="shared" si="54"/>
        <v>16.890123456790121</v>
      </c>
      <c r="AM306">
        <f t="shared" si="55"/>
        <v>23.486223370370368</v>
      </c>
      <c r="AP306" s="9"/>
      <c r="AQ306" s="21">
        <v>0.32958999999999999</v>
      </c>
      <c r="AR306" s="21">
        <v>27.565799999999999</v>
      </c>
      <c r="AS306" s="21">
        <v>-1.4825400000000001E-2</v>
      </c>
      <c r="AT306" s="21">
        <v>296</v>
      </c>
      <c r="AU306" s="21">
        <v>0.32897900000000002</v>
      </c>
      <c r="AV306">
        <f t="shared" si="56"/>
        <v>18.302962962962962</v>
      </c>
      <c r="AW306">
        <f t="shared" si="57"/>
        <v>6.0324735629629629</v>
      </c>
      <c r="AX306" s="9"/>
      <c r="AY306" s="21">
        <v>1.39053</v>
      </c>
      <c r="AZ306" s="21">
        <v>31.4253</v>
      </c>
      <c r="BA306" s="21">
        <v>-1.3629199999999999E-2</v>
      </c>
      <c r="BB306" s="21">
        <v>296</v>
      </c>
      <c r="BC306" s="21">
        <v>1.3897699999999999</v>
      </c>
      <c r="BD306">
        <f t="shared" si="58"/>
        <v>16.826172839506171</v>
      </c>
      <c r="BE306">
        <f t="shared" si="59"/>
        <v>23.397298118518517</v>
      </c>
    </row>
    <row r="307" spans="6:57" x14ac:dyDescent="0.25">
      <c r="F307" s="9"/>
      <c r="G307" s="21">
        <v>0.32455400000000001</v>
      </c>
      <c r="H307" s="21">
        <v>8.7294199999999993</v>
      </c>
      <c r="I307" s="21">
        <v>-1.4919999999999999E-2</v>
      </c>
      <c r="J307" s="21">
        <v>297</v>
      </c>
      <c r="K307" s="21">
        <v>0.32394400000000001</v>
      </c>
      <c r="L307">
        <f t="shared" si="48"/>
        <v>18.41975308641975</v>
      </c>
      <c r="M307">
        <f t="shared" si="49"/>
        <v>5.9782045432098752</v>
      </c>
      <c r="N307" s="9"/>
      <c r="O307" s="21">
        <v>1.39557</v>
      </c>
      <c r="P307" s="21">
        <v>12.588900000000001</v>
      </c>
      <c r="Q307" s="21">
        <v>-1.35132E-2</v>
      </c>
      <c r="R307" s="21">
        <v>297</v>
      </c>
      <c r="S307" s="21">
        <v>1.3946499999999999</v>
      </c>
      <c r="T307">
        <f t="shared" si="50"/>
        <v>16.682962962962961</v>
      </c>
      <c r="U307">
        <f t="shared" si="51"/>
        <v>23.282242622222221</v>
      </c>
      <c r="X307" s="9"/>
      <c r="Y307" s="21">
        <v>0.32455400000000001</v>
      </c>
      <c r="Z307" s="21">
        <v>18.1676</v>
      </c>
      <c r="AA307" s="21">
        <v>-1.4831499999999999E-2</v>
      </c>
      <c r="AB307" s="21">
        <v>297</v>
      </c>
      <c r="AC307" s="21">
        <v>0.32391399999999998</v>
      </c>
      <c r="AD307">
        <f t="shared" si="52"/>
        <v>18.310493827160489</v>
      </c>
      <c r="AE307">
        <f t="shared" si="53"/>
        <v>5.9427440135802456</v>
      </c>
      <c r="AF307" s="9"/>
      <c r="AG307" s="21">
        <v>1.39557</v>
      </c>
      <c r="AH307" s="21">
        <v>22.027100000000001</v>
      </c>
      <c r="AI307" s="21">
        <v>-1.36566E-2</v>
      </c>
      <c r="AJ307" s="21">
        <v>297</v>
      </c>
      <c r="AK307" s="21">
        <v>1.39496</v>
      </c>
      <c r="AL307">
        <f t="shared" si="54"/>
        <v>16.86</v>
      </c>
      <c r="AM307">
        <f t="shared" si="55"/>
        <v>23.529310199999998</v>
      </c>
      <c r="AP307" s="9"/>
      <c r="AQ307" s="21">
        <v>0.32455400000000001</v>
      </c>
      <c r="AR307" s="21">
        <v>27.575900000000001</v>
      </c>
      <c r="AS307" s="21">
        <v>-1.4831499999999999E-2</v>
      </c>
      <c r="AT307" s="21">
        <v>297</v>
      </c>
      <c r="AU307" s="21">
        <v>0.323853</v>
      </c>
      <c r="AV307">
        <f t="shared" si="56"/>
        <v>18.310493827160489</v>
      </c>
      <c r="AW307">
        <f t="shared" si="57"/>
        <v>5.9427440135802456</v>
      </c>
      <c r="AX307" s="9"/>
      <c r="AY307" s="21">
        <v>1.39557</v>
      </c>
      <c r="AZ307" s="21">
        <v>31.435300000000002</v>
      </c>
      <c r="BA307" s="21">
        <v>-1.36017E-2</v>
      </c>
      <c r="BB307" s="21">
        <v>297</v>
      </c>
      <c r="BC307" s="21">
        <v>1.3952599999999999</v>
      </c>
      <c r="BD307">
        <f t="shared" si="58"/>
        <v>16.792222222222222</v>
      </c>
      <c r="BE307">
        <f t="shared" si="59"/>
        <v>23.434721566666667</v>
      </c>
    </row>
    <row r="308" spans="6:57" x14ac:dyDescent="0.25">
      <c r="F308" s="9"/>
      <c r="G308" s="21">
        <v>0.319519</v>
      </c>
      <c r="H308" s="21">
        <v>8.73949</v>
      </c>
      <c r="I308" s="21">
        <v>-1.4926099999999999E-2</v>
      </c>
      <c r="J308" s="21">
        <v>298</v>
      </c>
      <c r="K308" s="21">
        <v>0.31896999999999998</v>
      </c>
      <c r="L308">
        <f t="shared" si="48"/>
        <v>18.427283950617284</v>
      </c>
      <c r="M308">
        <f t="shared" si="49"/>
        <v>5.8878673406172837</v>
      </c>
      <c r="N308" s="9"/>
      <c r="O308" s="21">
        <v>1.4006000000000001</v>
      </c>
      <c r="P308" s="21">
        <v>12.599</v>
      </c>
      <c r="Q308" s="21">
        <v>-1.34888E-2</v>
      </c>
      <c r="R308" s="21">
        <v>298</v>
      </c>
      <c r="S308" s="21">
        <v>1.39954</v>
      </c>
      <c r="T308">
        <f t="shared" si="50"/>
        <v>16.652839506172839</v>
      </c>
      <c r="U308">
        <f t="shared" si="51"/>
        <v>23.32396701234568</v>
      </c>
      <c r="X308" s="9"/>
      <c r="Y308" s="21">
        <v>0.319519</v>
      </c>
      <c r="Z308" s="21">
        <v>18.177700000000002</v>
      </c>
      <c r="AA308" s="21">
        <v>-1.48407E-2</v>
      </c>
      <c r="AB308" s="21">
        <v>298</v>
      </c>
      <c r="AC308" s="21">
        <v>0.31893899999999997</v>
      </c>
      <c r="AD308">
        <f t="shared" si="52"/>
        <v>18.32185185185185</v>
      </c>
      <c r="AE308">
        <f t="shared" si="53"/>
        <v>5.8541797818518511</v>
      </c>
      <c r="AF308" s="9"/>
      <c r="AG308" s="21">
        <v>1.4006000000000001</v>
      </c>
      <c r="AH308" s="21">
        <v>22.037199999999999</v>
      </c>
      <c r="AI308" s="21">
        <v>-1.3629199999999999E-2</v>
      </c>
      <c r="AJ308" s="21">
        <v>298</v>
      </c>
      <c r="AK308" s="21">
        <v>1.40015</v>
      </c>
      <c r="AL308">
        <f t="shared" si="54"/>
        <v>16.826172839506171</v>
      </c>
      <c r="AM308">
        <f t="shared" si="55"/>
        <v>23.566737679012345</v>
      </c>
      <c r="AP308" s="9"/>
      <c r="AQ308" s="21">
        <v>0.319519</v>
      </c>
      <c r="AR308" s="21">
        <v>27.585899999999999</v>
      </c>
      <c r="AS308" s="21">
        <v>-1.48346E-2</v>
      </c>
      <c r="AT308" s="21">
        <v>298</v>
      </c>
      <c r="AU308" s="21">
        <v>0.31887799999999999</v>
      </c>
      <c r="AV308">
        <f t="shared" si="56"/>
        <v>18.31432098765432</v>
      </c>
      <c r="AW308">
        <f t="shared" si="57"/>
        <v>5.8517735276543208</v>
      </c>
      <c r="AX308" s="9"/>
      <c r="AY308" s="21">
        <v>1.4006000000000001</v>
      </c>
      <c r="AZ308" s="21">
        <v>31.445399999999999</v>
      </c>
      <c r="BA308" s="21">
        <v>-1.35651E-2</v>
      </c>
      <c r="BB308" s="21">
        <v>298</v>
      </c>
      <c r="BC308" s="21">
        <v>1.39954</v>
      </c>
      <c r="BD308">
        <f t="shared" si="58"/>
        <v>16.747037037037035</v>
      </c>
      <c r="BE308">
        <f t="shared" si="59"/>
        <v>23.455900074074073</v>
      </c>
    </row>
    <row r="309" spans="6:57" x14ac:dyDescent="0.25">
      <c r="F309" s="9"/>
      <c r="G309" s="21">
        <v>0.31448399999999999</v>
      </c>
      <c r="H309" s="21">
        <v>8.7495600000000007</v>
      </c>
      <c r="I309" s="21">
        <v>-1.49292E-2</v>
      </c>
      <c r="J309" s="21">
        <v>299</v>
      </c>
      <c r="K309" s="21">
        <v>0.31393399999999999</v>
      </c>
      <c r="L309">
        <f t="shared" si="48"/>
        <v>18.431111111111111</v>
      </c>
      <c r="M309">
        <f t="shared" si="49"/>
        <v>5.7962895466666664</v>
      </c>
      <c r="N309" s="9"/>
      <c r="O309" s="21">
        <v>1.40564</v>
      </c>
      <c r="P309" s="21">
        <v>12.609</v>
      </c>
      <c r="Q309" s="21">
        <v>-1.3467399999999999E-2</v>
      </c>
      <c r="R309" s="21">
        <v>299</v>
      </c>
      <c r="S309" s="21">
        <v>1.40503</v>
      </c>
      <c r="T309">
        <f t="shared" si="50"/>
        <v>16.626419753086417</v>
      </c>
      <c r="U309">
        <f t="shared" si="51"/>
        <v>23.37076066172839</v>
      </c>
      <c r="X309" s="9"/>
      <c r="Y309" s="21">
        <v>0.31448399999999999</v>
      </c>
      <c r="Z309" s="21">
        <v>18.187799999999999</v>
      </c>
      <c r="AA309" s="21">
        <v>-1.48468E-2</v>
      </c>
      <c r="AB309" s="21">
        <v>299</v>
      </c>
      <c r="AC309" s="21">
        <v>0.31384299999999998</v>
      </c>
      <c r="AD309">
        <f t="shared" si="52"/>
        <v>18.329382716049381</v>
      </c>
      <c r="AE309">
        <f t="shared" si="53"/>
        <v>5.7642975940740735</v>
      </c>
      <c r="AF309" s="9"/>
      <c r="AG309" s="21">
        <v>1.40564</v>
      </c>
      <c r="AH309" s="21">
        <v>22.0473</v>
      </c>
      <c r="AI309" s="21">
        <v>-1.3561999999999999E-2</v>
      </c>
      <c r="AJ309" s="21">
        <v>299</v>
      </c>
      <c r="AK309" s="21">
        <v>1.40472</v>
      </c>
      <c r="AL309">
        <f t="shared" si="54"/>
        <v>16.743209876543208</v>
      </c>
      <c r="AM309">
        <f t="shared" si="55"/>
        <v>23.534925530864196</v>
      </c>
      <c r="AP309" s="9"/>
      <c r="AQ309" s="21">
        <v>0.31448399999999999</v>
      </c>
      <c r="AR309" s="21">
        <v>27.596</v>
      </c>
      <c r="AS309" s="21">
        <v>-1.4822399999999999E-2</v>
      </c>
      <c r="AT309" s="21">
        <v>299</v>
      </c>
      <c r="AU309" s="21">
        <v>0.31393399999999999</v>
      </c>
      <c r="AV309">
        <f t="shared" si="56"/>
        <v>18.299259259259259</v>
      </c>
      <c r="AW309">
        <f t="shared" si="57"/>
        <v>5.7548242488888883</v>
      </c>
      <c r="AX309" s="9"/>
      <c r="AY309" s="21">
        <v>1.40564</v>
      </c>
      <c r="AZ309" s="21">
        <v>31.455500000000001</v>
      </c>
      <c r="BA309" s="21">
        <v>-1.35345E-2</v>
      </c>
      <c r="BB309" s="21">
        <v>299</v>
      </c>
      <c r="BC309" s="21">
        <v>1.40472</v>
      </c>
      <c r="BD309">
        <f t="shared" si="58"/>
        <v>16.709259259259255</v>
      </c>
      <c r="BE309">
        <f t="shared" si="59"/>
        <v>23.48720318518518</v>
      </c>
    </row>
    <row r="310" spans="6:57" x14ac:dyDescent="0.25">
      <c r="F310" s="9"/>
      <c r="G310" s="21">
        <v>0.309448</v>
      </c>
      <c r="H310" s="21">
        <v>8.7596299999999996</v>
      </c>
      <c r="I310" s="21">
        <v>-1.4932300000000001E-2</v>
      </c>
      <c r="J310" s="21">
        <v>300</v>
      </c>
      <c r="K310" s="21">
        <v>0.30892900000000001</v>
      </c>
      <c r="L310">
        <f t="shared" si="48"/>
        <v>18.434938271604938</v>
      </c>
      <c r="M310">
        <f t="shared" si="49"/>
        <v>5.7046547782716051</v>
      </c>
      <c r="N310" s="9"/>
      <c r="O310" s="21">
        <v>1.4106799999999999</v>
      </c>
      <c r="P310" s="21">
        <v>12.6191</v>
      </c>
      <c r="Q310" s="21">
        <v>-1.3443E-2</v>
      </c>
      <c r="R310" s="21">
        <v>300</v>
      </c>
      <c r="S310" s="21">
        <v>1.41052</v>
      </c>
      <c r="T310">
        <f t="shared" si="50"/>
        <v>16.596296296296295</v>
      </c>
      <c r="U310">
        <f t="shared" si="51"/>
        <v>23.412063259259256</v>
      </c>
      <c r="X310" s="9"/>
      <c r="Y310" s="21">
        <v>0.309448</v>
      </c>
      <c r="Z310" s="21">
        <v>18.197900000000001</v>
      </c>
      <c r="AA310" s="21">
        <v>-1.48529E-2</v>
      </c>
      <c r="AB310" s="21">
        <v>300</v>
      </c>
      <c r="AC310" s="21">
        <v>0.30877700000000002</v>
      </c>
      <c r="AD310">
        <f t="shared" si="52"/>
        <v>18.336913580246915</v>
      </c>
      <c r="AE310">
        <f t="shared" si="53"/>
        <v>5.6743212335802475</v>
      </c>
      <c r="AF310" s="9"/>
      <c r="AG310" s="21">
        <v>1.4106799999999999</v>
      </c>
      <c r="AH310" s="21">
        <v>22.057300000000001</v>
      </c>
      <c r="AI310" s="21">
        <v>-1.35315E-2</v>
      </c>
      <c r="AJ310" s="21">
        <v>300</v>
      </c>
      <c r="AK310" s="21">
        <v>1.40991</v>
      </c>
      <c r="AL310">
        <f t="shared" si="54"/>
        <v>16.705555555555552</v>
      </c>
      <c r="AM310">
        <f t="shared" si="55"/>
        <v>23.566193111111104</v>
      </c>
      <c r="AP310" s="9"/>
      <c r="AQ310" s="21">
        <v>0.309448</v>
      </c>
      <c r="AR310" s="21">
        <v>27.606100000000001</v>
      </c>
      <c r="AS310" s="21">
        <v>-1.4801E-2</v>
      </c>
      <c r="AT310" s="21">
        <v>300</v>
      </c>
      <c r="AU310" s="21">
        <v>0.308838</v>
      </c>
      <c r="AV310">
        <f t="shared" si="56"/>
        <v>18.27283950617284</v>
      </c>
      <c r="AW310">
        <f t="shared" si="57"/>
        <v>5.6544936395061729</v>
      </c>
      <c r="AX310" s="9"/>
      <c r="AY310" s="21">
        <v>1.4106799999999999</v>
      </c>
      <c r="AZ310" s="21">
        <v>31.465599999999998</v>
      </c>
      <c r="BA310" s="21">
        <v>-1.3504E-2</v>
      </c>
      <c r="BB310" s="21">
        <v>300</v>
      </c>
      <c r="BC310" s="21">
        <v>1.41052</v>
      </c>
      <c r="BD310">
        <f t="shared" si="58"/>
        <v>16.671604938271606</v>
      </c>
      <c r="BE310">
        <f t="shared" si="59"/>
        <v>23.518299654320987</v>
      </c>
    </row>
    <row r="311" spans="6:57" x14ac:dyDescent="0.25">
      <c r="F311" s="9"/>
      <c r="G311" s="21">
        <v>0.30441299999999999</v>
      </c>
      <c r="H311" s="21">
        <v>8.7697099999999999</v>
      </c>
      <c r="I311" s="21">
        <v>-1.49353E-2</v>
      </c>
      <c r="J311" s="21">
        <v>301</v>
      </c>
      <c r="K311" s="21">
        <v>0.30377199999999999</v>
      </c>
      <c r="L311">
        <f t="shared" si="48"/>
        <v>18.438641975308641</v>
      </c>
      <c r="M311">
        <f t="shared" si="49"/>
        <v>5.612962319629629</v>
      </c>
      <c r="N311" s="9"/>
      <c r="O311" s="21">
        <v>1.41571</v>
      </c>
      <c r="P311" s="21">
        <v>12.629200000000001</v>
      </c>
      <c r="Q311" s="21">
        <v>-1.34094E-2</v>
      </c>
      <c r="R311" s="21">
        <v>301</v>
      </c>
      <c r="S311" s="21">
        <v>1.41479</v>
      </c>
      <c r="T311">
        <f t="shared" si="50"/>
        <v>16.554814814814815</v>
      </c>
      <c r="U311">
        <f t="shared" si="51"/>
        <v>23.436816881481484</v>
      </c>
      <c r="X311" s="9"/>
      <c r="Y311" s="21">
        <v>0.30441299999999999</v>
      </c>
      <c r="Z311" s="21">
        <v>18.207899999999999</v>
      </c>
      <c r="AA311" s="21">
        <v>-1.4865099999999999E-2</v>
      </c>
      <c r="AB311" s="21">
        <v>301</v>
      </c>
      <c r="AC311" s="21">
        <v>0.30386400000000002</v>
      </c>
      <c r="AD311">
        <f t="shared" si="52"/>
        <v>18.351975308641972</v>
      </c>
      <c r="AE311">
        <f t="shared" si="53"/>
        <v>5.5865798596296283</v>
      </c>
      <c r="AF311" s="9"/>
      <c r="AG311" s="21">
        <v>1.41571</v>
      </c>
      <c r="AH311" s="21">
        <v>22.067399999999999</v>
      </c>
      <c r="AI311" s="21">
        <v>-1.34979E-2</v>
      </c>
      <c r="AJ311" s="21">
        <v>301</v>
      </c>
      <c r="AK311" s="21">
        <v>1.4151</v>
      </c>
      <c r="AL311">
        <f t="shared" si="54"/>
        <v>16.664074074074072</v>
      </c>
      <c r="AM311">
        <f t="shared" si="55"/>
        <v>23.591496307407407</v>
      </c>
      <c r="AP311" s="9"/>
      <c r="AQ311" s="21">
        <v>0.30441299999999999</v>
      </c>
      <c r="AR311" s="21">
        <v>27.616199999999999</v>
      </c>
      <c r="AS311" s="21">
        <v>-1.4801E-2</v>
      </c>
      <c r="AT311" s="21">
        <v>301</v>
      </c>
      <c r="AU311" s="21">
        <v>0.30383300000000002</v>
      </c>
      <c r="AV311">
        <f t="shared" si="56"/>
        <v>18.27283950617284</v>
      </c>
      <c r="AW311">
        <f t="shared" si="57"/>
        <v>5.5624898925925921</v>
      </c>
      <c r="AX311" s="9"/>
      <c r="AY311" s="21">
        <v>1.41571</v>
      </c>
      <c r="AZ311" s="21">
        <v>31.4756</v>
      </c>
      <c r="BA311" s="21">
        <v>-1.34766E-2</v>
      </c>
      <c r="BB311" s="21">
        <v>301</v>
      </c>
      <c r="BC311" s="21">
        <v>1.41479</v>
      </c>
      <c r="BD311">
        <f t="shared" si="58"/>
        <v>16.637777777777774</v>
      </c>
      <c r="BE311">
        <f t="shared" si="59"/>
        <v>23.554268377777774</v>
      </c>
    </row>
    <row r="312" spans="6:57" x14ac:dyDescent="0.25">
      <c r="F312" s="9"/>
      <c r="G312" s="21">
        <v>0.299377</v>
      </c>
      <c r="H312" s="21">
        <v>8.7797800000000006</v>
      </c>
      <c r="I312" s="21">
        <v>-1.49353E-2</v>
      </c>
      <c r="J312" s="21">
        <v>302</v>
      </c>
      <c r="K312" s="21">
        <v>0.298767</v>
      </c>
      <c r="L312">
        <f t="shared" si="48"/>
        <v>18.438641975308641</v>
      </c>
      <c r="M312">
        <f t="shared" si="49"/>
        <v>5.5201053186419751</v>
      </c>
      <c r="N312" s="9"/>
      <c r="O312" s="21">
        <v>1.42075</v>
      </c>
      <c r="P312" s="21">
        <v>12.6393</v>
      </c>
      <c r="Q312" s="21">
        <v>-1.3372800000000001E-2</v>
      </c>
      <c r="R312" s="21">
        <v>302</v>
      </c>
      <c r="S312" s="21">
        <v>1.4196800000000001</v>
      </c>
      <c r="T312">
        <f t="shared" si="50"/>
        <v>16.509629629629632</v>
      </c>
      <c r="U312">
        <f t="shared" si="51"/>
        <v>23.4560562962963</v>
      </c>
      <c r="X312" s="9"/>
      <c r="Y312" s="21">
        <v>0.299377</v>
      </c>
      <c r="Z312" s="21">
        <v>18.218</v>
      </c>
      <c r="AA312" s="21">
        <v>-1.48773E-2</v>
      </c>
      <c r="AB312" s="21">
        <v>302</v>
      </c>
      <c r="AC312" s="21">
        <v>0.29879800000000001</v>
      </c>
      <c r="AD312">
        <f t="shared" si="52"/>
        <v>18.367037037037036</v>
      </c>
      <c r="AE312">
        <f t="shared" si="53"/>
        <v>5.4986684470370371</v>
      </c>
      <c r="AF312" s="9"/>
      <c r="AG312" s="21">
        <v>1.42075</v>
      </c>
      <c r="AH312" s="21">
        <v>22.077500000000001</v>
      </c>
      <c r="AI312" s="21">
        <v>-1.34705E-2</v>
      </c>
      <c r="AJ312" s="21">
        <v>302</v>
      </c>
      <c r="AK312" s="21">
        <v>1.41937</v>
      </c>
      <c r="AL312">
        <f t="shared" si="54"/>
        <v>16.630246913580244</v>
      </c>
      <c r="AM312">
        <f t="shared" si="55"/>
        <v>23.627423302469133</v>
      </c>
      <c r="AP312" s="9"/>
      <c r="AQ312" s="21">
        <v>0.299377</v>
      </c>
      <c r="AR312" s="21">
        <v>27.626200000000001</v>
      </c>
      <c r="AS312" s="21">
        <v>-1.48071E-2</v>
      </c>
      <c r="AT312" s="21">
        <v>302</v>
      </c>
      <c r="AU312" s="21">
        <v>0.29885899999999999</v>
      </c>
      <c r="AV312">
        <f t="shared" si="56"/>
        <v>18.28037037037037</v>
      </c>
      <c r="AW312">
        <f t="shared" si="57"/>
        <v>5.4727224403703705</v>
      </c>
      <c r="AX312" s="9"/>
      <c r="AY312" s="21">
        <v>1.42075</v>
      </c>
      <c r="AZ312" s="21">
        <v>31.485700000000001</v>
      </c>
      <c r="BA312" s="21">
        <v>-1.34521E-2</v>
      </c>
      <c r="BB312" s="21">
        <v>302</v>
      </c>
      <c r="BC312" s="21">
        <v>1.42059</v>
      </c>
      <c r="BD312">
        <f t="shared" si="58"/>
        <v>16.607530864197528</v>
      </c>
      <c r="BE312">
        <f t="shared" si="59"/>
        <v>23.595149475308638</v>
      </c>
    </row>
    <row r="313" spans="6:57" x14ac:dyDescent="0.25">
      <c r="F313" s="9"/>
      <c r="G313" s="21">
        <v>0.29434199999999999</v>
      </c>
      <c r="H313" s="21">
        <v>8.7898499999999995</v>
      </c>
      <c r="I313" s="21">
        <v>-1.4932300000000001E-2</v>
      </c>
      <c r="J313" s="21">
        <v>303</v>
      </c>
      <c r="K313" s="21">
        <v>0.29373199999999999</v>
      </c>
      <c r="L313">
        <f t="shared" si="48"/>
        <v>18.434938271604938</v>
      </c>
      <c r="M313">
        <f t="shared" si="49"/>
        <v>5.4261766007407406</v>
      </c>
      <c r="N313" s="9"/>
      <c r="O313" s="21">
        <v>1.42578</v>
      </c>
      <c r="P313" s="21">
        <v>12.6493</v>
      </c>
      <c r="Q313" s="21">
        <v>-1.33423E-2</v>
      </c>
      <c r="R313" s="21">
        <v>303</v>
      </c>
      <c r="S313" s="21">
        <v>1.4248700000000001</v>
      </c>
      <c r="T313">
        <f t="shared" si="50"/>
        <v>16.471975308641973</v>
      </c>
      <c r="U313">
        <f t="shared" si="51"/>
        <v>23.485412955555553</v>
      </c>
      <c r="X313" s="9"/>
      <c r="Y313" s="21">
        <v>0.29434199999999999</v>
      </c>
      <c r="Z313" s="21">
        <v>18.228100000000001</v>
      </c>
      <c r="AA313" s="21">
        <v>-1.48865E-2</v>
      </c>
      <c r="AB313" s="21">
        <v>303</v>
      </c>
      <c r="AC313" s="21">
        <v>0.29376200000000002</v>
      </c>
      <c r="AD313">
        <f t="shared" si="52"/>
        <v>18.378395061728394</v>
      </c>
      <c r="AE313">
        <f t="shared" si="53"/>
        <v>5.4095335592592591</v>
      </c>
      <c r="AF313" s="9"/>
      <c r="AG313" s="21">
        <v>1.42578</v>
      </c>
      <c r="AH313" s="21">
        <v>22.087499999999999</v>
      </c>
      <c r="AI313" s="21">
        <v>-1.3446E-2</v>
      </c>
      <c r="AJ313" s="21">
        <v>303</v>
      </c>
      <c r="AK313" s="21">
        <v>1.42517</v>
      </c>
      <c r="AL313">
        <f t="shared" si="54"/>
        <v>16.599999999999998</v>
      </c>
      <c r="AM313">
        <f t="shared" si="55"/>
        <v>23.667947999999999</v>
      </c>
      <c r="AP313" s="9"/>
      <c r="AQ313" s="21">
        <v>0.29434199999999999</v>
      </c>
      <c r="AR313" s="21">
        <v>27.636299999999999</v>
      </c>
      <c r="AS313" s="21">
        <v>-1.4822399999999999E-2</v>
      </c>
      <c r="AT313" s="21">
        <v>303</v>
      </c>
      <c r="AU313" s="21">
        <v>0.29370099999999999</v>
      </c>
      <c r="AV313">
        <f t="shared" si="56"/>
        <v>18.299259259259259</v>
      </c>
      <c r="AW313">
        <f t="shared" si="57"/>
        <v>5.3862405688888888</v>
      </c>
      <c r="AX313" s="9"/>
      <c r="AY313" s="21">
        <v>1.42578</v>
      </c>
      <c r="AZ313" s="21">
        <v>31.495799999999999</v>
      </c>
      <c r="BA313" s="21">
        <v>-1.34155E-2</v>
      </c>
      <c r="BB313" s="21">
        <v>303</v>
      </c>
      <c r="BC313" s="21">
        <v>1.4248700000000001</v>
      </c>
      <c r="BD313">
        <f t="shared" si="58"/>
        <v>16.562345679012346</v>
      </c>
      <c r="BE313">
        <f t="shared" si="59"/>
        <v>23.614261222222222</v>
      </c>
    </row>
    <row r="314" spans="6:57" x14ac:dyDescent="0.25">
      <c r="F314" s="9"/>
      <c r="G314" s="21">
        <v>0.28930699999999998</v>
      </c>
      <c r="H314" s="21">
        <v>8.7999200000000002</v>
      </c>
      <c r="I314" s="21">
        <v>-1.49231E-2</v>
      </c>
      <c r="J314" s="21">
        <v>304</v>
      </c>
      <c r="K314" s="21">
        <v>0.28869600000000001</v>
      </c>
      <c r="L314">
        <f t="shared" si="48"/>
        <v>18.423580246913577</v>
      </c>
      <c r="M314">
        <f t="shared" si="49"/>
        <v>5.3300707304938255</v>
      </c>
      <c r="N314" s="9"/>
      <c r="O314" s="21">
        <v>1.43082</v>
      </c>
      <c r="P314" s="21">
        <v>12.6594</v>
      </c>
      <c r="Q314" s="21">
        <v>-1.33087E-2</v>
      </c>
      <c r="R314" s="21">
        <v>304</v>
      </c>
      <c r="S314" s="21">
        <v>1.4297500000000001</v>
      </c>
      <c r="T314">
        <f t="shared" si="50"/>
        <v>16.430493827160493</v>
      </c>
      <c r="U314">
        <f t="shared" si="51"/>
        <v>23.509079177777778</v>
      </c>
      <c r="X314" s="9"/>
      <c r="Y314" s="21">
        <v>0.28930699999999998</v>
      </c>
      <c r="Z314" s="21">
        <v>18.238099999999999</v>
      </c>
      <c r="AA314" s="21">
        <v>-1.48834E-2</v>
      </c>
      <c r="AB314" s="21">
        <v>304</v>
      </c>
      <c r="AC314" s="21">
        <v>0.28875699999999999</v>
      </c>
      <c r="AD314">
        <f t="shared" si="52"/>
        <v>18.374567901234567</v>
      </c>
      <c r="AE314">
        <f t="shared" si="53"/>
        <v>5.3158911158024686</v>
      </c>
      <c r="AF314" s="9"/>
      <c r="AG314" s="21">
        <v>1.43082</v>
      </c>
      <c r="AH314" s="21">
        <v>22.0976</v>
      </c>
      <c r="AI314" s="21">
        <v>-1.3427700000000001E-2</v>
      </c>
      <c r="AJ314" s="21">
        <v>304</v>
      </c>
      <c r="AK314" s="21">
        <v>1.4303600000000001</v>
      </c>
      <c r="AL314">
        <f t="shared" si="54"/>
        <v>16.57740740740741</v>
      </c>
      <c r="AM314">
        <f t="shared" si="55"/>
        <v>23.719286066666669</v>
      </c>
      <c r="AP314" s="9"/>
      <c r="AQ314" s="21">
        <v>0.28930699999999998</v>
      </c>
      <c r="AR314" s="21">
        <v>27.6464</v>
      </c>
      <c r="AS314" s="21">
        <v>-1.4831499999999999E-2</v>
      </c>
      <c r="AT314" s="21">
        <v>304</v>
      </c>
      <c r="AU314" s="21">
        <v>0.28869600000000001</v>
      </c>
      <c r="AV314">
        <f t="shared" si="56"/>
        <v>18.310493827160489</v>
      </c>
      <c r="AW314">
        <f t="shared" si="57"/>
        <v>5.2973540376543191</v>
      </c>
      <c r="AX314" s="9"/>
      <c r="AY314" s="21">
        <v>1.43082</v>
      </c>
      <c r="AZ314" s="21">
        <v>31.505800000000001</v>
      </c>
      <c r="BA314" s="21">
        <v>-1.3382E-2</v>
      </c>
      <c r="BB314" s="21">
        <v>304</v>
      </c>
      <c r="BC314" s="21">
        <v>1.43005</v>
      </c>
      <c r="BD314">
        <f t="shared" si="58"/>
        <v>16.520987654320987</v>
      </c>
      <c r="BE314">
        <f t="shared" si="59"/>
        <v>23.638559555555553</v>
      </c>
    </row>
    <row r="315" spans="6:57" x14ac:dyDescent="0.25">
      <c r="F315" s="9"/>
      <c r="G315" s="21">
        <v>0.284271</v>
      </c>
      <c r="H315" s="21">
        <v>8.8099900000000009</v>
      </c>
      <c r="I315" s="21">
        <v>-1.4919999999999999E-2</v>
      </c>
      <c r="J315" s="21">
        <v>305</v>
      </c>
      <c r="K315" s="21">
        <v>0.28353899999999999</v>
      </c>
      <c r="L315">
        <f t="shared" si="48"/>
        <v>18.41975308641975</v>
      </c>
      <c r="M315">
        <f t="shared" si="49"/>
        <v>5.2362016296296288</v>
      </c>
      <c r="N315" s="9"/>
      <c r="O315" s="21">
        <v>1.4358500000000001</v>
      </c>
      <c r="P315" s="21">
        <v>12.669499999999999</v>
      </c>
      <c r="Q315" s="21">
        <v>-1.32935E-2</v>
      </c>
      <c r="R315" s="21">
        <v>305</v>
      </c>
      <c r="S315" s="21">
        <v>1.4346300000000001</v>
      </c>
      <c r="T315">
        <f t="shared" si="50"/>
        <v>16.411728395061726</v>
      </c>
      <c r="U315">
        <f t="shared" si="51"/>
        <v>23.564780216049378</v>
      </c>
      <c r="X315" s="9"/>
      <c r="Y315" s="21">
        <v>0.284271</v>
      </c>
      <c r="Z315" s="21">
        <v>18.248200000000001</v>
      </c>
      <c r="AA315" s="21">
        <v>-1.48834E-2</v>
      </c>
      <c r="AB315" s="21">
        <v>305</v>
      </c>
      <c r="AC315" s="21">
        <v>0.28356900000000002</v>
      </c>
      <c r="AD315">
        <f t="shared" si="52"/>
        <v>18.374567901234567</v>
      </c>
      <c r="AE315">
        <f t="shared" si="53"/>
        <v>5.2233567918518515</v>
      </c>
      <c r="AF315" s="9"/>
      <c r="AG315" s="21">
        <v>1.4358500000000001</v>
      </c>
      <c r="AH315" s="21">
        <v>22.107700000000001</v>
      </c>
      <c r="AI315" s="21">
        <v>-1.33942E-2</v>
      </c>
      <c r="AJ315" s="21">
        <v>305</v>
      </c>
      <c r="AK315" s="21">
        <v>1.4349400000000001</v>
      </c>
      <c r="AL315">
        <f t="shared" si="54"/>
        <v>16.536049382716048</v>
      </c>
      <c r="AM315">
        <f t="shared" si="55"/>
        <v>23.743286506172836</v>
      </c>
      <c r="AP315" s="9"/>
      <c r="AQ315" s="21">
        <v>0.284271</v>
      </c>
      <c r="AR315" s="21">
        <v>27.656400000000001</v>
      </c>
      <c r="AS315" s="21">
        <v>-1.4837599999999999E-2</v>
      </c>
      <c r="AT315" s="21">
        <v>305</v>
      </c>
      <c r="AU315" s="21">
        <v>0.283661</v>
      </c>
      <c r="AV315">
        <f t="shared" si="56"/>
        <v>18.318024691358023</v>
      </c>
      <c r="AW315">
        <f t="shared" si="57"/>
        <v>5.2072831970370368</v>
      </c>
      <c r="AX315" s="9"/>
      <c r="AY315" s="21">
        <v>1.4358500000000001</v>
      </c>
      <c r="AZ315" s="21">
        <v>31.515899999999998</v>
      </c>
      <c r="BA315" s="21">
        <v>-1.3339200000000001E-2</v>
      </c>
      <c r="BB315" s="21">
        <v>305</v>
      </c>
      <c r="BC315" s="21">
        <v>1.4352400000000001</v>
      </c>
      <c r="BD315">
        <f t="shared" si="58"/>
        <v>16.468148148148149</v>
      </c>
      <c r="BE315">
        <f t="shared" si="59"/>
        <v>23.64579051851852</v>
      </c>
    </row>
    <row r="316" spans="6:57" x14ac:dyDescent="0.25">
      <c r="F316" s="9"/>
      <c r="G316" s="21">
        <v>0.27923599999999998</v>
      </c>
      <c r="H316" s="21">
        <v>8.8200599999999998</v>
      </c>
      <c r="I316" s="21">
        <v>-1.4904799999999999E-2</v>
      </c>
      <c r="J316" s="21">
        <v>306</v>
      </c>
      <c r="K316" s="21">
        <v>0.27862500000000001</v>
      </c>
      <c r="L316">
        <f t="shared" si="48"/>
        <v>18.400987654320986</v>
      </c>
      <c r="M316">
        <f t="shared" si="49"/>
        <v>5.1382181886419742</v>
      </c>
      <c r="N316" s="9"/>
      <c r="O316" s="21">
        <v>1.44089</v>
      </c>
      <c r="P316" s="21">
        <v>12.679500000000001</v>
      </c>
      <c r="Q316" s="21">
        <v>-1.3262899999999999E-2</v>
      </c>
      <c r="R316" s="21">
        <v>306</v>
      </c>
      <c r="S316" s="21">
        <v>1.4398200000000001</v>
      </c>
      <c r="T316">
        <f t="shared" si="50"/>
        <v>16.373950617283949</v>
      </c>
      <c r="U316">
        <f t="shared" si="51"/>
        <v>23.593061704938268</v>
      </c>
      <c r="X316" s="9"/>
      <c r="Y316" s="21">
        <v>0.27923599999999998</v>
      </c>
      <c r="Z316" s="21">
        <v>18.258299999999998</v>
      </c>
      <c r="AA316" s="21">
        <v>-1.48865E-2</v>
      </c>
      <c r="AB316" s="21">
        <v>306</v>
      </c>
      <c r="AC316" s="21">
        <v>0.27859499999999998</v>
      </c>
      <c r="AD316">
        <f t="shared" si="52"/>
        <v>18.378395061728394</v>
      </c>
      <c r="AE316">
        <f t="shared" si="53"/>
        <v>5.1319095234567893</v>
      </c>
      <c r="AF316" s="9"/>
      <c r="AG316" s="21">
        <v>1.44089</v>
      </c>
      <c r="AH316" s="21">
        <v>22.117799999999999</v>
      </c>
      <c r="AI316" s="21">
        <v>-1.33545E-2</v>
      </c>
      <c r="AJ316" s="21">
        <v>306</v>
      </c>
      <c r="AK316" s="21">
        <v>1.4398200000000001</v>
      </c>
      <c r="AL316">
        <f t="shared" si="54"/>
        <v>16.487037037037037</v>
      </c>
      <c r="AM316">
        <f t="shared" si="55"/>
        <v>23.756006796296298</v>
      </c>
      <c r="AP316" s="9"/>
      <c r="AQ316" s="21">
        <v>0.27923599999999998</v>
      </c>
      <c r="AR316" s="21">
        <v>27.666499999999999</v>
      </c>
      <c r="AS316" s="21">
        <v>-1.4843800000000001E-2</v>
      </c>
      <c r="AT316" s="21">
        <v>306</v>
      </c>
      <c r="AU316" s="21">
        <v>0.27868700000000002</v>
      </c>
      <c r="AV316">
        <f t="shared" si="56"/>
        <v>18.325679012345677</v>
      </c>
      <c r="AW316">
        <f t="shared" si="57"/>
        <v>5.1171893046913572</v>
      </c>
      <c r="AX316" s="9"/>
      <c r="AY316" s="21">
        <v>1.44089</v>
      </c>
      <c r="AZ316" s="21">
        <v>31.526</v>
      </c>
      <c r="BA316" s="21">
        <v>-1.32996E-2</v>
      </c>
      <c r="BB316" s="21">
        <v>306</v>
      </c>
      <c r="BC316" s="21">
        <v>1.4398200000000001</v>
      </c>
      <c r="BD316">
        <f t="shared" si="58"/>
        <v>16.41925925925926</v>
      </c>
      <c r="BE316">
        <f t="shared" si="59"/>
        <v>23.658346474074076</v>
      </c>
    </row>
    <row r="317" spans="6:57" x14ac:dyDescent="0.25">
      <c r="F317" s="9"/>
      <c r="G317" s="21">
        <v>0.2742</v>
      </c>
      <c r="H317" s="21">
        <v>8.8301300000000005</v>
      </c>
      <c r="I317" s="21">
        <v>-1.4898700000000001E-2</v>
      </c>
      <c r="J317" s="21">
        <v>307</v>
      </c>
      <c r="K317" s="21">
        <v>0.27349899999999999</v>
      </c>
      <c r="L317">
        <f t="shared" si="48"/>
        <v>18.393456790123455</v>
      </c>
      <c r="M317">
        <f t="shared" si="49"/>
        <v>5.0434858518518517</v>
      </c>
      <c r="N317" s="9"/>
      <c r="O317" s="21">
        <v>1.4459200000000001</v>
      </c>
      <c r="P317" s="21">
        <v>12.6896</v>
      </c>
      <c r="Q317" s="21">
        <v>-1.32599E-2</v>
      </c>
      <c r="R317" s="21">
        <v>307</v>
      </c>
      <c r="S317" s="21">
        <v>1.4453100000000001</v>
      </c>
      <c r="T317">
        <f t="shared" si="50"/>
        <v>16.370246913580246</v>
      </c>
      <c r="U317">
        <f t="shared" si="51"/>
        <v>23.670067417283949</v>
      </c>
      <c r="X317" s="9"/>
      <c r="Y317" s="21">
        <v>0.2742</v>
      </c>
      <c r="Z317" s="21">
        <v>18.2684</v>
      </c>
      <c r="AA317" s="21">
        <v>-1.4892600000000001E-2</v>
      </c>
      <c r="AB317" s="21">
        <v>307</v>
      </c>
      <c r="AC317" s="21">
        <v>0.27371200000000001</v>
      </c>
      <c r="AD317">
        <f t="shared" si="52"/>
        <v>18.385925925925928</v>
      </c>
      <c r="AE317">
        <f t="shared" si="53"/>
        <v>5.0414208888888892</v>
      </c>
      <c r="AF317" s="9"/>
      <c r="AG317" s="21">
        <v>1.4459200000000001</v>
      </c>
      <c r="AH317" s="21">
        <v>22.127800000000001</v>
      </c>
      <c r="AI317" s="21">
        <v>-1.33057E-2</v>
      </c>
      <c r="AJ317" s="21">
        <v>307</v>
      </c>
      <c r="AK317" s="21">
        <v>1.4456199999999999</v>
      </c>
      <c r="AL317">
        <f t="shared" si="54"/>
        <v>16.42679012345679</v>
      </c>
      <c r="AM317">
        <f t="shared" si="55"/>
        <v>23.751824375308644</v>
      </c>
      <c r="AP317" s="9"/>
      <c r="AQ317" s="21">
        <v>0.2742</v>
      </c>
      <c r="AR317" s="21">
        <v>27.676600000000001</v>
      </c>
      <c r="AS317" s="21">
        <v>-1.48468E-2</v>
      </c>
      <c r="AT317" s="21">
        <v>307</v>
      </c>
      <c r="AU317" s="21">
        <v>0.27365099999999998</v>
      </c>
      <c r="AV317">
        <f t="shared" si="56"/>
        <v>18.329382716049381</v>
      </c>
      <c r="AW317">
        <f t="shared" si="57"/>
        <v>5.0259167407407404</v>
      </c>
      <c r="AX317" s="9"/>
      <c r="AY317" s="21">
        <v>1.4459200000000001</v>
      </c>
      <c r="AZ317" s="21">
        <v>31.536100000000001</v>
      </c>
      <c r="BA317" s="21">
        <v>-1.32446E-2</v>
      </c>
      <c r="BB317" s="21">
        <v>307</v>
      </c>
      <c r="BC317" s="21">
        <v>1.4453100000000001</v>
      </c>
      <c r="BD317">
        <f t="shared" si="58"/>
        <v>16.351358024691358</v>
      </c>
      <c r="BE317">
        <f t="shared" si="59"/>
        <v>23.642755595061729</v>
      </c>
    </row>
    <row r="318" spans="6:57" x14ac:dyDescent="0.25">
      <c r="F318" s="9"/>
      <c r="G318" s="21">
        <v>0.26916499999999999</v>
      </c>
      <c r="H318" s="21">
        <v>8.8401999999999994</v>
      </c>
      <c r="I318" s="21">
        <v>-1.48895E-2</v>
      </c>
      <c r="J318" s="21">
        <v>308</v>
      </c>
      <c r="K318" s="21">
        <v>0.26849400000000001</v>
      </c>
      <c r="L318">
        <f t="shared" si="48"/>
        <v>18.382098765432101</v>
      </c>
      <c r="M318">
        <f t="shared" si="49"/>
        <v>4.9478176141975316</v>
      </c>
      <c r="N318" s="9"/>
      <c r="O318" s="21">
        <v>1.45096</v>
      </c>
      <c r="P318" s="21">
        <v>12.6997</v>
      </c>
      <c r="Q318" s="21">
        <v>-1.32263E-2</v>
      </c>
      <c r="R318" s="21">
        <v>308</v>
      </c>
      <c r="S318" s="21">
        <v>1.4501999999999999</v>
      </c>
      <c r="T318">
        <f t="shared" si="50"/>
        <v>16.328765432098766</v>
      </c>
      <c r="U318">
        <f t="shared" si="51"/>
        <v>23.692385491358028</v>
      </c>
      <c r="X318" s="9"/>
      <c r="Y318" s="21">
        <v>0.26916499999999999</v>
      </c>
      <c r="Z318" s="21">
        <v>18.278400000000001</v>
      </c>
      <c r="AA318" s="21">
        <v>-1.4898700000000001E-2</v>
      </c>
      <c r="AB318" s="21">
        <v>308</v>
      </c>
      <c r="AC318" s="21">
        <v>0.26858500000000002</v>
      </c>
      <c r="AD318">
        <f t="shared" si="52"/>
        <v>18.393456790123455</v>
      </c>
      <c r="AE318">
        <f t="shared" si="53"/>
        <v>4.9508747969135793</v>
      </c>
      <c r="AF318" s="9"/>
      <c r="AG318" s="21">
        <v>1.45096</v>
      </c>
      <c r="AH318" s="21">
        <v>22.137899999999998</v>
      </c>
      <c r="AI318" s="21">
        <v>-1.3266E-2</v>
      </c>
      <c r="AJ318" s="21">
        <v>308</v>
      </c>
      <c r="AK318" s="21">
        <v>1.4498899999999999</v>
      </c>
      <c r="AL318">
        <f t="shared" si="54"/>
        <v>16.377777777777776</v>
      </c>
      <c r="AM318">
        <f t="shared" si="55"/>
        <v>23.763500444444443</v>
      </c>
      <c r="AP318" s="9"/>
      <c r="AQ318" s="21">
        <v>0.26916499999999999</v>
      </c>
      <c r="AR318" s="21">
        <v>27.686599999999999</v>
      </c>
      <c r="AS318" s="21">
        <v>-1.4837599999999999E-2</v>
      </c>
      <c r="AT318" s="21">
        <v>308</v>
      </c>
      <c r="AU318" s="21">
        <v>0.26861600000000002</v>
      </c>
      <c r="AV318">
        <f t="shared" si="56"/>
        <v>18.318024691358023</v>
      </c>
      <c r="AW318">
        <f t="shared" si="57"/>
        <v>4.9305711160493821</v>
      </c>
      <c r="AX318" s="9"/>
      <c r="AY318" s="21">
        <v>1.45096</v>
      </c>
      <c r="AZ318" s="21">
        <v>31.546099999999999</v>
      </c>
      <c r="BA318" s="21">
        <v>-1.3201900000000001E-2</v>
      </c>
      <c r="BB318" s="21">
        <v>308</v>
      </c>
      <c r="BC318" s="21">
        <v>1.4501999999999999</v>
      </c>
      <c r="BD318">
        <f t="shared" si="58"/>
        <v>16.298641975308641</v>
      </c>
      <c r="BE318">
        <f t="shared" si="59"/>
        <v>23.648677560493827</v>
      </c>
    </row>
    <row r="319" spans="6:57" x14ac:dyDescent="0.25">
      <c r="F319" s="9"/>
      <c r="G319" s="21">
        <v>0.26412999999999998</v>
      </c>
      <c r="H319" s="21">
        <v>8.8502700000000001</v>
      </c>
      <c r="I319" s="21">
        <v>-1.48834E-2</v>
      </c>
      <c r="J319" s="21">
        <v>309</v>
      </c>
      <c r="K319" s="21">
        <v>0.263519</v>
      </c>
      <c r="L319">
        <f t="shared" si="48"/>
        <v>18.374567901234567</v>
      </c>
      <c r="M319">
        <f t="shared" si="49"/>
        <v>4.853274619753086</v>
      </c>
      <c r="N319" s="9"/>
      <c r="O319" s="21">
        <v>1.4559899999999999</v>
      </c>
      <c r="P319" s="21">
        <v>12.7097</v>
      </c>
      <c r="Q319" s="21">
        <v>-1.31775E-2</v>
      </c>
      <c r="R319" s="21">
        <v>309</v>
      </c>
      <c r="S319" s="21">
        <v>1.4556899999999999</v>
      </c>
      <c r="T319">
        <f t="shared" si="50"/>
        <v>16.268518518518519</v>
      </c>
      <c r="U319">
        <f t="shared" si="51"/>
        <v>23.686800277777778</v>
      </c>
      <c r="X319" s="9"/>
      <c r="Y319" s="21">
        <v>0.26412999999999998</v>
      </c>
      <c r="Z319" s="21">
        <v>18.288499999999999</v>
      </c>
      <c r="AA319" s="21">
        <v>-1.48956E-2</v>
      </c>
      <c r="AB319" s="21">
        <v>309</v>
      </c>
      <c r="AC319" s="21">
        <v>0.26357999999999998</v>
      </c>
      <c r="AD319">
        <f t="shared" si="52"/>
        <v>18.389629629629628</v>
      </c>
      <c r="AE319">
        <f t="shared" si="53"/>
        <v>4.8572528740740735</v>
      </c>
      <c r="AF319" s="9"/>
      <c r="AG319" s="21">
        <v>1.4559899999999999</v>
      </c>
      <c r="AH319" s="21">
        <v>22.148</v>
      </c>
      <c r="AI319" s="21">
        <v>-1.32324E-2</v>
      </c>
      <c r="AJ319" s="21">
        <v>309</v>
      </c>
      <c r="AK319" s="21">
        <v>1.4553799999999999</v>
      </c>
      <c r="AL319">
        <f t="shared" si="54"/>
        <v>16.336296296296297</v>
      </c>
      <c r="AM319">
        <f t="shared" si="55"/>
        <v>23.785484044444445</v>
      </c>
      <c r="AP319" s="9"/>
      <c r="AQ319" s="21">
        <v>0.26412999999999998</v>
      </c>
      <c r="AR319" s="21">
        <v>27.6967</v>
      </c>
      <c r="AS319" s="21">
        <v>-1.4831499999999999E-2</v>
      </c>
      <c r="AT319" s="21">
        <v>309</v>
      </c>
      <c r="AU319" s="21">
        <v>0.26364100000000001</v>
      </c>
      <c r="AV319">
        <f t="shared" si="56"/>
        <v>18.310493827160489</v>
      </c>
      <c r="AW319">
        <f t="shared" si="57"/>
        <v>4.8363507345678993</v>
      </c>
      <c r="AX319" s="9"/>
      <c r="AY319" s="21">
        <v>1.4559899999999999</v>
      </c>
      <c r="AZ319" s="21">
        <v>31.5562</v>
      </c>
      <c r="BA319" s="21">
        <v>-1.31653E-2</v>
      </c>
      <c r="BB319" s="21">
        <v>309</v>
      </c>
      <c r="BC319" s="21">
        <v>1.4553799999999999</v>
      </c>
      <c r="BD319">
        <f t="shared" si="58"/>
        <v>16.253456790123455</v>
      </c>
      <c r="BE319">
        <f t="shared" si="59"/>
        <v>23.664870551851848</v>
      </c>
    </row>
    <row r="320" spans="6:57" x14ac:dyDescent="0.25">
      <c r="F320" s="9"/>
      <c r="G320" s="21">
        <v>0.25909399999999999</v>
      </c>
      <c r="H320" s="21">
        <v>8.8603400000000008</v>
      </c>
      <c r="I320" s="21">
        <v>-1.4904799999999999E-2</v>
      </c>
      <c r="J320" s="21">
        <v>310</v>
      </c>
      <c r="K320" s="21">
        <v>0.25842300000000001</v>
      </c>
      <c r="L320">
        <f t="shared" si="48"/>
        <v>18.400987654320986</v>
      </c>
      <c r="M320">
        <f t="shared" si="49"/>
        <v>4.7675854953086416</v>
      </c>
      <c r="N320" s="9"/>
      <c r="O320" s="21">
        <v>1.4610300000000001</v>
      </c>
      <c r="P320" s="21">
        <v>12.719799999999999</v>
      </c>
      <c r="Q320" s="21">
        <v>-1.31165E-2</v>
      </c>
      <c r="R320" s="21">
        <v>310</v>
      </c>
      <c r="S320" s="21">
        <v>1.46027</v>
      </c>
      <c r="T320">
        <f t="shared" si="50"/>
        <v>16.193209876543211</v>
      </c>
      <c r="U320">
        <f t="shared" si="51"/>
        <v>23.658765425925928</v>
      </c>
      <c r="X320" s="9"/>
      <c r="Y320" s="21">
        <v>0.25909399999999999</v>
      </c>
      <c r="Z320" s="21">
        <v>18.2986</v>
      </c>
      <c r="AA320" s="21">
        <v>-1.48865E-2</v>
      </c>
      <c r="AB320" s="21">
        <v>310</v>
      </c>
      <c r="AC320" s="21">
        <v>0.25851400000000002</v>
      </c>
      <c r="AD320">
        <f t="shared" si="52"/>
        <v>18.378395061728394</v>
      </c>
      <c r="AE320">
        <f t="shared" si="53"/>
        <v>4.761731890123456</v>
      </c>
      <c r="AF320" s="9"/>
      <c r="AG320" s="21">
        <v>1.4610300000000001</v>
      </c>
      <c r="AH320" s="21">
        <v>22.158000000000001</v>
      </c>
      <c r="AI320" s="21">
        <v>-1.31927E-2</v>
      </c>
      <c r="AJ320" s="21">
        <v>310</v>
      </c>
      <c r="AK320" s="21">
        <v>1.4599599999999999</v>
      </c>
      <c r="AL320">
        <f t="shared" si="54"/>
        <v>16.287283950617283</v>
      </c>
      <c r="AM320">
        <f t="shared" si="55"/>
        <v>23.796210470370369</v>
      </c>
      <c r="AP320" s="9"/>
      <c r="AQ320" s="21">
        <v>0.25909399999999999</v>
      </c>
      <c r="AR320" s="21">
        <v>27.706800000000001</v>
      </c>
      <c r="AS320" s="21">
        <v>-1.4837599999999999E-2</v>
      </c>
      <c r="AT320" s="21">
        <v>310</v>
      </c>
      <c r="AU320" s="21">
        <v>0.25854500000000002</v>
      </c>
      <c r="AV320">
        <f t="shared" si="56"/>
        <v>18.318024691358023</v>
      </c>
      <c r="AW320">
        <f t="shared" si="57"/>
        <v>4.7460902893827157</v>
      </c>
      <c r="AX320" s="9"/>
      <c r="AY320" s="21">
        <v>1.4610300000000001</v>
      </c>
      <c r="AZ320" s="21">
        <v>31.566299999999998</v>
      </c>
      <c r="BA320" s="21">
        <v>-1.31226E-2</v>
      </c>
      <c r="BB320" s="21">
        <v>310</v>
      </c>
      <c r="BC320" s="21">
        <v>1.46027</v>
      </c>
      <c r="BD320">
        <f t="shared" si="58"/>
        <v>16.200740740740741</v>
      </c>
      <c r="BE320">
        <f t="shared" si="59"/>
        <v>23.669768244444445</v>
      </c>
    </row>
    <row r="321" spans="6:57" x14ac:dyDescent="0.25">
      <c r="F321" s="9"/>
      <c r="G321" s="21">
        <v>0.25405899999999998</v>
      </c>
      <c r="H321" s="21">
        <v>8.8704199999999993</v>
      </c>
      <c r="I321" s="21">
        <v>-1.49231E-2</v>
      </c>
      <c r="J321" s="21">
        <v>311</v>
      </c>
      <c r="K321" s="21">
        <v>0.25347900000000001</v>
      </c>
      <c r="L321">
        <f t="shared" si="48"/>
        <v>18.423580246913577</v>
      </c>
      <c r="M321">
        <f t="shared" si="49"/>
        <v>4.6806763739506163</v>
      </c>
      <c r="N321" s="9"/>
      <c r="O321" s="21">
        <v>1.4660599999999999</v>
      </c>
      <c r="P321" s="21">
        <v>12.729900000000001</v>
      </c>
      <c r="Q321" s="21">
        <v>-1.30676E-2</v>
      </c>
      <c r="R321" s="21">
        <v>311</v>
      </c>
      <c r="S321" s="21">
        <v>1.4654499999999999</v>
      </c>
      <c r="T321">
        <f t="shared" si="50"/>
        <v>16.132839506172839</v>
      </c>
      <c r="U321">
        <f t="shared" si="51"/>
        <v>23.651710686419751</v>
      </c>
      <c r="X321" s="9"/>
      <c r="Y321" s="21">
        <v>0.25405899999999998</v>
      </c>
      <c r="Z321" s="21">
        <v>18.308599999999998</v>
      </c>
      <c r="AA321" s="21">
        <v>-1.48773E-2</v>
      </c>
      <c r="AB321" s="21">
        <v>311</v>
      </c>
      <c r="AC321" s="21">
        <v>0.25351000000000001</v>
      </c>
      <c r="AD321">
        <f t="shared" si="52"/>
        <v>18.367037037037036</v>
      </c>
      <c r="AE321">
        <f t="shared" si="53"/>
        <v>4.6663110625925919</v>
      </c>
      <c r="AF321" s="9"/>
      <c r="AG321" s="21">
        <v>1.4660599999999999</v>
      </c>
      <c r="AH321" s="21">
        <v>22.168099999999999</v>
      </c>
      <c r="AI321" s="21">
        <v>-1.315E-2</v>
      </c>
      <c r="AJ321" s="21">
        <v>311</v>
      </c>
      <c r="AK321" s="21">
        <v>1.46576</v>
      </c>
      <c r="AL321">
        <f t="shared" si="54"/>
        <v>16.234567901234566</v>
      </c>
      <c r="AM321">
        <f t="shared" si="55"/>
        <v>23.800850617283945</v>
      </c>
      <c r="AP321" s="9"/>
      <c r="AQ321" s="21">
        <v>0.25405899999999998</v>
      </c>
      <c r="AR321" s="21">
        <v>27.716899999999999</v>
      </c>
      <c r="AS321" s="21">
        <v>-1.48407E-2</v>
      </c>
      <c r="AT321" s="21">
        <v>311</v>
      </c>
      <c r="AU321" s="21">
        <v>0.25344800000000001</v>
      </c>
      <c r="AV321">
        <f t="shared" si="56"/>
        <v>18.32185185185185</v>
      </c>
      <c r="AW321">
        <f t="shared" si="57"/>
        <v>4.6548313596296289</v>
      </c>
      <c r="AX321" s="9"/>
      <c r="AY321" s="21">
        <v>1.4660599999999999</v>
      </c>
      <c r="AZ321" s="21">
        <v>31.5763</v>
      </c>
      <c r="BA321" s="21">
        <v>-1.3079800000000001E-2</v>
      </c>
      <c r="BB321" s="21">
        <v>311</v>
      </c>
      <c r="BC321" s="21">
        <v>1.4654499999999999</v>
      </c>
      <c r="BD321">
        <f t="shared" si="58"/>
        <v>16.147901234567904</v>
      </c>
      <c r="BE321">
        <f t="shared" si="59"/>
        <v>23.67379208395062</v>
      </c>
    </row>
    <row r="322" spans="6:57" x14ac:dyDescent="0.25">
      <c r="F322" s="9"/>
      <c r="G322" s="21">
        <v>0.24902299999999999</v>
      </c>
      <c r="H322" s="21">
        <v>8.88049</v>
      </c>
      <c r="I322" s="21">
        <v>-1.4944499999999999E-2</v>
      </c>
      <c r="J322" s="21">
        <v>312</v>
      </c>
      <c r="K322" s="21">
        <v>0.248505</v>
      </c>
      <c r="L322">
        <f t="shared" si="48"/>
        <v>18.45</v>
      </c>
      <c r="M322">
        <f t="shared" si="49"/>
        <v>4.5944743499999996</v>
      </c>
      <c r="N322" s="9"/>
      <c r="O322" s="21">
        <v>1.4711000000000001</v>
      </c>
      <c r="P322" s="21">
        <v>12.74</v>
      </c>
      <c r="Q322" s="21">
        <v>-1.30127E-2</v>
      </c>
      <c r="R322" s="21">
        <v>312</v>
      </c>
      <c r="S322" s="21">
        <v>1.4700299999999999</v>
      </c>
      <c r="T322">
        <f t="shared" si="50"/>
        <v>16.065061728395062</v>
      </c>
      <c r="U322">
        <f t="shared" si="51"/>
        <v>23.633312308641976</v>
      </c>
      <c r="X322" s="9"/>
      <c r="Y322" s="21">
        <v>0.24902299999999999</v>
      </c>
      <c r="Z322" s="21">
        <v>18.3187</v>
      </c>
      <c r="AA322" s="21">
        <v>-1.4865099999999999E-2</v>
      </c>
      <c r="AB322" s="21">
        <v>312</v>
      </c>
      <c r="AC322" s="21">
        <v>0.248474</v>
      </c>
      <c r="AD322">
        <f t="shared" si="52"/>
        <v>18.351975308641972</v>
      </c>
      <c r="AE322">
        <f t="shared" si="53"/>
        <v>4.5700639472839493</v>
      </c>
      <c r="AF322" s="9"/>
      <c r="AG322" s="21">
        <v>1.4711000000000001</v>
      </c>
      <c r="AH322" s="21">
        <v>22.1782</v>
      </c>
      <c r="AI322" s="21">
        <v>-1.3107300000000001E-2</v>
      </c>
      <c r="AJ322" s="21">
        <v>312</v>
      </c>
      <c r="AK322" s="21">
        <v>1.47034</v>
      </c>
      <c r="AL322">
        <f t="shared" si="54"/>
        <v>16.181851851851849</v>
      </c>
      <c r="AM322">
        <f t="shared" si="55"/>
        <v>23.805122259259257</v>
      </c>
      <c r="AP322" s="9"/>
      <c r="AQ322" s="21">
        <v>0.24902299999999999</v>
      </c>
      <c r="AR322" s="21">
        <v>27.726900000000001</v>
      </c>
      <c r="AS322" s="21">
        <v>-1.4843800000000001E-2</v>
      </c>
      <c r="AT322" s="21">
        <v>312</v>
      </c>
      <c r="AU322" s="21">
        <v>0.24841299999999999</v>
      </c>
      <c r="AV322">
        <f t="shared" si="56"/>
        <v>18.325679012345677</v>
      </c>
      <c r="AW322">
        <f t="shared" si="57"/>
        <v>4.5635155646913574</v>
      </c>
      <c r="AX322" s="9"/>
      <c r="AY322" s="21">
        <v>1.4711000000000001</v>
      </c>
      <c r="AZ322" s="21">
        <v>31.586400000000001</v>
      </c>
      <c r="BA322" s="21">
        <v>-1.3037099999999999E-2</v>
      </c>
      <c r="BB322" s="21">
        <v>312</v>
      </c>
      <c r="BC322" s="21">
        <v>1.4700299999999999</v>
      </c>
      <c r="BD322">
        <f t="shared" si="58"/>
        <v>16.095185185185183</v>
      </c>
      <c r="BE322">
        <f t="shared" si="59"/>
        <v>23.677626925925924</v>
      </c>
    </row>
    <row r="323" spans="6:57" x14ac:dyDescent="0.25">
      <c r="F323" s="9"/>
      <c r="G323" s="21">
        <v>0.24398800000000001</v>
      </c>
      <c r="H323" s="21">
        <v>8.8905600000000007</v>
      </c>
      <c r="I323" s="21">
        <v>-1.4953599999999999E-2</v>
      </c>
      <c r="J323" s="21">
        <v>313</v>
      </c>
      <c r="K323" s="21">
        <v>0.24337800000000001</v>
      </c>
      <c r="L323">
        <f t="shared" si="48"/>
        <v>18.461234567901233</v>
      </c>
      <c r="M323">
        <f t="shared" si="49"/>
        <v>4.5043196997530863</v>
      </c>
      <c r="N323" s="9"/>
      <c r="O323" s="21">
        <v>1.47614</v>
      </c>
      <c r="P323" s="21">
        <v>12.75</v>
      </c>
      <c r="Q323" s="21">
        <v>-1.29608E-2</v>
      </c>
      <c r="R323" s="21">
        <v>313</v>
      </c>
      <c r="S323" s="21">
        <v>1.4755199999999999</v>
      </c>
      <c r="T323">
        <f t="shared" si="50"/>
        <v>16.000987654320987</v>
      </c>
      <c r="U323">
        <f t="shared" si="51"/>
        <v>23.619697916049383</v>
      </c>
      <c r="X323" s="9"/>
      <c r="Y323" s="21">
        <v>0.24398800000000001</v>
      </c>
      <c r="Z323" s="21">
        <v>18.328800000000001</v>
      </c>
      <c r="AA323" s="21">
        <v>-1.4865099999999999E-2</v>
      </c>
      <c r="AB323" s="21">
        <v>313</v>
      </c>
      <c r="AC323" s="21">
        <v>0.24340800000000001</v>
      </c>
      <c r="AD323">
        <f t="shared" si="52"/>
        <v>18.351975308641972</v>
      </c>
      <c r="AE323">
        <f t="shared" si="53"/>
        <v>4.4776617516049377</v>
      </c>
      <c r="AF323" s="9"/>
      <c r="AG323" s="21">
        <v>1.47614</v>
      </c>
      <c r="AH323" s="21">
        <v>22.188199999999998</v>
      </c>
      <c r="AI323" s="21">
        <v>-1.3064600000000001E-2</v>
      </c>
      <c r="AJ323" s="21">
        <v>313</v>
      </c>
      <c r="AK323" s="21">
        <v>1.47522</v>
      </c>
      <c r="AL323">
        <f t="shared" si="54"/>
        <v>16.129135802469136</v>
      </c>
      <c r="AM323">
        <f t="shared" si="55"/>
        <v>23.808862523456792</v>
      </c>
      <c r="AP323" s="9"/>
      <c r="AQ323" s="21">
        <v>0.24398800000000001</v>
      </c>
      <c r="AR323" s="21">
        <v>27.736999999999998</v>
      </c>
      <c r="AS323" s="21">
        <v>-1.4859000000000001E-2</v>
      </c>
      <c r="AT323" s="21">
        <v>313</v>
      </c>
      <c r="AU323" s="21">
        <v>0.24331700000000001</v>
      </c>
      <c r="AV323">
        <f t="shared" si="56"/>
        <v>18.344444444444445</v>
      </c>
      <c r="AW323">
        <f t="shared" si="57"/>
        <v>4.4758243111111113</v>
      </c>
      <c r="AX323" s="9"/>
      <c r="AY323" s="21">
        <v>1.47614</v>
      </c>
      <c r="AZ323" s="21">
        <v>31.596499999999999</v>
      </c>
      <c r="BA323" s="21">
        <v>-1.2991300000000001E-2</v>
      </c>
      <c r="BB323" s="21">
        <v>313</v>
      </c>
      <c r="BC323" s="21">
        <v>1.4755199999999999</v>
      </c>
      <c r="BD323">
        <f t="shared" si="58"/>
        <v>16.038641975308643</v>
      </c>
      <c r="BE323">
        <f t="shared" si="59"/>
        <v>23.675280965432101</v>
      </c>
    </row>
    <row r="324" spans="6:57" x14ac:dyDescent="0.25">
      <c r="F324" s="9"/>
      <c r="G324" s="21">
        <v>0.238953</v>
      </c>
      <c r="H324" s="21">
        <v>8.9006299999999996</v>
      </c>
      <c r="I324" s="21">
        <v>-1.4959699999999999E-2</v>
      </c>
      <c r="J324" s="21">
        <v>314</v>
      </c>
      <c r="K324" s="21">
        <v>0.238403</v>
      </c>
      <c r="L324">
        <f t="shared" si="48"/>
        <v>18.468765432098763</v>
      </c>
      <c r="M324">
        <f t="shared" si="49"/>
        <v>4.4131669062962962</v>
      </c>
      <c r="N324" s="9"/>
      <c r="O324" s="21">
        <v>1.4811700000000001</v>
      </c>
      <c r="P324" s="21">
        <v>12.7601</v>
      </c>
      <c r="Q324" s="21">
        <v>-1.2912E-2</v>
      </c>
      <c r="R324" s="21">
        <v>314</v>
      </c>
      <c r="S324" s="21">
        <v>1.48041</v>
      </c>
      <c r="T324">
        <f t="shared" si="50"/>
        <v>15.940740740740738</v>
      </c>
      <c r="U324">
        <f t="shared" si="51"/>
        <v>23.610946962962959</v>
      </c>
      <c r="X324" s="9"/>
      <c r="Y324" s="21">
        <v>0.238953</v>
      </c>
      <c r="Z324" s="21">
        <v>18.338799999999999</v>
      </c>
      <c r="AA324" s="21">
        <v>-1.48621E-2</v>
      </c>
      <c r="AB324" s="21">
        <v>314</v>
      </c>
      <c r="AC324" s="21">
        <v>0.238403</v>
      </c>
      <c r="AD324">
        <f t="shared" si="52"/>
        <v>18.348271604938269</v>
      </c>
      <c r="AE324">
        <f t="shared" si="53"/>
        <v>4.3843745448148139</v>
      </c>
      <c r="AF324" s="9"/>
      <c r="AG324" s="21">
        <v>1.4811700000000001</v>
      </c>
      <c r="AH324" s="21">
        <v>22.1983</v>
      </c>
      <c r="AI324" s="21">
        <v>-1.3018800000000001E-2</v>
      </c>
      <c r="AJ324" s="21">
        <v>314</v>
      </c>
      <c r="AK324" s="21">
        <v>1.48071</v>
      </c>
      <c r="AL324">
        <f t="shared" si="54"/>
        <v>16.072592592592592</v>
      </c>
      <c r="AM324">
        <f t="shared" si="55"/>
        <v>23.806241970370372</v>
      </c>
      <c r="AP324" s="9"/>
      <c r="AQ324" s="21">
        <v>0.238953</v>
      </c>
      <c r="AR324" s="21">
        <v>27.7471</v>
      </c>
      <c r="AS324" s="21">
        <v>-1.4855999999999999E-2</v>
      </c>
      <c r="AT324" s="21">
        <v>314</v>
      </c>
      <c r="AU324" s="21">
        <v>0.238373</v>
      </c>
      <c r="AV324">
        <f t="shared" si="56"/>
        <v>18.340740740740738</v>
      </c>
      <c r="AW324">
        <f t="shared" si="57"/>
        <v>4.3825750222222215</v>
      </c>
      <c r="AX324" s="9"/>
      <c r="AY324" s="21">
        <v>1.4811700000000001</v>
      </c>
      <c r="AZ324" s="21">
        <v>31.6065</v>
      </c>
      <c r="BA324" s="21">
        <v>-1.2942499999999999E-2</v>
      </c>
      <c r="BB324" s="21">
        <v>314</v>
      </c>
      <c r="BC324" s="21">
        <v>1.48041</v>
      </c>
      <c r="BD324">
        <f t="shared" si="58"/>
        <v>15.978395061728392</v>
      </c>
      <c r="BE324">
        <f t="shared" si="59"/>
        <v>23.666719413580243</v>
      </c>
    </row>
    <row r="325" spans="6:57" x14ac:dyDescent="0.25">
      <c r="F325" s="9"/>
      <c r="G325" s="21">
        <v>0.23391700000000001</v>
      </c>
      <c r="H325" s="21">
        <v>8.9107000000000003</v>
      </c>
      <c r="I325" s="21">
        <v>-1.4959699999999999E-2</v>
      </c>
      <c r="J325" s="21">
        <v>315</v>
      </c>
      <c r="K325" s="21">
        <v>0.233429</v>
      </c>
      <c r="L325">
        <f t="shared" si="48"/>
        <v>18.468765432098763</v>
      </c>
      <c r="M325">
        <f t="shared" si="49"/>
        <v>4.320158203580247</v>
      </c>
      <c r="N325" s="9"/>
      <c r="O325" s="21">
        <v>1.48621</v>
      </c>
      <c r="P325" s="21">
        <v>12.770200000000001</v>
      </c>
      <c r="Q325" s="21">
        <v>-1.28632E-2</v>
      </c>
      <c r="R325" s="21">
        <v>315</v>
      </c>
      <c r="S325" s="21">
        <v>1.4856</v>
      </c>
      <c r="T325">
        <f t="shared" si="50"/>
        <v>15.880493827160493</v>
      </c>
      <c r="U325">
        <f t="shared" si="51"/>
        <v>23.601748730864195</v>
      </c>
      <c r="X325" s="9"/>
      <c r="Y325" s="21">
        <v>0.23391700000000001</v>
      </c>
      <c r="Z325" s="21">
        <v>18.3489</v>
      </c>
      <c r="AA325" s="21">
        <v>-1.48682E-2</v>
      </c>
      <c r="AB325" s="21">
        <v>315</v>
      </c>
      <c r="AC325" s="21">
        <v>0.23324600000000001</v>
      </c>
      <c r="AD325">
        <f t="shared" si="52"/>
        <v>18.355802469135799</v>
      </c>
      <c r="AE325">
        <f t="shared" si="53"/>
        <v>4.2937342461728392</v>
      </c>
      <c r="AF325" s="9"/>
      <c r="AG325" s="21">
        <v>1.48621</v>
      </c>
      <c r="AH325" s="21">
        <v>22.208400000000001</v>
      </c>
      <c r="AI325" s="21">
        <v>-1.2976100000000001E-2</v>
      </c>
      <c r="AJ325" s="21">
        <v>315</v>
      </c>
      <c r="AK325" s="21">
        <v>1.4859</v>
      </c>
      <c r="AL325">
        <f t="shared" si="54"/>
        <v>16.019876543209875</v>
      </c>
      <c r="AM325">
        <f t="shared" si="55"/>
        <v>23.808900717283951</v>
      </c>
      <c r="AP325" s="9"/>
      <c r="AQ325" s="21">
        <v>0.23391700000000001</v>
      </c>
      <c r="AR325" s="21">
        <v>27.757100000000001</v>
      </c>
      <c r="AS325" s="21">
        <v>-1.48621E-2</v>
      </c>
      <c r="AT325" s="21">
        <v>315</v>
      </c>
      <c r="AU325" s="21">
        <v>0.23333699999999999</v>
      </c>
      <c r="AV325">
        <f t="shared" si="56"/>
        <v>18.348271604938269</v>
      </c>
      <c r="AW325">
        <f t="shared" si="57"/>
        <v>4.2919726490123455</v>
      </c>
      <c r="AX325" s="9"/>
      <c r="AY325" s="21">
        <v>1.48621</v>
      </c>
      <c r="AZ325" s="21">
        <v>31.616599999999998</v>
      </c>
      <c r="BA325" s="21">
        <v>-1.28906E-2</v>
      </c>
      <c r="BB325" s="21">
        <v>315</v>
      </c>
      <c r="BC325" s="21">
        <v>1.48499</v>
      </c>
      <c r="BD325">
        <f t="shared" si="58"/>
        <v>15.914320987654323</v>
      </c>
      <c r="BE325">
        <f t="shared" si="59"/>
        <v>23.652022995061731</v>
      </c>
    </row>
    <row r="326" spans="6:57" x14ac:dyDescent="0.25">
      <c r="F326" s="9"/>
      <c r="G326" s="21">
        <v>0.228882</v>
      </c>
      <c r="H326" s="21">
        <v>8.9207699999999992</v>
      </c>
      <c r="I326" s="21">
        <v>-1.49658E-2</v>
      </c>
      <c r="J326" s="21">
        <v>316</v>
      </c>
      <c r="K326" s="21">
        <v>0.228241</v>
      </c>
      <c r="L326">
        <f t="shared" si="48"/>
        <v>18.476296296296297</v>
      </c>
      <c r="M326">
        <f t="shared" si="49"/>
        <v>4.2288916488888892</v>
      </c>
      <c r="N326" s="9"/>
      <c r="O326" s="21">
        <v>1.4912399999999999</v>
      </c>
      <c r="P326" s="21">
        <v>12.780200000000001</v>
      </c>
      <c r="Q326" s="21">
        <v>-1.28082E-2</v>
      </c>
      <c r="R326" s="21">
        <v>316</v>
      </c>
      <c r="S326" s="21">
        <v>1.49017</v>
      </c>
      <c r="T326">
        <f t="shared" si="50"/>
        <v>15.812592592592594</v>
      </c>
      <c r="U326">
        <f t="shared" si="51"/>
        <v>23.580370577777778</v>
      </c>
      <c r="X326" s="9"/>
      <c r="Y326" s="21">
        <v>0.228882</v>
      </c>
      <c r="Z326" s="21">
        <v>18.359000000000002</v>
      </c>
      <c r="AA326" s="21">
        <v>-1.48773E-2</v>
      </c>
      <c r="AB326" s="21">
        <v>316</v>
      </c>
      <c r="AC326" s="21">
        <v>0.22836300000000001</v>
      </c>
      <c r="AD326">
        <f t="shared" si="52"/>
        <v>18.367037037037036</v>
      </c>
      <c r="AE326">
        <f t="shared" si="53"/>
        <v>4.2038841711111106</v>
      </c>
      <c r="AF326" s="9"/>
      <c r="AG326" s="21">
        <v>1.4912399999999999</v>
      </c>
      <c r="AH326" s="21">
        <v>22.218499999999999</v>
      </c>
      <c r="AI326" s="21">
        <v>-1.29272E-2</v>
      </c>
      <c r="AJ326" s="21">
        <v>316</v>
      </c>
      <c r="AK326" s="21">
        <v>1.49048</v>
      </c>
      <c r="AL326">
        <f t="shared" si="54"/>
        <v>15.959506172839506</v>
      </c>
      <c r="AM326">
        <f t="shared" si="55"/>
        <v>23.799453985185181</v>
      </c>
      <c r="AP326" s="9"/>
      <c r="AQ326" s="21">
        <v>0.228882</v>
      </c>
      <c r="AR326" s="21">
        <v>27.767199999999999</v>
      </c>
      <c r="AS326" s="21">
        <v>-1.4855999999999999E-2</v>
      </c>
      <c r="AT326" s="21">
        <v>316</v>
      </c>
      <c r="AU326" s="21">
        <v>0.22839400000000001</v>
      </c>
      <c r="AV326">
        <f t="shared" si="56"/>
        <v>18.340740740740738</v>
      </c>
      <c r="AW326">
        <f t="shared" si="57"/>
        <v>4.1978654222222218</v>
      </c>
      <c r="AX326" s="9"/>
      <c r="AY326" s="21">
        <v>1.4912399999999999</v>
      </c>
      <c r="AZ326" s="21">
        <v>31.6267</v>
      </c>
      <c r="BA326" s="21">
        <v>-1.2847900000000001E-2</v>
      </c>
      <c r="BB326" s="21">
        <v>316</v>
      </c>
      <c r="BC326" s="21">
        <v>1.49048</v>
      </c>
      <c r="BD326">
        <f t="shared" si="58"/>
        <v>15.861604938271604</v>
      </c>
      <c r="BE326">
        <f t="shared" si="59"/>
        <v>23.653459748148144</v>
      </c>
    </row>
    <row r="327" spans="6:57" x14ac:dyDescent="0.25">
      <c r="F327" s="9"/>
      <c r="G327" s="21">
        <v>0.22384599999999999</v>
      </c>
      <c r="H327" s="21">
        <v>8.9308399999999999</v>
      </c>
      <c r="I327" s="21">
        <v>-1.49628E-2</v>
      </c>
      <c r="J327" s="21">
        <v>317</v>
      </c>
      <c r="K327" s="21">
        <v>0.223328</v>
      </c>
      <c r="L327">
        <f t="shared" si="48"/>
        <v>18.472592592592594</v>
      </c>
      <c r="M327">
        <f t="shared" si="49"/>
        <v>4.1350159614814821</v>
      </c>
      <c r="N327" s="9"/>
      <c r="O327" s="21">
        <v>1.4962800000000001</v>
      </c>
      <c r="P327" s="21">
        <v>12.7903</v>
      </c>
      <c r="Q327" s="21">
        <v>-1.2716699999999999E-2</v>
      </c>
      <c r="R327" s="21">
        <v>317</v>
      </c>
      <c r="S327" s="21">
        <v>1.4956700000000001</v>
      </c>
      <c r="T327">
        <f t="shared" si="50"/>
        <v>15.699629629629626</v>
      </c>
      <c r="U327">
        <f t="shared" si="51"/>
        <v>23.491041822222218</v>
      </c>
      <c r="X327" s="9"/>
      <c r="Y327" s="21">
        <v>0.22384599999999999</v>
      </c>
      <c r="Z327" s="21">
        <v>18.3691</v>
      </c>
      <c r="AA327" s="21">
        <v>-1.48773E-2</v>
      </c>
      <c r="AB327" s="21">
        <v>317</v>
      </c>
      <c r="AC327" s="21">
        <v>0.223328</v>
      </c>
      <c r="AD327">
        <f t="shared" si="52"/>
        <v>18.367037037037036</v>
      </c>
      <c r="AE327">
        <f t="shared" si="53"/>
        <v>4.1113877725925922</v>
      </c>
      <c r="AF327" s="9"/>
      <c r="AG327" s="21">
        <v>1.4962800000000001</v>
      </c>
      <c r="AH327" s="21">
        <v>22.2285</v>
      </c>
      <c r="AI327" s="21">
        <v>-1.28693E-2</v>
      </c>
      <c r="AJ327" s="21">
        <v>317</v>
      </c>
      <c r="AK327" s="21">
        <v>1.4956700000000001</v>
      </c>
      <c r="AL327">
        <f t="shared" si="54"/>
        <v>15.888024691358023</v>
      </c>
      <c r="AM327">
        <f t="shared" si="55"/>
        <v>23.772933585185182</v>
      </c>
      <c r="AP327" s="9"/>
      <c r="AQ327" s="21">
        <v>0.22384599999999999</v>
      </c>
      <c r="AR327" s="21">
        <v>27.7773</v>
      </c>
      <c r="AS327" s="21">
        <v>-1.4865099999999999E-2</v>
      </c>
      <c r="AT327" s="21">
        <v>317</v>
      </c>
      <c r="AU327" s="21">
        <v>0.223297</v>
      </c>
      <c r="AV327">
        <f t="shared" si="56"/>
        <v>18.351975308641972</v>
      </c>
      <c r="AW327">
        <f t="shared" si="57"/>
        <v>4.1080162649382705</v>
      </c>
      <c r="AX327" s="9"/>
      <c r="AY327" s="21">
        <v>1.4962800000000001</v>
      </c>
      <c r="AZ327" s="21">
        <v>31.636800000000001</v>
      </c>
      <c r="BA327" s="21">
        <v>-1.2805199999999999E-2</v>
      </c>
      <c r="BB327" s="21">
        <v>317</v>
      </c>
      <c r="BC327" s="21">
        <v>1.4950600000000001</v>
      </c>
      <c r="BD327">
        <f t="shared" si="58"/>
        <v>15.808888888888886</v>
      </c>
      <c r="BE327">
        <f t="shared" si="59"/>
        <v>23.654524266666662</v>
      </c>
    </row>
    <row r="328" spans="6:57" x14ac:dyDescent="0.25">
      <c r="F328" s="9"/>
      <c r="G328" s="21">
        <v>0.21881100000000001</v>
      </c>
      <c r="H328" s="21">
        <v>8.9409100000000006</v>
      </c>
      <c r="I328" s="21">
        <v>-1.4959699999999999E-2</v>
      </c>
      <c r="J328" s="21">
        <v>318</v>
      </c>
      <c r="K328" s="21">
        <v>0.21829200000000001</v>
      </c>
      <c r="L328">
        <f t="shared" si="48"/>
        <v>18.468765432098763</v>
      </c>
      <c r="M328">
        <f t="shared" si="49"/>
        <v>4.041169032962963</v>
      </c>
      <c r="N328" s="9"/>
      <c r="O328" s="21">
        <v>1.5013099999999999</v>
      </c>
      <c r="P328" s="21">
        <v>12.8004</v>
      </c>
      <c r="Q328" s="21">
        <v>-1.2655599999999999E-2</v>
      </c>
      <c r="R328" s="21">
        <v>318</v>
      </c>
      <c r="S328" s="21">
        <v>1.5005500000000001</v>
      </c>
      <c r="T328">
        <f t="shared" si="50"/>
        <v>15.624197530864196</v>
      </c>
      <c r="U328">
        <f t="shared" si="51"/>
        <v>23.456763995061724</v>
      </c>
      <c r="X328" s="9"/>
      <c r="Y328" s="21">
        <v>0.21881100000000001</v>
      </c>
      <c r="Z328" s="21">
        <v>18.379100000000001</v>
      </c>
      <c r="AA328" s="21">
        <v>-1.4892600000000001E-2</v>
      </c>
      <c r="AB328" s="21">
        <v>318</v>
      </c>
      <c r="AC328" s="21">
        <v>0.21820100000000001</v>
      </c>
      <c r="AD328">
        <f t="shared" si="52"/>
        <v>18.385925925925928</v>
      </c>
      <c r="AE328">
        <f t="shared" si="53"/>
        <v>4.023042837777778</v>
      </c>
      <c r="AF328" s="9"/>
      <c r="AG328" s="21">
        <v>1.5013099999999999</v>
      </c>
      <c r="AH328" s="21">
        <v>22.238600000000002</v>
      </c>
      <c r="AI328" s="21">
        <v>-1.28174E-2</v>
      </c>
      <c r="AJ328" s="21">
        <v>318</v>
      </c>
      <c r="AK328" s="21">
        <v>1.50116</v>
      </c>
      <c r="AL328">
        <f t="shared" si="54"/>
        <v>15.82395061728395</v>
      </c>
      <c r="AM328">
        <f t="shared" si="55"/>
        <v>23.756655301234566</v>
      </c>
      <c r="AP328" s="9"/>
      <c r="AQ328" s="21">
        <v>0.21881100000000001</v>
      </c>
      <c r="AR328" s="21">
        <v>27.787400000000002</v>
      </c>
      <c r="AS328" s="21">
        <v>-1.48804E-2</v>
      </c>
      <c r="AT328" s="21">
        <v>318</v>
      </c>
      <c r="AU328" s="21">
        <v>0.21823100000000001</v>
      </c>
      <c r="AV328">
        <f t="shared" si="56"/>
        <v>18.370864197530864</v>
      </c>
      <c r="AW328">
        <f t="shared" si="57"/>
        <v>4.0197471659259261</v>
      </c>
      <c r="AX328" s="9"/>
      <c r="AY328" s="21">
        <v>1.5013099999999999</v>
      </c>
      <c r="AZ328" s="21">
        <v>31.646799999999999</v>
      </c>
      <c r="BA328" s="21">
        <v>-1.2765500000000001E-2</v>
      </c>
      <c r="BB328" s="21">
        <v>318</v>
      </c>
      <c r="BC328" s="21">
        <v>1.50024</v>
      </c>
      <c r="BD328">
        <f t="shared" si="58"/>
        <v>15.759876543209876</v>
      </c>
      <c r="BE328">
        <f t="shared" si="59"/>
        <v>23.660460253086416</v>
      </c>
    </row>
    <row r="329" spans="6:57" x14ac:dyDescent="0.25">
      <c r="F329" s="9"/>
      <c r="G329" s="21">
        <v>0.21377599999999999</v>
      </c>
      <c r="H329" s="21">
        <v>8.9509799999999995</v>
      </c>
      <c r="I329" s="21">
        <v>-1.4959699999999999E-2</v>
      </c>
      <c r="J329" s="21">
        <v>319</v>
      </c>
      <c r="K329" s="21">
        <v>0.213226</v>
      </c>
      <c r="L329">
        <f t="shared" si="48"/>
        <v>18.468765432098763</v>
      </c>
      <c r="M329">
        <f t="shared" si="49"/>
        <v>3.9481787990123451</v>
      </c>
      <c r="N329" s="9"/>
      <c r="O329" s="21">
        <v>1.5063500000000001</v>
      </c>
      <c r="P329" s="21">
        <v>12.810499999999999</v>
      </c>
      <c r="Q329" s="21">
        <v>-1.26038E-2</v>
      </c>
      <c r="R329" s="21">
        <v>319</v>
      </c>
      <c r="S329" s="21">
        <v>1.50604</v>
      </c>
      <c r="T329">
        <f t="shared" si="50"/>
        <v>15.560246913580245</v>
      </c>
      <c r="U329">
        <f t="shared" si="51"/>
        <v>23.439177938271605</v>
      </c>
      <c r="X329" s="9"/>
      <c r="Y329" s="21">
        <v>0.21377599999999999</v>
      </c>
      <c r="Z329" s="21">
        <v>18.389199999999999</v>
      </c>
      <c r="AA329" s="21">
        <v>-1.4892600000000001E-2</v>
      </c>
      <c r="AB329" s="21">
        <v>319</v>
      </c>
      <c r="AC329" s="21">
        <v>0.213257</v>
      </c>
      <c r="AD329">
        <f t="shared" si="52"/>
        <v>18.385925925925928</v>
      </c>
      <c r="AE329">
        <f t="shared" si="53"/>
        <v>3.930469700740741</v>
      </c>
      <c r="AF329" s="9"/>
      <c r="AG329" s="21">
        <v>1.5063500000000001</v>
      </c>
      <c r="AH329" s="21">
        <v>22.248699999999999</v>
      </c>
      <c r="AI329" s="21">
        <v>-1.2765500000000001E-2</v>
      </c>
      <c r="AJ329" s="21">
        <v>319</v>
      </c>
      <c r="AK329" s="21">
        <v>1.50543</v>
      </c>
      <c r="AL329">
        <f t="shared" si="54"/>
        <v>15.759876543209876</v>
      </c>
      <c r="AM329">
        <f t="shared" si="55"/>
        <v>23.739890030864196</v>
      </c>
      <c r="AP329" s="9"/>
      <c r="AQ329" s="21">
        <v>0.21377599999999999</v>
      </c>
      <c r="AR329" s="21">
        <v>27.7974</v>
      </c>
      <c r="AS329" s="21">
        <v>-1.48834E-2</v>
      </c>
      <c r="AT329" s="21">
        <v>319</v>
      </c>
      <c r="AU329" s="21">
        <v>0.213196</v>
      </c>
      <c r="AV329">
        <f t="shared" si="56"/>
        <v>18.374567901234567</v>
      </c>
      <c r="AW329">
        <f t="shared" si="57"/>
        <v>3.9280416276543209</v>
      </c>
      <c r="AX329" s="9"/>
      <c r="AY329" s="21">
        <v>1.5063500000000001</v>
      </c>
      <c r="AZ329" s="21">
        <v>31.6569</v>
      </c>
      <c r="BA329" s="21">
        <v>-1.2704500000000001E-2</v>
      </c>
      <c r="BB329" s="21">
        <v>319</v>
      </c>
      <c r="BC329" s="21">
        <v>1.5057400000000001</v>
      </c>
      <c r="BD329">
        <f t="shared" si="58"/>
        <v>15.684567901234566</v>
      </c>
      <c r="BE329">
        <f t="shared" si="59"/>
        <v>23.626448858024688</v>
      </c>
    </row>
    <row r="330" spans="6:57" x14ac:dyDescent="0.25">
      <c r="F330" s="9"/>
      <c r="G330" s="21">
        <v>0.20874000000000001</v>
      </c>
      <c r="H330" s="21">
        <v>8.9610500000000002</v>
      </c>
      <c r="I330" s="21">
        <v>-1.4959699999999999E-2</v>
      </c>
      <c r="J330" s="21">
        <v>320</v>
      </c>
      <c r="K330" s="21">
        <v>0.20825199999999999</v>
      </c>
      <c r="L330">
        <f t="shared" si="48"/>
        <v>18.468765432098763</v>
      </c>
      <c r="M330">
        <f t="shared" si="49"/>
        <v>3.855170096296296</v>
      </c>
      <c r="N330" s="9"/>
      <c r="O330" s="21">
        <v>1.5113799999999999</v>
      </c>
      <c r="P330" s="21">
        <v>12.820499999999999</v>
      </c>
      <c r="Q330" s="21">
        <v>-1.2533600000000001E-2</v>
      </c>
      <c r="R330" s="21">
        <v>320</v>
      </c>
      <c r="S330" s="21">
        <v>1.5106200000000001</v>
      </c>
      <c r="T330">
        <f t="shared" si="50"/>
        <v>15.473580246913581</v>
      </c>
      <c r="U330">
        <f t="shared" si="51"/>
        <v>23.386459713580248</v>
      </c>
      <c r="X330" s="9"/>
      <c r="Y330" s="21">
        <v>0.20874000000000001</v>
      </c>
      <c r="Z330" s="21">
        <v>18.3993</v>
      </c>
      <c r="AA330" s="21">
        <v>-1.48895E-2</v>
      </c>
      <c r="AB330" s="21">
        <v>320</v>
      </c>
      <c r="AC330" s="21">
        <v>0.20819099999999999</v>
      </c>
      <c r="AD330">
        <f t="shared" si="52"/>
        <v>18.382098765432101</v>
      </c>
      <c r="AE330">
        <f t="shared" si="53"/>
        <v>3.837079296296297</v>
      </c>
      <c r="AF330" s="9"/>
      <c r="AG330" s="21">
        <v>1.5113799999999999</v>
      </c>
      <c r="AH330" s="21">
        <v>22.258700000000001</v>
      </c>
      <c r="AI330" s="21">
        <v>-1.2710600000000001E-2</v>
      </c>
      <c r="AJ330" s="21">
        <v>320</v>
      </c>
      <c r="AK330" s="21">
        <v>1.5106200000000001</v>
      </c>
      <c r="AL330">
        <f t="shared" si="54"/>
        <v>15.692098765432098</v>
      </c>
      <c r="AM330">
        <f t="shared" si="55"/>
        <v>23.716724232098763</v>
      </c>
      <c r="AP330" s="9"/>
      <c r="AQ330" s="21">
        <v>0.20874000000000001</v>
      </c>
      <c r="AR330" s="21">
        <v>27.807500000000001</v>
      </c>
      <c r="AS330" s="21">
        <v>-1.48895E-2</v>
      </c>
      <c r="AT330" s="21">
        <v>320</v>
      </c>
      <c r="AU330" s="21">
        <v>0.20825199999999999</v>
      </c>
      <c r="AV330">
        <f t="shared" si="56"/>
        <v>18.382098765432101</v>
      </c>
      <c r="AW330">
        <f t="shared" si="57"/>
        <v>3.837079296296297</v>
      </c>
      <c r="AX330" s="9"/>
      <c r="AY330" s="21">
        <v>1.5113799999999999</v>
      </c>
      <c r="AZ330" s="21">
        <v>31.667000000000002</v>
      </c>
      <c r="BA330" s="21">
        <v>-1.2643400000000001E-2</v>
      </c>
      <c r="BB330" s="21">
        <v>320</v>
      </c>
      <c r="BC330" s="21">
        <v>1.51031</v>
      </c>
      <c r="BD330">
        <f t="shared" si="58"/>
        <v>15.609135802469137</v>
      </c>
      <c r="BE330">
        <f t="shared" si="59"/>
        <v>23.591335669135802</v>
      </c>
    </row>
    <row r="331" spans="6:57" x14ac:dyDescent="0.25">
      <c r="F331" s="9"/>
      <c r="G331" s="21">
        <v>0.203705</v>
      </c>
      <c r="H331" s="21">
        <v>8.9711300000000005</v>
      </c>
      <c r="I331" s="21">
        <v>-1.49628E-2</v>
      </c>
      <c r="J331" s="21">
        <v>321</v>
      </c>
      <c r="K331" s="21">
        <v>0.203125</v>
      </c>
      <c r="L331">
        <f t="shared" si="48"/>
        <v>18.472592592592594</v>
      </c>
      <c r="M331">
        <f t="shared" si="49"/>
        <v>3.7629594740740742</v>
      </c>
      <c r="N331" s="9"/>
      <c r="O331" s="21">
        <v>1.5164200000000001</v>
      </c>
      <c r="P331" s="21">
        <v>12.8306</v>
      </c>
      <c r="Q331" s="21">
        <v>-1.2460300000000001E-2</v>
      </c>
      <c r="R331" s="21">
        <v>321</v>
      </c>
      <c r="S331" s="21">
        <v>1.5155000000000001</v>
      </c>
      <c r="T331">
        <f t="shared" si="50"/>
        <v>15.383086419753086</v>
      </c>
      <c r="U331">
        <f t="shared" si="51"/>
        <v>23.327219908641975</v>
      </c>
      <c r="X331" s="9"/>
      <c r="Y331" s="21">
        <v>0.203705</v>
      </c>
      <c r="Z331" s="21">
        <v>18.409300000000002</v>
      </c>
      <c r="AA331" s="21">
        <v>-1.4892600000000001E-2</v>
      </c>
      <c r="AB331" s="21">
        <v>321</v>
      </c>
      <c r="AC331" s="21">
        <v>0.20324700000000001</v>
      </c>
      <c r="AD331">
        <f t="shared" si="52"/>
        <v>18.385925925925928</v>
      </c>
      <c r="AE331">
        <f t="shared" si="53"/>
        <v>3.7453050407407411</v>
      </c>
      <c r="AF331" s="9"/>
      <c r="AG331" s="21">
        <v>1.5164200000000001</v>
      </c>
      <c r="AH331" s="21">
        <v>22.268799999999999</v>
      </c>
      <c r="AI331" s="21">
        <v>-1.2655599999999999E-2</v>
      </c>
      <c r="AJ331" s="21">
        <v>321</v>
      </c>
      <c r="AK331" s="21">
        <v>1.5148900000000001</v>
      </c>
      <c r="AL331">
        <f t="shared" si="54"/>
        <v>15.624197530864196</v>
      </c>
      <c r="AM331">
        <f t="shared" si="55"/>
        <v>23.692845619753086</v>
      </c>
      <c r="AP331" s="9"/>
      <c r="AQ331" s="21">
        <v>0.203705</v>
      </c>
      <c r="AR331" s="21">
        <v>27.817599999999999</v>
      </c>
      <c r="AS331" s="21">
        <v>-1.48865E-2</v>
      </c>
      <c r="AT331" s="21">
        <v>321</v>
      </c>
      <c r="AU331" s="21">
        <v>0.20318600000000001</v>
      </c>
      <c r="AV331">
        <f t="shared" si="56"/>
        <v>18.378395061728394</v>
      </c>
      <c r="AW331">
        <f t="shared" si="57"/>
        <v>3.7437709660493823</v>
      </c>
      <c r="AX331" s="9"/>
      <c r="AY331" s="21">
        <v>1.5164200000000001</v>
      </c>
      <c r="AZ331" s="21">
        <v>31.677</v>
      </c>
      <c r="BA331" s="21">
        <v>-1.2588500000000001E-2</v>
      </c>
      <c r="BB331" s="21">
        <v>321</v>
      </c>
      <c r="BC331" s="21">
        <v>1.5161100000000001</v>
      </c>
      <c r="BD331">
        <f t="shared" si="58"/>
        <v>15.541358024691359</v>
      </c>
      <c r="BE331">
        <f t="shared" si="59"/>
        <v>23.567226135802471</v>
      </c>
    </row>
    <row r="332" spans="6:57" x14ac:dyDescent="0.25">
      <c r="F332" s="9"/>
      <c r="G332" s="21">
        <v>0.19866900000000001</v>
      </c>
      <c r="H332" s="21">
        <v>8.9811999999999994</v>
      </c>
      <c r="I332" s="21">
        <v>-1.4953599999999999E-2</v>
      </c>
      <c r="J332" s="21">
        <v>322</v>
      </c>
      <c r="K332" s="21">
        <v>0.19811999999999999</v>
      </c>
      <c r="L332">
        <f t="shared" ref="L332:L392" si="60">-I332/$F$2*1000</f>
        <v>18.461234567901233</v>
      </c>
      <c r="M332">
        <f t="shared" ref="M332:M392" si="61">L332*G332</f>
        <v>3.6676750103703704</v>
      </c>
      <c r="N332" s="9"/>
      <c r="O332" s="21">
        <v>1.52145</v>
      </c>
      <c r="P332" s="21">
        <v>12.8407</v>
      </c>
      <c r="Q332" s="21">
        <v>-1.2383999999999999E-2</v>
      </c>
      <c r="R332" s="21">
        <v>322</v>
      </c>
      <c r="S332" s="21">
        <v>1.5203899999999999</v>
      </c>
      <c r="T332">
        <f t="shared" ref="T332:T392" si="62">-Q332/$F$2*1000</f>
        <v>15.288888888888886</v>
      </c>
      <c r="U332">
        <f t="shared" ref="U332:U392" si="63">T332*O332</f>
        <v>23.261279999999996</v>
      </c>
      <c r="X332" s="9"/>
      <c r="Y332" s="21">
        <v>0.19866900000000001</v>
      </c>
      <c r="Z332" s="21">
        <v>18.4194</v>
      </c>
      <c r="AA332" s="21">
        <v>-1.48956E-2</v>
      </c>
      <c r="AB332" s="21">
        <v>322</v>
      </c>
      <c r="AC332" s="21">
        <v>0.198273</v>
      </c>
      <c r="AD332">
        <f t="shared" ref="AD332:AD392" si="64">-AA332/$F$2*1000</f>
        <v>18.389629629629628</v>
      </c>
      <c r="AE332">
        <f t="shared" ref="AE332:AE392" si="65">AD332*Y332</f>
        <v>3.6534493288888887</v>
      </c>
      <c r="AF332" s="9"/>
      <c r="AG332" s="21">
        <v>1.52145</v>
      </c>
      <c r="AH332" s="21">
        <v>22.2789</v>
      </c>
      <c r="AI332" s="21">
        <v>-1.2594599999999999E-2</v>
      </c>
      <c r="AJ332" s="21">
        <v>322</v>
      </c>
      <c r="AK332" s="21">
        <v>1.5213000000000001</v>
      </c>
      <c r="AL332">
        <f t="shared" ref="AL332:AL392" si="66">-AI332/$F$2*1000</f>
        <v>15.548888888888886</v>
      </c>
      <c r="AM332">
        <f t="shared" ref="AM332:AM392" si="67">AL332*AG332</f>
        <v>23.656856999999995</v>
      </c>
      <c r="AP332" s="9"/>
      <c r="AQ332" s="21">
        <v>0.19866900000000001</v>
      </c>
      <c r="AR332" s="21">
        <v>27.8276</v>
      </c>
      <c r="AS332" s="21">
        <v>-1.48865E-2</v>
      </c>
      <c r="AT332" s="21">
        <v>322</v>
      </c>
      <c r="AU332" s="21">
        <v>0.19808999999999999</v>
      </c>
      <c r="AV332">
        <f t="shared" ref="AV332:AV392" si="68">-AS332/$F$2*1000</f>
        <v>18.378395061728394</v>
      </c>
      <c r="AW332">
        <f t="shared" ref="AW332:AW392" si="69">AV332*AQ332</f>
        <v>3.6512173685185187</v>
      </c>
      <c r="AX332" s="9"/>
      <c r="AY332" s="21">
        <v>1.52145</v>
      </c>
      <c r="AZ332" s="21">
        <v>31.687100000000001</v>
      </c>
      <c r="BA332" s="21">
        <v>-1.25305E-2</v>
      </c>
      <c r="BB332" s="21">
        <v>322</v>
      </c>
      <c r="BC332" s="21">
        <v>1.5206900000000001</v>
      </c>
      <c r="BD332">
        <f t="shared" ref="BD332:BD392" si="70">-BA332/$F$2*1000</f>
        <v>15.469753086419752</v>
      </c>
      <c r="BE332">
        <f t="shared" ref="BE332:BE392" si="71">BD332*AY332</f>
        <v>23.536455833333331</v>
      </c>
    </row>
    <row r="333" spans="6:57" x14ac:dyDescent="0.25">
      <c r="F333" s="9"/>
      <c r="G333" s="21">
        <v>0.193634</v>
      </c>
      <c r="H333" s="21">
        <v>8.9912700000000001</v>
      </c>
      <c r="I333" s="21">
        <v>-1.4947500000000001E-2</v>
      </c>
      <c r="J333" s="21">
        <v>323</v>
      </c>
      <c r="K333" s="21">
        <v>0.19311500000000001</v>
      </c>
      <c r="L333">
        <f t="shared" si="60"/>
        <v>18.453703703703706</v>
      </c>
      <c r="M333">
        <f t="shared" si="61"/>
        <v>3.5732644629629635</v>
      </c>
      <c r="N333" s="9"/>
      <c r="O333" s="21">
        <v>1.5264899999999999</v>
      </c>
      <c r="P333" s="21">
        <v>12.8507</v>
      </c>
      <c r="Q333" s="21">
        <v>-1.23108E-2</v>
      </c>
      <c r="R333" s="21">
        <v>323</v>
      </c>
      <c r="S333" s="21">
        <v>1.5258799999999999</v>
      </c>
      <c r="T333">
        <f t="shared" si="62"/>
        <v>15.198518518518517</v>
      </c>
      <c r="U333">
        <f t="shared" si="63"/>
        <v>23.200386533333329</v>
      </c>
      <c r="X333" s="9"/>
      <c r="Y333" s="21">
        <v>0.193634</v>
      </c>
      <c r="Z333" s="21">
        <v>18.429500000000001</v>
      </c>
      <c r="AA333" s="21">
        <v>-1.49017E-2</v>
      </c>
      <c r="AB333" s="21">
        <v>323</v>
      </c>
      <c r="AC333" s="21">
        <v>0.193054</v>
      </c>
      <c r="AD333">
        <f t="shared" si="64"/>
        <v>18.397160493827158</v>
      </c>
      <c r="AE333">
        <f t="shared" si="65"/>
        <v>3.562315775061728</v>
      </c>
      <c r="AF333" s="9"/>
      <c r="AG333" s="21">
        <v>1.5264899999999999</v>
      </c>
      <c r="AH333" s="21">
        <v>22.289000000000001</v>
      </c>
      <c r="AI333" s="21">
        <v>-1.2533600000000001E-2</v>
      </c>
      <c r="AJ333" s="21">
        <v>323</v>
      </c>
      <c r="AK333" s="21">
        <v>1.5258799999999999</v>
      </c>
      <c r="AL333">
        <f t="shared" si="66"/>
        <v>15.473580246913581</v>
      </c>
      <c r="AM333">
        <f t="shared" si="67"/>
        <v>23.620265511111111</v>
      </c>
      <c r="AP333" s="9"/>
      <c r="AQ333" s="21">
        <v>0.193634</v>
      </c>
      <c r="AR333" s="21">
        <v>27.837700000000002</v>
      </c>
      <c r="AS333" s="21">
        <v>-1.48804E-2</v>
      </c>
      <c r="AT333" s="21">
        <v>323</v>
      </c>
      <c r="AU333" s="21">
        <v>0.19308500000000001</v>
      </c>
      <c r="AV333">
        <f t="shared" si="68"/>
        <v>18.370864197530864</v>
      </c>
      <c r="AW333">
        <f t="shared" si="69"/>
        <v>3.5572239180246914</v>
      </c>
      <c r="AX333" s="9"/>
      <c r="AY333" s="21">
        <v>1.5264899999999999</v>
      </c>
      <c r="AZ333" s="21">
        <v>31.697199999999999</v>
      </c>
      <c r="BA333" s="21">
        <v>-1.2463399999999999E-2</v>
      </c>
      <c r="BB333" s="21">
        <v>323</v>
      </c>
      <c r="BC333" s="21">
        <v>1.5261800000000001</v>
      </c>
      <c r="BD333">
        <f t="shared" si="70"/>
        <v>15.386913580246912</v>
      </c>
      <c r="BE333">
        <f t="shared" si="71"/>
        <v>23.487969711111106</v>
      </c>
    </row>
    <row r="334" spans="6:57" x14ac:dyDescent="0.25">
      <c r="F334" s="9"/>
      <c r="G334" s="21">
        <v>0.18859899999999999</v>
      </c>
      <c r="H334" s="21">
        <v>9.0013400000000008</v>
      </c>
      <c r="I334" s="21">
        <v>-1.49628E-2</v>
      </c>
      <c r="J334" s="21">
        <v>324</v>
      </c>
      <c r="K334" s="21">
        <v>0.18801899999999999</v>
      </c>
      <c r="L334">
        <f t="shared" si="60"/>
        <v>18.472592592592594</v>
      </c>
      <c r="M334">
        <f t="shared" si="61"/>
        <v>3.4839124903703707</v>
      </c>
      <c r="N334" s="9"/>
      <c r="O334" s="21">
        <v>1.53152</v>
      </c>
      <c r="P334" s="21">
        <v>12.860799999999999</v>
      </c>
      <c r="Q334" s="21">
        <v>-1.2246699999999999E-2</v>
      </c>
      <c r="R334" s="21">
        <v>324</v>
      </c>
      <c r="S334" s="21">
        <v>1.5304599999999999</v>
      </c>
      <c r="T334">
        <f t="shared" si="62"/>
        <v>15.11938271604938</v>
      </c>
      <c r="U334">
        <f t="shared" si="63"/>
        <v>23.155637017283947</v>
      </c>
      <c r="X334" s="9"/>
      <c r="Y334" s="21">
        <v>0.18859899999999999</v>
      </c>
      <c r="Z334" s="21">
        <v>18.439599999999999</v>
      </c>
      <c r="AA334" s="21">
        <v>-1.4907800000000001E-2</v>
      </c>
      <c r="AB334" s="21">
        <v>324</v>
      </c>
      <c r="AC334" s="21">
        <v>0.18811</v>
      </c>
      <c r="AD334">
        <f t="shared" si="64"/>
        <v>18.404691358024692</v>
      </c>
      <c r="AE334">
        <f t="shared" si="65"/>
        <v>3.4711063854320989</v>
      </c>
      <c r="AF334" s="9"/>
      <c r="AG334" s="21">
        <v>1.53152</v>
      </c>
      <c r="AH334" s="21">
        <v>22.298999999999999</v>
      </c>
      <c r="AI334" s="21">
        <v>-1.2466400000000001E-2</v>
      </c>
      <c r="AJ334" s="21">
        <v>324</v>
      </c>
      <c r="AK334" s="21">
        <v>1.5307599999999999</v>
      </c>
      <c r="AL334">
        <f t="shared" si="66"/>
        <v>15.390617283950617</v>
      </c>
      <c r="AM334">
        <f t="shared" si="67"/>
        <v>23.571038182716048</v>
      </c>
      <c r="AP334" s="9"/>
      <c r="AQ334" s="21">
        <v>0.18859899999999999</v>
      </c>
      <c r="AR334" s="21">
        <v>27.847799999999999</v>
      </c>
      <c r="AS334" s="21">
        <v>-1.48743E-2</v>
      </c>
      <c r="AT334" s="21">
        <v>324</v>
      </c>
      <c r="AU334" s="21">
        <v>0.18798799999999999</v>
      </c>
      <c r="AV334">
        <f t="shared" si="68"/>
        <v>18.363333333333333</v>
      </c>
      <c r="AW334">
        <f t="shared" si="69"/>
        <v>3.4633063033333333</v>
      </c>
      <c r="AX334" s="9"/>
      <c r="AY334" s="21">
        <v>1.53152</v>
      </c>
      <c r="AZ334" s="21">
        <v>31.7073</v>
      </c>
      <c r="BA334" s="21">
        <v>-1.23962E-2</v>
      </c>
      <c r="BB334" s="21">
        <v>324</v>
      </c>
      <c r="BC334" s="21">
        <v>1.5310699999999999</v>
      </c>
      <c r="BD334">
        <f t="shared" si="70"/>
        <v>15.303950617283951</v>
      </c>
      <c r="BE334">
        <f t="shared" si="71"/>
        <v>23.438306449382715</v>
      </c>
    </row>
    <row r="335" spans="6:57" x14ac:dyDescent="0.25">
      <c r="F335" s="9"/>
      <c r="G335" s="21">
        <v>0.183563</v>
      </c>
      <c r="H335" s="21">
        <v>9.0114099999999997</v>
      </c>
      <c r="I335" s="21">
        <v>-1.49658E-2</v>
      </c>
      <c r="J335" s="21">
        <v>325</v>
      </c>
      <c r="K335" s="21">
        <v>0.18304400000000001</v>
      </c>
      <c r="L335">
        <f t="shared" si="60"/>
        <v>18.476296296296297</v>
      </c>
      <c r="M335">
        <f t="shared" si="61"/>
        <v>3.3915643770370374</v>
      </c>
      <c r="N335" s="9"/>
      <c r="O335" s="21">
        <v>1.5365599999999999</v>
      </c>
      <c r="P335" s="21">
        <v>12.870900000000001</v>
      </c>
      <c r="Q335" s="21">
        <v>-1.21765E-2</v>
      </c>
      <c r="R335" s="21">
        <v>325</v>
      </c>
      <c r="S335" s="21">
        <v>1.5359499999999999</v>
      </c>
      <c r="T335">
        <f t="shared" si="62"/>
        <v>15.032716049382715</v>
      </c>
      <c r="U335">
        <f t="shared" si="63"/>
        <v>23.098670172839505</v>
      </c>
      <c r="X335" s="9"/>
      <c r="Y335" s="21">
        <v>0.183563</v>
      </c>
      <c r="Z335" s="21">
        <v>18.4496</v>
      </c>
      <c r="AA335" s="21">
        <v>-1.4917E-2</v>
      </c>
      <c r="AB335" s="21">
        <v>325</v>
      </c>
      <c r="AC335" s="21">
        <v>0.18301400000000001</v>
      </c>
      <c r="AD335">
        <f t="shared" si="64"/>
        <v>18.416049382716047</v>
      </c>
      <c r="AE335">
        <f t="shared" si="65"/>
        <v>3.3805052728395055</v>
      </c>
      <c r="AF335" s="9"/>
      <c r="AG335" s="21">
        <v>1.5365599999999999</v>
      </c>
      <c r="AH335" s="21">
        <v>22.309100000000001</v>
      </c>
      <c r="AI335" s="21">
        <v>-1.23932E-2</v>
      </c>
      <c r="AJ335" s="21">
        <v>325</v>
      </c>
      <c r="AK335" s="21">
        <v>1.5359499999999999</v>
      </c>
      <c r="AL335">
        <f t="shared" si="66"/>
        <v>15.300246913580246</v>
      </c>
      <c r="AM335">
        <f t="shared" si="67"/>
        <v>23.509747397530862</v>
      </c>
      <c r="AP335" s="9"/>
      <c r="AQ335" s="21">
        <v>0.183563</v>
      </c>
      <c r="AR335" s="21">
        <v>27.857900000000001</v>
      </c>
      <c r="AS335" s="21">
        <v>-1.4871199999999999E-2</v>
      </c>
      <c r="AT335" s="21">
        <v>325</v>
      </c>
      <c r="AU335" s="21">
        <v>0.18304400000000001</v>
      </c>
      <c r="AV335">
        <f t="shared" si="68"/>
        <v>18.359506172839506</v>
      </c>
      <c r="AW335">
        <f t="shared" si="69"/>
        <v>3.3701260316049382</v>
      </c>
      <c r="AX335" s="9"/>
      <c r="AY335" s="21">
        <v>1.5365599999999999</v>
      </c>
      <c r="AZ335" s="21">
        <v>31.717300000000002</v>
      </c>
      <c r="BA335" s="21">
        <v>-1.2323000000000001E-2</v>
      </c>
      <c r="BB335" s="21">
        <v>325</v>
      </c>
      <c r="BC335" s="21">
        <v>1.5365599999999999</v>
      </c>
      <c r="BD335">
        <f t="shared" si="70"/>
        <v>15.213580246913581</v>
      </c>
      <c r="BE335">
        <f t="shared" si="71"/>
        <v>23.37657886419753</v>
      </c>
    </row>
    <row r="336" spans="6:57" x14ac:dyDescent="0.25">
      <c r="F336" s="9"/>
      <c r="G336" s="21">
        <v>0.17852799999999999</v>
      </c>
      <c r="H336" s="21">
        <v>9.0214800000000004</v>
      </c>
      <c r="I336" s="21">
        <v>-1.4975E-2</v>
      </c>
      <c r="J336" s="21">
        <v>326</v>
      </c>
      <c r="K336" s="21">
        <v>0.17788699999999999</v>
      </c>
      <c r="L336">
        <f t="shared" si="60"/>
        <v>18.487654320987652</v>
      </c>
      <c r="M336">
        <f t="shared" si="61"/>
        <v>3.3005639506172835</v>
      </c>
      <c r="N336" s="9"/>
      <c r="O336" s="21">
        <v>1.5416000000000001</v>
      </c>
      <c r="P336" s="21">
        <v>12.881</v>
      </c>
      <c r="Q336" s="21">
        <v>-1.21002E-2</v>
      </c>
      <c r="R336" s="21">
        <v>326</v>
      </c>
      <c r="S336" s="21">
        <v>1.5408299999999999</v>
      </c>
      <c r="T336">
        <f t="shared" si="62"/>
        <v>14.938518518518517</v>
      </c>
      <c r="U336">
        <f t="shared" si="63"/>
        <v>23.029220148148148</v>
      </c>
      <c r="X336" s="9"/>
      <c r="Y336" s="21">
        <v>0.17852799999999999</v>
      </c>
      <c r="Z336" s="21">
        <v>18.459700000000002</v>
      </c>
      <c r="AA336" s="21">
        <v>-1.4919999999999999E-2</v>
      </c>
      <c r="AB336" s="21">
        <v>326</v>
      </c>
      <c r="AC336" s="21">
        <v>0.17807000000000001</v>
      </c>
      <c r="AD336">
        <f t="shared" si="64"/>
        <v>18.41975308641975</v>
      </c>
      <c r="AE336">
        <f t="shared" si="65"/>
        <v>3.2884416790123447</v>
      </c>
      <c r="AF336" s="9"/>
      <c r="AG336" s="21">
        <v>1.5416000000000001</v>
      </c>
      <c r="AH336" s="21">
        <v>22.319199999999999</v>
      </c>
      <c r="AI336" s="21">
        <v>-1.23169E-2</v>
      </c>
      <c r="AJ336" s="21">
        <v>326</v>
      </c>
      <c r="AK336" s="21">
        <v>1.5408299999999999</v>
      </c>
      <c r="AL336">
        <f t="shared" si="66"/>
        <v>15.206049382716049</v>
      </c>
      <c r="AM336">
        <f t="shared" si="67"/>
        <v>23.441645728395063</v>
      </c>
      <c r="AP336" s="9"/>
      <c r="AQ336" s="21">
        <v>0.17852799999999999</v>
      </c>
      <c r="AR336" s="21">
        <v>27.867899999999999</v>
      </c>
      <c r="AS336" s="21">
        <v>-1.4871199999999999E-2</v>
      </c>
      <c r="AT336" s="21">
        <v>326</v>
      </c>
      <c r="AU336" s="21">
        <v>0.177948</v>
      </c>
      <c r="AV336">
        <f t="shared" si="68"/>
        <v>18.359506172839506</v>
      </c>
      <c r="AW336">
        <f t="shared" si="69"/>
        <v>3.2776859180246913</v>
      </c>
      <c r="AX336" s="9"/>
      <c r="AY336" s="21">
        <v>1.5416000000000001</v>
      </c>
      <c r="AZ336" s="21">
        <v>31.727399999999999</v>
      </c>
      <c r="BA336" s="21">
        <v>-1.2265E-2</v>
      </c>
      <c r="BB336" s="21">
        <v>326</v>
      </c>
      <c r="BC336" s="21">
        <v>1.5408299999999999</v>
      </c>
      <c r="BD336">
        <f t="shared" si="70"/>
        <v>15.141975308641973</v>
      </c>
      <c r="BE336">
        <f t="shared" si="71"/>
        <v>23.342869135802466</v>
      </c>
    </row>
    <row r="337" spans="6:57" x14ac:dyDescent="0.25">
      <c r="F337" s="9"/>
      <c r="G337" s="21">
        <v>0.17349200000000001</v>
      </c>
      <c r="H337" s="21">
        <v>9.0315499999999993</v>
      </c>
      <c r="I337" s="21">
        <v>-1.4978E-2</v>
      </c>
      <c r="J337" s="21">
        <v>327</v>
      </c>
      <c r="K337" s="21">
        <v>0.17285200000000001</v>
      </c>
      <c r="L337">
        <f t="shared" si="60"/>
        <v>18.491358024691355</v>
      </c>
      <c r="M337">
        <f t="shared" si="61"/>
        <v>3.2081026864197528</v>
      </c>
      <c r="N337" s="9"/>
      <c r="O337" s="21">
        <v>1.5466299999999999</v>
      </c>
      <c r="P337" s="21">
        <v>12.891</v>
      </c>
      <c r="Q337" s="21">
        <v>-1.2023900000000001E-2</v>
      </c>
      <c r="R337" s="21">
        <v>327</v>
      </c>
      <c r="S337" s="21">
        <v>1.5460199999999999</v>
      </c>
      <c r="T337">
        <f t="shared" si="62"/>
        <v>14.844320987654321</v>
      </c>
      <c r="U337">
        <f t="shared" si="63"/>
        <v>22.958672169135802</v>
      </c>
      <c r="X337" s="9"/>
      <c r="Y337" s="21">
        <v>0.17349200000000001</v>
      </c>
      <c r="Z337" s="21">
        <v>18.469799999999999</v>
      </c>
      <c r="AA337" s="21">
        <v>-1.49231E-2</v>
      </c>
      <c r="AB337" s="21">
        <v>327</v>
      </c>
      <c r="AC337" s="21">
        <v>0.17297399999999999</v>
      </c>
      <c r="AD337">
        <f t="shared" si="64"/>
        <v>18.423580246913577</v>
      </c>
      <c r="AE337">
        <f t="shared" si="65"/>
        <v>3.1963437841975306</v>
      </c>
      <c r="AF337" s="9"/>
      <c r="AG337" s="21">
        <v>1.5466299999999999</v>
      </c>
      <c r="AH337" s="21">
        <v>22.3292</v>
      </c>
      <c r="AI337" s="21">
        <v>-1.22437E-2</v>
      </c>
      <c r="AJ337" s="21">
        <v>327</v>
      </c>
      <c r="AK337" s="21">
        <v>1.54633</v>
      </c>
      <c r="AL337">
        <f t="shared" si="66"/>
        <v>15.115679012345678</v>
      </c>
      <c r="AM337">
        <f t="shared" si="67"/>
        <v>23.378362630864196</v>
      </c>
      <c r="AP337" s="9"/>
      <c r="AQ337" s="21">
        <v>0.17349200000000001</v>
      </c>
      <c r="AR337" s="21">
        <v>27.878</v>
      </c>
      <c r="AS337" s="21">
        <v>-1.48865E-2</v>
      </c>
      <c r="AT337" s="21">
        <v>327</v>
      </c>
      <c r="AU337" s="21">
        <v>0.17288200000000001</v>
      </c>
      <c r="AV337">
        <f t="shared" si="68"/>
        <v>18.378395061728394</v>
      </c>
      <c r="AW337">
        <f t="shared" si="69"/>
        <v>3.1885045160493828</v>
      </c>
      <c r="AX337" s="9"/>
      <c r="AY337" s="21">
        <v>1.5466299999999999</v>
      </c>
      <c r="AZ337" s="21">
        <v>31.737500000000001</v>
      </c>
      <c r="BA337" s="21">
        <v>-1.21796E-2</v>
      </c>
      <c r="BB337" s="21">
        <v>327</v>
      </c>
      <c r="BC337" s="21">
        <v>1.54572</v>
      </c>
      <c r="BD337">
        <f t="shared" si="70"/>
        <v>15.036543209876543</v>
      </c>
      <c r="BE337">
        <f t="shared" si="71"/>
        <v>23.255968824691358</v>
      </c>
    </row>
    <row r="338" spans="6:57" x14ac:dyDescent="0.25">
      <c r="F338" s="9"/>
      <c r="G338" s="21">
        <v>0.168457</v>
      </c>
      <c r="H338" s="21">
        <v>9.04162</v>
      </c>
      <c r="I338" s="21">
        <v>-1.4975E-2</v>
      </c>
      <c r="J338" s="21">
        <v>328</v>
      </c>
      <c r="K338" s="21">
        <v>0.167847</v>
      </c>
      <c r="L338">
        <f t="shared" si="60"/>
        <v>18.487654320987652</v>
      </c>
      <c r="M338">
        <f t="shared" si="61"/>
        <v>3.1143747839506166</v>
      </c>
      <c r="N338" s="9"/>
      <c r="O338" s="21">
        <v>1.5516700000000001</v>
      </c>
      <c r="P338" s="21">
        <v>12.9011</v>
      </c>
      <c r="Q338" s="21">
        <v>-1.1938499999999999E-2</v>
      </c>
      <c r="R338" s="21">
        <v>328</v>
      </c>
      <c r="S338" s="21">
        <v>1.5506</v>
      </c>
      <c r="T338">
        <f t="shared" si="62"/>
        <v>14.738888888888887</v>
      </c>
      <c r="U338">
        <f t="shared" si="63"/>
        <v>22.869891722222221</v>
      </c>
      <c r="X338" s="9"/>
      <c r="Y338" s="21">
        <v>0.168457</v>
      </c>
      <c r="Z338" s="21">
        <v>18.479800000000001</v>
      </c>
      <c r="AA338" s="21">
        <v>-1.49353E-2</v>
      </c>
      <c r="AB338" s="21">
        <v>328</v>
      </c>
      <c r="AC338" s="21">
        <v>0.16781599999999999</v>
      </c>
      <c r="AD338">
        <f t="shared" si="64"/>
        <v>18.438641975308641</v>
      </c>
      <c r="AE338">
        <f t="shared" si="65"/>
        <v>3.1061183112345678</v>
      </c>
      <c r="AF338" s="9"/>
      <c r="AG338" s="21">
        <v>1.5516700000000001</v>
      </c>
      <c r="AH338" s="21">
        <v>22.339300000000001</v>
      </c>
      <c r="AI338" s="21">
        <v>-1.21674E-2</v>
      </c>
      <c r="AJ338" s="21">
        <v>328</v>
      </c>
      <c r="AK338" s="21">
        <v>1.5508999999999999</v>
      </c>
      <c r="AL338">
        <f t="shared" si="66"/>
        <v>15.021481481481482</v>
      </c>
      <c r="AM338">
        <f t="shared" si="67"/>
        <v>23.308382170370372</v>
      </c>
      <c r="AP338" s="9"/>
      <c r="AQ338" s="21">
        <v>0.168457</v>
      </c>
      <c r="AR338" s="21">
        <v>27.888100000000001</v>
      </c>
      <c r="AS338" s="21">
        <v>-1.48895E-2</v>
      </c>
      <c r="AT338" s="21">
        <v>328</v>
      </c>
      <c r="AU338" s="21">
        <v>0.167908</v>
      </c>
      <c r="AV338">
        <f t="shared" si="68"/>
        <v>18.382098765432101</v>
      </c>
      <c r="AW338">
        <f t="shared" si="69"/>
        <v>3.0965932117283952</v>
      </c>
      <c r="AX338" s="9"/>
      <c r="AY338" s="21">
        <v>1.5516700000000001</v>
      </c>
      <c r="AZ338" s="21">
        <v>31.747499999999999</v>
      </c>
      <c r="BA338" s="21">
        <v>-1.2097200000000001E-2</v>
      </c>
      <c r="BB338" s="21">
        <v>328</v>
      </c>
      <c r="BC338" s="21">
        <v>1.55121</v>
      </c>
      <c r="BD338">
        <f t="shared" si="70"/>
        <v>14.934814814814814</v>
      </c>
      <c r="BE338">
        <f t="shared" si="71"/>
        <v>23.173904103703705</v>
      </c>
    </row>
    <row r="339" spans="6:57" x14ac:dyDescent="0.25">
      <c r="F339" s="9"/>
      <c r="G339" s="21">
        <v>0.16342200000000001</v>
      </c>
      <c r="H339" s="21">
        <v>9.0516900000000007</v>
      </c>
      <c r="I339" s="21">
        <v>-1.4975E-2</v>
      </c>
      <c r="J339" s="21">
        <v>329</v>
      </c>
      <c r="K339" s="21">
        <v>0.16287199999999999</v>
      </c>
      <c r="L339">
        <f t="shared" si="60"/>
        <v>18.487654320987652</v>
      </c>
      <c r="M339">
        <f t="shared" si="61"/>
        <v>3.0212894444444442</v>
      </c>
      <c r="N339" s="9"/>
      <c r="O339" s="21">
        <v>1.5567</v>
      </c>
      <c r="P339" s="21">
        <v>12.911199999999999</v>
      </c>
      <c r="Q339" s="21">
        <v>-1.1853000000000001E-2</v>
      </c>
      <c r="R339" s="21">
        <v>329</v>
      </c>
      <c r="S339" s="21">
        <v>1.55609</v>
      </c>
      <c r="T339">
        <f t="shared" si="62"/>
        <v>14.633333333333333</v>
      </c>
      <c r="U339">
        <f t="shared" si="63"/>
        <v>22.779709999999998</v>
      </c>
      <c r="X339" s="9"/>
      <c r="Y339" s="21">
        <v>0.16342200000000001</v>
      </c>
      <c r="Z339" s="21">
        <v>18.489899999999999</v>
      </c>
      <c r="AA339" s="21">
        <v>-1.4947500000000001E-2</v>
      </c>
      <c r="AB339" s="21">
        <v>329</v>
      </c>
      <c r="AC339" s="21">
        <v>0.16287199999999999</v>
      </c>
      <c r="AD339">
        <f t="shared" si="64"/>
        <v>18.453703703703706</v>
      </c>
      <c r="AE339">
        <f t="shared" si="65"/>
        <v>3.0157411666666674</v>
      </c>
      <c r="AF339" s="9"/>
      <c r="AG339" s="21">
        <v>1.5567</v>
      </c>
      <c r="AH339" s="21">
        <v>22.349399999999999</v>
      </c>
      <c r="AI339" s="21">
        <v>-1.20911E-2</v>
      </c>
      <c r="AJ339" s="21">
        <v>329</v>
      </c>
      <c r="AK339" s="21">
        <v>1.55609</v>
      </c>
      <c r="AL339">
        <f t="shared" si="66"/>
        <v>14.927283950617284</v>
      </c>
      <c r="AM339">
        <f t="shared" si="67"/>
        <v>23.237302925925924</v>
      </c>
      <c r="AP339" s="9"/>
      <c r="AQ339" s="21">
        <v>0.16342200000000001</v>
      </c>
      <c r="AR339" s="21">
        <v>27.898099999999999</v>
      </c>
      <c r="AS339" s="21">
        <v>-1.48865E-2</v>
      </c>
      <c r="AT339" s="21">
        <v>329</v>
      </c>
      <c r="AU339" s="21">
        <v>0.16287199999999999</v>
      </c>
      <c r="AV339">
        <f t="shared" si="68"/>
        <v>18.378395061728394</v>
      </c>
      <c r="AW339">
        <f t="shared" si="69"/>
        <v>3.0034340777777779</v>
      </c>
      <c r="AX339" s="9"/>
      <c r="AY339" s="21">
        <v>1.5567</v>
      </c>
      <c r="AZ339" s="21">
        <v>31.7576</v>
      </c>
      <c r="BA339" s="21">
        <v>-1.20117E-2</v>
      </c>
      <c r="BB339" s="21">
        <v>329</v>
      </c>
      <c r="BC339" s="21">
        <v>1.55609</v>
      </c>
      <c r="BD339">
        <f t="shared" si="70"/>
        <v>14.82925925925926</v>
      </c>
      <c r="BE339">
        <f t="shared" si="71"/>
        <v>23.084707888888889</v>
      </c>
    </row>
    <row r="340" spans="6:57" x14ac:dyDescent="0.25">
      <c r="F340" s="9"/>
      <c r="G340" s="21">
        <v>0.158386</v>
      </c>
      <c r="H340" s="21">
        <v>9.0617599999999996</v>
      </c>
      <c r="I340" s="21">
        <v>-1.49689E-2</v>
      </c>
      <c r="J340" s="21">
        <v>330</v>
      </c>
      <c r="K340" s="21">
        <v>0.15783700000000001</v>
      </c>
      <c r="L340">
        <f t="shared" si="60"/>
        <v>18.480123456790125</v>
      </c>
      <c r="M340">
        <f t="shared" si="61"/>
        <v>2.9269928338271605</v>
      </c>
      <c r="N340" s="9"/>
      <c r="O340" s="21">
        <v>1.5617399999999999</v>
      </c>
      <c r="P340" s="21">
        <v>12.921200000000001</v>
      </c>
      <c r="Q340" s="21">
        <v>-1.17523E-2</v>
      </c>
      <c r="R340" s="21">
        <v>330</v>
      </c>
      <c r="S340" s="21">
        <v>1.56036</v>
      </c>
      <c r="T340">
        <f t="shared" si="62"/>
        <v>14.509012345679011</v>
      </c>
      <c r="U340">
        <f t="shared" si="63"/>
        <v>22.659304940740736</v>
      </c>
      <c r="X340" s="9"/>
      <c r="Y340" s="21">
        <v>0.158386</v>
      </c>
      <c r="Z340" s="21">
        <v>18.5</v>
      </c>
      <c r="AA340" s="21">
        <v>-1.4941400000000001E-2</v>
      </c>
      <c r="AB340" s="21">
        <v>330</v>
      </c>
      <c r="AC340" s="21">
        <v>0.15789800000000001</v>
      </c>
      <c r="AD340">
        <f t="shared" si="64"/>
        <v>18.446172839506172</v>
      </c>
      <c r="AE340">
        <f t="shared" si="65"/>
        <v>2.9216155313580243</v>
      </c>
      <c r="AF340" s="9"/>
      <c r="AG340" s="21">
        <v>1.5617399999999999</v>
      </c>
      <c r="AH340" s="21">
        <v>22.359500000000001</v>
      </c>
      <c r="AI340" s="21">
        <v>-1.2008700000000001E-2</v>
      </c>
      <c r="AJ340" s="21">
        <v>330</v>
      </c>
      <c r="AK340" s="21">
        <v>1.56128</v>
      </c>
      <c r="AL340">
        <f t="shared" si="66"/>
        <v>14.825555555555555</v>
      </c>
      <c r="AM340">
        <f t="shared" si="67"/>
        <v>23.153663133333332</v>
      </c>
      <c r="AP340" s="9"/>
      <c r="AQ340" s="21">
        <v>0.158386</v>
      </c>
      <c r="AR340" s="21">
        <v>27.908200000000001</v>
      </c>
      <c r="AS340" s="21">
        <v>-1.48804E-2</v>
      </c>
      <c r="AT340" s="21">
        <v>330</v>
      </c>
      <c r="AU340" s="21">
        <v>0.157776</v>
      </c>
      <c r="AV340">
        <f t="shared" si="68"/>
        <v>18.370864197530864</v>
      </c>
      <c r="AW340">
        <f t="shared" si="69"/>
        <v>2.9096876967901233</v>
      </c>
      <c r="AX340" s="9"/>
      <c r="AY340" s="21">
        <v>1.5617399999999999</v>
      </c>
      <c r="AZ340" s="21">
        <v>31.767700000000001</v>
      </c>
      <c r="BA340" s="21">
        <v>-1.1932399999999999E-2</v>
      </c>
      <c r="BB340" s="21">
        <v>330</v>
      </c>
      <c r="BC340" s="21">
        <v>1.56097</v>
      </c>
      <c r="BD340">
        <f t="shared" si="70"/>
        <v>14.731358024691357</v>
      </c>
      <c r="BE340">
        <f t="shared" si="71"/>
        <v>23.006551081481479</v>
      </c>
    </row>
    <row r="341" spans="6:57" x14ac:dyDescent="0.25">
      <c r="F341" s="9"/>
      <c r="G341" s="21">
        <v>0.15335099999999999</v>
      </c>
      <c r="H341" s="21">
        <v>9.0718399999999999</v>
      </c>
      <c r="I341" s="21">
        <v>-1.49628E-2</v>
      </c>
      <c r="J341" s="21">
        <v>331</v>
      </c>
      <c r="K341" s="21">
        <v>0.152863</v>
      </c>
      <c r="L341">
        <f t="shared" si="60"/>
        <v>18.472592592592594</v>
      </c>
      <c r="M341">
        <f t="shared" si="61"/>
        <v>2.8327905466666667</v>
      </c>
      <c r="N341" s="9"/>
      <c r="O341" s="21">
        <v>1.56677</v>
      </c>
      <c r="P341" s="21">
        <v>12.9313</v>
      </c>
      <c r="Q341" s="21">
        <v>-1.16486E-2</v>
      </c>
      <c r="R341" s="21">
        <v>331</v>
      </c>
      <c r="S341" s="21">
        <v>1.56616</v>
      </c>
      <c r="T341">
        <f t="shared" si="62"/>
        <v>14.380987654320988</v>
      </c>
      <c r="U341">
        <f t="shared" si="63"/>
        <v>22.531700027160493</v>
      </c>
      <c r="X341" s="9"/>
      <c r="Y341" s="21">
        <v>0.15335099999999999</v>
      </c>
      <c r="Z341" s="21">
        <v>18.510100000000001</v>
      </c>
      <c r="AA341" s="21">
        <v>-1.4941400000000001E-2</v>
      </c>
      <c r="AB341" s="21">
        <v>331</v>
      </c>
      <c r="AC341" s="21">
        <v>0.15277099999999999</v>
      </c>
      <c r="AD341">
        <f t="shared" si="64"/>
        <v>18.446172839506172</v>
      </c>
      <c r="AE341">
        <f t="shared" si="65"/>
        <v>2.8287390511111106</v>
      </c>
      <c r="AF341" s="9"/>
      <c r="AG341" s="21">
        <v>1.56677</v>
      </c>
      <c r="AH341" s="21">
        <v>22.369499999999999</v>
      </c>
      <c r="AI341" s="21">
        <v>-1.1920200000000001E-2</v>
      </c>
      <c r="AJ341" s="21">
        <v>331</v>
      </c>
      <c r="AK341" s="21">
        <v>1.56586</v>
      </c>
      <c r="AL341">
        <f t="shared" si="66"/>
        <v>14.716296296296298</v>
      </c>
      <c r="AM341">
        <f t="shared" si="67"/>
        <v>23.057051548148149</v>
      </c>
      <c r="AP341" s="9"/>
      <c r="AQ341" s="21">
        <v>0.15335099999999999</v>
      </c>
      <c r="AR341" s="21">
        <v>27.918299999999999</v>
      </c>
      <c r="AS341" s="21">
        <v>-1.48773E-2</v>
      </c>
      <c r="AT341" s="21">
        <v>331</v>
      </c>
      <c r="AU341" s="21">
        <v>0.152832</v>
      </c>
      <c r="AV341">
        <f t="shared" si="68"/>
        <v>18.367037037037036</v>
      </c>
      <c r="AW341">
        <f t="shared" si="69"/>
        <v>2.8166034966666662</v>
      </c>
      <c r="AX341" s="9"/>
      <c r="AY341" s="21">
        <v>1.56677</v>
      </c>
      <c r="AZ341" s="21">
        <v>31.777799999999999</v>
      </c>
      <c r="BA341" s="21">
        <v>-1.1837800000000001E-2</v>
      </c>
      <c r="BB341" s="21">
        <v>331</v>
      </c>
      <c r="BC341" s="21">
        <v>1.56647</v>
      </c>
      <c r="BD341">
        <f t="shared" si="70"/>
        <v>14.614567901234569</v>
      </c>
      <c r="BE341">
        <f t="shared" si="71"/>
        <v>22.897666550617284</v>
      </c>
    </row>
    <row r="342" spans="6:57" x14ac:dyDescent="0.25">
      <c r="F342" s="9"/>
      <c r="G342" s="21">
        <v>0.148315</v>
      </c>
      <c r="H342" s="21">
        <v>9.0819100000000006</v>
      </c>
      <c r="I342" s="21">
        <v>-1.49628E-2</v>
      </c>
      <c r="J342" s="21">
        <v>332</v>
      </c>
      <c r="K342" s="21">
        <v>0.14776600000000001</v>
      </c>
      <c r="L342">
        <f t="shared" si="60"/>
        <v>18.472592592592594</v>
      </c>
      <c r="M342">
        <f t="shared" si="61"/>
        <v>2.7397625703703707</v>
      </c>
      <c r="N342" s="9"/>
      <c r="O342" s="21">
        <v>1.5718099999999999</v>
      </c>
      <c r="P342" s="21">
        <v>12.9414</v>
      </c>
      <c r="Q342" s="21">
        <v>-1.1554E-2</v>
      </c>
      <c r="R342" s="21">
        <v>332</v>
      </c>
      <c r="S342" s="21">
        <v>1.57104</v>
      </c>
      <c r="T342">
        <f t="shared" si="62"/>
        <v>14.264197530864198</v>
      </c>
      <c r="U342">
        <f t="shared" si="63"/>
        <v>22.420608320987654</v>
      </c>
      <c r="X342" s="9"/>
      <c r="Y342" s="21">
        <v>0.148315</v>
      </c>
      <c r="Z342" s="21">
        <v>18.520099999999999</v>
      </c>
      <c r="AA342" s="21">
        <v>-1.4941400000000001E-2</v>
      </c>
      <c r="AB342" s="21">
        <v>332</v>
      </c>
      <c r="AC342" s="21">
        <v>0.14779700000000001</v>
      </c>
      <c r="AD342">
        <f t="shared" si="64"/>
        <v>18.446172839506172</v>
      </c>
      <c r="AE342">
        <f t="shared" si="65"/>
        <v>2.7358441246913578</v>
      </c>
      <c r="AF342" s="9"/>
      <c r="AG342" s="21">
        <v>1.5718099999999999</v>
      </c>
      <c r="AH342" s="21">
        <v>22.3796</v>
      </c>
      <c r="AI342" s="21">
        <v>-1.1816399999999999E-2</v>
      </c>
      <c r="AJ342" s="21">
        <v>332</v>
      </c>
      <c r="AK342" s="21">
        <v>1.57104</v>
      </c>
      <c r="AL342">
        <f t="shared" si="66"/>
        <v>14.588148148148147</v>
      </c>
      <c r="AM342">
        <f t="shared" si="67"/>
        <v>22.929797140740739</v>
      </c>
      <c r="AP342" s="9"/>
      <c r="AQ342" s="21">
        <v>0.148315</v>
      </c>
      <c r="AR342" s="21">
        <v>27.9284</v>
      </c>
      <c r="AS342" s="21">
        <v>-1.48804E-2</v>
      </c>
      <c r="AT342" s="21">
        <v>332</v>
      </c>
      <c r="AU342" s="21">
        <v>0.14779700000000001</v>
      </c>
      <c r="AV342">
        <f t="shared" si="68"/>
        <v>18.370864197530864</v>
      </c>
      <c r="AW342">
        <f t="shared" si="69"/>
        <v>2.7246747234567903</v>
      </c>
      <c r="AX342" s="9"/>
      <c r="AY342" s="21">
        <v>1.5718099999999999</v>
      </c>
      <c r="AZ342" s="21">
        <v>31.787800000000001</v>
      </c>
      <c r="BA342" s="21">
        <v>-1.17523E-2</v>
      </c>
      <c r="BB342" s="21">
        <v>332</v>
      </c>
      <c r="BC342" s="21">
        <v>1.57135</v>
      </c>
      <c r="BD342">
        <f t="shared" si="70"/>
        <v>14.509012345679011</v>
      </c>
      <c r="BE342">
        <f t="shared" si="71"/>
        <v>22.805410695061724</v>
      </c>
    </row>
    <row r="343" spans="6:57" x14ac:dyDescent="0.25">
      <c r="F343" s="9"/>
      <c r="G343" s="21">
        <v>0.14327999999999999</v>
      </c>
      <c r="H343" s="21">
        <v>9.0919799999999995</v>
      </c>
      <c r="I343" s="21">
        <v>-1.4959699999999999E-2</v>
      </c>
      <c r="J343" s="21">
        <v>333</v>
      </c>
      <c r="K343" s="21">
        <v>0.142792</v>
      </c>
      <c r="L343">
        <f t="shared" si="60"/>
        <v>18.468765432098763</v>
      </c>
      <c r="M343">
        <f t="shared" si="61"/>
        <v>2.6462047111111104</v>
      </c>
      <c r="N343" s="9"/>
      <c r="O343" s="21">
        <v>1.57684</v>
      </c>
      <c r="P343" s="21">
        <v>12.951499999999999</v>
      </c>
      <c r="Q343" s="21">
        <v>-1.14471E-2</v>
      </c>
      <c r="R343" s="21">
        <v>333</v>
      </c>
      <c r="S343" s="21">
        <v>1.5765400000000001</v>
      </c>
      <c r="T343">
        <f t="shared" si="62"/>
        <v>14.132222222222222</v>
      </c>
      <c r="U343">
        <f t="shared" si="63"/>
        <v>22.284253288888888</v>
      </c>
      <c r="X343" s="9"/>
      <c r="Y343" s="21">
        <v>0.14327999999999999</v>
      </c>
      <c r="Z343" s="21">
        <v>18.530200000000001</v>
      </c>
      <c r="AA343" s="21">
        <v>-1.4941400000000001E-2</v>
      </c>
      <c r="AB343" s="21">
        <v>333</v>
      </c>
      <c r="AC343" s="21">
        <v>0.142792</v>
      </c>
      <c r="AD343">
        <f t="shared" si="64"/>
        <v>18.446172839506172</v>
      </c>
      <c r="AE343">
        <f t="shared" si="65"/>
        <v>2.6429676444444441</v>
      </c>
      <c r="AF343" s="9"/>
      <c r="AG343" s="21">
        <v>1.57684</v>
      </c>
      <c r="AH343" s="21">
        <v>22.389700000000001</v>
      </c>
      <c r="AI343" s="21">
        <v>-1.1715700000000001E-2</v>
      </c>
      <c r="AJ343" s="21">
        <v>333</v>
      </c>
      <c r="AK343" s="21">
        <v>1.57562</v>
      </c>
      <c r="AL343">
        <f t="shared" si="66"/>
        <v>14.463827160493826</v>
      </c>
      <c r="AM343">
        <f t="shared" si="67"/>
        <v>22.807141219753085</v>
      </c>
      <c r="AP343" s="9"/>
      <c r="AQ343" s="21">
        <v>0.14327999999999999</v>
      </c>
      <c r="AR343" s="21">
        <v>27.938400000000001</v>
      </c>
      <c r="AS343" s="21">
        <v>-1.48895E-2</v>
      </c>
      <c r="AT343" s="21">
        <v>333</v>
      </c>
      <c r="AU343" s="21">
        <v>0.142792</v>
      </c>
      <c r="AV343">
        <f t="shared" si="68"/>
        <v>18.382098765432101</v>
      </c>
      <c r="AW343">
        <f t="shared" si="69"/>
        <v>2.6337871111111113</v>
      </c>
      <c r="AX343" s="9"/>
      <c r="AY343" s="21">
        <v>1.57684</v>
      </c>
      <c r="AZ343" s="21">
        <v>31.797899999999998</v>
      </c>
      <c r="BA343" s="21">
        <v>-1.16425E-2</v>
      </c>
      <c r="BB343" s="21">
        <v>333</v>
      </c>
      <c r="BC343" s="21">
        <v>1.57684</v>
      </c>
      <c r="BD343">
        <f t="shared" si="70"/>
        <v>14.373456790123456</v>
      </c>
      <c r="BE343">
        <f t="shared" si="71"/>
        <v>22.664641604938272</v>
      </c>
    </row>
    <row r="344" spans="6:57" x14ac:dyDescent="0.25">
      <c r="F344" s="9"/>
      <c r="G344" s="21">
        <v>0.13824500000000001</v>
      </c>
      <c r="H344" s="21">
        <v>9.1020500000000002</v>
      </c>
      <c r="I344" s="21">
        <v>-1.4959699999999999E-2</v>
      </c>
      <c r="J344" s="21">
        <v>334</v>
      </c>
      <c r="K344" s="21">
        <v>0.13763400000000001</v>
      </c>
      <c r="L344">
        <f t="shared" si="60"/>
        <v>18.468765432098763</v>
      </c>
      <c r="M344">
        <f t="shared" si="61"/>
        <v>2.5532144771604939</v>
      </c>
      <c r="N344" s="9"/>
      <c r="O344" s="21">
        <v>1.58188</v>
      </c>
      <c r="P344" s="21">
        <v>12.961499999999999</v>
      </c>
      <c r="Q344" s="21">
        <v>-1.1334199999999999E-2</v>
      </c>
      <c r="R344" s="21">
        <v>334</v>
      </c>
      <c r="S344" s="21">
        <v>1.5811200000000001</v>
      </c>
      <c r="T344">
        <f t="shared" si="62"/>
        <v>13.992839506172839</v>
      </c>
      <c r="U344">
        <f t="shared" si="63"/>
        <v>22.134992958024689</v>
      </c>
      <c r="X344" s="9"/>
      <c r="Y344" s="21">
        <v>0.13824500000000001</v>
      </c>
      <c r="Z344" s="21">
        <v>18.540299999999998</v>
      </c>
      <c r="AA344" s="21">
        <v>-1.4941400000000001E-2</v>
      </c>
      <c r="AB344" s="21">
        <v>334</v>
      </c>
      <c r="AC344" s="21">
        <v>0.13772599999999999</v>
      </c>
      <c r="AD344">
        <f t="shared" si="64"/>
        <v>18.446172839506172</v>
      </c>
      <c r="AE344">
        <f t="shared" si="65"/>
        <v>2.5500911641975308</v>
      </c>
      <c r="AF344" s="9"/>
      <c r="AG344" s="21">
        <v>1.58188</v>
      </c>
      <c r="AH344" s="21">
        <v>22.399699999999999</v>
      </c>
      <c r="AI344" s="21">
        <v>-1.1618E-2</v>
      </c>
      <c r="AJ344" s="21">
        <v>334</v>
      </c>
      <c r="AK344" s="21">
        <v>1.5811200000000001</v>
      </c>
      <c r="AL344">
        <f t="shared" si="66"/>
        <v>14.343209876543209</v>
      </c>
      <c r="AM344">
        <f t="shared" si="67"/>
        <v>22.689236839506172</v>
      </c>
      <c r="AP344" s="9"/>
      <c r="AQ344" s="21">
        <v>0.13824500000000001</v>
      </c>
      <c r="AR344" s="21">
        <v>27.948499999999999</v>
      </c>
      <c r="AS344" s="21">
        <v>-1.48895E-2</v>
      </c>
      <c r="AT344" s="21">
        <v>334</v>
      </c>
      <c r="AU344" s="21">
        <v>0.13775599999999999</v>
      </c>
      <c r="AV344">
        <f t="shared" si="68"/>
        <v>18.382098765432101</v>
      </c>
      <c r="AW344">
        <f t="shared" si="69"/>
        <v>2.5412332438271608</v>
      </c>
      <c r="AX344" s="9"/>
      <c r="AY344" s="21">
        <v>1.58188</v>
      </c>
      <c r="AZ344" s="21">
        <v>31.808</v>
      </c>
      <c r="BA344" s="21">
        <v>-1.15479E-2</v>
      </c>
      <c r="BB344" s="21">
        <v>334</v>
      </c>
      <c r="BC344" s="21">
        <v>1.5811200000000001</v>
      </c>
      <c r="BD344">
        <f t="shared" si="70"/>
        <v>14.256666666666666</v>
      </c>
      <c r="BE344">
        <f t="shared" si="71"/>
        <v>22.552335866666663</v>
      </c>
    </row>
    <row r="345" spans="6:57" x14ac:dyDescent="0.25">
      <c r="F345" s="9"/>
      <c r="G345" s="21">
        <v>0.13320899999999999</v>
      </c>
      <c r="H345" s="21">
        <v>9.1121200000000009</v>
      </c>
      <c r="I345" s="21">
        <v>-1.49689E-2</v>
      </c>
      <c r="J345" s="21">
        <v>335</v>
      </c>
      <c r="K345" s="21">
        <v>0.13275100000000001</v>
      </c>
      <c r="L345">
        <f t="shared" si="60"/>
        <v>18.480123456790125</v>
      </c>
      <c r="M345">
        <f t="shared" si="61"/>
        <v>2.4617187655555557</v>
      </c>
      <c r="N345" s="9"/>
      <c r="O345" s="21">
        <v>1.58691</v>
      </c>
      <c r="P345" s="21">
        <v>12.9716</v>
      </c>
      <c r="Q345" s="21">
        <v>-1.12213E-2</v>
      </c>
      <c r="R345" s="21">
        <v>335</v>
      </c>
      <c r="S345" s="21">
        <v>1.5860000000000001</v>
      </c>
      <c r="T345">
        <f t="shared" si="62"/>
        <v>13.853456790123456</v>
      </c>
      <c r="U345">
        <f t="shared" si="63"/>
        <v>21.984189114814814</v>
      </c>
      <c r="X345" s="9"/>
      <c r="Y345" s="21">
        <v>0.13320899999999999</v>
      </c>
      <c r="Z345" s="21">
        <v>18.5503</v>
      </c>
      <c r="AA345" s="21">
        <v>-1.4938399999999999E-2</v>
      </c>
      <c r="AB345" s="21">
        <v>335</v>
      </c>
      <c r="AC345" s="21">
        <v>0.13266</v>
      </c>
      <c r="AD345">
        <f t="shared" si="64"/>
        <v>18.442469135802465</v>
      </c>
      <c r="AE345">
        <f t="shared" si="65"/>
        <v>2.4567028711111103</v>
      </c>
      <c r="AF345" s="9"/>
      <c r="AG345" s="21">
        <v>1.58691</v>
      </c>
      <c r="AH345" s="21">
        <v>22.409800000000001</v>
      </c>
      <c r="AI345" s="21">
        <v>-1.15082E-2</v>
      </c>
      <c r="AJ345" s="21">
        <v>335</v>
      </c>
      <c r="AK345" s="21">
        <v>1.5863</v>
      </c>
      <c r="AL345">
        <f t="shared" si="66"/>
        <v>14.207654320987654</v>
      </c>
      <c r="AM345">
        <f t="shared" si="67"/>
        <v>22.546268718518519</v>
      </c>
      <c r="AP345" s="9"/>
      <c r="AQ345" s="21">
        <v>0.13320899999999999</v>
      </c>
      <c r="AR345" s="21">
        <v>27.958600000000001</v>
      </c>
      <c r="AS345" s="21">
        <v>-1.4892600000000001E-2</v>
      </c>
      <c r="AT345" s="21">
        <v>335</v>
      </c>
      <c r="AU345" s="21">
        <v>0.13272100000000001</v>
      </c>
      <c r="AV345">
        <f t="shared" si="68"/>
        <v>18.385925925925928</v>
      </c>
      <c r="AW345">
        <f t="shared" si="69"/>
        <v>2.4491708066666669</v>
      </c>
      <c r="AX345" s="9"/>
      <c r="AY345" s="21">
        <v>1.58691</v>
      </c>
      <c r="AZ345" s="21">
        <v>31.818000000000001</v>
      </c>
      <c r="BA345" s="21">
        <v>-1.14349E-2</v>
      </c>
      <c r="BB345" s="21">
        <v>335</v>
      </c>
      <c r="BC345" s="21">
        <v>1.5863</v>
      </c>
      <c r="BD345">
        <f t="shared" si="70"/>
        <v>14.117160493827161</v>
      </c>
      <c r="BE345">
        <f t="shared" si="71"/>
        <v>22.402663159259259</v>
      </c>
    </row>
    <row r="346" spans="6:57" x14ac:dyDescent="0.25">
      <c r="F346" s="9"/>
      <c r="G346" s="21">
        <v>0.12817400000000001</v>
      </c>
      <c r="H346" s="21">
        <v>9.1221899999999998</v>
      </c>
      <c r="I346" s="21">
        <v>-1.4975E-2</v>
      </c>
      <c r="J346" s="21">
        <v>336</v>
      </c>
      <c r="K346" s="21">
        <v>0.12762499999999999</v>
      </c>
      <c r="L346">
        <f t="shared" si="60"/>
        <v>18.487654320987652</v>
      </c>
      <c r="M346">
        <f t="shared" si="61"/>
        <v>2.3696366049382713</v>
      </c>
      <c r="N346" s="9"/>
      <c r="O346" s="21">
        <v>1.59195</v>
      </c>
      <c r="P346" s="21">
        <v>12.9817</v>
      </c>
      <c r="Q346" s="21">
        <v>-1.11115E-2</v>
      </c>
      <c r="R346" s="21">
        <v>336</v>
      </c>
      <c r="S346" s="21">
        <v>1.5905800000000001</v>
      </c>
      <c r="T346">
        <f t="shared" si="62"/>
        <v>13.717901234567901</v>
      </c>
      <c r="U346">
        <f t="shared" si="63"/>
        <v>21.83821287037037</v>
      </c>
      <c r="X346" s="9"/>
      <c r="Y346" s="21">
        <v>0.12817400000000001</v>
      </c>
      <c r="Z346" s="21">
        <v>18.560400000000001</v>
      </c>
      <c r="AA346" s="21">
        <v>-1.49353E-2</v>
      </c>
      <c r="AB346" s="21">
        <v>336</v>
      </c>
      <c r="AC346" s="21">
        <v>0.12762499999999999</v>
      </c>
      <c r="AD346">
        <f t="shared" si="64"/>
        <v>18.438641975308641</v>
      </c>
      <c r="AE346">
        <f t="shared" si="65"/>
        <v>2.3633544965432098</v>
      </c>
      <c r="AF346" s="9"/>
      <c r="AG346" s="21">
        <v>1.59195</v>
      </c>
      <c r="AH346" s="21">
        <v>22.419899999999998</v>
      </c>
      <c r="AI346" s="21">
        <v>-1.14044E-2</v>
      </c>
      <c r="AJ346" s="21">
        <v>336</v>
      </c>
      <c r="AK346" s="21">
        <v>1.5911900000000001</v>
      </c>
      <c r="AL346">
        <f t="shared" si="66"/>
        <v>14.079506172839505</v>
      </c>
      <c r="AM346">
        <f t="shared" si="67"/>
        <v>22.41386985185185</v>
      </c>
      <c r="AP346" s="9"/>
      <c r="AQ346" s="21">
        <v>0.12817400000000001</v>
      </c>
      <c r="AR346" s="21">
        <v>27.968599999999999</v>
      </c>
      <c r="AS346" s="21">
        <v>-1.4904799999999999E-2</v>
      </c>
      <c r="AT346" s="21">
        <v>336</v>
      </c>
      <c r="AU346" s="21">
        <v>0.12759400000000001</v>
      </c>
      <c r="AV346">
        <f t="shared" si="68"/>
        <v>18.400987654320986</v>
      </c>
      <c r="AW346">
        <f t="shared" si="69"/>
        <v>2.3585281916049383</v>
      </c>
      <c r="AX346" s="9"/>
      <c r="AY346" s="21">
        <v>1.59195</v>
      </c>
      <c r="AZ346" s="21">
        <v>31.828099999999999</v>
      </c>
      <c r="BA346" s="21">
        <v>-1.1312900000000001E-2</v>
      </c>
      <c r="BB346" s="21">
        <v>336</v>
      </c>
      <c r="BC346" s="21">
        <v>1.5914900000000001</v>
      </c>
      <c r="BD346">
        <f t="shared" si="70"/>
        <v>13.966543209876543</v>
      </c>
      <c r="BE346">
        <f t="shared" si="71"/>
        <v>22.23403846296296</v>
      </c>
    </row>
    <row r="347" spans="6:57" x14ac:dyDescent="0.25">
      <c r="F347" s="9"/>
      <c r="G347" s="21">
        <v>0.123138</v>
      </c>
      <c r="H347" s="21">
        <v>9.1322600000000005</v>
      </c>
      <c r="I347" s="21">
        <v>-1.49719E-2</v>
      </c>
      <c r="J347" s="21">
        <v>337</v>
      </c>
      <c r="K347" s="21">
        <v>0.122528</v>
      </c>
      <c r="L347">
        <f t="shared" si="60"/>
        <v>18.483827160493824</v>
      </c>
      <c r="M347">
        <f t="shared" si="61"/>
        <v>2.2760615088888887</v>
      </c>
      <c r="N347" s="9"/>
      <c r="O347" s="21">
        <v>1.5969800000000001</v>
      </c>
      <c r="P347" s="21">
        <v>12.9917</v>
      </c>
      <c r="Q347" s="21">
        <v>-1.09894E-2</v>
      </c>
      <c r="R347" s="21">
        <v>337</v>
      </c>
      <c r="S347" s="21">
        <v>1.5963700000000001</v>
      </c>
      <c r="T347">
        <f t="shared" si="62"/>
        <v>13.56716049382716</v>
      </c>
      <c r="U347">
        <f t="shared" si="63"/>
        <v>21.6664839654321</v>
      </c>
      <c r="X347" s="9"/>
      <c r="Y347" s="21">
        <v>0.123138</v>
      </c>
      <c r="Z347" s="21">
        <v>18.570499999999999</v>
      </c>
      <c r="AA347" s="21">
        <v>-1.4938399999999999E-2</v>
      </c>
      <c r="AB347" s="21">
        <v>337</v>
      </c>
      <c r="AC347" s="21">
        <v>0.122559</v>
      </c>
      <c r="AD347">
        <f t="shared" si="64"/>
        <v>18.442469135802465</v>
      </c>
      <c r="AE347">
        <f t="shared" si="65"/>
        <v>2.2709687644444441</v>
      </c>
      <c r="AF347" s="9"/>
      <c r="AG347" s="21">
        <v>1.5969800000000001</v>
      </c>
      <c r="AH347" s="21">
        <v>22.43</v>
      </c>
      <c r="AI347" s="21">
        <v>-1.1291499999999999E-2</v>
      </c>
      <c r="AJ347" s="21">
        <v>337</v>
      </c>
      <c r="AK347" s="21">
        <v>1.5963700000000001</v>
      </c>
      <c r="AL347">
        <f t="shared" si="66"/>
        <v>13.940123456790122</v>
      </c>
      <c r="AM347">
        <f t="shared" si="67"/>
        <v>22.262098358024691</v>
      </c>
      <c r="AP347" s="9"/>
      <c r="AQ347" s="21">
        <v>0.123138</v>
      </c>
      <c r="AR347" s="21">
        <v>27.9787</v>
      </c>
      <c r="AS347" s="21">
        <v>-1.49109E-2</v>
      </c>
      <c r="AT347" s="21">
        <v>337</v>
      </c>
      <c r="AU347" s="21">
        <v>0.122589</v>
      </c>
      <c r="AV347">
        <f t="shared" si="68"/>
        <v>18.408518518518516</v>
      </c>
      <c r="AW347">
        <f t="shared" si="69"/>
        <v>2.2667881533333332</v>
      </c>
      <c r="AX347" s="9"/>
      <c r="AY347" s="21">
        <v>1.5969800000000001</v>
      </c>
      <c r="AZ347" s="21">
        <v>31.838200000000001</v>
      </c>
      <c r="BA347" s="21">
        <v>-1.1184700000000001E-2</v>
      </c>
      <c r="BB347" s="21">
        <v>337</v>
      </c>
      <c r="BC347" s="21">
        <v>1.5963700000000001</v>
      </c>
      <c r="BD347">
        <f t="shared" si="70"/>
        <v>13.808271604938271</v>
      </c>
      <c r="BE347">
        <f t="shared" si="71"/>
        <v>22.051533587654323</v>
      </c>
    </row>
    <row r="348" spans="6:57" x14ac:dyDescent="0.25">
      <c r="F348" s="9"/>
      <c r="G348" s="21">
        <v>0.118103</v>
      </c>
      <c r="H348" s="21">
        <v>9.1423299999999994</v>
      </c>
      <c r="I348" s="21">
        <v>-1.49689E-2</v>
      </c>
      <c r="J348" s="21">
        <v>338</v>
      </c>
      <c r="K348" s="21">
        <v>0.11755400000000001</v>
      </c>
      <c r="L348">
        <f t="shared" si="60"/>
        <v>18.480123456790125</v>
      </c>
      <c r="M348">
        <f t="shared" si="61"/>
        <v>2.1825580206172841</v>
      </c>
      <c r="N348" s="9"/>
      <c r="O348" s="21">
        <v>1.60202</v>
      </c>
      <c r="P348" s="21">
        <v>13.001799999999999</v>
      </c>
      <c r="Q348" s="21">
        <v>-1.0855099999999999E-2</v>
      </c>
      <c r="R348" s="21">
        <v>338</v>
      </c>
      <c r="S348" s="21">
        <v>1.6015600000000001</v>
      </c>
      <c r="T348">
        <f t="shared" si="62"/>
        <v>13.401358024691357</v>
      </c>
      <c r="U348">
        <f t="shared" si="63"/>
        <v>21.469243582716047</v>
      </c>
      <c r="X348" s="9"/>
      <c r="Y348" s="21">
        <v>0.118103</v>
      </c>
      <c r="Z348" s="21">
        <v>18.5806</v>
      </c>
      <c r="AA348" s="21">
        <v>-1.49353E-2</v>
      </c>
      <c r="AB348" s="21">
        <v>338</v>
      </c>
      <c r="AC348" s="21">
        <v>0.117493</v>
      </c>
      <c r="AD348">
        <f t="shared" si="64"/>
        <v>18.438641975308641</v>
      </c>
      <c r="AE348">
        <f t="shared" si="65"/>
        <v>2.1776589332098766</v>
      </c>
      <c r="AF348" s="9"/>
      <c r="AG348" s="21">
        <v>1.60202</v>
      </c>
      <c r="AH348" s="21">
        <v>22.44</v>
      </c>
      <c r="AI348" s="21">
        <v>-1.11664E-2</v>
      </c>
      <c r="AJ348" s="21">
        <v>338</v>
      </c>
      <c r="AK348" s="21">
        <v>1.6012599999999999</v>
      </c>
      <c r="AL348">
        <f t="shared" si="66"/>
        <v>13.785679012345678</v>
      </c>
      <c r="AM348">
        <f t="shared" si="67"/>
        <v>22.084933491358022</v>
      </c>
      <c r="AP348" s="9"/>
      <c r="AQ348" s="21">
        <v>0.118103</v>
      </c>
      <c r="AR348" s="21">
        <v>27.988800000000001</v>
      </c>
      <c r="AS348" s="21">
        <v>-1.4904799999999999E-2</v>
      </c>
      <c r="AT348" s="21">
        <v>338</v>
      </c>
      <c r="AU348" s="21">
        <v>0.11758399999999999</v>
      </c>
      <c r="AV348">
        <f t="shared" si="68"/>
        <v>18.400987654320986</v>
      </c>
      <c r="AW348">
        <f t="shared" si="69"/>
        <v>2.1732118449382716</v>
      </c>
      <c r="AX348" s="9"/>
      <c r="AY348" s="21">
        <v>1.60202</v>
      </c>
      <c r="AZ348" s="21">
        <v>31.848299999999998</v>
      </c>
      <c r="BA348" s="21">
        <v>-1.10504E-2</v>
      </c>
      <c r="BB348" s="21">
        <v>338</v>
      </c>
      <c r="BC348" s="21">
        <v>1.6012599999999999</v>
      </c>
      <c r="BD348">
        <f t="shared" si="70"/>
        <v>13.64246913580247</v>
      </c>
      <c r="BE348">
        <f t="shared" si="71"/>
        <v>21.855508404938274</v>
      </c>
    </row>
    <row r="349" spans="6:57" x14ac:dyDescent="0.25">
      <c r="F349" s="9"/>
      <c r="G349" s="21">
        <v>0.113068</v>
      </c>
      <c r="H349" s="21">
        <v>9.1524000000000001</v>
      </c>
      <c r="I349" s="21">
        <v>-1.4981100000000001E-2</v>
      </c>
      <c r="J349" s="21">
        <v>339</v>
      </c>
      <c r="K349" s="21">
        <v>0.11267099999999999</v>
      </c>
      <c r="L349">
        <f t="shared" si="60"/>
        <v>18.495185185185186</v>
      </c>
      <c r="M349">
        <f t="shared" si="61"/>
        <v>2.0912135985185185</v>
      </c>
      <c r="N349" s="9"/>
      <c r="O349" s="21">
        <v>1.6070599999999999</v>
      </c>
      <c r="P349" s="21">
        <v>13.011900000000001</v>
      </c>
      <c r="Q349" s="21">
        <v>-1.0714700000000001E-2</v>
      </c>
      <c r="R349" s="21">
        <v>339</v>
      </c>
      <c r="S349" s="21">
        <v>1.6064499999999999</v>
      </c>
      <c r="T349">
        <f t="shared" si="62"/>
        <v>13.228024691358025</v>
      </c>
      <c r="U349">
        <f t="shared" si="63"/>
        <v>21.258229360493825</v>
      </c>
      <c r="X349" s="9"/>
      <c r="Y349" s="21">
        <v>0.113068</v>
      </c>
      <c r="Z349" s="21">
        <v>18.590599999999998</v>
      </c>
      <c r="AA349" s="21">
        <v>-1.49231E-2</v>
      </c>
      <c r="AB349" s="21">
        <v>339</v>
      </c>
      <c r="AC349" s="21">
        <v>0.112488</v>
      </c>
      <c r="AD349">
        <f t="shared" si="64"/>
        <v>18.423580246913577</v>
      </c>
      <c r="AE349">
        <f t="shared" si="65"/>
        <v>2.0831173713580244</v>
      </c>
      <c r="AF349" s="9"/>
      <c r="AG349" s="21">
        <v>1.6070599999999999</v>
      </c>
      <c r="AH349" s="21">
        <v>22.450099999999999</v>
      </c>
      <c r="AI349" s="21">
        <v>-1.10352E-2</v>
      </c>
      <c r="AJ349" s="21">
        <v>339</v>
      </c>
      <c r="AK349" s="21">
        <v>1.6067499999999999</v>
      </c>
      <c r="AL349">
        <f t="shared" si="66"/>
        <v>13.623703703703704</v>
      </c>
      <c r="AM349">
        <f t="shared" si="67"/>
        <v>21.894109274074072</v>
      </c>
      <c r="AP349" s="9"/>
      <c r="AQ349" s="21">
        <v>0.113068</v>
      </c>
      <c r="AR349" s="21">
        <v>27.998899999999999</v>
      </c>
      <c r="AS349" s="21">
        <v>-1.4907800000000001E-2</v>
      </c>
      <c r="AT349" s="21">
        <v>339</v>
      </c>
      <c r="AU349" s="21">
        <v>0.112488</v>
      </c>
      <c r="AV349">
        <f t="shared" si="68"/>
        <v>18.404691358024692</v>
      </c>
      <c r="AW349">
        <f t="shared" si="69"/>
        <v>2.0809816424691361</v>
      </c>
      <c r="AX349" s="9"/>
      <c r="AY349" s="21">
        <v>1.6070599999999999</v>
      </c>
      <c r="AZ349" s="21">
        <v>31.8583</v>
      </c>
      <c r="BA349" s="21">
        <v>-1.0925300000000001E-2</v>
      </c>
      <c r="BB349" s="21">
        <v>339</v>
      </c>
      <c r="BC349" s="21">
        <v>1.6058300000000001</v>
      </c>
      <c r="BD349">
        <f t="shared" si="70"/>
        <v>13.488024691358024</v>
      </c>
      <c r="BE349">
        <f t="shared" si="71"/>
        <v>21.676064960493825</v>
      </c>
    </row>
    <row r="350" spans="6:57" x14ac:dyDescent="0.25">
      <c r="F350" s="9"/>
      <c r="G350" s="21">
        <v>0.108032</v>
      </c>
      <c r="H350" s="21">
        <v>9.1624700000000008</v>
      </c>
      <c r="I350" s="21">
        <v>-1.49902E-2</v>
      </c>
      <c r="J350" s="21">
        <v>340</v>
      </c>
      <c r="K350" s="21">
        <v>0.10732999999999999</v>
      </c>
      <c r="L350">
        <f t="shared" si="60"/>
        <v>18.506419753086419</v>
      </c>
      <c r="M350">
        <f t="shared" si="61"/>
        <v>1.999285538765432</v>
      </c>
      <c r="N350" s="9"/>
      <c r="O350" s="21">
        <v>1.61209</v>
      </c>
      <c r="P350" s="21">
        <v>13.0219</v>
      </c>
      <c r="Q350" s="21">
        <v>-1.05682E-2</v>
      </c>
      <c r="R350" s="21">
        <v>340</v>
      </c>
      <c r="S350" s="21">
        <v>1.6113299999999999</v>
      </c>
      <c r="T350">
        <f t="shared" si="62"/>
        <v>13.04716049382716</v>
      </c>
      <c r="U350">
        <f t="shared" si="63"/>
        <v>21.033196960493829</v>
      </c>
      <c r="X350" s="9"/>
      <c r="Y350" s="21">
        <v>0.108032</v>
      </c>
      <c r="Z350" s="21">
        <v>18.6007</v>
      </c>
      <c r="AA350" s="21">
        <v>-1.49231E-2</v>
      </c>
      <c r="AB350" s="21">
        <v>340</v>
      </c>
      <c r="AC350" s="21">
        <v>0.107391</v>
      </c>
      <c r="AD350">
        <f t="shared" si="64"/>
        <v>18.423580246913577</v>
      </c>
      <c r="AE350">
        <f t="shared" si="65"/>
        <v>1.9903362212345677</v>
      </c>
      <c r="AF350" s="9"/>
      <c r="AG350" s="21">
        <v>1.61209</v>
      </c>
      <c r="AH350" s="21">
        <v>22.4602</v>
      </c>
      <c r="AI350" s="21">
        <v>-1.0903899999999999E-2</v>
      </c>
      <c r="AJ350" s="21">
        <v>340</v>
      </c>
      <c r="AK350" s="21">
        <v>1.6116299999999999</v>
      </c>
      <c r="AL350">
        <f t="shared" si="66"/>
        <v>13.461604938271604</v>
      </c>
      <c r="AM350">
        <f t="shared" si="67"/>
        <v>21.70131870493827</v>
      </c>
      <c r="AP350" s="9"/>
      <c r="AQ350" s="21">
        <v>0.108032</v>
      </c>
      <c r="AR350" s="21">
        <v>28.008900000000001</v>
      </c>
      <c r="AS350" s="21">
        <v>-1.4907800000000001E-2</v>
      </c>
      <c r="AT350" s="21">
        <v>340</v>
      </c>
      <c r="AU350" s="21">
        <v>0.10745200000000001</v>
      </c>
      <c r="AV350">
        <f t="shared" si="68"/>
        <v>18.404691358024692</v>
      </c>
      <c r="AW350">
        <f t="shared" si="69"/>
        <v>1.9882956167901236</v>
      </c>
      <c r="AX350" s="9"/>
      <c r="AY350" s="21">
        <v>1.61209</v>
      </c>
      <c r="AZ350" s="21">
        <v>31.868400000000001</v>
      </c>
      <c r="BA350" s="21">
        <v>-1.0788000000000001E-2</v>
      </c>
      <c r="BB350" s="21">
        <v>340</v>
      </c>
      <c r="BC350" s="21">
        <v>1.6113299999999999</v>
      </c>
      <c r="BD350">
        <f t="shared" si="70"/>
        <v>13.318518518518518</v>
      </c>
      <c r="BE350">
        <f t="shared" si="71"/>
        <v>21.470650518518518</v>
      </c>
    </row>
    <row r="351" spans="6:57" x14ac:dyDescent="0.25">
      <c r="F351" s="9"/>
      <c r="G351" s="21">
        <v>0.10299700000000001</v>
      </c>
      <c r="H351" s="21">
        <v>9.1725499999999993</v>
      </c>
      <c r="I351" s="21">
        <v>-1.50116E-2</v>
      </c>
      <c r="J351" s="21">
        <v>341</v>
      </c>
      <c r="K351" s="21">
        <v>0.102448</v>
      </c>
      <c r="L351">
        <f t="shared" si="60"/>
        <v>18.532839506172838</v>
      </c>
      <c r="M351">
        <f t="shared" si="61"/>
        <v>1.908826870617284</v>
      </c>
      <c r="N351" s="9"/>
      <c r="O351" s="21">
        <v>1.61713</v>
      </c>
      <c r="P351" s="21">
        <v>13.032</v>
      </c>
      <c r="Q351" s="21">
        <v>-1.04218E-2</v>
      </c>
      <c r="R351" s="21">
        <v>341</v>
      </c>
      <c r="S351" s="21">
        <v>1.6162099999999999</v>
      </c>
      <c r="T351">
        <f t="shared" si="62"/>
        <v>12.866419753086419</v>
      </c>
      <c r="U351">
        <f t="shared" si="63"/>
        <v>20.806673375308641</v>
      </c>
      <c r="X351" s="9"/>
      <c r="Y351" s="21">
        <v>0.10299700000000001</v>
      </c>
      <c r="Z351" s="21">
        <v>18.610800000000001</v>
      </c>
      <c r="AA351" s="21">
        <v>-1.49231E-2</v>
      </c>
      <c r="AB351" s="21">
        <v>341</v>
      </c>
      <c r="AC351" s="21">
        <v>0.10241699999999999</v>
      </c>
      <c r="AD351">
        <f t="shared" si="64"/>
        <v>18.423580246913577</v>
      </c>
      <c r="AE351">
        <f t="shared" si="65"/>
        <v>1.8975734946913578</v>
      </c>
      <c r="AF351" s="9"/>
      <c r="AG351" s="21">
        <v>1.61713</v>
      </c>
      <c r="AH351" s="21">
        <v>22.470199999999998</v>
      </c>
      <c r="AI351" s="21">
        <v>-1.0760499999999999E-2</v>
      </c>
      <c r="AJ351" s="21">
        <v>341</v>
      </c>
      <c r="AK351" s="21">
        <v>1.6162099999999999</v>
      </c>
      <c r="AL351">
        <f t="shared" si="66"/>
        <v>13.284567901234567</v>
      </c>
      <c r="AM351">
        <f t="shared" si="67"/>
        <v>21.482873290123454</v>
      </c>
      <c r="AP351" s="9"/>
      <c r="AQ351" s="21">
        <v>0.10299700000000001</v>
      </c>
      <c r="AR351" s="21">
        <v>28.018999999999998</v>
      </c>
      <c r="AS351" s="21">
        <v>-1.4907800000000001E-2</v>
      </c>
      <c r="AT351" s="21">
        <v>341</v>
      </c>
      <c r="AU351" s="21">
        <v>0.102356</v>
      </c>
      <c r="AV351">
        <f t="shared" si="68"/>
        <v>18.404691358024692</v>
      </c>
      <c r="AW351">
        <f t="shared" si="69"/>
        <v>1.8956279958024693</v>
      </c>
      <c r="AX351" s="9"/>
      <c r="AY351" s="21">
        <v>1.61713</v>
      </c>
      <c r="AZ351" s="21">
        <v>31.878499999999999</v>
      </c>
      <c r="BA351" s="21">
        <v>-1.06415E-2</v>
      </c>
      <c r="BB351" s="21">
        <v>341</v>
      </c>
      <c r="BC351" s="21">
        <v>1.61652</v>
      </c>
      <c r="BD351">
        <f t="shared" si="70"/>
        <v>13.137654320987654</v>
      </c>
      <c r="BE351">
        <f t="shared" si="71"/>
        <v>21.245294932098766</v>
      </c>
    </row>
    <row r="352" spans="6:57" x14ac:dyDescent="0.25">
      <c r="F352" s="9"/>
      <c r="G352" s="21">
        <v>9.7961400000000004E-2</v>
      </c>
      <c r="H352" s="21">
        <v>9.18262</v>
      </c>
      <c r="I352" s="21">
        <v>-1.50177E-2</v>
      </c>
      <c r="J352" s="21">
        <v>342</v>
      </c>
      <c r="K352" s="21">
        <v>9.7503699999999999E-2</v>
      </c>
      <c r="L352">
        <f t="shared" si="60"/>
        <v>18.540370370370372</v>
      </c>
      <c r="M352">
        <f t="shared" si="61"/>
        <v>1.8162406380000002</v>
      </c>
      <c r="N352" s="9"/>
      <c r="O352" s="21">
        <v>1.62216</v>
      </c>
      <c r="P352" s="21">
        <v>13.0421</v>
      </c>
      <c r="Q352" s="21">
        <v>-1.0269199999999999E-2</v>
      </c>
      <c r="R352" s="21">
        <v>342</v>
      </c>
      <c r="S352" s="21">
        <v>1.6214</v>
      </c>
      <c r="T352">
        <f t="shared" si="62"/>
        <v>12.678024691358022</v>
      </c>
      <c r="U352">
        <f t="shared" si="63"/>
        <v>20.565784533333328</v>
      </c>
      <c r="X352" s="9"/>
      <c r="Y352" s="21">
        <v>9.7961400000000004E-2</v>
      </c>
      <c r="Z352" s="21">
        <v>18.620799999999999</v>
      </c>
      <c r="AA352" s="21">
        <v>-1.4917E-2</v>
      </c>
      <c r="AB352" s="21">
        <v>342</v>
      </c>
      <c r="AC352" s="21">
        <v>9.7320599999999993E-2</v>
      </c>
      <c r="AD352">
        <f t="shared" si="64"/>
        <v>18.416049382716047</v>
      </c>
      <c r="AE352">
        <f t="shared" si="65"/>
        <v>1.8040619799999997</v>
      </c>
      <c r="AF352" s="9"/>
      <c r="AG352" s="21">
        <v>1.62216</v>
      </c>
      <c r="AH352" s="21">
        <v>22.4803</v>
      </c>
      <c r="AI352" s="21">
        <v>-1.0611000000000001E-2</v>
      </c>
      <c r="AJ352" s="21">
        <v>342</v>
      </c>
      <c r="AK352" s="21">
        <v>1.6214</v>
      </c>
      <c r="AL352">
        <f t="shared" si="66"/>
        <v>13.100000000000001</v>
      </c>
      <c r="AM352">
        <f t="shared" si="67"/>
        <v>21.250296000000002</v>
      </c>
      <c r="AP352" s="9"/>
      <c r="AQ352" s="21">
        <v>9.7961400000000004E-2</v>
      </c>
      <c r="AR352" s="21">
        <v>28.0291</v>
      </c>
      <c r="AS352" s="21">
        <v>-1.4904799999999999E-2</v>
      </c>
      <c r="AT352" s="21">
        <v>342</v>
      </c>
      <c r="AU352" s="21">
        <v>9.7473099999999993E-2</v>
      </c>
      <c r="AV352">
        <f t="shared" si="68"/>
        <v>18.400987654320986</v>
      </c>
      <c r="AW352">
        <f t="shared" si="69"/>
        <v>1.802586512</v>
      </c>
      <c r="AX352" s="9"/>
      <c r="AY352" s="21">
        <v>1.62216</v>
      </c>
      <c r="AZ352" s="21">
        <v>31.888500000000001</v>
      </c>
      <c r="BA352" s="21">
        <v>-1.04858E-2</v>
      </c>
      <c r="BB352" s="21">
        <v>342</v>
      </c>
      <c r="BC352" s="21">
        <v>1.6214</v>
      </c>
      <c r="BD352">
        <f t="shared" si="70"/>
        <v>12.945432098765432</v>
      </c>
      <c r="BE352">
        <f t="shared" si="71"/>
        <v>20.999562133333335</v>
      </c>
    </row>
    <row r="353" spans="6:57" x14ac:dyDescent="0.25">
      <c r="F353" s="9"/>
      <c r="G353" s="21">
        <v>9.2925999999999995E-2</v>
      </c>
      <c r="H353" s="21">
        <v>9.1926900000000007</v>
      </c>
      <c r="I353" s="21">
        <v>-1.5014599999999999E-2</v>
      </c>
      <c r="J353" s="21">
        <v>343</v>
      </c>
      <c r="K353" s="21">
        <v>9.2437699999999998E-2</v>
      </c>
      <c r="L353">
        <f t="shared" si="60"/>
        <v>18.536543209876541</v>
      </c>
      <c r="M353">
        <f t="shared" si="61"/>
        <v>1.7225268143209873</v>
      </c>
      <c r="N353" s="9"/>
      <c r="O353" s="21">
        <v>1.6272</v>
      </c>
      <c r="P353" s="21">
        <v>13.052199999999999</v>
      </c>
      <c r="Q353" s="21">
        <v>-1.0107400000000001E-2</v>
      </c>
      <c r="R353" s="21">
        <v>343</v>
      </c>
      <c r="S353" s="21">
        <v>1.6268899999999999</v>
      </c>
      <c r="T353">
        <f t="shared" si="62"/>
        <v>12.478271604938271</v>
      </c>
      <c r="U353">
        <f t="shared" si="63"/>
        <v>20.304643555555554</v>
      </c>
      <c r="X353" s="9"/>
      <c r="Y353" s="21">
        <v>9.2925999999999995E-2</v>
      </c>
      <c r="Z353" s="21">
        <v>18.6309</v>
      </c>
      <c r="AA353" s="21">
        <v>-1.4917E-2</v>
      </c>
      <c r="AB353" s="21">
        <v>343</v>
      </c>
      <c r="AC353" s="21">
        <v>9.2468300000000003E-2</v>
      </c>
      <c r="AD353">
        <f t="shared" si="64"/>
        <v>18.416049382716047</v>
      </c>
      <c r="AE353">
        <f t="shared" si="65"/>
        <v>1.7113298049382712</v>
      </c>
      <c r="AF353" s="9"/>
      <c r="AG353" s="21">
        <v>1.6272</v>
      </c>
      <c r="AH353" s="21">
        <v>22.490400000000001</v>
      </c>
      <c r="AI353" s="21">
        <v>-1.0461399999999999E-2</v>
      </c>
      <c r="AJ353" s="21">
        <v>343</v>
      </c>
      <c r="AK353" s="21">
        <v>1.62659</v>
      </c>
      <c r="AL353">
        <f t="shared" si="66"/>
        <v>12.915308641975306</v>
      </c>
      <c r="AM353">
        <f t="shared" si="67"/>
        <v>21.015790222222218</v>
      </c>
      <c r="AP353" s="9"/>
      <c r="AQ353" s="21">
        <v>9.2925999999999995E-2</v>
      </c>
      <c r="AR353" s="21">
        <v>28.039100000000001</v>
      </c>
      <c r="AS353" s="21">
        <v>-1.49017E-2</v>
      </c>
      <c r="AT353" s="21">
        <v>343</v>
      </c>
      <c r="AU353" s="21">
        <v>9.2437699999999998E-2</v>
      </c>
      <c r="AV353">
        <f t="shared" si="68"/>
        <v>18.397160493827158</v>
      </c>
      <c r="AW353">
        <f t="shared" si="69"/>
        <v>1.7095745360493824</v>
      </c>
      <c r="AX353" s="9"/>
      <c r="AY353" s="21">
        <v>1.6272</v>
      </c>
      <c r="AZ353" s="21">
        <v>31.898599999999998</v>
      </c>
      <c r="BA353" s="21">
        <v>-1.0324099999999999E-2</v>
      </c>
      <c r="BB353" s="21">
        <v>343</v>
      </c>
      <c r="BC353" s="21">
        <v>1.6262799999999999</v>
      </c>
      <c r="BD353">
        <f t="shared" si="70"/>
        <v>12.7458024691358</v>
      </c>
      <c r="BE353">
        <f t="shared" si="71"/>
        <v>20.739969777777773</v>
      </c>
    </row>
    <row r="354" spans="6:57" x14ac:dyDescent="0.25">
      <c r="F354" s="9"/>
      <c r="G354" s="21">
        <v>8.7890599999999999E-2</v>
      </c>
      <c r="H354" s="21">
        <v>9.2027599999999996</v>
      </c>
      <c r="I354" s="21">
        <v>-1.5014599999999999E-2</v>
      </c>
      <c r="J354" s="21">
        <v>344</v>
      </c>
      <c r="K354" s="21">
        <v>8.7371799999999999E-2</v>
      </c>
      <c r="L354">
        <f t="shared" si="60"/>
        <v>18.536543209876541</v>
      </c>
      <c r="M354">
        <f t="shared" si="61"/>
        <v>1.629187904641975</v>
      </c>
      <c r="N354" s="9"/>
      <c r="O354" s="21">
        <v>1.6322300000000001</v>
      </c>
      <c r="P354" s="21">
        <v>13.062200000000001</v>
      </c>
      <c r="Q354" s="21">
        <v>-9.9273699999999996E-3</v>
      </c>
      <c r="R354" s="21">
        <v>344</v>
      </c>
      <c r="S354" s="21">
        <v>1.63147</v>
      </c>
      <c r="T354">
        <f t="shared" si="62"/>
        <v>12.256012345679011</v>
      </c>
      <c r="U354">
        <f t="shared" si="63"/>
        <v>20.004631030987653</v>
      </c>
      <c r="X354" s="9"/>
      <c r="Y354" s="21">
        <v>8.7890599999999999E-2</v>
      </c>
      <c r="Z354" s="21">
        <v>18.640999999999998</v>
      </c>
      <c r="AA354" s="21">
        <v>-1.4913900000000001E-2</v>
      </c>
      <c r="AB354" s="21">
        <v>344</v>
      </c>
      <c r="AC354" s="21">
        <v>8.7249800000000002E-2</v>
      </c>
      <c r="AD354">
        <f t="shared" si="64"/>
        <v>18.412222222222223</v>
      </c>
      <c r="AE354">
        <f t="shared" si="65"/>
        <v>1.6182612584444445</v>
      </c>
      <c r="AF354" s="9"/>
      <c r="AG354" s="21">
        <v>1.6322300000000001</v>
      </c>
      <c r="AH354" s="21">
        <v>22.500499999999999</v>
      </c>
      <c r="AI354" s="21">
        <v>-1.0290499999999999E-2</v>
      </c>
      <c r="AJ354" s="21">
        <v>344</v>
      </c>
      <c r="AK354" s="21">
        <v>1.6317699999999999</v>
      </c>
      <c r="AL354">
        <f t="shared" si="66"/>
        <v>12.70432098765432</v>
      </c>
      <c r="AM354">
        <f t="shared" si="67"/>
        <v>20.736373845679012</v>
      </c>
      <c r="AP354" s="9"/>
      <c r="AQ354" s="21">
        <v>8.7890599999999999E-2</v>
      </c>
      <c r="AR354" s="21">
        <v>28.049199999999999</v>
      </c>
      <c r="AS354" s="21">
        <v>-1.4898700000000001E-2</v>
      </c>
      <c r="AT354" s="21">
        <v>344</v>
      </c>
      <c r="AU354" s="21">
        <v>8.7280300000000005E-2</v>
      </c>
      <c r="AV354">
        <f t="shared" si="68"/>
        <v>18.393456790123455</v>
      </c>
      <c r="AW354">
        <f t="shared" si="69"/>
        <v>1.6166119533580245</v>
      </c>
      <c r="AX354" s="9"/>
      <c r="AY354" s="21">
        <v>1.6322300000000001</v>
      </c>
      <c r="AZ354" s="21">
        <v>31.9087</v>
      </c>
      <c r="BA354" s="21">
        <v>-1.01685E-2</v>
      </c>
      <c r="BB354" s="21">
        <v>344</v>
      </c>
      <c r="BC354" s="21">
        <v>1.6311599999999999</v>
      </c>
      <c r="BD354">
        <f t="shared" si="70"/>
        <v>12.553703703703704</v>
      </c>
      <c r="BE354">
        <f t="shared" si="71"/>
        <v>20.490531796296299</v>
      </c>
    </row>
    <row r="355" spans="6:57" x14ac:dyDescent="0.25">
      <c r="F355" s="9"/>
      <c r="G355" s="21">
        <v>8.2855200000000004E-2</v>
      </c>
      <c r="H355" s="21">
        <v>9.2128300000000003</v>
      </c>
      <c r="I355" s="21">
        <v>-1.50116E-2</v>
      </c>
      <c r="J355" s="21">
        <v>345</v>
      </c>
      <c r="K355" s="21">
        <v>8.2366900000000007E-2</v>
      </c>
      <c r="L355">
        <f t="shared" si="60"/>
        <v>18.532839506172838</v>
      </c>
      <c r="M355">
        <f t="shared" si="61"/>
        <v>1.5355421238518518</v>
      </c>
      <c r="N355" s="9"/>
      <c r="O355" s="21">
        <v>1.63727</v>
      </c>
      <c r="P355" s="21">
        <v>13.0723</v>
      </c>
      <c r="Q355" s="21">
        <v>-9.7473100000000003E-3</v>
      </c>
      <c r="R355" s="21">
        <v>345</v>
      </c>
      <c r="S355" s="21">
        <v>1.63666</v>
      </c>
      <c r="T355">
        <f t="shared" si="62"/>
        <v>12.033716049382717</v>
      </c>
      <c r="U355">
        <f t="shared" si="63"/>
        <v>19.702442276172839</v>
      </c>
      <c r="X355" s="9"/>
      <c r="Y355" s="21">
        <v>8.2855200000000004E-2</v>
      </c>
      <c r="Z355" s="21">
        <v>18.651</v>
      </c>
      <c r="AA355" s="21">
        <v>-1.4913900000000001E-2</v>
      </c>
      <c r="AB355" s="21">
        <v>345</v>
      </c>
      <c r="AC355" s="21">
        <v>8.2305900000000001E-2</v>
      </c>
      <c r="AD355">
        <f t="shared" si="64"/>
        <v>18.412222222222223</v>
      </c>
      <c r="AE355">
        <f t="shared" si="65"/>
        <v>1.5255483546666668</v>
      </c>
      <c r="AF355" s="9"/>
      <c r="AG355" s="21">
        <v>1.63727</v>
      </c>
      <c r="AH355" s="21">
        <v>22.5105</v>
      </c>
      <c r="AI355" s="21">
        <v>-1.0119599999999999E-2</v>
      </c>
      <c r="AJ355" s="21">
        <v>345</v>
      </c>
      <c r="AK355" s="21">
        <v>1.63696</v>
      </c>
      <c r="AL355">
        <f t="shared" si="66"/>
        <v>12.493333333333332</v>
      </c>
      <c r="AM355">
        <f t="shared" si="67"/>
        <v>20.454959866666666</v>
      </c>
      <c r="AP355" s="9"/>
      <c r="AQ355" s="21">
        <v>8.2855200000000004E-2</v>
      </c>
      <c r="AR355" s="21">
        <v>28.0593</v>
      </c>
      <c r="AS355" s="21">
        <v>-1.49017E-2</v>
      </c>
      <c r="AT355" s="21">
        <v>345</v>
      </c>
      <c r="AU355" s="21">
        <v>8.2336400000000004E-2</v>
      </c>
      <c r="AV355">
        <f t="shared" si="68"/>
        <v>18.397160493827158</v>
      </c>
      <c r="AW355">
        <f t="shared" si="69"/>
        <v>1.524300412148148</v>
      </c>
      <c r="AX355" s="9"/>
      <c r="AY355" s="21">
        <v>1.63727</v>
      </c>
      <c r="AZ355" s="21">
        <v>31.918700000000001</v>
      </c>
      <c r="BA355" s="21">
        <v>-1.0012800000000001E-2</v>
      </c>
      <c r="BB355" s="21">
        <v>345</v>
      </c>
      <c r="BC355" s="21">
        <v>1.63666</v>
      </c>
      <c r="BD355">
        <f t="shared" si="70"/>
        <v>12.361481481481482</v>
      </c>
      <c r="BE355">
        <f t="shared" si="71"/>
        <v>20.239082785185186</v>
      </c>
    </row>
    <row r="356" spans="6:57" x14ac:dyDescent="0.25">
      <c r="F356" s="9"/>
      <c r="G356" s="21">
        <v>7.7819799999999995E-2</v>
      </c>
      <c r="H356" s="21">
        <v>9.2228999999999992</v>
      </c>
      <c r="I356" s="21">
        <v>-1.50116E-2</v>
      </c>
      <c r="J356" s="21">
        <v>346</v>
      </c>
      <c r="K356" s="21">
        <v>7.7392600000000006E-2</v>
      </c>
      <c r="L356">
        <f t="shared" si="60"/>
        <v>18.532839506172838</v>
      </c>
      <c r="M356">
        <f t="shared" si="61"/>
        <v>1.4422218638024689</v>
      </c>
      <c r="N356" s="9"/>
      <c r="O356" s="21">
        <v>1.6423000000000001</v>
      </c>
      <c r="P356" s="21">
        <v>13.0824</v>
      </c>
      <c r="Q356" s="21">
        <v>-9.5428500000000003E-3</v>
      </c>
      <c r="R356" s="21">
        <v>346</v>
      </c>
      <c r="S356" s="21">
        <v>1.64185</v>
      </c>
      <c r="T356">
        <f t="shared" si="62"/>
        <v>11.781296296296297</v>
      </c>
      <c r="U356">
        <f t="shared" si="63"/>
        <v>19.348422907407411</v>
      </c>
      <c r="X356" s="9"/>
      <c r="Y356" s="21">
        <v>7.7819799999999995E-2</v>
      </c>
      <c r="Z356" s="21">
        <v>18.661100000000001</v>
      </c>
      <c r="AA356" s="21">
        <v>-1.49231E-2</v>
      </c>
      <c r="AB356" s="21">
        <v>346</v>
      </c>
      <c r="AC356" s="21">
        <v>7.7331499999999997E-2</v>
      </c>
      <c r="AD356">
        <f t="shared" si="64"/>
        <v>18.423580246913577</v>
      </c>
      <c r="AE356">
        <f t="shared" si="65"/>
        <v>1.4337193300987652</v>
      </c>
      <c r="AF356" s="9"/>
      <c r="AG356" s="21">
        <v>1.6423000000000001</v>
      </c>
      <c r="AH356" s="21">
        <v>22.520600000000002</v>
      </c>
      <c r="AI356" s="21">
        <v>-9.9334699999999998E-3</v>
      </c>
      <c r="AJ356" s="21">
        <v>346</v>
      </c>
      <c r="AK356" s="21">
        <v>1.64154</v>
      </c>
      <c r="AL356">
        <f t="shared" si="66"/>
        <v>12.263543209876541</v>
      </c>
      <c r="AM356">
        <f t="shared" si="67"/>
        <v>20.140417013580244</v>
      </c>
      <c r="AP356" s="9"/>
      <c r="AQ356" s="21">
        <v>7.7819799999999995E-2</v>
      </c>
      <c r="AR356" s="21">
        <v>28.069299999999998</v>
      </c>
      <c r="AS356" s="21">
        <v>-1.4907800000000001E-2</v>
      </c>
      <c r="AT356" s="21">
        <v>346</v>
      </c>
      <c r="AU356" s="21">
        <v>7.7331499999999997E-2</v>
      </c>
      <c r="AV356">
        <f t="shared" si="68"/>
        <v>18.404691358024692</v>
      </c>
      <c r="AW356">
        <f t="shared" si="69"/>
        <v>1.4322494005432098</v>
      </c>
      <c r="AX356" s="9"/>
      <c r="AY356" s="21">
        <v>1.6423000000000001</v>
      </c>
      <c r="AZ356" s="21">
        <v>31.928799999999999</v>
      </c>
      <c r="BA356" s="21">
        <v>-9.7900399999999999E-3</v>
      </c>
      <c r="BB356" s="21">
        <v>346</v>
      </c>
      <c r="BC356" s="21">
        <v>1.64215</v>
      </c>
      <c r="BD356">
        <f t="shared" si="70"/>
        <v>12.086469135802469</v>
      </c>
      <c r="BE356">
        <f t="shared" si="71"/>
        <v>19.849608261728395</v>
      </c>
    </row>
    <row r="357" spans="6:57" x14ac:dyDescent="0.25">
      <c r="F357" s="9"/>
      <c r="G357" s="21">
        <v>7.2784399999999999E-2</v>
      </c>
      <c r="H357" s="21">
        <v>9.2329699999999999</v>
      </c>
      <c r="I357" s="21">
        <v>-1.50055E-2</v>
      </c>
      <c r="J357" s="21">
        <v>347</v>
      </c>
      <c r="K357" s="21">
        <v>7.2174100000000005E-2</v>
      </c>
      <c r="L357">
        <f t="shared" si="60"/>
        <v>18.525308641975307</v>
      </c>
      <c r="M357">
        <f t="shared" si="61"/>
        <v>1.3483534743209875</v>
      </c>
      <c r="N357" s="9"/>
      <c r="O357" s="21">
        <v>1.64734</v>
      </c>
      <c r="P357" s="21">
        <v>13.0924</v>
      </c>
      <c r="Q357" s="21">
        <v>-9.3383800000000003E-3</v>
      </c>
      <c r="R357" s="21">
        <v>347</v>
      </c>
      <c r="S357" s="21">
        <v>1.64581</v>
      </c>
      <c r="T357">
        <f t="shared" si="62"/>
        <v>11.528864197530863</v>
      </c>
      <c r="U357">
        <f t="shared" si="63"/>
        <v>18.991959147160493</v>
      </c>
      <c r="X357" s="9"/>
      <c r="Y357" s="21">
        <v>7.2784399999999999E-2</v>
      </c>
      <c r="Z357" s="21">
        <v>18.671199999999999</v>
      </c>
      <c r="AA357" s="21">
        <v>-1.4926099999999999E-2</v>
      </c>
      <c r="AB357" s="21">
        <v>347</v>
      </c>
      <c r="AC357" s="21">
        <v>7.2265599999999999E-2</v>
      </c>
      <c r="AD357">
        <f t="shared" si="64"/>
        <v>18.427283950617284</v>
      </c>
      <c r="AE357">
        <f t="shared" si="65"/>
        <v>1.3412188059753085</v>
      </c>
      <c r="AF357" s="9"/>
      <c r="AG357" s="21">
        <v>1.64734</v>
      </c>
      <c r="AH357" s="21">
        <v>22.5307</v>
      </c>
      <c r="AI357" s="21">
        <v>-9.7473100000000003E-3</v>
      </c>
      <c r="AJ357" s="21">
        <v>347</v>
      </c>
      <c r="AK357" s="21">
        <v>1.64612</v>
      </c>
      <c r="AL357">
        <f t="shared" si="66"/>
        <v>12.033716049382717</v>
      </c>
      <c r="AM357">
        <f t="shared" si="67"/>
        <v>19.823621796790125</v>
      </c>
      <c r="AP357" s="9"/>
      <c r="AQ357" s="21">
        <v>7.2784399999999999E-2</v>
      </c>
      <c r="AR357" s="21">
        <v>28.0794</v>
      </c>
      <c r="AS357" s="21">
        <v>-1.49109E-2</v>
      </c>
      <c r="AT357" s="21">
        <v>347</v>
      </c>
      <c r="AU357" s="21">
        <v>7.2204599999999994E-2</v>
      </c>
      <c r="AV357">
        <f t="shared" si="68"/>
        <v>18.408518518518516</v>
      </c>
      <c r="AW357">
        <f t="shared" si="69"/>
        <v>1.3398529752592592</v>
      </c>
      <c r="AX357" s="9"/>
      <c r="AY357" s="21">
        <v>1.64734</v>
      </c>
      <c r="AZ357" s="21">
        <v>31.9389</v>
      </c>
      <c r="BA357" s="21">
        <v>-9.5794699999999997E-3</v>
      </c>
      <c r="BB357" s="21">
        <v>347</v>
      </c>
      <c r="BC357" s="21">
        <v>1.64581</v>
      </c>
      <c r="BD357">
        <f t="shared" si="70"/>
        <v>11.826506172839505</v>
      </c>
      <c r="BE357">
        <f t="shared" si="71"/>
        <v>19.48227667876543</v>
      </c>
    </row>
    <row r="358" spans="6:57" x14ac:dyDescent="0.25">
      <c r="F358" s="9"/>
      <c r="G358" s="21">
        <v>6.7749000000000004E-2</v>
      </c>
      <c r="H358" s="21">
        <v>9.2430400000000006</v>
      </c>
      <c r="I358" s="21">
        <v>-1.5014599999999999E-2</v>
      </c>
      <c r="J358" s="21">
        <v>348</v>
      </c>
      <c r="K358" s="21">
        <v>6.7291299999999998E-2</v>
      </c>
      <c r="L358">
        <f t="shared" si="60"/>
        <v>18.536543209876541</v>
      </c>
      <c r="M358">
        <f t="shared" si="61"/>
        <v>1.2558322659259258</v>
      </c>
      <c r="N358" s="9"/>
      <c r="O358" s="21">
        <v>1.6523699999999999</v>
      </c>
      <c r="P358" s="21">
        <v>13.102499999999999</v>
      </c>
      <c r="Q358" s="21">
        <v>-9.1125500000000005E-3</v>
      </c>
      <c r="R358" s="21">
        <v>348</v>
      </c>
      <c r="S358" s="21">
        <v>1.65161</v>
      </c>
      <c r="T358">
        <f t="shared" si="62"/>
        <v>11.250061728395062</v>
      </c>
      <c r="U358">
        <f t="shared" si="63"/>
        <v>18.589264498148147</v>
      </c>
      <c r="X358" s="9"/>
      <c r="Y358" s="21">
        <v>6.7749000000000004E-2</v>
      </c>
      <c r="Z358" s="21">
        <v>18.6813</v>
      </c>
      <c r="AA358" s="21">
        <v>-1.4932300000000001E-2</v>
      </c>
      <c r="AB358" s="21">
        <v>348</v>
      </c>
      <c r="AC358" s="21">
        <v>6.7108200000000007E-2</v>
      </c>
      <c r="AD358">
        <f t="shared" si="64"/>
        <v>18.434938271604938</v>
      </c>
      <c r="AE358">
        <f t="shared" si="65"/>
        <v>1.2489486329629631</v>
      </c>
      <c r="AF358" s="9"/>
      <c r="AG358" s="21">
        <v>1.6523699999999999</v>
      </c>
      <c r="AH358" s="21">
        <v>22.540700000000001</v>
      </c>
      <c r="AI358" s="21">
        <v>-9.5397899999999994E-3</v>
      </c>
      <c r="AJ358" s="21">
        <v>348</v>
      </c>
      <c r="AK358" s="21">
        <v>1.6513100000000001</v>
      </c>
      <c r="AL358">
        <f t="shared" si="66"/>
        <v>11.777518518518518</v>
      </c>
      <c r="AM358">
        <f t="shared" si="67"/>
        <v>19.460818274444442</v>
      </c>
      <c r="AP358" s="9"/>
      <c r="AQ358" s="21">
        <v>6.7749000000000004E-2</v>
      </c>
      <c r="AR358" s="21">
        <v>28.089500000000001</v>
      </c>
      <c r="AS358" s="21">
        <v>-1.4919999999999999E-2</v>
      </c>
      <c r="AT358" s="21">
        <v>348</v>
      </c>
      <c r="AU358" s="21">
        <v>6.7169199999999998E-2</v>
      </c>
      <c r="AV358">
        <f t="shared" si="68"/>
        <v>18.41975308641975</v>
      </c>
      <c r="AW358">
        <f t="shared" si="69"/>
        <v>1.2479198518518517</v>
      </c>
      <c r="AX358" s="9"/>
      <c r="AY358" s="21">
        <v>1.6523699999999999</v>
      </c>
      <c r="AZ358" s="21">
        <v>31.949000000000002</v>
      </c>
      <c r="BA358" s="21">
        <v>-9.3658400000000003E-3</v>
      </c>
      <c r="BB358" s="21">
        <v>348</v>
      </c>
      <c r="BC358" s="21">
        <v>1.6519200000000001</v>
      </c>
      <c r="BD358">
        <f t="shared" si="70"/>
        <v>11.562765432098766</v>
      </c>
      <c r="BE358">
        <f t="shared" si="71"/>
        <v>19.105966717037038</v>
      </c>
    </row>
    <row r="359" spans="6:57" x14ac:dyDescent="0.25">
      <c r="F359" s="9"/>
      <c r="G359" s="21">
        <v>6.2713599999999994E-2</v>
      </c>
      <c r="H359" s="21">
        <v>9.2531099999999995</v>
      </c>
      <c r="I359" s="21">
        <v>-1.5020800000000001E-2</v>
      </c>
      <c r="J359" s="21">
        <v>349</v>
      </c>
      <c r="K359" s="21">
        <v>6.2133800000000003E-2</v>
      </c>
      <c r="L359">
        <f t="shared" si="60"/>
        <v>18.544197530864199</v>
      </c>
      <c r="M359">
        <f t="shared" si="61"/>
        <v>1.162973386271605</v>
      </c>
      <c r="N359" s="9"/>
      <c r="O359" s="21">
        <v>1.65741</v>
      </c>
      <c r="P359" s="21">
        <v>13.1126</v>
      </c>
      <c r="Q359" s="21">
        <v>-8.8806200000000005E-3</v>
      </c>
      <c r="R359" s="21">
        <v>349</v>
      </c>
      <c r="S359" s="21">
        <v>1.65649</v>
      </c>
      <c r="T359">
        <f t="shared" si="62"/>
        <v>10.963728395061729</v>
      </c>
      <c r="U359">
        <f t="shared" si="63"/>
        <v>18.171393079259261</v>
      </c>
      <c r="X359" s="9"/>
      <c r="Y359" s="21">
        <v>6.2713599999999994E-2</v>
      </c>
      <c r="Z359" s="21">
        <v>18.691299999999998</v>
      </c>
      <c r="AA359" s="21">
        <v>-1.49231E-2</v>
      </c>
      <c r="AB359" s="21">
        <v>349</v>
      </c>
      <c r="AC359" s="21">
        <v>6.2194800000000001E-2</v>
      </c>
      <c r="AD359">
        <f t="shared" si="64"/>
        <v>18.423580246913577</v>
      </c>
      <c r="AE359">
        <f t="shared" si="65"/>
        <v>1.1554090421728391</v>
      </c>
      <c r="AF359" s="9"/>
      <c r="AG359" s="21">
        <v>1.65741</v>
      </c>
      <c r="AH359" s="21">
        <v>22.550799999999999</v>
      </c>
      <c r="AI359" s="21">
        <v>-9.3292199999999992E-3</v>
      </c>
      <c r="AJ359" s="21">
        <v>349</v>
      </c>
      <c r="AK359" s="21">
        <v>1.6568000000000001</v>
      </c>
      <c r="AL359">
        <f t="shared" si="66"/>
        <v>11.517555555555553</v>
      </c>
      <c r="AM359">
        <f t="shared" si="67"/>
        <v>19.08931175333333</v>
      </c>
      <c r="AP359" s="9"/>
      <c r="AQ359" s="21">
        <v>6.2713599999999994E-2</v>
      </c>
      <c r="AR359" s="21">
        <v>28.099599999999999</v>
      </c>
      <c r="AS359" s="21">
        <v>-1.4932300000000001E-2</v>
      </c>
      <c r="AT359" s="21">
        <v>349</v>
      </c>
      <c r="AU359" s="21">
        <v>6.2286399999999999E-2</v>
      </c>
      <c r="AV359">
        <f t="shared" si="68"/>
        <v>18.434938271604938</v>
      </c>
      <c r="AW359">
        <f t="shared" si="69"/>
        <v>1.1561213447901233</v>
      </c>
      <c r="AX359" s="9"/>
      <c r="AY359" s="21">
        <v>1.65741</v>
      </c>
      <c r="AZ359" s="21">
        <v>31.959</v>
      </c>
      <c r="BA359" s="21">
        <v>-9.1339100000000003E-3</v>
      </c>
      <c r="BB359" s="21">
        <v>349</v>
      </c>
      <c r="BC359" s="21">
        <v>1.6568000000000001</v>
      </c>
      <c r="BD359">
        <f t="shared" si="70"/>
        <v>11.276432098765431</v>
      </c>
      <c r="BE359">
        <f t="shared" si="71"/>
        <v>18.689671324814814</v>
      </c>
    </row>
    <row r="360" spans="6:57" x14ac:dyDescent="0.25">
      <c r="F360" s="9"/>
      <c r="G360" s="21">
        <v>5.7678199999999999E-2</v>
      </c>
      <c r="H360" s="21">
        <v>9.2631800000000002</v>
      </c>
      <c r="I360" s="21">
        <v>-1.5026899999999999E-2</v>
      </c>
      <c r="J360" s="21">
        <v>350</v>
      </c>
      <c r="K360" s="21">
        <v>5.7189900000000002E-2</v>
      </c>
      <c r="L360">
        <f t="shared" si="60"/>
        <v>18.551728395061726</v>
      </c>
      <c r="M360">
        <f t="shared" si="61"/>
        <v>1.0700303007160492</v>
      </c>
      <c r="N360" s="9"/>
      <c r="O360" s="21">
        <v>1.66245</v>
      </c>
      <c r="P360" s="21">
        <v>13.1227</v>
      </c>
      <c r="Q360" s="21">
        <v>-8.6364700000000003E-3</v>
      </c>
      <c r="R360" s="21">
        <v>350</v>
      </c>
      <c r="S360" s="21">
        <v>1.6613800000000001</v>
      </c>
      <c r="T360">
        <f t="shared" si="62"/>
        <v>10.662308641975308</v>
      </c>
      <c r="U360">
        <f t="shared" si="63"/>
        <v>17.725555001851852</v>
      </c>
      <c r="X360" s="9"/>
      <c r="Y360" s="21">
        <v>5.7678199999999999E-2</v>
      </c>
      <c r="Z360" s="21">
        <v>18.7014</v>
      </c>
      <c r="AA360" s="21">
        <v>-1.4907800000000001E-2</v>
      </c>
      <c r="AB360" s="21">
        <v>350</v>
      </c>
      <c r="AC360" s="21">
        <v>5.7128900000000003E-2</v>
      </c>
      <c r="AD360">
        <f t="shared" si="64"/>
        <v>18.404691358024692</v>
      </c>
      <c r="AE360">
        <f t="shared" si="65"/>
        <v>1.0615494690864198</v>
      </c>
      <c r="AF360" s="9"/>
      <c r="AG360" s="21">
        <v>1.66245</v>
      </c>
      <c r="AH360" s="21">
        <v>22.5609</v>
      </c>
      <c r="AI360" s="21">
        <v>-9.0972899999999992E-3</v>
      </c>
      <c r="AJ360" s="21">
        <v>350</v>
      </c>
      <c r="AK360" s="21">
        <v>1.6613800000000001</v>
      </c>
      <c r="AL360">
        <f t="shared" si="66"/>
        <v>11.23122222222222</v>
      </c>
      <c r="AM360">
        <f t="shared" si="67"/>
        <v>18.671345383333328</v>
      </c>
      <c r="AP360" s="9"/>
      <c r="AQ360" s="21">
        <v>5.7678199999999999E-2</v>
      </c>
      <c r="AR360" s="21">
        <v>28.1096</v>
      </c>
      <c r="AS360" s="21">
        <v>-1.49353E-2</v>
      </c>
      <c r="AT360" s="21">
        <v>350</v>
      </c>
      <c r="AU360" s="21">
        <v>5.7189900000000002E-2</v>
      </c>
      <c r="AV360">
        <f t="shared" si="68"/>
        <v>18.438641975308641</v>
      </c>
      <c r="AW360">
        <f t="shared" si="69"/>
        <v>1.0635076795802469</v>
      </c>
      <c r="AX360" s="9"/>
      <c r="AY360" s="21">
        <v>1.66245</v>
      </c>
      <c r="AZ360" s="21">
        <v>31.969100000000001</v>
      </c>
      <c r="BA360" s="21">
        <v>-8.8928199999999992E-3</v>
      </c>
      <c r="BB360" s="21">
        <v>350</v>
      </c>
      <c r="BC360" s="21">
        <v>1.6613800000000001</v>
      </c>
      <c r="BD360">
        <f t="shared" si="70"/>
        <v>10.978790123456788</v>
      </c>
      <c r="BE360">
        <f t="shared" si="71"/>
        <v>18.251689640740736</v>
      </c>
    </row>
    <row r="361" spans="6:57" x14ac:dyDescent="0.25">
      <c r="F361" s="9"/>
      <c r="G361" s="21">
        <v>5.2642799999999997E-2</v>
      </c>
      <c r="H361" s="21">
        <v>9.2732600000000005</v>
      </c>
      <c r="I361" s="21">
        <v>-1.5029900000000001E-2</v>
      </c>
      <c r="J361" s="21">
        <v>351</v>
      </c>
      <c r="K361" s="21">
        <v>5.2215600000000001E-2</v>
      </c>
      <c r="L361">
        <f t="shared" si="60"/>
        <v>18.555432098765429</v>
      </c>
      <c r="M361">
        <f t="shared" si="61"/>
        <v>0.97680990088888864</v>
      </c>
      <c r="N361" s="9"/>
      <c r="O361" s="21">
        <v>1.6674800000000001</v>
      </c>
      <c r="P361" s="21">
        <v>13.1327</v>
      </c>
      <c r="Q361" s="21">
        <v>-8.3862299999999997E-3</v>
      </c>
      <c r="R361" s="21">
        <v>351</v>
      </c>
      <c r="S361" s="21">
        <v>1.6662600000000001</v>
      </c>
      <c r="T361">
        <f t="shared" si="62"/>
        <v>10.353370370370369</v>
      </c>
      <c r="U361">
        <f t="shared" si="63"/>
        <v>17.264038025185183</v>
      </c>
      <c r="X361" s="9"/>
      <c r="Y361" s="21">
        <v>5.2642799999999997E-2</v>
      </c>
      <c r="Z361" s="21">
        <v>18.711500000000001</v>
      </c>
      <c r="AA361" s="21">
        <v>-1.49109E-2</v>
      </c>
      <c r="AB361" s="21">
        <v>351</v>
      </c>
      <c r="AC361" s="21">
        <v>5.2185099999999998E-2</v>
      </c>
      <c r="AD361">
        <f t="shared" si="64"/>
        <v>18.408518518518516</v>
      </c>
      <c r="AE361">
        <f t="shared" si="65"/>
        <v>0.96907595866666651</v>
      </c>
      <c r="AF361" s="9"/>
      <c r="AG361" s="21">
        <v>1.6674800000000001</v>
      </c>
      <c r="AH361" s="21">
        <v>22.570900000000002</v>
      </c>
      <c r="AI361" s="21">
        <v>-8.8592500000000008E-3</v>
      </c>
      <c r="AJ361" s="21">
        <v>351</v>
      </c>
      <c r="AK361" s="21">
        <v>1.6662600000000001</v>
      </c>
      <c r="AL361">
        <f t="shared" si="66"/>
        <v>10.937345679012346</v>
      </c>
      <c r="AM361">
        <f t="shared" si="67"/>
        <v>18.237805172839508</v>
      </c>
      <c r="AP361" s="9"/>
      <c r="AQ361" s="21">
        <v>5.2642799999999997E-2</v>
      </c>
      <c r="AR361" s="21">
        <v>28.119700000000002</v>
      </c>
      <c r="AS361" s="21">
        <v>-1.4932300000000001E-2</v>
      </c>
      <c r="AT361" s="21">
        <v>351</v>
      </c>
      <c r="AU361" s="21">
        <v>5.2123999999999997E-2</v>
      </c>
      <c r="AV361">
        <f t="shared" si="68"/>
        <v>18.434938271604938</v>
      </c>
      <c r="AW361">
        <f t="shared" si="69"/>
        <v>0.97046676844444435</v>
      </c>
      <c r="AX361" s="9"/>
      <c r="AY361" s="21">
        <v>1.6674800000000001</v>
      </c>
      <c r="AZ361" s="21">
        <v>31.979199999999999</v>
      </c>
      <c r="BA361" s="21">
        <v>-8.6364700000000003E-3</v>
      </c>
      <c r="BB361" s="21">
        <v>351</v>
      </c>
      <c r="BC361" s="21">
        <v>1.66656</v>
      </c>
      <c r="BD361">
        <f t="shared" si="70"/>
        <v>10.662308641975308</v>
      </c>
      <c r="BE361">
        <f t="shared" si="71"/>
        <v>17.779186414320986</v>
      </c>
    </row>
    <row r="362" spans="6:57" x14ac:dyDescent="0.25">
      <c r="F362" s="9"/>
      <c r="G362" s="21">
        <v>4.7607400000000001E-2</v>
      </c>
      <c r="H362" s="21">
        <v>9.2833299999999994</v>
      </c>
      <c r="I362" s="21">
        <v>-1.5026899999999999E-2</v>
      </c>
      <c r="J362" s="21">
        <v>352</v>
      </c>
      <c r="K362" s="21">
        <v>4.75311E-2</v>
      </c>
      <c r="L362">
        <f t="shared" si="60"/>
        <v>18.551728395061726</v>
      </c>
      <c r="M362">
        <f t="shared" si="61"/>
        <v>0.88319955439506159</v>
      </c>
      <c r="N362" s="9"/>
      <c r="O362" s="21">
        <v>1.67252</v>
      </c>
      <c r="P362" s="21">
        <v>13.142799999999999</v>
      </c>
      <c r="Q362" s="21">
        <v>-8.1024200000000008E-3</v>
      </c>
      <c r="R362" s="21">
        <v>352</v>
      </c>
      <c r="S362" s="21">
        <v>1.6717500000000001</v>
      </c>
      <c r="T362">
        <f t="shared" si="62"/>
        <v>10.002987654320988</v>
      </c>
      <c r="U362">
        <f t="shared" si="63"/>
        <v>16.730196911604938</v>
      </c>
      <c r="X362" s="9"/>
      <c r="Y362" s="21">
        <v>4.7607400000000001E-2</v>
      </c>
      <c r="Z362" s="21">
        <v>18.721499999999999</v>
      </c>
      <c r="AA362" s="21">
        <v>-1.4926099999999999E-2</v>
      </c>
      <c r="AB362" s="21">
        <v>352</v>
      </c>
      <c r="AC362" s="21">
        <v>4.7534199999999999E-2</v>
      </c>
      <c r="AD362">
        <f t="shared" si="64"/>
        <v>18.427283950617284</v>
      </c>
      <c r="AE362">
        <f t="shared" si="65"/>
        <v>0.87727507795061732</v>
      </c>
      <c r="AF362" s="9"/>
      <c r="AG362" s="21">
        <v>1.67252</v>
      </c>
      <c r="AH362" s="21">
        <v>22.581</v>
      </c>
      <c r="AI362" s="21">
        <v>-8.5876500000000005E-3</v>
      </c>
      <c r="AJ362" s="21">
        <v>352</v>
      </c>
      <c r="AK362" s="21">
        <v>1.6714500000000001</v>
      </c>
      <c r="AL362">
        <f t="shared" si="66"/>
        <v>10.602037037037036</v>
      </c>
      <c r="AM362">
        <f t="shared" si="67"/>
        <v>17.732118985185185</v>
      </c>
      <c r="AP362" s="9"/>
      <c r="AQ362" s="21">
        <v>4.7607400000000001E-2</v>
      </c>
      <c r="AR362" s="21">
        <v>28.129799999999999</v>
      </c>
      <c r="AS362" s="21">
        <v>-1.4919999999999999E-2</v>
      </c>
      <c r="AT362" s="21">
        <v>352</v>
      </c>
      <c r="AU362" s="21">
        <v>4.7607400000000001E-2</v>
      </c>
      <c r="AV362">
        <f t="shared" si="68"/>
        <v>18.41975308641975</v>
      </c>
      <c r="AW362">
        <f t="shared" si="69"/>
        <v>0.87691655308641958</v>
      </c>
      <c r="AX362" s="9"/>
      <c r="AY362" s="21">
        <v>1.67252</v>
      </c>
      <c r="AZ362" s="21">
        <v>31.9892</v>
      </c>
      <c r="BA362" s="21">
        <v>-8.3770800000000003E-3</v>
      </c>
      <c r="BB362" s="21">
        <v>352</v>
      </c>
      <c r="BC362" s="21">
        <v>1.6714500000000001</v>
      </c>
      <c r="BD362">
        <f t="shared" si="70"/>
        <v>10.342074074074073</v>
      </c>
      <c r="BE362">
        <f t="shared" si="71"/>
        <v>17.297325730370368</v>
      </c>
    </row>
    <row r="363" spans="6:57" x14ac:dyDescent="0.25">
      <c r="F363" s="9"/>
      <c r="G363" s="21">
        <v>4.2571999999999999E-2</v>
      </c>
      <c r="H363" s="21">
        <v>9.2934000000000001</v>
      </c>
      <c r="I363" s="21">
        <v>-1.50238E-2</v>
      </c>
      <c r="J363" s="21">
        <v>353</v>
      </c>
      <c r="K363" s="21">
        <v>4.25262E-2</v>
      </c>
      <c r="L363">
        <f t="shared" si="60"/>
        <v>18.547901234567902</v>
      </c>
      <c r="M363">
        <f t="shared" si="61"/>
        <v>0.78962125135802474</v>
      </c>
      <c r="N363" s="9"/>
      <c r="O363" s="21">
        <v>1.6775500000000001</v>
      </c>
      <c r="P363" s="21">
        <v>13.152900000000001</v>
      </c>
      <c r="Q363" s="21">
        <v>-7.8033399999999998E-3</v>
      </c>
      <c r="R363" s="21">
        <v>353</v>
      </c>
      <c r="S363" s="21">
        <v>1.6766399999999999</v>
      </c>
      <c r="T363">
        <f t="shared" si="62"/>
        <v>9.6337530864197518</v>
      </c>
      <c r="U363">
        <f t="shared" si="63"/>
        <v>16.161102490123454</v>
      </c>
      <c r="X363" s="9"/>
      <c r="Y363" s="21">
        <v>4.2571999999999999E-2</v>
      </c>
      <c r="Z363" s="21">
        <v>18.7316</v>
      </c>
      <c r="AA363" s="21">
        <v>-1.49292E-2</v>
      </c>
      <c r="AB363" s="21">
        <v>353</v>
      </c>
      <c r="AC363" s="21">
        <v>4.2523199999999997E-2</v>
      </c>
      <c r="AD363">
        <f t="shared" si="64"/>
        <v>18.431111111111111</v>
      </c>
      <c r="AE363">
        <f t="shared" si="65"/>
        <v>0.7846492622222222</v>
      </c>
      <c r="AF363" s="9"/>
      <c r="AG363" s="21">
        <v>1.6775500000000001</v>
      </c>
      <c r="AH363" s="21">
        <v>22.591100000000001</v>
      </c>
      <c r="AI363" s="21">
        <v>-8.3129899999999993E-3</v>
      </c>
      <c r="AJ363" s="21">
        <v>353</v>
      </c>
      <c r="AK363" s="21">
        <v>1.6766399999999999</v>
      </c>
      <c r="AL363">
        <f t="shared" si="66"/>
        <v>10.26295061728395</v>
      </c>
      <c r="AM363">
        <f t="shared" si="67"/>
        <v>17.216612808024692</v>
      </c>
      <c r="AP363" s="9"/>
      <c r="AQ363" s="21">
        <v>4.2571999999999999E-2</v>
      </c>
      <c r="AR363" s="21">
        <v>28.139800000000001</v>
      </c>
      <c r="AS363" s="21">
        <v>-1.4919999999999999E-2</v>
      </c>
      <c r="AT363" s="21">
        <v>353</v>
      </c>
      <c r="AU363" s="21">
        <v>4.25964E-2</v>
      </c>
      <c r="AV363">
        <f t="shared" si="68"/>
        <v>18.41975308641975</v>
      </c>
      <c r="AW363">
        <f t="shared" si="69"/>
        <v>0.7841657283950616</v>
      </c>
      <c r="AX363" s="9"/>
      <c r="AY363" s="21">
        <v>1.6775500000000001</v>
      </c>
      <c r="AZ363" s="21">
        <v>31.999300000000002</v>
      </c>
      <c r="BA363" s="21">
        <v>-8.0841100000000003E-3</v>
      </c>
      <c r="BB363" s="21">
        <v>353</v>
      </c>
      <c r="BC363" s="21">
        <v>1.6772499999999999</v>
      </c>
      <c r="BD363">
        <f t="shared" si="70"/>
        <v>9.9803827160493821</v>
      </c>
      <c r="BE363">
        <f t="shared" si="71"/>
        <v>16.742591025308641</v>
      </c>
    </row>
    <row r="364" spans="6:57" x14ac:dyDescent="0.25">
      <c r="F364" s="9"/>
      <c r="G364" s="21">
        <v>3.7536600000000003E-2</v>
      </c>
      <c r="H364" s="21">
        <v>9.3034700000000008</v>
      </c>
      <c r="I364" s="21">
        <v>-1.5002400000000001E-2</v>
      </c>
      <c r="J364" s="21">
        <v>354</v>
      </c>
      <c r="K364" s="21">
        <v>3.7399300000000003E-2</v>
      </c>
      <c r="L364">
        <f t="shared" si="60"/>
        <v>18.521481481481484</v>
      </c>
      <c r="M364">
        <f t="shared" si="61"/>
        <v>0.69523344177777791</v>
      </c>
      <c r="N364" s="9"/>
      <c r="O364" s="21">
        <v>1.68259</v>
      </c>
      <c r="P364" s="21">
        <v>13.1629</v>
      </c>
      <c r="Q364" s="21">
        <v>-7.6507600000000004E-3</v>
      </c>
      <c r="R364" s="21">
        <v>354</v>
      </c>
      <c r="S364" s="21">
        <v>1.6812100000000001</v>
      </c>
      <c r="T364">
        <f t="shared" si="62"/>
        <v>9.4453827160493837</v>
      </c>
      <c r="U364">
        <f t="shared" si="63"/>
        <v>15.892706504197532</v>
      </c>
      <c r="X364" s="9"/>
      <c r="Y364" s="21">
        <v>3.7536600000000003E-2</v>
      </c>
      <c r="Z364" s="21">
        <v>18.741700000000002</v>
      </c>
      <c r="AA364" s="21">
        <v>-1.4938399999999999E-2</v>
      </c>
      <c r="AB364" s="21">
        <v>354</v>
      </c>
      <c r="AC364" s="21">
        <v>3.7493899999999997E-2</v>
      </c>
      <c r="AD364">
        <f t="shared" si="64"/>
        <v>18.442469135802465</v>
      </c>
      <c r="AE364">
        <f t="shared" si="65"/>
        <v>0.69226758696296287</v>
      </c>
      <c r="AF364" s="9"/>
      <c r="AG364" s="21">
        <v>1.68259</v>
      </c>
      <c r="AH364" s="21">
        <v>22.601199999999999</v>
      </c>
      <c r="AI364" s="21">
        <v>-8.0139200000000008E-3</v>
      </c>
      <c r="AJ364" s="21">
        <v>354</v>
      </c>
      <c r="AK364" s="21">
        <v>1.6824300000000001</v>
      </c>
      <c r="AL364">
        <f t="shared" si="66"/>
        <v>9.8937283950617285</v>
      </c>
      <c r="AM364">
        <f t="shared" si="67"/>
        <v>16.647088460246913</v>
      </c>
      <c r="AP364" s="9"/>
      <c r="AQ364" s="21">
        <v>3.7536600000000003E-2</v>
      </c>
      <c r="AR364" s="21">
        <v>28.149899999999999</v>
      </c>
      <c r="AS364" s="21">
        <v>-1.4919999999999999E-2</v>
      </c>
      <c r="AT364" s="21">
        <v>354</v>
      </c>
      <c r="AU364" s="21">
        <v>3.74542E-2</v>
      </c>
      <c r="AV364">
        <f t="shared" si="68"/>
        <v>18.41975308641975</v>
      </c>
      <c r="AW364">
        <f t="shared" si="69"/>
        <v>0.69141490370370362</v>
      </c>
      <c r="AX364" s="9"/>
      <c r="AY364" s="21">
        <v>1.68259</v>
      </c>
      <c r="AZ364" s="21">
        <v>32.009399999999999</v>
      </c>
      <c r="BA364" s="21">
        <v>-7.78198E-3</v>
      </c>
      <c r="BB364" s="21">
        <v>354</v>
      </c>
      <c r="BC364" s="21">
        <v>1.6818200000000001</v>
      </c>
      <c r="BD364">
        <f t="shared" si="70"/>
        <v>9.6073827160493828</v>
      </c>
      <c r="BE364">
        <f t="shared" si="71"/>
        <v>16.165286084197533</v>
      </c>
    </row>
    <row r="365" spans="6:57" x14ac:dyDescent="0.25">
      <c r="F365" s="9"/>
      <c r="G365" s="21">
        <v>3.2501200000000001E-2</v>
      </c>
      <c r="H365" s="21">
        <v>9.3135399999999997</v>
      </c>
      <c r="I365" s="21">
        <v>-1.4993299999999999E-2</v>
      </c>
      <c r="J365" s="21">
        <v>355</v>
      </c>
      <c r="K365" s="21">
        <v>3.2431000000000001E-2</v>
      </c>
      <c r="L365">
        <f t="shared" si="60"/>
        <v>18.510246913580243</v>
      </c>
      <c r="M365">
        <f t="shared" si="61"/>
        <v>0.60160523698765422</v>
      </c>
      <c r="N365" s="9"/>
      <c r="O365" s="21">
        <v>1.6876199999999999</v>
      </c>
      <c r="P365" s="21">
        <v>13.173</v>
      </c>
      <c r="Q365" s="21">
        <v>-7.4157700000000003E-3</v>
      </c>
      <c r="R365" s="21">
        <v>355</v>
      </c>
      <c r="S365" s="21">
        <v>1.6870099999999999</v>
      </c>
      <c r="T365">
        <f t="shared" si="62"/>
        <v>9.155271604938271</v>
      </c>
      <c r="U365">
        <f t="shared" si="63"/>
        <v>15.450619465925923</v>
      </c>
      <c r="X365" s="9"/>
      <c r="Y365" s="21">
        <v>3.2501200000000001E-2</v>
      </c>
      <c r="Z365" s="21">
        <v>18.751799999999999</v>
      </c>
      <c r="AA365" s="21">
        <v>-1.4941400000000001E-2</v>
      </c>
      <c r="AB365" s="21">
        <v>355</v>
      </c>
      <c r="AC365" s="21">
        <v>3.2388300000000002E-2</v>
      </c>
      <c r="AD365">
        <f t="shared" si="64"/>
        <v>18.446172839506172</v>
      </c>
      <c r="AE365">
        <f t="shared" si="65"/>
        <v>0.59952275269135802</v>
      </c>
      <c r="AF365" s="9"/>
      <c r="AG365" s="21">
        <v>1.6876199999999999</v>
      </c>
      <c r="AH365" s="21">
        <v>22.6112</v>
      </c>
      <c r="AI365" s="21">
        <v>-7.69653E-3</v>
      </c>
      <c r="AJ365" s="21">
        <v>355</v>
      </c>
      <c r="AK365" s="21">
        <v>1.6863999999999999</v>
      </c>
      <c r="AL365">
        <f t="shared" si="66"/>
        <v>9.5018888888888871</v>
      </c>
      <c r="AM365">
        <f t="shared" si="67"/>
        <v>16.035577726666663</v>
      </c>
      <c r="AP365" s="9"/>
      <c r="AQ365" s="21">
        <v>3.2501200000000001E-2</v>
      </c>
      <c r="AR365" s="21">
        <v>28.16</v>
      </c>
      <c r="AS365" s="21">
        <v>-1.4919999999999999E-2</v>
      </c>
      <c r="AT365" s="21">
        <v>355</v>
      </c>
      <c r="AU365" s="21">
        <v>3.2418799999999998E-2</v>
      </c>
      <c r="AV365">
        <f t="shared" si="68"/>
        <v>18.41975308641975</v>
      </c>
      <c r="AW365">
        <f t="shared" si="69"/>
        <v>0.59866407901234553</v>
      </c>
      <c r="AX365" s="9"/>
      <c r="AY365" s="21">
        <v>1.6876199999999999</v>
      </c>
      <c r="AZ365" s="21">
        <v>32.019500000000001</v>
      </c>
      <c r="BA365" s="21">
        <v>-7.4462900000000004E-3</v>
      </c>
      <c r="BB365" s="21">
        <v>355</v>
      </c>
      <c r="BC365" s="21">
        <v>1.6873199999999999</v>
      </c>
      <c r="BD365">
        <f t="shared" si="70"/>
        <v>9.1929506172839499</v>
      </c>
      <c r="BE365">
        <f t="shared" si="71"/>
        <v>15.514207320740738</v>
      </c>
    </row>
    <row r="366" spans="6:57" x14ac:dyDescent="0.25">
      <c r="F366" s="9"/>
      <c r="G366" s="21">
        <v>2.7465799999999999E-2</v>
      </c>
      <c r="H366" s="21">
        <v>9.3236100000000004</v>
      </c>
      <c r="I366" s="21">
        <v>-1.4981100000000001E-2</v>
      </c>
      <c r="J366" s="21">
        <v>356</v>
      </c>
      <c r="K366" s="21">
        <v>2.73621E-2</v>
      </c>
      <c r="L366">
        <f t="shared" si="60"/>
        <v>18.495185185185186</v>
      </c>
      <c r="M366">
        <f t="shared" si="61"/>
        <v>0.50798505725925924</v>
      </c>
      <c r="N366" s="9"/>
      <c r="O366" s="21">
        <v>1.6926600000000001</v>
      </c>
      <c r="P366" s="21">
        <v>13.1831</v>
      </c>
      <c r="Q366" s="21">
        <v>-7.0587200000000001E-3</v>
      </c>
      <c r="R366" s="21">
        <v>356</v>
      </c>
      <c r="S366" s="21">
        <v>1.6918899999999999</v>
      </c>
      <c r="T366">
        <f t="shared" si="62"/>
        <v>8.7144691358024691</v>
      </c>
      <c r="U366">
        <f t="shared" si="63"/>
        <v>14.750633327407408</v>
      </c>
      <c r="X366" s="9"/>
      <c r="Y366" s="21">
        <v>2.7465799999999999E-2</v>
      </c>
      <c r="Z366" s="21">
        <v>18.761800000000001</v>
      </c>
      <c r="AA366" s="21">
        <v>-1.49506E-2</v>
      </c>
      <c r="AB366" s="21">
        <v>356</v>
      </c>
      <c r="AC366" s="21">
        <v>2.7346800000000001E-2</v>
      </c>
      <c r="AD366">
        <f t="shared" si="64"/>
        <v>18.45753086419753</v>
      </c>
      <c r="AE366">
        <f t="shared" si="65"/>
        <v>0.50695085120987649</v>
      </c>
      <c r="AF366" s="9"/>
      <c r="AG366" s="21">
        <v>1.6926600000000001</v>
      </c>
      <c r="AH366" s="21">
        <v>22.621300000000002</v>
      </c>
      <c r="AI366" s="21">
        <v>-7.3486300000000001E-3</v>
      </c>
      <c r="AJ366" s="21">
        <v>356</v>
      </c>
      <c r="AK366" s="21">
        <v>1.6918899999999999</v>
      </c>
      <c r="AL366">
        <f t="shared" si="66"/>
        <v>9.0723827160493808</v>
      </c>
      <c r="AM366">
        <f t="shared" si="67"/>
        <v>15.356459328148146</v>
      </c>
      <c r="AP366" s="9"/>
      <c r="AQ366" s="21">
        <v>2.7465799999999999E-2</v>
      </c>
      <c r="AR366" s="21">
        <v>28.170100000000001</v>
      </c>
      <c r="AS366" s="21">
        <v>-1.4926099999999999E-2</v>
      </c>
      <c r="AT366" s="21">
        <v>356</v>
      </c>
      <c r="AU366" s="21">
        <v>2.7395599999999999E-2</v>
      </c>
      <c r="AV366">
        <f t="shared" si="68"/>
        <v>18.427283950617284</v>
      </c>
      <c r="AW366">
        <f t="shared" si="69"/>
        <v>0.50612009553086412</v>
      </c>
      <c r="AX366" s="9"/>
      <c r="AY366" s="21">
        <v>1.6926600000000001</v>
      </c>
      <c r="AZ366" s="21">
        <v>32.029499999999999</v>
      </c>
      <c r="BA366" s="21">
        <v>-7.0922900000000002E-3</v>
      </c>
      <c r="BB366" s="21">
        <v>356</v>
      </c>
      <c r="BC366" s="21">
        <v>1.6921999999999999</v>
      </c>
      <c r="BD366">
        <f t="shared" si="70"/>
        <v>8.7559135802469132</v>
      </c>
      <c r="BE366">
        <f t="shared" si="71"/>
        <v>14.82078468074074</v>
      </c>
    </row>
    <row r="367" spans="6:57" x14ac:dyDescent="0.25">
      <c r="F367" s="9"/>
      <c r="G367" s="21">
        <v>2.24304E-2</v>
      </c>
      <c r="H367" s="21">
        <v>9.3336799999999993</v>
      </c>
      <c r="I367" s="21">
        <v>-1.49719E-2</v>
      </c>
      <c r="J367" s="21">
        <v>357</v>
      </c>
      <c r="K367" s="21">
        <v>2.2317500000000001E-2</v>
      </c>
      <c r="L367">
        <f t="shared" si="60"/>
        <v>18.483827160493824</v>
      </c>
      <c r="M367">
        <f t="shared" si="61"/>
        <v>0.41459963674074068</v>
      </c>
      <c r="N367" s="9"/>
      <c r="O367" s="21">
        <v>1.6976899999999999</v>
      </c>
      <c r="P367" s="21">
        <v>13.193199999999999</v>
      </c>
      <c r="Q367" s="21">
        <v>-6.6955599999999997E-3</v>
      </c>
      <c r="R367" s="21">
        <v>357</v>
      </c>
      <c r="S367" s="21">
        <v>1.6970799999999999</v>
      </c>
      <c r="T367">
        <f t="shared" si="62"/>
        <v>8.2661234567901225</v>
      </c>
      <c r="U367">
        <f t="shared" si="63"/>
        <v>14.033315131358023</v>
      </c>
      <c r="X367" s="9"/>
      <c r="Y367" s="21">
        <v>2.24304E-2</v>
      </c>
      <c r="Z367" s="21">
        <v>18.771899999999999</v>
      </c>
      <c r="AA367" s="21">
        <v>-1.49689E-2</v>
      </c>
      <c r="AB367" s="21">
        <v>357</v>
      </c>
      <c r="AC367" s="21">
        <v>2.23602E-2</v>
      </c>
      <c r="AD367">
        <f t="shared" si="64"/>
        <v>18.480123456790125</v>
      </c>
      <c r="AE367">
        <f t="shared" si="65"/>
        <v>0.41451656118518521</v>
      </c>
      <c r="AF367" s="9"/>
      <c r="AG367" s="21">
        <v>1.6976899999999999</v>
      </c>
      <c r="AH367" s="21">
        <v>22.631399999999999</v>
      </c>
      <c r="AI367" s="21">
        <v>-6.9793700000000004E-3</v>
      </c>
      <c r="AJ367" s="21">
        <v>357</v>
      </c>
      <c r="AK367" s="21">
        <v>1.6970799999999999</v>
      </c>
      <c r="AL367">
        <f t="shared" si="66"/>
        <v>8.6165061728395056</v>
      </c>
      <c r="AM367">
        <f t="shared" si="67"/>
        <v>14.6281563645679</v>
      </c>
      <c r="AP367" s="9"/>
      <c r="AQ367" s="21">
        <v>2.24304E-2</v>
      </c>
      <c r="AR367" s="21">
        <v>28.180099999999999</v>
      </c>
      <c r="AS367" s="21">
        <v>-1.49353E-2</v>
      </c>
      <c r="AT367" s="21">
        <v>357</v>
      </c>
      <c r="AU367" s="21">
        <v>2.2302200000000001E-2</v>
      </c>
      <c r="AV367">
        <f t="shared" si="68"/>
        <v>18.438641975308641</v>
      </c>
      <c r="AW367">
        <f t="shared" si="69"/>
        <v>0.41358611496296294</v>
      </c>
      <c r="AX367" s="9"/>
      <c r="AY367" s="21">
        <v>1.6976899999999999</v>
      </c>
      <c r="AZ367" s="21">
        <v>32.0396</v>
      </c>
      <c r="BA367" s="21">
        <v>-6.7077600000000001E-3</v>
      </c>
      <c r="BB367" s="21">
        <v>357</v>
      </c>
      <c r="BC367" s="21">
        <v>1.69678</v>
      </c>
      <c r="BD367">
        <f t="shared" si="70"/>
        <v>8.2811851851851852</v>
      </c>
      <c r="BE367">
        <f t="shared" si="71"/>
        <v>14.058885277037037</v>
      </c>
    </row>
    <row r="368" spans="6:57" x14ac:dyDescent="0.25">
      <c r="F368" s="9"/>
      <c r="G368" s="21">
        <v>1.7395000000000001E-2</v>
      </c>
      <c r="H368" s="21">
        <v>9.34375</v>
      </c>
      <c r="I368" s="21">
        <v>-1.49719E-2</v>
      </c>
      <c r="J368" s="21">
        <v>358</v>
      </c>
      <c r="K368" s="21">
        <v>1.72882E-2</v>
      </c>
      <c r="L368">
        <f t="shared" si="60"/>
        <v>18.483827160493824</v>
      </c>
      <c r="M368">
        <f t="shared" si="61"/>
        <v>0.32152617345679008</v>
      </c>
      <c r="N368" s="9"/>
      <c r="O368" s="21">
        <v>1.7027300000000001</v>
      </c>
      <c r="P368" s="21">
        <v>13.203200000000001</v>
      </c>
      <c r="Q368" s="21">
        <v>-6.3018800000000002E-3</v>
      </c>
      <c r="R368" s="21">
        <v>358</v>
      </c>
      <c r="S368" s="21">
        <v>1.70197</v>
      </c>
      <c r="T368">
        <f t="shared" si="62"/>
        <v>7.7800987654320988</v>
      </c>
      <c r="U368">
        <f t="shared" si="63"/>
        <v>13.247407570864198</v>
      </c>
      <c r="X368" s="9"/>
      <c r="Y368" s="21">
        <v>1.7395000000000001E-2</v>
      </c>
      <c r="Z368" s="21">
        <v>18.782</v>
      </c>
      <c r="AA368" s="21">
        <v>-1.4981100000000001E-2</v>
      </c>
      <c r="AB368" s="21">
        <v>358</v>
      </c>
      <c r="AC368" s="21">
        <v>1.74103E-2</v>
      </c>
      <c r="AD368">
        <f t="shared" si="64"/>
        <v>18.495185185185186</v>
      </c>
      <c r="AE368">
        <f t="shared" si="65"/>
        <v>0.3217237462962963</v>
      </c>
      <c r="AF368" s="9"/>
      <c r="AG368" s="21">
        <v>1.7027300000000001</v>
      </c>
      <c r="AH368" s="21">
        <v>22.641400000000001</v>
      </c>
      <c r="AI368" s="21">
        <v>-6.5551799999999999E-3</v>
      </c>
      <c r="AJ368" s="21">
        <v>358</v>
      </c>
      <c r="AK368" s="21">
        <v>1.70258</v>
      </c>
      <c r="AL368">
        <f t="shared" si="66"/>
        <v>8.0928148148148153</v>
      </c>
      <c r="AM368">
        <f t="shared" si="67"/>
        <v>13.779878569629631</v>
      </c>
      <c r="AP368" s="9"/>
      <c r="AQ368" s="21">
        <v>1.7395000000000001E-2</v>
      </c>
      <c r="AR368" s="21">
        <v>28.190200000000001</v>
      </c>
      <c r="AS368" s="21">
        <v>-1.4944499999999999E-2</v>
      </c>
      <c r="AT368" s="21">
        <v>358</v>
      </c>
      <c r="AU368" s="21">
        <v>1.7224099999999999E-2</v>
      </c>
      <c r="AV368">
        <f t="shared" si="68"/>
        <v>18.45</v>
      </c>
      <c r="AW368">
        <f t="shared" si="69"/>
        <v>0.32093775000000002</v>
      </c>
      <c r="AX368" s="9"/>
      <c r="AY368" s="21">
        <v>1.7027300000000001</v>
      </c>
      <c r="AZ368" s="21">
        <v>32.049700000000001</v>
      </c>
      <c r="BA368" s="21">
        <v>-6.3140899999999996E-3</v>
      </c>
      <c r="BB368" s="21">
        <v>358</v>
      </c>
      <c r="BC368" s="21">
        <v>1.70197</v>
      </c>
      <c r="BD368">
        <f t="shared" si="70"/>
        <v>7.7951728395061712</v>
      </c>
      <c r="BE368">
        <f t="shared" si="71"/>
        <v>13.273074649012344</v>
      </c>
    </row>
    <row r="369" spans="6:57" x14ac:dyDescent="0.25">
      <c r="F369" s="9"/>
      <c r="G369" s="21">
        <v>1.23596E-2</v>
      </c>
      <c r="H369" s="21">
        <v>9.3538200000000007</v>
      </c>
      <c r="I369" s="21">
        <v>-1.49841E-2</v>
      </c>
      <c r="J369" s="21">
        <v>359</v>
      </c>
      <c r="K369" s="21">
        <v>1.2234500000000001E-2</v>
      </c>
      <c r="L369">
        <f t="shared" si="60"/>
        <v>18.498888888888889</v>
      </c>
      <c r="M369">
        <f t="shared" si="61"/>
        <v>0.22863886711111112</v>
      </c>
      <c r="N369" s="9"/>
      <c r="O369" s="21">
        <v>1.7077599999999999</v>
      </c>
      <c r="P369" s="21">
        <v>13.2133</v>
      </c>
      <c r="Q369" s="21">
        <v>-5.8807399999999998E-3</v>
      </c>
      <c r="R369" s="21">
        <v>359</v>
      </c>
      <c r="S369" s="21">
        <v>1.7065399999999999</v>
      </c>
      <c r="T369">
        <f t="shared" si="62"/>
        <v>7.260172839506172</v>
      </c>
      <c r="U369">
        <f t="shared" si="63"/>
        <v>12.398632768395061</v>
      </c>
      <c r="X369" s="9"/>
      <c r="Y369" s="21">
        <v>1.23596E-2</v>
      </c>
      <c r="Z369" s="21">
        <v>18.792000000000002</v>
      </c>
      <c r="AA369" s="21">
        <v>-1.49902E-2</v>
      </c>
      <c r="AB369" s="21">
        <v>359</v>
      </c>
      <c r="AC369" s="21">
        <v>1.22375E-2</v>
      </c>
      <c r="AD369">
        <f t="shared" si="64"/>
        <v>18.506419753086419</v>
      </c>
      <c r="AE369">
        <f t="shared" si="65"/>
        <v>0.2287319455802469</v>
      </c>
      <c r="AF369" s="9"/>
      <c r="AG369" s="21">
        <v>1.7077599999999999</v>
      </c>
      <c r="AH369" s="21">
        <v>22.651499999999999</v>
      </c>
      <c r="AI369" s="21">
        <v>-6.0852099999999998E-3</v>
      </c>
      <c r="AJ369" s="21">
        <v>359</v>
      </c>
      <c r="AK369" s="21">
        <v>1.7065399999999999</v>
      </c>
      <c r="AL369">
        <f t="shared" si="66"/>
        <v>7.5126049382716049</v>
      </c>
      <c r="AM369">
        <f t="shared" si="67"/>
        <v>12.829726209382716</v>
      </c>
      <c r="AP369" s="9"/>
      <c r="AQ369" s="21">
        <v>1.23596E-2</v>
      </c>
      <c r="AR369" s="21">
        <v>28.200299999999999</v>
      </c>
      <c r="AS369" s="21">
        <v>-1.49506E-2</v>
      </c>
      <c r="AT369" s="21">
        <v>359</v>
      </c>
      <c r="AU369" s="21">
        <v>1.2295499999999999E-2</v>
      </c>
      <c r="AV369">
        <f t="shared" si="68"/>
        <v>18.45753086419753</v>
      </c>
      <c r="AW369">
        <f t="shared" si="69"/>
        <v>0.2281276984691358</v>
      </c>
      <c r="AX369" s="9"/>
      <c r="AY369" s="21">
        <v>1.7077599999999999</v>
      </c>
      <c r="AZ369" s="21">
        <v>32.059699999999999</v>
      </c>
      <c r="BA369" s="21">
        <v>-5.8807399999999998E-3</v>
      </c>
      <c r="BB369" s="21">
        <v>359</v>
      </c>
      <c r="BC369" s="21">
        <v>1.70685</v>
      </c>
      <c r="BD369">
        <f t="shared" si="70"/>
        <v>7.260172839506172</v>
      </c>
      <c r="BE369">
        <f t="shared" si="71"/>
        <v>12.398632768395061</v>
      </c>
    </row>
    <row r="370" spans="6:57" x14ac:dyDescent="0.25">
      <c r="F370" s="9"/>
      <c r="G370" s="21">
        <v>7.3242200000000002E-3</v>
      </c>
      <c r="H370" s="21">
        <v>9.3638899999999996</v>
      </c>
      <c r="I370" s="21">
        <v>-1.4996300000000001E-2</v>
      </c>
      <c r="J370" s="21">
        <v>360</v>
      </c>
      <c r="K370" s="21">
        <v>7.1289099999999996E-3</v>
      </c>
      <c r="L370">
        <f t="shared" si="60"/>
        <v>18.51395061728395</v>
      </c>
      <c r="M370">
        <f t="shared" si="61"/>
        <v>0.13560024739012344</v>
      </c>
      <c r="N370" s="9"/>
      <c r="O370" s="21">
        <v>1.7128000000000001</v>
      </c>
      <c r="P370" s="21">
        <v>13.2234</v>
      </c>
      <c r="Q370" s="21">
        <v>-5.4473899999999999E-3</v>
      </c>
      <c r="R370" s="21">
        <v>360</v>
      </c>
      <c r="S370" s="21">
        <v>1.71234</v>
      </c>
      <c r="T370">
        <f t="shared" si="62"/>
        <v>6.7251728395061727</v>
      </c>
      <c r="U370">
        <f t="shared" si="63"/>
        <v>11.518876039506173</v>
      </c>
      <c r="X370" s="9"/>
      <c r="Y370" s="21">
        <v>7.3242200000000002E-3</v>
      </c>
      <c r="Z370" s="21">
        <v>18.802099999999999</v>
      </c>
      <c r="AA370" s="21">
        <v>-1.4996300000000001E-2</v>
      </c>
      <c r="AB370" s="21">
        <v>360</v>
      </c>
      <c r="AC370" s="21">
        <v>7.2204599999999997E-3</v>
      </c>
      <c r="AD370">
        <f t="shared" si="64"/>
        <v>18.51395061728395</v>
      </c>
      <c r="AE370">
        <f t="shared" si="65"/>
        <v>0.13560024739012344</v>
      </c>
      <c r="AF370" s="9"/>
      <c r="AG370" s="21">
        <v>1.7128000000000001</v>
      </c>
      <c r="AH370" s="21">
        <v>22.6616</v>
      </c>
      <c r="AI370" s="21">
        <v>-5.5908199999999998E-3</v>
      </c>
      <c r="AJ370" s="21">
        <v>360</v>
      </c>
      <c r="AK370" s="21">
        <v>1.71143</v>
      </c>
      <c r="AL370">
        <f t="shared" si="66"/>
        <v>6.902246913580246</v>
      </c>
      <c r="AM370">
        <f t="shared" si="67"/>
        <v>11.822168513580246</v>
      </c>
      <c r="AP370" s="9"/>
      <c r="AQ370" s="21">
        <v>7.3242200000000002E-3</v>
      </c>
      <c r="AR370" s="21">
        <v>28.2103</v>
      </c>
      <c r="AS370" s="21">
        <v>-1.4953599999999999E-2</v>
      </c>
      <c r="AT370" s="21">
        <v>360</v>
      </c>
      <c r="AU370" s="21">
        <v>7.1167000000000001E-3</v>
      </c>
      <c r="AV370">
        <f t="shared" si="68"/>
        <v>18.461234567901233</v>
      </c>
      <c r="AW370">
        <f t="shared" si="69"/>
        <v>0.13521414344691357</v>
      </c>
      <c r="AX370" s="9"/>
      <c r="AY370" s="21">
        <v>1.7128000000000001</v>
      </c>
      <c r="AZ370" s="21">
        <v>32.069800000000001</v>
      </c>
      <c r="BA370" s="21">
        <v>-5.4199199999999999E-3</v>
      </c>
      <c r="BB370" s="21">
        <v>360</v>
      </c>
      <c r="BC370" s="21">
        <v>1.71234</v>
      </c>
      <c r="BD370">
        <f t="shared" si="70"/>
        <v>6.691259259259259</v>
      </c>
      <c r="BE370">
        <f t="shared" si="71"/>
        <v>11.46078885925926</v>
      </c>
    </row>
    <row r="371" spans="6:57" x14ac:dyDescent="0.25">
      <c r="F371" s="9"/>
      <c r="G371" s="21">
        <v>2.28882E-3</v>
      </c>
      <c r="H371" s="21">
        <v>9.3739699999999999</v>
      </c>
      <c r="I371" s="21">
        <v>-1.4996300000000001E-2</v>
      </c>
      <c r="J371" s="21">
        <v>361</v>
      </c>
      <c r="K371" s="21">
        <v>2.01111E-3</v>
      </c>
      <c r="L371">
        <f t="shared" si="60"/>
        <v>18.51395061728395</v>
      </c>
      <c r="M371">
        <f t="shared" si="61"/>
        <v>4.2375100451851846E-2</v>
      </c>
      <c r="N371" s="9"/>
      <c r="O371" s="21">
        <v>1.71783</v>
      </c>
      <c r="P371" s="21">
        <v>13.2334</v>
      </c>
      <c r="Q371" s="21">
        <v>-4.9896200000000002E-3</v>
      </c>
      <c r="R371" s="21">
        <v>361</v>
      </c>
      <c r="S371" s="21">
        <v>1.71722</v>
      </c>
      <c r="T371">
        <f t="shared" si="62"/>
        <v>6.160024691358025</v>
      </c>
      <c r="U371">
        <f t="shared" si="63"/>
        <v>10.581875215555556</v>
      </c>
      <c r="X371" s="9"/>
      <c r="Y371" s="21">
        <v>2.28882E-3</v>
      </c>
      <c r="Z371" s="21">
        <v>18.812200000000001</v>
      </c>
      <c r="AA371" s="21">
        <v>-1.4993299999999999E-2</v>
      </c>
      <c r="AB371" s="21">
        <v>361</v>
      </c>
      <c r="AC371" s="21">
        <v>2.13013E-3</v>
      </c>
      <c r="AD371">
        <f t="shared" si="64"/>
        <v>18.510246913580243</v>
      </c>
      <c r="AE371">
        <f t="shared" si="65"/>
        <v>4.2366623340740733E-2</v>
      </c>
      <c r="AF371" s="9"/>
      <c r="AG371" s="21">
        <v>1.71783</v>
      </c>
      <c r="AH371" s="21">
        <v>22.671700000000001</v>
      </c>
      <c r="AI371" s="21">
        <v>-5.0689699999999999E-3</v>
      </c>
      <c r="AJ371" s="21">
        <v>361</v>
      </c>
      <c r="AK371" s="21">
        <v>1.71692</v>
      </c>
      <c r="AL371">
        <f t="shared" si="66"/>
        <v>6.2579876543209867</v>
      </c>
      <c r="AM371">
        <f t="shared" si="67"/>
        <v>10.75015893222222</v>
      </c>
      <c r="AP371" s="9"/>
      <c r="AQ371" s="21">
        <v>2.28882E-3</v>
      </c>
      <c r="AR371" s="21">
        <v>28.220400000000001</v>
      </c>
      <c r="AS371" s="21">
        <v>-1.4959699999999999E-2</v>
      </c>
      <c r="AT371" s="21">
        <v>361</v>
      </c>
      <c r="AU371" s="21">
        <v>2.0752000000000001E-3</v>
      </c>
      <c r="AV371">
        <f t="shared" si="68"/>
        <v>18.468765432098763</v>
      </c>
      <c r="AW371">
        <f t="shared" si="69"/>
        <v>4.2271679696296291E-2</v>
      </c>
      <c r="AX371" s="9"/>
      <c r="AY371" s="21">
        <v>1.71783</v>
      </c>
      <c r="AZ371" s="21">
        <v>32.079900000000002</v>
      </c>
      <c r="BA371" s="21">
        <v>-4.9337799999999996E-3</v>
      </c>
      <c r="BB371" s="21">
        <v>361</v>
      </c>
      <c r="BC371" s="21">
        <v>1.71692</v>
      </c>
      <c r="BD371">
        <f t="shared" si="70"/>
        <v>6.0910864197530854</v>
      </c>
      <c r="BE371">
        <f t="shared" si="71"/>
        <v>10.463450984444442</v>
      </c>
    </row>
    <row r="372" spans="6:57" x14ac:dyDescent="0.25">
      <c r="F372" s="9"/>
      <c r="G372" s="21">
        <v>-2.7465800000000002E-3</v>
      </c>
      <c r="H372" s="21">
        <v>9.3840400000000006</v>
      </c>
      <c r="I372" s="21">
        <v>-1.4996300000000001E-2</v>
      </c>
      <c r="J372" s="21">
        <v>362</v>
      </c>
      <c r="K372" s="21">
        <v>-2.91443E-3</v>
      </c>
      <c r="L372">
        <f t="shared" si="60"/>
        <v>18.51395061728395</v>
      </c>
      <c r="M372">
        <f t="shared" si="61"/>
        <v>-5.0850046486419755E-2</v>
      </c>
      <c r="N372" s="9"/>
      <c r="O372" s="21">
        <v>1.7228699999999999</v>
      </c>
      <c r="P372" s="21">
        <v>13.243499999999999</v>
      </c>
      <c r="Q372" s="21">
        <v>-4.4921900000000001E-3</v>
      </c>
      <c r="R372" s="21">
        <v>362</v>
      </c>
      <c r="S372" s="21">
        <v>1.72241</v>
      </c>
      <c r="T372">
        <f t="shared" si="62"/>
        <v>5.5459135802469133</v>
      </c>
      <c r="U372">
        <f t="shared" si="63"/>
        <v>9.5548881299999984</v>
      </c>
      <c r="X372" s="9"/>
      <c r="Y372" s="21">
        <v>-2.7465800000000002E-3</v>
      </c>
      <c r="Z372" s="21">
        <v>18.822299999999998</v>
      </c>
      <c r="AA372" s="21">
        <v>-1.5002400000000001E-2</v>
      </c>
      <c r="AB372" s="21">
        <v>362</v>
      </c>
      <c r="AC372" s="21">
        <v>-2.9540999999999999E-3</v>
      </c>
      <c r="AD372">
        <f t="shared" si="64"/>
        <v>18.521481481481484</v>
      </c>
      <c r="AE372">
        <f t="shared" si="65"/>
        <v>-5.0870730607407419E-2</v>
      </c>
      <c r="AF372" s="9"/>
      <c r="AG372" s="21">
        <v>1.7228699999999999</v>
      </c>
      <c r="AH372" s="21">
        <v>22.681699999999999</v>
      </c>
      <c r="AI372" s="21">
        <v>-4.5224000000000002E-3</v>
      </c>
      <c r="AJ372" s="21">
        <v>362</v>
      </c>
      <c r="AK372" s="21">
        <v>1.72241</v>
      </c>
      <c r="AL372">
        <f t="shared" si="66"/>
        <v>5.5832098765432097</v>
      </c>
      <c r="AM372">
        <f t="shared" si="67"/>
        <v>9.6191447999999991</v>
      </c>
      <c r="AP372" s="9"/>
      <c r="AQ372" s="21">
        <v>-2.7465800000000002E-3</v>
      </c>
      <c r="AR372" s="21">
        <v>28.230499999999999</v>
      </c>
      <c r="AS372" s="21">
        <v>-1.4953599999999999E-2</v>
      </c>
      <c r="AT372" s="21">
        <v>362</v>
      </c>
      <c r="AU372" s="21">
        <v>-3.0151399999999999E-3</v>
      </c>
      <c r="AV372">
        <f t="shared" si="68"/>
        <v>18.461234567901233</v>
      </c>
      <c r="AW372">
        <f t="shared" si="69"/>
        <v>-5.0705257639506174E-2</v>
      </c>
      <c r="AX372" s="9"/>
      <c r="AY372" s="21">
        <v>1.7228699999999999</v>
      </c>
      <c r="AZ372" s="21">
        <v>32.090000000000003</v>
      </c>
      <c r="BA372" s="21">
        <v>-4.4110099999999999E-3</v>
      </c>
      <c r="BB372" s="21">
        <v>362</v>
      </c>
      <c r="BC372" s="21">
        <v>1.72241</v>
      </c>
      <c r="BD372">
        <f t="shared" si="70"/>
        <v>5.4456913580246908</v>
      </c>
      <c r="BE372">
        <f t="shared" si="71"/>
        <v>9.3822182699999992</v>
      </c>
    </row>
    <row r="373" spans="6:57" x14ac:dyDescent="0.25">
      <c r="F373" s="9"/>
      <c r="G373" s="21">
        <v>-7.78198E-3</v>
      </c>
      <c r="H373" s="21">
        <v>9.3941099999999995</v>
      </c>
      <c r="I373" s="21">
        <v>-1.4996300000000001E-2</v>
      </c>
      <c r="J373" s="21">
        <v>363</v>
      </c>
      <c r="K373" s="21">
        <v>-7.9589799999999992E-3</v>
      </c>
      <c r="L373">
        <f t="shared" si="60"/>
        <v>18.51395061728395</v>
      </c>
      <c r="M373">
        <f t="shared" si="61"/>
        <v>-0.14407519342469136</v>
      </c>
      <c r="N373" s="9"/>
      <c r="O373" s="21">
        <v>1.7279100000000001</v>
      </c>
      <c r="P373" s="21">
        <v>13.2536</v>
      </c>
      <c r="Q373" s="21">
        <v>-3.9596600000000003E-3</v>
      </c>
      <c r="R373" s="21">
        <v>363</v>
      </c>
      <c r="S373" s="21">
        <v>1.72699</v>
      </c>
      <c r="T373">
        <f t="shared" si="62"/>
        <v>4.8884691358024694</v>
      </c>
      <c r="U373">
        <f t="shared" si="63"/>
        <v>8.446834704444445</v>
      </c>
      <c r="X373" s="9"/>
      <c r="Y373" s="21">
        <v>-7.78198E-3</v>
      </c>
      <c r="Z373" s="21">
        <v>18.8323</v>
      </c>
      <c r="AA373" s="21">
        <v>-1.50116E-2</v>
      </c>
      <c r="AB373" s="21">
        <v>363</v>
      </c>
      <c r="AC373" s="21">
        <v>-8.0047599999999997E-3</v>
      </c>
      <c r="AD373">
        <f t="shared" si="64"/>
        <v>18.532839506172838</v>
      </c>
      <c r="AE373">
        <f t="shared" si="65"/>
        <v>-0.14422218638024689</v>
      </c>
      <c r="AF373" s="9"/>
      <c r="AG373" s="21">
        <v>1.7279100000000001</v>
      </c>
      <c r="AH373" s="21">
        <v>22.691800000000001</v>
      </c>
      <c r="AI373" s="21">
        <v>-3.9141799999999997E-3</v>
      </c>
      <c r="AJ373" s="21">
        <v>363</v>
      </c>
      <c r="AK373" s="21">
        <v>1.72729</v>
      </c>
      <c r="AL373">
        <f t="shared" si="66"/>
        <v>4.8323209876543203</v>
      </c>
      <c r="AM373">
        <f t="shared" si="67"/>
        <v>8.3498157577777761</v>
      </c>
      <c r="AP373" s="9"/>
      <c r="AQ373" s="21">
        <v>-7.78198E-3</v>
      </c>
      <c r="AR373" s="21">
        <v>28.240600000000001</v>
      </c>
      <c r="AS373" s="21">
        <v>-1.49628E-2</v>
      </c>
      <c r="AT373" s="21">
        <v>363</v>
      </c>
      <c r="AU373" s="21">
        <v>-7.9406700000000004E-3</v>
      </c>
      <c r="AV373">
        <f t="shared" si="68"/>
        <v>18.472592592592594</v>
      </c>
      <c r="AW373">
        <f t="shared" si="69"/>
        <v>-0.14375334610370372</v>
      </c>
      <c r="AX373" s="9"/>
      <c r="AY373" s="21">
        <v>1.7279100000000001</v>
      </c>
      <c r="AZ373" s="21">
        <v>32.1</v>
      </c>
      <c r="BA373" s="21">
        <v>-3.8494900000000001E-3</v>
      </c>
      <c r="BB373" s="21">
        <v>363</v>
      </c>
      <c r="BC373" s="21">
        <v>1.72699</v>
      </c>
      <c r="BD373">
        <f t="shared" si="70"/>
        <v>4.7524567901234569</v>
      </c>
      <c r="BE373">
        <f t="shared" si="71"/>
        <v>8.2118176122222231</v>
      </c>
    </row>
    <row r="374" spans="6:57" x14ac:dyDescent="0.25">
      <c r="F374" s="9"/>
      <c r="G374" s="21">
        <v>-1.28174E-2</v>
      </c>
      <c r="H374" s="21">
        <v>9.4041800000000002</v>
      </c>
      <c r="I374" s="21">
        <v>-1.49902E-2</v>
      </c>
      <c r="J374" s="21">
        <v>364</v>
      </c>
      <c r="K374" s="21">
        <v>-1.30676E-2</v>
      </c>
      <c r="L374">
        <f t="shared" si="60"/>
        <v>18.506419753086419</v>
      </c>
      <c r="M374">
        <f t="shared" si="61"/>
        <v>-0.23720418454320985</v>
      </c>
      <c r="N374" s="9"/>
      <c r="O374" s="21">
        <v>1.7329399999999999</v>
      </c>
      <c r="P374" s="21">
        <v>13.2637</v>
      </c>
      <c r="Q374" s="21">
        <v>-3.3752399999999998E-3</v>
      </c>
      <c r="R374" s="21">
        <v>364</v>
      </c>
      <c r="S374" s="21">
        <v>1.7327900000000001</v>
      </c>
      <c r="T374">
        <f t="shared" si="62"/>
        <v>4.1669629629629625</v>
      </c>
      <c r="U374">
        <f t="shared" si="63"/>
        <v>7.2210967970370357</v>
      </c>
      <c r="X374" s="9"/>
      <c r="Y374" s="21">
        <v>-1.28174E-2</v>
      </c>
      <c r="Z374" s="21">
        <v>18.842400000000001</v>
      </c>
      <c r="AA374" s="21">
        <v>-1.50116E-2</v>
      </c>
      <c r="AB374" s="21">
        <v>364</v>
      </c>
      <c r="AC374" s="21">
        <v>-1.30524E-2</v>
      </c>
      <c r="AD374">
        <f t="shared" si="64"/>
        <v>18.532839506172838</v>
      </c>
      <c r="AE374">
        <f t="shared" si="65"/>
        <v>-0.23754281708641972</v>
      </c>
      <c r="AF374" s="9"/>
      <c r="AG374" s="21">
        <v>1.7329399999999999</v>
      </c>
      <c r="AH374" s="21">
        <v>22.701899999999998</v>
      </c>
      <c r="AI374" s="21">
        <v>-3.2748400000000002E-3</v>
      </c>
      <c r="AJ374" s="21">
        <v>364</v>
      </c>
      <c r="AK374" s="21">
        <v>1.73187</v>
      </c>
      <c r="AL374">
        <f t="shared" si="66"/>
        <v>4.0430123456790126</v>
      </c>
      <c r="AM374">
        <f t="shared" si="67"/>
        <v>7.0062978143209875</v>
      </c>
      <c r="AP374" s="9"/>
      <c r="AQ374" s="21">
        <v>-1.28174E-2</v>
      </c>
      <c r="AR374" s="21">
        <v>28.250599999999999</v>
      </c>
      <c r="AS374" s="21">
        <v>-1.4959699999999999E-2</v>
      </c>
      <c r="AT374" s="21">
        <v>364</v>
      </c>
      <c r="AU374" s="21">
        <v>-1.30463E-2</v>
      </c>
      <c r="AV374">
        <f t="shared" si="68"/>
        <v>18.468765432098763</v>
      </c>
      <c r="AW374">
        <f t="shared" si="69"/>
        <v>-0.23672155404938269</v>
      </c>
      <c r="AX374" s="9"/>
      <c r="AY374" s="21">
        <v>1.7329399999999999</v>
      </c>
      <c r="AZ374" s="21">
        <v>32.110100000000003</v>
      </c>
      <c r="BA374" s="21">
        <v>-3.2562300000000001E-3</v>
      </c>
      <c r="BB374" s="21">
        <v>364</v>
      </c>
      <c r="BC374" s="21">
        <v>1.7321800000000001</v>
      </c>
      <c r="BD374">
        <f t="shared" si="70"/>
        <v>4.0200370370370369</v>
      </c>
      <c r="BE374">
        <f t="shared" si="71"/>
        <v>6.9664829829629626</v>
      </c>
    </row>
    <row r="375" spans="6:57" x14ac:dyDescent="0.25">
      <c r="F375" s="9"/>
      <c r="G375" s="21">
        <v>-1.7852799999999999E-2</v>
      </c>
      <c r="H375" s="21">
        <v>9.4142499999999991</v>
      </c>
      <c r="I375" s="21">
        <v>-1.4981100000000001E-2</v>
      </c>
      <c r="J375" s="21">
        <v>365</v>
      </c>
      <c r="K375" s="21">
        <v>-1.8115200000000001E-2</v>
      </c>
      <c r="L375">
        <f t="shared" si="60"/>
        <v>18.495185185185186</v>
      </c>
      <c r="M375">
        <f t="shared" si="61"/>
        <v>-0.33019084207407406</v>
      </c>
      <c r="N375" s="9"/>
      <c r="O375" s="21">
        <v>1.7379800000000001</v>
      </c>
      <c r="P375" s="21">
        <v>13.2737</v>
      </c>
      <c r="Q375" s="21">
        <v>-2.79999E-3</v>
      </c>
      <c r="R375" s="21">
        <v>365</v>
      </c>
      <c r="S375" s="21">
        <v>1.7373700000000001</v>
      </c>
      <c r="T375">
        <f t="shared" si="62"/>
        <v>3.4567777777777779</v>
      </c>
      <c r="U375">
        <f t="shared" si="63"/>
        <v>6.0078106422222231</v>
      </c>
      <c r="X375" s="9"/>
      <c r="Y375" s="21">
        <v>-1.7852799999999999E-2</v>
      </c>
      <c r="Z375" s="21">
        <v>18.852499999999999</v>
      </c>
      <c r="AA375" s="21">
        <v>-1.5014599999999999E-2</v>
      </c>
      <c r="AB375" s="21">
        <v>365</v>
      </c>
      <c r="AC375" s="21">
        <v>-1.8081699999999999E-2</v>
      </c>
      <c r="AD375">
        <f t="shared" si="64"/>
        <v>18.536543209876541</v>
      </c>
      <c r="AE375">
        <f t="shared" si="65"/>
        <v>-0.33092919861728387</v>
      </c>
      <c r="AF375" s="9"/>
      <c r="AG375" s="21">
        <v>1.7379800000000001</v>
      </c>
      <c r="AH375" s="21">
        <v>22.7119</v>
      </c>
      <c r="AI375" s="21">
        <v>-2.6156600000000001E-3</v>
      </c>
      <c r="AJ375" s="21">
        <v>365</v>
      </c>
      <c r="AK375" s="21">
        <v>1.7373700000000001</v>
      </c>
      <c r="AL375">
        <f t="shared" si="66"/>
        <v>3.2292098765432096</v>
      </c>
      <c r="AM375">
        <f t="shared" si="67"/>
        <v>5.6123021812345675</v>
      </c>
      <c r="AP375" s="9"/>
      <c r="AQ375" s="21">
        <v>-1.7852799999999999E-2</v>
      </c>
      <c r="AR375" s="21">
        <v>28.2607</v>
      </c>
      <c r="AS375" s="21">
        <v>-1.4959699999999999E-2</v>
      </c>
      <c r="AT375" s="21">
        <v>365</v>
      </c>
      <c r="AU375" s="21">
        <v>-1.8100000000000002E-2</v>
      </c>
      <c r="AV375">
        <f t="shared" si="68"/>
        <v>18.468765432098763</v>
      </c>
      <c r="AW375">
        <f t="shared" si="69"/>
        <v>-0.3297191755061728</v>
      </c>
      <c r="AX375" s="9"/>
      <c r="AY375" s="21">
        <v>1.7379800000000001</v>
      </c>
      <c r="AZ375" s="21">
        <v>32.120199999999997</v>
      </c>
      <c r="BA375" s="21">
        <v>-2.6217699999999998E-3</v>
      </c>
      <c r="BB375" s="21">
        <v>365</v>
      </c>
      <c r="BC375" s="21">
        <v>1.73706</v>
      </c>
      <c r="BD375">
        <f t="shared" si="70"/>
        <v>3.2367530864197525</v>
      </c>
      <c r="BE375">
        <f t="shared" si="71"/>
        <v>5.6254121291358015</v>
      </c>
    </row>
    <row r="376" spans="6:57" x14ac:dyDescent="0.25">
      <c r="F376" s="9"/>
      <c r="G376" s="21">
        <v>-2.2888200000000001E-2</v>
      </c>
      <c r="H376" s="21">
        <v>9.4243199999999998</v>
      </c>
      <c r="I376" s="21">
        <v>-1.4975E-2</v>
      </c>
      <c r="J376" s="21">
        <v>366</v>
      </c>
      <c r="K376" s="21">
        <v>-2.3168899999999999E-2</v>
      </c>
      <c r="L376">
        <f t="shared" si="60"/>
        <v>18.487654320987652</v>
      </c>
      <c r="M376">
        <f t="shared" si="61"/>
        <v>-0.42314912962962958</v>
      </c>
      <c r="N376" s="9"/>
      <c r="O376" s="21">
        <v>1.7430099999999999</v>
      </c>
      <c r="P376" s="21">
        <v>13.283799999999999</v>
      </c>
      <c r="Q376" s="21">
        <v>-2.1929900000000001E-3</v>
      </c>
      <c r="R376" s="21">
        <v>366</v>
      </c>
      <c r="S376" s="21">
        <v>1.74194</v>
      </c>
      <c r="T376">
        <f t="shared" si="62"/>
        <v>2.7073950617283948</v>
      </c>
      <c r="U376">
        <f t="shared" si="63"/>
        <v>4.7190166665432089</v>
      </c>
      <c r="X376" s="9"/>
      <c r="Y376" s="21">
        <v>-2.2888200000000001E-2</v>
      </c>
      <c r="Z376" s="21">
        <v>18.862500000000001</v>
      </c>
      <c r="AA376" s="21">
        <v>-1.5020800000000001E-2</v>
      </c>
      <c r="AB376" s="21">
        <v>366</v>
      </c>
      <c r="AC376" s="21">
        <v>-2.32208E-2</v>
      </c>
      <c r="AD376">
        <f t="shared" si="64"/>
        <v>18.544197530864199</v>
      </c>
      <c r="AE376">
        <f t="shared" si="65"/>
        <v>-0.424443301925926</v>
      </c>
      <c r="AF376" s="9"/>
      <c r="AG376" s="21">
        <v>1.7430099999999999</v>
      </c>
      <c r="AH376" s="21">
        <v>22.722000000000001</v>
      </c>
      <c r="AI376" s="21">
        <v>-1.89667E-3</v>
      </c>
      <c r="AJ376" s="21">
        <v>366</v>
      </c>
      <c r="AK376" s="21">
        <v>1.74255</v>
      </c>
      <c r="AL376">
        <f t="shared" si="66"/>
        <v>2.3415679012345678</v>
      </c>
      <c r="AM376">
        <f t="shared" si="67"/>
        <v>4.0813762675308638</v>
      </c>
      <c r="AP376" s="9"/>
      <c r="AQ376" s="21">
        <v>-2.2888200000000001E-2</v>
      </c>
      <c r="AR376" s="21">
        <v>28.270800000000001</v>
      </c>
      <c r="AS376" s="21">
        <v>-1.4953599999999999E-2</v>
      </c>
      <c r="AT376" s="21">
        <v>366</v>
      </c>
      <c r="AU376" s="21">
        <v>-2.3144499999999998E-2</v>
      </c>
      <c r="AV376">
        <f t="shared" si="68"/>
        <v>18.461234567901233</v>
      </c>
      <c r="AW376">
        <f t="shared" si="69"/>
        <v>-0.42254442903703704</v>
      </c>
      <c r="AX376" s="9"/>
      <c r="AY376" s="21">
        <v>1.7430099999999999</v>
      </c>
      <c r="AZ376" s="21">
        <v>32.130200000000002</v>
      </c>
      <c r="BA376" s="21">
        <v>-1.9558700000000002E-3</v>
      </c>
      <c r="BB376" s="21">
        <v>366</v>
      </c>
      <c r="BC376" s="21">
        <v>1.7422500000000001</v>
      </c>
      <c r="BD376">
        <f t="shared" si="70"/>
        <v>2.4146543209876543</v>
      </c>
      <c r="BE376">
        <f t="shared" si="71"/>
        <v>4.2087666280246916</v>
      </c>
    </row>
    <row r="377" spans="6:57" x14ac:dyDescent="0.25">
      <c r="F377" s="9"/>
      <c r="G377" s="21">
        <v>-2.79236E-2</v>
      </c>
      <c r="H377" s="21">
        <v>9.4343900000000005</v>
      </c>
      <c r="I377" s="21">
        <v>-1.49719E-2</v>
      </c>
      <c r="J377" s="21">
        <v>367</v>
      </c>
      <c r="K377" s="21">
        <v>-2.81982E-2</v>
      </c>
      <c r="L377">
        <f t="shared" si="60"/>
        <v>18.483827160493824</v>
      </c>
      <c r="M377">
        <f t="shared" si="61"/>
        <v>-0.51613499609876534</v>
      </c>
      <c r="N377" s="9"/>
      <c r="O377" s="21">
        <v>1.7480500000000001</v>
      </c>
      <c r="P377" s="21">
        <v>13.293900000000001</v>
      </c>
      <c r="Q377" s="21">
        <v>-1.5676900000000001E-3</v>
      </c>
      <c r="R377" s="21">
        <v>367</v>
      </c>
      <c r="S377" s="21">
        <v>1.7477400000000001</v>
      </c>
      <c r="T377">
        <f t="shared" si="62"/>
        <v>1.9354197530864197</v>
      </c>
      <c r="U377">
        <f t="shared" si="63"/>
        <v>3.3832104993827161</v>
      </c>
      <c r="X377" s="9"/>
      <c r="Y377" s="21">
        <v>-2.79236E-2</v>
      </c>
      <c r="Z377" s="21">
        <v>18.872599999999998</v>
      </c>
      <c r="AA377" s="21">
        <v>-1.5029900000000001E-2</v>
      </c>
      <c r="AB377" s="21">
        <v>367</v>
      </c>
      <c r="AC377" s="21">
        <v>-2.8125000000000001E-2</v>
      </c>
      <c r="AD377">
        <f t="shared" si="64"/>
        <v>18.555432098765429</v>
      </c>
      <c r="AE377">
        <f t="shared" si="65"/>
        <v>-0.51813446375308636</v>
      </c>
      <c r="AF377" s="9"/>
      <c r="AG377" s="21">
        <v>1.7480500000000001</v>
      </c>
      <c r="AH377" s="21">
        <v>22.732099999999999</v>
      </c>
      <c r="AI377" s="21">
        <v>-1.1050400000000001E-3</v>
      </c>
      <c r="AJ377" s="21">
        <v>367</v>
      </c>
      <c r="AK377" s="21">
        <v>1.7477400000000001</v>
      </c>
      <c r="AL377">
        <f t="shared" si="66"/>
        <v>1.3642469135802471</v>
      </c>
      <c r="AM377">
        <f t="shared" si="67"/>
        <v>2.3847718172839509</v>
      </c>
      <c r="AP377" s="9"/>
      <c r="AQ377" s="21">
        <v>-2.79236E-2</v>
      </c>
      <c r="AR377" s="21">
        <v>28.280799999999999</v>
      </c>
      <c r="AS377" s="21">
        <v>-1.4947500000000001E-2</v>
      </c>
      <c r="AT377" s="21">
        <v>367</v>
      </c>
      <c r="AU377" s="21">
        <v>-2.8192100000000001E-2</v>
      </c>
      <c r="AV377">
        <f t="shared" si="68"/>
        <v>18.453703703703706</v>
      </c>
      <c r="AW377">
        <f t="shared" si="69"/>
        <v>-0.51529384074074081</v>
      </c>
      <c r="AX377" s="9"/>
      <c r="AY377" s="21">
        <v>1.7480500000000001</v>
      </c>
      <c r="AZ377" s="21">
        <v>32.140300000000003</v>
      </c>
      <c r="BA377" s="21">
        <v>-1.2545799999999999E-3</v>
      </c>
      <c r="BB377" s="21">
        <v>367</v>
      </c>
      <c r="BC377" s="21">
        <v>1.7471300000000001</v>
      </c>
      <c r="BD377">
        <f t="shared" si="70"/>
        <v>1.5488641975308641</v>
      </c>
      <c r="BE377">
        <f t="shared" si="71"/>
        <v>2.7074920604938271</v>
      </c>
    </row>
    <row r="378" spans="6:57" x14ac:dyDescent="0.25">
      <c r="F378" s="9"/>
      <c r="G378" s="21">
        <v>-3.2959000000000002E-2</v>
      </c>
      <c r="H378" s="21">
        <v>9.4444599999999994</v>
      </c>
      <c r="I378" s="21">
        <v>-1.4975E-2</v>
      </c>
      <c r="J378" s="21">
        <v>368</v>
      </c>
      <c r="K378" s="21">
        <v>-3.3233600000000002E-2</v>
      </c>
      <c r="L378">
        <f t="shared" si="60"/>
        <v>18.487654320987652</v>
      </c>
      <c r="M378">
        <f t="shared" si="61"/>
        <v>-0.60933459876543206</v>
      </c>
      <c r="N378" s="9"/>
      <c r="O378" s="21">
        <v>1.75308</v>
      </c>
      <c r="P378" s="21">
        <v>13.303900000000001</v>
      </c>
      <c r="Q378" s="21">
        <v>-8.9813200000000005E-4</v>
      </c>
      <c r="R378" s="21">
        <v>368</v>
      </c>
      <c r="S378" s="21">
        <v>1.7526200000000001</v>
      </c>
      <c r="T378">
        <f t="shared" si="62"/>
        <v>1.1088049382716048</v>
      </c>
      <c r="U378">
        <f t="shared" si="63"/>
        <v>1.9438237611851847</v>
      </c>
      <c r="X378" s="9"/>
      <c r="Y378" s="21">
        <v>-3.2959000000000002E-2</v>
      </c>
      <c r="Z378" s="21">
        <v>18.8827</v>
      </c>
      <c r="AA378" s="21">
        <v>-1.50452E-2</v>
      </c>
      <c r="AB378" s="21">
        <v>368</v>
      </c>
      <c r="AC378" s="21">
        <v>-3.3264200000000001E-2</v>
      </c>
      <c r="AD378">
        <f t="shared" si="64"/>
        <v>18.574320987654321</v>
      </c>
      <c r="AE378">
        <f t="shared" si="65"/>
        <v>-0.61219104543209879</v>
      </c>
      <c r="AF378" s="9"/>
      <c r="AG378" s="21">
        <v>1.75308</v>
      </c>
      <c r="AH378" s="21">
        <v>22.7422</v>
      </c>
      <c r="AI378" s="21">
        <v>-2.92145E-4</v>
      </c>
      <c r="AJ378" s="21">
        <v>368</v>
      </c>
      <c r="AK378" s="21">
        <v>1.7526200000000001</v>
      </c>
      <c r="AL378">
        <f t="shared" si="66"/>
        <v>0.36067283950617285</v>
      </c>
      <c r="AM378">
        <f t="shared" si="67"/>
        <v>0.6322883414814815</v>
      </c>
      <c r="AP378" s="9"/>
      <c r="AQ378" s="21">
        <v>-3.2959000000000002E-2</v>
      </c>
      <c r="AR378" s="21">
        <v>28.290900000000001</v>
      </c>
      <c r="AS378" s="21">
        <v>-1.49506E-2</v>
      </c>
      <c r="AT378" s="21">
        <v>368</v>
      </c>
      <c r="AU378" s="21">
        <v>-3.3325199999999999E-2</v>
      </c>
      <c r="AV378">
        <f t="shared" si="68"/>
        <v>18.45753086419753</v>
      </c>
      <c r="AW378">
        <f t="shared" si="69"/>
        <v>-0.60834175975308646</v>
      </c>
      <c r="AX378" s="9"/>
      <c r="AY378" s="21">
        <v>1.75308</v>
      </c>
      <c r="AZ378" s="21">
        <v>32.150399999999998</v>
      </c>
      <c r="BA378" s="21">
        <v>-5.2642800000000001E-4</v>
      </c>
      <c r="BB378" s="21">
        <v>368</v>
      </c>
      <c r="BC378" s="21">
        <v>1.7526200000000001</v>
      </c>
      <c r="BD378">
        <f t="shared" si="70"/>
        <v>0.64991111111111111</v>
      </c>
      <c r="BE378">
        <f t="shared" si="71"/>
        <v>1.1393461706666665</v>
      </c>
    </row>
    <row r="379" spans="6:57" x14ac:dyDescent="0.25">
      <c r="F379" s="9"/>
      <c r="G379" s="21">
        <v>-3.7994399999999998E-2</v>
      </c>
      <c r="H379" s="21">
        <v>9.4545300000000001</v>
      </c>
      <c r="I379" s="21">
        <v>-1.4975E-2</v>
      </c>
      <c r="J379" s="21">
        <v>369</v>
      </c>
      <c r="K379" s="21">
        <v>-3.8253799999999998E-2</v>
      </c>
      <c r="L379">
        <f t="shared" si="60"/>
        <v>18.487654320987652</v>
      </c>
      <c r="M379">
        <f t="shared" si="61"/>
        <v>-0.70242733333333318</v>
      </c>
      <c r="N379" s="9"/>
      <c r="O379" s="21">
        <v>1.7581199999999999</v>
      </c>
      <c r="P379" s="21">
        <v>13.314</v>
      </c>
      <c r="Q379" s="21">
        <v>-2.08557E-4</v>
      </c>
      <c r="R379" s="21">
        <v>369</v>
      </c>
      <c r="S379" s="21">
        <v>1.7568999999999999</v>
      </c>
      <c r="T379">
        <f t="shared" si="62"/>
        <v>0.25747777777777775</v>
      </c>
      <c r="U379">
        <f t="shared" si="63"/>
        <v>0.45267683066666659</v>
      </c>
      <c r="X379" s="9"/>
      <c r="Y379" s="21">
        <v>-3.7994399999999998E-2</v>
      </c>
      <c r="Z379" s="21">
        <v>18.892800000000001</v>
      </c>
      <c r="AA379" s="21">
        <v>-1.50513E-2</v>
      </c>
      <c r="AB379" s="21">
        <v>369</v>
      </c>
      <c r="AC379" s="21">
        <v>-3.8290400000000002E-2</v>
      </c>
      <c r="AD379">
        <f t="shared" si="64"/>
        <v>18.581851851851848</v>
      </c>
      <c r="AE379">
        <f t="shared" si="65"/>
        <v>-0.70600631199999986</v>
      </c>
      <c r="AF379" s="9"/>
      <c r="AG379" s="21">
        <v>1.7581199999999999</v>
      </c>
      <c r="AH379" s="21">
        <v>22.752199999999998</v>
      </c>
      <c r="AI379" s="21">
        <v>6.0028100000000004E-4</v>
      </c>
      <c r="AJ379" s="21">
        <v>369</v>
      </c>
      <c r="AK379" s="21">
        <v>1.7575099999999999</v>
      </c>
      <c r="AL379">
        <f t="shared" si="66"/>
        <v>-0.74108765432098767</v>
      </c>
      <c r="AM379">
        <f t="shared" si="67"/>
        <v>-1.3029210268148148</v>
      </c>
      <c r="AP379" s="9"/>
      <c r="AQ379" s="21">
        <v>-3.7994399999999998E-2</v>
      </c>
      <c r="AR379" s="21">
        <v>28.300999999999998</v>
      </c>
      <c r="AS379" s="21">
        <v>-1.4953599999999999E-2</v>
      </c>
      <c r="AT379" s="21">
        <v>369</v>
      </c>
      <c r="AU379" s="21">
        <v>-3.8250699999999999E-2</v>
      </c>
      <c r="AV379">
        <f t="shared" si="68"/>
        <v>18.461234567901233</v>
      </c>
      <c r="AW379">
        <f t="shared" si="69"/>
        <v>-0.70142353066666652</v>
      </c>
      <c r="AX379" s="9"/>
      <c r="AY379" s="21">
        <v>1.7581199999999999</v>
      </c>
      <c r="AZ379" s="21">
        <v>32.160499999999999</v>
      </c>
      <c r="BA379" s="21">
        <v>2.3144499999999999E-4</v>
      </c>
      <c r="BB379" s="21">
        <v>369</v>
      </c>
      <c r="BC379" s="21">
        <v>1.7568999999999999</v>
      </c>
      <c r="BD379">
        <f t="shared" si="70"/>
        <v>-0.28573456790123458</v>
      </c>
      <c r="BE379">
        <f t="shared" si="71"/>
        <v>-0.50235565851851849</v>
      </c>
    </row>
    <row r="380" spans="6:57" x14ac:dyDescent="0.25">
      <c r="F380" s="9"/>
      <c r="G380" s="21">
        <v>-4.30298E-2</v>
      </c>
      <c r="H380" s="21">
        <v>9.4646000000000008</v>
      </c>
      <c r="I380" s="21">
        <v>-1.4981100000000001E-2</v>
      </c>
      <c r="J380" s="21">
        <v>370</v>
      </c>
      <c r="K380" s="21">
        <v>-4.3301399999999997E-2</v>
      </c>
      <c r="L380">
        <f t="shared" si="60"/>
        <v>18.495185185185186</v>
      </c>
      <c r="M380">
        <f t="shared" si="61"/>
        <v>-0.79584411948148148</v>
      </c>
      <c r="N380" s="9"/>
      <c r="O380" s="21">
        <v>1.76315</v>
      </c>
      <c r="P380" s="21">
        <v>13.3241</v>
      </c>
      <c r="Q380" s="21">
        <v>4.8889199999999999E-4</v>
      </c>
      <c r="R380" s="21">
        <v>370</v>
      </c>
      <c r="S380" s="21">
        <v>1.7623899999999999</v>
      </c>
      <c r="T380">
        <f t="shared" si="62"/>
        <v>-0.60357037037037031</v>
      </c>
      <c r="U380">
        <f t="shared" si="63"/>
        <v>-1.0641850985185184</v>
      </c>
      <c r="X380" s="9"/>
      <c r="Y380" s="21">
        <v>-4.30298E-2</v>
      </c>
      <c r="Z380" s="21">
        <v>18.902799999999999</v>
      </c>
      <c r="AA380" s="21">
        <v>-1.50574E-2</v>
      </c>
      <c r="AB380" s="21">
        <v>370</v>
      </c>
      <c r="AC380" s="21">
        <v>-4.3362400000000002E-2</v>
      </c>
      <c r="AD380">
        <f t="shared" si="64"/>
        <v>18.589382716049382</v>
      </c>
      <c r="AE380">
        <f t="shared" si="65"/>
        <v>-0.79989742039506173</v>
      </c>
      <c r="AF380" s="9"/>
      <c r="AG380" s="21">
        <v>1.76315</v>
      </c>
      <c r="AH380" s="21">
        <v>22.7623</v>
      </c>
      <c r="AI380" s="21">
        <v>1.53137E-3</v>
      </c>
      <c r="AJ380" s="21">
        <v>370</v>
      </c>
      <c r="AK380" s="21">
        <v>1.7626999999999999</v>
      </c>
      <c r="AL380">
        <f t="shared" si="66"/>
        <v>-1.8905802469135802</v>
      </c>
      <c r="AM380">
        <f t="shared" si="67"/>
        <v>-3.3333765623456788</v>
      </c>
      <c r="AP380" s="9"/>
      <c r="AQ380" s="21">
        <v>-4.30298E-2</v>
      </c>
      <c r="AR380" s="21">
        <v>28.3111</v>
      </c>
      <c r="AS380" s="21">
        <v>-1.49567E-2</v>
      </c>
      <c r="AT380" s="21">
        <v>370</v>
      </c>
      <c r="AU380" s="21">
        <v>-4.3286100000000001E-2</v>
      </c>
      <c r="AV380">
        <f t="shared" si="68"/>
        <v>18.46506172839506</v>
      </c>
      <c r="AW380">
        <f t="shared" si="69"/>
        <v>-0.79454791316049378</v>
      </c>
      <c r="AX380" s="9"/>
      <c r="AY380" s="21">
        <v>1.76315</v>
      </c>
      <c r="AZ380" s="21">
        <v>32.170499999999997</v>
      </c>
      <c r="BA380" s="21">
        <v>1.03546E-3</v>
      </c>
      <c r="BB380" s="21">
        <v>370</v>
      </c>
      <c r="BC380" s="21">
        <v>1.7620800000000001</v>
      </c>
      <c r="BD380">
        <f t="shared" si="70"/>
        <v>-1.2783456790123457</v>
      </c>
      <c r="BE380">
        <f t="shared" si="71"/>
        <v>-2.2539151839506175</v>
      </c>
    </row>
    <row r="381" spans="6:57" x14ac:dyDescent="0.25">
      <c r="F381" s="9"/>
      <c r="G381" s="21">
        <v>-4.8065200000000002E-2</v>
      </c>
      <c r="H381" s="21">
        <v>9.4746799999999993</v>
      </c>
      <c r="I381" s="21">
        <v>-1.4978E-2</v>
      </c>
      <c r="J381" s="21">
        <v>371</v>
      </c>
      <c r="K381" s="21">
        <v>-4.8449699999999998E-2</v>
      </c>
      <c r="L381">
        <f t="shared" si="60"/>
        <v>18.491358024691355</v>
      </c>
      <c r="M381">
        <f t="shared" si="61"/>
        <v>-0.88879082172839496</v>
      </c>
      <c r="N381" s="9"/>
      <c r="O381" s="21">
        <v>1.7681899999999999</v>
      </c>
      <c r="P381" s="21">
        <v>13.334199999999999</v>
      </c>
      <c r="Q381" s="21">
        <v>1.2231399999999999E-3</v>
      </c>
      <c r="R381" s="21">
        <v>371</v>
      </c>
      <c r="S381" s="21">
        <v>1.7672699999999999</v>
      </c>
      <c r="T381">
        <f t="shared" si="62"/>
        <v>-1.5100493827160493</v>
      </c>
      <c r="U381">
        <f t="shared" si="63"/>
        <v>-2.6700542180246911</v>
      </c>
      <c r="X381" s="9"/>
      <c r="Y381" s="21">
        <v>-4.8065200000000002E-2</v>
      </c>
      <c r="Z381" s="21">
        <v>18.9129</v>
      </c>
      <c r="AA381" s="21">
        <v>-1.50574E-2</v>
      </c>
      <c r="AB381" s="21">
        <v>371</v>
      </c>
      <c r="AC381" s="21">
        <v>-4.8345899999999997E-2</v>
      </c>
      <c r="AD381">
        <f t="shared" si="64"/>
        <v>18.589382716049382</v>
      </c>
      <c r="AE381">
        <f t="shared" si="65"/>
        <v>-0.89350239812345678</v>
      </c>
      <c r="AF381" s="9"/>
      <c r="AG381" s="21">
        <v>1.7681899999999999</v>
      </c>
      <c r="AH381" s="21">
        <v>22.772400000000001</v>
      </c>
      <c r="AI381" s="21">
        <v>2.48138E-3</v>
      </c>
      <c r="AJ381" s="21">
        <v>371</v>
      </c>
      <c r="AK381" s="21">
        <v>1.7675799999999999</v>
      </c>
      <c r="AL381">
        <f t="shared" si="66"/>
        <v>-3.063432098765432</v>
      </c>
      <c r="AM381">
        <f t="shared" si="67"/>
        <v>-5.416730002716049</v>
      </c>
      <c r="AP381" s="9"/>
      <c r="AQ381" s="21">
        <v>-4.8065200000000002E-2</v>
      </c>
      <c r="AR381" s="21">
        <v>28.321100000000001</v>
      </c>
      <c r="AS381" s="21">
        <v>-1.49628E-2</v>
      </c>
      <c r="AT381" s="21">
        <v>371</v>
      </c>
      <c r="AU381" s="21">
        <v>-4.8352100000000002E-2</v>
      </c>
      <c r="AV381">
        <f t="shared" si="68"/>
        <v>18.472592592592594</v>
      </c>
      <c r="AW381">
        <f t="shared" si="69"/>
        <v>-0.88788885748148161</v>
      </c>
      <c r="AX381" s="9"/>
      <c r="AY381" s="21">
        <v>1.7681899999999999</v>
      </c>
      <c r="AZ381" s="21">
        <v>32.180599999999998</v>
      </c>
      <c r="BA381" s="21">
        <v>1.89423E-3</v>
      </c>
      <c r="BB381" s="21">
        <v>371</v>
      </c>
      <c r="BC381" s="21">
        <v>1.7672699999999999</v>
      </c>
      <c r="BD381">
        <f t="shared" si="70"/>
        <v>-2.3385555555555557</v>
      </c>
      <c r="BE381">
        <f t="shared" si="71"/>
        <v>-4.1350105477777781</v>
      </c>
    </row>
    <row r="382" spans="6:57" x14ac:dyDescent="0.25">
      <c r="F382" s="9"/>
      <c r="G382" s="21">
        <v>-5.3100599999999998E-2</v>
      </c>
      <c r="H382" s="21">
        <v>9.48475</v>
      </c>
      <c r="I382" s="21">
        <v>-1.4978E-2</v>
      </c>
      <c r="J382" s="21">
        <v>372</v>
      </c>
      <c r="K382" s="21">
        <v>-5.35278E-2</v>
      </c>
      <c r="L382">
        <f t="shared" si="60"/>
        <v>18.491358024691355</v>
      </c>
      <c r="M382">
        <f t="shared" si="61"/>
        <v>-0.9819022059259257</v>
      </c>
      <c r="N382" s="9"/>
      <c r="O382" s="21">
        <v>1.77322</v>
      </c>
      <c r="P382" s="21">
        <v>13.344200000000001</v>
      </c>
      <c r="Q382" s="21">
        <v>1.9549599999999999E-3</v>
      </c>
      <c r="R382" s="21">
        <v>372</v>
      </c>
      <c r="S382" s="21">
        <v>1.77277</v>
      </c>
      <c r="T382">
        <f t="shared" si="62"/>
        <v>-2.4135308641975306</v>
      </c>
      <c r="U382">
        <f t="shared" si="63"/>
        <v>-4.2797211990123456</v>
      </c>
      <c r="X382" s="9"/>
      <c r="Y382" s="21">
        <v>-5.3100599999999998E-2</v>
      </c>
      <c r="Z382" s="21">
        <v>18.922999999999998</v>
      </c>
      <c r="AA382" s="21">
        <v>-1.50574E-2</v>
      </c>
      <c r="AB382" s="21">
        <v>372</v>
      </c>
      <c r="AC382" s="21">
        <v>-5.3558300000000003E-2</v>
      </c>
      <c r="AD382">
        <f t="shared" si="64"/>
        <v>18.589382716049382</v>
      </c>
      <c r="AE382">
        <f t="shared" si="65"/>
        <v>-0.98710737585185182</v>
      </c>
      <c r="AF382" s="9"/>
      <c r="AG382" s="21">
        <v>1.77322</v>
      </c>
      <c r="AH382" s="21">
        <v>22.782399999999999</v>
      </c>
      <c r="AI382" s="21">
        <v>3.4948700000000002E-3</v>
      </c>
      <c r="AJ382" s="21">
        <v>372</v>
      </c>
      <c r="AK382" s="21">
        <v>1.7718499999999999</v>
      </c>
      <c r="AL382">
        <f t="shared" si="66"/>
        <v>-4.3146543209876542</v>
      </c>
      <c r="AM382">
        <f t="shared" si="67"/>
        <v>-7.6508313350617287</v>
      </c>
      <c r="AP382" s="9"/>
      <c r="AQ382" s="21">
        <v>-5.3100599999999998E-2</v>
      </c>
      <c r="AR382" s="21">
        <v>28.331199999999999</v>
      </c>
      <c r="AS382" s="21">
        <v>-1.49658E-2</v>
      </c>
      <c r="AT382" s="21">
        <v>372</v>
      </c>
      <c r="AU382" s="21">
        <v>-5.35278E-2</v>
      </c>
      <c r="AV382">
        <f t="shared" si="68"/>
        <v>18.476296296296297</v>
      </c>
      <c r="AW382">
        <f t="shared" si="69"/>
        <v>-0.98110241911111118</v>
      </c>
      <c r="AX382" s="9"/>
      <c r="AY382" s="21">
        <v>1.77322</v>
      </c>
      <c r="AZ382" s="21">
        <v>32.1907</v>
      </c>
      <c r="BA382" s="21">
        <v>2.7380400000000002E-3</v>
      </c>
      <c r="BB382" s="21">
        <v>372</v>
      </c>
      <c r="BC382" s="21">
        <v>1.7724599999999999</v>
      </c>
      <c r="BD382">
        <f t="shared" si="70"/>
        <v>-3.3802962962962964</v>
      </c>
      <c r="BE382">
        <f t="shared" si="71"/>
        <v>-5.9940089985185185</v>
      </c>
    </row>
    <row r="383" spans="6:57" x14ac:dyDescent="0.25">
      <c r="F383" s="9"/>
      <c r="G383" s="21">
        <v>-5.8136E-2</v>
      </c>
      <c r="H383" s="21">
        <v>9.4948200000000007</v>
      </c>
      <c r="I383" s="21">
        <v>-1.4981100000000001E-2</v>
      </c>
      <c r="J383" s="21">
        <v>373</v>
      </c>
      <c r="K383" s="21">
        <v>-5.8563200000000003E-2</v>
      </c>
      <c r="L383">
        <f t="shared" si="60"/>
        <v>18.495185185185186</v>
      </c>
      <c r="M383">
        <f t="shared" si="61"/>
        <v>-1.075236085925926</v>
      </c>
      <c r="N383" s="9"/>
      <c r="O383" s="21">
        <v>1.77826</v>
      </c>
      <c r="P383" s="21">
        <v>13.3543</v>
      </c>
      <c r="Q383" s="21">
        <v>2.7203399999999999E-3</v>
      </c>
      <c r="R383" s="21">
        <v>373</v>
      </c>
      <c r="S383" s="21">
        <v>1.77704</v>
      </c>
      <c r="T383">
        <f t="shared" si="62"/>
        <v>-3.3584444444444443</v>
      </c>
      <c r="U383">
        <f t="shared" si="63"/>
        <v>-5.9721874177777776</v>
      </c>
      <c r="X383" s="9"/>
      <c r="Y383" s="21">
        <v>-5.8136E-2</v>
      </c>
      <c r="Z383" s="21">
        <v>18.933</v>
      </c>
      <c r="AA383" s="21">
        <v>-1.5063500000000001E-2</v>
      </c>
      <c r="AB383" s="21">
        <v>373</v>
      </c>
      <c r="AC383" s="21">
        <v>-5.86548E-2</v>
      </c>
      <c r="AD383">
        <f t="shared" si="64"/>
        <v>18.596913580246913</v>
      </c>
      <c r="AE383">
        <f t="shared" si="65"/>
        <v>-1.0811501679012345</v>
      </c>
      <c r="AF383" s="9"/>
      <c r="AG383" s="21">
        <v>1.77826</v>
      </c>
      <c r="AH383" s="21">
        <v>22.7925</v>
      </c>
      <c r="AI383" s="21">
        <v>4.5016500000000003E-3</v>
      </c>
      <c r="AJ383" s="21">
        <v>373</v>
      </c>
      <c r="AK383" s="21">
        <v>1.7779499999999999</v>
      </c>
      <c r="AL383">
        <f t="shared" si="66"/>
        <v>-5.5575925925925924</v>
      </c>
      <c r="AM383">
        <f t="shared" si="67"/>
        <v>-9.8828446037037025</v>
      </c>
      <c r="AP383" s="9"/>
      <c r="AQ383" s="21">
        <v>-5.8136E-2</v>
      </c>
      <c r="AR383" s="21">
        <v>28.3413</v>
      </c>
      <c r="AS383" s="21">
        <v>-1.49689E-2</v>
      </c>
      <c r="AT383" s="21">
        <v>373</v>
      </c>
      <c r="AU383" s="21">
        <v>-5.86548E-2</v>
      </c>
      <c r="AV383">
        <f t="shared" si="68"/>
        <v>18.480123456790125</v>
      </c>
      <c r="AW383">
        <f t="shared" si="69"/>
        <v>-1.0743604572839507</v>
      </c>
      <c r="AX383" s="9"/>
      <c r="AY383" s="21">
        <v>1.77826</v>
      </c>
      <c r="AZ383" s="21">
        <v>32.200699999999998</v>
      </c>
      <c r="BA383" s="21">
        <v>3.6236599999999999E-3</v>
      </c>
      <c r="BB383" s="21">
        <v>373</v>
      </c>
      <c r="BC383" s="21">
        <v>1.7773399999999999</v>
      </c>
      <c r="BD383">
        <f t="shared" si="70"/>
        <v>-4.473654320987654</v>
      </c>
      <c r="BE383">
        <f t="shared" si="71"/>
        <v>-7.9553205328395054</v>
      </c>
    </row>
    <row r="384" spans="6:57" x14ac:dyDescent="0.25">
      <c r="F384" s="9"/>
      <c r="G384" s="21">
        <v>-6.3171400000000003E-2</v>
      </c>
      <c r="H384" s="21">
        <v>9.5048899999999996</v>
      </c>
      <c r="I384" s="21">
        <v>-1.49841E-2</v>
      </c>
      <c r="J384" s="21">
        <v>374</v>
      </c>
      <c r="K384" s="21">
        <v>-6.3690200000000002E-2</v>
      </c>
      <c r="L384">
        <f t="shared" si="60"/>
        <v>18.498888888888889</v>
      </c>
      <c r="M384">
        <f t="shared" si="61"/>
        <v>-1.1686007095555555</v>
      </c>
      <c r="N384" s="9"/>
      <c r="O384" s="21">
        <v>1.78329</v>
      </c>
      <c r="P384" s="21">
        <v>13.3644</v>
      </c>
      <c r="Q384" s="21">
        <v>3.4939599999999999E-3</v>
      </c>
      <c r="R384" s="21">
        <v>374</v>
      </c>
      <c r="S384" s="21">
        <v>1.7825299999999999</v>
      </c>
      <c r="T384">
        <f t="shared" si="62"/>
        <v>-4.3135308641975305</v>
      </c>
      <c r="U384">
        <f t="shared" si="63"/>
        <v>-7.6922764548148139</v>
      </c>
      <c r="X384" s="9"/>
      <c r="Y384" s="21">
        <v>-6.3171400000000003E-2</v>
      </c>
      <c r="Z384" s="21">
        <v>18.943100000000001</v>
      </c>
      <c r="AA384" s="21">
        <v>-1.50665E-2</v>
      </c>
      <c r="AB384" s="21">
        <v>374</v>
      </c>
      <c r="AC384" s="21">
        <v>-6.35376E-2</v>
      </c>
      <c r="AD384">
        <f t="shared" si="64"/>
        <v>18.600617283950616</v>
      </c>
      <c r="AE384">
        <f t="shared" si="65"/>
        <v>-1.1750270346913581</v>
      </c>
      <c r="AF384" s="9"/>
      <c r="AG384" s="21">
        <v>1.78329</v>
      </c>
      <c r="AH384" s="21">
        <v>22.802600000000002</v>
      </c>
      <c r="AI384" s="21">
        <v>5.5572499999999997E-3</v>
      </c>
      <c r="AJ384" s="21">
        <v>374</v>
      </c>
      <c r="AK384" s="21">
        <v>1.7825299999999999</v>
      </c>
      <c r="AL384">
        <f t="shared" si="66"/>
        <v>-6.8608024691358018</v>
      </c>
      <c r="AM384">
        <f t="shared" si="67"/>
        <v>-12.234800435185184</v>
      </c>
      <c r="AP384" s="9"/>
      <c r="AQ384" s="21">
        <v>-6.3171400000000003E-2</v>
      </c>
      <c r="AR384" s="21">
        <v>28.351299999999998</v>
      </c>
      <c r="AS384" s="21">
        <v>-1.4987199999999999E-2</v>
      </c>
      <c r="AT384" s="21">
        <v>374</v>
      </c>
      <c r="AU384" s="21">
        <v>-6.3598600000000005E-2</v>
      </c>
      <c r="AV384">
        <f t="shared" si="68"/>
        <v>18.502716049382713</v>
      </c>
      <c r="AW384">
        <f t="shared" si="69"/>
        <v>-1.1688424766419752</v>
      </c>
      <c r="AX384" s="9"/>
      <c r="AY384" s="21">
        <v>1.78329</v>
      </c>
      <c r="AZ384" s="21">
        <v>32.210799999999999</v>
      </c>
      <c r="BA384" s="21">
        <v>4.4845600000000003E-3</v>
      </c>
      <c r="BB384" s="21">
        <v>374</v>
      </c>
      <c r="BC384" s="21">
        <v>1.7825299999999999</v>
      </c>
      <c r="BD384">
        <f t="shared" si="70"/>
        <v>-5.536493827160494</v>
      </c>
      <c r="BE384">
        <f t="shared" si="71"/>
        <v>-9.8731740770370369</v>
      </c>
    </row>
    <row r="385" spans="6:57" x14ac:dyDescent="0.25">
      <c r="F385" s="9"/>
      <c r="G385" s="21">
        <v>-6.8206799999999998E-2</v>
      </c>
      <c r="H385" s="21">
        <v>9.5149600000000003</v>
      </c>
      <c r="I385" s="21">
        <v>-1.4981100000000001E-2</v>
      </c>
      <c r="J385" s="21">
        <v>375</v>
      </c>
      <c r="K385" s="21">
        <v>-6.8664600000000006E-2</v>
      </c>
      <c r="L385">
        <f t="shared" si="60"/>
        <v>18.495185185185186</v>
      </c>
      <c r="M385">
        <f t="shared" si="61"/>
        <v>-1.261497396888889</v>
      </c>
      <c r="N385" s="9"/>
      <c r="O385" s="21">
        <v>1.78833</v>
      </c>
      <c r="P385" s="21">
        <v>13.3744</v>
      </c>
      <c r="Q385" s="21">
        <v>4.26392E-3</v>
      </c>
      <c r="R385" s="21">
        <v>375</v>
      </c>
      <c r="S385" s="21">
        <v>1.7880199999999999</v>
      </c>
      <c r="T385">
        <f t="shared" si="62"/>
        <v>-5.2640987654320988</v>
      </c>
      <c r="U385">
        <f t="shared" si="63"/>
        <v>-9.4139457451851847</v>
      </c>
      <c r="X385" s="9"/>
      <c r="Y385" s="21">
        <v>-6.8206799999999998E-2</v>
      </c>
      <c r="Z385" s="21">
        <v>18.953199999999999</v>
      </c>
      <c r="AA385" s="21">
        <v>-1.5069600000000001E-2</v>
      </c>
      <c r="AB385" s="21">
        <v>375</v>
      </c>
      <c r="AC385" s="21">
        <v>-6.8664600000000006E-2</v>
      </c>
      <c r="AD385">
        <f t="shared" si="64"/>
        <v>18.604444444444443</v>
      </c>
      <c r="AE385">
        <f t="shared" si="65"/>
        <v>-1.2689496213333331</v>
      </c>
      <c r="AF385" s="9"/>
      <c r="AG385" s="21">
        <v>1.78833</v>
      </c>
      <c r="AH385" s="21">
        <v>22.8127</v>
      </c>
      <c r="AI385" s="21">
        <v>6.6192600000000001E-3</v>
      </c>
      <c r="AJ385" s="21">
        <v>375</v>
      </c>
      <c r="AK385" s="21">
        <v>1.78711</v>
      </c>
      <c r="AL385">
        <f t="shared" si="66"/>
        <v>-8.171925925925926</v>
      </c>
      <c r="AM385">
        <f t="shared" si="67"/>
        <v>-14.614100291111111</v>
      </c>
      <c r="AP385" s="9"/>
      <c r="AQ385" s="21">
        <v>-6.8206799999999998E-2</v>
      </c>
      <c r="AR385" s="21">
        <v>28.3614</v>
      </c>
      <c r="AS385" s="21">
        <v>-1.5002400000000001E-2</v>
      </c>
      <c r="AT385" s="21">
        <v>375</v>
      </c>
      <c r="AU385" s="21">
        <v>-6.8664600000000006E-2</v>
      </c>
      <c r="AV385">
        <f t="shared" si="68"/>
        <v>18.521481481481484</v>
      </c>
      <c r="AW385">
        <f t="shared" si="69"/>
        <v>-1.2632909831111112</v>
      </c>
      <c r="AX385" s="9"/>
      <c r="AY385" s="21">
        <v>1.78833</v>
      </c>
      <c r="AZ385" s="21">
        <v>32.2209</v>
      </c>
      <c r="BA385" s="21">
        <v>5.3619399999999999E-3</v>
      </c>
      <c r="BB385" s="21">
        <v>375</v>
      </c>
      <c r="BC385" s="21">
        <v>1.78772</v>
      </c>
      <c r="BD385">
        <f t="shared" si="70"/>
        <v>-6.6196790123456779</v>
      </c>
      <c r="BE385">
        <f t="shared" si="71"/>
        <v>-11.838170568148145</v>
      </c>
    </row>
    <row r="386" spans="6:57" x14ac:dyDescent="0.25">
      <c r="F386" s="9"/>
      <c r="G386" s="21">
        <v>-7.3242199999999993E-2</v>
      </c>
      <c r="H386" s="21">
        <v>9.5250299999999992</v>
      </c>
      <c r="I386" s="21">
        <v>-1.4993299999999999E-2</v>
      </c>
      <c r="J386" s="21">
        <v>376</v>
      </c>
      <c r="K386" s="21">
        <v>-7.3700000000000002E-2</v>
      </c>
      <c r="L386">
        <f t="shared" si="60"/>
        <v>18.510246913580243</v>
      </c>
      <c r="M386">
        <f t="shared" si="61"/>
        <v>-1.3557312064938267</v>
      </c>
      <c r="N386" s="9"/>
      <c r="O386" s="21">
        <v>1.7933699999999999</v>
      </c>
      <c r="P386" s="21">
        <v>13.384499999999999</v>
      </c>
      <c r="Q386" s="21">
        <v>5.0689699999999999E-3</v>
      </c>
      <c r="R386" s="21">
        <v>376</v>
      </c>
      <c r="S386" s="21">
        <v>1.7923</v>
      </c>
      <c r="T386">
        <f t="shared" si="62"/>
        <v>-6.2579876543209867</v>
      </c>
      <c r="U386">
        <f t="shared" si="63"/>
        <v>-11.222887319629628</v>
      </c>
      <c r="X386" s="9"/>
      <c r="Y386" s="21">
        <v>-7.3242199999999993E-2</v>
      </c>
      <c r="Z386" s="21">
        <v>18.9633</v>
      </c>
      <c r="AA386" s="21">
        <v>-1.5075699999999999E-2</v>
      </c>
      <c r="AB386" s="21">
        <v>376</v>
      </c>
      <c r="AC386" s="21">
        <v>-7.3700000000000002E-2</v>
      </c>
      <c r="AD386">
        <f t="shared" si="64"/>
        <v>18.611975308641973</v>
      </c>
      <c r="AE386">
        <f t="shared" si="65"/>
        <v>-1.3631820179506171</v>
      </c>
      <c r="AF386" s="9"/>
      <c r="AG386" s="21">
        <v>1.7933699999999999</v>
      </c>
      <c r="AH386" s="21">
        <v>22.822700000000001</v>
      </c>
      <c r="AI386" s="21">
        <v>7.7148399999999997E-3</v>
      </c>
      <c r="AJ386" s="21">
        <v>376</v>
      </c>
      <c r="AK386" s="21">
        <v>1.7923</v>
      </c>
      <c r="AL386">
        <f t="shared" si="66"/>
        <v>-9.5244938271604926</v>
      </c>
      <c r="AM386">
        <f t="shared" si="67"/>
        <v>-17.080941494814812</v>
      </c>
      <c r="AP386" s="9"/>
      <c r="AQ386" s="21">
        <v>-7.3242199999999993E-2</v>
      </c>
      <c r="AR386" s="21">
        <v>28.371500000000001</v>
      </c>
      <c r="AS386" s="21">
        <v>-1.50116E-2</v>
      </c>
      <c r="AT386" s="21">
        <v>376</v>
      </c>
      <c r="AU386" s="21">
        <v>-7.3730500000000004E-2</v>
      </c>
      <c r="AV386">
        <f t="shared" si="68"/>
        <v>18.532839506172838</v>
      </c>
      <c r="AW386">
        <f t="shared" si="69"/>
        <v>-1.3573859376790121</v>
      </c>
      <c r="AX386" s="9"/>
      <c r="AY386" s="21">
        <v>1.7933699999999999</v>
      </c>
      <c r="AZ386" s="21">
        <v>32.230899999999998</v>
      </c>
      <c r="BA386" s="21">
        <v>6.2622099999999998E-3</v>
      </c>
      <c r="BB386" s="21">
        <v>376</v>
      </c>
      <c r="BC386" s="21">
        <v>1.79291</v>
      </c>
      <c r="BD386">
        <f t="shared" si="70"/>
        <v>-7.7311234567901224</v>
      </c>
      <c r="BE386">
        <f t="shared" si="71"/>
        <v>-13.864764873703701</v>
      </c>
    </row>
    <row r="387" spans="6:57" x14ac:dyDescent="0.25">
      <c r="F387" s="9"/>
      <c r="G387" s="21">
        <v>-7.8277600000000003E-2</v>
      </c>
      <c r="H387" s="21">
        <v>9.5350999999999999</v>
      </c>
      <c r="I387" s="21">
        <v>-1.5002400000000001E-2</v>
      </c>
      <c r="J387" s="21">
        <v>377</v>
      </c>
      <c r="K387" s="21">
        <v>-7.8796400000000003E-2</v>
      </c>
      <c r="L387">
        <f t="shared" si="60"/>
        <v>18.521481481481484</v>
      </c>
      <c r="M387">
        <f t="shared" si="61"/>
        <v>-1.449817118814815</v>
      </c>
      <c r="N387" s="9"/>
      <c r="O387" s="21">
        <v>1.7984</v>
      </c>
      <c r="P387" s="21">
        <v>13.394600000000001</v>
      </c>
      <c r="Q387" s="21">
        <v>5.8898900000000001E-3</v>
      </c>
      <c r="R387" s="21">
        <v>377</v>
      </c>
      <c r="S387" s="21">
        <v>1.79749</v>
      </c>
      <c r="T387">
        <f t="shared" si="62"/>
        <v>-7.2714691358024695</v>
      </c>
      <c r="U387">
        <f t="shared" si="63"/>
        <v>-13.077010093827161</v>
      </c>
      <c r="X387" s="9"/>
      <c r="Y387" s="21">
        <v>-7.8277600000000003E-2</v>
      </c>
      <c r="Z387" s="21">
        <v>18.973299999999998</v>
      </c>
      <c r="AA387" s="21">
        <v>-1.50787E-2</v>
      </c>
      <c r="AB387" s="21">
        <v>377</v>
      </c>
      <c r="AC387" s="21">
        <v>-7.8796400000000003E-2</v>
      </c>
      <c r="AD387">
        <f t="shared" si="64"/>
        <v>18.61567901234568</v>
      </c>
      <c r="AE387">
        <f t="shared" si="65"/>
        <v>-1.4571906754567903</v>
      </c>
      <c r="AF387" s="9"/>
      <c r="AG387" s="21">
        <v>1.7984</v>
      </c>
      <c r="AH387" s="21">
        <v>22.832799999999999</v>
      </c>
      <c r="AI387" s="21">
        <v>8.8409400000000003E-3</v>
      </c>
      <c r="AJ387" s="21">
        <v>377</v>
      </c>
      <c r="AK387" s="21">
        <v>1.79749</v>
      </c>
      <c r="AL387">
        <f t="shared" si="66"/>
        <v>-10.91474074074074</v>
      </c>
      <c r="AM387">
        <f t="shared" si="67"/>
        <v>-19.629069748148147</v>
      </c>
      <c r="AP387" s="9"/>
      <c r="AQ387" s="21">
        <v>-7.8277600000000003E-2</v>
      </c>
      <c r="AR387" s="21">
        <v>28.381499999999999</v>
      </c>
      <c r="AS387" s="21">
        <v>-1.50177E-2</v>
      </c>
      <c r="AT387" s="21">
        <v>377</v>
      </c>
      <c r="AU387" s="21">
        <v>-7.8704800000000005E-2</v>
      </c>
      <c r="AV387">
        <f t="shared" si="68"/>
        <v>18.540370370370372</v>
      </c>
      <c r="AW387">
        <f t="shared" si="69"/>
        <v>-1.451295695703704</v>
      </c>
      <c r="AX387" s="9"/>
      <c r="AY387" s="21">
        <v>1.7984</v>
      </c>
      <c r="AZ387" s="21">
        <v>32.241</v>
      </c>
      <c r="BA387" s="21">
        <v>7.1990999999999999E-3</v>
      </c>
      <c r="BB387" s="21">
        <v>377</v>
      </c>
      <c r="BC387" s="21">
        <v>1.79749</v>
      </c>
      <c r="BD387">
        <f t="shared" si="70"/>
        <v>-8.887777777777778</v>
      </c>
      <c r="BE387">
        <f t="shared" si="71"/>
        <v>-15.983779555555556</v>
      </c>
    </row>
    <row r="388" spans="6:57" x14ac:dyDescent="0.25">
      <c r="F388" s="9"/>
      <c r="G388" s="21">
        <v>-8.3312999999999998E-2</v>
      </c>
      <c r="H388" s="21">
        <v>9.5451700000000006</v>
      </c>
      <c r="I388" s="21">
        <v>-1.50055E-2</v>
      </c>
      <c r="J388" s="21">
        <v>378</v>
      </c>
      <c r="K388" s="21">
        <v>-8.3740200000000001E-2</v>
      </c>
      <c r="L388">
        <f t="shared" si="60"/>
        <v>18.525308641975307</v>
      </c>
      <c r="M388">
        <f t="shared" si="61"/>
        <v>-1.5433990388888887</v>
      </c>
      <c r="N388" s="9"/>
      <c r="O388" s="21">
        <v>1.8034399999999999</v>
      </c>
      <c r="P388" s="21">
        <v>13.4046</v>
      </c>
      <c r="Q388" s="21">
        <v>6.7169200000000004E-3</v>
      </c>
      <c r="R388" s="21">
        <v>378</v>
      </c>
      <c r="S388" s="21">
        <v>1.80298</v>
      </c>
      <c r="T388">
        <f t="shared" si="62"/>
        <v>-8.2924938271604951</v>
      </c>
      <c r="U388">
        <f t="shared" si="63"/>
        <v>-14.955015067654323</v>
      </c>
      <c r="X388" s="9"/>
      <c r="Y388" s="21">
        <v>-8.3312999999999998E-2</v>
      </c>
      <c r="Z388" s="21">
        <v>18.9834</v>
      </c>
      <c r="AA388" s="21">
        <v>-1.5084800000000001E-2</v>
      </c>
      <c r="AB388" s="21">
        <v>378</v>
      </c>
      <c r="AC388" s="21">
        <v>-8.3831799999999998E-2</v>
      </c>
      <c r="AD388">
        <f t="shared" si="64"/>
        <v>18.623209876543207</v>
      </c>
      <c r="AE388">
        <f t="shared" si="65"/>
        <v>-1.5515554844444441</v>
      </c>
      <c r="AF388" s="9"/>
      <c r="AG388" s="21">
        <v>1.8034399999999999</v>
      </c>
      <c r="AH388" s="21">
        <v>22.8429</v>
      </c>
      <c r="AI388" s="21">
        <v>9.9700899999999992E-3</v>
      </c>
      <c r="AJ388" s="21">
        <v>378</v>
      </c>
      <c r="AK388" s="21">
        <v>1.80298</v>
      </c>
      <c r="AL388">
        <f t="shared" si="66"/>
        <v>-12.308753086419753</v>
      </c>
      <c r="AM388">
        <f t="shared" si="67"/>
        <v>-22.198097666172838</v>
      </c>
      <c r="AP388" s="9"/>
      <c r="AQ388" s="21">
        <v>-8.3312999999999998E-2</v>
      </c>
      <c r="AR388" s="21">
        <v>28.3916</v>
      </c>
      <c r="AS388" s="21">
        <v>-1.5020800000000001E-2</v>
      </c>
      <c r="AT388" s="21">
        <v>378</v>
      </c>
      <c r="AU388" s="21">
        <v>-8.3801299999999995E-2</v>
      </c>
      <c r="AV388">
        <f t="shared" si="68"/>
        <v>18.544197530864199</v>
      </c>
      <c r="AW388">
        <f t="shared" si="69"/>
        <v>-1.544972728888889</v>
      </c>
      <c r="AX388" s="9"/>
      <c r="AY388" s="21">
        <v>1.8034399999999999</v>
      </c>
      <c r="AZ388" s="21">
        <v>32.251100000000001</v>
      </c>
      <c r="BA388" s="21">
        <v>8.1420899999999994E-3</v>
      </c>
      <c r="BB388" s="21">
        <v>378</v>
      </c>
      <c r="BC388" s="21">
        <v>1.80328</v>
      </c>
      <c r="BD388">
        <f t="shared" si="70"/>
        <v>-10.051962962962962</v>
      </c>
      <c r="BE388">
        <f t="shared" si="71"/>
        <v>-18.128112085925924</v>
      </c>
    </row>
    <row r="389" spans="6:57" x14ac:dyDescent="0.25">
      <c r="F389" s="9"/>
      <c r="G389" s="21">
        <v>-8.8348399999999994E-2</v>
      </c>
      <c r="H389" s="21">
        <v>9.5552399999999995</v>
      </c>
      <c r="I389" s="21">
        <v>-1.5008499999999999E-2</v>
      </c>
      <c r="J389" s="21">
        <v>379</v>
      </c>
      <c r="K389" s="21">
        <v>-8.8928199999999999E-2</v>
      </c>
      <c r="L389">
        <f t="shared" si="60"/>
        <v>18.529012345679011</v>
      </c>
      <c r="M389">
        <f t="shared" si="61"/>
        <v>-1.6370085943209873</v>
      </c>
      <c r="N389" s="9"/>
      <c r="O389" s="21">
        <v>1.80847</v>
      </c>
      <c r="P389" s="21">
        <v>13.4147</v>
      </c>
      <c r="Q389" s="21">
        <v>7.5378399999999996E-3</v>
      </c>
      <c r="R389" s="21">
        <v>379</v>
      </c>
      <c r="S389" s="21">
        <v>1.80786</v>
      </c>
      <c r="T389">
        <f t="shared" si="62"/>
        <v>-9.3059753086419743</v>
      </c>
      <c r="U389">
        <f t="shared" si="63"/>
        <v>-16.829577166419753</v>
      </c>
      <c r="X389" s="9"/>
      <c r="Y389" s="21">
        <v>-8.8348399999999994E-2</v>
      </c>
      <c r="Z389" s="21">
        <v>18.993500000000001</v>
      </c>
      <c r="AA389" s="21">
        <v>-1.5084800000000001E-2</v>
      </c>
      <c r="AB389" s="21">
        <v>379</v>
      </c>
      <c r="AC389" s="21">
        <v>-8.8745099999999993E-2</v>
      </c>
      <c r="AD389">
        <f t="shared" si="64"/>
        <v>18.623209876543207</v>
      </c>
      <c r="AE389">
        <f t="shared" si="65"/>
        <v>-1.6453307954567897</v>
      </c>
      <c r="AF389" s="9"/>
      <c r="AG389" s="21">
        <v>1.80847</v>
      </c>
      <c r="AH389" s="21">
        <v>22.852900000000002</v>
      </c>
      <c r="AI389" s="21">
        <v>1.1047400000000001E-2</v>
      </c>
      <c r="AJ389" s="21">
        <v>379</v>
      </c>
      <c r="AK389" s="21">
        <v>1.80786</v>
      </c>
      <c r="AL389">
        <f t="shared" si="66"/>
        <v>-13.638765432098765</v>
      </c>
      <c r="AM389">
        <f t="shared" si="67"/>
        <v>-24.665298120987654</v>
      </c>
      <c r="AP389" s="9"/>
      <c r="AQ389" s="21">
        <v>-8.8348399999999994E-2</v>
      </c>
      <c r="AR389" s="21">
        <v>28.401700000000002</v>
      </c>
      <c r="AS389" s="21">
        <v>-1.5029900000000001E-2</v>
      </c>
      <c r="AT389" s="21">
        <v>379</v>
      </c>
      <c r="AU389" s="21">
        <v>-8.8897699999999996E-2</v>
      </c>
      <c r="AV389">
        <f t="shared" si="68"/>
        <v>18.555432098765429</v>
      </c>
      <c r="AW389">
        <f t="shared" si="69"/>
        <v>-1.6393427372345675</v>
      </c>
      <c r="AX389" s="9"/>
      <c r="AY389" s="21">
        <v>1.80847</v>
      </c>
      <c r="AZ389" s="21">
        <v>32.261200000000002</v>
      </c>
      <c r="BA389" s="21">
        <v>8.9996299999999998E-3</v>
      </c>
      <c r="BB389" s="21">
        <v>379</v>
      </c>
      <c r="BC389" s="21">
        <v>1.80786</v>
      </c>
      <c r="BD389">
        <f t="shared" si="70"/>
        <v>-11.110654320987654</v>
      </c>
      <c r="BE389">
        <f t="shared" si="71"/>
        <v>-20.093285019876543</v>
      </c>
    </row>
    <row r="390" spans="6:57" x14ac:dyDescent="0.25">
      <c r="F390" s="9"/>
      <c r="G390" s="21">
        <v>-9.3383800000000003E-2</v>
      </c>
      <c r="H390" s="21">
        <v>9.5653100000000002</v>
      </c>
      <c r="I390" s="21">
        <v>-1.5008499999999999E-2</v>
      </c>
      <c r="J390" s="21">
        <v>380</v>
      </c>
      <c r="K390" s="21">
        <v>-9.3780500000000003E-2</v>
      </c>
      <c r="L390">
        <f t="shared" si="60"/>
        <v>18.529012345679011</v>
      </c>
      <c r="M390">
        <f t="shared" si="61"/>
        <v>-1.7303095830864197</v>
      </c>
      <c r="N390" s="9"/>
      <c r="O390" s="21">
        <v>1.81351</v>
      </c>
      <c r="P390" s="21">
        <v>13.424799999999999</v>
      </c>
      <c r="Q390" s="21">
        <v>8.3648699999999999E-3</v>
      </c>
      <c r="R390" s="21">
        <v>380</v>
      </c>
      <c r="S390" s="21">
        <v>1.8124400000000001</v>
      </c>
      <c r="T390">
        <f t="shared" si="62"/>
        <v>-10.327</v>
      </c>
      <c r="U390">
        <f t="shared" si="63"/>
        <v>-18.728117770000001</v>
      </c>
      <c r="X390" s="9"/>
      <c r="Y390" s="21">
        <v>-9.3383800000000003E-2</v>
      </c>
      <c r="Z390" s="21">
        <v>19.003499999999999</v>
      </c>
      <c r="AA390" s="21">
        <v>-1.5090900000000001E-2</v>
      </c>
      <c r="AB390" s="21">
        <v>380</v>
      </c>
      <c r="AC390" s="21">
        <v>-9.3902600000000003E-2</v>
      </c>
      <c r="AD390">
        <f t="shared" si="64"/>
        <v>18.630740740740741</v>
      </c>
      <c r="AE390">
        <f t="shared" si="65"/>
        <v>-1.7398093671851853</v>
      </c>
      <c r="AF390" s="9"/>
      <c r="AG390" s="21">
        <v>1.81351</v>
      </c>
      <c r="AH390" s="21">
        <v>22.863</v>
      </c>
      <c r="AI390" s="21">
        <v>1.22162E-2</v>
      </c>
      <c r="AJ390" s="21">
        <v>380</v>
      </c>
      <c r="AK390" s="21">
        <v>1.8124400000000001</v>
      </c>
      <c r="AL390">
        <f t="shared" si="66"/>
        <v>-15.081728395061727</v>
      </c>
      <c r="AM390">
        <f t="shared" si="67"/>
        <v>-27.350865261728394</v>
      </c>
      <c r="AP390" s="9"/>
      <c r="AQ390" s="21">
        <v>-9.3383800000000003E-2</v>
      </c>
      <c r="AR390" s="21">
        <v>28.411799999999999</v>
      </c>
      <c r="AS390" s="21">
        <v>-1.5029900000000001E-2</v>
      </c>
      <c r="AT390" s="21">
        <v>380</v>
      </c>
      <c r="AU390" s="21">
        <v>-9.3780500000000003E-2</v>
      </c>
      <c r="AV390">
        <f t="shared" si="68"/>
        <v>18.555432098765429</v>
      </c>
      <c r="AW390">
        <f t="shared" si="69"/>
        <v>-1.7327767600246911</v>
      </c>
      <c r="AX390" s="9"/>
      <c r="AY390" s="21">
        <v>1.81351</v>
      </c>
      <c r="AZ390" s="21">
        <v>32.2712</v>
      </c>
      <c r="BA390" s="21">
        <v>9.9151599999999993E-3</v>
      </c>
      <c r="BB390" s="21">
        <v>380</v>
      </c>
      <c r="BC390" s="21">
        <v>1.8130500000000001</v>
      </c>
      <c r="BD390">
        <f t="shared" si="70"/>
        <v>-12.240938271604936</v>
      </c>
      <c r="BE390">
        <f t="shared" si="71"/>
        <v>-22.199063964938265</v>
      </c>
    </row>
    <row r="391" spans="6:57" x14ac:dyDescent="0.25">
      <c r="F391" s="9"/>
      <c r="G391" s="21">
        <v>-9.8419199999999998E-2</v>
      </c>
      <c r="H391" s="21">
        <v>9.5753900000000005</v>
      </c>
      <c r="I391" s="21">
        <v>-1.5008499999999999E-2</v>
      </c>
      <c r="J391" s="21">
        <v>381</v>
      </c>
      <c r="K391" s="21">
        <v>-9.8937999999999998E-2</v>
      </c>
      <c r="L391">
        <f t="shared" si="60"/>
        <v>18.529012345679011</v>
      </c>
      <c r="M391">
        <f t="shared" si="61"/>
        <v>-1.8236105718518516</v>
      </c>
      <c r="N391" s="9"/>
      <c r="O391" s="21">
        <v>1.81854</v>
      </c>
      <c r="P391" s="21">
        <v>13.434900000000001</v>
      </c>
      <c r="Q391" s="21">
        <v>9.1979999999999996E-3</v>
      </c>
      <c r="R391" s="21">
        <v>381</v>
      </c>
      <c r="S391" s="21">
        <v>1.8176300000000001</v>
      </c>
      <c r="T391">
        <f t="shared" si="62"/>
        <v>-11.355555555555554</v>
      </c>
      <c r="U391">
        <f t="shared" si="63"/>
        <v>-20.650531999999998</v>
      </c>
      <c r="X391" s="9"/>
      <c r="Y391" s="21">
        <v>-9.8419199999999998E-2</v>
      </c>
      <c r="Z391" s="21">
        <v>19.0136</v>
      </c>
      <c r="AA391" s="21">
        <v>-1.5094E-2</v>
      </c>
      <c r="AB391" s="21">
        <v>381</v>
      </c>
      <c r="AC391" s="21">
        <v>-9.8907499999999995E-2</v>
      </c>
      <c r="AD391">
        <f t="shared" si="64"/>
        <v>18.634567901234568</v>
      </c>
      <c r="AE391">
        <f t="shared" si="65"/>
        <v>-1.8339992651851853</v>
      </c>
      <c r="AF391" s="9"/>
      <c r="AG391" s="21">
        <v>1.81854</v>
      </c>
      <c r="AH391" s="21">
        <v>22.873100000000001</v>
      </c>
      <c r="AI391" s="21">
        <v>1.33575E-2</v>
      </c>
      <c r="AJ391" s="21">
        <v>381</v>
      </c>
      <c r="AK391" s="21">
        <v>1.8176300000000001</v>
      </c>
      <c r="AL391">
        <f t="shared" si="66"/>
        <v>-16.49074074074074</v>
      </c>
      <c r="AM391">
        <f t="shared" si="67"/>
        <v>-29.989071666666668</v>
      </c>
      <c r="AP391" s="9"/>
      <c r="AQ391" s="21">
        <v>-9.8419199999999998E-2</v>
      </c>
      <c r="AR391" s="21">
        <v>28.421800000000001</v>
      </c>
      <c r="AS391" s="21">
        <v>-1.50238E-2</v>
      </c>
      <c r="AT391" s="21">
        <v>381</v>
      </c>
      <c r="AU391" s="21">
        <v>-9.8815899999999998E-2</v>
      </c>
      <c r="AV391">
        <f t="shared" si="68"/>
        <v>18.547901234567902</v>
      </c>
      <c r="AW391">
        <f t="shared" si="69"/>
        <v>-1.8254696011851852</v>
      </c>
      <c r="AX391" s="9"/>
      <c r="AY391" s="21">
        <v>1.81854</v>
      </c>
      <c r="AZ391" s="21">
        <v>32.281300000000002</v>
      </c>
      <c r="BA391" s="21">
        <v>1.08398E-2</v>
      </c>
      <c r="BB391" s="21">
        <v>381</v>
      </c>
      <c r="BC391" s="21">
        <v>1.8176300000000001</v>
      </c>
      <c r="BD391">
        <f t="shared" si="70"/>
        <v>-13.38246913580247</v>
      </c>
      <c r="BE391">
        <f t="shared" si="71"/>
        <v>-24.336555422222226</v>
      </c>
    </row>
    <row r="392" spans="6:57" x14ac:dyDescent="0.25">
      <c r="F392" s="9"/>
      <c r="G392" s="21">
        <v>-0.10345500000000001</v>
      </c>
      <c r="H392" s="21">
        <v>9.5854599999999994</v>
      </c>
      <c r="I392" s="21">
        <v>-1.50116E-2</v>
      </c>
      <c r="J392" s="21">
        <v>382</v>
      </c>
      <c r="K392" s="21">
        <v>-0.103851</v>
      </c>
      <c r="L392">
        <f t="shared" si="60"/>
        <v>18.532839506172838</v>
      </c>
      <c r="M392">
        <f t="shared" si="61"/>
        <v>-1.917314911111111</v>
      </c>
      <c r="N392" s="9"/>
      <c r="O392" s="21">
        <v>1.82358</v>
      </c>
      <c r="P392" s="21">
        <v>13.444900000000001</v>
      </c>
      <c r="Q392" s="21">
        <v>1.00403E-2</v>
      </c>
      <c r="R392" s="21">
        <v>382</v>
      </c>
      <c r="S392" s="21">
        <v>1.8234300000000001</v>
      </c>
      <c r="T392">
        <f t="shared" si="62"/>
        <v>-12.395432098765431</v>
      </c>
      <c r="U392">
        <f t="shared" si="63"/>
        <v>-22.604062066666664</v>
      </c>
      <c r="X392" s="9"/>
      <c r="Y392" s="21">
        <v>-0.10345500000000001</v>
      </c>
      <c r="Z392" s="21">
        <v>19.023700000000002</v>
      </c>
      <c r="AA392" s="21">
        <v>-1.5096999999999999E-2</v>
      </c>
      <c r="AB392" s="21">
        <v>382</v>
      </c>
      <c r="AC392" s="21">
        <v>-0.103882</v>
      </c>
      <c r="AD392">
        <f t="shared" si="64"/>
        <v>18.638271604938272</v>
      </c>
      <c r="AE392">
        <f t="shared" si="65"/>
        <v>-1.928222388888889</v>
      </c>
      <c r="AF392" s="9"/>
      <c r="AG392" s="21">
        <v>1.82358</v>
      </c>
      <c r="AH392" s="21">
        <v>22.883099999999999</v>
      </c>
      <c r="AI392" s="21">
        <v>1.45538E-2</v>
      </c>
      <c r="AJ392" s="21">
        <v>382</v>
      </c>
      <c r="AK392" s="21">
        <v>1.82281</v>
      </c>
      <c r="AL392">
        <f t="shared" si="66"/>
        <v>-17.967654320987652</v>
      </c>
      <c r="AM392">
        <f t="shared" si="67"/>
        <v>-32.765455066666661</v>
      </c>
      <c r="AP392" s="9"/>
      <c r="AQ392" s="21">
        <v>-0.10345500000000001</v>
      </c>
      <c r="AR392" s="21">
        <v>28.431899999999999</v>
      </c>
      <c r="AS392" s="21">
        <v>-1.5014599999999999E-2</v>
      </c>
      <c r="AT392" s="21">
        <v>382</v>
      </c>
      <c r="AU392" s="21">
        <v>-0.104034</v>
      </c>
      <c r="AV392">
        <f t="shared" si="68"/>
        <v>18.536543209876541</v>
      </c>
      <c r="AW392">
        <f t="shared" si="69"/>
        <v>-1.9176980777777777</v>
      </c>
      <c r="AX392" s="9"/>
      <c r="AY392" s="21">
        <v>1.82358</v>
      </c>
      <c r="AZ392" s="21">
        <v>32.291400000000003</v>
      </c>
      <c r="BA392" s="21">
        <v>1.1761499999999999E-2</v>
      </c>
      <c r="BB392" s="21">
        <v>382</v>
      </c>
      <c r="BC392" s="21">
        <v>1.82281</v>
      </c>
      <c r="BD392">
        <f t="shared" si="70"/>
        <v>-14.520370370370369</v>
      </c>
      <c r="BE392">
        <f t="shared" si="71"/>
        <v>-26.479056999999997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76B82-FA50-4FA3-B912-D3C24D4843A3}">
  <dimension ref="A1:FH376"/>
  <sheetViews>
    <sheetView tabSelected="1"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11.38980669333333</v>
      </c>
      <c r="M2" s="8" t="s">
        <v>14</v>
      </c>
      <c r="N2" s="9"/>
      <c r="O2" s="2">
        <f>ABS(S7-S6)/ABS(T7-T6)*1000</f>
        <v>191.06496910112031</v>
      </c>
      <c r="P2" s="2"/>
      <c r="Q2" s="6" t="s">
        <v>15</v>
      </c>
      <c r="R2" s="2"/>
      <c r="S2" s="7" t="s">
        <v>13</v>
      </c>
      <c r="T2" s="3">
        <f>T4*Q6*T9/100*100</f>
        <v>9.8562974187654309</v>
      </c>
      <c r="U2" s="8" t="s">
        <v>14</v>
      </c>
      <c r="X2" s="9"/>
      <c r="Y2" s="2">
        <f>ABS(AC7-AC6)/ABS(AD7-AD6)*1000</f>
        <v>335.86540540538198</v>
      </c>
      <c r="Z2" s="2"/>
      <c r="AA2" s="6" t="s">
        <v>12</v>
      </c>
      <c r="AB2" s="2"/>
      <c r="AC2" s="7" t="s">
        <v>13</v>
      </c>
      <c r="AD2" s="3">
        <f>AD4*AA6*AD9/100*100</f>
        <v>10.998605348148146</v>
      </c>
      <c r="AE2" s="8" t="s">
        <v>14</v>
      </c>
      <c r="AF2" s="9"/>
      <c r="AG2" s="2">
        <f>ABS(AK7-AK6)/ABS(AL7-AL6)*1000</f>
        <v>168.20408234330054</v>
      </c>
      <c r="AH2" s="2"/>
      <c r="AI2" s="6" t="s">
        <v>15</v>
      </c>
      <c r="AJ2" s="2"/>
      <c r="AK2" s="7" t="s">
        <v>13</v>
      </c>
      <c r="AL2" s="3">
        <f>AL4*AI6*AL9/100*100</f>
        <v>9.7358818444444459</v>
      </c>
      <c r="AM2" s="8" t="s">
        <v>14</v>
      </c>
      <c r="AP2" s="9"/>
      <c r="AQ2" s="2">
        <f>ABS(AU7-AU6)/ABS(AV7-AV6)*1000</f>
        <v>448.23861353713858</v>
      </c>
      <c r="AR2" s="2"/>
      <c r="AS2" s="6" t="s">
        <v>12</v>
      </c>
      <c r="AT2" s="2"/>
      <c r="AU2" s="7" t="s">
        <v>13</v>
      </c>
      <c r="AV2" s="3">
        <f>AV4*AS6*AV9/100*100</f>
        <v>10.882457273333332</v>
      </c>
      <c r="AW2" s="8" t="s">
        <v>14</v>
      </c>
      <c r="AX2" s="9"/>
      <c r="AY2" s="2">
        <f>ABS(BC7-BC6)/ABS(BD7-BD6)*1000</f>
        <v>150.45704295595135</v>
      </c>
      <c r="AZ2" s="2"/>
      <c r="BA2" s="6" t="s">
        <v>15</v>
      </c>
      <c r="BB2" s="2"/>
      <c r="BC2" s="7" t="s">
        <v>13</v>
      </c>
      <c r="BD2" s="3">
        <f>BD4*BA6*BD9/100*100</f>
        <v>9.685302602716046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1.73431</v>
      </c>
      <c r="J3" s="2"/>
      <c r="K3" s="10">
        <f>INDEX(L11:L1056,MATCH(I3,K11:K1056,0))</f>
        <v>-0.51401358024691357</v>
      </c>
      <c r="L3" s="26" t="s">
        <v>16</v>
      </c>
      <c r="M3" s="11">
        <f>M9</f>
        <v>11.389806693333332</v>
      </c>
      <c r="N3" s="9"/>
      <c r="O3" s="2" t="s">
        <v>44</v>
      </c>
      <c r="P3" s="2"/>
      <c r="Q3" s="2">
        <f>INDEX(S11:S1056,MATCH(0,T11:T1056,-1))</f>
        <v>1.7321800000000001</v>
      </c>
      <c r="R3" s="2"/>
      <c r="S3" s="10">
        <f>INDEX(T11:T1056,MATCH(Q3,S11:S1056,0))</f>
        <v>0.25638518518518516</v>
      </c>
      <c r="T3" s="26" t="s">
        <v>16</v>
      </c>
      <c r="U3" s="11">
        <f>U9</f>
        <v>9.8562974187654309</v>
      </c>
      <c r="X3" s="9"/>
      <c r="Y3" s="2" t="s">
        <v>44</v>
      </c>
      <c r="Z3" s="2"/>
      <c r="AA3" s="2">
        <f>INDEX(AC11:AC856,MATCH(0,AD11:AD856,1))</f>
        <v>1.7337</v>
      </c>
      <c r="AB3" s="2"/>
      <c r="AC3" s="10">
        <f>INDEX(AD11:AD1056,MATCH(AA3,AC11:AC1056,0))</f>
        <v>-0.48564444444444443</v>
      </c>
      <c r="AD3" s="26" t="s">
        <v>16</v>
      </c>
      <c r="AE3" s="11">
        <f>AE9</f>
        <v>10.998605348148146</v>
      </c>
      <c r="AF3" s="9"/>
      <c r="AG3" s="2" t="s">
        <v>44</v>
      </c>
      <c r="AH3" s="2"/>
      <c r="AI3" s="2">
        <f>INDEX(AK11:AK1056,MATCH(0,AL11:AL1056,-1))</f>
        <v>1.7321800000000001</v>
      </c>
      <c r="AJ3" s="2"/>
      <c r="AK3" s="10">
        <f>INDEX(AL11:AL1056,MATCH(AI3,AK11:AK1056,0))</f>
        <v>0.23313950617283949</v>
      </c>
      <c r="AL3" s="26" t="s">
        <v>16</v>
      </c>
      <c r="AM3" s="11">
        <f>AM9</f>
        <v>9.7358818444444459</v>
      </c>
      <c r="AP3" s="9"/>
      <c r="AQ3" s="2" t="s">
        <v>44</v>
      </c>
      <c r="AR3" s="2"/>
      <c r="AS3" s="2">
        <f>INDEX(AU11:AU856,MATCH(0,AV11:AV856,1))</f>
        <v>1.7291300000000001</v>
      </c>
      <c r="AT3" s="2"/>
      <c r="AU3" s="10">
        <f>INDEX(AV11:AV1056,MATCH(AS3,AU11:AU1056,0))</f>
        <v>-5.9754197530864195E-2</v>
      </c>
      <c r="AV3" s="26" t="s">
        <v>16</v>
      </c>
      <c r="AW3" s="11">
        <f>AW9</f>
        <v>10.882457273333332</v>
      </c>
      <c r="AX3" s="9"/>
      <c r="AY3" s="2" t="s">
        <v>44</v>
      </c>
      <c r="AZ3" s="2"/>
      <c r="BA3" s="2">
        <f>INDEX(BC11:BC1056,MATCH(0,BD11:BD1056,-1))</f>
        <v>1.73187</v>
      </c>
      <c r="BB3" s="2"/>
      <c r="BC3" s="10">
        <f>INDEX(BD11:BD1056,MATCH(BA3,BC11:BC1056,0))</f>
        <v>0.20695432098765432</v>
      </c>
      <c r="BD3" s="26" t="s">
        <v>16</v>
      </c>
      <c r="BE3" s="11">
        <f>BE9</f>
        <v>9.6853026027160478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8.8142524732108249</v>
      </c>
      <c r="H4" s="2"/>
      <c r="I4" s="2">
        <f>INDEX(K11:K1000,1+MATCH(0,L11:L856,1))</f>
        <v>1.72943</v>
      </c>
      <c r="J4" s="2"/>
      <c r="K4" s="10">
        <f>INDEX(L11:L1056,MATCH(I4,K11:K1056,0))</f>
        <v>3.9635185185185183E-2</v>
      </c>
      <c r="L4" s="25">
        <f>M3/(I6*L9)</f>
        <v>0.59933946009347916</v>
      </c>
      <c r="M4" s="8" t="s">
        <v>17</v>
      </c>
      <c r="N4" s="9"/>
      <c r="O4" s="2">
        <f>ABS(Q3-Q4)/ABS(S3-S4)*1000</f>
        <v>10.905569488242733</v>
      </c>
      <c r="P4" s="2"/>
      <c r="Q4" s="2">
        <f>INDEX(S11:S856,1+MATCH(0,T11:T856,-1))</f>
        <v>1.73706</v>
      </c>
      <c r="R4" s="2"/>
      <c r="S4" s="10">
        <f>INDEX(T11:T856,MATCH(Q4,S11:S856,0))</f>
        <v>-0.19109259259259259</v>
      </c>
      <c r="T4" s="25">
        <f>U3/(Q6*T9)</f>
        <v>0.52195949989934609</v>
      </c>
      <c r="U4" s="8" t="s">
        <v>17</v>
      </c>
      <c r="X4" s="9"/>
      <c r="Y4" s="2">
        <f>ABS(AA3-AA4)/ABS(AC3-AC4)*1000</f>
        <v>9.4876368852285804</v>
      </c>
      <c r="Z4" s="2"/>
      <c r="AA4" s="2">
        <f>INDEX(AC11:AC1000,1+MATCH(0,AD11:AD856,1))</f>
        <v>1.72882</v>
      </c>
      <c r="AB4" s="2"/>
      <c r="AC4" s="10">
        <f>INDEX(AD11:AD1056,MATCH(AA4,AC11:AC1056,0))</f>
        <v>2.8709135802469133E-2</v>
      </c>
      <c r="AD4" s="25">
        <f>AE3/(AA6*AD9)</f>
        <v>0.58257929885471182</v>
      </c>
      <c r="AE4" s="8" t="s">
        <v>17</v>
      </c>
      <c r="AF4" s="9"/>
      <c r="AG4" s="2">
        <f>ABS(AI3-AI4)/ABS(AK3-AK4)*1000</f>
        <v>10.474128073588313</v>
      </c>
      <c r="AH4" s="2"/>
      <c r="AI4" s="2">
        <f>INDEX(AK11:AK856,1+MATCH(0,AL11:AL856,-1))</f>
        <v>1.7367600000000001</v>
      </c>
      <c r="AJ4" s="2"/>
      <c r="AK4" s="10">
        <f>INDEX(AL11:AL856,MATCH(AI4,AK11:AK856,0))</f>
        <v>-0.20412839506172836</v>
      </c>
      <c r="AL4" s="25">
        <f>AM3/(AI6*AL9)</f>
        <v>0.51746402305769146</v>
      </c>
      <c r="AM4" s="8" t="s">
        <v>17</v>
      </c>
      <c r="AP4" s="9"/>
      <c r="AQ4" s="2">
        <f>ABS(AS3-AS4)/ABS(AU3-AU4)*1000</f>
        <v>10.72032032400503</v>
      </c>
      <c r="AR4" s="2"/>
      <c r="AS4" s="2">
        <f>INDEX(AU11:AU1000,1+MATCH(0,AV11:AV856,1))</f>
        <v>1.72424</v>
      </c>
      <c r="AT4" s="2"/>
      <c r="AU4" s="10">
        <f>INDEX(AV11:AV1056,MATCH(AS4,AU11:AU1056,0))</f>
        <v>0.39638888888888885</v>
      </c>
      <c r="AV4" s="25">
        <f>AW3/(AS6*AV9)</f>
        <v>0.57652872202430872</v>
      </c>
      <c r="AW4" s="8" t="s">
        <v>17</v>
      </c>
      <c r="AX4" s="9"/>
      <c r="AY4" s="2">
        <f>ABS(BA3-BA4)/ABS(BC3-BC4)*1000</f>
        <v>12.688511983594791</v>
      </c>
      <c r="AZ4" s="2"/>
      <c r="BA4" s="2">
        <f>INDEX(BC11:BC856,1+MATCH(0,BD11:BD856,-1))</f>
        <v>1.7373700000000001</v>
      </c>
      <c r="BB4" s="2"/>
      <c r="BC4" s="10">
        <f>INDEX(BD11:BD856,MATCH(BA4,BC11:BC856,0))</f>
        <v>-0.22650864197530862</v>
      </c>
      <c r="BD4" s="25">
        <f>BE3/(BA6*BD9)</f>
        <v>0.51676203508662455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8.0626666666666651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7.1659753086419746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7.927037037037036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6.9512222222222224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7.9006666666666652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7.0416543209876536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1.7297793545290447</v>
      </c>
      <c r="J6" s="25"/>
      <c r="K6" s="2">
        <f>INDEX(K11:K1056,MATCH(L6,L11:L1056,0))</f>
        <v>2.6153600000000002E-3</v>
      </c>
      <c r="L6" s="10">
        <f>INDEX(L11:L1056,MATCH(0,K11:K1056,-1))</f>
        <v>10.986333333333333</v>
      </c>
      <c r="M6" s="8" t="s">
        <v>22</v>
      </c>
      <c r="N6" s="9"/>
      <c r="O6" s="2"/>
      <c r="P6" s="2"/>
      <c r="Q6" s="27">
        <f>(Q3-Q4)/(S3-S4)*(-S4)+Q4</f>
        <v>1.7349760264527931</v>
      </c>
      <c r="R6" s="27"/>
      <c r="S6" s="2">
        <f>INDEX(S11:S1056,MATCH(T6,T11:T1056,0))</f>
        <v>-4.4586199999999999E-3</v>
      </c>
      <c r="T6" s="10">
        <f>INDEX(T11:T1056,MATCH(0,S11:S1056,1))</f>
        <v>10.90720987654321</v>
      </c>
      <c r="U6" s="8" t="s">
        <v>22</v>
      </c>
      <c r="X6" s="9"/>
      <c r="Y6" s="2"/>
      <c r="Z6" s="2"/>
      <c r="AA6" s="25">
        <f>(AA3-AA4)/(AC3-AC4)*(-AC4)+AA4</f>
        <v>1.7290923818557826</v>
      </c>
      <c r="AB6" s="25"/>
      <c r="AC6" s="2">
        <f>INDEX(AC11:AC1056,MATCH(AD6,AD11:AD1056,0))</f>
        <v>2.5390600000000001E-3</v>
      </c>
      <c r="AD6" s="10">
        <f>INDEX(AD11:AD1056,MATCH(0,AC11:AC1056,-1))</f>
        <v>10.910975308641973</v>
      </c>
      <c r="AE6" s="8" t="s">
        <v>22</v>
      </c>
      <c r="AF6" s="9"/>
      <c r="AG6" s="2"/>
      <c r="AH6" s="2"/>
      <c r="AI6" s="27">
        <f>(AI3-AI4)/(AK3-AK4)*(-AK4)+AI4</f>
        <v>1.7346219330466675</v>
      </c>
      <c r="AJ6" s="27"/>
      <c r="AK6" s="2">
        <f>INDEX(AK11:AK1056,MATCH(AL6,AL11:AL1056,0))</f>
        <v>-4.5043899999999996E-3</v>
      </c>
      <c r="AL6" s="10">
        <f>INDEX(AL11:AL1056,MATCH(0,AK11:AK1056,1))</f>
        <v>10.873296296296296</v>
      </c>
      <c r="AM6" s="8" t="s">
        <v>22</v>
      </c>
      <c r="AP6" s="9"/>
      <c r="AQ6" s="2"/>
      <c r="AR6" s="2"/>
      <c r="AS6" s="25">
        <f>(AS3-AS4)/(AU3-AU4)*(-AU4)+AS4</f>
        <v>1.7284894158617654</v>
      </c>
      <c r="AT6" s="25"/>
      <c r="AU6" s="2">
        <f>INDEX(AU11:AU1056,MATCH(AV6,AV11:AV1056,0))</f>
        <v>2.5451699999999998E-3</v>
      </c>
      <c r="AV6" s="10">
        <f>INDEX(AV11:AV1056,MATCH(0,AU11:AU1056,-1))</f>
        <v>10.91474074074074</v>
      </c>
      <c r="AW6" s="8" t="s">
        <v>22</v>
      </c>
      <c r="AX6" s="9"/>
      <c r="AY6" s="2"/>
      <c r="AZ6" s="2"/>
      <c r="BA6" s="27">
        <f>(BA3-BA4)/(BC3-BC4)*(-BC4)+BA4</f>
        <v>1.7344959423819086</v>
      </c>
      <c r="BB6" s="27"/>
      <c r="BC6" s="2">
        <f>INDEX(BC11:BC1056,MATCH(BD6,BD11:BD1056,0))</f>
        <v>-4.5166E-3</v>
      </c>
      <c r="BD6" s="10">
        <f>INDEX(BD11:BD1056,MATCH(0,BC11:BC1056,1))</f>
        <v>10.835629629629628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-7.5653099999999996E-3</v>
      </c>
      <c r="L7" s="10">
        <f>INDEX(L11:L856,1+MATCH(0,K11:K856,-1))</f>
        <v>10.986333333333333</v>
      </c>
      <c r="M7" s="12">
        <f>INDEX(K11:K1056,MATCH(M9,M11:M1056,0))</f>
        <v>1.41296</v>
      </c>
      <c r="N7" s="9"/>
      <c r="O7" s="2"/>
      <c r="P7" s="2"/>
      <c r="Q7" s="2"/>
      <c r="R7" s="2"/>
      <c r="S7" s="2">
        <f>INDEX(S11:S1056,MATCH(T7,T11:T1056,0))</f>
        <v>5.7983399999999999E-4</v>
      </c>
      <c r="T7" s="10">
        <f>INDEX(T11:T1056,1+MATCH(0,S11:S1056,1))</f>
        <v>10.880839506172839</v>
      </c>
      <c r="U7" s="12">
        <f>INDEX(S11:S1056,MATCH(U9,U11:U1056,0))</f>
        <v>1.3748199999999999</v>
      </c>
      <c r="X7" s="9"/>
      <c r="Y7" s="2"/>
      <c r="Z7" s="2"/>
      <c r="AA7" s="2"/>
      <c r="AB7" s="2"/>
      <c r="AC7" s="2">
        <f>INDEX(AC11:AC856,MATCH(AD7,AD11:AD856,1))</f>
        <v>-2.5238000000000001E-3</v>
      </c>
      <c r="AD7" s="10">
        <f>INDEX(AD11:AD856,1+MATCH(0,AC11:AC856,-1))</f>
        <v>10.926049382716048</v>
      </c>
      <c r="AE7" s="12">
        <f>INDEX(AC11:AC1056,MATCH(AE9,AE11:AE1056,0))</f>
        <v>1.3864099999999999</v>
      </c>
      <c r="AF7" s="9"/>
      <c r="AG7" s="2"/>
      <c r="AH7" s="2"/>
      <c r="AI7" s="2"/>
      <c r="AJ7" s="2"/>
      <c r="AK7" s="2">
        <f>INDEX(AK11:AK1056,MATCH(AL7,AL11:AL1056,0))</f>
        <v>5.6457499999999999E-4</v>
      </c>
      <c r="AL7" s="10">
        <f>INDEX(AL11:AL1056,1+MATCH(0,AK11:AK1056,1))</f>
        <v>10.84316049382716</v>
      </c>
      <c r="AM7" s="12">
        <f>INDEX(AK11:AK1056,MATCH(AM9,AM11:AM1056,0))</f>
        <v>1.40015</v>
      </c>
      <c r="AP7" s="9"/>
      <c r="AQ7" s="2"/>
      <c r="AR7" s="2"/>
      <c r="AS7" s="2"/>
      <c r="AT7" s="2"/>
      <c r="AU7" s="2">
        <f>INDEX(AU11:AU856,MATCH(AV7,AV11:AV856,1))</f>
        <v>-2.5238000000000001E-3</v>
      </c>
      <c r="AV7" s="10">
        <f>INDEX(AV11:AV856,1+MATCH(0,AU11:AU856,-1))</f>
        <v>10.926049382716048</v>
      </c>
      <c r="AW7" s="12">
        <f>INDEX(AU11:AU1056,MATCH(AW9,AW11:AW1056,0))</f>
        <v>1.3760399999999999</v>
      </c>
      <c r="AX7" s="9"/>
      <c r="AY7" s="2"/>
      <c r="AZ7" s="2"/>
      <c r="BA7" s="2"/>
      <c r="BB7" s="2"/>
      <c r="BC7" s="2">
        <f>INDEX(BC11:BC1056,MATCH(BD7,BD11:BD1056,0))</f>
        <v>5.8593700000000002E-4</v>
      </c>
      <c r="BD7" s="10">
        <f>INDEX(BD11:BD1056,1+MATCH(0,BC11:BC1056,1))</f>
        <v>10.801716049382714</v>
      </c>
      <c r="BE7" s="12">
        <f>INDEX(BC11:BC1056,MATCH(BE9,BE11:BE1056,0))</f>
        <v>1.3745099999999999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13.463874461236392</v>
      </c>
      <c r="J9" s="2"/>
      <c r="K9" s="2"/>
      <c r="L9" s="3">
        <f>(L6-L7)/(K6-K7)*(-K7)+L7</f>
        <v>10.986333333333333</v>
      </c>
      <c r="M9" s="15">
        <f>MAX(M11:M1056)</f>
        <v>11.389806693333332</v>
      </c>
      <c r="N9" s="9"/>
      <c r="O9" s="2"/>
      <c r="P9" s="2"/>
      <c r="Q9" s="2"/>
      <c r="R9" s="2"/>
      <c r="S9" s="2"/>
      <c r="T9" s="3">
        <f>(T6-T7)/(S6-S7)*(-S7)+T7</f>
        <v>10.88387425400091</v>
      </c>
      <c r="U9" s="15">
        <f>MAX(U11:U1056)</f>
        <v>9.8562974187654309</v>
      </c>
      <c r="X9" s="9"/>
      <c r="Y9" s="2"/>
      <c r="Z9" s="2"/>
      <c r="AA9" s="14">
        <f>(MAX(AD2,AL2)-MIN(AD2,AL2))/MAX(AD2,AL2)%</f>
        <v>11.480760184892961</v>
      </c>
      <c r="AB9" s="2"/>
      <c r="AC9" s="2"/>
      <c r="AD9" s="3">
        <f>(AD6-AD7)/(AC6-AC7)*(-AC7)+AD7</f>
        <v>10.918535063112474</v>
      </c>
      <c r="AE9" s="15">
        <f>MAX(AE11:AE1056)</f>
        <v>10.998605348148146</v>
      </c>
      <c r="AF9" s="9"/>
      <c r="AG9" s="2"/>
      <c r="AH9" s="2"/>
      <c r="AI9" s="2"/>
      <c r="AJ9" s="2"/>
      <c r="AK9" s="2"/>
      <c r="AL9" s="3">
        <f>(AL6-AL7)/(AK6-AK7)*(-AK7)+AL7</f>
        <v>10.846516981922662</v>
      </c>
      <c r="AM9" s="15">
        <f>MAX(AM11:AM1056)</f>
        <v>9.7358818444444459</v>
      </c>
      <c r="AP9" s="9"/>
      <c r="AQ9" s="2"/>
      <c r="AR9" s="2"/>
      <c r="AS9" s="14">
        <f>(MAX(AV2,BD2)-MIN(AV2,BD2))/MAX(AV2,BD2)%</f>
        <v>11.000775289518717</v>
      </c>
      <c r="AT9" s="2"/>
      <c r="AU9" s="2"/>
      <c r="AV9" s="3">
        <f>(AV6-AV7)/(AU6-AU7)*(-AU7)+AV7</f>
        <v>10.920418899478372</v>
      </c>
      <c r="AW9" s="15">
        <f>MAX(AW11:AW1056)</f>
        <v>10.882457273333332</v>
      </c>
      <c r="AX9" s="9"/>
      <c r="AY9" s="2"/>
      <c r="AZ9" s="2"/>
      <c r="BA9" s="2"/>
      <c r="BB9" s="2"/>
      <c r="BC9" s="2"/>
      <c r="BD9" s="3">
        <f>(BD6-BD7)/(BC6-BC7)*(-BC7)+BD7</f>
        <v>10.805610430054355</v>
      </c>
      <c r="BE9" s="15">
        <f>MAX(BE11:BE1056)</f>
        <v>9.6853026027160478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1.7297793545290447</v>
      </c>
      <c r="B11" s="18">
        <f>IFERROR(L9,0)</f>
        <v>10.986333333333333</v>
      </c>
      <c r="C11" s="19">
        <f>IFERROR(L4,0)</f>
        <v>0.59933946009347916</v>
      </c>
      <c r="D11" s="20">
        <f>IFERROR(L2,0)</f>
        <v>11.38980669333333</v>
      </c>
      <c r="E11" s="20">
        <f>IFERROR(I9,0)</f>
        <v>13.463874461236392</v>
      </c>
      <c r="F11" s="9"/>
      <c r="G11" s="21">
        <v>1.73492</v>
      </c>
      <c r="H11" s="21">
        <v>5.1053899999999999</v>
      </c>
      <c r="I11" s="21">
        <v>4.1635100000000003E-4</v>
      </c>
      <c r="J11" s="21">
        <v>1</v>
      </c>
      <c r="K11" s="21">
        <v>1.73431</v>
      </c>
      <c r="L11">
        <f>-I11/$F$2*1000</f>
        <v>-0.51401358024691357</v>
      </c>
      <c r="M11">
        <f>L11*G11</f>
        <v>-0.89177244064197525</v>
      </c>
      <c r="N11" s="9"/>
      <c r="O11" s="21">
        <v>-9.49097E-2</v>
      </c>
      <c r="P11" s="21">
        <v>8.8037299999999998</v>
      </c>
      <c r="Q11" s="21">
        <v>-9.8388699999999996E-3</v>
      </c>
      <c r="R11" s="21">
        <v>1</v>
      </c>
      <c r="S11" s="21">
        <v>-9.5336900000000002E-2</v>
      </c>
      <c r="T11">
        <f>-Q11/$F$2*1000</f>
        <v>12.146753086419752</v>
      </c>
      <c r="U11">
        <f>T11*O11</f>
        <v>-1.1528446914061727</v>
      </c>
      <c r="V11" s="22"/>
      <c r="W11" s="23"/>
      <c r="X11" s="9"/>
      <c r="Y11" s="21">
        <v>1.73492</v>
      </c>
      <c r="Z11" s="21">
        <v>14.240600000000001</v>
      </c>
      <c r="AA11" s="21">
        <v>3.9337200000000001E-4</v>
      </c>
      <c r="AB11" s="21">
        <v>1</v>
      </c>
      <c r="AC11" s="21">
        <v>1.7337</v>
      </c>
      <c r="AD11">
        <f>-AA11/$F$2*1000</f>
        <v>-0.48564444444444443</v>
      </c>
      <c r="AE11">
        <f>AD11*Y11</f>
        <v>-0.84255425955555552</v>
      </c>
      <c r="AF11" s="9"/>
      <c r="AG11" s="21">
        <v>-9.49097E-2</v>
      </c>
      <c r="AH11" s="21">
        <v>17.9389</v>
      </c>
      <c r="AI11" s="21">
        <v>-9.7564699999999997E-3</v>
      </c>
      <c r="AJ11" s="21">
        <v>1</v>
      </c>
      <c r="AK11" s="21">
        <v>-9.5336900000000002E-2</v>
      </c>
      <c r="AL11">
        <f>-AI11/$F$2*1000</f>
        <v>12.045024691358025</v>
      </c>
      <c r="AM11">
        <f>AL11*AG11</f>
        <v>-1.1431896799493828</v>
      </c>
      <c r="AP11" s="9"/>
      <c r="AQ11" s="21">
        <v>1.73492</v>
      </c>
      <c r="AR11" s="21">
        <v>23.302800000000001</v>
      </c>
      <c r="AS11" s="21">
        <v>4.6453899999999998E-4</v>
      </c>
      <c r="AT11" s="21">
        <v>1</v>
      </c>
      <c r="AU11" s="21">
        <v>1.7340100000000001</v>
      </c>
      <c r="AV11">
        <f>-AS11/$F$2*1000</f>
        <v>-0.57350493827160487</v>
      </c>
      <c r="AW11">
        <f>AV11*AQ11</f>
        <v>-0.99498518750617271</v>
      </c>
      <c r="AX11" s="9"/>
      <c r="AY11" s="21">
        <v>-9.49097E-2</v>
      </c>
      <c r="AZ11" s="21">
        <v>27.001200000000001</v>
      </c>
      <c r="BA11" s="21">
        <v>-9.7839399999999997E-3</v>
      </c>
      <c r="BB11" s="21">
        <v>1</v>
      </c>
      <c r="BC11" s="21">
        <v>-9.5397899999999994E-2</v>
      </c>
      <c r="BD11">
        <f>-BA11/$F$2*1000</f>
        <v>12.078938271604937</v>
      </c>
      <c r="BE11">
        <f>BD11*AY11</f>
        <v>-1.1464084076765431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1.7349760264527931</v>
      </c>
      <c r="B12" s="18">
        <f>IFERROR(T9,0)</f>
        <v>10.88387425400091</v>
      </c>
      <c r="C12" s="19">
        <f>IFERROR(T4,0)</f>
        <v>0.52195949989934609</v>
      </c>
      <c r="D12" s="20">
        <f>IFERROR(T2,0)</f>
        <v>9.8562974187654309</v>
      </c>
      <c r="E12" s="20"/>
      <c r="F12" s="9"/>
      <c r="G12" s="21">
        <v>1.7298899999999999</v>
      </c>
      <c r="H12" s="21">
        <v>5.1154599999999997</v>
      </c>
      <c r="I12" s="24">
        <v>-3.2104499999999997E-5</v>
      </c>
      <c r="J12" s="21">
        <v>2</v>
      </c>
      <c r="K12" s="21">
        <v>1.72943</v>
      </c>
      <c r="L12">
        <f t="shared" ref="L12:L75" si="0">-I12/$F$2*1000</f>
        <v>3.9635185185185183E-2</v>
      </c>
      <c r="M12">
        <f t="shared" ref="M12:M75" si="1">L12*G12</f>
        <v>6.8564510499999995E-2</v>
      </c>
      <c r="N12" s="9"/>
      <c r="O12" s="21">
        <v>-8.9874300000000004E-2</v>
      </c>
      <c r="P12" s="21">
        <v>8.8138000000000005</v>
      </c>
      <c r="Q12" s="21">
        <v>-9.6862800000000002E-3</v>
      </c>
      <c r="R12" s="21">
        <v>2</v>
      </c>
      <c r="S12" s="21">
        <v>-9.0331999999999996E-2</v>
      </c>
      <c r="T12">
        <f t="shared" ref="T12:T75" si="2">-Q12/$F$2*1000</f>
        <v>11.958370370370369</v>
      </c>
      <c r="U12">
        <f t="shared" ref="U12:U75" si="3">T12*O12</f>
        <v>-1.0747501661777776</v>
      </c>
      <c r="V12" s="22"/>
      <c r="W12" s="23"/>
      <c r="X12" s="9"/>
      <c r="Y12" s="21">
        <v>1.7298899999999999</v>
      </c>
      <c r="Z12" s="21">
        <v>14.2507</v>
      </c>
      <c r="AA12" s="24">
        <v>-2.3254399999999999E-5</v>
      </c>
      <c r="AB12" s="21">
        <v>2</v>
      </c>
      <c r="AC12" s="21">
        <v>1.72882</v>
      </c>
      <c r="AD12">
        <f t="shared" ref="AD12:AD75" si="4">-AA12/$F$2*1000</f>
        <v>2.8709135802469133E-2</v>
      </c>
      <c r="AE12">
        <f t="shared" ref="AE12:AE75" si="5">AD12*Y12</f>
        <v>4.9663646933333326E-2</v>
      </c>
      <c r="AF12" s="9"/>
      <c r="AG12" s="21">
        <v>-8.9874300000000004E-2</v>
      </c>
      <c r="AH12" s="21">
        <v>17.949000000000002</v>
      </c>
      <c r="AI12" s="21">
        <v>-9.6038800000000004E-3</v>
      </c>
      <c r="AJ12" s="21">
        <v>2</v>
      </c>
      <c r="AK12" s="21">
        <v>-9.0393100000000004E-2</v>
      </c>
      <c r="AL12">
        <f t="shared" ref="AL12:AL75" si="6">-AI12/$F$2*1000</f>
        <v>11.856641975308643</v>
      </c>
      <c r="AM12">
        <f t="shared" ref="AM12:AM75" si="7">AL12*AG12</f>
        <v>-1.0656073978814815</v>
      </c>
      <c r="AP12" s="9"/>
      <c r="AQ12" s="21">
        <v>1.7298899999999999</v>
      </c>
      <c r="AR12" s="21">
        <v>23.312899999999999</v>
      </c>
      <c r="AS12" s="24">
        <v>4.8400899999999999E-5</v>
      </c>
      <c r="AT12" s="21">
        <v>2</v>
      </c>
      <c r="AU12" s="21">
        <v>1.7291300000000001</v>
      </c>
      <c r="AV12">
        <f t="shared" ref="AV12:AV75" si="8">-AS12/$F$2*1000</f>
        <v>-5.9754197530864195E-2</v>
      </c>
      <c r="AW12">
        <f t="shared" ref="AW12:AW75" si="9">AV12*AQ12</f>
        <v>-0.10336818876666666</v>
      </c>
      <c r="AX12" s="9"/>
      <c r="AY12" s="21">
        <v>-8.9874300000000004E-2</v>
      </c>
      <c r="AZ12" s="21">
        <v>27.011199999999999</v>
      </c>
      <c r="BA12" s="21">
        <v>-9.61914E-3</v>
      </c>
      <c r="BB12" s="21">
        <v>2</v>
      </c>
      <c r="BC12" s="21">
        <v>-9.0362499999999998E-2</v>
      </c>
      <c r="BD12">
        <f t="shared" ref="BD12:BD75" si="10">-BA12/$F$2*1000</f>
        <v>11.875481481481479</v>
      </c>
      <c r="BE12">
        <f t="shared" ref="BE12:BE75" si="11">BD12*AY12</f>
        <v>-1.067300585311111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1.7290923818557826</v>
      </c>
      <c r="B13" s="18">
        <f>IFERROR(AD9,0)</f>
        <v>10.918535063112474</v>
      </c>
      <c r="C13" s="19">
        <f>IFERROR(AD4,0)</f>
        <v>0.58257929885471182</v>
      </c>
      <c r="D13" s="20">
        <f>IFERROR(AD2,0)</f>
        <v>10.998605348148146</v>
      </c>
      <c r="E13" s="20">
        <f>IFERROR(AA9,0)</f>
        <v>11.480760184892961</v>
      </c>
      <c r="F13" s="9"/>
      <c r="G13" s="21">
        <v>1.72485</v>
      </c>
      <c r="H13" s="21">
        <v>5.1255300000000004</v>
      </c>
      <c r="I13" s="21">
        <v>-4.3591300000000001E-4</v>
      </c>
      <c r="J13" s="21">
        <v>3</v>
      </c>
      <c r="K13" s="21">
        <v>1.72424</v>
      </c>
      <c r="L13">
        <f t="shared" si="0"/>
        <v>0.5381641975308642</v>
      </c>
      <c r="M13">
        <f t="shared" si="1"/>
        <v>0.92825251611111115</v>
      </c>
      <c r="N13" s="9"/>
      <c r="O13" s="21">
        <v>-8.4838899999999995E-2</v>
      </c>
      <c r="P13" s="21">
        <v>8.8238699999999994</v>
      </c>
      <c r="Q13" s="21">
        <v>-9.5764200000000004E-3</v>
      </c>
      <c r="R13" s="21">
        <v>3</v>
      </c>
      <c r="S13" s="21">
        <v>-8.52966E-2</v>
      </c>
      <c r="T13">
        <f t="shared" si="2"/>
        <v>11.822740740740741</v>
      </c>
      <c r="U13">
        <f t="shared" si="3"/>
        <v>-1.0030283194296297</v>
      </c>
      <c r="V13" s="22"/>
      <c r="W13" s="23"/>
      <c r="X13" s="9"/>
      <c r="Y13" s="21">
        <v>1.72485</v>
      </c>
      <c r="Z13" s="21">
        <v>14.2607</v>
      </c>
      <c r="AA13" s="21">
        <v>-3.8784799999999999E-4</v>
      </c>
      <c r="AB13" s="21">
        <v>3</v>
      </c>
      <c r="AC13" s="21">
        <v>1.72333</v>
      </c>
      <c r="AD13">
        <f t="shared" si="4"/>
        <v>0.47882469135802463</v>
      </c>
      <c r="AE13">
        <f t="shared" si="5"/>
        <v>0.82590076888888875</v>
      </c>
      <c r="AF13" s="9"/>
      <c r="AG13" s="21">
        <v>-8.4838899999999995E-2</v>
      </c>
      <c r="AH13" s="21">
        <v>17.959099999999999</v>
      </c>
      <c r="AI13" s="21">
        <v>-9.4879200000000004E-3</v>
      </c>
      <c r="AJ13" s="21">
        <v>3</v>
      </c>
      <c r="AK13" s="21">
        <v>-8.5327100000000003E-2</v>
      </c>
      <c r="AL13">
        <f t="shared" si="6"/>
        <v>11.71348148148148</v>
      </c>
      <c r="AM13">
        <f t="shared" si="7"/>
        <v>-0.99375888405925905</v>
      </c>
      <c r="AP13" s="9"/>
      <c r="AQ13" s="21">
        <v>1.72485</v>
      </c>
      <c r="AR13" s="21">
        <v>23.322900000000001</v>
      </c>
      <c r="AS13" s="21">
        <v>-3.2107499999999998E-4</v>
      </c>
      <c r="AT13" s="21">
        <v>3</v>
      </c>
      <c r="AU13" s="21">
        <v>1.72424</v>
      </c>
      <c r="AV13">
        <f t="shared" si="8"/>
        <v>0.39638888888888885</v>
      </c>
      <c r="AW13">
        <f t="shared" si="9"/>
        <v>0.6837113749999999</v>
      </c>
      <c r="AX13" s="9"/>
      <c r="AY13" s="21">
        <v>-8.4838899999999995E-2</v>
      </c>
      <c r="AZ13" s="21">
        <v>27.0213</v>
      </c>
      <c r="BA13" s="21">
        <v>-9.5062299999999992E-3</v>
      </c>
      <c r="BB13" s="21">
        <v>3</v>
      </c>
      <c r="BC13" s="21">
        <v>-8.5266099999999997E-2</v>
      </c>
      <c r="BD13">
        <f t="shared" si="10"/>
        <v>11.736086419753084</v>
      </c>
      <c r="BE13">
        <f t="shared" si="11"/>
        <v>-0.99567666215678985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1.7346219330466675</v>
      </c>
      <c r="B14" s="18">
        <f>IFERROR(AL9,0)</f>
        <v>10.846516981922662</v>
      </c>
      <c r="C14" s="19">
        <f>IFERROR(AL4,0)</f>
        <v>0.51746402305769146</v>
      </c>
      <c r="D14" s="20">
        <f>IFERROR(AL2,0)</f>
        <v>9.7358818444444459</v>
      </c>
      <c r="E14" s="20"/>
      <c r="F14" s="9"/>
      <c r="G14" s="21">
        <v>1.7198199999999999</v>
      </c>
      <c r="H14" s="21">
        <v>5.1356099999999998</v>
      </c>
      <c r="I14" s="21">
        <v>-7.8308100000000003E-4</v>
      </c>
      <c r="J14" s="21">
        <v>4</v>
      </c>
      <c r="K14" s="21">
        <v>1.71906</v>
      </c>
      <c r="L14">
        <f t="shared" si="0"/>
        <v>0.96676666666666666</v>
      </c>
      <c r="M14">
        <f t="shared" si="1"/>
        <v>1.6626646486666665</v>
      </c>
      <c r="N14" s="9"/>
      <c r="O14" s="21">
        <v>-7.9803499999999999E-2</v>
      </c>
      <c r="P14" s="21">
        <v>8.8339400000000001</v>
      </c>
      <c r="Q14" s="21">
        <v>-9.4879200000000004E-3</v>
      </c>
      <c r="R14" s="21">
        <v>4</v>
      </c>
      <c r="S14" s="21">
        <v>-8.0322299999999999E-2</v>
      </c>
      <c r="T14">
        <f t="shared" si="2"/>
        <v>11.71348148148148</v>
      </c>
      <c r="U14">
        <f t="shared" si="3"/>
        <v>-0.93477681940740731</v>
      </c>
      <c r="V14" s="22"/>
      <c r="W14" s="23"/>
      <c r="X14" s="9"/>
      <c r="Y14" s="21">
        <v>1.7198199999999999</v>
      </c>
      <c r="Z14" s="21">
        <v>14.270799999999999</v>
      </c>
      <c r="AA14" s="21">
        <v>-7.1441699999999996E-4</v>
      </c>
      <c r="AB14" s="21">
        <v>4</v>
      </c>
      <c r="AC14" s="21">
        <v>1.71906</v>
      </c>
      <c r="AD14">
        <f t="shared" si="4"/>
        <v>0.88199629629629617</v>
      </c>
      <c r="AE14">
        <f t="shared" si="5"/>
        <v>1.516874870296296</v>
      </c>
      <c r="AF14" s="9"/>
      <c r="AG14" s="21">
        <v>-7.9803499999999999E-2</v>
      </c>
      <c r="AH14" s="21">
        <v>17.969200000000001</v>
      </c>
      <c r="AI14" s="21">
        <v>-9.38721E-3</v>
      </c>
      <c r="AJ14" s="21">
        <v>4</v>
      </c>
      <c r="AK14" s="21">
        <v>-8.0261200000000005E-2</v>
      </c>
      <c r="AL14">
        <f t="shared" si="6"/>
        <v>11.589148148148148</v>
      </c>
      <c r="AM14">
        <f t="shared" si="7"/>
        <v>-0.92485458424074074</v>
      </c>
      <c r="AP14" s="9"/>
      <c r="AQ14" s="21">
        <v>1.7198199999999999</v>
      </c>
      <c r="AR14" s="21">
        <v>23.332999999999998</v>
      </c>
      <c r="AS14" s="21">
        <v>-6.5429699999999997E-4</v>
      </c>
      <c r="AT14" s="21">
        <v>4</v>
      </c>
      <c r="AU14" s="21">
        <v>1.71936</v>
      </c>
      <c r="AV14">
        <f t="shared" si="8"/>
        <v>0.80777407407407398</v>
      </c>
      <c r="AW14">
        <f t="shared" si="9"/>
        <v>1.3892260080740739</v>
      </c>
      <c r="AX14" s="9"/>
      <c r="AY14" s="21">
        <v>-7.9803499999999999E-2</v>
      </c>
      <c r="AZ14" s="21">
        <v>27.031400000000001</v>
      </c>
      <c r="BA14" s="21">
        <v>-9.4116200000000007E-3</v>
      </c>
      <c r="BB14" s="21">
        <v>4</v>
      </c>
      <c r="BC14" s="21">
        <v>-8.0261200000000005E-2</v>
      </c>
      <c r="BD14">
        <f t="shared" si="10"/>
        <v>11.619283950617284</v>
      </c>
      <c r="BE14">
        <f t="shared" si="11"/>
        <v>-0.92725952675308643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1.7284894158617654</v>
      </c>
      <c r="B15" s="18">
        <f>IFERROR(AV9,0)</f>
        <v>10.920418899478372</v>
      </c>
      <c r="C15" s="19">
        <f>IFERROR(AV4,0)</f>
        <v>0.57652872202430872</v>
      </c>
      <c r="D15" s="20">
        <f>IFERROR(AV2,0)</f>
        <v>10.882457273333332</v>
      </c>
      <c r="E15" s="20">
        <f>IFERROR(AS9,0)</f>
        <v>11.000775289518717</v>
      </c>
      <c r="F15" s="9"/>
      <c r="G15" s="21">
        <v>1.71478</v>
      </c>
      <c r="H15" s="21">
        <v>5.1456799999999996</v>
      </c>
      <c r="I15" s="21">
        <v>-1.0980199999999999E-3</v>
      </c>
      <c r="J15" s="21">
        <v>5</v>
      </c>
      <c r="K15" s="21">
        <v>1.71417</v>
      </c>
      <c r="L15">
        <f t="shared" si="0"/>
        <v>1.35558024691358</v>
      </c>
      <c r="M15">
        <f t="shared" si="1"/>
        <v>2.3245218958024689</v>
      </c>
      <c r="N15" s="9"/>
      <c r="O15" s="21">
        <v>-7.4768100000000004E-2</v>
      </c>
      <c r="P15" s="21">
        <v>8.8440100000000008</v>
      </c>
      <c r="Q15" s="21">
        <v>-9.4116200000000007E-3</v>
      </c>
      <c r="R15" s="21">
        <v>5</v>
      </c>
      <c r="S15" s="21">
        <v>-7.5103799999999998E-2</v>
      </c>
      <c r="T15">
        <f t="shared" si="2"/>
        <v>11.619283950617284</v>
      </c>
      <c r="U15">
        <f t="shared" si="3"/>
        <v>-0.86875178434814815</v>
      </c>
      <c r="V15" s="22"/>
      <c r="W15" s="23"/>
      <c r="X15" s="9"/>
      <c r="Y15" s="21">
        <v>1.71478</v>
      </c>
      <c r="Z15" s="21">
        <v>14.280900000000001</v>
      </c>
      <c r="AA15" s="21">
        <v>-1.0177599999999999E-3</v>
      </c>
      <c r="AB15" s="21">
        <v>5</v>
      </c>
      <c r="AC15" s="21">
        <v>1.71387</v>
      </c>
      <c r="AD15">
        <f t="shared" si="4"/>
        <v>1.2564938271604937</v>
      </c>
      <c r="AE15">
        <f t="shared" si="5"/>
        <v>2.1546104849382712</v>
      </c>
      <c r="AF15" s="9"/>
      <c r="AG15" s="21">
        <v>-7.4768100000000004E-2</v>
      </c>
      <c r="AH15" s="21">
        <v>17.979199999999999</v>
      </c>
      <c r="AI15" s="21">
        <v>-9.3139599999999996E-3</v>
      </c>
      <c r="AJ15" s="21">
        <v>5</v>
      </c>
      <c r="AK15" s="21">
        <v>-7.5134300000000001E-2</v>
      </c>
      <c r="AL15">
        <f t="shared" si="6"/>
        <v>11.498716049382715</v>
      </c>
      <c r="AM15">
        <f t="shared" si="7"/>
        <v>-0.85973715145185181</v>
      </c>
      <c r="AP15" s="9"/>
      <c r="AQ15" s="21">
        <v>1.71478</v>
      </c>
      <c r="AR15" s="21">
        <v>23.3431</v>
      </c>
      <c r="AS15" s="21">
        <v>-9.5764199999999998E-4</v>
      </c>
      <c r="AT15" s="21">
        <v>5</v>
      </c>
      <c r="AU15" s="21">
        <v>1.71417</v>
      </c>
      <c r="AV15">
        <f t="shared" si="8"/>
        <v>1.182274074074074</v>
      </c>
      <c r="AW15">
        <f t="shared" si="9"/>
        <v>2.0273399367407405</v>
      </c>
      <c r="AX15" s="9"/>
      <c r="AY15" s="21">
        <v>-7.4768100000000004E-2</v>
      </c>
      <c r="AZ15" s="21">
        <v>27.041399999999999</v>
      </c>
      <c r="BA15" s="21">
        <v>-9.3261699999999999E-3</v>
      </c>
      <c r="BB15" s="21">
        <v>5</v>
      </c>
      <c r="BC15" s="21">
        <v>-7.5164800000000004E-2</v>
      </c>
      <c r="BD15">
        <f t="shared" si="10"/>
        <v>11.51379012345679</v>
      </c>
      <c r="BE15">
        <f t="shared" si="11"/>
        <v>-0.86086421132962965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1.7344959423819086</v>
      </c>
      <c r="B16" s="18">
        <f>IFERROR(BD9,0)</f>
        <v>10.805610430054355</v>
      </c>
      <c r="C16" s="19">
        <f>IFERROR(BD4,0)</f>
        <v>0.51676203508662455</v>
      </c>
      <c r="D16" s="20">
        <f>IFERROR(BD2,0)</f>
        <v>9.685302602716046</v>
      </c>
      <c r="E16" s="20"/>
      <c r="F16" s="9"/>
      <c r="G16" s="21">
        <v>1.7097500000000001</v>
      </c>
      <c r="H16" s="21">
        <v>5.1557500000000003</v>
      </c>
      <c r="I16" s="21">
        <v>-1.3903800000000001E-3</v>
      </c>
      <c r="J16" s="21">
        <v>6</v>
      </c>
      <c r="K16" s="21">
        <v>1.7089799999999999</v>
      </c>
      <c r="L16">
        <f t="shared" si="0"/>
        <v>1.7165185185185186</v>
      </c>
      <c r="M16">
        <f t="shared" si="1"/>
        <v>2.9348175370370373</v>
      </c>
      <c r="N16" s="9"/>
      <c r="O16" s="21">
        <v>-6.9732699999999995E-2</v>
      </c>
      <c r="P16" s="21">
        <v>8.8540799999999997</v>
      </c>
      <c r="Q16" s="21">
        <v>-9.3475299999999997E-3</v>
      </c>
      <c r="R16" s="21">
        <v>6</v>
      </c>
      <c r="S16" s="21">
        <v>-7.0220900000000003E-2</v>
      </c>
      <c r="T16">
        <f t="shared" si="2"/>
        <v>11.540160493827159</v>
      </c>
      <c r="U16">
        <f t="shared" si="3"/>
        <v>-0.80472654966790103</v>
      </c>
      <c r="V16" s="22"/>
      <c r="W16" s="23"/>
      <c r="X16" s="9"/>
      <c r="Y16" s="21">
        <v>1.7097500000000001</v>
      </c>
      <c r="Z16" s="21">
        <v>14.291</v>
      </c>
      <c r="AA16" s="21">
        <v>-1.2966900000000001E-3</v>
      </c>
      <c r="AB16" s="21">
        <v>6</v>
      </c>
      <c r="AC16" s="21">
        <v>1.7083699999999999</v>
      </c>
      <c r="AD16">
        <f t="shared" si="4"/>
        <v>1.6008518518518517</v>
      </c>
      <c r="AE16">
        <f t="shared" si="5"/>
        <v>2.7370564537037039</v>
      </c>
      <c r="AF16" s="9"/>
      <c r="AG16" s="21">
        <v>-6.9732699999999995E-2</v>
      </c>
      <c r="AH16" s="21">
        <v>17.9893</v>
      </c>
      <c r="AI16" s="21">
        <v>-9.2559800000000005E-3</v>
      </c>
      <c r="AJ16" s="21">
        <v>6</v>
      </c>
      <c r="AK16" s="21">
        <v>-7.0159899999999997E-2</v>
      </c>
      <c r="AL16">
        <f t="shared" si="6"/>
        <v>11.427135802469136</v>
      </c>
      <c r="AM16">
        <f t="shared" si="7"/>
        <v>-0.79684503277283947</v>
      </c>
      <c r="AP16" s="9"/>
      <c r="AQ16" s="21">
        <v>1.7097500000000001</v>
      </c>
      <c r="AR16" s="21">
        <v>23.353100000000001</v>
      </c>
      <c r="AS16" s="21">
        <v>-1.2310800000000001E-3</v>
      </c>
      <c r="AT16" s="21">
        <v>6</v>
      </c>
      <c r="AU16" s="21">
        <v>1.7089799999999999</v>
      </c>
      <c r="AV16">
        <f t="shared" si="8"/>
        <v>1.5198518518518518</v>
      </c>
      <c r="AW16">
        <f t="shared" si="9"/>
        <v>2.5985667037037037</v>
      </c>
      <c r="AX16" s="9"/>
      <c r="AY16" s="21">
        <v>-6.9732699999999995E-2</v>
      </c>
      <c r="AZ16" s="21">
        <v>27.051500000000001</v>
      </c>
      <c r="BA16" s="21">
        <v>-9.2620800000000007E-3</v>
      </c>
      <c r="BB16" s="21">
        <v>6</v>
      </c>
      <c r="BC16" s="21">
        <v>-7.0159899999999997E-2</v>
      </c>
      <c r="BD16">
        <f t="shared" si="10"/>
        <v>11.434666666666667</v>
      </c>
      <c r="BE16">
        <f t="shared" si="11"/>
        <v>-0.79737018026666662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1.7047099999999999</v>
      </c>
      <c r="H17" s="21">
        <v>5.1658200000000001</v>
      </c>
      <c r="I17" s="21">
        <v>-1.6570999999999999E-3</v>
      </c>
      <c r="J17" s="21">
        <v>7</v>
      </c>
      <c r="K17" s="21">
        <v>1.7034899999999999</v>
      </c>
      <c r="L17">
        <f t="shared" si="0"/>
        <v>2.0458024691358019</v>
      </c>
      <c r="M17">
        <f t="shared" si="1"/>
        <v>3.4874999271604925</v>
      </c>
      <c r="N17" s="9"/>
      <c r="O17" s="21">
        <v>-6.4697299999999999E-2</v>
      </c>
      <c r="P17" s="21">
        <v>8.86416</v>
      </c>
      <c r="Q17" s="21">
        <v>-9.2864999999999996E-3</v>
      </c>
      <c r="R17" s="21">
        <v>7</v>
      </c>
      <c r="S17" s="21">
        <v>-6.5063499999999996E-2</v>
      </c>
      <c r="T17">
        <f t="shared" si="2"/>
        <v>11.464814814814813</v>
      </c>
      <c r="U17">
        <f t="shared" si="3"/>
        <v>-0.74174256351851842</v>
      </c>
      <c r="V17" s="22"/>
      <c r="W17" s="23"/>
      <c r="X17" s="9"/>
      <c r="Y17" s="21">
        <v>1.7047099999999999</v>
      </c>
      <c r="Z17" s="21">
        <v>14.301</v>
      </c>
      <c r="AA17" s="21">
        <v>-1.5506000000000001E-3</v>
      </c>
      <c r="AB17" s="21">
        <v>7</v>
      </c>
      <c r="AC17" s="21">
        <v>1.7040999999999999</v>
      </c>
      <c r="AD17">
        <f t="shared" si="4"/>
        <v>1.914320987654321</v>
      </c>
      <c r="AE17">
        <f t="shared" si="5"/>
        <v>3.2633621308641976</v>
      </c>
      <c r="AF17" s="9"/>
      <c r="AG17" s="21">
        <v>-6.4697299999999999E-2</v>
      </c>
      <c r="AH17" s="21">
        <v>17.999400000000001</v>
      </c>
      <c r="AI17" s="21">
        <v>-9.2040999999999998E-3</v>
      </c>
      <c r="AJ17" s="21">
        <v>7</v>
      </c>
      <c r="AK17" s="21">
        <v>-6.5093999999999999E-2</v>
      </c>
      <c r="AL17">
        <f t="shared" si="6"/>
        <v>11.363086419753087</v>
      </c>
      <c r="AM17">
        <f t="shared" si="7"/>
        <v>-0.73516101102469134</v>
      </c>
      <c r="AP17" s="9"/>
      <c r="AQ17" s="21">
        <v>1.7047099999999999</v>
      </c>
      <c r="AR17" s="21">
        <v>23.363199999999999</v>
      </c>
      <c r="AS17" s="21">
        <v>-1.4831499999999999E-3</v>
      </c>
      <c r="AT17" s="21">
        <v>7</v>
      </c>
      <c r="AU17" s="21">
        <v>1.70441</v>
      </c>
      <c r="AV17">
        <f t="shared" si="8"/>
        <v>1.8310493827160492</v>
      </c>
      <c r="AW17">
        <f t="shared" si="9"/>
        <v>3.1214081932098763</v>
      </c>
      <c r="AX17" s="9"/>
      <c r="AY17" s="21">
        <v>-6.4697299999999999E-2</v>
      </c>
      <c r="AZ17" s="21">
        <v>27.061599999999999</v>
      </c>
      <c r="BA17" s="21">
        <v>-9.2010500000000005E-3</v>
      </c>
      <c r="BB17" s="21">
        <v>7</v>
      </c>
      <c r="BC17" s="21">
        <v>-6.5124500000000002E-2</v>
      </c>
      <c r="BD17">
        <f t="shared" si="10"/>
        <v>11.35932098765432</v>
      </c>
      <c r="BE17">
        <f t="shared" si="11"/>
        <v>-0.73491739773456777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1.6996800000000001</v>
      </c>
      <c r="H18" s="21">
        <v>5.1758899999999999</v>
      </c>
      <c r="I18" s="21">
        <v>-1.8991100000000001E-3</v>
      </c>
      <c r="J18" s="21">
        <v>8</v>
      </c>
      <c r="K18" s="21">
        <v>1.69861</v>
      </c>
      <c r="L18">
        <f t="shared" si="0"/>
        <v>2.3445802469135799</v>
      </c>
      <c r="M18">
        <f t="shared" si="1"/>
        <v>3.9850361540740735</v>
      </c>
      <c r="N18" s="9"/>
      <c r="O18" s="21">
        <v>-5.9661899999999997E-2</v>
      </c>
      <c r="P18" s="21">
        <v>8.8742300000000007</v>
      </c>
      <c r="Q18" s="21">
        <v>-9.2315699999999997E-3</v>
      </c>
      <c r="R18" s="21">
        <v>8</v>
      </c>
      <c r="S18" s="21">
        <v>-6.0089099999999999E-2</v>
      </c>
      <c r="T18">
        <f t="shared" si="2"/>
        <v>11.396999999999998</v>
      </c>
      <c r="U18">
        <f t="shared" si="3"/>
        <v>-0.67996667429999991</v>
      </c>
      <c r="V18" s="22"/>
      <c r="W18" s="23"/>
      <c r="X18" s="9"/>
      <c r="Y18" s="21">
        <v>1.6996800000000001</v>
      </c>
      <c r="Z18" s="21">
        <v>14.3111</v>
      </c>
      <c r="AA18" s="21">
        <v>-1.7803999999999999E-3</v>
      </c>
      <c r="AB18" s="21">
        <v>8</v>
      </c>
      <c r="AC18" s="21">
        <v>1.6989099999999999</v>
      </c>
      <c r="AD18">
        <f t="shared" si="4"/>
        <v>2.1980246913580244</v>
      </c>
      <c r="AE18">
        <f t="shared" si="5"/>
        <v>3.735938607407407</v>
      </c>
      <c r="AF18" s="9"/>
      <c r="AG18" s="21">
        <v>-5.9661899999999997E-2</v>
      </c>
      <c r="AH18" s="21">
        <v>18.009399999999999</v>
      </c>
      <c r="AI18" s="21">
        <v>-9.1522200000000008E-3</v>
      </c>
      <c r="AJ18" s="21">
        <v>8</v>
      </c>
      <c r="AK18" s="21">
        <v>-6.0058599999999997E-2</v>
      </c>
      <c r="AL18">
        <f t="shared" si="6"/>
        <v>11.299037037037039</v>
      </c>
      <c r="AM18">
        <f t="shared" si="7"/>
        <v>-0.67412201780000003</v>
      </c>
      <c r="AP18" s="9"/>
      <c r="AQ18" s="21">
        <v>1.6996800000000001</v>
      </c>
      <c r="AR18" s="21">
        <v>23.3733</v>
      </c>
      <c r="AS18" s="21">
        <v>-1.7181399999999999E-3</v>
      </c>
      <c r="AT18" s="21">
        <v>8</v>
      </c>
      <c r="AU18" s="21">
        <v>1.6989099999999999</v>
      </c>
      <c r="AV18">
        <f t="shared" si="8"/>
        <v>2.1211604938271602</v>
      </c>
      <c r="AW18">
        <f t="shared" si="9"/>
        <v>3.6052940681481478</v>
      </c>
      <c r="AX18" s="9"/>
      <c r="AY18" s="21">
        <v>-5.9661899999999997E-2</v>
      </c>
      <c r="AZ18" s="21">
        <v>27.0717</v>
      </c>
      <c r="BA18" s="21">
        <v>-9.1522200000000008E-3</v>
      </c>
      <c r="BB18" s="21">
        <v>8</v>
      </c>
      <c r="BC18" s="21">
        <v>-6.0058599999999997E-2</v>
      </c>
      <c r="BD18">
        <f t="shared" si="10"/>
        <v>11.299037037037039</v>
      </c>
      <c r="BE18">
        <f t="shared" si="11"/>
        <v>-0.67412201780000003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1.6946399999999999</v>
      </c>
      <c r="H19" s="21">
        <v>5.1859599999999997</v>
      </c>
      <c r="I19" s="21">
        <v>-2.1316500000000001E-3</v>
      </c>
      <c r="J19" s="21">
        <v>9</v>
      </c>
      <c r="K19" s="21">
        <v>1.6934199999999999</v>
      </c>
      <c r="L19">
        <f t="shared" si="0"/>
        <v>2.6316666666666668</v>
      </c>
      <c r="M19">
        <f t="shared" si="1"/>
        <v>4.4597275999999999</v>
      </c>
      <c r="N19" s="9"/>
      <c r="O19" s="21">
        <v>-5.4626500000000001E-2</v>
      </c>
      <c r="P19" s="21">
        <v>8.8842999999999996</v>
      </c>
      <c r="Q19" s="21">
        <v>-9.18274E-3</v>
      </c>
      <c r="R19" s="21">
        <v>9</v>
      </c>
      <c r="S19" s="21">
        <v>-5.5023200000000001E-2</v>
      </c>
      <c r="T19">
        <f t="shared" si="2"/>
        <v>11.336716049382716</v>
      </c>
      <c r="U19">
        <f t="shared" si="3"/>
        <v>-0.6192851192716049</v>
      </c>
      <c r="V19" s="22"/>
      <c r="W19" s="23"/>
      <c r="X19" s="9"/>
      <c r="Y19" s="21">
        <v>1.6946399999999999</v>
      </c>
      <c r="Z19" s="21">
        <v>14.321199999999999</v>
      </c>
      <c r="AA19" s="21">
        <v>-1.9970700000000001E-3</v>
      </c>
      <c r="AB19" s="21">
        <v>9</v>
      </c>
      <c r="AC19" s="21">
        <v>1.69373</v>
      </c>
      <c r="AD19">
        <f t="shared" si="4"/>
        <v>2.4655185185185182</v>
      </c>
      <c r="AE19">
        <f t="shared" si="5"/>
        <v>4.1781663022222215</v>
      </c>
      <c r="AF19" s="9"/>
      <c r="AG19" s="21">
        <v>-5.4626500000000001E-2</v>
      </c>
      <c r="AH19" s="21">
        <v>18.019500000000001</v>
      </c>
      <c r="AI19" s="21">
        <v>-9.1033899999999994E-3</v>
      </c>
      <c r="AJ19" s="21">
        <v>9</v>
      </c>
      <c r="AK19" s="21">
        <v>-5.50842E-2</v>
      </c>
      <c r="AL19">
        <f t="shared" si="6"/>
        <v>11.238753086419752</v>
      </c>
      <c r="AM19">
        <f t="shared" si="7"/>
        <v>-0.61393374547530866</v>
      </c>
      <c r="AP19" s="9"/>
      <c r="AQ19" s="21">
        <v>1.6946399999999999</v>
      </c>
      <c r="AR19" s="21">
        <v>23.383400000000002</v>
      </c>
      <c r="AS19" s="21">
        <v>-1.93542E-3</v>
      </c>
      <c r="AT19" s="21">
        <v>9</v>
      </c>
      <c r="AU19" s="21">
        <v>1.69434</v>
      </c>
      <c r="AV19">
        <f t="shared" si="8"/>
        <v>2.3894074074074072</v>
      </c>
      <c r="AW19">
        <f t="shared" si="9"/>
        <v>4.0491853688888888</v>
      </c>
      <c r="AX19" s="9"/>
      <c r="AY19" s="21">
        <v>-5.4626500000000001E-2</v>
      </c>
      <c r="AZ19" s="21">
        <v>27.081700000000001</v>
      </c>
      <c r="BA19" s="21">
        <v>-9.1033899999999994E-3</v>
      </c>
      <c r="BB19" s="21">
        <v>9</v>
      </c>
      <c r="BC19" s="21">
        <v>-5.4992699999999999E-2</v>
      </c>
      <c r="BD19">
        <f t="shared" si="10"/>
        <v>11.238753086419752</v>
      </c>
      <c r="BE19">
        <f t="shared" si="11"/>
        <v>-0.61393374547530866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1.6896100000000001</v>
      </c>
      <c r="H20" s="21">
        <v>5.1960300000000004</v>
      </c>
      <c r="I20" s="21">
        <v>-2.3522899999999999E-3</v>
      </c>
      <c r="J20" s="21">
        <v>10</v>
      </c>
      <c r="K20" s="21">
        <v>1.6888399999999999</v>
      </c>
      <c r="L20">
        <f t="shared" si="0"/>
        <v>2.9040617283950616</v>
      </c>
      <c r="M20">
        <f t="shared" si="1"/>
        <v>4.9067317369135806</v>
      </c>
      <c r="N20" s="9"/>
      <c r="O20" s="21">
        <v>-4.9591099999999999E-2</v>
      </c>
      <c r="P20" s="21">
        <v>8.8943700000000003</v>
      </c>
      <c r="Q20" s="21">
        <v>-9.1430699999999997E-3</v>
      </c>
      <c r="R20" s="21">
        <v>10</v>
      </c>
      <c r="S20" s="21">
        <v>-5.0018300000000002E-2</v>
      </c>
      <c r="T20">
        <f t="shared" si="2"/>
        <v>11.287740740740739</v>
      </c>
      <c r="U20">
        <f t="shared" si="3"/>
        <v>-0.55977147984814801</v>
      </c>
      <c r="V20" s="22"/>
      <c r="W20" s="23"/>
      <c r="X20" s="9"/>
      <c r="Y20" s="21">
        <v>1.6896100000000001</v>
      </c>
      <c r="Z20" s="21">
        <v>14.331200000000001</v>
      </c>
      <c r="AA20" s="21">
        <v>-2.2012300000000002E-3</v>
      </c>
      <c r="AB20" s="21">
        <v>10</v>
      </c>
      <c r="AC20" s="21">
        <v>1.6891499999999999</v>
      </c>
      <c r="AD20">
        <f t="shared" si="4"/>
        <v>2.7175679012345682</v>
      </c>
      <c r="AE20">
        <f t="shared" si="5"/>
        <v>4.5916299016049384</v>
      </c>
      <c r="AF20" s="9"/>
      <c r="AG20" s="21">
        <v>-4.9591099999999999E-2</v>
      </c>
      <c r="AH20" s="21">
        <v>18.029599999999999</v>
      </c>
      <c r="AI20" s="21">
        <v>-9.06677E-3</v>
      </c>
      <c r="AJ20" s="21">
        <v>10</v>
      </c>
      <c r="AK20" s="21">
        <v>-4.9987799999999999E-2</v>
      </c>
      <c r="AL20">
        <f t="shared" si="6"/>
        <v>11.193543209876541</v>
      </c>
      <c r="AM20">
        <f t="shared" si="7"/>
        <v>-0.55510012067530856</v>
      </c>
      <c r="AP20" s="9"/>
      <c r="AQ20" s="21">
        <v>1.6896100000000001</v>
      </c>
      <c r="AR20" s="21">
        <v>23.3934</v>
      </c>
      <c r="AS20" s="21">
        <v>-2.1380599999999998E-3</v>
      </c>
      <c r="AT20" s="21">
        <v>10</v>
      </c>
      <c r="AU20" s="21">
        <v>1.6885399999999999</v>
      </c>
      <c r="AV20">
        <f t="shared" si="8"/>
        <v>2.6395802469135798</v>
      </c>
      <c r="AW20">
        <f t="shared" si="9"/>
        <v>4.4598611809876534</v>
      </c>
      <c r="AX20" s="9"/>
      <c r="AY20" s="21">
        <v>-4.9591099999999999E-2</v>
      </c>
      <c r="AZ20" s="21">
        <v>27.091799999999999</v>
      </c>
      <c r="BA20" s="21">
        <v>-9.06677E-3</v>
      </c>
      <c r="BB20" s="21">
        <v>10</v>
      </c>
      <c r="BC20" s="21">
        <v>-5.0018300000000002E-2</v>
      </c>
      <c r="BD20">
        <f t="shared" si="10"/>
        <v>11.193543209876541</v>
      </c>
      <c r="BE20">
        <f t="shared" si="11"/>
        <v>-0.55510012067530856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1.6845699999999999</v>
      </c>
      <c r="H21" s="21">
        <v>5.2061000000000002</v>
      </c>
      <c r="I21" s="21">
        <v>-2.5543200000000001E-3</v>
      </c>
      <c r="J21" s="21">
        <v>11</v>
      </c>
      <c r="K21" s="21">
        <v>1.6839599999999999</v>
      </c>
      <c r="L21">
        <f t="shared" si="0"/>
        <v>3.1534814814814816</v>
      </c>
      <c r="M21">
        <f t="shared" si="1"/>
        <v>5.3122602992592594</v>
      </c>
      <c r="N21" s="9"/>
      <c r="O21" s="21">
        <v>-4.4555699999999997E-2</v>
      </c>
      <c r="P21" s="21">
        <v>8.9044399999999992</v>
      </c>
      <c r="Q21" s="21">
        <v>-9.1033899999999994E-3</v>
      </c>
      <c r="R21" s="21">
        <v>11</v>
      </c>
      <c r="S21" s="21">
        <v>-4.4921900000000001E-2</v>
      </c>
      <c r="T21">
        <f t="shared" si="2"/>
        <v>11.238753086419752</v>
      </c>
      <c r="U21">
        <f t="shared" si="3"/>
        <v>-0.50075051089259248</v>
      </c>
      <c r="V21" s="22"/>
      <c r="W21" s="23"/>
      <c r="X21" s="9"/>
      <c r="Y21" s="21">
        <v>1.6845699999999999</v>
      </c>
      <c r="Z21" s="21">
        <v>14.3413</v>
      </c>
      <c r="AA21" s="21">
        <v>-2.3925800000000001E-3</v>
      </c>
      <c r="AB21" s="21">
        <v>11</v>
      </c>
      <c r="AC21" s="21">
        <v>1.6839599999999999</v>
      </c>
      <c r="AD21">
        <f t="shared" si="4"/>
        <v>2.9538024691358022</v>
      </c>
      <c r="AE21">
        <f t="shared" si="5"/>
        <v>4.9758870254320984</v>
      </c>
      <c r="AF21" s="9"/>
      <c r="AG21" s="21">
        <v>-4.4555699999999997E-2</v>
      </c>
      <c r="AH21" s="21">
        <v>18.0397</v>
      </c>
      <c r="AI21" s="21">
        <v>-9.0240500000000005E-3</v>
      </c>
      <c r="AJ21" s="21">
        <v>11</v>
      </c>
      <c r="AK21" s="21">
        <v>-4.4918800000000002E-2</v>
      </c>
      <c r="AL21">
        <f t="shared" si="6"/>
        <v>11.140802469135803</v>
      </c>
      <c r="AM21">
        <f t="shared" si="7"/>
        <v>-0.49638625257407404</v>
      </c>
      <c r="AP21" s="9"/>
      <c r="AQ21" s="21">
        <v>1.6845699999999999</v>
      </c>
      <c r="AR21" s="21">
        <v>23.403500000000001</v>
      </c>
      <c r="AS21" s="21">
        <v>-2.3291000000000002E-3</v>
      </c>
      <c r="AT21" s="21">
        <v>11</v>
      </c>
      <c r="AU21" s="21">
        <v>1.6845699999999999</v>
      </c>
      <c r="AV21">
        <f t="shared" si="8"/>
        <v>2.8754320987654323</v>
      </c>
      <c r="AW21">
        <f t="shared" si="9"/>
        <v>4.8438666506172838</v>
      </c>
      <c r="AX21" s="9"/>
      <c r="AY21" s="21">
        <v>-4.4555699999999997E-2</v>
      </c>
      <c r="AZ21" s="21">
        <v>27.101900000000001</v>
      </c>
      <c r="BA21" s="21">
        <v>-9.0270999999999997E-3</v>
      </c>
      <c r="BB21" s="21">
        <v>11</v>
      </c>
      <c r="BC21" s="21">
        <v>-4.4961500000000001E-2</v>
      </c>
      <c r="BD21">
        <f t="shared" si="10"/>
        <v>11.144567901234566</v>
      </c>
      <c r="BE21">
        <f t="shared" si="11"/>
        <v>-0.49655402403703691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1.67953</v>
      </c>
      <c r="H22" s="21">
        <v>5.21617</v>
      </c>
      <c r="I22" s="21">
        <v>-2.74384E-3</v>
      </c>
      <c r="J22" s="21">
        <v>12</v>
      </c>
      <c r="K22" s="21">
        <v>1.6787700000000001</v>
      </c>
      <c r="L22">
        <f t="shared" si="0"/>
        <v>3.3874567901234567</v>
      </c>
      <c r="M22">
        <f t="shared" si="1"/>
        <v>5.6893353027160494</v>
      </c>
      <c r="N22" s="9"/>
      <c r="O22" s="21">
        <v>-3.9520300000000001E-2</v>
      </c>
      <c r="P22" s="21">
        <v>8.9145099999999999</v>
      </c>
      <c r="Q22" s="21">
        <v>-9.0606699999999998E-3</v>
      </c>
      <c r="R22" s="21">
        <v>12</v>
      </c>
      <c r="S22" s="21">
        <v>-3.9919999999999997E-2</v>
      </c>
      <c r="T22">
        <f t="shared" si="2"/>
        <v>11.186012345679012</v>
      </c>
      <c r="U22">
        <f t="shared" si="3"/>
        <v>-0.44207456370493831</v>
      </c>
      <c r="V22" s="22"/>
      <c r="W22" s="23"/>
      <c r="X22" s="9"/>
      <c r="Y22" s="21">
        <v>1.67953</v>
      </c>
      <c r="Z22" s="21">
        <v>14.3514</v>
      </c>
      <c r="AA22" s="21">
        <v>-2.5732400000000001E-3</v>
      </c>
      <c r="AB22" s="21">
        <v>12</v>
      </c>
      <c r="AC22" s="21">
        <v>1.6787700000000001</v>
      </c>
      <c r="AD22">
        <f t="shared" si="4"/>
        <v>3.1768395061728394</v>
      </c>
      <c r="AE22">
        <f t="shared" si="5"/>
        <v>5.3355972558024689</v>
      </c>
      <c r="AF22" s="9"/>
      <c r="AG22" s="21">
        <v>-3.9520300000000001E-2</v>
      </c>
      <c r="AH22" s="21">
        <v>18.049700000000001</v>
      </c>
      <c r="AI22" s="21">
        <v>-8.9843800000000001E-3</v>
      </c>
      <c r="AJ22" s="21">
        <v>12</v>
      </c>
      <c r="AK22" s="21">
        <v>-3.9843799999999999E-2</v>
      </c>
      <c r="AL22">
        <f t="shared" si="6"/>
        <v>11.091827160493827</v>
      </c>
      <c r="AM22">
        <f t="shared" si="7"/>
        <v>-0.43835233693086417</v>
      </c>
      <c r="AP22" s="9"/>
      <c r="AQ22" s="21">
        <v>1.67953</v>
      </c>
      <c r="AR22" s="21">
        <v>23.413599999999999</v>
      </c>
      <c r="AS22" s="21">
        <v>-2.50702E-3</v>
      </c>
      <c r="AT22" s="21">
        <v>12</v>
      </c>
      <c r="AU22" s="21">
        <v>1.6790799999999999</v>
      </c>
      <c r="AV22">
        <f t="shared" si="8"/>
        <v>3.0950864197530863</v>
      </c>
      <c r="AW22">
        <f t="shared" si="9"/>
        <v>5.1982904945679005</v>
      </c>
      <c r="AX22" s="9"/>
      <c r="AY22" s="21">
        <v>-3.9520300000000001E-2</v>
      </c>
      <c r="AZ22" s="21">
        <v>27.111899999999999</v>
      </c>
      <c r="BA22" s="21">
        <v>-8.9813199999999992E-3</v>
      </c>
      <c r="BB22" s="21">
        <v>12</v>
      </c>
      <c r="BC22" s="21">
        <v>-3.9856000000000003E-2</v>
      </c>
      <c r="BD22">
        <f t="shared" si="10"/>
        <v>11.088049382716047</v>
      </c>
      <c r="BE22">
        <f t="shared" si="11"/>
        <v>-0.43820303801975302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1.6745000000000001</v>
      </c>
      <c r="H23" s="21">
        <v>5.2262399999999998</v>
      </c>
      <c r="I23" s="21">
        <v>-2.9272500000000002E-3</v>
      </c>
      <c r="J23" s="21">
        <v>13</v>
      </c>
      <c r="K23" s="21">
        <v>1.6735800000000001</v>
      </c>
      <c r="L23">
        <f t="shared" si="0"/>
        <v>3.6138888888888889</v>
      </c>
      <c r="M23">
        <f t="shared" si="1"/>
        <v>6.0514569444444453</v>
      </c>
      <c r="N23" s="9"/>
      <c r="O23" s="21">
        <v>-3.4484899999999999E-2</v>
      </c>
      <c r="P23" s="21">
        <v>8.9245800000000006</v>
      </c>
      <c r="Q23" s="21">
        <v>-9.0148899999999994E-3</v>
      </c>
      <c r="R23" s="21">
        <v>13</v>
      </c>
      <c r="S23" s="21">
        <v>-3.4796100000000003E-2</v>
      </c>
      <c r="T23">
        <f t="shared" si="2"/>
        <v>11.129493827160491</v>
      </c>
      <c r="U23">
        <f t="shared" si="3"/>
        <v>-0.3837994816802468</v>
      </c>
      <c r="V23" s="22"/>
      <c r="W23" s="23"/>
      <c r="X23" s="9"/>
      <c r="Y23" s="21">
        <v>1.6745000000000001</v>
      </c>
      <c r="Z23" s="21">
        <v>14.361499999999999</v>
      </c>
      <c r="AA23" s="21">
        <v>-2.74902E-3</v>
      </c>
      <c r="AB23" s="21">
        <v>13</v>
      </c>
      <c r="AC23" s="21">
        <v>1.6738900000000001</v>
      </c>
      <c r="AD23">
        <f t="shared" si="4"/>
        <v>3.3938518518518515</v>
      </c>
      <c r="AE23">
        <f t="shared" si="5"/>
        <v>5.6830049259259257</v>
      </c>
      <c r="AF23" s="9"/>
      <c r="AG23" s="21">
        <v>-3.4484899999999999E-2</v>
      </c>
      <c r="AH23" s="21">
        <v>18.059799999999999</v>
      </c>
      <c r="AI23" s="21">
        <v>-8.9599599999999995E-3</v>
      </c>
      <c r="AJ23" s="21">
        <v>13</v>
      </c>
      <c r="AK23" s="21">
        <v>-3.4774800000000002E-2</v>
      </c>
      <c r="AL23">
        <f t="shared" si="6"/>
        <v>11.061679012345678</v>
      </c>
      <c r="AM23">
        <f t="shared" si="7"/>
        <v>-0.38146089457283944</v>
      </c>
      <c r="AP23" s="9"/>
      <c r="AQ23" s="21">
        <v>1.6745000000000001</v>
      </c>
      <c r="AR23" s="21">
        <v>23.4236</v>
      </c>
      <c r="AS23" s="21">
        <v>-2.6818800000000002E-3</v>
      </c>
      <c r="AT23" s="21">
        <v>13</v>
      </c>
      <c r="AU23" s="21">
        <v>1.6735800000000001</v>
      </c>
      <c r="AV23">
        <f t="shared" si="8"/>
        <v>3.3109629629629631</v>
      </c>
      <c r="AW23">
        <f t="shared" si="9"/>
        <v>5.5442074814814823</v>
      </c>
      <c r="AX23" s="9"/>
      <c r="AY23" s="21">
        <v>-3.4484899999999999E-2</v>
      </c>
      <c r="AZ23" s="21">
        <v>27.122</v>
      </c>
      <c r="BA23" s="21">
        <v>-8.9324999999999995E-3</v>
      </c>
      <c r="BB23" s="21">
        <v>13</v>
      </c>
      <c r="BC23" s="21">
        <v>-3.4786999999999998E-2</v>
      </c>
      <c r="BD23">
        <f t="shared" si="10"/>
        <v>11.027777777777777</v>
      </c>
      <c r="BE23">
        <f t="shared" si="11"/>
        <v>-0.38029181388888883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1.6694599999999999</v>
      </c>
      <c r="H24" s="21">
        <v>5.2363200000000001</v>
      </c>
      <c r="I24" s="21">
        <v>-3.0987499999999999E-3</v>
      </c>
      <c r="J24" s="21">
        <v>14</v>
      </c>
      <c r="K24" s="21">
        <v>1.6684000000000001</v>
      </c>
      <c r="L24">
        <f t="shared" si="0"/>
        <v>3.8256172839506166</v>
      </c>
      <c r="M24">
        <f t="shared" si="1"/>
        <v>6.3867150308641962</v>
      </c>
      <c r="N24" s="9"/>
      <c r="O24" s="21">
        <v>-2.94495E-2</v>
      </c>
      <c r="P24" s="21">
        <v>8.9346499999999995</v>
      </c>
      <c r="Q24" s="21">
        <v>-8.97827E-3</v>
      </c>
      <c r="R24" s="21">
        <v>14</v>
      </c>
      <c r="S24" s="21">
        <v>-2.97211E-2</v>
      </c>
      <c r="T24">
        <f t="shared" si="2"/>
        <v>11.084283950617284</v>
      </c>
      <c r="U24">
        <f t="shared" si="3"/>
        <v>-0.32642662020370372</v>
      </c>
      <c r="V24" s="22"/>
      <c r="W24" s="23"/>
      <c r="X24" s="9"/>
      <c r="Y24" s="21">
        <v>1.6694599999999999</v>
      </c>
      <c r="Z24" s="21">
        <v>14.371499999999999</v>
      </c>
      <c r="AA24" s="21">
        <v>-2.9147299999999999E-3</v>
      </c>
      <c r="AB24" s="21">
        <v>14</v>
      </c>
      <c r="AC24" s="21">
        <v>1.6684000000000001</v>
      </c>
      <c r="AD24">
        <f t="shared" si="4"/>
        <v>3.5984320987654321</v>
      </c>
      <c r="AE24">
        <f t="shared" si="5"/>
        <v>6.0074384516049379</v>
      </c>
      <c r="AF24" s="9"/>
      <c r="AG24" s="21">
        <v>-2.94495E-2</v>
      </c>
      <c r="AH24" s="21">
        <v>18.069900000000001</v>
      </c>
      <c r="AI24" s="21">
        <v>-8.9385999999999997E-3</v>
      </c>
      <c r="AJ24" s="21">
        <v>14</v>
      </c>
      <c r="AK24" s="21">
        <v>-2.9788200000000001E-2</v>
      </c>
      <c r="AL24">
        <f t="shared" si="6"/>
        <v>11.035308641975307</v>
      </c>
      <c r="AM24">
        <f t="shared" si="7"/>
        <v>-0.32498432185185183</v>
      </c>
      <c r="AP24" s="9"/>
      <c r="AQ24" s="21">
        <v>1.6694599999999999</v>
      </c>
      <c r="AR24" s="21">
        <v>23.433700000000002</v>
      </c>
      <c r="AS24" s="21">
        <v>-2.8405800000000001E-3</v>
      </c>
      <c r="AT24" s="21">
        <v>14</v>
      </c>
      <c r="AU24" s="21">
        <v>1.6684000000000001</v>
      </c>
      <c r="AV24">
        <f t="shared" si="8"/>
        <v>3.5068888888888887</v>
      </c>
      <c r="AW24">
        <f t="shared" si="9"/>
        <v>5.8546107244444441</v>
      </c>
      <c r="AX24" s="9"/>
      <c r="AY24" s="21">
        <v>-2.94495E-2</v>
      </c>
      <c r="AZ24" s="21">
        <v>27.132100000000001</v>
      </c>
      <c r="BA24" s="21">
        <v>-8.8989299999999993E-3</v>
      </c>
      <c r="BB24" s="21">
        <v>14</v>
      </c>
      <c r="BC24" s="21">
        <v>-2.9769899999999998E-2</v>
      </c>
      <c r="BD24">
        <f t="shared" si="10"/>
        <v>10.986333333333333</v>
      </c>
      <c r="BE24">
        <f t="shared" si="11"/>
        <v>-0.3235420235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1.6644300000000001</v>
      </c>
      <c r="H25" s="21">
        <v>5.2463899999999999</v>
      </c>
      <c r="I25" s="21">
        <v>-3.2571399999999999E-3</v>
      </c>
      <c r="J25" s="21">
        <v>15</v>
      </c>
      <c r="K25" s="21">
        <v>1.66351</v>
      </c>
      <c r="L25">
        <f t="shared" si="0"/>
        <v>4.0211604938271597</v>
      </c>
      <c r="M25">
        <f t="shared" si="1"/>
        <v>6.6929401607407399</v>
      </c>
      <c r="N25" s="9"/>
      <c r="O25" s="21">
        <v>-2.4414100000000001E-2</v>
      </c>
      <c r="P25" s="21">
        <v>8.9447200000000002</v>
      </c>
      <c r="Q25" s="21">
        <v>-8.9477500000000008E-3</v>
      </c>
      <c r="R25" s="21">
        <v>15</v>
      </c>
      <c r="S25" s="21">
        <v>-2.4700900000000001E-2</v>
      </c>
      <c r="T25">
        <f t="shared" si="2"/>
        <v>11.046604938271606</v>
      </c>
      <c r="U25">
        <f t="shared" si="3"/>
        <v>-0.26969291762345682</v>
      </c>
      <c r="V25" s="22"/>
      <c r="W25" s="23"/>
      <c r="X25" s="9"/>
      <c r="Y25" s="21">
        <v>1.6644300000000001</v>
      </c>
      <c r="Z25" s="21">
        <v>14.381600000000001</v>
      </c>
      <c r="AA25" s="21">
        <v>-3.06946E-3</v>
      </c>
      <c r="AB25" s="21">
        <v>15</v>
      </c>
      <c r="AC25" s="21">
        <v>1.6632100000000001</v>
      </c>
      <c r="AD25">
        <f t="shared" si="4"/>
        <v>3.7894567901234564</v>
      </c>
      <c r="AE25">
        <f t="shared" si="5"/>
        <v>6.3072855651851851</v>
      </c>
      <c r="AF25" s="9"/>
      <c r="AG25" s="21">
        <v>-2.4414100000000001E-2</v>
      </c>
      <c r="AH25" s="21">
        <v>18.079899999999999</v>
      </c>
      <c r="AI25" s="21">
        <v>-8.9080800000000005E-3</v>
      </c>
      <c r="AJ25" s="21">
        <v>15</v>
      </c>
      <c r="AK25" s="21">
        <v>-2.4749799999999999E-2</v>
      </c>
      <c r="AL25">
        <f t="shared" si="6"/>
        <v>10.99762962962963</v>
      </c>
      <c r="AM25">
        <f t="shared" si="7"/>
        <v>-0.26849722954074079</v>
      </c>
      <c r="AP25" s="9"/>
      <c r="AQ25" s="21">
        <v>1.6644300000000001</v>
      </c>
      <c r="AR25" s="21">
        <v>23.4438</v>
      </c>
      <c r="AS25" s="21">
        <v>-2.9989600000000002E-3</v>
      </c>
      <c r="AT25" s="21">
        <v>15</v>
      </c>
      <c r="AU25" s="21">
        <v>1.6632100000000001</v>
      </c>
      <c r="AV25">
        <f t="shared" si="8"/>
        <v>3.7024197530864198</v>
      </c>
      <c r="AW25">
        <f t="shared" si="9"/>
        <v>6.1624185096296298</v>
      </c>
      <c r="AX25" s="9"/>
      <c r="AY25" s="21">
        <v>-2.4414100000000001E-2</v>
      </c>
      <c r="AZ25" s="21">
        <v>27.142199999999999</v>
      </c>
      <c r="BA25" s="21">
        <v>-8.8653599999999992E-3</v>
      </c>
      <c r="BB25" s="21">
        <v>15</v>
      </c>
      <c r="BC25" s="21">
        <v>-2.4728400000000001E-2</v>
      </c>
      <c r="BD25">
        <f t="shared" si="10"/>
        <v>10.944888888888888</v>
      </c>
      <c r="BE25">
        <f t="shared" si="11"/>
        <v>-0.26720961182222225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1.6593899999999999</v>
      </c>
      <c r="H26" s="21">
        <v>5.2564599999999997</v>
      </c>
      <c r="I26" s="21">
        <v>-3.40851E-3</v>
      </c>
      <c r="J26" s="21">
        <v>16</v>
      </c>
      <c r="K26" s="21">
        <v>1.65863</v>
      </c>
      <c r="L26">
        <f t="shared" si="0"/>
        <v>4.2080370370370375</v>
      </c>
      <c r="M26">
        <f t="shared" si="1"/>
        <v>6.9827745788888889</v>
      </c>
      <c r="N26" s="9"/>
      <c r="O26" s="21">
        <v>-1.9378699999999999E-2</v>
      </c>
      <c r="P26" s="21">
        <v>8.9547899999999991</v>
      </c>
      <c r="Q26" s="21">
        <v>-8.9202900000000009E-3</v>
      </c>
      <c r="R26" s="21">
        <v>16</v>
      </c>
      <c r="S26" s="21">
        <v>-1.9696000000000002E-2</v>
      </c>
      <c r="T26">
        <f t="shared" si="2"/>
        <v>11.012703703703703</v>
      </c>
      <c r="U26">
        <f t="shared" si="3"/>
        <v>-0.21341188126296295</v>
      </c>
      <c r="V26" s="22"/>
      <c r="W26" s="23"/>
      <c r="X26" s="9"/>
      <c r="Y26" s="21">
        <v>1.6593899999999999</v>
      </c>
      <c r="Z26" s="21">
        <v>14.3917</v>
      </c>
      <c r="AA26" s="21">
        <v>-3.2098399999999998E-3</v>
      </c>
      <c r="AB26" s="21">
        <v>16</v>
      </c>
      <c r="AC26" s="21">
        <v>1.65924</v>
      </c>
      <c r="AD26">
        <f t="shared" si="4"/>
        <v>3.9627654320987649</v>
      </c>
      <c r="AE26">
        <f t="shared" si="5"/>
        <v>6.5757733303703692</v>
      </c>
      <c r="AF26" s="9"/>
      <c r="AG26" s="21">
        <v>-1.9378699999999999E-2</v>
      </c>
      <c r="AH26" s="21">
        <v>18.09</v>
      </c>
      <c r="AI26" s="21">
        <v>-8.8745100000000004E-3</v>
      </c>
      <c r="AJ26" s="21">
        <v>16</v>
      </c>
      <c r="AK26" s="21">
        <v>-1.9644200000000001E-2</v>
      </c>
      <c r="AL26">
        <f t="shared" si="6"/>
        <v>10.956185185185186</v>
      </c>
      <c r="AM26">
        <f t="shared" si="7"/>
        <v>-0.21231662584814814</v>
      </c>
      <c r="AP26" s="9"/>
      <c r="AQ26" s="21">
        <v>1.6593899999999999</v>
      </c>
      <c r="AR26" s="21">
        <v>23.453900000000001</v>
      </c>
      <c r="AS26" s="21">
        <v>-3.14789E-3</v>
      </c>
      <c r="AT26" s="21">
        <v>16</v>
      </c>
      <c r="AU26" s="21">
        <v>1.6583300000000001</v>
      </c>
      <c r="AV26">
        <f t="shared" si="8"/>
        <v>3.8862839506172837</v>
      </c>
      <c r="AW26">
        <f t="shared" si="9"/>
        <v>6.4488607248148142</v>
      </c>
      <c r="AX26" s="9"/>
      <c r="AY26" s="21">
        <v>-1.9378699999999999E-2</v>
      </c>
      <c r="AZ26" s="21">
        <v>27.152200000000001</v>
      </c>
      <c r="BA26" s="21">
        <v>-8.8439899999999995E-3</v>
      </c>
      <c r="BB26" s="21">
        <v>16</v>
      </c>
      <c r="BC26" s="21">
        <v>-1.9656400000000001E-2</v>
      </c>
      <c r="BD26">
        <f t="shared" si="10"/>
        <v>10.918506172839505</v>
      </c>
      <c r="BE26">
        <f t="shared" si="11"/>
        <v>-0.21158645557160491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1.6543600000000001</v>
      </c>
      <c r="H27" s="21">
        <v>5.2665300000000004</v>
      </c>
      <c r="I27" s="21">
        <v>-3.5562100000000002E-3</v>
      </c>
      <c r="J27" s="21">
        <v>17</v>
      </c>
      <c r="K27" s="21">
        <v>1.6531400000000001</v>
      </c>
      <c r="L27">
        <f t="shared" si="0"/>
        <v>4.3903827160493831</v>
      </c>
      <c r="M27">
        <f t="shared" si="1"/>
        <v>7.2632735501234578</v>
      </c>
      <c r="N27" s="9"/>
      <c r="O27" s="21">
        <v>-1.43433E-2</v>
      </c>
      <c r="P27" s="21">
        <v>8.9648699999999995</v>
      </c>
      <c r="Q27" s="21">
        <v>-8.8928199999999992E-3</v>
      </c>
      <c r="R27" s="21">
        <v>17</v>
      </c>
      <c r="S27" s="21">
        <v>-1.46088E-2</v>
      </c>
      <c r="T27">
        <f t="shared" si="2"/>
        <v>10.978790123456788</v>
      </c>
      <c r="U27">
        <f t="shared" si="3"/>
        <v>-0.15747208037777774</v>
      </c>
      <c r="X27" s="9"/>
      <c r="Y27" s="21">
        <v>1.6543600000000001</v>
      </c>
      <c r="Z27" s="21">
        <v>14.4017</v>
      </c>
      <c r="AA27" s="21">
        <v>-3.3483900000000001E-3</v>
      </c>
      <c r="AB27" s="21">
        <v>17</v>
      </c>
      <c r="AC27" s="21">
        <v>1.65344</v>
      </c>
      <c r="AD27">
        <f t="shared" si="4"/>
        <v>4.1338148148148148</v>
      </c>
      <c r="AE27">
        <f t="shared" si="5"/>
        <v>6.8388178770370374</v>
      </c>
      <c r="AF27" s="9"/>
      <c r="AG27" s="21">
        <v>-1.43433E-2</v>
      </c>
      <c r="AH27" s="21">
        <v>18.100100000000001</v>
      </c>
      <c r="AI27" s="21">
        <v>-8.8592500000000008E-3</v>
      </c>
      <c r="AJ27" s="21">
        <v>17</v>
      </c>
      <c r="AK27" s="21">
        <v>-1.4654500000000001E-2</v>
      </c>
      <c r="AL27">
        <f t="shared" si="6"/>
        <v>10.937345679012346</v>
      </c>
      <c r="AM27">
        <f t="shared" si="7"/>
        <v>-0.15687763027777776</v>
      </c>
      <c r="AP27" s="9"/>
      <c r="AQ27" s="21">
        <v>1.6543600000000001</v>
      </c>
      <c r="AR27" s="21">
        <v>23.463899999999999</v>
      </c>
      <c r="AS27" s="21">
        <v>-3.2904100000000001E-3</v>
      </c>
      <c r="AT27" s="21">
        <v>17</v>
      </c>
      <c r="AU27" s="21">
        <v>1.65344</v>
      </c>
      <c r="AV27">
        <f t="shared" si="8"/>
        <v>4.0622345679012346</v>
      </c>
      <c r="AW27">
        <f t="shared" si="9"/>
        <v>6.7203983797530871</v>
      </c>
      <c r="AX27" s="9"/>
      <c r="AY27" s="21">
        <v>-1.43433E-2</v>
      </c>
      <c r="AZ27" s="21">
        <v>27.162299999999998</v>
      </c>
      <c r="BA27" s="21">
        <v>-8.8195800000000005E-3</v>
      </c>
      <c r="BB27" s="21">
        <v>17</v>
      </c>
      <c r="BC27" s="21">
        <v>-1.4645399999999999E-2</v>
      </c>
      <c r="BD27">
        <f t="shared" si="10"/>
        <v>10.888370370370369</v>
      </c>
      <c r="BE27">
        <f t="shared" si="11"/>
        <v>-0.15617516273333332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1.6493199999999999</v>
      </c>
      <c r="H28" s="21">
        <v>5.2766000000000002</v>
      </c>
      <c r="I28" s="21">
        <v>-3.6953699999999999E-3</v>
      </c>
      <c r="J28" s="21">
        <v>18</v>
      </c>
      <c r="K28" s="21">
        <v>1.64886</v>
      </c>
      <c r="L28">
        <f t="shared" si="0"/>
        <v>4.5621851851851849</v>
      </c>
      <c r="M28">
        <f t="shared" si="1"/>
        <v>7.524503269629629</v>
      </c>
      <c r="N28" s="9"/>
      <c r="O28" s="21">
        <v>-9.3078599999999994E-3</v>
      </c>
      <c r="P28" s="21">
        <v>8.9749400000000001</v>
      </c>
      <c r="Q28" s="21">
        <v>-8.8653599999999992E-3</v>
      </c>
      <c r="R28" s="21">
        <v>18</v>
      </c>
      <c r="S28" s="21">
        <v>-9.5886200000000008E-3</v>
      </c>
      <c r="T28">
        <f t="shared" si="2"/>
        <v>10.944888888888888</v>
      </c>
      <c r="U28">
        <f t="shared" si="3"/>
        <v>-0.10187349349333333</v>
      </c>
      <c r="X28" s="9"/>
      <c r="Y28" s="21">
        <v>1.6493199999999999</v>
      </c>
      <c r="Z28" s="21">
        <v>14.411799999999999</v>
      </c>
      <c r="AA28" s="21">
        <v>-3.48175E-3</v>
      </c>
      <c r="AB28" s="21">
        <v>18</v>
      </c>
      <c r="AC28" s="21">
        <v>1.64917</v>
      </c>
      <c r="AD28">
        <f t="shared" si="4"/>
        <v>4.2984567901234563</v>
      </c>
      <c r="AE28">
        <f t="shared" si="5"/>
        <v>7.0895307530864189</v>
      </c>
      <c r="AF28" s="9"/>
      <c r="AG28" s="21">
        <v>-9.3078599999999994E-3</v>
      </c>
      <c r="AH28" s="21">
        <v>18.110199999999999</v>
      </c>
      <c r="AI28" s="21">
        <v>-8.8317900000000008E-3</v>
      </c>
      <c r="AJ28" s="21">
        <v>18</v>
      </c>
      <c r="AK28" s="21">
        <v>-9.5306399999999999E-3</v>
      </c>
      <c r="AL28">
        <f t="shared" si="6"/>
        <v>10.903444444444444</v>
      </c>
      <c r="AM28">
        <f t="shared" si="7"/>
        <v>-0.10148773440666665</v>
      </c>
      <c r="AP28" s="9"/>
      <c r="AQ28" s="21">
        <v>1.6493199999999999</v>
      </c>
      <c r="AR28" s="21">
        <v>23.474</v>
      </c>
      <c r="AS28" s="21">
        <v>-3.4234600000000001E-3</v>
      </c>
      <c r="AT28" s="21">
        <v>18</v>
      </c>
      <c r="AU28" s="21">
        <v>1.64886</v>
      </c>
      <c r="AV28">
        <f t="shared" si="8"/>
        <v>4.2264938271604935</v>
      </c>
      <c r="AW28">
        <f t="shared" si="9"/>
        <v>6.9708407990123451</v>
      </c>
      <c r="AX28" s="9"/>
      <c r="AY28" s="21">
        <v>-9.3078599999999994E-3</v>
      </c>
      <c r="AZ28" s="21">
        <v>27.1724</v>
      </c>
      <c r="BA28" s="21">
        <v>-8.8012699999999999E-3</v>
      </c>
      <c r="BB28" s="21">
        <v>18</v>
      </c>
      <c r="BC28" s="21">
        <v>-9.5581099999999999E-3</v>
      </c>
      <c r="BD28">
        <f t="shared" si="10"/>
        <v>10.865765432098764</v>
      </c>
      <c r="BE28">
        <f t="shared" si="11"/>
        <v>-0.10113702343481479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1.64429</v>
      </c>
      <c r="H29" s="21">
        <v>5.28667</v>
      </c>
      <c r="I29" s="21">
        <v>-3.82782E-3</v>
      </c>
      <c r="J29" s="21">
        <v>19</v>
      </c>
      <c r="K29" s="21">
        <v>1.64307</v>
      </c>
      <c r="L29">
        <f t="shared" si="0"/>
        <v>4.7257037037037035</v>
      </c>
      <c r="M29">
        <f t="shared" si="1"/>
        <v>7.7704273429629627</v>
      </c>
      <c r="N29" s="9"/>
      <c r="O29" s="21">
        <v>-4.2724599999999996E-3</v>
      </c>
      <c r="P29" s="21">
        <v>8.9850100000000008</v>
      </c>
      <c r="Q29" s="21">
        <v>-8.8348400000000001E-3</v>
      </c>
      <c r="R29" s="21">
        <v>19</v>
      </c>
      <c r="S29" s="21">
        <v>-4.4586199999999999E-3</v>
      </c>
      <c r="T29">
        <f t="shared" si="2"/>
        <v>10.90720987654321</v>
      </c>
      <c r="U29">
        <f t="shared" si="3"/>
        <v>-4.6600617909135798E-2</v>
      </c>
      <c r="X29" s="9"/>
      <c r="Y29" s="21">
        <v>1.64429</v>
      </c>
      <c r="Z29" s="21">
        <v>14.421900000000001</v>
      </c>
      <c r="AA29" s="21">
        <v>-3.61328E-3</v>
      </c>
      <c r="AB29" s="21">
        <v>19</v>
      </c>
      <c r="AC29" s="21">
        <v>1.64276</v>
      </c>
      <c r="AD29">
        <f t="shared" si="4"/>
        <v>4.4608395061728388</v>
      </c>
      <c r="AE29">
        <f t="shared" si="5"/>
        <v>7.3349137916049374</v>
      </c>
      <c r="AF29" s="9"/>
      <c r="AG29" s="21">
        <v>-4.2724599999999996E-3</v>
      </c>
      <c r="AH29" s="21">
        <v>18.120200000000001</v>
      </c>
      <c r="AI29" s="21">
        <v>-8.8073700000000001E-3</v>
      </c>
      <c r="AJ29" s="21">
        <v>19</v>
      </c>
      <c r="AK29" s="21">
        <v>-4.5043899999999996E-3</v>
      </c>
      <c r="AL29">
        <f t="shared" si="6"/>
        <v>10.873296296296296</v>
      </c>
      <c r="AM29">
        <f t="shared" si="7"/>
        <v>-4.6455723494074071E-2</v>
      </c>
      <c r="AP29" s="9"/>
      <c r="AQ29" s="21">
        <v>1.64429</v>
      </c>
      <c r="AR29" s="21">
        <v>23.484100000000002</v>
      </c>
      <c r="AS29" s="21">
        <v>-3.5455299999999999E-3</v>
      </c>
      <c r="AT29" s="21">
        <v>19</v>
      </c>
      <c r="AU29" s="21">
        <v>1.64368</v>
      </c>
      <c r="AV29">
        <f t="shared" si="8"/>
        <v>4.3771975308641977</v>
      </c>
      <c r="AW29">
        <f t="shared" si="9"/>
        <v>7.1973821280246915</v>
      </c>
      <c r="AX29" s="9"/>
      <c r="AY29" s="21">
        <v>-4.2724599999999996E-3</v>
      </c>
      <c r="AZ29" s="21">
        <v>27.182400000000001</v>
      </c>
      <c r="BA29" s="21">
        <v>-8.7768599999999992E-3</v>
      </c>
      <c r="BB29" s="21">
        <v>19</v>
      </c>
      <c r="BC29" s="21">
        <v>-4.5166E-3</v>
      </c>
      <c r="BD29">
        <f t="shared" si="10"/>
        <v>10.835629629629628</v>
      </c>
      <c r="BE29">
        <f t="shared" si="11"/>
        <v>-4.6294794167407394E-2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1.6392500000000001</v>
      </c>
      <c r="H30" s="21">
        <v>5.2967399999999998</v>
      </c>
      <c r="I30" s="21">
        <v>-3.9517199999999997E-3</v>
      </c>
      <c r="J30" s="21">
        <v>20</v>
      </c>
      <c r="K30" s="21">
        <v>1.63818</v>
      </c>
      <c r="L30">
        <f t="shared" si="0"/>
        <v>4.8786666666666658</v>
      </c>
      <c r="M30">
        <f t="shared" si="1"/>
        <v>7.9973543333333321</v>
      </c>
      <c r="N30" s="9"/>
      <c r="O30" s="21">
        <v>7.6293900000000002E-4</v>
      </c>
      <c r="P30" s="21">
        <v>8.9950799999999997</v>
      </c>
      <c r="Q30" s="21">
        <v>-8.8134800000000003E-3</v>
      </c>
      <c r="R30" s="21">
        <v>20</v>
      </c>
      <c r="S30" s="21">
        <v>5.7983399999999999E-4</v>
      </c>
      <c r="T30">
        <f t="shared" si="2"/>
        <v>10.880839506172839</v>
      </c>
      <c r="U30">
        <f t="shared" si="3"/>
        <v>8.3014168119999992E-3</v>
      </c>
      <c r="X30" s="9"/>
      <c r="Y30" s="21">
        <v>1.6392500000000001</v>
      </c>
      <c r="Z30" s="21">
        <v>14.432</v>
      </c>
      <c r="AA30" s="21">
        <v>-3.7350500000000002E-3</v>
      </c>
      <c r="AB30" s="21">
        <v>20</v>
      </c>
      <c r="AC30" s="21">
        <v>1.63788</v>
      </c>
      <c r="AD30">
        <f t="shared" si="4"/>
        <v>4.6111728395061728</v>
      </c>
      <c r="AE30">
        <f t="shared" si="5"/>
        <v>7.5588650771604939</v>
      </c>
      <c r="AF30" s="9"/>
      <c r="AG30" s="21">
        <v>7.6293900000000002E-4</v>
      </c>
      <c r="AH30" s="21">
        <v>18.130299999999998</v>
      </c>
      <c r="AI30" s="21">
        <v>-8.7829599999999994E-3</v>
      </c>
      <c r="AJ30" s="21">
        <v>20</v>
      </c>
      <c r="AK30" s="21">
        <v>5.6457499999999999E-4</v>
      </c>
      <c r="AL30">
        <f t="shared" si="6"/>
        <v>10.84316049382716</v>
      </c>
      <c r="AM30">
        <f t="shared" si="7"/>
        <v>8.2726700239999992E-3</v>
      </c>
      <c r="AP30" s="9"/>
      <c r="AQ30" s="21">
        <v>1.6392500000000001</v>
      </c>
      <c r="AR30" s="21">
        <v>23.4941</v>
      </c>
      <c r="AS30" s="21">
        <v>-3.6630199999999999E-3</v>
      </c>
      <c r="AT30" s="21">
        <v>20</v>
      </c>
      <c r="AU30" s="21">
        <v>1.63788</v>
      </c>
      <c r="AV30">
        <f t="shared" si="8"/>
        <v>4.522246913580247</v>
      </c>
      <c r="AW30">
        <f t="shared" si="9"/>
        <v>7.4130932530864202</v>
      </c>
      <c r="AX30" s="9"/>
      <c r="AY30" s="21">
        <v>7.6293900000000002E-4</v>
      </c>
      <c r="AZ30" s="21">
        <v>27.192499999999999</v>
      </c>
      <c r="BA30" s="21">
        <v>-8.7493899999999993E-3</v>
      </c>
      <c r="BB30" s="21">
        <v>20</v>
      </c>
      <c r="BC30" s="21">
        <v>5.8593700000000002E-4</v>
      </c>
      <c r="BD30">
        <f t="shared" si="10"/>
        <v>10.801716049382714</v>
      </c>
      <c r="BE30">
        <f t="shared" si="11"/>
        <v>8.2410504409999984E-3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1.63422</v>
      </c>
      <c r="H31" s="21">
        <v>5.3068099999999996</v>
      </c>
      <c r="I31" s="21">
        <v>-4.0725700000000002E-3</v>
      </c>
      <c r="J31" s="21">
        <v>21</v>
      </c>
      <c r="K31" s="21">
        <v>1.63361</v>
      </c>
      <c r="L31">
        <f t="shared" si="0"/>
        <v>5.0278641975308638</v>
      </c>
      <c r="M31">
        <f t="shared" si="1"/>
        <v>8.2166362288888877</v>
      </c>
      <c r="N31" s="9"/>
      <c r="O31" s="21">
        <v>5.7983399999999999E-3</v>
      </c>
      <c r="P31" s="21">
        <v>9.0051500000000004</v>
      </c>
      <c r="Q31" s="21">
        <v>-8.7860100000000003E-3</v>
      </c>
      <c r="R31" s="21">
        <v>21</v>
      </c>
      <c r="S31" s="21">
        <v>5.6152299999999997E-3</v>
      </c>
      <c r="T31">
        <f t="shared" si="2"/>
        <v>10.846925925925925</v>
      </c>
      <c r="U31">
        <f t="shared" si="3"/>
        <v>6.2894164473333333E-2</v>
      </c>
      <c r="X31" s="9"/>
      <c r="Y31" s="21">
        <v>1.63422</v>
      </c>
      <c r="Z31" s="21">
        <v>14.442</v>
      </c>
      <c r="AA31" s="21">
        <v>-3.84827E-3</v>
      </c>
      <c r="AB31" s="21">
        <v>21</v>
      </c>
      <c r="AC31" s="21">
        <v>1.63361</v>
      </c>
      <c r="AD31">
        <f t="shared" si="4"/>
        <v>4.7509506172839497</v>
      </c>
      <c r="AE31">
        <f t="shared" si="5"/>
        <v>7.7640985177777759</v>
      </c>
      <c r="AF31" s="9"/>
      <c r="AG31" s="21">
        <v>5.7983399999999999E-3</v>
      </c>
      <c r="AH31" s="21">
        <v>18.1404</v>
      </c>
      <c r="AI31" s="21">
        <v>-8.7707500000000008E-3</v>
      </c>
      <c r="AJ31" s="21">
        <v>21</v>
      </c>
      <c r="AK31" s="21">
        <v>5.6304900000000001E-3</v>
      </c>
      <c r="AL31">
        <f t="shared" si="6"/>
        <v>10.828086419753086</v>
      </c>
      <c r="AM31">
        <f t="shared" si="7"/>
        <v>6.2784926611111111E-2</v>
      </c>
      <c r="AP31" s="9"/>
      <c r="AQ31" s="21">
        <v>1.63422</v>
      </c>
      <c r="AR31" s="21">
        <v>23.504200000000001</v>
      </c>
      <c r="AS31" s="21">
        <v>-3.7747200000000001E-3</v>
      </c>
      <c r="AT31" s="21">
        <v>21</v>
      </c>
      <c r="AU31" s="21">
        <v>1.63391</v>
      </c>
      <c r="AV31">
        <f t="shared" si="8"/>
        <v>4.6601481481481475</v>
      </c>
      <c r="AW31">
        <f t="shared" si="9"/>
        <v>7.6157073066666658</v>
      </c>
      <c r="AX31" s="9"/>
      <c r="AY31" s="21">
        <v>5.7983399999999999E-3</v>
      </c>
      <c r="AZ31" s="21">
        <v>27.2026</v>
      </c>
      <c r="BA31" s="21">
        <v>-8.7219199999999993E-3</v>
      </c>
      <c r="BB31" s="21">
        <v>21</v>
      </c>
      <c r="BC31" s="21">
        <v>5.5511500000000004E-3</v>
      </c>
      <c r="BD31">
        <f t="shared" si="10"/>
        <v>10.767802469135802</v>
      </c>
      <c r="BE31">
        <f t="shared" si="11"/>
        <v>6.2435379768888882E-2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1.6291800000000001</v>
      </c>
      <c r="H32" s="21">
        <v>5.3168800000000003</v>
      </c>
      <c r="I32" s="21">
        <v>-4.1848800000000002E-3</v>
      </c>
      <c r="J32" s="21">
        <v>22</v>
      </c>
      <c r="K32" s="21">
        <v>1.6287199999999999</v>
      </c>
      <c r="L32">
        <f t="shared" si="0"/>
        <v>5.1665185185185178</v>
      </c>
      <c r="M32">
        <f t="shared" si="1"/>
        <v>8.4171886399999991</v>
      </c>
      <c r="N32" s="9"/>
      <c r="O32" s="21">
        <v>1.08337E-2</v>
      </c>
      <c r="P32" s="21">
        <v>9.0152199999999993</v>
      </c>
      <c r="Q32" s="21">
        <v>-8.7554899999999995E-3</v>
      </c>
      <c r="R32" s="21">
        <v>22</v>
      </c>
      <c r="S32" s="21">
        <v>1.0638399999999999E-2</v>
      </c>
      <c r="T32">
        <f t="shared" si="2"/>
        <v>10.809246913580246</v>
      </c>
      <c r="U32">
        <f t="shared" si="3"/>
        <v>0.11710413828765431</v>
      </c>
      <c r="X32" s="9"/>
      <c r="Y32" s="21">
        <v>1.6291800000000001</v>
      </c>
      <c r="Z32" s="21">
        <v>14.4521</v>
      </c>
      <c r="AA32" s="21">
        <v>-3.9566000000000002E-3</v>
      </c>
      <c r="AB32" s="21">
        <v>22</v>
      </c>
      <c r="AC32" s="21">
        <v>1.62842</v>
      </c>
      <c r="AD32">
        <f t="shared" si="4"/>
        <v>4.8846913580246918</v>
      </c>
      <c r="AE32">
        <f t="shared" si="5"/>
        <v>7.9580414666666677</v>
      </c>
      <c r="AF32" s="9"/>
      <c r="AG32" s="21">
        <v>1.08337E-2</v>
      </c>
      <c r="AH32" s="21">
        <v>18.150400000000001</v>
      </c>
      <c r="AI32" s="21">
        <v>-8.7585400000000004E-3</v>
      </c>
      <c r="AJ32" s="21">
        <v>22</v>
      </c>
      <c r="AK32" s="21">
        <v>1.0611000000000001E-2</v>
      </c>
      <c r="AL32">
        <f t="shared" si="6"/>
        <v>10.813012345679011</v>
      </c>
      <c r="AM32">
        <f t="shared" si="7"/>
        <v>0.1171449318493827</v>
      </c>
      <c r="AP32" s="9"/>
      <c r="AQ32" s="21">
        <v>1.6291800000000001</v>
      </c>
      <c r="AR32" s="21">
        <v>23.514299999999999</v>
      </c>
      <c r="AS32" s="21">
        <v>-3.8815299999999998E-3</v>
      </c>
      <c r="AT32" s="21">
        <v>22</v>
      </c>
      <c r="AU32" s="21">
        <v>1.6281099999999999</v>
      </c>
      <c r="AV32">
        <f t="shared" si="8"/>
        <v>4.7920123456790114</v>
      </c>
      <c r="AW32">
        <f t="shared" si="9"/>
        <v>7.8070506733333325</v>
      </c>
      <c r="AX32" s="9"/>
      <c r="AY32" s="21">
        <v>1.08337E-2</v>
      </c>
      <c r="AZ32" s="21">
        <v>27.212700000000002</v>
      </c>
      <c r="BA32" s="21">
        <v>-8.7127699999999999E-3</v>
      </c>
      <c r="BB32" s="21">
        <v>22</v>
      </c>
      <c r="BC32" s="21">
        <v>1.06537E-2</v>
      </c>
      <c r="BD32">
        <f t="shared" si="10"/>
        <v>10.756506172839506</v>
      </c>
      <c r="BE32">
        <f t="shared" si="11"/>
        <v>0.11653276092469135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1.62415</v>
      </c>
      <c r="H33" s="21">
        <v>5.3269500000000001</v>
      </c>
      <c r="I33" s="21">
        <v>-4.2956499999999998E-3</v>
      </c>
      <c r="J33" s="21">
        <v>23</v>
      </c>
      <c r="K33" s="21">
        <v>1.62384</v>
      </c>
      <c r="L33">
        <f t="shared" si="0"/>
        <v>5.3032716049382715</v>
      </c>
      <c r="M33">
        <f t="shared" si="1"/>
        <v>8.6133085771604936</v>
      </c>
      <c r="N33" s="9"/>
      <c r="O33" s="21">
        <v>1.5869100000000001E-2</v>
      </c>
      <c r="P33" s="21">
        <v>9.02529</v>
      </c>
      <c r="Q33" s="21">
        <v>-8.7310800000000004E-3</v>
      </c>
      <c r="R33" s="21">
        <v>23</v>
      </c>
      <c r="S33" s="21">
        <v>1.5689100000000001E-2</v>
      </c>
      <c r="T33">
        <f t="shared" si="2"/>
        <v>10.77911111111111</v>
      </c>
      <c r="U33">
        <f t="shared" si="3"/>
        <v>0.17105479213333333</v>
      </c>
      <c r="X33" s="9"/>
      <c r="Y33" s="21">
        <v>1.62415</v>
      </c>
      <c r="Z33" s="21">
        <v>14.462199999999999</v>
      </c>
      <c r="AA33" s="21">
        <v>-4.0588400000000002E-3</v>
      </c>
      <c r="AB33" s="21">
        <v>23</v>
      </c>
      <c r="AC33" s="21">
        <v>1.62354</v>
      </c>
      <c r="AD33">
        <f t="shared" si="4"/>
        <v>5.0109135802469131</v>
      </c>
      <c r="AE33">
        <f t="shared" si="5"/>
        <v>8.1384752913580236</v>
      </c>
      <c r="AF33" s="9"/>
      <c r="AG33" s="21">
        <v>1.5869100000000001E-2</v>
      </c>
      <c r="AH33" s="21">
        <v>18.160499999999999</v>
      </c>
      <c r="AI33" s="21">
        <v>-8.7371800000000006E-3</v>
      </c>
      <c r="AJ33" s="21">
        <v>23</v>
      </c>
      <c r="AK33" s="21">
        <v>1.5695199999999999E-2</v>
      </c>
      <c r="AL33">
        <f t="shared" si="6"/>
        <v>10.786641975308642</v>
      </c>
      <c r="AM33">
        <f t="shared" si="7"/>
        <v>0.17117430017037039</v>
      </c>
      <c r="AP33" s="9"/>
      <c r="AQ33" s="21">
        <v>1.62415</v>
      </c>
      <c r="AR33" s="21">
        <v>23.5244</v>
      </c>
      <c r="AS33" s="21">
        <v>-3.9822399999999997E-3</v>
      </c>
      <c r="AT33" s="21">
        <v>23</v>
      </c>
      <c r="AU33" s="21">
        <v>1.62384</v>
      </c>
      <c r="AV33">
        <f t="shared" si="8"/>
        <v>4.9163456790123456</v>
      </c>
      <c r="AW33">
        <f t="shared" si="9"/>
        <v>7.9848828345679008</v>
      </c>
      <c r="AX33" s="9"/>
      <c r="AY33" s="21">
        <v>1.5869100000000001E-2</v>
      </c>
      <c r="AZ33" s="21">
        <v>27.2227</v>
      </c>
      <c r="BA33" s="21">
        <v>-8.6975100000000003E-3</v>
      </c>
      <c r="BB33" s="21">
        <v>23</v>
      </c>
      <c r="BC33" s="21">
        <v>1.5685999999999999E-2</v>
      </c>
      <c r="BD33">
        <f t="shared" si="10"/>
        <v>10.737666666666666</v>
      </c>
      <c r="BE33">
        <f t="shared" si="11"/>
        <v>0.1703971061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1.61911</v>
      </c>
      <c r="H34" s="21">
        <v>5.3370300000000004</v>
      </c>
      <c r="I34" s="21">
        <v>-4.4000200000000001E-3</v>
      </c>
      <c r="J34" s="21">
        <v>24</v>
      </c>
      <c r="K34" s="21">
        <v>1.6186499999999999</v>
      </c>
      <c r="L34">
        <f t="shared" si="0"/>
        <v>5.4321234567901238</v>
      </c>
      <c r="M34">
        <f t="shared" si="1"/>
        <v>8.795205410123458</v>
      </c>
      <c r="N34" s="9"/>
      <c r="O34" s="21">
        <v>2.0904499999999999E-2</v>
      </c>
      <c r="P34" s="21">
        <v>9.0353600000000007</v>
      </c>
      <c r="Q34" s="21">
        <v>-8.7097200000000007E-3</v>
      </c>
      <c r="R34" s="21">
        <v>24</v>
      </c>
      <c r="S34" s="21">
        <v>2.07367E-2</v>
      </c>
      <c r="T34">
        <f t="shared" si="2"/>
        <v>10.752740740740741</v>
      </c>
      <c r="U34">
        <f t="shared" si="3"/>
        <v>0.22478066881481482</v>
      </c>
      <c r="X34" s="9"/>
      <c r="Y34" s="21">
        <v>1.61911</v>
      </c>
      <c r="Z34" s="21">
        <v>14.472200000000001</v>
      </c>
      <c r="AA34" s="21">
        <v>-4.1632099999999997E-3</v>
      </c>
      <c r="AB34" s="21">
        <v>24</v>
      </c>
      <c r="AC34" s="21">
        <v>1.6180399999999999</v>
      </c>
      <c r="AD34">
        <f t="shared" si="4"/>
        <v>5.1397654320987645</v>
      </c>
      <c r="AE34">
        <f t="shared" si="5"/>
        <v>8.3218456087654307</v>
      </c>
      <c r="AF34" s="9"/>
      <c r="AG34" s="21">
        <v>2.0904499999999999E-2</v>
      </c>
      <c r="AH34" s="21">
        <v>18.1706</v>
      </c>
      <c r="AI34" s="21">
        <v>-8.7310800000000004E-3</v>
      </c>
      <c r="AJ34" s="21">
        <v>24</v>
      </c>
      <c r="AK34" s="21">
        <v>2.0752E-2</v>
      </c>
      <c r="AL34">
        <f t="shared" si="6"/>
        <v>10.77911111111111</v>
      </c>
      <c r="AM34">
        <f t="shared" si="7"/>
        <v>0.2253319282222222</v>
      </c>
      <c r="AP34" s="9"/>
      <c r="AQ34" s="21">
        <v>1.61911</v>
      </c>
      <c r="AR34" s="21">
        <v>23.534400000000002</v>
      </c>
      <c r="AS34" s="21">
        <v>-4.0777599999999997E-3</v>
      </c>
      <c r="AT34" s="21">
        <v>24</v>
      </c>
      <c r="AU34" s="21">
        <v>1.6186499999999999</v>
      </c>
      <c r="AV34">
        <f t="shared" si="8"/>
        <v>5.0342716049382714</v>
      </c>
      <c r="AW34">
        <f t="shared" si="9"/>
        <v>8.1510394982716043</v>
      </c>
      <c r="AX34" s="9"/>
      <c r="AY34" s="21">
        <v>2.0904499999999999E-2</v>
      </c>
      <c r="AZ34" s="21">
        <v>27.232800000000001</v>
      </c>
      <c r="BA34" s="21">
        <v>-8.6730999999999996E-3</v>
      </c>
      <c r="BB34" s="21">
        <v>24</v>
      </c>
      <c r="BC34" s="21">
        <v>2.0758100000000002E-2</v>
      </c>
      <c r="BD34">
        <f t="shared" si="10"/>
        <v>10.70753086419753</v>
      </c>
      <c r="BE34">
        <f t="shared" si="11"/>
        <v>0.22383557895061726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1.6140699999999999</v>
      </c>
      <c r="H35" s="21">
        <v>5.3471000000000002</v>
      </c>
      <c r="I35" s="21">
        <v>-4.4970699999999997E-3</v>
      </c>
      <c r="J35" s="21">
        <v>25</v>
      </c>
      <c r="K35" s="21">
        <v>1.6128499999999999</v>
      </c>
      <c r="L35">
        <f t="shared" si="0"/>
        <v>5.5519382716049375</v>
      </c>
      <c r="M35">
        <f t="shared" si="1"/>
        <v>8.961217006049381</v>
      </c>
      <c r="N35" s="9"/>
      <c r="O35" s="21">
        <v>2.5939899999999998E-2</v>
      </c>
      <c r="P35" s="21">
        <v>9.0454299999999996</v>
      </c>
      <c r="Q35" s="21">
        <v>-8.6944599999999993E-3</v>
      </c>
      <c r="R35" s="21">
        <v>25</v>
      </c>
      <c r="S35" s="21">
        <v>2.5824E-2</v>
      </c>
      <c r="T35">
        <f t="shared" si="2"/>
        <v>10.733901234567901</v>
      </c>
      <c r="U35">
        <f t="shared" si="3"/>
        <v>0.27843632463456786</v>
      </c>
      <c r="X35" s="9"/>
      <c r="Y35" s="21">
        <v>1.6140699999999999</v>
      </c>
      <c r="Z35" s="21">
        <v>14.4823</v>
      </c>
      <c r="AA35" s="21">
        <v>-4.2596400000000003E-3</v>
      </c>
      <c r="AB35" s="21">
        <v>25</v>
      </c>
      <c r="AC35" s="21">
        <v>1.6128499999999999</v>
      </c>
      <c r="AD35">
        <f t="shared" si="4"/>
        <v>5.2588148148148148</v>
      </c>
      <c r="AE35">
        <f t="shared" si="5"/>
        <v>8.488095228148147</v>
      </c>
      <c r="AF35" s="9"/>
      <c r="AG35" s="21">
        <v>2.5939899999999998E-2</v>
      </c>
      <c r="AH35" s="21">
        <v>18.180599999999998</v>
      </c>
      <c r="AI35" s="21">
        <v>-8.7097200000000007E-3</v>
      </c>
      <c r="AJ35" s="21">
        <v>25</v>
      </c>
      <c r="AK35" s="21">
        <v>2.57568E-2</v>
      </c>
      <c r="AL35">
        <f t="shared" si="6"/>
        <v>10.752740740740741</v>
      </c>
      <c r="AM35">
        <f t="shared" si="7"/>
        <v>0.27892501954074073</v>
      </c>
      <c r="AP35" s="9"/>
      <c r="AQ35" s="21">
        <v>1.6140699999999999</v>
      </c>
      <c r="AR35" s="21">
        <v>23.544499999999999</v>
      </c>
      <c r="AS35" s="21">
        <v>-4.1784700000000001E-3</v>
      </c>
      <c r="AT35" s="21">
        <v>25</v>
      </c>
      <c r="AU35" s="21">
        <v>1.6128499999999999</v>
      </c>
      <c r="AV35">
        <f t="shared" si="8"/>
        <v>5.1586049382716039</v>
      </c>
      <c r="AW35">
        <f t="shared" si="9"/>
        <v>8.3263494727160481</v>
      </c>
      <c r="AX35" s="9"/>
      <c r="AY35" s="21">
        <v>2.5939899999999998E-2</v>
      </c>
      <c r="AZ35" s="21">
        <v>27.242899999999999</v>
      </c>
      <c r="BA35" s="21">
        <v>-8.6608899999999992E-3</v>
      </c>
      <c r="BB35" s="21">
        <v>25</v>
      </c>
      <c r="BC35" s="21">
        <v>2.57935E-2</v>
      </c>
      <c r="BD35">
        <f t="shared" si="10"/>
        <v>10.692456790123456</v>
      </c>
      <c r="BE35">
        <f t="shared" si="11"/>
        <v>0.27736125989012345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1.60904</v>
      </c>
      <c r="H36" s="21">
        <v>5.35717</v>
      </c>
      <c r="I36" s="21">
        <v>-4.5895399999999996E-3</v>
      </c>
      <c r="J36" s="21">
        <v>26</v>
      </c>
      <c r="K36" s="21">
        <v>1.6079699999999999</v>
      </c>
      <c r="L36">
        <f t="shared" si="0"/>
        <v>5.6660987654320971</v>
      </c>
      <c r="M36">
        <f t="shared" si="1"/>
        <v>9.1169795575308612</v>
      </c>
      <c r="N36" s="9"/>
      <c r="O36" s="21">
        <v>3.0975300000000001E-2</v>
      </c>
      <c r="P36" s="21">
        <v>9.0555000000000003</v>
      </c>
      <c r="Q36" s="21">
        <v>-8.6761500000000005E-3</v>
      </c>
      <c r="R36" s="21">
        <v>26</v>
      </c>
      <c r="S36" s="21">
        <v>3.08533E-2</v>
      </c>
      <c r="T36">
        <f t="shared" si="2"/>
        <v>10.711296296296297</v>
      </c>
      <c r="U36">
        <f t="shared" si="3"/>
        <v>0.33178561616666669</v>
      </c>
      <c r="X36" s="9"/>
      <c r="Y36" s="21">
        <v>1.60904</v>
      </c>
      <c r="Z36" s="21">
        <v>14.4924</v>
      </c>
      <c r="AA36" s="21">
        <v>-4.3536399999999998E-3</v>
      </c>
      <c r="AB36" s="21">
        <v>26</v>
      </c>
      <c r="AC36" s="21">
        <v>1.6088899999999999</v>
      </c>
      <c r="AD36">
        <f t="shared" si="4"/>
        <v>5.3748641975308633</v>
      </c>
      <c r="AE36">
        <f t="shared" si="5"/>
        <v>8.6483714883950604</v>
      </c>
      <c r="AF36" s="9"/>
      <c r="AG36" s="21">
        <v>3.0975300000000001E-2</v>
      </c>
      <c r="AH36" s="21">
        <v>18.1907</v>
      </c>
      <c r="AI36" s="21">
        <v>-8.6914100000000001E-3</v>
      </c>
      <c r="AJ36" s="21">
        <v>26</v>
      </c>
      <c r="AK36" s="21">
        <v>3.0838000000000001E-2</v>
      </c>
      <c r="AL36">
        <f t="shared" si="6"/>
        <v>10.730135802469135</v>
      </c>
      <c r="AM36">
        <f t="shared" si="7"/>
        <v>0.33236917552222223</v>
      </c>
      <c r="AP36" s="9"/>
      <c r="AQ36" s="21">
        <v>1.60904</v>
      </c>
      <c r="AR36" s="21">
        <v>23.554600000000001</v>
      </c>
      <c r="AS36" s="21">
        <v>-4.2697100000000003E-3</v>
      </c>
      <c r="AT36" s="21">
        <v>26</v>
      </c>
      <c r="AU36" s="21">
        <v>1.6079699999999999</v>
      </c>
      <c r="AV36">
        <f t="shared" si="8"/>
        <v>5.2712469135802476</v>
      </c>
      <c r="AW36">
        <f t="shared" si="9"/>
        <v>8.4816471338271615</v>
      </c>
      <c r="AX36" s="9"/>
      <c r="AY36" s="21">
        <v>3.0975300000000001E-2</v>
      </c>
      <c r="AZ36" s="21">
        <v>27.2529</v>
      </c>
      <c r="BA36" s="21">
        <v>-8.6425800000000004E-3</v>
      </c>
      <c r="BB36" s="21">
        <v>26</v>
      </c>
      <c r="BC36" s="21">
        <v>3.08258E-2</v>
      </c>
      <c r="BD36">
        <f t="shared" si="10"/>
        <v>10.669851851851853</v>
      </c>
      <c r="BE36">
        <f t="shared" si="11"/>
        <v>0.33050186206666671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1.6040000000000001</v>
      </c>
      <c r="H37" s="21">
        <v>5.3672399999999998</v>
      </c>
      <c r="I37" s="21">
        <v>-4.6771199999999999E-3</v>
      </c>
      <c r="J37" s="21">
        <v>27</v>
      </c>
      <c r="K37" s="21">
        <v>1.6030899999999999</v>
      </c>
      <c r="L37">
        <f t="shared" si="0"/>
        <v>5.774222222222221</v>
      </c>
      <c r="M37">
        <f t="shared" si="1"/>
        <v>9.2618524444444432</v>
      </c>
      <c r="N37" s="9"/>
      <c r="O37" s="21">
        <v>3.60107E-2</v>
      </c>
      <c r="P37" s="21">
        <v>9.0655800000000006</v>
      </c>
      <c r="Q37" s="21">
        <v>-8.6608899999999992E-3</v>
      </c>
      <c r="R37" s="21">
        <v>27</v>
      </c>
      <c r="S37" s="21">
        <v>3.5891699999999999E-2</v>
      </c>
      <c r="T37">
        <f t="shared" si="2"/>
        <v>10.692456790123456</v>
      </c>
      <c r="U37">
        <f t="shared" si="3"/>
        <v>0.38504285373209873</v>
      </c>
      <c r="X37" s="9"/>
      <c r="Y37" s="21">
        <v>1.6040000000000001</v>
      </c>
      <c r="Z37" s="21">
        <v>14.5025</v>
      </c>
      <c r="AA37" s="21">
        <v>-4.43787E-3</v>
      </c>
      <c r="AB37" s="21">
        <v>27</v>
      </c>
      <c r="AC37" s="21">
        <v>1.6036999999999999</v>
      </c>
      <c r="AD37">
        <f t="shared" si="4"/>
        <v>5.478851851851851</v>
      </c>
      <c r="AE37">
        <f t="shared" si="5"/>
        <v>8.7880783703703695</v>
      </c>
      <c r="AF37" s="9"/>
      <c r="AG37" s="21">
        <v>3.60107E-2</v>
      </c>
      <c r="AH37" s="21">
        <v>18.200800000000001</v>
      </c>
      <c r="AI37" s="21">
        <v>-8.6761500000000005E-3</v>
      </c>
      <c r="AJ37" s="21">
        <v>27</v>
      </c>
      <c r="AK37" s="21">
        <v>3.5891699999999999E-2</v>
      </c>
      <c r="AL37">
        <f t="shared" si="6"/>
        <v>10.711296296296297</v>
      </c>
      <c r="AM37">
        <f t="shared" si="7"/>
        <v>0.38572127753703705</v>
      </c>
      <c r="AP37" s="9"/>
      <c r="AQ37" s="21">
        <v>1.6040000000000001</v>
      </c>
      <c r="AR37" s="21">
        <v>23.564599999999999</v>
      </c>
      <c r="AS37" s="21">
        <v>-4.3621800000000002E-3</v>
      </c>
      <c r="AT37" s="21">
        <v>27</v>
      </c>
      <c r="AU37" s="21">
        <v>1.6033900000000001</v>
      </c>
      <c r="AV37">
        <f t="shared" si="8"/>
        <v>5.3854074074074072</v>
      </c>
      <c r="AW37">
        <f t="shared" si="9"/>
        <v>8.6381934814814816</v>
      </c>
      <c r="AX37" s="9"/>
      <c r="AY37" s="21">
        <v>3.60107E-2</v>
      </c>
      <c r="AZ37" s="21">
        <v>27.263000000000002</v>
      </c>
      <c r="BA37" s="21">
        <v>-8.6242699999999999E-3</v>
      </c>
      <c r="BB37" s="21">
        <v>27</v>
      </c>
      <c r="BC37" s="21">
        <v>3.58734E-2</v>
      </c>
      <c r="BD37">
        <f t="shared" si="10"/>
        <v>10.647246913580245</v>
      </c>
      <c r="BE37">
        <f t="shared" si="11"/>
        <v>0.38341481443086411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1.59897</v>
      </c>
      <c r="H38" s="21">
        <v>5.3773099999999996</v>
      </c>
      <c r="I38" s="21">
        <v>-4.7631799999999997E-3</v>
      </c>
      <c r="J38" s="21">
        <v>28</v>
      </c>
      <c r="K38" s="21">
        <v>1.5979000000000001</v>
      </c>
      <c r="L38">
        <f t="shared" si="0"/>
        <v>5.8804691358024685</v>
      </c>
      <c r="M38">
        <f t="shared" si="1"/>
        <v>9.4026937340740737</v>
      </c>
      <c r="N38" s="9"/>
      <c r="O38" s="21">
        <v>4.1046100000000002E-2</v>
      </c>
      <c r="P38" s="21">
        <v>9.0756499999999996</v>
      </c>
      <c r="Q38" s="21">
        <v>-8.6517299999999998E-3</v>
      </c>
      <c r="R38" s="21">
        <v>28</v>
      </c>
      <c r="S38" s="21">
        <v>4.0924099999999998E-2</v>
      </c>
      <c r="T38">
        <f t="shared" si="2"/>
        <v>10.681148148148148</v>
      </c>
      <c r="U38">
        <f t="shared" si="3"/>
        <v>0.43841947500370371</v>
      </c>
      <c r="X38" s="9"/>
      <c r="Y38" s="21">
        <v>1.59897</v>
      </c>
      <c r="Z38" s="21">
        <v>14.512499999999999</v>
      </c>
      <c r="AA38" s="21">
        <v>-4.52637E-3</v>
      </c>
      <c r="AB38" s="21">
        <v>28</v>
      </c>
      <c r="AC38" s="21">
        <v>1.5985100000000001</v>
      </c>
      <c r="AD38">
        <f t="shared" si="4"/>
        <v>5.5881111111111101</v>
      </c>
      <c r="AE38">
        <f t="shared" si="5"/>
        <v>8.9352220233333313</v>
      </c>
      <c r="AF38" s="9"/>
      <c r="AG38" s="21">
        <v>4.1046100000000002E-2</v>
      </c>
      <c r="AH38" s="21">
        <v>18.210899999999999</v>
      </c>
      <c r="AI38" s="21">
        <v>-8.6639400000000002E-3</v>
      </c>
      <c r="AJ38" s="21">
        <v>28</v>
      </c>
      <c r="AK38" s="21">
        <v>4.09454E-2</v>
      </c>
      <c r="AL38">
        <f t="shared" si="6"/>
        <v>10.696222222222222</v>
      </c>
      <c r="AM38">
        <f t="shared" si="7"/>
        <v>0.43903820695555557</v>
      </c>
      <c r="AP38" s="9"/>
      <c r="AQ38" s="21">
        <v>1.59897</v>
      </c>
      <c r="AR38" s="21">
        <v>23.5747</v>
      </c>
      <c r="AS38" s="21">
        <v>-4.4436600000000003E-3</v>
      </c>
      <c r="AT38" s="21">
        <v>28</v>
      </c>
      <c r="AU38" s="21">
        <v>1.5975999999999999</v>
      </c>
      <c r="AV38">
        <f t="shared" si="8"/>
        <v>5.4860000000000007</v>
      </c>
      <c r="AW38">
        <f t="shared" si="9"/>
        <v>8.7719494200000003</v>
      </c>
      <c r="AX38" s="9"/>
      <c r="AY38" s="21">
        <v>4.1046100000000002E-2</v>
      </c>
      <c r="AZ38" s="21">
        <v>27.273099999999999</v>
      </c>
      <c r="BA38" s="21">
        <v>-8.6029100000000001E-3</v>
      </c>
      <c r="BB38" s="21">
        <v>28</v>
      </c>
      <c r="BC38" s="21">
        <v>4.0908800000000002E-2</v>
      </c>
      <c r="BD38">
        <f t="shared" si="10"/>
        <v>10.620876543209876</v>
      </c>
      <c r="BE38">
        <f t="shared" si="11"/>
        <v>0.43594556068024692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1.5939300000000001</v>
      </c>
      <c r="H39" s="21">
        <v>5.3873800000000003</v>
      </c>
      <c r="I39" s="21">
        <v>-4.8422200000000004E-3</v>
      </c>
      <c r="J39" s="21">
        <v>29</v>
      </c>
      <c r="K39" s="21">
        <v>1.5933200000000001</v>
      </c>
      <c r="L39">
        <f t="shared" si="0"/>
        <v>5.9780493827160495</v>
      </c>
      <c r="M39">
        <f t="shared" si="1"/>
        <v>9.5285922525925937</v>
      </c>
      <c r="N39" s="9"/>
      <c r="O39" s="21">
        <v>4.6081499999999997E-2</v>
      </c>
      <c r="P39" s="21">
        <v>9.0857200000000002</v>
      </c>
      <c r="Q39" s="21">
        <v>-8.6395299999999994E-3</v>
      </c>
      <c r="R39" s="21">
        <v>29</v>
      </c>
      <c r="S39" s="21">
        <v>4.59747E-2</v>
      </c>
      <c r="T39">
        <f t="shared" si="2"/>
        <v>10.666086419753086</v>
      </c>
      <c r="U39">
        <f t="shared" si="3"/>
        <v>0.4915092613518518</v>
      </c>
      <c r="X39" s="9"/>
      <c r="Y39" s="21">
        <v>1.5939300000000001</v>
      </c>
      <c r="Z39" s="21">
        <v>14.522600000000001</v>
      </c>
      <c r="AA39" s="21">
        <v>-4.6069300000000004E-3</v>
      </c>
      <c r="AB39" s="21">
        <v>29</v>
      </c>
      <c r="AC39" s="21">
        <v>1.5927100000000001</v>
      </c>
      <c r="AD39">
        <f t="shared" si="4"/>
        <v>5.6875679012345683</v>
      </c>
      <c r="AE39">
        <f t="shared" si="5"/>
        <v>9.0655851048148151</v>
      </c>
      <c r="AF39" s="9"/>
      <c r="AG39" s="21">
        <v>4.6081499999999997E-2</v>
      </c>
      <c r="AH39" s="21">
        <v>18.2209</v>
      </c>
      <c r="AI39" s="21">
        <v>-8.6486800000000006E-3</v>
      </c>
      <c r="AJ39" s="21">
        <v>29</v>
      </c>
      <c r="AK39" s="21">
        <v>4.59747E-2</v>
      </c>
      <c r="AL39">
        <f t="shared" si="6"/>
        <v>10.677382716049381</v>
      </c>
      <c r="AM39">
        <f t="shared" si="7"/>
        <v>0.49202981162962955</v>
      </c>
      <c r="AP39" s="9"/>
      <c r="AQ39" s="21">
        <v>1.5939300000000001</v>
      </c>
      <c r="AR39" s="21">
        <v>23.584800000000001</v>
      </c>
      <c r="AS39" s="21">
        <v>-4.5281999999999996E-3</v>
      </c>
      <c r="AT39" s="21">
        <v>29</v>
      </c>
      <c r="AU39" s="21">
        <v>1.5933200000000001</v>
      </c>
      <c r="AV39">
        <f t="shared" si="8"/>
        <v>5.59037037037037</v>
      </c>
      <c r="AW39">
        <f t="shared" si="9"/>
        <v>8.9106590444444436</v>
      </c>
      <c r="AX39" s="9"/>
      <c r="AY39" s="21">
        <v>4.6081499999999997E-2</v>
      </c>
      <c r="AZ39" s="21">
        <v>27.283200000000001</v>
      </c>
      <c r="BA39" s="21">
        <v>-8.5815400000000003E-3</v>
      </c>
      <c r="BB39" s="21">
        <v>29</v>
      </c>
      <c r="BC39" s="21">
        <v>4.5953399999999998E-2</v>
      </c>
      <c r="BD39">
        <f t="shared" si="10"/>
        <v>10.594493827160493</v>
      </c>
      <c r="BE39">
        <f t="shared" si="11"/>
        <v>0.48821016729629624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1.5889</v>
      </c>
      <c r="H40" s="21">
        <v>5.3974500000000001</v>
      </c>
      <c r="I40" s="21">
        <v>-4.9267599999999996E-3</v>
      </c>
      <c r="J40" s="21">
        <v>30</v>
      </c>
      <c r="K40" s="21">
        <v>1.5884400000000001</v>
      </c>
      <c r="L40">
        <f t="shared" si="0"/>
        <v>6.0824197530864188</v>
      </c>
      <c r="M40">
        <f t="shared" si="1"/>
        <v>9.6643567456790098</v>
      </c>
      <c r="N40" s="9"/>
      <c r="O40" s="21">
        <v>5.11169E-2</v>
      </c>
      <c r="P40" s="21">
        <v>9.0957899999999992</v>
      </c>
      <c r="Q40" s="21">
        <v>-8.6273200000000008E-3</v>
      </c>
      <c r="R40" s="21">
        <v>30</v>
      </c>
      <c r="S40" s="21">
        <v>5.0689699999999997E-2</v>
      </c>
      <c r="T40">
        <f t="shared" si="2"/>
        <v>10.651012345679012</v>
      </c>
      <c r="U40">
        <f t="shared" si="3"/>
        <v>0.54444673297283952</v>
      </c>
      <c r="X40" s="9"/>
      <c r="Y40" s="21">
        <v>1.5889</v>
      </c>
      <c r="Z40" s="21">
        <v>14.5327</v>
      </c>
      <c r="AA40" s="21">
        <v>-4.6853600000000004E-3</v>
      </c>
      <c r="AB40" s="21">
        <v>30</v>
      </c>
      <c r="AC40" s="21">
        <v>1.5878300000000001</v>
      </c>
      <c r="AD40">
        <f t="shared" si="4"/>
        <v>5.7843950617283957</v>
      </c>
      <c r="AE40">
        <f t="shared" si="5"/>
        <v>9.1908253135802482</v>
      </c>
      <c r="AF40" s="9"/>
      <c r="AG40" s="21">
        <v>5.11169E-2</v>
      </c>
      <c r="AH40" s="21">
        <v>18.231000000000002</v>
      </c>
      <c r="AI40" s="21">
        <v>-8.6212200000000006E-3</v>
      </c>
      <c r="AJ40" s="21">
        <v>30</v>
      </c>
      <c r="AK40" s="21">
        <v>5.0628699999999999E-2</v>
      </c>
      <c r="AL40">
        <f t="shared" si="6"/>
        <v>10.643481481481482</v>
      </c>
      <c r="AM40">
        <f t="shared" si="7"/>
        <v>0.54406177854074078</v>
      </c>
      <c r="AP40" s="9"/>
      <c r="AQ40" s="21">
        <v>1.5889</v>
      </c>
      <c r="AR40" s="21">
        <v>23.594799999999999</v>
      </c>
      <c r="AS40" s="21">
        <v>-4.6075400000000002E-3</v>
      </c>
      <c r="AT40" s="21">
        <v>30</v>
      </c>
      <c r="AU40" s="21">
        <v>1.58813</v>
      </c>
      <c r="AV40">
        <f t="shared" si="8"/>
        <v>5.6883209876543201</v>
      </c>
      <c r="AW40">
        <f t="shared" si="9"/>
        <v>9.0381732172839495</v>
      </c>
      <c r="AX40" s="9"/>
      <c r="AY40" s="21">
        <v>5.11169E-2</v>
      </c>
      <c r="AZ40" s="21">
        <v>27.293199999999999</v>
      </c>
      <c r="BA40" s="21">
        <v>-8.5754400000000001E-3</v>
      </c>
      <c r="BB40" s="21">
        <v>30</v>
      </c>
      <c r="BC40" s="21">
        <v>5.0659200000000001E-2</v>
      </c>
      <c r="BD40">
        <f t="shared" si="10"/>
        <v>10.586962962962962</v>
      </c>
      <c r="BE40">
        <f t="shared" si="11"/>
        <v>0.54117272708148145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1.58386</v>
      </c>
      <c r="H41" s="21">
        <v>5.4075199999999999</v>
      </c>
      <c r="I41" s="21">
        <v>-5.0109899999999999E-3</v>
      </c>
      <c r="J41" s="21">
        <v>31</v>
      </c>
      <c r="K41" s="21">
        <v>1.5829500000000001</v>
      </c>
      <c r="L41">
        <f t="shared" si="0"/>
        <v>6.1864074074074074</v>
      </c>
      <c r="M41">
        <f t="shared" si="1"/>
        <v>9.7984032362962967</v>
      </c>
      <c r="N41" s="9"/>
      <c r="O41" s="21">
        <v>5.6152300000000002E-2</v>
      </c>
      <c r="P41" s="21">
        <v>9.1058599999999998</v>
      </c>
      <c r="Q41" s="21">
        <v>-8.6120599999999995E-3</v>
      </c>
      <c r="R41" s="21">
        <v>31</v>
      </c>
      <c r="S41" s="21">
        <v>5.5633500000000002E-2</v>
      </c>
      <c r="T41">
        <f t="shared" si="2"/>
        <v>10.632172839506172</v>
      </c>
      <c r="U41">
        <f t="shared" si="3"/>
        <v>0.59702095893580243</v>
      </c>
      <c r="X41" s="9"/>
      <c r="Y41" s="21">
        <v>1.58386</v>
      </c>
      <c r="Z41" s="21">
        <v>14.5427</v>
      </c>
      <c r="AA41" s="21">
        <v>-4.7595199999999997E-3</v>
      </c>
      <c r="AB41" s="21">
        <v>31</v>
      </c>
      <c r="AC41" s="21">
        <v>1.5829500000000001</v>
      </c>
      <c r="AD41">
        <f t="shared" si="4"/>
        <v>5.8759506172839497</v>
      </c>
      <c r="AE41">
        <f t="shared" si="5"/>
        <v>9.3066831446913572</v>
      </c>
      <c r="AF41" s="9"/>
      <c r="AG41" s="21">
        <v>5.6152300000000002E-2</v>
      </c>
      <c r="AH41" s="21">
        <v>18.241099999999999</v>
      </c>
      <c r="AI41" s="21">
        <v>-8.6029100000000001E-3</v>
      </c>
      <c r="AJ41" s="21">
        <v>31</v>
      </c>
      <c r="AK41" s="21">
        <v>5.57251E-2</v>
      </c>
      <c r="AL41">
        <f t="shared" si="6"/>
        <v>10.620876543209876</v>
      </c>
      <c r="AM41">
        <f t="shared" si="7"/>
        <v>0.59638664591728396</v>
      </c>
      <c r="AP41" s="9"/>
      <c r="AQ41" s="21">
        <v>1.58386</v>
      </c>
      <c r="AR41" s="21">
        <v>23.604900000000001</v>
      </c>
      <c r="AS41" s="21">
        <v>-4.6853600000000004E-3</v>
      </c>
      <c r="AT41" s="21">
        <v>31</v>
      </c>
      <c r="AU41" s="21">
        <v>1.5829500000000001</v>
      </c>
      <c r="AV41">
        <f t="shared" si="8"/>
        <v>5.7843950617283957</v>
      </c>
      <c r="AW41">
        <f t="shared" si="9"/>
        <v>9.1616719624691374</v>
      </c>
      <c r="AX41" s="9"/>
      <c r="AY41" s="21">
        <v>5.6152300000000002E-2</v>
      </c>
      <c r="AZ41" s="21">
        <v>27.3033</v>
      </c>
      <c r="BA41" s="21">
        <v>-8.5601800000000006E-3</v>
      </c>
      <c r="BB41" s="21">
        <v>31</v>
      </c>
      <c r="BC41" s="21">
        <v>5.5664100000000001E-2</v>
      </c>
      <c r="BD41">
        <f t="shared" si="10"/>
        <v>10.568123456790124</v>
      </c>
      <c r="BE41">
        <f t="shared" si="11"/>
        <v>0.59342443878271611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1.57883</v>
      </c>
      <c r="H42" s="21">
        <v>5.4175899999999997</v>
      </c>
      <c r="I42" s="21">
        <v>-5.0811800000000002E-3</v>
      </c>
      <c r="J42" s="21">
        <v>32</v>
      </c>
      <c r="K42" s="21">
        <v>1.57806</v>
      </c>
      <c r="L42">
        <f t="shared" si="0"/>
        <v>6.2730617283950609</v>
      </c>
      <c r="M42">
        <f t="shared" si="1"/>
        <v>9.9040980486419734</v>
      </c>
      <c r="N42" s="9"/>
      <c r="O42" s="21">
        <v>6.1187699999999998E-2</v>
      </c>
      <c r="P42" s="21">
        <v>9.1159300000000005</v>
      </c>
      <c r="Q42" s="21">
        <v>-8.5937500000000007E-3</v>
      </c>
      <c r="R42" s="21">
        <v>32</v>
      </c>
      <c r="S42" s="21">
        <v>6.0790999999999998E-2</v>
      </c>
      <c r="T42">
        <f t="shared" si="2"/>
        <v>10.609567901234568</v>
      </c>
      <c r="U42">
        <f t="shared" si="3"/>
        <v>0.64917505787037033</v>
      </c>
      <c r="X42" s="9"/>
      <c r="Y42" s="21">
        <v>1.57883</v>
      </c>
      <c r="Z42" s="21">
        <v>14.5528</v>
      </c>
      <c r="AA42" s="21">
        <v>-4.8281900000000004E-3</v>
      </c>
      <c r="AB42" s="21">
        <v>32</v>
      </c>
      <c r="AC42" s="21">
        <v>1.57806</v>
      </c>
      <c r="AD42">
        <f t="shared" si="4"/>
        <v>5.9607283950617287</v>
      </c>
      <c r="AE42">
        <f t="shared" si="5"/>
        <v>9.4109768119753081</v>
      </c>
      <c r="AF42" s="9"/>
      <c r="AG42" s="21">
        <v>6.1187699999999998E-2</v>
      </c>
      <c r="AH42" s="21">
        <v>18.251100000000001</v>
      </c>
      <c r="AI42" s="21">
        <v>-8.5784899999999994E-3</v>
      </c>
      <c r="AJ42" s="21">
        <v>32</v>
      </c>
      <c r="AK42" s="21">
        <v>6.0729999999999999E-2</v>
      </c>
      <c r="AL42">
        <f t="shared" si="6"/>
        <v>10.590728395061728</v>
      </c>
      <c r="AM42">
        <f t="shared" si="7"/>
        <v>0.64802231181851844</v>
      </c>
      <c r="AP42" s="9"/>
      <c r="AQ42" s="21">
        <v>1.57883</v>
      </c>
      <c r="AR42" s="21">
        <v>23.614999999999998</v>
      </c>
      <c r="AS42" s="21">
        <v>-4.7564699999999996E-3</v>
      </c>
      <c r="AT42" s="21">
        <v>32</v>
      </c>
      <c r="AU42" s="21">
        <v>1.5783700000000001</v>
      </c>
      <c r="AV42">
        <f t="shared" si="8"/>
        <v>5.8721851851851845</v>
      </c>
      <c r="AW42">
        <f t="shared" si="9"/>
        <v>9.2711821359259243</v>
      </c>
      <c r="AX42" s="9"/>
      <c r="AY42" s="21">
        <v>6.1187699999999998E-2</v>
      </c>
      <c r="AZ42" s="21">
        <v>27.313400000000001</v>
      </c>
      <c r="BA42" s="21">
        <v>-8.5510299999999994E-3</v>
      </c>
      <c r="BB42" s="21">
        <v>32</v>
      </c>
      <c r="BC42" s="21">
        <v>6.0729999999999999E-2</v>
      </c>
      <c r="BD42">
        <f t="shared" si="10"/>
        <v>10.556827160493826</v>
      </c>
      <c r="BE42">
        <f t="shared" si="11"/>
        <v>0.64594797324814812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1.57379</v>
      </c>
      <c r="H43" s="21">
        <v>5.4276600000000004</v>
      </c>
      <c r="I43" s="21">
        <v>-5.1574699999999999E-3</v>
      </c>
      <c r="J43" s="21">
        <v>33</v>
      </c>
      <c r="K43" s="21">
        <v>1.57318</v>
      </c>
      <c r="L43">
        <f t="shared" si="0"/>
        <v>6.3672469135802459</v>
      </c>
      <c r="M43">
        <f t="shared" si="1"/>
        <v>10.020709520123456</v>
      </c>
      <c r="N43" s="9"/>
      <c r="O43" s="21">
        <v>6.6223099999999993E-2</v>
      </c>
      <c r="P43" s="21">
        <v>9.1259999999999994</v>
      </c>
      <c r="Q43" s="21">
        <v>-8.5784899999999994E-3</v>
      </c>
      <c r="R43" s="21">
        <v>33</v>
      </c>
      <c r="S43" s="21">
        <v>6.5704299999999993E-2</v>
      </c>
      <c r="T43">
        <f t="shared" si="2"/>
        <v>10.590728395061728</v>
      </c>
      <c r="U43">
        <f t="shared" si="3"/>
        <v>0.70135086557901227</v>
      </c>
      <c r="X43" s="9"/>
      <c r="Y43" s="21">
        <v>1.57379</v>
      </c>
      <c r="Z43" s="21">
        <v>14.562900000000001</v>
      </c>
      <c r="AA43" s="21">
        <v>-4.8916599999999999E-3</v>
      </c>
      <c r="AB43" s="21">
        <v>33</v>
      </c>
      <c r="AC43" s="21">
        <v>1.57318</v>
      </c>
      <c r="AD43">
        <f t="shared" si="4"/>
        <v>6.0390864197530858</v>
      </c>
      <c r="AE43">
        <f t="shared" si="5"/>
        <v>9.5042538165432084</v>
      </c>
      <c r="AF43" s="9"/>
      <c r="AG43" s="21">
        <v>6.6223099999999993E-2</v>
      </c>
      <c r="AH43" s="21">
        <v>18.261199999999999</v>
      </c>
      <c r="AI43" s="21">
        <v>-8.5510299999999994E-3</v>
      </c>
      <c r="AJ43" s="21">
        <v>33</v>
      </c>
      <c r="AK43" s="21">
        <v>6.5704299999999993E-2</v>
      </c>
      <c r="AL43">
        <f t="shared" si="6"/>
        <v>10.556827160493826</v>
      </c>
      <c r="AM43">
        <f t="shared" si="7"/>
        <v>0.69910582073209859</v>
      </c>
      <c r="AP43" s="9"/>
      <c r="AQ43" s="21">
        <v>1.57379</v>
      </c>
      <c r="AR43" s="21">
        <v>23.6251</v>
      </c>
      <c r="AS43" s="21">
        <v>-4.8272699999999998E-3</v>
      </c>
      <c r="AT43" s="21">
        <v>33</v>
      </c>
      <c r="AU43" s="21">
        <v>1.5728800000000001</v>
      </c>
      <c r="AV43">
        <f t="shared" si="8"/>
        <v>5.9595925925925917</v>
      </c>
      <c r="AW43">
        <f t="shared" si="9"/>
        <v>9.3791472262962952</v>
      </c>
      <c r="AX43" s="9"/>
      <c r="AY43" s="21">
        <v>6.6223099999999993E-2</v>
      </c>
      <c r="AZ43" s="21">
        <v>27.323399999999999</v>
      </c>
      <c r="BA43" s="21">
        <v>-8.5388200000000008E-3</v>
      </c>
      <c r="BB43" s="21">
        <v>33</v>
      </c>
      <c r="BC43" s="21">
        <v>6.5795900000000004E-2</v>
      </c>
      <c r="BD43">
        <f t="shared" si="10"/>
        <v>10.541753086419755</v>
      </c>
      <c r="BE43">
        <f t="shared" si="11"/>
        <v>0.69810756881728397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1.5687599999999999</v>
      </c>
      <c r="H44" s="21">
        <v>5.4377399999999998</v>
      </c>
      <c r="I44" s="21">
        <v>-5.21851E-3</v>
      </c>
      <c r="J44" s="21">
        <v>34</v>
      </c>
      <c r="K44" s="21">
        <v>1.56799</v>
      </c>
      <c r="L44">
        <f t="shared" si="0"/>
        <v>6.4426049382716046</v>
      </c>
      <c r="M44">
        <f t="shared" si="1"/>
        <v>10.106900922962962</v>
      </c>
      <c r="N44" s="9"/>
      <c r="O44" s="21">
        <v>7.1258500000000002E-2</v>
      </c>
      <c r="P44" s="21">
        <v>9.1360700000000001</v>
      </c>
      <c r="Q44" s="21">
        <v>-8.5571299999999996E-3</v>
      </c>
      <c r="R44" s="21">
        <v>34</v>
      </c>
      <c r="S44" s="21">
        <v>7.08313E-2</v>
      </c>
      <c r="T44">
        <f t="shared" si="2"/>
        <v>10.564358024691355</v>
      </c>
      <c r="U44">
        <f t="shared" si="3"/>
        <v>0.75280030630246897</v>
      </c>
      <c r="X44" s="9"/>
      <c r="Y44" s="21">
        <v>1.5687599999999999</v>
      </c>
      <c r="Z44" s="21">
        <v>14.572900000000001</v>
      </c>
      <c r="AA44" s="21">
        <v>-4.9517800000000002E-3</v>
      </c>
      <c r="AB44" s="21">
        <v>34</v>
      </c>
      <c r="AC44" s="21">
        <v>1.56799</v>
      </c>
      <c r="AD44">
        <f t="shared" si="4"/>
        <v>6.1133086419753084</v>
      </c>
      <c r="AE44">
        <f t="shared" si="5"/>
        <v>9.5903140651851846</v>
      </c>
      <c r="AF44" s="9"/>
      <c r="AG44" s="21">
        <v>7.1258500000000002E-2</v>
      </c>
      <c r="AH44" s="21">
        <v>18.2713</v>
      </c>
      <c r="AI44" s="21">
        <v>-8.5296599999999997E-3</v>
      </c>
      <c r="AJ44" s="21">
        <v>34</v>
      </c>
      <c r="AK44" s="21">
        <v>7.0770299999999994E-2</v>
      </c>
      <c r="AL44">
        <f t="shared" si="6"/>
        <v>10.530444444444443</v>
      </c>
      <c r="AM44">
        <f t="shared" si="7"/>
        <v>0.7503836754444444</v>
      </c>
      <c r="AP44" s="9"/>
      <c r="AQ44" s="21">
        <v>1.5687599999999999</v>
      </c>
      <c r="AR44" s="21">
        <v>23.635100000000001</v>
      </c>
      <c r="AS44" s="21">
        <v>-4.8904400000000002E-3</v>
      </c>
      <c r="AT44" s="21">
        <v>34</v>
      </c>
      <c r="AU44" s="21">
        <v>1.56769</v>
      </c>
      <c r="AV44">
        <f t="shared" si="8"/>
        <v>6.0375802469135795</v>
      </c>
      <c r="AW44">
        <f t="shared" si="9"/>
        <v>9.4715143881481474</v>
      </c>
      <c r="AX44" s="9"/>
      <c r="AY44" s="21">
        <v>7.1258500000000002E-2</v>
      </c>
      <c r="AZ44" s="21">
        <v>27.333500000000001</v>
      </c>
      <c r="BA44" s="21">
        <v>-8.5205100000000002E-3</v>
      </c>
      <c r="BB44" s="21">
        <v>34</v>
      </c>
      <c r="BC44" s="21">
        <v>7.0800799999999997E-2</v>
      </c>
      <c r="BD44">
        <f t="shared" si="10"/>
        <v>10.519148148148147</v>
      </c>
      <c r="BE44">
        <f t="shared" si="11"/>
        <v>0.74957871831481482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1.56372</v>
      </c>
      <c r="H45" s="21">
        <v>5.4478099999999996</v>
      </c>
      <c r="I45" s="21">
        <v>-5.2795400000000001E-3</v>
      </c>
      <c r="J45" s="21">
        <v>35</v>
      </c>
      <c r="K45" s="21">
        <v>1.56311</v>
      </c>
      <c r="L45">
        <f t="shared" si="0"/>
        <v>6.5179506172839501</v>
      </c>
      <c r="M45">
        <f t="shared" si="1"/>
        <v>10.192249739259259</v>
      </c>
      <c r="N45" s="9"/>
      <c r="O45" s="21">
        <v>7.6293899999999998E-2</v>
      </c>
      <c r="P45" s="21">
        <v>9.1461400000000008</v>
      </c>
      <c r="Q45" s="21">
        <v>-8.5357699999999998E-3</v>
      </c>
      <c r="R45" s="21">
        <v>35</v>
      </c>
      <c r="S45" s="21">
        <v>7.5866699999999995E-2</v>
      </c>
      <c r="T45">
        <f t="shared" si="2"/>
        <v>10.537987654320986</v>
      </c>
      <c r="U45">
        <f t="shared" si="3"/>
        <v>0.80398417629999985</v>
      </c>
      <c r="X45" s="9"/>
      <c r="Y45" s="21">
        <v>1.56372</v>
      </c>
      <c r="Z45" s="21">
        <v>14.583</v>
      </c>
      <c r="AA45" s="21">
        <v>-5.0109899999999999E-3</v>
      </c>
      <c r="AB45" s="21">
        <v>35</v>
      </c>
      <c r="AC45" s="21">
        <v>1.56311</v>
      </c>
      <c r="AD45">
        <f t="shared" si="4"/>
        <v>6.1864074074074074</v>
      </c>
      <c r="AE45">
        <f t="shared" si="5"/>
        <v>9.6738089911111107</v>
      </c>
      <c r="AF45" s="9"/>
      <c r="AG45" s="21">
        <v>7.6293899999999998E-2</v>
      </c>
      <c r="AH45" s="21">
        <v>18.281400000000001</v>
      </c>
      <c r="AI45" s="21">
        <v>-8.5144000000000001E-3</v>
      </c>
      <c r="AJ45" s="21">
        <v>35</v>
      </c>
      <c r="AK45" s="21">
        <v>7.5836200000000006E-2</v>
      </c>
      <c r="AL45">
        <f t="shared" si="6"/>
        <v>10.511604938271603</v>
      </c>
      <c r="AM45">
        <f t="shared" si="7"/>
        <v>0.80197133599999981</v>
      </c>
      <c r="AP45" s="9"/>
      <c r="AQ45" s="21">
        <v>1.56372</v>
      </c>
      <c r="AR45" s="21">
        <v>23.645199999999999</v>
      </c>
      <c r="AS45" s="21">
        <v>-4.9484300000000002E-3</v>
      </c>
      <c r="AT45" s="21">
        <v>35</v>
      </c>
      <c r="AU45" s="21">
        <v>1.5625</v>
      </c>
      <c r="AV45">
        <f t="shared" si="8"/>
        <v>6.1091728395061722</v>
      </c>
      <c r="AW45">
        <f t="shared" si="9"/>
        <v>9.5530357525925922</v>
      </c>
      <c r="AX45" s="9"/>
      <c r="AY45" s="21">
        <v>7.6293899999999998E-2</v>
      </c>
      <c r="AZ45" s="21">
        <v>27.343599999999999</v>
      </c>
      <c r="BA45" s="21">
        <v>-8.5082999999999999E-3</v>
      </c>
      <c r="BB45" s="21">
        <v>35</v>
      </c>
      <c r="BC45" s="21">
        <v>7.5866699999999995E-2</v>
      </c>
      <c r="BD45">
        <f t="shared" si="10"/>
        <v>10.504074074074074</v>
      </c>
      <c r="BE45">
        <f t="shared" si="11"/>
        <v>0.801396777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1.5586899999999999</v>
      </c>
      <c r="H46" s="21">
        <v>5.4578800000000003</v>
      </c>
      <c r="I46" s="21">
        <v>-5.3497299999999996E-3</v>
      </c>
      <c r="J46" s="21">
        <v>36</v>
      </c>
      <c r="K46" s="21">
        <v>1.55792</v>
      </c>
      <c r="L46">
        <f t="shared" si="0"/>
        <v>6.6046049382716037</v>
      </c>
      <c r="M46">
        <f t="shared" si="1"/>
        <v>10.294531671234566</v>
      </c>
      <c r="N46" s="9"/>
      <c r="O46" s="21">
        <v>8.1329299999999993E-2</v>
      </c>
      <c r="P46" s="21">
        <v>9.1562099999999997</v>
      </c>
      <c r="Q46" s="21">
        <v>-8.5235599999999995E-3</v>
      </c>
      <c r="R46" s="21">
        <v>36</v>
      </c>
      <c r="S46" s="21">
        <v>8.0902100000000005E-2</v>
      </c>
      <c r="T46">
        <f t="shared" si="2"/>
        <v>10.522913580246913</v>
      </c>
      <c r="U46">
        <f t="shared" si="3"/>
        <v>0.85582119544197521</v>
      </c>
      <c r="X46" s="9"/>
      <c r="Y46" s="21">
        <v>1.5586899999999999</v>
      </c>
      <c r="Z46" s="21">
        <v>14.5931</v>
      </c>
      <c r="AA46" s="21">
        <v>-5.0750700000000001E-3</v>
      </c>
      <c r="AB46" s="21">
        <v>36</v>
      </c>
      <c r="AC46" s="21">
        <v>1.55823</v>
      </c>
      <c r="AD46">
        <f t="shared" si="4"/>
        <v>6.265518518518518</v>
      </c>
      <c r="AE46">
        <f t="shared" si="5"/>
        <v>9.7660010596296285</v>
      </c>
      <c r="AF46" s="9"/>
      <c r="AG46" s="21">
        <v>8.1329299999999993E-2</v>
      </c>
      <c r="AH46" s="21">
        <v>18.291399999999999</v>
      </c>
      <c r="AI46" s="21">
        <v>-8.4960899999999995E-3</v>
      </c>
      <c r="AJ46" s="21">
        <v>36</v>
      </c>
      <c r="AK46" s="21">
        <v>8.0932599999999993E-2</v>
      </c>
      <c r="AL46">
        <f t="shared" si="6"/>
        <v>10.488999999999999</v>
      </c>
      <c r="AM46">
        <f t="shared" si="7"/>
        <v>0.85306302769999987</v>
      </c>
      <c r="AP46" s="9"/>
      <c r="AQ46" s="21">
        <v>1.5586899999999999</v>
      </c>
      <c r="AR46" s="21">
        <v>23.6553</v>
      </c>
      <c r="AS46" s="21">
        <v>-5.0079299999999998E-3</v>
      </c>
      <c r="AT46" s="21">
        <v>36</v>
      </c>
      <c r="AU46" s="21">
        <v>1.55762</v>
      </c>
      <c r="AV46">
        <f t="shared" si="8"/>
        <v>6.1826296296296288</v>
      </c>
      <c r="AW46">
        <f t="shared" si="9"/>
        <v>9.636802977407406</v>
      </c>
      <c r="AX46" s="9"/>
      <c r="AY46" s="21">
        <v>8.1329299999999993E-2</v>
      </c>
      <c r="AZ46" s="21">
        <v>27.3536</v>
      </c>
      <c r="BA46" s="21">
        <v>-8.4930400000000003E-3</v>
      </c>
      <c r="BB46" s="21">
        <v>36</v>
      </c>
      <c r="BC46" s="21">
        <v>8.0902100000000005E-2</v>
      </c>
      <c r="BD46">
        <f t="shared" si="10"/>
        <v>10.485234567901234</v>
      </c>
      <c r="BE46">
        <f t="shared" si="11"/>
        <v>0.85275678774320973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1.55365</v>
      </c>
      <c r="H47" s="21">
        <v>5.4679500000000001</v>
      </c>
      <c r="I47" s="21">
        <v>-5.4138199999999997E-3</v>
      </c>
      <c r="J47" s="21">
        <v>37</v>
      </c>
      <c r="K47" s="21">
        <v>1.5527299999999999</v>
      </c>
      <c r="L47">
        <f t="shared" si="0"/>
        <v>6.6837283950617277</v>
      </c>
      <c r="M47">
        <f t="shared" si="1"/>
        <v>10.384174620987652</v>
      </c>
      <c r="N47" s="9"/>
      <c r="O47" s="21">
        <v>8.6364700000000003E-2</v>
      </c>
      <c r="P47" s="21">
        <v>9.16629</v>
      </c>
      <c r="Q47" s="21">
        <v>-8.5082999999999999E-3</v>
      </c>
      <c r="R47" s="21">
        <v>37</v>
      </c>
      <c r="S47" s="21">
        <v>8.59375E-2</v>
      </c>
      <c r="T47">
        <f t="shared" si="2"/>
        <v>10.504074074074074</v>
      </c>
      <c r="U47">
        <f t="shared" si="3"/>
        <v>0.90718120618518516</v>
      </c>
      <c r="X47" s="9"/>
      <c r="Y47" s="21">
        <v>1.55365</v>
      </c>
      <c r="Z47" s="21">
        <v>14.603199999999999</v>
      </c>
      <c r="AA47" s="21">
        <v>-5.1452599999999996E-3</v>
      </c>
      <c r="AB47" s="21">
        <v>37</v>
      </c>
      <c r="AC47" s="21">
        <v>1.5527299999999999</v>
      </c>
      <c r="AD47">
        <f t="shared" si="4"/>
        <v>6.3521728395061716</v>
      </c>
      <c r="AE47">
        <f t="shared" si="5"/>
        <v>9.8690533320987637</v>
      </c>
      <c r="AF47" s="9"/>
      <c r="AG47" s="21">
        <v>8.6364700000000003E-2</v>
      </c>
      <c r="AH47" s="21">
        <v>18.301500000000001</v>
      </c>
      <c r="AI47" s="21">
        <v>-8.4838899999999991E-3</v>
      </c>
      <c r="AJ47" s="21">
        <v>37</v>
      </c>
      <c r="AK47" s="21">
        <v>8.5906999999999997E-2</v>
      </c>
      <c r="AL47">
        <f t="shared" si="6"/>
        <v>10.473938271604936</v>
      </c>
      <c r="AM47">
        <f t="shared" si="7"/>
        <v>0.90457853664567889</v>
      </c>
      <c r="AP47" s="9"/>
      <c r="AQ47" s="21">
        <v>1.55365</v>
      </c>
      <c r="AR47" s="21">
        <v>23.665299999999998</v>
      </c>
      <c r="AS47" s="21">
        <v>-5.0689699999999999E-3</v>
      </c>
      <c r="AT47" s="21">
        <v>37</v>
      </c>
      <c r="AU47" s="21">
        <v>1.5521199999999999</v>
      </c>
      <c r="AV47">
        <f t="shared" si="8"/>
        <v>6.2579876543209867</v>
      </c>
      <c r="AW47">
        <f t="shared" si="9"/>
        <v>9.7227225191358002</v>
      </c>
      <c r="AX47" s="9"/>
      <c r="AY47" s="21">
        <v>8.6364700000000003E-2</v>
      </c>
      <c r="AZ47" s="21">
        <v>27.363700000000001</v>
      </c>
      <c r="BA47" s="21">
        <v>-8.4777800000000007E-3</v>
      </c>
      <c r="BB47" s="21">
        <v>37</v>
      </c>
      <c r="BC47" s="21">
        <v>8.59375E-2</v>
      </c>
      <c r="BD47">
        <f t="shared" si="10"/>
        <v>10.466395061728395</v>
      </c>
      <c r="BE47">
        <f t="shared" si="11"/>
        <v>0.90392706958765434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1.54861</v>
      </c>
      <c r="H48" s="21">
        <v>5.4780199999999999</v>
      </c>
      <c r="I48" s="21">
        <v>-5.4779099999999999E-3</v>
      </c>
      <c r="J48" s="21">
        <v>38</v>
      </c>
      <c r="K48" s="21">
        <v>1.5478499999999999</v>
      </c>
      <c r="L48">
        <f t="shared" si="0"/>
        <v>6.7628518518518517</v>
      </c>
      <c r="M48">
        <f t="shared" si="1"/>
        <v>10.473020006296297</v>
      </c>
      <c r="N48" s="9"/>
      <c r="O48" s="21">
        <v>9.1400099999999998E-2</v>
      </c>
      <c r="P48" s="21">
        <v>9.1763600000000007</v>
      </c>
      <c r="Q48" s="21">
        <v>-8.4960899999999995E-3</v>
      </c>
      <c r="R48" s="21">
        <v>38</v>
      </c>
      <c r="S48" s="21">
        <v>9.0972899999999995E-2</v>
      </c>
      <c r="T48">
        <f t="shared" si="2"/>
        <v>10.488999999999999</v>
      </c>
      <c r="U48">
        <f t="shared" si="3"/>
        <v>0.95869564889999992</v>
      </c>
      <c r="X48" s="9"/>
      <c r="Y48" s="21">
        <v>1.54861</v>
      </c>
      <c r="Z48" s="21">
        <v>14.613200000000001</v>
      </c>
      <c r="AA48" s="21">
        <v>-5.2062999999999996E-3</v>
      </c>
      <c r="AB48" s="21">
        <v>38</v>
      </c>
      <c r="AC48" s="21">
        <v>1.54816</v>
      </c>
      <c r="AD48">
        <f t="shared" si="4"/>
        <v>6.4275308641975304</v>
      </c>
      <c r="AE48">
        <f t="shared" si="5"/>
        <v>9.9537385716049371</v>
      </c>
      <c r="AF48" s="9"/>
      <c r="AG48" s="21">
        <v>9.1400099999999998E-2</v>
      </c>
      <c r="AH48" s="21">
        <v>18.311599999999999</v>
      </c>
      <c r="AI48" s="21">
        <v>-8.4716800000000005E-3</v>
      </c>
      <c r="AJ48" s="21">
        <v>38</v>
      </c>
      <c r="AK48" s="21">
        <v>9.0881299999999998E-2</v>
      </c>
      <c r="AL48">
        <f t="shared" si="6"/>
        <v>10.458864197530865</v>
      </c>
      <c r="AM48">
        <f t="shared" si="7"/>
        <v>0.95594123354074079</v>
      </c>
      <c r="AP48" s="9"/>
      <c r="AQ48" s="21">
        <v>1.54861</v>
      </c>
      <c r="AR48" s="21">
        <v>23.6754</v>
      </c>
      <c r="AS48" s="21">
        <v>-5.13E-3</v>
      </c>
      <c r="AT48" s="21">
        <v>38</v>
      </c>
      <c r="AU48" s="21">
        <v>1.54816</v>
      </c>
      <c r="AV48">
        <f t="shared" si="8"/>
        <v>6.333333333333333</v>
      </c>
      <c r="AW48">
        <f t="shared" si="9"/>
        <v>9.8078633333333336</v>
      </c>
      <c r="AX48" s="9"/>
      <c r="AY48" s="21">
        <v>9.1400099999999998E-2</v>
      </c>
      <c r="AZ48" s="21">
        <v>27.373799999999999</v>
      </c>
      <c r="BA48" s="21">
        <v>-8.4594700000000002E-3</v>
      </c>
      <c r="BB48" s="21">
        <v>38</v>
      </c>
      <c r="BC48" s="21">
        <v>9.0942400000000007E-2</v>
      </c>
      <c r="BD48">
        <f t="shared" si="10"/>
        <v>10.44379012345679</v>
      </c>
      <c r="BE48">
        <f t="shared" si="11"/>
        <v>0.95456346166296291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1.54358</v>
      </c>
      <c r="H49" s="21">
        <v>5.4880899999999997</v>
      </c>
      <c r="I49" s="21">
        <v>-5.5358899999999999E-3</v>
      </c>
      <c r="J49" s="21">
        <v>39</v>
      </c>
      <c r="K49" s="21">
        <v>1.5426599999999999</v>
      </c>
      <c r="L49">
        <f t="shared" si="0"/>
        <v>6.834432098765431</v>
      </c>
      <c r="M49">
        <f t="shared" si="1"/>
        <v>10.549492699012344</v>
      </c>
      <c r="N49" s="9"/>
      <c r="O49" s="21">
        <v>9.6435499999999993E-2</v>
      </c>
      <c r="P49" s="21">
        <v>9.1864299999999997</v>
      </c>
      <c r="Q49" s="21">
        <v>-8.4777800000000007E-3</v>
      </c>
      <c r="R49" s="21">
        <v>39</v>
      </c>
      <c r="S49" s="21">
        <v>9.5947299999999999E-2</v>
      </c>
      <c r="T49">
        <f t="shared" si="2"/>
        <v>10.466395061728395</v>
      </c>
      <c r="U49">
        <f t="shared" si="3"/>
        <v>1.0093320409753086</v>
      </c>
      <c r="X49" s="9"/>
      <c r="Y49" s="21">
        <v>1.54358</v>
      </c>
      <c r="Z49" s="21">
        <v>14.6233</v>
      </c>
      <c r="AA49" s="21">
        <v>-5.2703899999999998E-3</v>
      </c>
      <c r="AB49" s="21">
        <v>39</v>
      </c>
      <c r="AC49" s="21">
        <v>1.54297</v>
      </c>
      <c r="AD49">
        <f t="shared" si="4"/>
        <v>6.5066543209876535</v>
      </c>
      <c r="AE49">
        <f t="shared" si="5"/>
        <v>10.043541476790121</v>
      </c>
      <c r="AF49" s="9"/>
      <c r="AG49" s="21">
        <v>9.6435499999999993E-2</v>
      </c>
      <c r="AH49" s="21">
        <v>18.3216</v>
      </c>
      <c r="AI49" s="21">
        <v>-8.4594700000000002E-3</v>
      </c>
      <c r="AJ49" s="21">
        <v>39</v>
      </c>
      <c r="AK49" s="21">
        <v>9.5916699999999994E-2</v>
      </c>
      <c r="AL49">
        <f t="shared" si="6"/>
        <v>10.44379012345679</v>
      </c>
      <c r="AM49">
        <f t="shared" si="7"/>
        <v>1.0071521224506172</v>
      </c>
      <c r="AP49" s="9"/>
      <c r="AQ49" s="21">
        <v>1.54358</v>
      </c>
      <c r="AR49" s="21">
        <v>23.685500000000001</v>
      </c>
      <c r="AS49" s="21">
        <v>-5.1910400000000001E-3</v>
      </c>
      <c r="AT49" s="21">
        <v>39</v>
      </c>
      <c r="AU49" s="21">
        <v>1.54297</v>
      </c>
      <c r="AV49">
        <f t="shared" si="8"/>
        <v>6.4086913580246909</v>
      </c>
      <c r="AW49">
        <f t="shared" si="9"/>
        <v>9.8923278064197522</v>
      </c>
      <c r="AX49" s="9"/>
      <c r="AY49" s="21">
        <v>9.6435499999999993E-2</v>
      </c>
      <c r="AZ49" s="21">
        <v>27.383900000000001</v>
      </c>
      <c r="BA49" s="21">
        <v>-8.4472699999999998E-3</v>
      </c>
      <c r="BB49" s="21">
        <v>39</v>
      </c>
      <c r="BC49" s="21">
        <v>9.6008300000000005E-2</v>
      </c>
      <c r="BD49">
        <f t="shared" si="10"/>
        <v>10.428728395061729</v>
      </c>
      <c r="BE49">
        <f t="shared" si="11"/>
        <v>1.0056996371419753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1.53854</v>
      </c>
      <c r="H50" s="21">
        <v>5.4981600000000004</v>
      </c>
      <c r="I50" s="21">
        <v>-5.5877699999999997E-3</v>
      </c>
      <c r="J50" s="21">
        <v>40</v>
      </c>
      <c r="K50" s="21">
        <v>1.53748</v>
      </c>
      <c r="L50">
        <f t="shared" si="0"/>
        <v>6.8984814814814799</v>
      </c>
      <c r="M50">
        <f t="shared" si="1"/>
        <v>10.613589698518517</v>
      </c>
      <c r="N50" s="9"/>
      <c r="O50" s="21">
        <v>0.10147100000000001</v>
      </c>
      <c r="P50" s="21">
        <v>9.1965000000000003</v>
      </c>
      <c r="Q50" s="21">
        <v>-8.4625199999999994E-3</v>
      </c>
      <c r="R50" s="21">
        <v>40</v>
      </c>
      <c r="S50" s="21">
        <v>0.10104399999999999</v>
      </c>
      <c r="T50">
        <f t="shared" si="2"/>
        <v>10.447555555555553</v>
      </c>
      <c r="U50">
        <f t="shared" si="3"/>
        <v>1.0601239097777775</v>
      </c>
      <c r="X50" s="9"/>
      <c r="Y50" s="21">
        <v>1.53854</v>
      </c>
      <c r="Z50" s="21">
        <v>14.6334</v>
      </c>
      <c r="AA50" s="21">
        <v>-5.3314199999999999E-3</v>
      </c>
      <c r="AB50" s="21">
        <v>40</v>
      </c>
      <c r="AC50" s="21">
        <v>1.5377799999999999</v>
      </c>
      <c r="AD50">
        <f t="shared" si="4"/>
        <v>6.581999999999999</v>
      </c>
      <c r="AE50">
        <f t="shared" si="5"/>
        <v>10.126670279999999</v>
      </c>
      <c r="AF50" s="9"/>
      <c r="AG50" s="21">
        <v>0.10147100000000001</v>
      </c>
      <c r="AH50" s="21">
        <v>18.331700000000001</v>
      </c>
      <c r="AI50" s="21">
        <v>-8.4472699999999998E-3</v>
      </c>
      <c r="AJ50" s="21">
        <v>40</v>
      </c>
      <c r="AK50" s="21">
        <v>0.100952</v>
      </c>
      <c r="AL50">
        <f t="shared" si="6"/>
        <v>10.428728395061729</v>
      </c>
      <c r="AM50">
        <f t="shared" si="7"/>
        <v>1.0582134989753087</v>
      </c>
      <c r="AP50" s="9"/>
      <c r="AQ50" s="21">
        <v>1.53854</v>
      </c>
      <c r="AR50" s="21">
        <v>23.695599999999999</v>
      </c>
      <c r="AS50" s="21">
        <v>-5.24597E-3</v>
      </c>
      <c r="AT50" s="21">
        <v>40</v>
      </c>
      <c r="AU50" s="21">
        <v>1.53748</v>
      </c>
      <c r="AV50">
        <f t="shared" si="8"/>
        <v>6.4765061728395059</v>
      </c>
      <c r="AW50">
        <f t="shared" si="9"/>
        <v>9.9643638071604936</v>
      </c>
      <c r="AX50" s="9"/>
      <c r="AY50" s="21">
        <v>0.10147100000000001</v>
      </c>
      <c r="AZ50" s="21">
        <v>27.393899999999999</v>
      </c>
      <c r="BA50" s="21">
        <v>-8.4259000000000001E-3</v>
      </c>
      <c r="BB50" s="21">
        <v>40</v>
      </c>
      <c r="BC50" s="21">
        <v>0.10101300000000001</v>
      </c>
      <c r="BD50">
        <f t="shared" si="10"/>
        <v>10.402345679012345</v>
      </c>
      <c r="BE50">
        <f t="shared" si="11"/>
        <v>1.0555364183950617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1.5335099999999999</v>
      </c>
      <c r="H51" s="21">
        <v>5.5082300000000002</v>
      </c>
      <c r="I51" s="21">
        <v>-5.6335400000000002E-3</v>
      </c>
      <c r="J51" s="21">
        <v>41</v>
      </c>
      <c r="K51" s="21">
        <v>1.5325899999999999</v>
      </c>
      <c r="L51">
        <f t="shared" si="0"/>
        <v>6.9549876543209876</v>
      </c>
      <c r="M51">
        <f t="shared" si="1"/>
        <v>10.665543117777776</v>
      </c>
      <c r="N51" s="9"/>
      <c r="O51" s="21">
        <v>0.106506</v>
      </c>
      <c r="P51" s="21">
        <v>9.2065699999999993</v>
      </c>
      <c r="Q51" s="21">
        <v>-8.4564199999999992E-3</v>
      </c>
      <c r="R51" s="21">
        <v>41</v>
      </c>
      <c r="S51" s="21">
        <v>0.106049</v>
      </c>
      <c r="T51">
        <f t="shared" si="2"/>
        <v>10.440024691358024</v>
      </c>
      <c r="U51">
        <f t="shared" si="3"/>
        <v>1.1119252697777777</v>
      </c>
      <c r="X51" s="9"/>
      <c r="Y51" s="21">
        <v>1.5335099999999999</v>
      </c>
      <c r="Z51" s="21">
        <v>14.6434</v>
      </c>
      <c r="AA51" s="21">
        <v>-5.3863499999999998E-3</v>
      </c>
      <c r="AB51" s="21">
        <v>41</v>
      </c>
      <c r="AC51" s="21">
        <v>1.5331999999999999</v>
      </c>
      <c r="AD51">
        <f t="shared" si="4"/>
        <v>6.649814814814814</v>
      </c>
      <c r="AE51">
        <f t="shared" si="5"/>
        <v>10.197557516666665</v>
      </c>
      <c r="AF51" s="9"/>
      <c r="AG51" s="21">
        <v>0.106506</v>
      </c>
      <c r="AH51" s="21">
        <v>18.341799999999999</v>
      </c>
      <c r="AI51" s="21">
        <v>-8.4381100000000004E-3</v>
      </c>
      <c r="AJ51" s="21">
        <v>41</v>
      </c>
      <c r="AK51" s="21">
        <v>0.105988</v>
      </c>
      <c r="AL51">
        <f t="shared" si="6"/>
        <v>10.417419753086421</v>
      </c>
      <c r="AM51">
        <f t="shared" si="7"/>
        <v>1.1095177082222223</v>
      </c>
      <c r="AP51" s="9"/>
      <c r="AQ51" s="21">
        <v>1.5335099999999999</v>
      </c>
      <c r="AR51" s="21">
        <v>23.7056</v>
      </c>
      <c r="AS51" s="21">
        <v>-5.30701E-3</v>
      </c>
      <c r="AT51" s="21">
        <v>41</v>
      </c>
      <c r="AU51" s="21">
        <v>1.5322899999999999</v>
      </c>
      <c r="AV51">
        <f t="shared" si="8"/>
        <v>6.5518641975308638</v>
      </c>
      <c r="AW51">
        <f t="shared" si="9"/>
        <v>10.047349265555555</v>
      </c>
      <c r="AX51" s="9"/>
      <c r="AY51" s="21">
        <v>0.106506</v>
      </c>
      <c r="AZ51" s="21">
        <v>27.404</v>
      </c>
      <c r="BA51" s="21">
        <v>-8.4106400000000005E-3</v>
      </c>
      <c r="BB51" s="21">
        <v>41</v>
      </c>
      <c r="BC51" s="21">
        <v>0.106049</v>
      </c>
      <c r="BD51">
        <f t="shared" si="10"/>
        <v>10.383506172839505</v>
      </c>
      <c r="BE51">
        <f t="shared" si="11"/>
        <v>1.1059057084444444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1.52847</v>
      </c>
      <c r="H52" s="21">
        <v>5.5183</v>
      </c>
      <c r="I52" s="21">
        <v>-5.6793199999999999E-3</v>
      </c>
      <c r="J52" s="21">
        <v>42</v>
      </c>
      <c r="K52" s="21">
        <v>1.5274000000000001</v>
      </c>
      <c r="L52">
        <f t="shared" si="0"/>
        <v>7.0115061728395052</v>
      </c>
      <c r="M52">
        <f t="shared" si="1"/>
        <v>10.716876839999998</v>
      </c>
      <c r="N52" s="9"/>
      <c r="O52" s="21">
        <v>0.111542</v>
      </c>
      <c r="P52" s="21">
        <v>9.2166399999999999</v>
      </c>
      <c r="Q52" s="21">
        <v>-8.4442100000000006E-3</v>
      </c>
      <c r="R52" s="21">
        <v>42</v>
      </c>
      <c r="S52" s="21">
        <v>0.111084</v>
      </c>
      <c r="T52">
        <f t="shared" si="2"/>
        <v>10.424950617283951</v>
      </c>
      <c r="U52">
        <f t="shared" si="3"/>
        <v>1.1628198417530864</v>
      </c>
      <c r="X52" s="9"/>
      <c r="Y52" s="21">
        <v>1.52847</v>
      </c>
      <c r="Z52" s="21">
        <v>14.653499999999999</v>
      </c>
      <c r="AA52" s="21">
        <v>-5.4321300000000003E-3</v>
      </c>
      <c r="AB52" s="21">
        <v>42</v>
      </c>
      <c r="AC52" s="21">
        <v>1.5283199999999999</v>
      </c>
      <c r="AD52">
        <f t="shared" si="4"/>
        <v>6.7063333333333333</v>
      </c>
      <c r="AE52">
        <f t="shared" si="5"/>
        <v>10.250429309999999</v>
      </c>
      <c r="AF52" s="9"/>
      <c r="AG52" s="21">
        <v>0.111542</v>
      </c>
      <c r="AH52" s="21">
        <v>18.351900000000001</v>
      </c>
      <c r="AI52" s="21">
        <v>-8.4259000000000001E-3</v>
      </c>
      <c r="AJ52" s="21">
        <v>42</v>
      </c>
      <c r="AK52" s="21">
        <v>0.111084</v>
      </c>
      <c r="AL52">
        <f t="shared" si="6"/>
        <v>10.402345679012345</v>
      </c>
      <c r="AM52">
        <f t="shared" si="7"/>
        <v>1.160298441728395</v>
      </c>
      <c r="AP52" s="9"/>
      <c r="AQ52" s="21">
        <v>1.52847</v>
      </c>
      <c r="AR52" s="21">
        <v>23.715699999999998</v>
      </c>
      <c r="AS52" s="21">
        <v>-5.3680400000000001E-3</v>
      </c>
      <c r="AT52" s="21">
        <v>42</v>
      </c>
      <c r="AU52" s="21">
        <v>1.5277099999999999</v>
      </c>
      <c r="AV52">
        <f t="shared" si="8"/>
        <v>6.6272098765432101</v>
      </c>
      <c r="AW52">
        <f t="shared" si="9"/>
        <v>10.12949148</v>
      </c>
      <c r="AX52" s="9"/>
      <c r="AY52" s="21">
        <v>0.111542</v>
      </c>
      <c r="AZ52" s="21">
        <v>27.414100000000001</v>
      </c>
      <c r="BA52" s="21">
        <v>-8.3984400000000001E-3</v>
      </c>
      <c r="BB52" s="21">
        <v>42</v>
      </c>
      <c r="BC52" s="21">
        <v>0.111084</v>
      </c>
      <c r="BD52">
        <f t="shared" si="10"/>
        <v>10.368444444444444</v>
      </c>
      <c r="BE52">
        <f t="shared" si="11"/>
        <v>1.1565170302222223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1.5234399999999999</v>
      </c>
      <c r="H53" s="21">
        <v>5.5283699999999998</v>
      </c>
      <c r="I53" s="21">
        <v>-5.7281500000000004E-3</v>
      </c>
      <c r="J53" s="21">
        <v>43</v>
      </c>
      <c r="K53" s="21">
        <v>1.5222199999999999</v>
      </c>
      <c r="L53">
        <f t="shared" si="0"/>
        <v>7.0717901234567906</v>
      </c>
      <c r="M53">
        <f t="shared" si="1"/>
        <v>10.773447945679012</v>
      </c>
      <c r="N53" s="9"/>
      <c r="O53" s="21">
        <v>0.116577</v>
      </c>
      <c r="P53" s="21">
        <v>9.2267100000000006</v>
      </c>
      <c r="Q53" s="21">
        <v>-8.4350599999999994E-3</v>
      </c>
      <c r="R53" s="21">
        <v>43</v>
      </c>
      <c r="S53" s="21">
        <v>0.116119</v>
      </c>
      <c r="T53">
        <f t="shared" si="2"/>
        <v>10.413654320987654</v>
      </c>
      <c r="U53">
        <f t="shared" si="3"/>
        <v>1.2139925797777777</v>
      </c>
      <c r="X53" s="9"/>
      <c r="Y53" s="21">
        <v>1.5234399999999999</v>
      </c>
      <c r="Z53" s="21">
        <v>14.663600000000001</v>
      </c>
      <c r="AA53" s="21">
        <v>-5.48096E-3</v>
      </c>
      <c r="AB53" s="21">
        <v>43</v>
      </c>
      <c r="AC53" s="21">
        <v>1.5225200000000001</v>
      </c>
      <c r="AD53">
        <f t="shared" si="4"/>
        <v>6.766617283950616</v>
      </c>
      <c r="AE53">
        <f t="shared" si="5"/>
        <v>10.308535435061726</v>
      </c>
      <c r="AF53" s="9"/>
      <c r="AG53" s="21">
        <v>0.116577</v>
      </c>
      <c r="AH53" s="21">
        <v>18.361899999999999</v>
      </c>
      <c r="AI53" s="21">
        <v>-8.4106400000000005E-3</v>
      </c>
      <c r="AJ53" s="21">
        <v>43</v>
      </c>
      <c r="AK53" s="21">
        <v>0.116089</v>
      </c>
      <c r="AL53">
        <f t="shared" si="6"/>
        <v>10.383506172839505</v>
      </c>
      <c r="AM53">
        <f t="shared" si="7"/>
        <v>1.210477999111111</v>
      </c>
      <c r="AP53" s="9"/>
      <c r="AQ53" s="21">
        <v>1.5234399999999999</v>
      </c>
      <c r="AR53" s="21">
        <v>23.7258</v>
      </c>
      <c r="AS53" s="21">
        <v>-5.4138199999999997E-3</v>
      </c>
      <c r="AT53" s="21">
        <v>43</v>
      </c>
      <c r="AU53" s="21">
        <v>1.5225200000000001</v>
      </c>
      <c r="AV53">
        <f t="shared" si="8"/>
        <v>6.6837283950617277</v>
      </c>
      <c r="AW53">
        <f t="shared" si="9"/>
        <v>10.182259186172837</v>
      </c>
      <c r="AX53" s="9"/>
      <c r="AY53" s="21">
        <v>0.116577</v>
      </c>
      <c r="AZ53" s="21">
        <v>27.424099999999999</v>
      </c>
      <c r="BA53" s="21">
        <v>-8.3740199999999994E-3</v>
      </c>
      <c r="BB53" s="21">
        <v>43</v>
      </c>
      <c r="BC53" s="21">
        <v>0.116119</v>
      </c>
      <c r="BD53">
        <f t="shared" si="10"/>
        <v>10.338296296296296</v>
      </c>
      <c r="BE53">
        <f t="shared" si="11"/>
        <v>1.2052075673333333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1.5184</v>
      </c>
      <c r="H54" s="21">
        <v>5.5384500000000001</v>
      </c>
      <c r="I54" s="21">
        <v>-5.77393E-3</v>
      </c>
      <c r="J54" s="21">
        <v>44</v>
      </c>
      <c r="K54" s="21">
        <v>1.5173300000000001</v>
      </c>
      <c r="L54">
        <f t="shared" si="0"/>
        <v>7.1283086419753081</v>
      </c>
      <c r="M54">
        <f t="shared" si="1"/>
        <v>10.823623841975307</v>
      </c>
      <c r="N54" s="9"/>
      <c r="O54" s="21">
        <v>0.121613</v>
      </c>
      <c r="P54" s="21">
        <v>9.2367799999999995</v>
      </c>
      <c r="Q54" s="21">
        <v>-8.4228500000000008E-3</v>
      </c>
      <c r="R54" s="21">
        <v>44</v>
      </c>
      <c r="S54" s="21">
        <v>0.121155</v>
      </c>
      <c r="T54">
        <f t="shared" si="2"/>
        <v>10.39858024691358</v>
      </c>
      <c r="U54">
        <f t="shared" si="3"/>
        <v>1.2646025395679013</v>
      </c>
      <c r="X54" s="9"/>
      <c r="Y54" s="21">
        <v>1.5184</v>
      </c>
      <c r="Z54" s="21">
        <v>14.6737</v>
      </c>
      <c r="AA54" s="21">
        <v>-5.5206300000000003E-3</v>
      </c>
      <c r="AB54" s="21">
        <v>44</v>
      </c>
      <c r="AC54" s="21">
        <v>1.5176400000000001</v>
      </c>
      <c r="AD54">
        <f t="shared" si="4"/>
        <v>6.8155925925925924</v>
      </c>
      <c r="AE54">
        <f t="shared" si="5"/>
        <v>10.348795792592592</v>
      </c>
      <c r="AF54" s="9"/>
      <c r="AG54" s="21">
        <v>0.121613</v>
      </c>
      <c r="AH54" s="21">
        <v>18.372</v>
      </c>
      <c r="AI54" s="21">
        <v>-8.3953900000000008E-3</v>
      </c>
      <c r="AJ54" s="21">
        <v>44</v>
      </c>
      <c r="AK54" s="21">
        <v>0.121216</v>
      </c>
      <c r="AL54">
        <f t="shared" si="6"/>
        <v>10.364679012345681</v>
      </c>
      <c r="AM54">
        <f t="shared" si="7"/>
        <v>1.2604797087283952</v>
      </c>
      <c r="AP54" s="9"/>
      <c r="AQ54" s="21">
        <v>1.5184</v>
      </c>
      <c r="AR54" s="21">
        <v>23.735800000000001</v>
      </c>
      <c r="AS54" s="21">
        <v>-5.4657000000000004E-3</v>
      </c>
      <c r="AT54" s="21">
        <v>44</v>
      </c>
      <c r="AU54" s="21">
        <v>1.5182500000000001</v>
      </c>
      <c r="AV54">
        <f t="shared" si="8"/>
        <v>6.7477777777777783</v>
      </c>
      <c r="AW54">
        <f t="shared" si="9"/>
        <v>10.245825777777778</v>
      </c>
      <c r="AX54" s="9"/>
      <c r="AY54" s="21">
        <v>0.121613</v>
      </c>
      <c r="AZ54" s="21">
        <v>27.434200000000001</v>
      </c>
      <c r="BA54" s="21">
        <v>-8.3618200000000007E-3</v>
      </c>
      <c r="BB54" s="21">
        <v>44</v>
      </c>
      <c r="BC54" s="21">
        <v>0.12109399999999999</v>
      </c>
      <c r="BD54">
        <f t="shared" si="10"/>
        <v>10.323234567901235</v>
      </c>
      <c r="BE54">
        <f t="shared" si="11"/>
        <v>1.2554395255061728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1.5133700000000001</v>
      </c>
      <c r="H55" s="21">
        <v>5.5485199999999999</v>
      </c>
      <c r="I55" s="21">
        <v>-5.8227499999999998E-3</v>
      </c>
      <c r="J55" s="21">
        <v>45</v>
      </c>
      <c r="K55" s="21">
        <v>1.5121500000000001</v>
      </c>
      <c r="L55">
        <f t="shared" si="0"/>
        <v>7.1885802469135802</v>
      </c>
      <c r="M55">
        <f t="shared" si="1"/>
        <v>10.878981688271606</v>
      </c>
      <c r="N55" s="9"/>
      <c r="O55" s="21">
        <v>0.12664800000000001</v>
      </c>
      <c r="P55" s="21">
        <v>9.2468500000000002</v>
      </c>
      <c r="Q55" s="21">
        <v>-8.4106400000000005E-3</v>
      </c>
      <c r="R55" s="21">
        <v>45</v>
      </c>
      <c r="S55" s="21">
        <v>0.12619</v>
      </c>
      <c r="T55">
        <f t="shared" si="2"/>
        <v>10.383506172839505</v>
      </c>
      <c r="U55">
        <f t="shared" si="3"/>
        <v>1.3150502897777778</v>
      </c>
      <c r="X55" s="9"/>
      <c r="Y55" s="21">
        <v>1.5133700000000001</v>
      </c>
      <c r="Z55" s="21">
        <v>14.6837</v>
      </c>
      <c r="AA55" s="21">
        <v>-5.5633499999999999E-3</v>
      </c>
      <c r="AB55" s="21">
        <v>45</v>
      </c>
      <c r="AC55" s="21">
        <v>1.5124500000000001</v>
      </c>
      <c r="AD55">
        <f t="shared" si="4"/>
        <v>6.8683333333333332</v>
      </c>
      <c r="AE55">
        <f t="shared" si="5"/>
        <v>10.394329616666667</v>
      </c>
      <c r="AF55" s="9"/>
      <c r="AG55" s="21">
        <v>0.12664800000000001</v>
      </c>
      <c r="AH55" s="21">
        <v>18.382100000000001</v>
      </c>
      <c r="AI55" s="21">
        <v>-8.3831800000000005E-3</v>
      </c>
      <c r="AJ55" s="21">
        <v>45</v>
      </c>
      <c r="AK55" s="21">
        <v>0.12615999999999999</v>
      </c>
      <c r="AL55">
        <f t="shared" si="6"/>
        <v>10.349604938271604</v>
      </c>
      <c r="AM55">
        <f t="shared" si="7"/>
        <v>1.3107567662222221</v>
      </c>
      <c r="AP55" s="9"/>
      <c r="AQ55" s="21">
        <v>1.5133700000000001</v>
      </c>
      <c r="AR55" s="21">
        <v>23.745899999999999</v>
      </c>
      <c r="AS55" s="21">
        <v>-5.5114700000000001E-3</v>
      </c>
      <c r="AT55" s="21">
        <v>45</v>
      </c>
      <c r="AU55" s="21">
        <v>1.5127600000000001</v>
      </c>
      <c r="AV55">
        <f t="shared" si="8"/>
        <v>6.8042839506172834</v>
      </c>
      <c r="AW55">
        <f t="shared" si="9"/>
        <v>10.297399202345678</v>
      </c>
      <c r="AX55" s="9"/>
      <c r="AY55" s="21">
        <v>0.12664800000000001</v>
      </c>
      <c r="AZ55" s="21">
        <v>27.444299999999998</v>
      </c>
      <c r="BA55" s="21">
        <v>-8.3496100000000004E-3</v>
      </c>
      <c r="BB55" s="21">
        <v>45</v>
      </c>
      <c r="BC55" s="21">
        <v>0.12615999999999999</v>
      </c>
      <c r="BD55">
        <f t="shared" si="10"/>
        <v>10.30816049382716</v>
      </c>
      <c r="BE55">
        <f t="shared" si="11"/>
        <v>1.3055079102222222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1.5083299999999999</v>
      </c>
      <c r="H56" s="21">
        <v>5.5585899999999997</v>
      </c>
      <c r="I56" s="21">
        <v>-5.8654800000000002E-3</v>
      </c>
      <c r="J56" s="21">
        <v>46</v>
      </c>
      <c r="K56" s="21">
        <v>1.50726</v>
      </c>
      <c r="L56">
        <f t="shared" si="0"/>
        <v>7.2413333333333334</v>
      </c>
      <c r="M56">
        <f t="shared" si="1"/>
        <v>10.922320306666666</v>
      </c>
      <c r="N56" s="9"/>
      <c r="O56" s="21">
        <v>0.13168299999999999</v>
      </c>
      <c r="P56" s="21">
        <v>9.2569199999999991</v>
      </c>
      <c r="Q56" s="21">
        <v>-8.4045400000000003E-3</v>
      </c>
      <c r="R56" s="21">
        <v>46</v>
      </c>
      <c r="S56" s="21">
        <v>0.13128699999999999</v>
      </c>
      <c r="T56">
        <f t="shared" si="2"/>
        <v>10.375975308641976</v>
      </c>
      <c r="U56">
        <f t="shared" si="3"/>
        <v>1.3663395565679013</v>
      </c>
      <c r="X56" s="9"/>
      <c r="Y56" s="21">
        <v>1.5083299999999999</v>
      </c>
      <c r="Z56" s="21">
        <v>14.6938</v>
      </c>
      <c r="AA56" s="21">
        <v>-5.6121799999999996E-3</v>
      </c>
      <c r="AB56" s="21">
        <v>46</v>
      </c>
      <c r="AC56" s="21">
        <v>1.5075700000000001</v>
      </c>
      <c r="AD56">
        <f t="shared" si="4"/>
        <v>6.9286172839506159</v>
      </c>
      <c r="AE56">
        <f t="shared" si="5"/>
        <v>10.450641307901233</v>
      </c>
      <c r="AF56" s="9"/>
      <c r="AG56" s="21">
        <v>0.13168299999999999</v>
      </c>
      <c r="AH56" s="21">
        <v>18.392099999999999</v>
      </c>
      <c r="AI56" s="21">
        <v>-8.3770800000000003E-3</v>
      </c>
      <c r="AJ56" s="21">
        <v>46</v>
      </c>
      <c r="AK56" s="21">
        <v>0.13128699999999999</v>
      </c>
      <c r="AL56">
        <f t="shared" si="6"/>
        <v>10.342074074074073</v>
      </c>
      <c r="AM56">
        <f t="shared" si="7"/>
        <v>1.3618753402962962</v>
      </c>
      <c r="AP56" s="9"/>
      <c r="AQ56" s="21">
        <v>1.5083299999999999</v>
      </c>
      <c r="AR56" s="21">
        <v>23.756</v>
      </c>
      <c r="AS56" s="21">
        <v>-5.5602999999999998E-3</v>
      </c>
      <c r="AT56" s="21">
        <v>46</v>
      </c>
      <c r="AU56" s="21">
        <v>1.5075700000000001</v>
      </c>
      <c r="AV56">
        <f t="shared" si="8"/>
        <v>6.8645679012345671</v>
      </c>
      <c r="AW56">
        <f t="shared" si="9"/>
        <v>10.354033702469135</v>
      </c>
      <c r="AX56" s="9"/>
      <c r="AY56" s="21">
        <v>0.13168299999999999</v>
      </c>
      <c r="AZ56" s="21">
        <v>27.4544</v>
      </c>
      <c r="BA56" s="21">
        <v>-8.3312999999999998E-3</v>
      </c>
      <c r="BB56" s="21">
        <v>46</v>
      </c>
      <c r="BC56" s="21">
        <v>0.13131699999999999</v>
      </c>
      <c r="BD56">
        <f t="shared" si="10"/>
        <v>10.285555555555554</v>
      </c>
      <c r="BE56">
        <f t="shared" si="11"/>
        <v>1.354432812222222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1.5033000000000001</v>
      </c>
      <c r="H57" s="21">
        <v>5.5686600000000004</v>
      </c>
      <c r="I57" s="21">
        <v>-5.9021000000000004E-3</v>
      </c>
      <c r="J57" s="21">
        <v>47</v>
      </c>
      <c r="K57" s="21">
        <v>1.50238</v>
      </c>
      <c r="L57">
        <f t="shared" si="0"/>
        <v>7.2865432098765437</v>
      </c>
      <c r="M57">
        <f t="shared" si="1"/>
        <v>10.953860407407408</v>
      </c>
      <c r="N57" s="9"/>
      <c r="O57" s="21">
        <v>0.13671900000000001</v>
      </c>
      <c r="P57" s="21">
        <v>9.2669999999999995</v>
      </c>
      <c r="Q57" s="21">
        <v>-8.4014899999999993E-3</v>
      </c>
      <c r="R57" s="21">
        <v>47</v>
      </c>
      <c r="S57" s="21">
        <v>0.136292</v>
      </c>
      <c r="T57">
        <f t="shared" si="2"/>
        <v>10.372209876543208</v>
      </c>
      <c r="U57">
        <f t="shared" si="3"/>
        <v>1.4180781621111109</v>
      </c>
      <c r="X57" s="9"/>
      <c r="Y57" s="21">
        <v>1.5033000000000001</v>
      </c>
      <c r="Z57" s="21">
        <v>14.703900000000001</v>
      </c>
      <c r="AA57" s="21">
        <v>-5.6610100000000002E-3</v>
      </c>
      <c r="AB57" s="21">
        <v>47</v>
      </c>
      <c r="AC57" s="21">
        <v>1.50299</v>
      </c>
      <c r="AD57">
        <f t="shared" si="4"/>
        <v>6.9889012345679014</v>
      </c>
      <c r="AE57">
        <f t="shared" si="5"/>
        <v>10.506415225925927</v>
      </c>
      <c r="AF57" s="9"/>
      <c r="AG57" s="21">
        <v>0.13671900000000001</v>
      </c>
      <c r="AH57" s="21">
        <v>18.402200000000001</v>
      </c>
      <c r="AI57" s="21">
        <v>-8.3587599999999998E-3</v>
      </c>
      <c r="AJ57" s="21">
        <v>47</v>
      </c>
      <c r="AK57" s="21">
        <v>0.13622999999999999</v>
      </c>
      <c r="AL57">
        <f t="shared" si="6"/>
        <v>10.319456790123455</v>
      </c>
      <c r="AM57">
        <f t="shared" si="7"/>
        <v>1.4108658128888887</v>
      </c>
      <c r="AP57" s="9"/>
      <c r="AQ57" s="21">
        <v>1.5033000000000001</v>
      </c>
      <c r="AR57" s="21">
        <v>23.766100000000002</v>
      </c>
      <c r="AS57" s="21">
        <v>-5.6030300000000002E-3</v>
      </c>
      <c r="AT57" s="21">
        <v>47</v>
      </c>
      <c r="AU57" s="21">
        <v>1.50238</v>
      </c>
      <c r="AV57">
        <f t="shared" si="8"/>
        <v>6.9173209876543202</v>
      </c>
      <c r="AW57">
        <f t="shared" si="9"/>
        <v>10.398808640740739</v>
      </c>
      <c r="AX57" s="9"/>
      <c r="AY57" s="21">
        <v>0.13671900000000001</v>
      </c>
      <c r="AZ57" s="21">
        <v>27.464400000000001</v>
      </c>
      <c r="BA57" s="21">
        <v>-8.3160400000000002E-3</v>
      </c>
      <c r="BB57" s="21">
        <v>47</v>
      </c>
      <c r="BC57" s="21">
        <v>0.13626099999999999</v>
      </c>
      <c r="BD57">
        <f t="shared" si="10"/>
        <v>10.266716049382715</v>
      </c>
      <c r="BE57">
        <f t="shared" si="11"/>
        <v>1.4036551515555555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1.4982599999999999</v>
      </c>
      <c r="H58" s="21">
        <v>5.5787300000000002</v>
      </c>
      <c r="I58" s="21">
        <v>-5.94482E-3</v>
      </c>
      <c r="J58" s="21">
        <v>48</v>
      </c>
      <c r="K58" s="21">
        <v>1.4975000000000001</v>
      </c>
      <c r="L58">
        <f t="shared" si="0"/>
        <v>7.3392839506172827</v>
      </c>
      <c r="M58">
        <f t="shared" si="1"/>
        <v>10.996155571851849</v>
      </c>
      <c r="N58" s="9"/>
      <c r="O58" s="21">
        <v>0.14175399999999999</v>
      </c>
      <c r="P58" s="21">
        <v>9.2770700000000001</v>
      </c>
      <c r="Q58" s="21">
        <v>-8.3923299999999999E-3</v>
      </c>
      <c r="R58" s="21">
        <v>48</v>
      </c>
      <c r="S58" s="21">
        <v>0.14135700000000001</v>
      </c>
      <c r="T58">
        <f t="shared" si="2"/>
        <v>10.360901234567899</v>
      </c>
      <c r="U58">
        <f t="shared" si="3"/>
        <v>1.4686991936049378</v>
      </c>
      <c r="X58" s="9"/>
      <c r="Y58" s="21">
        <v>1.4982599999999999</v>
      </c>
      <c r="Z58" s="21">
        <v>14.713900000000001</v>
      </c>
      <c r="AA58" s="21">
        <v>-5.7098399999999999E-3</v>
      </c>
      <c r="AB58" s="21">
        <v>48</v>
      </c>
      <c r="AC58" s="21">
        <v>1.49719</v>
      </c>
      <c r="AD58">
        <f t="shared" si="4"/>
        <v>7.0491851851851841</v>
      </c>
      <c r="AE58">
        <f t="shared" si="5"/>
        <v>10.561512195555553</v>
      </c>
      <c r="AF58" s="9"/>
      <c r="AG58" s="21">
        <v>0.14175399999999999</v>
      </c>
      <c r="AH58" s="21">
        <v>18.412299999999998</v>
      </c>
      <c r="AI58" s="21">
        <v>-8.3374E-3</v>
      </c>
      <c r="AJ58" s="21">
        <v>48</v>
      </c>
      <c r="AK58" s="21">
        <v>0.141266</v>
      </c>
      <c r="AL58">
        <f t="shared" si="6"/>
        <v>10.293086419753086</v>
      </c>
      <c r="AM58">
        <f t="shared" si="7"/>
        <v>1.4590861723456789</v>
      </c>
      <c r="AP58" s="9"/>
      <c r="AQ58" s="21">
        <v>1.4982599999999999</v>
      </c>
      <c r="AR58" s="21">
        <v>23.7761</v>
      </c>
      <c r="AS58" s="21">
        <v>-5.6487999999999998E-3</v>
      </c>
      <c r="AT58" s="21">
        <v>48</v>
      </c>
      <c r="AU58" s="21">
        <v>1.4978</v>
      </c>
      <c r="AV58">
        <f t="shared" si="8"/>
        <v>6.9738271604938271</v>
      </c>
      <c r="AW58">
        <f t="shared" si="9"/>
        <v>10.448606281481482</v>
      </c>
      <c r="AX58" s="9"/>
      <c r="AY58" s="21">
        <v>0.14175399999999999</v>
      </c>
      <c r="AZ58" s="21">
        <v>27.474499999999999</v>
      </c>
      <c r="BA58" s="21">
        <v>-8.3068800000000009E-3</v>
      </c>
      <c r="BB58" s="21">
        <v>48</v>
      </c>
      <c r="BC58" s="21">
        <v>0.14132700000000001</v>
      </c>
      <c r="BD58">
        <f t="shared" si="10"/>
        <v>10.255407407407407</v>
      </c>
      <c r="BE58">
        <f t="shared" si="11"/>
        <v>1.4537450216296295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1.4932300000000001</v>
      </c>
      <c r="H59" s="21">
        <v>5.5888</v>
      </c>
      <c r="I59" s="21">
        <v>-5.9845000000000002E-3</v>
      </c>
      <c r="J59" s="21">
        <v>49</v>
      </c>
      <c r="K59" s="21">
        <v>1.49231</v>
      </c>
      <c r="L59">
        <f t="shared" si="0"/>
        <v>7.3882716049382715</v>
      </c>
      <c r="M59">
        <f t="shared" si="1"/>
        <v>11.032388808641976</v>
      </c>
      <c r="N59" s="9"/>
      <c r="O59" s="21">
        <v>0.14679</v>
      </c>
      <c r="P59" s="21">
        <v>9.2871400000000008</v>
      </c>
      <c r="Q59" s="21">
        <v>-8.3770800000000003E-3</v>
      </c>
      <c r="R59" s="21">
        <v>49</v>
      </c>
      <c r="S59" s="21">
        <v>0.14633199999999999</v>
      </c>
      <c r="T59">
        <f t="shared" si="2"/>
        <v>10.342074074074073</v>
      </c>
      <c r="U59">
        <f t="shared" si="3"/>
        <v>1.5181130533333334</v>
      </c>
      <c r="X59" s="9"/>
      <c r="Y59" s="21">
        <v>1.4932300000000001</v>
      </c>
      <c r="Z59" s="21">
        <v>14.724</v>
      </c>
      <c r="AA59" s="21">
        <v>-5.7525600000000003E-3</v>
      </c>
      <c r="AB59" s="21">
        <v>49</v>
      </c>
      <c r="AC59" s="21">
        <v>1.492</v>
      </c>
      <c r="AD59">
        <f t="shared" si="4"/>
        <v>7.1019259259259258</v>
      </c>
      <c r="AE59">
        <f t="shared" si="5"/>
        <v>10.60480885037037</v>
      </c>
      <c r="AF59" s="9"/>
      <c r="AG59" s="21">
        <v>0.14679</v>
      </c>
      <c r="AH59" s="21">
        <v>18.4224</v>
      </c>
      <c r="AI59" s="21">
        <v>-8.3221400000000004E-3</v>
      </c>
      <c r="AJ59" s="21">
        <v>49</v>
      </c>
      <c r="AK59" s="21">
        <v>0.14636199999999999</v>
      </c>
      <c r="AL59">
        <f t="shared" si="6"/>
        <v>10.274246913580248</v>
      </c>
      <c r="AM59">
        <f t="shared" si="7"/>
        <v>1.5081567044444446</v>
      </c>
      <c r="AP59" s="9"/>
      <c r="AQ59" s="21">
        <v>1.4932300000000001</v>
      </c>
      <c r="AR59" s="21">
        <v>23.786200000000001</v>
      </c>
      <c r="AS59" s="21">
        <v>-5.6945800000000003E-3</v>
      </c>
      <c r="AT59" s="21">
        <v>49</v>
      </c>
      <c r="AU59" s="21">
        <v>1.49139</v>
      </c>
      <c r="AV59">
        <f t="shared" si="8"/>
        <v>7.0303456790123455</v>
      </c>
      <c r="AW59">
        <f t="shared" si="9"/>
        <v>10.497923078271604</v>
      </c>
      <c r="AX59" s="9"/>
      <c r="AY59" s="21">
        <v>0.14679</v>
      </c>
      <c r="AZ59" s="21">
        <v>27.4846</v>
      </c>
      <c r="BA59" s="21">
        <v>-8.2916299999999995E-3</v>
      </c>
      <c r="BB59" s="21">
        <v>49</v>
      </c>
      <c r="BC59" s="21">
        <v>0.14627100000000001</v>
      </c>
      <c r="BD59">
        <f t="shared" si="10"/>
        <v>10.236580246913578</v>
      </c>
      <c r="BE59">
        <f t="shared" si="11"/>
        <v>1.5026276144444441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1.4881899999999999</v>
      </c>
      <c r="H60" s="21">
        <v>5.5988699999999998</v>
      </c>
      <c r="I60" s="21">
        <v>-6.0241699999999997E-3</v>
      </c>
      <c r="J60" s="21">
        <v>50</v>
      </c>
      <c r="K60" s="21">
        <v>1.48712</v>
      </c>
      <c r="L60">
        <f t="shared" si="0"/>
        <v>7.4372469135802461</v>
      </c>
      <c r="M60">
        <f t="shared" si="1"/>
        <v>11.068036484320986</v>
      </c>
      <c r="N60" s="9"/>
      <c r="O60" s="21">
        <v>0.15182499999999999</v>
      </c>
      <c r="P60" s="21">
        <v>9.2972099999999998</v>
      </c>
      <c r="Q60" s="21">
        <v>-8.3679199999999992E-3</v>
      </c>
      <c r="R60" s="21">
        <v>50</v>
      </c>
      <c r="S60" s="21">
        <v>0.15142800000000001</v>
      </c>
      <c r="T60">
        <f t="shared" si="2"/>
        <v>10.330765432098763</v>
      </c>
      <c r="U60">
        <f t="shared" si="3"/>
        <v>1.5684684617283946</v>
      </c>
      <c r="X60" s="9"/>
      <c r="Y60" s="21">
        <v>1.4881899999999999</v>
      </c>
      <c r="Z60" s="21">
        <v>14.7341</v>
      </c>
      <c r="AA60" s="21">
        <v>-5.7952899999999998E-3</v>
      </c>
      <c r="AB60" s="21">
        <v>50</v>
      </c>
      <c r="AC60" s="21">
        <v>1.48773</v>
      </c>
      <c r="AD60">
        <f t="shared" si="4"/>
        <v>7.154679012345678</v>
      </c>
      <c r="AE60">
        <f t="shared" si="5"/>
        <v>10.647521759382714</v>
      </c>
      <c r="AF60" s="9"/>
      <c r="AG60" s="21">
        <v>0.15182499999999999</v>
      </c>
      <c r="AH60" s="21">
        <v>18.432400000000001</v>
      </c>
      <c r="AI60" s="21">
        <v>-8.3007800000000007E-3</v>
      </c>
      <c r="AJ60" s="21">
        <v>50</v>
      </c>
      <c r="AK60" s="21">
        <v>0.151367</v>
      </c>
      <c r="AL60">
        <f t="shared" si="6"/>
        <v>10.247876543209875</v>
      </c>
      <c r="AM60">
        <f t="shared" si="7"/>
        <v>1.5558838561728392</v>
      </c>
      <c r="AP60" s="9"/>
      <c r="AQ60" s="21">
        <v>1.4881899999999999</v>
      </c>
      <c r="AR60" s="21">
        <v>23.796299999999999</v>
      </c>
      <c r="AS60" s="21">
        <v>-5.7342499999999998E-3</v>
      </c>
      <c r="AT60" s="21">
        <v>50</v>
      </c>
      <c r="AU60" s="21">
        <v>1.48743</v>
      </c>
      <c r="AV60">
        <f t="shared" si="8"/>
        <v>7.0793209876543202</v>
      </c>
      <c r="AW60">
        <f t="shared" si="9"/>
        <v>10.535374700617282</v>
      </c>
      <c r="AX60" s="9"/>
      <c r="AY60" s="21">
        <v>0.15182499999999999</v>
      </c>
      <c r="AZ60" s="21">
        <v>27.494599999999998</v>
      </c>
      <c r="BA60" s="21">
        <v>-8.2733200000000007E-3</v>
      </c>
      <c r="BB60" s="21">
        <v>50</v>
      </c>
      <c r="BC60" s="21">
        <v>0.15142800000000001</v>
      </c>
      <c r="BD60">
        <f t="shared" si="10"/>
        <v>10.213975308641976</v>
      </c>
      <c r="BE60">
        <f t="shared" si="11"/>
        <v>1.5507368012345679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1.48315</v>
      </c>
      <c r="H61" s="21">
        <v>5.6089399999999996</v>
      </c>
      <c r="I61" s="21">
        <v>-6.0607899999999999E-3</v>
      </c>
      <c r="J61" s="21">
        <v>51</v>
      </c>
      <c r="K61" s="21">
        <v>1.48254</v>
      </c>
      <c r="L61">
        <f t="shared" si="0"/>
        <v>7.4824567901234564</v>
      </c>
      <c r="M61">
        <f t="shared" si="1"/>
        <v>11.097605788271604</v>
      </c>
      <c r="N61" s="9"/>
      <c r="O61" s="21">
        <v>0.15686</v>
      </c>
      <c r="P61" s="21">
        <v>9.3072800000000004</v>
      </c>
      <c r="Q61" s="21">
        <v>-8.3557100000000006E-3</v>
      </c>
      <c r="R61" s="21">
        <v>51</v>
      </c>
      <c r="S61" s="21">
        <v>0.15640299999999999</v>
      </c>
      <c r="T61">
        <f t="shared" si="2"/>
        <v>10.315691358024692</v>
      </c>
      <c r="U61">
        <f t="shared" si="3"/>
        <v>1.6181193464197532</v>
      </c>
      <c r="X61" s="9"/>
      <c r="Y61" s="21">
        <v>1.48315</v>
      </c>
      <c r="Z61" s="21">
        <v>14.744199999999999</v>
      </c>
      <c r="AA61" s="21">
        <v>-5.8349600000000001E-3</v>
      </c>
      <c r="AB61" s="21">
        <v>51</v>
      </c>
      <c r="AC61" s="21">
        <v>1.48285</v>
      </c>
      <c r="AD61">
        <f t="shared" si="4"/>
        <v>7.2036543209876545</v>
      </c>
      <c r="AE61">
        <f t="shared" si="5"/>
        <v>10.68409990617284</v>
      </c>
      <c r="AF61" s="9"/>
      <c r="AG61" s="21">
        <v>0.15686</v>
      </c>
      <c r="AH61" s="21">
        <v>18.442499999999999</v>
      </c>
      <c r="AI61" s="21">
        <v>-8.2763699999999999E-3</v>
      </c>
      <c r="AJ61" s="21">
        <v>51</v>
      </c>
      <c r="AK61" s="21">
        <v>0.15640299999999999</v>
      </c>
      <c r="AL61">
        <f t="shared" si="6"/>
        <v>10.217740740740741</v>
      </c>
      <c r="AM61">
        <f t="shared" si="7"/>
        <v>1.6027548125925926</v>
      </c>
      <c r="AP61" s="9"/>
      <c r="AQ61" s="21">
        <v>1.48315</v>
      </c>
      <c r="AR61" s="21">
        <v>23.8063</v>
      </c>
      <c r="AS61" s="21">
        <v>-5.77087E-3</v>
      </c>
      <c r="AT61" s="21">
        <v>51</v>
      </c>
      <c r="AU61" s="21">
        <v>1.48285</v>
      </c>
      <c r="AV61">
        <f t="shared" si="8"/>
        <v>7.1245308641975296</v>
      </c>
      <c r="AW61">
        <f t="shared" si="9"/>
        <v>10.566747951234566</v>
      </c>
      <c r="AX61" s="9"/>
      <c r="AY61" s="21">
        <v>0.15686</v>
      </c>
      <c r="AZ61" s="21">
        <v>27.5047</v>
      </c>
      <c r="BA61" s="21">
        <v>-8.2672100000000005E-3</v>
      </c>
      <c r="BB61" s="21">
        <v>51</v>
      </c>
      <c r="BC61" s="21">
        <v>0.15643299999999999</v>
      </c>
      <c r="BD61">
        <f t="shared" si="10"/>
        <v>10.206432098765431</v>
      </c>
      <c r="BE61">
        <f t="shared" si="11"/>
        <v>1.6009809390123455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1.4781200000000001</v>
      </c>
      <c r="H62" s="21">
        <v>5.6190100000000003</v>
      </c>
      <c r="I62" s="21">
        <v>-6.1035200000000003E-3</v>
      </c>
      <c r="J62" s="21">
        <v>52</v>
      </c>
      <c r="K62" s="21">
        <v>1.47705</v>
      </c>
      <c r="L62">
        <f t="shared" si="0"/>
        <v>7.5352098765432096</v>
      </c>
      <c r="M62">
        <f t="shared" si="1"/>
        <v>11.13794442271605</v>
      </c>
      <c r="N62" s="9"/>
      <c r="O62" s="21">
        <v>0.16189600000000001</v>
      </c>
      <c r="P62" s="21">
        <v>9.3173499999999994</v>
      </c>
      <c r="Q62" s="21">
        <v>-8.3496100000000004E-3</v>
      </c>
      <c r="R62" s="21">
        <v>52</v>
      </c>
      <c r="S62" s="21">
        <v>0.161469</v>
      </c>
      <c r="T62">
        <f t="shared" si="2"/>
        <v>10.30816049382716</v>
      </c>
      <c r="U62">
        <f t="shared" si="3"/>
        <v>1.6688499513086419</v>
      </c>
      <c r="X62" s="9"/>
      <c r="Y62" s="21">
        <v>1.4781200000000001</v>
      </c>
      <c r="Z62" s="21">
        <v>14.754200000000001</v>
      </c>
      <c r="AA62" s="21">
        <v>-5.8776899999999997E-3</v>
      </c>
      <c r="AB62" s="21">
        <v>52</v>
      </c>
      <c r="AC62" s="21">
        <v>1.47705</v>
      </c>
      <c r="AD62">
        <f t="shared" si="4"/>
        <v>7.2564074074074068</v>
      </c>
      <c r="AE62">
        <f t="shared" si="5"/>
        <v>10.725840917037036</v>
      </c>
      <c r="AF62" s="9"/>
      <c r="AG62" s="21">
        <v>0.16189600000000001</v>
      </c>
      <c r="AH62" s="21">
        <v>18.4526</v>
      </c>
      <c r="AI62" s="21">
        <v>-8.2641599999999996E-3</v>
      </c>
      <c r="AJ62" s="21">
        <v>52</v>
      </c>
      <c r="AK62" s="21">
        <v>0.16137699999999999</v>
      </c>
      <c r="AL62">
        <f t="shared" si="6"/>
        <v>10.202666666666666</v>
      </c>
      <c r="AM62">
        <f t="shared" si="7"/>
        <v>1.6517709226666666</v>
      </c>
      <c r="AP62" s="9"/>
      <c r="AQ62" s="21">
        <v>1.4781200000000001</v>
      </c>
      <c r="AR62" s="21">
        <v>23.816400000000002</v>
      </c>
      <c r="AS62" s="21">
        <v>-5.80139E-3</v>
      </c>
      <c r="AT62" s="21">
        <v>52</v>
      </c>
      <c r="AU62" s="21">
        <v>1.47797</v>
      </c>
      <c r="AV62">
        <f t="shared" si="8"/>
        <v>7.1622098765432094</v>
      </c>
      <c r="AW62">
        <f t="shared" si="9"/>
        <v>10.58660566271605</v>
      </c>
      <c r="AX62" s="9"/>
      <c r="AY62" s="21">
        <v>0.16189600000000001</v>
      </c>
      <c r="AZ62" s="21">
        <v>27.514800000000001</v>
      </c>
      <c r="BA62" s="21">
        <v>-8.2519499999999992E-3</v>
      </c>
      <c r="BB62" s="21">
        <v>52</v>
      </c>
      <c r="BC62" s="21">
        <v>0.161438</v>
      </c>
      <c r="BD62">
        <f t="shared" si="10"/>
        <v>10.187592592592591</v>
      </c>
      <c r="BE62">
        <f t="shared" si="11"/>
        <v>1.6493304903703701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1.4730799999999999</v>
      </c>
      <c r="H63" s="21">
        <v>5.6290800000000001</v>
      </c>
      <c r="I63" s="21">
        <v>-6.1431899999999998E-3</v>
      </c>
      <c r="J63" s="21">
        <v>53</v>
      </c>
      <c r="K63" s="21">
        <v>1.4718599999999999</v>
      </c>
      <c r="L63">
        <f t="shared" si="0"/>
        <v>7.5841851851851843</v>
      </c>
      <c r="M63">
        <f t="shared" si="1"/>
        <v>11.172111512592592</v>
      </c>
      <c r="N63" s="9"/>
      <c r="O63" s="21">
        <v>0.166931</v>
      </c>
      <c r="P63" s="21">
        <v>9.32742</v>
      </c>
      <c r="Q63" s="21">
        <v>-8.3374E-3</v>
      </c>
      <c r="R63" s="21">
        <v>53</v>
      </c>
      <c r="S63" s="21">
        <v>0.16647300000000001</v>
      </c>
      <c r="T63">
        <f t="shared" si="2"/>
        <v>10.293086419753086</v>
      </c>
      <c r="U63">
        <f t="shared" si="3"/>
        <v>1.7182352091358024</v>
      </c>
      <c r="X63" s="9"/>
      <c r="Y63" s="21">
        <v>1.4730799999999999</v>
      </c>
      <c r="Z63" s="21">
        <v>14.7643</v>
      </c>
      <c r="AA63" s="21">
        <v>-5.9143099999999999E-3</v>
      </c>
      <c r="AB63" s="21">
        <v>53</v>
      </c>
      <c r="AC63" s="21">
        <v>1.4718599999999999</v>
      </c>
      <c r="AD63">
        <f t="shared" si="4"/>
        <v>7.3016172839506162</v>
      </c>
      <c r="AE63">
        <f t="shared" si="5"/>
        <v>10.755866388641973</v>
      </c>
      <c r="AF63" s="9"/>
      <c r="AG63" s="21">
        <v>0.166931</v>
      </c>
      <c r="AH63" s="21">
        <v>18.462599999999998</v>
      </c>
      <c r="AI63" s="21">
        <v>-8.2489E-3</v>
      </c>
      <c r="AJ63" s="21">
        <v>53</v>
      </c>
      <c r="AK63" s="21">
        <v>0.16650400000000001</v>
      </c>
      <c r="AL63">
        <f t="shared" si="6"/>
        <v>10.183827160493825</v>
      </c>
      <c r="AM63">
        <f t="shared" si="7"/>
        <v>1.6999964517283948</v>
      </c>
      <c r="AP63" s="9"/>
      <c r="AQ63" s="21">
        <v>1.4730799999999999</v>
      </c>
      <c r="AR63" s="21">
        <v>23.826499999999999</v>
      </c>
      <c r="AS63" s="21">
        <v>-5.8380100000000002E-3</v>
      </c>
      <c r="AT63" s="21">
        <v>53</v>
      </c>
      <c r="AU63" s="21">
        <v>1.47278</v>
      </c>
      <c r="AV63">
        <f t="shared" si="8"/>
        <v>7.2074197530864197</v>
      </c>
      <c r="AW63">
        <f t="shared" si="9"/>
        <v>10.617105889876543</v>
      </c>
      <c r="AX63" s="9"/>
      <c r="AY63" s="21">
        <v>0.166931</v>
      </c>
      <c r="AZ63" s="21">
        <v>27.524899999999999</v>
      </c>
      <c r="BA63" s="21">
        <v>-8.2366899999999996E-3</v>
      </c>
      <c r="BB63" s="21">
        <v>53</v>
      </c>
      <c r="BC63" s="21">
        <v>0.16644300000000001</v>
      </c>
      <c r="BD63">
        <f t="shared" si="10"/>
        <v>10.168753086419752</v>
      </c>
      <c r="BE63">
        <f t="shared" si="11"/>
        <v>1.6974801214691355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1.4680500000000001</v>
      </c>
      <c r="H64" s="21">
        <v>5.6391600000000004</v>
      </c>
      <c r="I64" s="21">
        <v>-6.1859100000000002E-3</v>
      </c>
      <c r="J64" s="21">
        <v>54</v>
      </c>
      <c r="K64" s="21">
        <v>1.46729</v>
      </c>
      <c r="L64">
        <f t="shared" si="0"/>
        <v>7.6369259259259259</v>
      </c>
      <c r="M64">
        <f t="shared" si="1"/>
        <v>11.211389105555556</v>
      </c>
      <c r="N64" s="9"/>
      <c r="O64" s="21">
        <v>0.17196700000000001</v>
      </c>
      <c r="P64" s="21">
        <v>9.3374900000000007</v>
      </c>
      <c r="Q64" s="21">
        <v>-8.3221400000000004E-3</v>
      </c>
      <c r="R64" s="21">
        <v>54</v>
      </c>
      <c r="S64" s="21">
        <v>0.17150899999999999</v>
      </c>
      <c r="T64">
        <f t="shared" si="2"/>
        <v>10.274246913580248</v>
      </c>
      <c r="U64">
        <f t="shared" si="3"/>
        <v>1.7668314189876546</v>
      </c>
      <c r="X64" s="9"/>
      <c r="Y64" s="21">
        <v>1.4680500000000001</v>
      </c>
      <c r="Z64" s="21">
        <v>14.7744</v>
      </c>
      <c r="AA64" s="21">
        <v>-5.94788E-3</v>
      </c>
      <c r="AB64" s="21">
        <v>54</v>
      </c>
      <c r="AC64" s="21">
        <v>1.46759</v>
      </c>
      <c r="AD64">
        <f t="shared" si="4"/>
        <v>7.3430617283950612</v>
      </c>
      <c r="AE64">
        <f t="shared" si="5"/>
        <v>10.77998177037037</v>
      </c>
      <c r="AF64" s="9"/>
      <c r="AG64" s="21">
        <v>0.17196700000000001</v>
      </c>
      <c r="AH64" s="21">
        <v>18.4727</v>
      </c>
      <c r="AI64" s="21">
        <v>-8.2366899999999996E-3</v>
      </c>
      <c r="AJ64" s="21">
        <v>54</v>
      </c>
      <c r="AK64" s="21">
        <v>0.17144799999999999</v>
      </c>
      <c r="AL64">
        <f t="shared" si="6"/>
        <v>10.168753086419752</v>
      </c>
      <c r="AM64">
        <f t="shared" si="7"/>
        <v>1.7486899620123455</v>
      </c>
      <c r="AP64" s="9"/>
      <c r="AQ64" s="21">
        <v>1.4680500000000001</v>
      </c>
      <c r="AR64" s="21">
        <v>23.836600000000001</v>
      </c>
      <c r="AS64" s="21">
        <v>-5.8746299999999996E-3</v>
      </c>
      <c r="AT64" s="21">
        <v>54</v>
      </c>
      <c r="AU64" s="21">
        <v>1.46729</v>
      </c>
      <c r="AV64">
        <f t="shared" si="8"/>
        <v>7.2526296296296291</v>
      </c>
      <c r="AW64">
        <f t="shared" si="9"/>
        <v>10.647222927777777</v>
      </c>
      <c r="AX64" s="9"/>
      <c r="AY64" s="21">
        <v>0.17196700000000001</v>
      </c>
      <c r="AZ64" s="21">
        <v>27.5349</v>
      </c>
      <c r="BA64" s="21">
        <v>-8.2244899999999992E-3</v>
      </c>
      <c r="BB64" s="21">
        <v>54</v>
      </c>
      <c r="BC64" s="21">
        <v>0.17144799999999999</v>
      </c>
      <c r="BD64">
        <f t="shared" si="10"/>
        <v>10.153691358024689</v>
      </c>
      <c r="BE64">
        <f t="shared" si="11"/>
        <v>1.7460998417654319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1.4630099999999999</v>
      </c>
      <c r="H65" s="21">
        <v>5.6492300000000002</v>
      </c>
      <c r="I65" s="21">
        <v>-6.2225300000000004E-3</v>
      </c>
      <c r="J65" s="21">
        <v>55</v>
      </c>
      <c r="K65" s="21">
        <v>1.4617899999999999</v>
      </c>
      <c r="L65">
        <f t="shared" si="0"/>
        <v>7.6821358024691362</v>
      </c>
      <c r="M65">
        <f t="shared" si="1"/>
        <v>11.239041500370371</v>
      </c>
      <c r="N65" s="9"/>
      <c r="O65" s="21">
        <v>0.17700199999999999</v>
      </c>
      <c r="P65" s="21">
        <v>9.3475599999999996</v>
      </c>
      <c r="Q65" s="21">
        <v>-8.3038299999999999E-3</v>
      </c>
      <c r="R65" s="21">
        <v>55</v>
      </c>
      <c r="S65" s="21">
        <v>0.17654400000000001</v>
      </c>
      <c r="T65">
        <f t="shared" si="2"/>
        <v>10.251641975308642</v>
      </c>
      <c r="U65">
        <f t="shared" si="3"/>
        <v>1.8145611329135802</v>
      </c>
      <c r="X65" s="9"/>
      <c r="Y65" s="21">
        <v>1.4630099999999999</v>
      </c>
      <c r="Z65" s="21">
        <v>14.7844</v>
      </c>
      <c r="AA65" s="21">
        <v>-5.9814500000000001E-3</v>
      </c>
      <c r="AB65" s="21">
        <v>55</v>
      </c>
      <c r="AC65" s="21">
        <v>1.4621</v>
      </c>
      <c r="AD65">
        <f t="shared" si="4"/>
        <v>7.3845061728395054</v>
      </c>
      <c r="AE65">
        <f t="shared" si="5"/>
        <v>10.803606375925924</v>
      </c>
      <c r="AF65" s="9"/>
      <c r="AG65" s="21">
        <v>0.17700199999999999</v>
      </c>
      <c r="AH65" s="21">
        <v>18.482800000000001</v>
      </c>
      <c r="AI65" s="21">
        <v>-8.2305899999999994E-3</v>
      </c>
      <c r="AJ65" s="21">
        <v>55</v>
      </c>
      <c r="AK65" s="21">
        <v>0.17654400000000001</v>
      </c>
      <c r="AL65">
        <f t="shared" si="6"/>
        <v>10.161222222222221</v>
      </c>
      <c r="AM65">
        <f t="shared" si="7"/>
        <v>1.7985566557777777</v>
      </c>
      <c r="AP65" s="9"/>
      <c r="AQ65" s="21">
        <v>1.4630099999999999</v>
      </c>
      <c r="AR65" s="21">
        <v>23.846599999999999</v>
      </c>
      <c r="AS65" s="21">
        <v>-5.9051499999999996E-3</v>
      </c>
      <c r="AT65" s="21">
        <v>55</v>
      </c>
      <c r="AU65" s="21">
        <v>1.4623999999999999</v>
      </c>
      <c r="AV65">
        <f t="shared" si="8"/>
        <v>7.290308641975308</v>
      </c>
      <c r="AW65">
        <f t="shared" si="9"/>
        <v>10.665794446296294</v>
      </c>
      <c r="AX65" s="9"/>
      <c r="AY65" s="21">
        <v>0.17700199999999999</v>
      </c>
      <c r="AZ65" s="21">
        <v>27.545000000000002</v>
      </c>
      <c r="BA65" s="21">
        <v>-8.2061800000000004E-3</v>
      </c>
      <c r="BB65" s="21">
        <v>55</v>
      </c>
      <c r="BC65" s="21">
        <v>0.17654400000000001</v>
      </c>
      <c r="BD65">
        <f t="shared" si="10"/>
        <v>10.131086419753085</v>
      </c>
      <c r="BE65">
        <f t="shared" si="11"/>
        <v>1.7932225584691355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1.4579800000000001</v>
      </c>
      <c r="H66" s="21">
        <v>5.6593</v>
      </c>
      <c r="I66" s="21">
        <v>-6.2560999999999997E-3</v>
      </c>
      <c r="J66" s="21">
        <v>56</v>
      </c>
      <c r="K66" s="21">
        <v>1.4572099999999999</v>
      </c>
      <c r="L66">
        <f t="shared" si="0"/>
        <v>7.7235802469135795</v>
      </c>
      <c r="M66">
        <f t="shared" si="1"/>
        <v>11.260825528395062</v>
      </c>
      <c r="N66" s="9"/>
      <c r="O66" s="21">
        <v>0.182037</v>
      </c>
      <c r="P66" s="21">
        <v>9.3576300000000003</v>
      </c>
      <c r="Q66" s="21">
        <v>-8.2855199999999993E-3</v>
      </c>
      <c r="R66" s="21">
        <v>56</v>
      </c>
      <c r="S66" s="21">
        <v>0.18148800000000001</v>
      </c>
      <c r="T66">
        <f t="shared" si="2"/>
        <v>10.229037037037035</v>
      </c>
      <c r="U66">
        <f t="shared" si="3"/>
        <v>1.8620632151111107</v>
      </c>
      <c r="X66" s="9"/>
      <c r="Y66" s="21">
        <v>1.4579800000000001</v>
      </c>
      <c r="Z66" s="21">
        <v>14.794499999999999</v>
      </c>
      <c r="AA66" s="21">
        <v>-6.0180700000000004E-3</v>
      </c>
      <c r="AB66" s="21">
        <v>56</v>
      </c>
      <c r="AC66" s="21">
        <v>1.4575199999999999</v>
      </c>
      <c r="AD66">
        <f t="shared" si="4"/>
        <v>7.4297160493827157</v>
      </c>
      <c r="AE66">
        <f t="shared" si="5"/>
        <v>10.832377405679011</v>
      </c>
      <c r="AF66" s="9"/>
      <c r="AG66" s="21">
        <v>0.182037</v>
      </c>
      <c r="AH66" s="21">
        <v>18.492899999999999</v>
      </c>
      <c r="AI66" s="21">
        <v>-8.2244899999999992E-3</v>
      </c>
      <c r="AJ66" s="21">
        <v>56</v>
      </c>
      <c r="AK66" s="21">
        <v>0.18160999999999999</v>
      </c>
      <c r="AL66">
        <f t="shared" si="6"/>
        <v>10.153691358024689</v>
      </c>
      <c r="AM66">
        <f t="shared" si="7"/>
        <v>1.8483475137407404</v>
      </c>
      <c r="AP66" s="9"/>
      <c r="AQ66" s="21">
        <v>1.4579800000000001</v>
      </c>
      <c r="AR66" s="21">
        <v>23.8567</v>
      </c>
      <c r="AS66" s="21">
        <v>-5.9387199999999998E-3</v>
      </c>
      <c r="AT66" s="21">
        <v>56</v>
      </c>
      <c r="AU66" s="21">
        <v>1.4578199999999999</v>
      </c>
      <c r="AV66">
        <f t="shared" si="8"/>
        <v>7.3317530864197522</v>
      </c>
      <c r="AW66">
        <f t="shared" si="9"/>
        <v>10.689549364938271</v>
      </c>
      <c r="AX66" s="9"/>
      <c r="AY66" s="21">
        <v>0.182037</v>
      </c>
      <c r="AZ66" s="21">
        <v>27.555099999999999</v>
      </c>
      <c r="BA66" s="21">
        <v>-8.1848100000000007E-3</v>
      </c>
      <c r="BB66" s="21">
        <v>56</v>
      </c>
      <c r="BC66" s="21">
        <v>0.18157999999999999</v>
      </c>
      <c r="BD66">
        <f t="shared" si="10"/>
        <v>10.104703703703704</v>
      </c>
      <c r="BE66">
        <f t="shared" si="11"/>
        <v>1.8394299481111112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1.4529399999999999</v>
      </c>
      <c r="H67" s="21">
        <v>5.6693699999999998</v>
      </c>
      <c r="I67" s="21">
        <v>-6.2896699999999998E-3</v>
      </c>
      <c r="J67" s="21">
        <v>57</v>
      </c>
      <c r="K67" s="21">
        <v>1.4520299999999999</v>
      </c>
      <c r="L67">
        <f t="shared" si="0"/>
        <v>7.7650246913580245</v>
      </c>
      <c r="M67">
        <f t="shared" si="1"/>
        <v>11.282114975061727</v>
      </c>
      <c r="N67" s="9"/>
      <c r="O67" s="21">
        <v>0.18707299999999999</v>
      </c>
      <c r="P67" s="21">
        <v>9.3677100000000006</v>
      </c>
      <c r="Q67" s="21">
        <v>-8.2794199999999991E-3</v>
      </c>
      <c r="R67" s="21">
        <v>57</v>
      </c>
      <c r="S67" s="21">
        <v>0.186615</v>
      </c>
      <c r="T67">
        <f t="shared" si="2"/>
        <v>10.221506172839504</v>
      </c>
      <c r="U67">
        <f t="shared" si="3"/>
        <v>1.9121678242716045</v>
      </c>
      <c r="X67" s="9"/>
      <c r="Y67" s="21">
        <v>1.4529399999999999</v>
      </c>
      <c r="Z67" s="21">
        <v>14.804600000000001</v>
      </c>
      <c r="AA67" s="21">
        <v>-6.0516399999999996E-3</v>
      </c>
      <c r="AB67" s="21">
        <v>57</v>
      </c>
      <c r="AC67" s="21">
        <v>1.4517199999999999</v>
      </c>
      <c r="AD67">
        <f t="shared" si="4"/>
        <v>7.4711604938271599</v>
      </c>
      <c r="AE67">
        <f t="shared" si="5"/>
        <v>10.855147927901234</v>
      </c>
      <c r="AF67" s="9"/>
      <c r="AG67" s="21">
        <v>0.18707299999999999</v>
      </c>
      <c r="AH67" s="21">
        <v>18.5029</v>
      </c>
      <c r="AI67" s="21">
        <v>-8.2153299999999999E-3</v>
      </c>
      <c r="AJ67" s="21">
        <v>57</v>
      </c>
      <c r="AK67" s="21">
        <v>0.186615</v>
      </c>
      <c r="AL67">
        <f t="shared" si="6"/>
        <v>10.142382716049381</v>
      </c>
      <c r="AM67">
        <f t="shared" si="7"/>
        <v>1.8973659618395058</v>
      </c>
      <c r="AP67" s="9"/>
      <c r="AQ67" s="21">
        <v>1.4529399999999999</v>
      </c>
      <c r="AR67" s="21">
        <v>23.866800000000001</v>
      </c>
      <c r="AS67" s="21">
        <v>-5.9722899999999999E-3</v>
      </c>
      <c r="AT67" s="21">
        <v>57</v>
      </c>
      <c r="AU67" s="21">
        <v>1.4520299999999999</v>
      </c>
      <c r="AV67">
        <f t="shared" si="8"/>
        <v>7.3731975308641973</v>
      </c>
      <c r="AW67">
        <f t="shared" si="9"/>
        <v>10.712813620493826</v>
      </c>
      <c r="AX67" s="9"/>
      <c r="AY67" s="21">
        <v>0.18707299999999999</v>
      </c>
      <c r="AZ67" s="21">
        <v>27.565100000000001</v>
      </c>
      <c r="BA67" s="21">
        <v>-8.1787100000000005E-3</v>
      </c>
      <c r="BB67" s="21">
        <v>57</v>
      </c>
      <c r="BC67" s="21">
        <v>0.18667600000000001</v>
      </c>
      <c r="BD67">
        <f t="shared" si="10"/>
        <v>10.097172839506174</v>
      </c>
      <c r="BE67">
        <f t="shared" si="11"/>
        <v>1.8889084146049382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1.44791</v>
      </c>
      <c r="H68" s="21">
        <v>5.6794399999999996</v>
      </c>
      <c r="I68" s="21">
        <v>-6.3232399999999999E-3</v>
      </c>
      <c r="J68" s="21">
        <v>58</v>
      </c>
      <c r="K68" s="21">
        <v>1.4483600000000001</v>
      </c>
      <c r="L68">
        <f t="shared" si="0"/>
        <v>7.8064691358024678</v>
      </c>
      <c r="M68">
        <f t="shared" si="1"/>
        <v>11.303064726419752</v>
      </c>
      <c r="N68" s="9"/>
      <c r="O68" s="21">
        <v>0.192108</v>
      </c>
      <c r="P68" s="21">
        <v>9.3777799999999996</v>
      </c>
      <c r="Q68" s="21">
        <v>-8.2733200000000007E-3</v>
      </c>
      <c r="R68" s="21">
        <v>58</v>
      </c>
      <c r="S68" s="21">
        <v>0.191742</v>
      </c>
      <c r="T68">
        <f t="shared" si="2"/>
        <v>10.213975308641976</v>
      </c>
      <c r="U68">
        <f t="shared" si="3"/>
        <v>1.9621863685925927</v>
      </c>
      <c r="X68" s="9"/>
      <c r="Y68" s="21">
        <v>1.44791</v>
      </c>
      <c r="Z68" s="21">
        <v>14.8147</v>
      </c>
      <c r="AA68" s="21">
        <v>-6.0882599999999999E-3</v>
      </c>
      <c r="AB68" s="21">
        <v>58</v>
      </c>
      <c r="AC68" s="21">
        <v>1.4471400000000001</v>
      </c>
      <c r="AD68">
        <f t="shared" si="4"/>
        <v>7.5163703703703693</v>
      </c>
      <c r="AE68">
        <f t="shared" si="5"/>
        <v>10.883027822962962</v>
      </c>
      <c r="AF68" s="9"/>
      <c r="AG68" s="21">
        <v>0.192108</v>
      </c>
      <c r="AH68" s="21">
        <v>18.513000000000002</v>
      </c>
      <c r="AI68" s="21">
        <v>-8.2092299999999997E-3</v>
      </c>
      <c r="AJ68" s="21">
        <v>58</v>
      </c>
      <c r="AK68" s="21">
        <v>0.19162000000000001</v>
      </c>
      <c r="AL68">
        <f t="shared" si="6"/>
        <v>10.134851851851851</v>
      </c>
      <c r="AM68">
        <f t="shared" si="7"/>
        <v>1.9469861195555553</v>
      </c>
      <c r="AP68" s="9"/>
      <c r="AQ68" s="21">
        <v>1.44791</v>
      </c>
      <c r="AR68" s="21">
        <v>23.876799999999999</v>
      </c>
      <c r="AS68" s="21">
        <v>-6.00586E-3</v>
      </c>
      <c r="AT68" s="21">
        <v>58</v>
      </c>
      <c r="AU68" s="21">
        <v>1.4468399999999999</v>
      </c>
      <c r="AV68">
        <f t="shared" si="8"/>
        <v>7.4146419753086414</v>
      </c>
      <c r="AW68">
        <f t="shared" si="9"/>
        <v>10.735734262469135</v>
      </c>
      <c r="AX68" s="9"/>
      <c r="AY68" s="21">
        <v>0.192108</v>
      </c>
      <c r="AZ68" s="21">
        <v>27.575199999999999</v>
      </c>
      <c r="BA68" s="21">
        <v>-8.1726100000000003E-3</v>
      </c>
      <c r="BB68" s="21">
        <v>58</v>
      </c>
      <c r="BC68" s="21">
        <v>0.19168099999999999</v>
      </c>
      <c r="BD68">
        <f t="shared" si="10"/>
        <v>10.089641975308641</v>
      </c>
      <c r="BE68">
        <f t="shared" si="11"/>
        <v>1.9383009405925924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1.4428700000000001</v>
      </c>
      <c r="H69" s="21">
        <v>5.6895100000000003</v>
      </c>
      <c r="I69" s="21">
        <v>-6.3629200000000002E-3</v>
      </c>
      <c r="J69" s="21">
        <v>59</v>
      </c>
      <c r="K69" s="21">
        <v>1.4422600000000001</v>
      </c>
      <c r="L69">
        <f t="shared" si="0"/>
        <v>7.8554567901234567</v>
      </c>
      <c r="M69">
        <f t="shared" si="1"/>
        <v>11.334402938765432</v>
      </c>
      <c r="N69" s="9"/>
      <c r="O69" s="21">
        <v>0.19714400000000001</v>
      </c>
      <c r="P69" s="21">
        <v>9.3878500000000003</v>
      </c>
      <c r="Q69" s="21">
        <v>-8.2611100000000003E-3</v>
      </c>
      <c r="R69" s="21">
        <v>59</v>
      </c>
      <c r="S69" s="21">
        <v>0.19674700000000001</v>
      </c>
      <c r="T69">
        <f t="shared" si="2"/>
        <v>10.198901234567902</v>
      </c>
      <c r="U69">
        <f t="shared" si="3"/>
        <v>2.0106521849876549</v>
      </c>
      <c r="X69" s="9"/>
      <c r="Y69" s="21">
        <v>1.4428700000000001</v>
      </c>
      <c r="Z69" s="21">
        <v>14.8247</v>
      </c>
      <c r="AA69" s="21">
        <v>-6.12183E-3</v>
      </c>
      <c r="AB69" s="21">
        <v>59</v>
      </c>
      <c r="AC69" s="21">
        <v>1.4425699999999999</v>
      </c>
      <c r="AD69">
        <f t="shared" si="4"/>
        <v>7.5578148148148143</v>
      </c>
      <c r="AE69">
        <f t="shared" si="5"/>
        <v>10.904944261851853</v>
      </c>
      <c r="AF69" s="9"/>
      <c r="AG69" s="21">
        <v>0.19714400000000001</v>
      </c>
      <c r="AH69" s="21">
        <v>18.523099999999999</v>
      </c>
      <c r="AI69" s="21">
        <v>-8.2000700000000003E-3</v>
      </c>
      <c r="AJ69" s="21">
        <v>59</v>
      </c>
      <c r="AK69" s="21">
        <v>0.19662499999999999</v>
      </c>
      <c r="AL69">
        <f t="shared" si="6"/>
        <v>10.123543209876544</v>
      </c>
      <c r="AM69">
        <f t="shared" si="7"/>
        <v>1.9957958025679017</v>
      </c>
      <c r="AP69" s="9"/>
      <c r="AQ69" s="21">
        <v>1.4428700000000001</v>
      </c>
      <c r="AR69" s="21">
        <v>23.886900000000001</v>
      </c>
      <c r="AS69" s="21">
        <v>-6.0333299999999999E-3</v>
      </c>
      <c r="AT69" s="21">
        <v>59</v>
      </c>
      <c r="AU69" s="21">
        <v>1.4419599999999999</v>
      </c>
      <c r="AV69">
        <f t="shared" si="8"/>
        <v>7.4485555555555543</v>
      </c>
      <c r="AW69">
        <f t="shared" si="9"/>
        <v>10.747297354444443</v>
      </c>
      <c r="AX69" s="9"/>
      <c r="AY69" s="21">
        <v>0.19714400000000001</v>
      </c>
      <c r="AZ69" s="21">
        <v>27.5853</v>
      </c>
      <c r="BA69" s="21">
        <v>-8.1634499999999992E-3</v>
      </c>
      <c r="BB69" s="21">
        <v>59</v>
      </c>
      <c r="BC69" s="21">
        <v>0.196686</v>
      </c>
      <c r="BD69">
        <f t="shared" si="10"/>
        <v>10.078333333333331</v>
      </c>
      <c r="BE69">
        <f t="shared" si="11"/>
        <v>1.9868829466666664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1.43784</v>
      </c>
      <c r="H70" s="21">
        <v>5.6995800000000001</v>
      </c>
      <c r="I70" s="21">
        <v>-6.3934300000000003E-3</v>
      </c>
      <c r="J70" s="21">
        <v>60</v>
      </c>
      <c r="K70" s="21">
        <v>1.4367700000000001</v>
      </c>
      <c r="L70">
        <f t="shared" si="0"/>
        <v>7.8931234567901232</v>
      </c>
      <c r="M70">
        <f t="shared" si="1"/>
        <v>11.349048631111112</v>
      </c>
      <c r="N70" s="9"/>
      <c r="O70" s="21">
        <v>0.202179</v>
      </c>
      <c r="P70" s="21">
        <v>9.3979199999999992</v>
      </c>
      <c r="Q70" s="21">
        <v>-8.2519499999999992E-3</v>
      </c>
      <c r="R70" s="21">
        <v>60</v>
      </c>
      <c r="S70" s="21">
        <v>0.20175199999999999</v>
      </c>
      <c r="T70">
        <f t="shared" si="2"/>
        <v>10.187592592592591</v>
      </c>
      <c r="U70">
        <f t="shared" si="3"/>
        <v>2.0597172827777772</v>
      </c>
      <c r="X70" s="9"/>
      <c r="Y70" s="21">
        <v>1.43784</v>
      </c>
      <c r="Z70" s="21">
        <v>14.8348</v>
      </c>
      <c r="AA70" s="21">
        <v>-6.14929E-3</v>
      </c>
      <c r="AB70" s="21">
        <v>60</v>
      </c>
      <c r="AC70" s="21">
        <v>1.4370700000000001</v>
      </c>
      <c r="AD70">
        <f t="shared" si="4"/>
        <v>7.5917160493827156</v>
      </c>
      <c r="AE70">
        <f t="shared" si="5"/>
        <v>10.915673004444443</v>
      </c>
      <c r="AF70" s="9"/>
      <c r="AG70" s="21">
        <v>0.202179</v>
      </c>
      <c r="AH70" s="21">
        <v>18.533100000000001</v>
      </c>
      <c r="AI70" s="21">
        <v>-8.1848100000000007E-3</v>
      </c>
      <c r="AJ70" s="21">
        <v>60</v>
      </c>
      <c r="AK70" s="21">
        <v>0.20166000000000001</v>
      </c>
      <c r="AL70">
        <f t="shared" si="6"/>
        <v>10.104703703703704</v>
      </c>
      <c r="AM70">
        <f t="shared" si="7"/>
        <v>2.0429588901111111</v>
      </c>
      <c r="AP70" s="9"/>
      <c r="AQ70" s="21">
        <v>1.43784</v>
      </c>
      <c r="AR70" s="21">
        <v>23.896999999999998</v>
      </c>
      <c r="AS70" s="21">
        <v>-6.0699500000000002E-3</v>
      </c>
      <c r="AT70" s="21">
        <v>60</v>
      </c>
      <c r="AU70" s="21">
        <v>1.4367700000000001</v>
      </c>
      <c r="AV70">
        <f t="shared" si="8"/>
        <v>7.4937654320987654</v>
      </c>
      <c r="AW70">
        <f t="shared" si="9"/>
        <v>10.774835688888889</v>
      </c>
      <c r="AX70" s="9"/>
      <c r="AY70" s="21">
        <v>0.202179</v>
      </c>
      <c r="AZ70" s="21">
        <v>27.595400000000001</v>
      </c>
      <c r="BA70" s="21">
        <v>-8.1542999999999997E-3</v>
      </c>
      <c r="BB70" s="21">
        <v>60</v>
      </c>
      <c r="BC70" s="21">
        <v>0.20169100000000001</v>
      </c>
      <c r="BD70">
        <f t="shared" si="10"/>
        <v>10.067037037037036</v>
      </c>
      <c r="BE70">
        <f t="shared" si="11"/>
        <v>2.0353434811111106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1.4328000000000001</v>
      </c>
      <c r="H71" s="21">
        <v>5.7096499999999999</v>
      </c>
      <c r="I71" s="21">
        <v>-6.4178500000000001E-3</v>
      </c>
      <c r="J71" s="21">
        <v>61</v>
      </c>
      <c r="K71" s="21">
        <v>1.4325000000000001</v>
      </c>
      <c r="L71">
        <f t="shared" si="0"/>
        <v>7.9232716049382708</v>
      </c>
      <c r="M71">
        <f t="shared" si="1"/>
        <v>11.352463555555556</v>
      </c>
      <c r="N71" s="9"/>
      <c r="O71" s="21">
        <v>0.20721400000000001</v>
      </c>
      <c r="P71" s="21">
        <v>9.4079899999999999</v>
      </c>
      <c r="Q71" s="21">
        <v>-8.2366899999999996E-3</v>
      </c>
      <c r="R71" s="21">
        <v>61</v>
      </c>
      <c r="S71" s="21">
        <v>0.206787</v>
      </c>
      <c r="T71">
        <f t="shared" si="2"/>
        <v>10.168753086419752</v>
      </c>
      <c r="U71">
        <f t="shared" si="3"/>
        <v>2.1071080020493826</v>
      </c>
      <c r="X71" s="9"/>
      <c r="Y71" s="21">
        <v>1.4328000000000001</v>
      </c>
      <c r="Z71" s="21">
        <v>14.844900000000001</v>
      </c>
      <c r="AA71" s="21">
        <v>-6.1767599999999999E-3</v>
      </c>
      <c r="AB71" s="21">
        <v>61</v>
      </c>
      <c r="AC71" s="21">
        <v>1.4321900000000001</v>
      </c>
      <c r="AD71">
        <f t="shared" si="4"/>
        <v>7.6256296296296293</v>
      </c>
      <c r="AE71">
        <f t="shared" si="5"/>
        <v>10.926002133333334</v>
      </c>
      <c r="AF71" s="9"/>
      <c r="AG71" s="21">
        <v>0.20721400000000001</v>
      </c>
      <c r="AH71" s="21">
        <v>18.543199999999999</v>
      </c>
      <c r="AI71" s="21">
        <v>-8.1848100000000007E-3</v>
      </c>
      <c r="AJ71" s="21">
        <v>61</v>
      </c>
      <c r="AK71" s="21">
        <v>0.206757</v>
      </c>
      <c r="AL71">
        <f t="shared" si="6"/>
        <v>10.104703703703704</v>
      </c>
      <c r="AM71">
        <f t="shared" si="7"/>
        <v>2.0938360732592596</v>
      </c>
      <c r="AP71" s="9"/>
      <c r="AQ71" s="21">
        <v>1.4328000000000001</v>
      </c>
      <c r="AR71" s="21">
        <v>23.907</v>
      </c>
      <c r="AS71" s="21">
        <v>-6.1065700000000004E-3</v>
      </c>
      <c r="AT71" s="21">
        <v>61</v>
      </c>
      <c r="AU71" s="21">
        <v>1.43188</v>
      </c>
      <c r="AV71">
        <f t="shared" si="8"/>
        <v>7.5389753086419757</v>
      </c>
      <c r="AW71">
        <f t="shared" si="9"/>
        <v>10.801843822222223</v>
      </c>
      <c r="AX71" s="9"/>
      <c r="AY71" s="21">
        <v>0.20721400000000001</v>
      </c>
      <c r="AZ71" s="21">
        <v>27.605399999999999</v>
      </c>
      <c r="BA71" s="21">
        <v>-8.13293E-3</v>
      </c>
      <c r="BB71" s="21">
        <v>61</v>
      </c>
      <c r="BC71" s="21">
        <v>0.20666499999999999</v>
      </c>
      <c r="BD71">
        <f t="shared" si="10"/>
        <v>10.040654320987654</v>
      </c>
      <c r="BE71">
        <f t="shared" si="11"/>
        <v>2.0805641444691361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1.4277599999999999</v>
      </c>
      <c r="H72" s="21">
        <v>5.7197199999999997</v>
      </c>
      <c r="I72" s="21">
        <v>-6.4453100000000001E-3</v>
      </c>
      <c r="J72" s="21">
        <v>62</v>
      </c>
      <c r="K72" s="21">
        <v>1.427</v>
      </c>
      <c r="L72">
        <f t="shared" si="0"/>
        <v>7.9571728395061729</v>
      </c>
      <c r="M72">
        <f t="shared" si="1"/>
        <v>11.360933093333333</v>
      </c>
      <c r="N72" s="9"/>
      <c r="O72" s="21">
        <v>0.21224999999999999</v>
      </c>
      <c r="P72" s="21">
        <v>9.4180600000000005</v>
      </c>
      <c r="Q72" s="21">
        <v>-8.2305899999999994E-3</v>
      </c>
      <c r="R72" s="21">
        <v>62</v>
      </c>
      <c r="S72" s="21">
        <v>0.211761</v>
      </c>
      <c r="T72">
        <f t="shared" si="2"/>
        <v>10.161222222222221</v>
      </c>
      <c r="U72">
        <f t="shared" si="3"/>
        <v>2.1567194166666663</v>
      </c>
      <c r="X72" s="9"/>
      <c r="Y72" s="21">
        <v>1.4277599999999999</v>
      </c>
      <c r="Z72" s="21">
        <v>14.854900000000001</v>
      </c>
      <c r="AA72" s="21">
        <v>-6.2072799999999999E-3</v>
      </c>
      <c r="AB72" s="21">
        <v>62</v>
      </c>
      <c r="AC72" s="21">
        <v>1.4267000000000001</v>
      </c>
      <c r="AD72">
        <f t="shared" si="4"/>
        <v>7.6633086419753074</v>
      </c>
      <c r="AE72">
        <f t="shared" si="5"/>
        <v>10.941365546666665</v>
      </c>
      <c r="AF72" s="9"/>
      <c r="AG72" s="21">
        <v>0.21224999999999999</v>
      </c>
      <c r="AH72" s="21">
        <v>18.5533</v>
      </c>
      <c r="AI72" s="21">
        <v>-8.1756599999999995E-3</v>
      </c>
      <c r="AJ72" s="21">
        <v>62</v>
      </c>
      <c r="AK72" s="21">
        <v>0.21179200000000001</v>
      </c>
      <c r="AL72">
        <f t="shared" si="6"/>
        <v>10.093407407407406</v>
      </c>
      <c r="AM72">
        <f t="shared" si="7"/>
        <v>2.1423257222222221</v>
      </c>
      <c r="AP72" s="9"/>
      <c r="AQ72" s="21">
        <v>1.4277599999999999</v>
      </c>
      <c r="AR72" s="21">
        <v>23.917100000000001</v>
      </c>
      <c r="AS72" s="21">
        <v>-6.1431899999999998E-3</v>
      </c>
      <c r="AT72" s="21">
        <v>62</v>
      </c>
      <c r="AU72" s="21">
        <v>1.427</v>
      </c>
      <c r="AV72">
        <f t="shared" si="8"/>
        <v>7.5841851851851843</v>
      </c>
      <c r="AW72">
        <f t="shared" si="9"/>
        <v>10.828396239999998</v>
      </c>
      <c r="AX72" s="9"/>
      <c r="AY72" s="21">
        <v>0.21224999999999999</v>
      </c>
      <c r="AZ72" s="21">
        <v>27.615500000000001</v>
      </c>
      <c r="BA72" s="21">
        <v>-8.1146199999999995E-3</v>
      </c>
      <c r="BB72" s="21">
        <v>62</v>
      </c>
      <c r="BC72" s="21">
        <v>0.21182300000000001</v>
      </c>
      <c r="BD72">
        <f t="shared" si="10"/>
        <v>10.018049382716047</v>
      </c>
      <c r="BE72">
        <f t="shared" si="11"/>
        <v>2.1263309814814808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1.4227300000000001</v>
      </c>
      <c r="H73" s="21">
        <v>5.7297900000000004</v>
      </c>
      <c r="I73" s="21">
        <v>-6.4758300000000001E-3</v>
      </c>
      <c r="J73" s="21">
        <v>63</v>
      </c>
      <c r="K73" s="21">
        <v>1.42181</v>
      </c>
      <c r="L73">
        <f t="shared" si="0"/>
        <v>7.9948518518518519</v>
      </c>
      <c r="M73">
        <f t="shared" si="1"/>
        <v>11.374515575185185</v>
      </c>
      <c r="N73" s="9"/>
      <c r="O73" s="21">
        <v>0.21728500000000001</v>
      </c>
      <c r="P73" s="21">
        <v>9.4281299999999995</v>
      </c>
      <c r="Q73" s="21">
        <v>-8.2092299999999997E-3</v>
      </c>
      <c r="R73" s="21">
        <v>63</v>
      </c>
      <c r="S73" s="21">
        <v>0.21679699999999999</v>
      </c>
      <c r="T73">
        <f t="shared" si="2"/>
        <v>10.134851851851851</v>
      </c>
      <c r="U73">
        <f t="shared" si="3"/>
        <v>2.2021512846296294</v>
      </c>
      <c r="X73" s="9"/>
      <c r="Y73" s="21">
        <v>1.4227300000000001</v>
      </c>
      <c r="Z73" s="21">
        <v>14.865</v>
      </c>
      <c r="AA73" s="21">
        <v>-6.2439000000000001E-3</v>
      </c>
      <c r="AB73" s="21">
        <v>63</v>
      </c>
      <c r="AC73" s="21">
        <v>1.42181</v>
      </c>
      <c r="AD73">
        <f t="shared" si="4"/>
        <v>7.7085185185185185</v>
      </c>
      <c r="AE73">
        <f t="shared" si="5"/>
        <v>10.967140551851852</v>
      </c>
      <c r="AF73" s="9"/>
      <c r="AG73" s="21">
        <v>0.21728500000000001</v>
      </c>
      <c r="AH73" s="21">
        <v>18.563300000000002</v>
      </c>
      <c r="AI73" s="21">
        <v>-8.1695599999999993E-3</v>
      </c>
      <c r="AJ73" s="21">
        <v>63</v>
      </c>
      <c r="AK73" s="21">
        <v>0.21682699999999999</v>
      </c>
      <c r="AL73">
        <f t="shared" si="6"/>
        <v>10.085876543209876</v>
      </c>
      <c r="AM73">
        <f t="shared" si="7"/>
        <v>2.1915096846913578</v>
      </c>
      <c r="AP73" s="9"/>
      <c r="AQ73" s="21">
        <v>1.4227300000000001</v>
      </c>
      <c r="AR73" s="21">
        <v>23.927199999999999</v>
      </c>
      <c r="AS73" s="21">
        <v>-6.1767599999999999E-3</v>
      </c>
      <c r="AT73" s="21">
        <v>63</v>
      </c>
      <c r="AU73" s="21">
        <v>1.4215100000000001</v>
      </c>
      <c r="AV73">
        <f t="shared" si="8"/>
        <v>7.6256296296296293</v>
      </c>
      <c r="AW73">
        <f t="shared" si="9"/>
        <v>10.849212042962963</v>
      </c>
      <c r="AX73" s="9"/>
      <c r="AY73" s="21">
        <v>0.21728500000000001</v>
      </c>
      <c r="AZ73" s="21">
        <v>27.625599999999999</v>
      </c>
      <c r="BA73" s="21">
        <v>-8.1024200000000008E-3</v>
      </c>
      <c r="BB73" s="21">
        <v>63</v>
      </c>
      <c r="BC73" s="21">
        <v>0.216858</v>
      </c>
      <c r="BD73">
        <f t="shared" si="10"/>
        <v>10.002987654320988</v>
      </c>
      <c r="BE73">
        <f t="shared" si="11"/>
        <v>2.1734991724691359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1.4176899999999999</v>
      </c>
      <c r="H74" s="21">
        <v>5.7398699999999998</v>
      </c>
      <c r="I74" s="21">
        <v>-6.5063500000000002E-3</v>
      </c>
      <c r="J74" s="21">
        <v>64</v>
      </c>
      <c r="K74" s="21">
        <v>1.4172400000000001</v>
      </c>
      <c r="L74">
        <f t="shared" si="0"/>
        <v>8.0325308641975308</v>
      </c>
      <c r="M74">
        <f t="shared" si="1"/>
        <v>11.387638680864196</v>
      </c>
      <c r="N74" s="9"/>
      <c r="O74" s="21">
        <v>0.22232099999999999</v>
      </c>
      <c r="P74" s="21">
        <v>9.4382000000000001</v>
      </c>
      <c r="Q74" s="21">
        <v>-8.1909200000000008E-3</v>
      </c>
      <c r="R74" s="21">
        <v>64</v>
      </c>
      <c r="S74" s="21">
        <v>0.22189300000000001</v>
      </c>
      <c r="T74">
        <f t="shared" si="2"/>
        <v>10.112246913580249</v>
      </c>
      <c r="U74">
        <f t="shared" si="3"/>
        <v>2.2481648460740744</v>
      </c>
      <c r="X74" s="9"/>
      <c r="Y74" s="21">
        <v>1.4176899999999999</v>
      </c>
      <c r="Z74" s="21">
        <v>14.8751</v>
      </c>
      <c r="AA74" s="21">
        <v>-6.2774700000000003E-3</v>
      </c>
      <c r="AB74" s="21">
        <v>64</v>
      </c>
      <c r="AC74" s="21">
        <v>1.4166300000000001</v>
      </c>
      <c r="AD74">
        <f t="shared" si="4"/>
        <v>7.7499629629629627</v>
      </c>
      <c r="AE74">
        <f t="shared" si="5"/>
        <v>10.987044992962963</v>
      </c>
      <c r="AF74" s="9"/>
      <c r="AG74" s="21">
        <v>0.22232099999999999</v>
      </c>
      <c r="AH74" s="21">
        <v>18.573399999999999</v>
      </c>
      <c r="AI74" s="21">
        <v>-8.1603999999999999E-3</v>
      </c>
      <c r="AJ74" s="21">
        <v>64</v>
      </c>
      <c r="AK74" s="21">
        <v>0.221832</v>
      </c>
      <c r="AL74">
        <f t="shared" si="6"/>
        <v>10.074567901234568</v>
      </c>
      <c r="AM74">
        <f t="shared" si="7"/>
        <v>2.2397880103703702</v>
      </c>
      <c r="AP74" s="9"/>
      <c r="AQ74" s="21">
        <v>1.4176899999999999</v>
      </c>
      <c r="AR74" s="21">
        <v>23.9373</v>
      </c>
      <c r="AS74" s="21">
        <v>-6.2011699999999998E-3</v>
      </c>
      <c r="AT74" s="21">
        <v>64</v>
      </c>
      <c r="AU74" s="21">
        <v>1.4166300000000001</v>
      </c>
      <c r="AV74">
        <f t="shared" si="8"/>
        <v>7.6557654320987645</v>
      </c>
      <c r="AW74">
        <f t="shared" si="9"/>
        <v>10.853502095432097</v>
      </c>
      <c r="AX74" s="9"/>
      <c r="AY74" s="21">
        <v>0.22232099999999999</v>
      </c>
      <c r="AZ74" s="21">
        <v>27.6356</v>
      </c>
      <c r="BA74" s="21">
        <v>-8.0932599999999997E-3</v>
      </c>
      <c r="BB74" s="21">
        <v>64</v>
      </c>
      <c r="BC74" s="21">
        <v>0.22189300000000001</v>
      </c>
      <c r="BD74">
        <f t="shared" si="10"/>
        <v>9.9916790123456778</v>
      </c>
      <c r="BE74">
        <f t="shared" si="11"/>
        <v>2.2213600697037035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1.41266</v>
      </c>
      <c r="H75" s="21">
        <v>5.7499399999999996</v>
      </c>
      <c r="I75" s="21">
        <v>-6.53076E-3</v>
      </c>
      <c r="J75" s="21">
        <v>65</v>
      </c>
      <c r="K75" s="21">
        <v>1.41296</v>
      </c>
      <c r="L75">
        <f t="shared" si="0"/>
        <v>8.0626666666666651</v>
      </c>
      <c r="M75">
        <f t="shared" si="1"/>
        <v>11.389806693333332</v>
      </c>
      <c r="N75" s="9"/>
      <c r="O75" s="21">
        <v>0.227356</v>
      </c>
      <c r="P75" s="21">
        <v>9.4482700000000008</v>
      </c>
      <c r="Q75" s="21">
        <v>-8.1726100000000003E-3</v>
      </c>
      <c r="R75" s="21">
        <v>65</v>
      </c>
      <c r="S75" s="21">
        <v>0.22680700000000001</v>
      </c>
      <c r="T75">
        <f t="shared" si="2"/>
        <v>10.089641975308641</v>
      </c>
      <c r="U75">
        <f t="shared" si="3"/>
        <v>2.2939406409382714</v>
      </c>
      <c r="X75" s="9"/>
      <c r="Y75" s="21">
        <v>1.41266</v>
      </c>
      <c r="Z75" s="21">
        <v>14.885199999999999</v>
      </c>
      <c r="AA75" s="21">
        <v>-6.3049300000000003E-3</v>
      </c>
      <c r="AB75" s="21">
        <v>65</v>
      </c>
      <c r="AC75" s="21">
        <v>1.41174</v>
      </c>
      <c r="AD75">
        <f t="shared" si="4"/>
        <v>7.783864197530864</v>
      </c>
      <c r="AE75">
        <f t="shared" si="5"/>
        <v>10.99595359728395</v>
      </c>
      <c r="AF75" s="9"/>
      <c r="AG75" s="21">
        <v>0.227356</v>
      </c>
      <c r="AH75" s="21">
        <v>18.583500000000001</v>
      </c>
      <c r="AI75" s="21">
        <v>-8.1542999999999997E-3</v>
      </c>
      <c r="AJ75" s="21">
        <v>65</v>
      </c>
      <c r="AK75" s="21">
        <v>0.22692899999999999</v>
      </c>
      <c r="AL75">
        <f t="shared" si="6"/>
        <v>10.067037037037036</v>
      </c>
      <c r="AM75">
        <f t="shared" si="7"/>
        <v>2.2888012725925924</v>
      </c>
      <c r="AP75" s="9"/>
      <c r="AQ75" s="21">
        <v>1.41266</v>
      </c>
      <c r="AR75" s="21">
        <v>23.947299999999998</v>
      </c>
      <c r="AS75" s="21">
        <v>-6.2255899999999996E-3</v>
      </c>
      <c r="AT75" s="21">
        <v>65</v>
      </c>
      <c r="AU75" s="21">
        <v>1.41205</v>
      </c>
      <c r="AV75">
        <f t="shared" si="8"/>
        <v>7.685913580246913</v>
      </c>
      <c r="AW75">
        <f t="shared" si="9"/>
        <v>10.857582678271605</v>
      </c>
      <c r="AX75" s="9"/>
      <c r="AY75" s="21">
        <v>0.227356</v>
      </c>
      <c r="AZ75" s="21">
        <v>27.645700000000001</v>
      </c>
      <c r="BA75" s="21">
        <v>-8.0902100000000005E-3</v>
      </c>
      <c r="BB75" s="21">
        <v>65</v>
      </c>
      <c r="BC75" s="21">
        <v>0.22689799999999999</v>
      </c>
      <c r="BD75">
        <f t="shared" si="10"/>
        <v>9.9879135802469143</v>
      </c>
      <c r="BE75">
        <f t="shared" si="11"/>
        <v>2.2708120799506175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1.4076200000000001</v>
      </c>
      <c r="H76" s="21">
        <v>5.7600100000000003</v>
      </c>
      <c r="I76" s="21">
        <v>-6.5521199999999998E-3</v>
      </c>
      <c r="J76" s="21">
        <v>66</v>
      </c>
      <c r="K76" s="21">
        <v>1.40686</v>
      </c>
      <c r="L76">
        <f t="shared" ref="L76:L139" si="12">-I76/$F$2*1000</f>
        <v>8.0890370370370377</v>
      </c>
      <c r="M76">
        <f t="shared" ref="M76:M139" si="13">L76*G76</f>
        <v>11.386290314074076</v>
      </c>
      <c r="N76" s="9"/>
      <c r="O76" s="21">
        <v>0.23239099999999999</v>
      </c>
      <c r="P76" s="21">
        <v>9.4583399999999997</v>
      </c>
      <c r="Q76" s="21">
        <v>-8.1634499999999992E-3</v>
      </c>
      <c r="R76" s="21">
        <v>66</v>
      </c>
      <c r="S76" s="21">
        <v>0.231934</v>
      </c>
      <c r="T76">
        <f t="shared" ref="T76:T139" si="14">-Q76/$F$2*1000</f>
        <v>10.078333333333331</v>
      </c>
      <c r="U76">
        <f t="shared" ref="U76:U139" si="15">T76*O76</f>
        <v>2.3421139616666662</v>
      </c>
      <c r="X76" s="9"/>
      <c r="Y76" s="21">
        <v>1.4076200000000001</v>
      </c>
      <c r="Z76" s="21">
        <v>14.895200000000001</v>
      </c>
      <c r="AA76" s="21">
        <v>-6.3232399999999999E-3</v>
      </c>
      <c r="AB76" s="21">
        <v>66</v>
      </c>
      <c r="AC76" s="21">
        <v>1.40686</v>
      </c>
      <c r="AD76">
        <f t="shared" ref="AD76:AD139" si="16">-AA76/$F$2*1000</f>
        <v>7.8064691358024678</v>
      </c>
      <c r="AE76">
        <f t="shared" ref="AE76:AE139" si="17">AD76*Y76</f>
        <v>10.98854208493827</v>
      </c>
      <c r="AF76" s="9"/>
      <c r="AG76" s="21">
        <v>0.23239099999999999</v>
      </c>
      <c r="AH76" s="21">
        <v>18.593599999999999</v>
      </c>
      <c r="AI76" s="21">
        <v>-8.1481899999999996E-3</v>
      </c>
      <c r="AJ76" s="21">
        <v>66</v>
      </c>
      <c r="AK76" s="21">
        <v>0.231934</v>
      </c>
      <c r="AL76">
        <f t="shared" ref="AL76:AL139" si="18">-AI76/$F$2*1000</f>
        <v>10.059493827160493</v>
      </c>
      <c r="AM76">
        <f t="shared" ref="AM76:AM139" si="19">AL76*AG76</f>
        <v>2.3377358299876541</v>
      </c>
      <c r="AP76" s="9"/>
      <c r="AQ76" s="21">
        <v>1.4076200000000001</v>
      </c>
      <c r="AR76" s="21">
        <v>23.9574</v>
      </c>
      <c r="AS76" s="21">
        <v>-6.2439000000000001E-3</v>
      </c>
      <c r="AT76" s="21">
        <v>66</v>
      </c>
      <c r="AU76" s="21">
        <v>1.40686</v>
      </c>
      <c r="AV76">
        <f t="shared" ref="AV76:AV139" si="20">-AS76/$F$2*1000</f>
        <v>7.7085185185185185</v>
      </c>
      <c r="AW76">
        <f t="shared" ref="AW76:AW139" si="21">AV76*AQ76</f>
        <v>10.850664837037037</v>
      </c>
      <c r="AX76" s="9"/>
      <c r="AY76" s="21">
        <v>0.23239099999999999</v>
      </c>
      <c r="AZ76" s="21">
        <v>27.655799999999999</v>
      </c>
      <c r="BA76" s="21">
        <v>-8.0841100000000003E-3</v>
      </c>
      <c r="BB76" s="21">
        <v>66</v>
      </c>
      <c r="BC76" s="21">
        <v>0.231903</v>
      </c>
      <c r="BD76">
        <f t="shared" ref="BD76:BD139" si="22">-BA76/$F$2*1000</f>
        <v>9.9803827160493821</v>
      </c>
      <c r="BE76">
        <f t="shared" ref="BE76:BE139" si="23">BD76*AY76</f>
        <v>2.319351119765432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1.40259</v>
      </c>
      <c r="H77" s="21">
        <v>5.7700800000000001</v>
      </c>
      <c r="I77" s="21">
        <v>-6.5673800000000003E-3</v>
      </c>
      <c r="J77" s="21">
        <v>67</v>
      </c>
      <c r="K77" s="21">
        <v>1.40198</v>
      </c>
      <c r="L77">
        <f t="shared" si="12"/>
        <v>8.1078765432098763</v>
      </c>
      <c r="M77">
        <f t="shared" si="13"/>
        <v>11.372026560740741</v>
      </c>
      <c r="N77" s="9"/>
      <c r="O77" s="21">
        <v>0.237427</v>
      </c>
      <c r="P77" s="21">
        <v>9.4684200000000001</v>
      </c>
      <c r="Q77" s="21">
        <v>-8.1573500000000007E-3</v>
      </c>
      <c r="R77" s="21">
        <v>67</v>
      </c>
      <c r="S77" s="21">
        <v>0.23699999999999999</v>
      </c>
      <c r="T77">
        <f t="shared" si="14"/>
        <v>10.070802469135803</v>
      </c>
      <c r="U77">
        <f t="shared" si="15"/>
        <v>2.3910804178395062</v>
      </c>
      <c r="X77" s="9"/>
      <c r="Y77" s="21">
        <v>1.40259</v>
      </c>
      <c r="Z77" s="21">
        <v>14.9053</v>
      </c>
      <c r="AA77" s="21">
        <v>-6.3507099999999999E-3</v>
      </c>
      <c r="AB77" s="21">
        <v>67</v>
      </c>
      <c r="AC77" s="21">
        <v>1.40228</v>
      </c>
      <c r="AD77">
        <f t="shared" si="16"/>
        <v>7.8403827160493833</v>
      </c>
      <c r="AE77">
        <f t="shared" si="17"/>
        <v>10.996842393703705</v>
      </c>
      <c r="AF77" s="9"/>
      <c r="AG77" s="21">
        <v>0.237427</v>
      </c>
      <c r="AH77" s="21">
        <v>18.6036</v>
      </c>
      <c r="AI77" s="21">
        <v>-8.1359899999999992E-3</v>
      </c>
      <c r="AJ77" s="21">
        <v>67</v>
      </c>
      <c r="AK77" s="21">
        <v>0.236877</v>
      </c>
      <c r="AL77">
        <f t="shared" si="18"/>
        <v>10.04443209876543</v>
      </c>
      <c r="AM77">
        <f t="shared" si="19"/>
        <v>2.38481937991358</v>
      </c>
      <c r="AP77" s="9"/>
      <c r="AQ77" s="21">
        <v>1.40259</v>
      </c>
      <c r="AR77" s="21">
        <v>23.967500000000001</v>
      </c>
      <c r="AS77" s="21">
        <v>-6.2713600000000001E-3</v>
      </c>
      <c r="AT77" s="21">
        <v>67</v>
      </c>
      <c r="AU77" s="21">
        <v>1.40198</v>
      </c>
      <c r="AV77">
        <f t="shared" si="20"/>
        <v>7.7424197530864189</v>
      </c>
      <c r="AW77">
        <f t="shared" si="21"/>
        <v>10.85944052148148</v>
      </c>
      <c r="AX77" s="9"/>
      <c r="AY77" s="21">
        <v>0.237427</v>
      </c>
      <c r="AZ77" s="21">
        <v>27.665800000000001</v>
      </c>
      <c r="BA77" s="21">
        <v>-8.0749499999999991E-3</v>
      </c>
      <c r="BB77" s="21">
        <v>67</v>
      </c>
      <c r="BC77" s="21">
        <v>0.23699999999999999</v>
      </c>
      <c r="BD77">
        <f t="shared" si="22"/>
        <v>9.9690740740740722</v>
      </c>
      <c r="BE77">
        <f t="shared" si="23"/>
        <v>2.3669273501851849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1.3975500000000001</v>
      </c>
      <c r="H78" s="21">
        <v>5.7801499999999999</v>
      </c>
      <c r="I78" s="21">
        <v>-6.58875E-3</v>
      </c>
      <c r="J78" s="21">
        <v>68</v>
      </c>
      <c r="K78" s="21">
        <v>1.3958699999999999</v>
      </c>
      <c r="L78">
        <f t="shared" si="12"/>
        <v>8.1342592592592595</v>
      </c>
      <c r="M78">
        <f t="shared" si="13"/>
        <v>11.368034027777778</v>
      </c>
      <c r="N78" s="9"/>
      <c r="O78" s="21">
        <v>0.24246200000000001</v>
      </c>
      <c r="P78" s="21">
        <v>9.4784900000000007</v>
      </c>
      <c r="Q78" s="21">
        <v>-8.1451400000000004E-3</v>
      </c>
      <c r="R78" s="21">
        <v>68</v>
      </c>
      <c r="S78" s="21">
        <v>0.24194299999999999</v>
      </c>
      <c r="T78">
        <f t="shared" si="14"/>
        <v>10.055728395061728</v>
      </c>
      <c r="U78">
        <f t="shared" si="15"/>
        <v>2.4381320181234565</v>
      </c>
      <c r="X78" s="9"/>
      <c r="Y78" s="21">
        <v>1.3975500000000001</v>
      </c>
      <c r="Z78" s="21">
        <v>14.9154</v>
      </c>
      <c r="AA78" s="21">
        <v>-6.3720699999999996E-3</v>
      </c>
      <c r="AB78" s="21">
        <v>68</v>
      </c>
      <c r="AC78" s="21">
        <v>1.39679</v>
      </c>
      <c r="AD78">
        <f t="shared" si="16"/>
        <v>7.8667530864197523</v>
      </c>
      <c r="AE78">
        <f t="shared" si="17"/>
        <v>10.994180775925926</v>
      </c>
      <c r="AF78" s="9"/>
      <c r="AG78" s="21">
        <v>0.24246200000000001</v>
      </c>
      <c r="AH78" s="21">
        <v>18.613700000000001</v>
      </c>
      <c r="AI78" s="21">
        <v>-8.1237800000000006E-3</v>
      </c>
      <c r="AJ78" s="21">
        <v>68</v>
      </c>
      <c r="AK78" s="21">
        <v>0.242035</v>
      </c>
      <c r="AL78">
        <f t="shared" si="18"/>
        <v>10.029358024691359</v>
      </c>
      <c r="AM78">
        <f t="shared" si="19"/>
        <v>2.4317382053827163</v>
      </c>
      <c r="AP78" s="9"/>
      <c r="AQ78" s="21">
        <v>1.3975500000000001</v>
      </c>
      <c r="AR78" s="21">
        <v>23.977499999999999</v>
      </c>
      <c r="AS78" s="21">
        <v>-6.3018800000000002E-3</v>
      </c>
      <c r="AT78" s="21">
        <v>68</v>
      </c>
      <c r="AU78" s="21">
        <v>1.3974</v>
      </c>
      <c r="AV78">
        <f t="shared" si="20"/>
        <v>7.7800987654320988</v>
      </c>
      <c r="AW78">
        <f t="shared" si="21"/>
        <v>10.873077029629631</v>
      </c>
      <c r="AX78" s="9"/>
      <c r="AY78" s="21">
        <v>0.24246200000000001</v>
      </c>
      <c r="AZ78" s="21">
        <v>27.675899999999999</v>
      </c>
      <c r="BA78" s="21">
        <v>-8.0657999999999997E-3</v>
      </c>
      <c r="BB78" s="21">
        <v>68</v>
      </c>
      <c r="BC78" s="21">
        <v>0.24191299999999999</v>
      </c>
      <c r="BD78">
        <f t="shared" si="22"/>
        <v>9.9577777777777765</v>
      </c>
      <c r="BE78">
        <f t="shared" si="23"/>
        <v>2.4143827155555555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1.39252</v>
      </c>
      <c r="H79" s="21">
        <v>5.7902199999999997</v>
      </c>
      <c r="I79" s="21">
        <v>-6.6070599999999997E-3</v>
      </c>
      <c r="J79" s="21">
        <v>69</v>
      </c>
      <c r="K79" s="21">
        <v>1.3915999999999999</v>
      </c>
      <c r="L79">
        <f t="shared" si="12"/>
        <v>8.1568641975308633</v>
      </c>
      <c r="M79">
        <f t="shared" si="13"/>
        <v>11.358596532345677</v>
      </c>
      <c r="N79" s="9"/>
      <c r="O79" s="21">
        <v>0.247498</v>
      </c>
      <c r="P79" s="21">
        <v>9.4885599999999997</v>
      </c>
      <c r="Q79" s="21">
        <v>-8.1359899999999992E-3</v>
      </c>
      <c r="R79" s="21">
        <v>69</v>
      </c>
      <c r="S79" s="21">
        <v>0.24707000000000001</v>
      </c>
      <c r="T79">
        <f t="shared" si="14"/>
        <v>10.04443209876543</v>
      </c>
      <c r="U79">
        <f t="shared" si="15"/>
        <v>2.4859768555802462</v>
      </c>
      <c r="X79" s="9"/>
      <c r="Y79" s="21">
        <v>1.39252</v>
      </c>
      <c r="Z79" s="21">
        <v>14.9254</v>
      </c>
      <c r="AA79" s="21">
        <v>-6.3964800000000004E-3</v>
      </c>
      <c r="AB79" s="21">
        <v>69</v>
      </c>
      <c r="AC79" s="21">
        <v>1.39191</v>
      </c>
      <c r="AD79">
        <f t="shared" si="16"/>
        <v>7.8968888888888893</v>
      </c>
      <c r="AE79">
        <f t="shared" si="17"/>
        <v>10.996575715555556</v>
      </c>
      <c r="AF79" s="9"/>
      <c r="AG79" s="21">
        <v>0.247498</v>
      </c>
      <c r="AH79" s="21">
        <v>18.623799999999999</v>
      </c>
      <c r="AI79" s="21">
        <v>-8.1024200000000008E-3</v>
      </c>
      <c r="AJ79" s="21">
        <v>69</v>
      </c>
      <c r="AK79" s="21">
        <v>0.24707000000000001</v>
      </c>
      <c r="AL79">
        <f t="shared" si="18"/>
        <v>10.002987654320988</v>
      </c>
      <c r="AM79">
        <f t="shared" si="19"/>
        <v>2.4757194384691359</v>
      </c>
      <c r="AP79" s="9"/>
      <c r="AQ79" s="21">
        <v>1.39252</v>
      </c>
      <c r="AR79" s="21">
        <v>23.9876</v>
      </c>
      <c r="AS79" s="21">
        <v>-6.3232399999999999E-3</v>
      </c>
      <c r="AT79" s="21">
        <v>69</v>
      </c>
      <c r="AU79" s="21">
        <v>1.3909899999999999</v>
      </c>
      <c r="AV79">
        <f t="shared" si="20"/>
        <v>7.8064691358024678</v>
      </c>
      <c r="AW79">
        <f t="shared" si="21"/>
        <v>10.870664400987652</v>
      </c>
      <c r="AX79" s="9"/>
      <c r="AY79" s="21">
        <v>0.247498</v>
      </c>
      <c r="AZ79" s="21">
        <v>27.686</v>
      </c>
      <c r="BA79" s="21">
        <v>-8.0566400000000003E-3</v>
      </c>
      <c r="BB79" s="21">
        <v>69</v>
      </c>
      <c r="BC79" s="21">
        <v>0.24704000000000001</v>
      </c>
      <c r="BD79">
        <f t="shared" si="22"/>
        <v>9.9464691358024702</v>
      </c>
      <c r="BE79">
        <f t="shared" si="23"/>
        <v>2.4617312181728397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1.38748</v>
      </c>
      <c r="H80" s="21">
        <v>5.8002900000000004</v>
      </c>
      <c r="I80" s="21">
        <v>-6.6253700000000002E-3</v>
      </c>
      <c r="J80" s="21">
        <v>70</v>
      </c>
      <c r="K80" s="21">
        <v>1.3864099999999999</v>
      </c>
      <c r="L80">
        <f t="shared" si="12"/>
        <v>8.1794691358024689</v>
      </c>
      <c r="M80">
        <f t="shared" si="13"/>
        <v>11.348849836543209</v>
      </c>
      <c r="N80" s="9"/>
      <c r="O80" s="21">
        <v>0.25253300000000001</v>
      </c>
      <c r="P80" s="21">
        <v>9.4986300000000004</v>
      </c>
      <c r="Q80" s="21">
        <v>-8.1237800000000006E-3</v>
      </c>
      <c r="R80" s="21">
        <v>70</v>
      </c>
      <c r="S80" s="21">
        <v>0.25201400000000002</v>
      </c>
      <c r="T80">
        <f t="shared" si="14"/>
        <v>10.029358024691359</v>
      </c>
      <c r="U80">
        <f t="shared" si="15"/>
        <v>2.5327438700493827</v>
      </c>
      <c r="X80" s="9"/>
      <c r="Y80" s="21">
        <v>1.38748</v>
      </c>
      <c r="Z80" s="21">
        <v>14.935499999999999</v>
      </c>
      <c r="AA80" s="21">
        <v>-6.4209000000000002E-3</v>
      </c>
      <c r="AB80" s="21">
        <v>70</v>
      </c>
      <c r="AC80" s="21">
        <v>1.3864099999999999</v>
      </c>
      <c r="AD80">
        <f t="shared" si="16"/>
        <v>7.927037037037036</v>
      </c>
      <c r="AE80">
        <f t="shared" si="17"/>
        <v>10.998605348148146</v>
      </c>
      <c r="AF80" s="9"/>
      <c r="AG80" s="21">
        <v>0.25253300000000001</v>
      </c>
      <c r="AH80" s="21">
        <v>18.633800000000001</v>
      </c>
      <c r="AI80" s="21">
        <v>-8.0871599999999995E-3</v>
      </c>
      <c r="AJ80" s="21">
        <v>70</v>
      </c>
      <c r="AK80" s="21">
        <v>0.252106</v>
      </c>
      <c r="AL80">
        <f t="shared" si="18"/>
        <v>9.9841481481481473</v>
      </c>
      <c r="AM80">
        <f t="shared" si="19"/>
        <v>2.5213268842962964</v>
      </c>
      <c r="AP80" s="9"/>
      <c r="AQ80" s="21">
        <v>1.38748</v>
      </c>
      <c r="AR80" s="21">
        <v>23.997699999999998</v>
      </c>
      <c r="AS80" s="21">
        <v>-6.3507099999999999E-3</v>
      </c>
      <c r="AT80" s="21">
        <v>70</v>
      </c>
      <c r="AU80" s="21">
        <v>1.3864099999999999</v>
      </c>
      <c r="AV80">
        <f t="shared" si="20"/>
        <v>7.8403827160493833</v>
      </c>
      <c r="AW80">
        <f t="shared" si="21"/>
        <v>10.878374210864198</v>
      </c>
      <c r="AX80" s="9"/>
      <c r="AY80" s="21">
        <v>0.25253300000000001</v>
      </c>
      <c r="AZ80" s="21">
        <v>27.696100000000001</v>
      </c>
      <c r="BA80" s="21">
        <v>-8.0474899999999992E-3</v>
      </c>
      <c r="BB80" s="21">
        <v>70</v>
      </c>
      <c r="BC80" s="21">
        <v>0.25204500000000002</v>
      </c>
      <c r="BD80">
        <f t="shared" si="22"/>
        <v>9.9351728395061727</v>
      </c>
      <c r="BE80">
        <f t="shared" si="23"/>
        <v>2.5089590026790125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1.38245</v>
      </c>
      <c r="H81" s="21">
        <v>5.8103600000000002</v>
      </c>
      <c r="I81" s="21">
        <v>-6.64673E-3</v>
      </c>
      <c r="J81" s="21">
        <v>71</v>
      </c>
      <c r="K81" s="21">
        <v>1.38123</v>
      </c>
      <c r="L81">
        <f t="shared" si="12"/>
        <v>8.2058395061728397</v>
      </c>
      <c r="M81">
        <f t="shared" si="13"/>
        <v>11.344162825308642</v>
      </c>
      <c r="N81" s="9"/>
      <c r="O81" s="21">
        <v>0.25756800000000002</v>
      </c>
      <c r="P81" s="21">
        <v>9.5086999999999993</v>
      </c>
      <c r="Q81" s="21">
        <v>-8.1085199999999993E-3</v>
      </c>
      <c r="R81" s="21">
        <v>71</v>
      </c>
      <c r="S81" s="21">
        <v>0.25698900000000002</v>
      </c>
      <c r="T81">
        <f t="shared" si="14"/>
        <v>10.010518518518518</v>
      </c>
      <c r="U81">
        <f t="shared" si="15"/>
        <v>2.5783892337777781</v>
      </c>
      <c r="X81" s="9"/>
      <c r="Y81" s="21">
        <v>1.38245</v>
      </c>
      <c r="Z81" s="21">
        <v>14.945600000000001</v>
      </c>
      <c r="AA81" s="21">
        <v>-6.44226E-3</v>
      </c>
      <c r="AB81" s="21">
        <v>71</v>
      </c>
      <c r="AC81" s="21">
        <v>1.3809199999999999</v>
      </c>
      <c r="AD81">
        <f t="shared" si="16"/>
        <v>7.9534074074074077</v>
      </c>
      <c r="AE81">
        <f t="shared" si="17"/>
        <v>10.99518807037037</v>
      </c>
      <c r="AF81" s="9"/>
      <c r="AG81" s="21">
        <v>0.25756800000000002</v>
      </c>
      <c r="AH81" s="21">
        <v>18.643899999999999</v>
      </c>
      <c r="AI81" s="21">
        <v>-8.0688500000000007E-3</v>
      </c>
      <c r="AJ81" s="21">
        <v>71</v>
      </c>
      <c r="AK81" s="21">
        <v>0.25711099999999998</v>
      </c>
      <c r="AL81">
        <f t="shared" si="18"/>
        <v>9.9615432098765435</v>
      </c>
      <c r="AM81">
        <f t="shared" si="19"/>
        <v>2.5657747614814816</v>
      </c>
      <c r="AP81" s="9"/>
      <c r="AQ81" s="21">
        <v>1.38245</v>
      </c>
      <c r="AR81" s="21">
        <v>24.0078</v>
      </c>
      <c r="AS81" s="21">
        <v>-6.3751199999999997E-3</v>
      </c>
      <c r="AT81" s="21">
        <v>71</v>
      </c>
      <c r="AU81" s="21">
        <v>1.38123</v>
      </c>
      <c r="AV81">
        <f t="shared" si="20"/>
        <v>7.8705185185185176</v>
      </c>
      <c r="AW81">
        <f t="shared" si="21"/>
        <v>10.880598325925924</v>
      </c>
      <c r="AX81" s="9"/>
      <c r="AY81" s="21">
        <v>0.25756800000000002</v>
      </c>
      <c r="AZ81" s="21">
        <v>27.706099999999999</v>
      </c>
      <c r="BA81" s="21">
        <v>-8.0322299999999996E-3</v>
      </c>
      <c r="BB81" s="21">
        <v>71</v>
      </c>
      <c r="BC81" s="21">
        <v>0.25707999999999998</v>
      </c>
      <c r="BD81">
        <f t="shared" si="22"/>
        <v>9.9163333333333323</v>
      </c>
      <c r="BE81">
        <f t="shared" si="23"/>
        <v>2.5541301439999997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1.37741</v>
      </c>
      <c r="H82" s="21">
        <v>5.82043</v>
      </c>
      <c r="I82" s="21">
        <v>-6.6619899999999996E-3</v>
      </c>
      <c r="J82" s="21">
        <v>72</v>
      </c>
      <c r="K82" s="21">
        <v>1.3769499999999999</v>
      </c>
      <c r="L82">
        <f t="shared" si="12"/>
        <v>8.2246790123456783</v>
      </c>
      <c r="M82">
        <f t="shared" si="13"/>
        <v>11.32875511839506</v>
      </c>
      <c r="N82" s="9"/>
      <c r="O82" s="21">
        <v>0.262604</v>
      </c>
      <c r="P82" s="21">
        <v>9.51877</v>
      </c>
      <c r="Q82" s="21">
        <v>-8.0963100000000007E-3</v>
      </c>
      <c r="R82" s="21">
        <v>72</v>
      </c>
      <c r="S82" s="21">
        <v>0.26211499999999999</v>
      </c>
      <c r="T82">
        <f t="shared" si="14"/>
        <v>9.9954444444444448</v>
      </c>
      <c r="U82">
        <f t="shared" si="15"/>
        <v>2.6248436928888892</v>
      </c>
      <c r="X82" s="9"/>
      <c r="Y82" s="21">
        <v>1.37741</v>
      </c>
      <c r="Z82" s="21">
        <v>14.9556</v>
      </c>
      <c r="AA82" s="21">
        <v>-6.4666699999999999E-3</v>
      </c>
      <c r="AB82" s="21">
        <v>72</v>
      </c>
      <c r="AC82" s="21">
        <v>1.3763399999999999</v>
      </c>
      <c r="AD82">
        <f t="shared" si="16"/>
        <v>7.983543209876542</v>
      </c>
      <c r="AE82">
        <f t="shared" si="17"/>
        <v>10.996612252716048</v>
      </c>
      <c r="AF82" s="9"/>
      <c r="AG82" s="21">
        <v>0.262604</v>
      </c>
      <c r="AH82" s="21">
        <v>18.654</v>
      </c>
      <c r="AI82" s="21">
        <v>-8.0566400000000003E-3</v>
      </c>
      <c r="AJ82" s="21">
        <v>72</v>
      </c>
      <c r="AK82" s="21">
        <v>0.26211499999999999</v>
      </c>
      <c r="AL82">
        <f t="shared" si="18"/>
        <v>9.9464691358024702</v>
      </c>
      <c r="AM82">
        <f t="shared" si="19"/>
        <v>2.611982580938272</v>
      </c>
      <c r="AP82" s="9"/>
      <c r="AQ82" s="21">
        <v>1.37741</v>
      </c>
      <c r="AR82" s="21">
        <v>24.017800000000001</v>
      </c>
      <c r="AS82" s="21">
        <v>-6.3995399999999996E-3</v>
      </c>
      <c r="AT82" s="21">
        <v>72</v>
      </c>
      <c r="AU82" s="21">
        <v>1.3760399999999999</v>
      </c>
      <c r="AV82">
        <f t="shared" si="20"/>
        <v>7.9006666666666652</v>
      </c>
      <c r="AW82">
        <f t="shared" si="21"/>
        <v>10.882457273333332</v>
      </c>
      <c r="AX82" s="9"/>
      <c r="AY82" s="21">
        <v>0.262604</v>
      </c>
      <c r="AZ82" s="21">
        <v>27.716200000000001</v>
      </c>
      <c r="BA82" s="21">
        <v>-8.01697E-3</v>
      </c>
      <c r="BB82" s="21">
        <v>72</v>
      </c>
      <c r="BC82" s="21">
        <v>0.26211499999999999</v>
      </c>
      <c r="BD82">
        <f t="shared" si="22"/>
        <v>9.8974938271604938</v>
      </c>
      <c r="BE82">
        <f t="shared" si="23"/>
        <v>2.5991214689876543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1.3723799999999999</v>
      </c>
      <c r="H83" s="21">
        <v>5.8304999999999998</v>
      </c>
      <c r="I83" s="21">
        <v>-6.67725E-3</v>
      </c>
      <c r="J83" s="21">
        <v>73</v>
      </c>
      <c r="K83" s="21">
        <v>1.3720699999999999</v>
      </c>
      <c r="L83">
        <f t="shared" si="12"/>
        <v>8.2435185185185187</v>
      </c>
      <c r="M83">
        <f t="shared" si="13"/>
        <v>11.313239944444444</v>
      </c>
      <c r="N83" s="9"/>
      <c r="O83" s="21">
        <v>0.26763900000000002</v>
      </c>
      <c r="P83" s="21">
        <v>9.5288400000000006</v>
      </c>
      <c r="Q83" s="21">
        <v>-8.0841100000000003E-3</v>
      </c>
      <c r="R83" s="21">
        <v>73</v>
      </c>
      <c r="S83" s="21">
        <v>0.26715100000000003</v>
      </c>
      <c r="T83">
        <f t="shared" si="14"/>
        <v>9.9803827160493821</v>
      </c>
      <c r="U83">
        <f t="shared" si="15"/>
        <v>2.6711396497407409</v>
      </c>
      <c r="X83" s="9"/>
      <c r="Y83" s="21">
        <v>1.3723799999999999</v>
      </c>
      <c r="Z83" s="21">
        <v>14.9657</v>
      </c>
      <c r="AA83" s="21">
        <v>-6.4758300000000001E-3</v>
      </c>
      <c r="AB83" s="21">
        <v>73</v>
      </c>
      <c r="AC83" s="21">
        <v>1.3717699999999999</v>
      </c>
      <c r="AD83">
        <f t="shared" si="16"/>
        <v>7.9948518518518519</v>
      </c>
      <c r="AE83">
        <f t="shared" si="17"/>
        <v>10.971974784444443</v>
      </c>
      <c r="AF83" s="9"/>
      <c r="AG83" s="21">
        <v>0.26763900000000002</v>
      </c>
      <c r="AH83" s="21">
        <v>18.664100000000001</v>
      </c>
      <c r="AI83" s="21">
        <v>-8.04443E-3</v>
      </c>
      <c r="AJ83" s="21">
        <v>73</v>
      </c>
      <c r="AK83" s="21">
        <v>0.26712000000000002</v>
      </c>
      <c r="AL83">
        <f t="shared" si="18"/>
        <v>9.9313950617283933</v>
      </c>
      <c r="AM83">
        <f t="shared" si="19"/>
        <v>2.6580286429259257</v>
      </c>
      <c r="AP83" s="9"/>
      <c r="AQ83" s="21">
        <v>1.3723799999999999</v>
      </c>
      <c r="AR83" s="21">
        <v>24.027899999999999</v>
      </c>
      <c r="AS83" s="21">
        <v>-6.4147900000000001E-3</v>
      </c>
      <c r="AT83" s="21">
        <v>73</v>
      </c>
      <c r="AU83" s="21">
        <v>1.3717699999999999</v>
      </c>
      <c r="AV83">
        <f t="shared" si="20"/>
        <v>7.9194938271604922</v>
      </c>
      <c r="AW83">
        <f t="shared" si="21"/>
        <v>10.868554938518516</v>
      </c>
      <c r="AX83" s="9"/>
      <c r="AY83" s="21">
        <v>0.26763900000000002</v>
      </c>
      <c r="AZ83" s="21">
        <v>27.726299999999998</v>
      </c>
      <c r="BA83" s="21">
        <v>-8.0047599999999997E-3</v>
      </c>
      <c r="BB83" s="21">
        <v>73</v>
      </c>
      <c r="BC83" s="21">
        <v>0.26715100000000003</v>
      </c>
      <c r="BD83">
        <f t="shared" si="22"/>
        <v>9.8824197530864204</v>
      </c>
      <c r="BE83">
        <f t="shared" si="23"/>
        <v>2.6449209402962968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1.36734</v>
      </c>
      <c r="H84" s="21">
        <v>5.8405800000000001</v>
      </c>
      <c r="I84" s="21">
        <v>-6.6986099999999998E-3</v>
      </c>
      <c r="J84" s="21">
        <v>74</v>
      </c>
      <c r="K84" s="21">
        <v>1.3671899999999999</v>
      </c>
      <c r="L84">
        <f t="shared" si="12"/>
        <v>8.2698888888888877</v>
      </c>
      <c r="M84">
        <f t="shared" si="13"/>
        <v>11.307749873333332</v>
      </c>
      <c r="N84" s="9"/>
      <c r="O84" s="21">
        <v>0.272675</v>
      </c>
      <c r="P84" s="21">
        <v>9.5389099999999996</v>
      </c>
      <c r="Q84" s="21">
        <v>-8.0749499999999991E-3</v>
      </c>
      <c r="R84" s="21">
        <v>74</v>
      </c>
      <c r="S84" s="21">
        <v>0.27221699999999999</v>
      </c>
      <c r="T84">
        <f t="shared" si="14"/>
        <v>9.9690740740740722</v>
      </c>
      <c r="U84">
        <f t="shared" si="15"/>
        <v>2.7183172731481475</v>
      </c>
      <c r="X84" s="9"/>
      <c r="Y84" s="21">
        <v>1.36734</v>
      </c>
      <c r="Z84" s="21">
        <v>14.9758</v>
      </c>
      <c r="AA84" s="21">
        <v>-6.50024E-3</v>
      </c>
      <c r="AB84" s="21">
        <v>74</v>
      </c>
      <c r="AC84" s="21">
        <v>1.3662700000000001</v>
      </c>
      <c r="AD84">
        <f t="shared" si="16"/>
        <v>8.0249876543209879</v>
      </c>
      <c r="AE84">
        <f t="shared" si="17"/>
        <v>10.97288661925926</v>
      </c>
      <c r="AF84" s="9"/>
      <c r="AG84" s="21">
        <v>0.272675</v>
      </c>
      <c r="AH84" s="21">
        <v>18.674099999999999</v>
      </c>
      <c r="AI84" s="21">
        <v>-8.0413800000000007E-3</v>
      </c>
      <c r="AJ84" s="21">
        <v>74</v>
      </c>
      <c r="AK84" s="21">
        <v>0.27218599999999998</v>
      </c>
      <c r="AL84">
        <f t="shared" si="18"/>
        <v>9.9276296296296298</v>
      </c>
      <c r="AM84">
        <f t="shared" si="19"/>
        <v>2.7070164092592592</v>
      </c>
      <c r="AP84" s="9"/>
      <c r="AQ84" s="21">
        <v>1.36734</v>
      </c>
      <c r="AR84" s="21">
        <v>24.038</v>
      </c>
      <c r="AS84" s="21">
        <v>-6.4331099999999997E-3</v>
      </c>
      <c r="AT84" s="21">
        <v>74</v>
      </c>
      <c r="AU84" s="21">
        <v>1.3665799999999999</v>
      </c>
      <c r="AV84">
        <f t="shared" si="20"/>
        <v>7.9421111111111102</v>
      </c>
      <c r="AW84">
        <f t="shared" si="21"/>
        <v>10.859566206666665</v>
      </c>
      <c r="AX84" s="9"/>
      <c r="AY84" s="21">
        <v>0.272675</v>
      </c>
      <c r="AZ84" s="21">
        <v>27.7363</v>
      </c>
      <c r="BA84" s="21">
        <v>-7.9895000000000001E-3</v>
      </c>
      <c r="BB84" s="21">
        <v>74</v>
      </c>
      <c r="BC84" s="21">
        <v>0.27212500000000001</v>
      </c>
      <c r="BD84">
        <f t="shared" si="22"/>
        <v>9.86358024691358</v>
      </c>
      <c r="BE84">
        <f t="shared" si="23"/>
        <v>2.6895517438271606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1.3623000000000001</v>
      </c>
      <c r="H85" s="21">
        <v>5.8506499999999999</v>
      </c>
      <c r="I85" s="21">
        <v>-6.7230199999999997E-3</v>
      </c>
      <c r="J85" s="21">
        <v>75</v>
      </c>
      <c r="K85" s="21">
        <v>1.3613900000000001</v>
      </c>
      <c r="L85">
        <f t="shared" si="12"/>
        <v>8.3000246913580238</v>
      </c>
      <c r="M85">
        <f t="shared" si="13"/>
        <v>11.307123637037037</v>
      </c>
      <c r="N85" s="9"/>
      <c r="O85" s="21">
        <v>0.27771000000000001</v>
      </c>
      <c r="P85" s="21">
        <v>9.5489800000000002</v>
      </c>
      <c r="Q85" s="21">
        <v>-8.0657999999999997E-3</v>
      </c>
      <c r="R85" s="21">
        <v>75</v>
      </c>
      <c r="S85" s="21">
        <v>0.277252</v>
      </c>
      <c r="T85">
        <f t="shared" si="14"/>
        <v>9.9577777777777765</v>
      </c>
      <c r="U85">
        <f t="shared" si="15"/>
        <v>2.7653744666666666</v>
      </c>
      <c r="X85" s="9"/>
      <c r="Y85" s="21">
        <v>1.3623000000000001</v>
      </c>
      <c r="Z85" s="21">
        <v>14.985900000000001</v>
      </c>
      <c r="AA85" s="21">
        <v>-6.53076E-3</v>
      </c>
      <c r="AB85" s="21">
        <v>75</v>
      </c>
      <c r="AC85" s="21">
        <v>1.3610800000000001</v>
      </c>
      <c r="AD85">
        <f t="shared" si="16"/>
        <v>8.0626666666666651</v>
      </c>
      <c r="AE85">
        <f t="shared" si="17"/>
        <v>10.983770799999999</v>
      </c>
      <c r="AF85" s="9"/>
      <c r="AG85" s="21">
        <v>0.27771000000000001</v>
      </c>
      <c r="AH85" s="21">
        <v>18.684200000000001</v>
      </c>
      <c r="AI85" s="21">
        <v>-8.0322299999999996E-3</v>
      </c>
      <c r="AJ85" s="21">
        <v>75</v>
      </c>
      <c r="AK85" s="21">
        <v>0.277283</v>
      </c>
      <c r="AL85">
        <f t="shared" si="18"/>
        <v>9.9163333333333323</v>
      </c>
      <c r="AM85">
        <f t="shared" si="19"/>
        <v>2.7538649299999998</v>
      </c>
      <c r="AP85" s="9"/>
      <c r="AQ85" s="21">
        <v>1.3623000000000001</v>
      </c>
      <c r="AR85" s="21">
        <v>24.047999999999998</v>
      </c>
      <c r="AS85" s="21">
        <v>-6.4636199999999998E-3</v>
      </c>
      <c r="AT85" s="21">
        <v>75</v>
      </c>
      <c r="AU85" s="21">
        <v>1.3613900000000001</v>
      </c>
      <c r="AV85">
        <f t="shared" si="20"/>
        <v>7.9797777777777767</v>
      </c>
      <c r="AW85">
        <f t="shared" si="21"/>
        <v>10.870851266666666</v>
      </c>
      <c r="AX85" s="9"/>
      <c r="AY85" s="21">
        <v>0.27771000000000001</v>
      </c>
      <c r="AZ85" s="21">
        <v>27.746400000000001</v>
      </c>
      <c r="BA85" s="21">
        <v>-7.9833999999999999E-3</v>
      </c>
      <c r="BB85" s="21">
        <v>75</v>
      </c>
      <c r="BC85" s="21">
        <v>0.277283</v>
      </c>
      <c r="BD85">
        <f t="shared" si="22"/>
        <v>9.8560493827160478</v>
      </c>
      <c r="BE85">
        <f t="shared" si="23"/>
        <v>2.7371234740740737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1.35727</v>
      </c>
      <c r="H86" s="21">
        <v>5.8607199999999997</v>
      </c>
      <c r="I86" s="21">
        <v>-6.7413300000000002E-3</v>
      </c>
      <c r="J86" s="21">
        <v>76</v>
      </c>
      <c r="K86" s="21">
        <v>1.3568100000000001</v>
      </c>
      <c r="L86">
        <f t="shared" si="12"/>
        <v>8.3226296296296294</v>
      </c>
      <c r="M86">
        <f t="shared" si="13"/>
        <v>11.296055517407407</v>
      </c>
      <c r="N86" s="9"/>
      <c r="O86" s="21">
        <v>0.28274500000000002</v>
      </c>
      <c r="P86" s="21">
        <v>9.5590499999999992</v>
      </c>
      <c r="Q86" s="21">
        <v>-8.0627400000000005E-3</v>
      </c>
      <c r="R86" s="21">
        <v>76</v>
      </c>
      <c r="S86" s="21">
        <v>0.28222700000000001</v>
      </c>
      <c r="T86">
        <f t="shared" si="14"/>
        <v>9.9539999999999988</v>
      </c>
      <c r="U86">
        <f t="shared" si="15"/>
        <v>2.8144437299999998</v>
      </c>
      <c r="X86" s="9"/>
      <c r="Y86" s="21">
        <v>1.35727</v>
      </c>
      <c r="Z86" s="21">
        <v>14.995900000000001</v>
      </c>
      <c r="AA86" s="21">
        <v>-6.5551799999999999E-3</v>
      </c>
      <c r="AB86" s="21">
        <v>76</v>
      </c>
      <c r="AC86" s="21">
        <v>1.3562000000000001</v>
      </c>
      <c r="AD86">
        <f t="shared" si="16"/>
        <v>8.0928148148148153</v>
      </c>
      <c r="AE86">
        <f t="shared" si="17"/>
        <v>10.984134763703704</v>
      </c>
      <c r="AF86" s="9"/>
      <c r="AG86" s="21">
        <v>0.28274500000000002</v>
      </c>
      <c r="AH86" s="21">
        <v>18.694299999999998</v>
      </c>
      <c r="AI86" s="21">
        <v>-8.0200199999999992E-3</v>
      </c>
      <c r="AJ86" s="21">
        <v>76</v>
      </c>
      <c r="AK86" s="21">
        <v>0.28222700000000001</v>
      </c>
      <c r="AL86">
        <f t="shared" si="18"/>
        <v>9.9012592592592572</v>
      </c>
      <c r="AM86">
        <f t="shared" si="19"/>
        <v>2.799531549259259</v>
      </c>
      <c r="AP86" s="9"/>
      <c r="AQ86" s="21">
        <v>1.35727</v>
      </c>
      <c r="AR86" s="21">
        <v>24.0581</v>
      </c>
      <c r="AS86" s="21">
        <v>-6.4788800000000002E-3</v>
      </c>
      <c r="AT86" s="21">
        <v>76</v>
      </c>
      <c r="AU86" s="21">
        <v>1.3568100000000001</v>
      </c>
      <c r="AV86">
        <f t="shared" si="20"/>
        <v>7.998617283950618</v>
      </c>
      <c r="AW86">
        <f t="shared" si="21"/>
        <v>10.856283280987656</v>
      </c>
      <c r="AX86" s="9"/>
      <c r="AY86" s="21">
        <v>0.28274500000000002</v>
      </c>
      <c r="AZ86" s="21">
        <v>27.756499999999999</v>
      </c>
      <c r="BA86" s="21">
        <v>-7.9711899999999995E-3</v>
      </c>
      <c r="BB86" s="21">
        <v>76</v>
      </c>
      <c r="BC86" s="21">
        <v>0.28228799999999998</v>
      </c>
      <c r="BD86">
        <f t="shared" si="22"/>
        <v>9.8409753086419745</v>
      </c>
      <c r="BE86">
        <f t="shared" si="23"/>
        <v>2.7824865636419753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1.35223</v>
      </c>
      <c r="H87" s="21">
        <v>5.8707900000000004</v>
      </c>
      <c r="I87" s="21">
        <v>-6.7535399999999997E-3</v>
      </c>
      <c r="J87" s="21">
        <v>77</v>
      </c>
      <c r="K87" s="21">
        <v>1.35101</v>
      </c>
      <c r="L87">
        <f t="shared" si="12"/>
        <v>8.3377037037037027</v>
      </c>
      <c r="M87">
        <f t="shared" si="13"/>
        <v>11.274493079259258</v>
      </c>
      <c r="N87" s="9"/>
      <c r="O87" s="21">
        <v>0.28778100000000001</v>
      </c>
      <c r="P87" s="21">
        <v>9.5691299999999995</v>
      </c>
      <c r="Q87" s="21">
        <v>-8.0535899999999994E-3</v>
      </c>
      <c r="R87" s="21">
        <v>77</v>
      </c>
      <c r="S87" s="21">
        <v>0.287323</v>
      </c>
      <c r="T87">
        <f t="shared" si="14"/>
        <v>9.9427037037037014</v>
      </c>
      <c r="U87">
        <f t="shared" si="15"/>
        <v>2.8613212145555549</v>
      </c>
      <c r="X87" s="9"/>
      <c r="Y87" s="21">
        <v>1.35223</v>
      </c>
      <c r="Z87" s="21">
        <v>15.006</v>
      </c>
      <c r="AA87" s="21">
        <v>-6.5795899999999997E-3</v>
      </c>
      <c r="AB87" s="21">
        <v>77</v>
      </c>
      <c r="AC87" s="21">
        <v>1.3513200000000001</v>
      </c>
      <c r="AD87">
        <f t="shared" si="16"/>
        <v>8.1229506172839496</v>
      </c>
      <c r="AE87">
        <f t="shared" si="17"/>
        <v>10.984097513209875</v>
      </c>
      <c r="AF87" s="9"/>
      <c r="AG87" s="21">
        <v>0.28778100000000001</v>
      </c>
      <c r="AH87" s="21">
        <v>18.7043</v>
      </c>
      <c r="AI87" s="21">
        <v>-8.0078100000000006E-3</v>
      </c>
      <c r="AJ87" s="21">
        <v>77</v>
      </c>
      <c r="AK87" s="21">
        <v>0.287323</v>
      </c>
      <c r="AL87">
        <f t="shared" si="18"/>
        <v>9.8861851851851856</v>
      </c>
      <c r="AM87">
        <f t="shared" si="19"/>
        <v>2.8450562587777779</v>
      </c>
      <c r="AP87" s="9"/>
      <c r="AQ87" s="21">
        <v>1.35223</v>
      </c>
      <c r="AR87" s="21">
        <v>24.068200000000001</v>
      </c>
      <c r="AS87" s="21">
        <v>-6.50024E-3</v>
      </c>
      <c r="AT87" s="21">
        <v>77</v>
      </c>
      <c r="AU87" s="21">
        <v>1.35162</v>
      </c>
      <c r="AV87">
        <f t="shared" si="20"/>
        <v>8.0249876543209879</v>
      </c>
      <c r="AW87">
        <f t="shared" si="21"/>
        <v>10.851629055802469</v>
      </c>
      <c r="AX87" s="9"/>
      <c r="AY87" s="21">
        <v>0.28778100000000001</v>
      </c>
      <c r="AZ87" s="21">
        <v>27.7666</v>
      </c>
      <c r="BA87" s="21">
        <v>-7.9559299999999999E-3</v>
      </c>
      <c r="BB87" s="21">
        <v>77</v>
      </c>
      <c r="BC87" s="21">
        <v>0.287323</v>
      </c>
      <c r="BD87">
        <f t="shared" si="22"/>
        <v>9.8221358024691359</v>
      </c>
      <c r="BE87">
        <f t="shared" si="23"/>
        <v>2.8266240633703705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1.3472</v>
      </c>
      <c r="H88" s="21">
        <v>5.8808600000000002</v>
      </c>
      <c r="I88" s="21">
        <v>-6.7718500000000003E-3</v>
      </c>
      <c r="J88" s="21">
        <v>78</v>
      </c>
      <c r="K88" s="21">
        <v>1.3464400000000001</v>
      </c>
      <c r="L88">
        <f t="shared" si="12"/>
        <v>8.3603086419753083</v>
      </c>
      <c r="M88">
        <f t="shared" si="13"/>
        <v>11.263007802469135</v>
      </c>
      <c r="N88" s="9"/>
      <c r="O88" s="21">
        <v>0.29281600000000002</v>
      </c>
      <c r="P88" s="21">
        <v>9.5792000000000002</v>
      </c>
      <c r="Q88" s="21">
        <v>-8.0474899999999992E-3</v>
      </c>
      <c r="R88" s="21">
        <v>78</v>
      </c>
      <c r="S88" s="21">
        <v>0.29232799999999998</v>
      </c>
      <c r="T88">
        <f t="shared" si="14"/>
        <v>9.9351728395061727</v>
      </c>
      <c r="U88">
        <f t="shared" si="15"/>
        <v>2.9091775701728397</v>
      </c>
      <c r="X88" s="9"/>
      <c r="Y88" s="21">
        <v>1.3472</v>
      </c>
      <c r="Z88" s="21">
        <v>15.0161</v>
      </c>
      <c r="AA88" s="21">
        <v>-6.5979000000000003E-3</v>
      </c>
      <c r="AB88" s="21">
        <v>78</v>
      </c>
      <c r="AC88" s="21">
        <v>1.3464400000000001</v>
      </c>
      <c r="AD88">
        <f t="shared" si="16"/>
        <v>8.1455555555555552</v>
      </c>
      <c r="AE88">
        <f t="shared" si="17"/>
        <v>10.973692444444444</v>
      </c>
      <c r="AF88" s="9"/>
      <c r="AG88" s="21">
        <v>0.29281600000000002</v>
      </c>
      <c r="AH88" s="21">
        <v>18.714400000000001</v>
      </c>
      <c r="AI88" s="21">
        <v>-7.9956100000000002E-3</v>
      </c>
      <c r="AJ88" s="21">
        <v>78</v>
      </c>
      <c r="AK88" s="21">
        <v>0.29232799999999998</v>
      </c>
      <c r="AL88">
        <f t="shared" si="18"/>
        <v>9.8711234567901247</v>
      </c>
      <c r="AM88">
        <f t="shared" si="19"/>
        <v>2.8904228861234573</v>
      </c>
      <c r="AP88" s="9"/>
      <c r="AQ88" s="21">
        <v>1.3472</v>
      </c>
      <c r="AR88" s="21">
        <v>24.078299999999999</v>
      </c>
      <c r="AS88" s="21">
        <v>-6.5216099999999997E-3</v>
      </c>
      <c r="AT88" s="21">
        <v>78</v>
      </c>
      <c r="AU88" s="21">
        <v>1.3464400000000001</v>
      </c>
      <c r="AV88">
        <f t="shared" si="20"/>
        <v>8.0513703703703694</v>
      </c>
      <c r="AW88">
        <f t="shared" si="21"/>
        <v>10.846806162962961</v>
      </c>
      <c r="AX88" s="9"/>
      <c r="AY88" s="21">
        <v>0.29281600000000002</v>
      </c>
      <c r="AZ88" s="21">
        <v>27.776599999999998</v>
      </c>
      <c r="BA88" s="21">
        <v>-7.9467800000000005E-3</v>
      </c>
      <c r="BB88" s="21">
        <v>78</v>
      </c>
      <c r="BC88" s="21">
        <v>0.29235800000000001</v>
      </c>
      <c r="BD88">
        <f t="shared" si="22"/>
        <v>9.8108395061728402</v>
      </c>
      <c r="BE88">
        <f t="shared" si="23"/>
        <v>2.8727707808395064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1.34216</v>
      </c>
      <c r="H89" s="21">
        <v>5.89093</v>
      </c>
      <c r="I89" s="21">
        <v>-6.79321E-3</v>
      </c>
      <c r="J89" s="21">
        <v>79</v>
      </c>
      <c r="K89" s="21">
        <v>1.34155</v>
      </c>
      <c r="L89">
        <f t="shared" si="12"/>
        <v>8.3866790123456791</v>
      </c>
      <c r="M89">
        <f t="shared" si="13"/>
        <v>11.256265103209877</v>
      </c>
      <c r="N89" s="9"/>
      <c r="O89" s="21">
        <v>0.29785200000000001</v>
      </c>
      <c r="P89" s="21">
        <v>9.5892700000000008</v>
      </c>
      <c r="Q89" s="21">
        <v>-8.0383299999999998E-3</v>
      </c>
      <c r="R89" s="21">
        <v>79</v>
      </c>
      <c r="S89" s="21">
        <v>0.29739399999999999</v>
      </c>
      <c r="T89">
        <f t="shared" si="14"/>
        <v>9.9238641975308628</v>
      </c>
      <c r="U89">
        <f t="shared" si="15"/>
        <v>2.9558427989629625</v>
      </c>
      <c r="X89" s="9"/>
      <c r="Y89" s="21">
        <v>1.34216</v>
      </c>
      <c r="Z89" s="21">
        <v>15.0261</v>
      </c>
      <c r="AA89" s="21">
        <v>-6.6253700000000002E-3</v>
      </c>
      <c r="AB89" s="21">
        <v>79</v>
      </c>
      <c r="AC89" s="21">
        <v>1.34094</v>
      </c>
      <c r="AD89">
        <f t="shared" si="16"/>
        <v>8.1794691358024689</v>
      </c>
      <c r="AE89">
        <f t="shared" si="17"/>
        <v>10.978156295308642</v>
      </c>
      <c r="AF89" s="9"/>
      <c r="AG89" s="21">
        <v>0.29785200000000001</v>
      </c>
      <c r="AH89" s="21">
        <v>18.724499999999999</v>
      </c>
      <c r="AI89" s="21">
        <v>-7.9864500000000008E-3</v>
      </c>
      <c r="AJ89" s="21">
        <v>79</v>
      </c>
      <c r="AK89" s="21">
        <v>0.29736299999999999</v>
      </c>
      <c r="AL89">
        <f t="shared" si="18"/>
        <v>9.8598148148148166</v>
      </c>
      <c r="AM89">
        <f t="shared" si="19"/>
        <v>2.9367655622222228</v>
      </c>
      <c r="AP89" s="9"/>
      <c r="AQ89" s="21">
        <v>1.34216</v>
      </c>
      <c r="AR89" s="21">
        <v>24.0883</v>
      </c>
      <c r="AS89" s="21">
        <v>-6.5460199999999996E-3</v>
      </c>
      <c r="AT89" s="21">
        <v>79</v>
      </c>
      <c r="AU89" s="21">
        <v>1.34094</v>
      </c>
      <c r="AV89">
        <f t="shared" si="20"/>
        <v>8.0815061728395055</v>
      </c>
      <c r="AW89">
        <f t="shared" si="21"/>
        <v>10.84667432493827</v>
      </c>
      <c r="AX89" s="9"/>
      <c r="AY89" s="21">
        <v>0.29785200000000001</v>
      </c>
      <c r="AZ89" s="21">
        <v>27.7867</v>
      </c>
      <c r="BA89" s="21">
        <v>-7.9376199999999994E-3</v>
      </c>
      <c r="BB89" s="21">
        <v>79</v>
      </c>
      <c r="BC89" s="21">
        <v>0.29736299999999999</v>
      </c>
      <c r="BD89">
        <f t="shared" si="22"/>
        <v>9.7995308641975303</v>
      </c>
      <c r="BE89">
        <f t="shared" si="23"/>
        <v>2.9188098669629627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1.3371299999999999</v>
      </c>
      <c r="H90" s="21">
        <v>5.9009999999999998</v>
      </c>
      <c r="I90" s="21">
        <v>-6.8176299999999999E-3</v>
      </c>
      <c r="J90" s="21">
        <v>80</v>
      </c>
      <c r="K90" s="21">
        <v>1.33606</v>
      </c>
      <c r="L90">
        <f t="shared" si="12"/>
        <v>8.4168271604938258</v>
      </c>
      <c r="M90">
        <f t="shared" si="13"/>
        <v>11.254392101111108</v>
      </c>
      <c r="N90" s="9"/>
      <c r="O90" s="21">
        <v>0.30288700000000002</v>
      </c>
      <c r="P90" s="21">
        <v>9.5993399999999998</v>
      </c>
      <c r="Q90" s="21">
        <v>-8.0200199999999992E-3</v>
      </c>
      <c r="R90" s="21">
        <v>80</v>
      </c>
      <c r="S90" s="21">
        <v>0.302429</v>
      </c>
      <c r="T90">
        <f t="shared" si="14"/>
        <v>9.9012592592592572</v>
      </c>
      <c r="U90">
        <f t="shared" si="15"/>
        <v>2.9989627132592589</v>
      </c>
      <c r="X90" s="9"/>
      <c r="Y90" s="21">
        <v>1.3371299999999999</v>
      </c>
      <c r="Z90" s="21">
        <v>15.036199999999999</v>
      </c>
      <c r="AA90" s="21">
        <v>-6.6528300000000002E-3</v>
      </c>
      <c r="AB90" s="21">
        <v>80</v>
      </c>
      <c r="AC90" s="21">
        <v>1.33606</v>
      </c>
      <c r="AD90">
        <f t="shared" si="16"/>
        <v>8.2133703703703702</v>
      </c>
      <c r="AE90">
        <f t="shared" si="17"/>
        <v>10.982343923333332</v>
      </c>
      <c r="AF90" s="9"/>
      <c r="AG90" s="21">
        <v>0.30288700000000002</v>
      </c>
      <c r="AH90" s="21">
        <v>18.7346</v>
      </c>
      <c r="AI90" s="21">
        <v>-7.9864500000000008E-3</v>
      </c>
      <c r="AJ90" s="21">
        <v>80</v>
      </c>
      <c r="AK90" s="21">
        <v>0.302429</v>
      </c>
      <c r="AL90">
        <f t="shared" si="18"/>
        <v>9.8598148148148166</v>
      </c>
      <c r="AM90">
        <f t="shared" si="19"/>
        <v>2.9864097298148153</v>
      </c>
      <c r="AP90" s="9"/>
      <c r="AQ90" s="21">
        <v>1.3371299999999999</v>
      </c>
      <c r="AR90" s="21">
        <v>24.098400000000002</v>
      </c>
      <c r="AS90" s="21">
        <v>-6.5765399999999996E-3</v>
      </c>
      <c r="AT90" s="21">
        <v>80</v>
      </c>
      <c r="AU90" s="21">
        <v>1.33575</v>
      </c>
      <c r="AV90">
        <f t="shared" si="20"/>
        <v>8.1191851851851844</v>
      </c>
      <c r="AW90">
        <f t="shared" si="21"/>
        <v>10.856406086666665</v>
      </c>
      <c r="AX90" s="9"/>
      <c r="AY90" s="21">
        <v>0.30288700000000002</v>
      </c>
      <c r="AZ90" s="21">
        <v>27.796800000000001</v>
      </c>
      <c r="BA90" s="21">
        <v>-7.92847E-3</v>
      </c>
      <c r="BB90" s="21">
        <v>80</v>
      </c>
      <c r="BC90" s="21">
        <v>0.30236800000000003</v>
      </c>
      <c r="BD90">
        <f t="shared" si="22"/>
        <v>9.7882345679012346</v>
      </c>
      <c r="BE90">
        <f t="shared" si="23"/>
        <v>2.9647290035679013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1.33209</v>
      </c>
      <c r="H91" s="21">
        <v>5.9110699999999996</v>
      </c>
      <c r="I91" s="21">
        <v>-6.8389899999999997E-3</v>
      </c>
      <c r="J91" s="21">
        <v>81</v>
      </c>
      <c r="K91" s="21">
        <v>1.33087</v>
      </c>
      <c r="L91">
        <f t="shared" si="12"/>
        <v>8.4431975308641967</v>
      </c>
      <c r="M91">
        <f t="shared" si="13"/>
        <v>11.247098998888887</v>
      </c>
      <c r="N91" s="9"/>
      <c r="O91" s="21">
        <v>0.30792199999999997</v>
      </c>
      <c r="P91" s="21">
        <v>9.6094100000000005</v>
      </c>
      <c r="Q91" s="21">
        <v>-8.0047599999999997E-3</v>
      </c>
      <c r="R91" s="21">
        <v>81</v>
      </c>
      <c r="S91" s="21">
        <v>0.30743399999999999</v>
      </c>
      <c r="T91">
        <f t="shared" si="14"/>
        <v>9.8824197530864204</v>
      </c>
      <c r="U91">
        <f t="shared" si="15"/>
        <v>3.0430144552098763</v>
      </c>
      <c r="X91" s="9"/>
      <c r="Y91" s="21">
        <v>1.33209</v>
      </c>
      <c r="Z91" s="21">
        <v>15.0463</v>
      </c>
      <c r="AA91" s="21">
        <v>-6.67419E-3</v>
      </c>
      <c r="AB91" s="21">
        <v>81</v>
      </c>
      <c r="AC91" s="21">
        <v>1.33179</v>
      </c>
      <c r="AD91">
        <f t="shared" si="16"/>
        <v>8.239740740740741</v>
      </c>
      <c r="AE91">
        <f t="shared" si="17"/>
        <v>10.976076243333333</v>
      </c>
      <c r="AF91" s="9"/>
      <c r="AG91" s="21">
        <v>0.30792199999999997</v>
      </c>
      <c r="AH91" s="21">
        <v>18.744599999999998</v>
      </c>
      <c r="AI91" s="21">
        <v>-7.9803500000000006E-3</v>
      </c>
      <c r="AJ91" s="21">
        <v>81</v>
      </c>
      <c r="AK91" s="21">
        <v>0.30746499999999999</v>
      </c>
      <c r="AL91">
        <f t="shared" si="18"/>
        <v>9.8522839506172843</v>
      </c>
      <c r="AM91">
        <f t="shared" si="19"/>
        <v>3.0337349786419754</v>
      </c>
      <c r="AP91" s="9"/>
      <c r="AQ91" s="21">
        <v>1.33209</v>
      </c>
      <c r="AR91" s="21">
        <v>24.108499999999999</v>
      </c>
      <c r="AS91" s="21">
        <v>-6.6039999999999996E-3</v>
      </c>
      <c r="AT91" s="21">
        <v>81</v>
      </c>
      <c r="AU91" s="21">
        <v>1.33118</v>
      </c>
      <c r="AV91">
        <f t="shared" si="20"/>
        <v>8.1530864197530857</v>
      </c>
      <c r="AW91">
        <f t="shared" si="21"/>
        <v>10.860644888888888</v>
      </c>
      <c r="AX91" s="9"/>
      <c r="AY91" s="21">
        <v>0.30792199999999997</v>
      </c>
      <c r="AZ91" s="21">
        <v>27.806799999999999</v>
      </c>
      <c r="BA91" s="21">
        <v>-7.9315199999999992E-3</v>
      </c>
      <c r="BB91" s="21">
        <v>81</v>
      </c>
      <c r="BC91" s="21">
        <v>0.30743399999999999</v>
      </c>
      <c r="BD91">
        <f t="shared" si="22"/>
        <v>9.791999999999998</v>
      </c>
      <c r="BE91">
        <f t="shared" si="23"/>
        <v>3.0151722239999992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1.3270599999999999</v>
      </c>
      <c r="H92" s="21">
        <v>5.9211400000000003</v>
      </c>
      <c r="I92" s="21">
        <v>-6.8603500000000003E-3</v>
      </c>
      <c r="J92" s="21">
        <v>82</v>
      </c>
      <c r="K92" s="21">
        <v>1.3266</v>
      </c>
      <c r="L92">
        <f t="shared" si="12"/>
        <v>8.4695679012345675</v>
      </c>
      <c r="M92">
        <f t="shared" si="13"/>
        <v>11.239624779012344</v>
      </c>
      <c r="N92" s="9"/>
      <c r="O92" s="21">
        <v>0.31295800000000001</v>
      </c>
      <c r="P92" s="21">
        <v>9.6194799999999994</v>
      </c>
      <c r="Q92" s="21">
        <v>-7.9925499999999993E-3</v>
      </c>
      <c r="R92" s="21">
        <v>82</v>
      </c>
      <c r="S92" s="21">
        <v>0.31243900000000002</v>
      </c>
      <c r="T92">
        <f t="shared" si="14"/>
        <v>9.8673456790123435</v>
      </c>
      <c r="U92">
        <f t="shared" si="15"/>
        <v>3.0880647690123451</v>
      </c>
      <c r="X92" s="9"/>
      <c r="Y92" s="21">
        <v>1.3270599999999999</v>
      </c>
      <c r="Z92" s="21">
        <v>15.0564</v>
      </c>
      <c r="AA92" s="21">
        <v>-6.6955599999999997E-3</v>
      </c>
      <c r="AB92" s="21">
        <v>82</v>
      </c>
      <c r="AC92" s="21">
        <v>1.3269</v>
      </c>
      <c r="AD92">
        <f t="shared" si="16"/>
        <v>8.2661234567901225</v>
      </c>
      <c r="AE92">
        <f t="shared" si="17"/>
        <v>10.969641794567899</v>
      </c>
      <c r="AF92" s="9"/>
      <c r="AG92" s="21">
        <v>0.31295800000000001</v>
      </c>
      <c r="AH92" s="21">
        <v>18.7547</v>
      </c>
      <c r="AI92" s="21">
        <v>-7.9711899999999995E-3</v>
      </c>
      <c r="AJ92" s="21">
        <v>82</v>
      </c>
      <c r="AK92" s="21">
        <v>0.312469</v>
      </c>
      <c r="AL92">
        <f t="shared" si="18"/>
        <v>9.8409753086419745</v>
      </c>
      <c r="AM92">
        <f t="shared" si="19"/>
        <v>3.0798119506419752</v>
      </c>
      <c r="AP92" s="9"/>
      <c r="AQ92" s="21">
        <v>1.3270599999999999</v>
      </c>
      <c r="AR92" s="21">
        <v>24.118500000000001</v>
      </c>
      <c r="AS92" s="21">
        <v>-6.6253700000000002E-3</v>
      </c>
      <c r="AT92" s="21">
        <v>82</v>
      </c>
      <c r="AU92" s="21">
        <v>1.3266</v>
      </c>
      <c r="AV92">
        <f t="shared" si="20"/>
        <v>8.1794691358024689</v>
      </c>
      <c r="AW92">
        <f t="shared" si="21"/>
        <v>10.854646311358024</v>
      </c>
      <c r="AX92" s="9"/>
      <c r="AY92" s="21">
        <v>0.31295800000000001</v>
      </c>
      <c r="AZ92" s="21">
        <v>27.8169</v>
      </c>
      <c r="BA92" s="21">
        <v>-7.92847E-3</v>
      </c>
      <c r="BB92" s="21">
        <v>82</v>
      </c>
      <c r="BC92" s="21">
        <v>0.31243900000000002</v>
      </c>
      <c r="BD92">
        <f t="shared" si="22"/>
        <v>9.7882345679012346</v>
      </c>
      <c r="BE92">
        <f t="shared" si="23"/>
        <v>3.0633063139012346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1.32202</v>
      </c>
      <c r="H93" s="21">
        <v>5.9312100000000001</v>
      </c>
      <c r="I93" s="21">
        <v>-6.87866E-3</v>
      </c>
      <c r="J93" s="21">
        <v>83</v>
      </c>
      <c r="K93" s="21">
        <v>1.32172</v>
      </c>
      <c r="L93">
        <f t="shared" si="12"/>
        <v>8.4921728395061713</v>
      </c>
      <c r="M93">
        <f t="shared" si="13"/>
        <v>11.226822337283949</v>
      </c>
      <c r="N93" s="9"/>
      <c r="O93" s="21">
        <v>0.31799300000000003</v>
      </c>
      <c r="P93" s="21">
        <v>9.6295500000000001</v>
      </c>
      <c r="Q93" s="21">
        <v>-7.9803500000000006E-3</v>
      </c>
      <c r="R93" s="21">
        <v>83</v>
      </c>
      <c r="S93" s="21">
        <v>0.31750499999999998</v>
      </c>
      <c r="T93">
        <f t="shared" si="14"/>
        <v>9.8522839506172843</v>
      </c>
      <c r="U93">
        <f t="shared" si="15"/>
        <v>3.1329573303086424</v>
      </c>
      <c r="X93" s="9"/>
      <c r="Y93" s="21">
        <v>1.32202</v>
      </c>
      <c r="Z93" s="21">
        <v>15.0664</v>
      </c>
      <c r="AA93" s="21">
        <v>-6.7108200000000002E-3</v>
      </c>
      <c r="AB93" s="21">
        <v>83</v>
      </c>
      <c r="AC93" s="21">
        <v>1.32111</v>
      </c>
      <c r="AD93">
        <f t="shared" si="16"/>
        <v>8.2849629629629629</v>
      </c>
      <c r="AE93">
        <f t="shared" si="17"/>
        <v>10.952886736296296</v>
      </c>
      <c r="AF93" s="9"/>
      <c r="AG93" s="21">
        <v>0.31799300000000003</v>
      </c>
      <c r="AH93" s="21">
        <v>18.764800000000001</v>
      </c>
      <c r="AI93" s="21">
        <v>-7.9559299999999999E-3</v>
      </c>
      <c r="AJ93" s="21">
        <v>83</v>
      </c>
      <c r="AK93" s="21">
        <v>0.31747399999999998</v>
      </c>
      <c r="AL93">
        <f t="shared" si="18"/>
        <v>9.8221358024691359</v>
      </c>
      <c r="AM93">
        <f t="shared" si="19"/>
        <v>3.1233704302345684</v>
      </c>
      <c r="AP93" s="9"/>
      <c r="AQ93" s="21">
        <v>1.32202</v>
      </c>
      <c r="AR93" s="21">
        <v>24.128599999999999</v>
      </c>
      <c r="AS93" s="21">
        <v>-6.6406299999999998E-3</v>
      </c>
      <c r="AT93" s="21">
        <v>83</v>
      </c>
      <c r="AU93" s="21">
        <v>1.32111</v>
      </c>
      <c r="AV93">
        <f t="shared" si="20"/>
        <v>8.1983086419753075</v>
      </c>
      <c r="AW93">
        <f t="shared" si="21"/>
        <v>10.838327990864196</v>
      </c>
      <c r="AX93" s="9"/>
      <c r="AY93" s="21">
        <v>0.31799300000000003</v>
      </c>
      <c r="AZ93" s="21">
        <v>27.827000000000002</v>
      </c>
      <c r="BA93" s="21">
        <v>-7.9132100000000004E-3</v>
      </c>
      <c r="BB93" s="21">
        <v>83</v>
      </c>
      <c r="BC93" s="21">
        <v>0.317444</v>
      </c>
      <c r="BD93">
        <f t="shared" si="22"/>
        <v>9.769395061728396</v>
      </c>
      <c r="BE93">
        <f t="shared" si="23"/>
        <v>3.1065992438641983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1.3169900000000001</v>
      </c>
      <c r="H94" s="21">
        <v>5.9412900000000004</v>
      </c>
      <c r="I94" s="21">
        <v>-6.8939200000000004E-3</v>
      </c>
      <c r="J94" s="21">
        <v>84</v>
      </c>
      <c r="K94" s="21">
        <v>1.3162199999999999</v>
      </c>
      <c r="L94">
        <f t="shared" si="12"/>
        <v>8.5110123456790117</v>
      </c>
      <c r="M94">
        <f t="shared" si="13"/>
        <v>11.208918149135803</v>
      </c>
      <c r="N94" s="9"/>
      <c r="O94" s="21">
        <v>0.32302900000000001</v>
      </c>
      <c r="P94" s="21">
        <v>9.6396200000000007</v>
      </c>
      <c r="Q94" s="21">
        <v>-7.9711899999999995E-3</v>
      </c>
      <c r="R94" s="21">
        <v>84</v>
      </c>
      <c r="S94" s="21">
        <v>0.32251000000000002</v>
      </c>
      <c r="T94">
        <f t="shared" si="14"/>
        <v>9.8409753086419745</v>
      </c>
      <c r="U94">
        <f t="shared" si="15"/>
        <v>3.1789204129753084</v>
      </c>
      <c r="X94" s="9"/>
      <c r="Y94" s="21">
        <v>1.3169900000000001</v>
      </c>
      <c r="Z94" s="21">
        <v>15.076499999999999</v>
      </c>
      <c r="AA94" s="21">
        <v>-6.73523E-3</v>
      </c>
      <c r="AB94" s="21">
        <v>84</v>
      </c>
      <c r="AC94" s="21">
        <v>1.31592</v>
      </c>
      <c r="AD94">
        <f t="shared" si="16"/>
        <v>8.3150987654320971</v>
      </c>
      <c r="AE94">
        <f t="shared" si="17"/>
        <v>10.950901923086418</v>
      </c>
      <c r="AF94" s="9"/>
      <c r="AG94" s="21">
        <v>0.32302900000000001</v>
      </c>
      <c r="AH94" s="21">
        <v>18.774799999999999</v>
      </c>
      <c r="AI94" s="21">
        <v>-7.9406700000000004E-3</v>
      </c>
      <c r="AJ94" s="21">
        <v>84</v>
      </c>
      <c r="AK94" s="21">
        <v>0.32253999999999999</v>
      </c>
      <c r="AL94">
        <f t="shared" si="18"/>
        <v>9.8032962962962955</v>
      </c>
      <c r="AM94">
        <f t="shared" si="19"/>
        <v>3.1667489992962961</v>
      </c>
      <c r="AP94" s="9"/>
      <c r="AQ94" s="21">
        <v>1.3169900000000001</v>
      </c>
      <c r="AR94" s="21">
        <v>24.1387</v>
      </c>
      <c r="AS94" s="21">
        <v>-6.6558800000000003E-3</v>
      </c>
      <c r="AT94" s="21">
        <v>84</v>
      </c>
      <c r="AU94" s="21">
        <v>1.3168299999999999</v>
      </c>
      <c r="AV94">
        <f t="shared" si="20"/>
        <v>8.2171358024691354</v>
      </c>
      <c r="AW94">
        <f t="shared" si="21"/>
        <v>10.821885680493828</v>
      </c>
      <c r="AX94" s="9"/>
      <c r="AY94" s="21">
        <v>0.32302900000000001</v>
      </c>
      <c r="AZ94" s="21">
        <v>27.8371</v>
      </c>
      <c r="BA94" s="21">
        <v>-7.8979500000000008E-3</v>
      </c>
      <c r="BB94" s="21">
        <v>84</v>
      </c>
      <c r="BC94" s="21">
        <v>0.32251000000000002</v>
      </c>
      <c r="BD94">
        <f t="shared" si="22"/>
        <v>9.7505555555555556</v>
      </c>
      <c r="BE94">
        <f t="shared" si="23"/>
        <v>3.1497122105555557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1.3119499999999999</v>
      </c>
      <c r="H95" s="21">
        <v>5.9513600000000002</v>
      </c>
      <c r="I95" s="21">
        <v>-6.9152800000000002E-3</v>
      </c>
      <c r="J95" s="21">
        <v>85</v>
      </c>
      <c r="K95" s="21">
        <v>1.31134</v>
      </c>
      <c r="L95">
        <f t="shared" si="12"/>
        <v>8.5373827160493825</v>
      </c>
      <c r="M95">
        <f t="shared" si="13"/>
        <v>11.200619254320987</v>
      </c>
      <c r="N95" s="9"/>
      <c r="O95" s="21">
        <v>0.32806400000000002</v>
      </c>
      <c r="P95" s="21">
        <v>9.6496899999999997</v>
      </c>
      <c r="Q95" s="21">
        <v>-7.9620400000000001E-3</v>
      </c>
      <c r="R95" s="21">
        <v>85</v>
      </c>
      <c r="S95" s="21">
        <v>0.32754499999999998</v>
      </c>
      <c r="T95">
        <f t="shared" si="14"/>
        <v>9.8296790123456788</v>
      </c>
      <c r="U95">
        <f t="shared" si="15"/>
        <v>3.2247638155061731</v>
      </c>
      <c r="X95" s="9"/>
      <c r="Y95" s="21">
        <v>1.3119499999999999</v>
      </c>
      <c r="Z95" s="21">
        <v>15.086600000000001</v>
      </c>
      <c r="AA95" s="21">
        <v>-6.7504899999999996E-3</v>
      </c>
      <c r="AB95" s="21">
        <v>85</v>
      </c>
      <c r="AC95" s="21">
        <v>1.31104</v>
      </c>
      <c r="AD95">
        <f t="shared" si="16"/>
        <v>8.3339382716049375</v>
      </c>
      <c r="AE95">
        <f t="shared" si="17"/>
        <v>10.933710315432098</v>
      </c>
      <c r="AF95" s="9"/>
      <c r="AG95" s="21">
        <v>0.32806400000000002</v>
      </c>
      <c r="AH95" s="21">
        <v>18.7849</v>
      </c>
      <c r="AI95" s="21">
        <v>-7.9254200000000007E-3</v>
      </c>
      <c r="AJ95" s="21">
        <v>85</v>
      </c>
      <c r="AK95" s="21">
        <v>0.32754499999999998</v>
      </c>
      <c r="AL95">
        <f t="shared" si="18"/>
        <v>9.7844691358024694</v>
      </c>
      <c r="AM95">
        <f t="shared" si="19"/>
        <v>3.2099320825679016</v>
      </c>
      <c r="AP95" s="9"/>
      <c r="AQ95" s="21">
        <v>1.3119499999999999</v>
      </c>
      <c r="AR95" s="21">
        <v>24.148800000000001</v>
      </c>
      <c r="AS95" s="21">
        <v>-6.67419E-3</v>
      </c>
      <c r="AT95" s="21">
        <v>85</v>
      </c>
      <c r="AU95" s="21">
        <v>1.31104</v>
      </c>
      <c r="AV95">
        <f t="shared" si="20"/>
        <v>8.239740740740741</v>
      </c>
      <c r="AW95">
        <f t="shared" si="21"/>
        <v>10.810127864814815</v>
      </c>
      <c r="AX95" s="9"/>
      <c r="AY95" s="21">
        <v>0.32806400000000002</v>
      </c>
      <c r="AZ95" s="21">
        <v>27.847100000000001</v>
      </c>
      <c r="BA95" s="21">
        <v>-7.8857400000000005E-3</v>
      </c>
      <c r="BB95" s="21">
        <v>85</v>
      </c>
      <c r="BC95" s="21">
        <v>0.32757599999999998</v>
      </c>
      <c r="BD95">
        <f t="shared" si="22"/>
        <v>9.7354814814814823</v>
      </c>
      <c r="BE95">
        <f t="shared" si="23"/>
        <v>3.1938609967407414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1.3069200000000001</v>
      </c>
      <c r="H96" s="21">
        <v>5.96143</v>
      </c>
      <c r="I96" s="21">
        <v>-6.9335899999999999E-3</v>
      </c>
      <c r="J96" s="21">
        <v>86</v>
      </c>
      <c r="K96" s="21">
        <v>1.3061499999999999</v>
      </c>
      <c r="L96">
        <f t="shared" si="12"/>
        <v>8.5599876543209881</v>
      </c>
      <c r="M96">
        <f t="shared" si="13"/>
        <v>11.187219065185186</v>
      </c>
      <c r="N96" s="9"/>
      <c r="O96" s="21">
        <v>0.33309899999999998</v>
      </c>
      <c r="P96" s="21">
        <v>9.6597600000000003</v>
      </c>
      <c r="Q96" s="21">
        <v>-7.9589799999999992E-3</v>
      </c>
      <c r="R96" s="21">
        <v>86</v>
      </c>
      <c r="S96" s="21">
        <v>0.33258100000000002</v>
      </c>
      <c r="T96">
        <f t="shared" si="14"/>
        <v>9.8259012345678993</v>
      </c>
      <c r="U96">
        <f t="shared" si="15"/>
        <v>3.2729978753333326</v>
      </c>
      <c r="X96" s="9"/>
      <c r="Y96" s="21">
        <v>1.3069200000000001</v>
      </c>
      <c r="Z96" s="21">
        <v>15.0966</v>
      </c>
      <c r="AA96" s="21">
        <v>-6.7657500000000001E-3</v>
      </c>
      <c r="AB96" s="21">
        <v>86</v>
      </c>
      <c r="AC96" s="21">
        <v>1.3067599999999999</v>
      </c>
      <c r="AD96">
        <f t="shared" si="16"/>
        <v>8.3527777777777761</v>
      </c>
      <c r="AE96">
        <f t="shared" si="17"/>
        <v>10.916412333333332</v>
      </c>
      <c r="AF96" s="9"/>
      <c r="AG96" s="21">
        <v>0.33309899999999998</v>
      </c>
      <c r="AH96" s="21">
        <v>18.795000000000002</v>
      </c>
      <c r="AI96" s="21">
        <v>-7.9223599999999998E-3</v>
      </c>
      <c r="AJ96" s="21">
        <v>86</v>
      </c>
      <c r="AK96" s="21">
        <v>0.33258100000000002</v>
      </c>
      <c r="AL96">
        <f t="shared" si="18"/>
        <v>9.7806913580246917</v>
      </c>
      <c r="AM96">
        <f t="shared" si="19"/>
        <v>3.2579385106666665</v>
      </c>
      <c r="AP96" s="9"/>
      <c r="AQ96" s="21">
        <v>1.3069200000000001</v>
      </c>
      <c r="AR96" s="21">
        <v>24.158799999999999</v>
      </c>
      <c r="AS96" s="21">
        <v>-6.6864000000000003E-3</v>
      </c>
      <c r="AT96" s="21">
        <v>86</v>
      </c>
      <c r="AU96" s="21">
        <v>1.3061499999999999</v>
      </c>
      <c r="AV96">
        <f t="shared" si="20"/>
        <v>8.2548148148148162</v>
      </c>
      <c r="AW96">
        <f t="shared" si="21"/>
        <v>10.78838257777778</v>
      </c>
      <c r="AX96" s="9"/>
      <c r="AY96" s="21">
        <v>0.33309899999999998</v>
      </c>
      <c r="AZ96" s="21">
        <v>27.857199999999999</v>
      </c>
      <c r="BA96" s="21">
        <v>-7.8735400000000001E-3</v>
      </c>
      <c r="BB96" s="21">
        <v>86</v>
      </c>
      <c r="BC96" s="21">
        <v>0.33255000000000001</v>
      </c>
      <c r="BD96">
        <f t="shared" si="22"/>
        <v>9.7204197530864196</v>
      </c>
      <c r="BE96">
        <f t="shared" si="23"/>
        <v>3.2378620993333329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1.3018799999999999</v>
      </c>
      <c r="H97" s="21">
        <v>5.9714999999999998</v>
      </c>
      <c r="I97" s="21">
        <v>-6.9518999999999996E-3</v>
      </c>
      <c r="J97" s="21">
        <v>87</v>
      </c>
      <c r="K97" s="21">
        <v>1.3015699999999999</v>
      </c>
      <c r="L97">
        <f t="shared" si="12"/>
        <v>8.5825925925925919</v>
      </c>
      <c r="M97">
        <f t="shared" si="13"/>
        <v>11.173505644444443</v>
      </c>
      <c r="N97" s="9"/>
      <c r="O97" s="21">
        <v>0.33813500000000002</v>
      </c>
      <c r="P97" s="21">
        <v>9.6698400000000007</v>
      </c>
      <c r="Q97" s="21">
        <v>-7.9498299999999997E-3</v>
      </c>
      <c r="R97" s="21">
        <v>87</v>
      </c>
      <c r="S97" s="21">
        <v>0.33761600000000003</v>
      </c>
      <c r="T97">
        <f t="shared" si="14"/>
        <v>9.8146049382716036</v>
      </c>
      <c r="U97">
        <f t="shared" si="15"/>
        <v>3.3186614408024688</v>
      </c>
      <c r="X97" s="9"/>
      <c r="Y97" s="21">
        <v>1.3018799999999999</v>
      </c>
      <c r="Z97" s="21">
        <v>15.1067</v>
      </c>
      <c r="AA97" s="21">
        <v>-6.7810099999999996E-3</v>
      </c>
      <c r="AB97" s="21">
        <v>87</v>
      </c>
      <c r="AC97" s="21">
        <v>1.3006599999999999</v>
      </c>
      <c r="AD97">
        <f t="shared" si="16"/>
        <v>8.3716172839506164</v>
      </c>
      <c r="AE97">
        <f t="shared" si="17"/>
        <v>10.898841109629627</v>
      </c>
      <c r="AF97" s="9"/>
      <c r="AG97" s="21">
        <v>0.33813500000000002</v>
      </c>
      <c r="AH97" s="21">
        <v>18.805099999999999</v>
      </c>
      <c r="AI97" s="21">
        <v>-7.9101599999999994E-3</v>
      </c>
      <c r="AJ97" s="21">
        <v>87</v>
      </c>
      <c r="AK97" s="21">
        <v>0.337646</v>
      </c>
      <c r="AL97">
        <f t="shared" si="18"/>
        <v>9.7656296296296272</v>
      </c>
      <c r="AM97">
        <f t="shared" si="19"/>
        <v>3.3021011748148141</v>
      </c>
      <c r="AP97" s="9"/>
      <c r="AQ97" s="21">
        <v>1.3018799999999999</v>
      </c>
      <c r="AR97" s="21">
        <v>24.168900000000001</v>
      </c>
      <c r="AS97" s="21">
        <v>-6.6986099999999998E-3</v>
      </c>
      <c r="AT97" s="21">
        <v>87</v>
      </c>
      <c r="AU97" s="21">
        <v>1.3015699999999999</v>
      </c>
      <c r="AV97">
        <f t="shared" si="20"/>
        <v>8.2698888888888877</v>
      </c>
      <c r="AW97">
        <f t="shared" si="21"/>
        <v>10.766402946666664</v>
      </c>
      <c r="AX97" s="9"/>
      <c r="AY97" s="21">
        <v>0.33813500000000002</v>
      </c>
      <c r="AZ97" s="21">
        <v>27.8673</v>
      </c>
      <c r="BA97" s="21">
        <v>-7.8674299999999999E-3</v>
      </c>
      <c r="BB97" s="21">
        <v>87</v>
      </c>
      <c r="BC97" s="21">
        <v>0.33755499999999999</v>
      </c>
      <c r="BD97">
        <f t="shared" si="22"/>
        <v>9.7128765432098749</v>
      </c>
      <c r="BE97">
        <f t="shared" si="23"/>
        <v>3.2842635099382713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1.29684</v>
      </c>
      <c r="H98" s="21">
        <v>5.9815699999999996</v>
      </c>
      <c r="I98" s="21">
        <v>-6.9702100000000001E-3</v>
      </c>
      <c r="J98" s="21">
        <v>88</v>
      </c>
      <c r="K98" s="21">
        <v>1.2957799999999999</v>
      </c>
      <c r="L98">
        <f t="shared" si="12"/>
        <v>8.6051975308641957</v>
      </c>
      <c r="M98">
        <f t="shared" si="13"/>
        <v>11.159564365925924</v>
      </c>
      <c r="N98" s="9"/>
      <c r="O98" s="21">
        <v>0.34316999999999998</v>
      </c>
      <c r="P98" s="21">
        <v>9.6799099999999996</v>
      </c>
      <c r="Q98" s="21">
        <v>-7.9376199999999994E-3</v>
      </c>
      <c r="R98" s="21">
        <v>88</v>
      </c>
      <c r="S98" s="21">
        <v>0.34268199999999999</v>
      </c>
      <c r="T98">
        <f t="shared" si="14"/>
        <v>9.7995308641975303</v>
      </c>
      <c r="U98">
        <f t="shared" si="15"/>
        <v>3.3629050066666664</v>
      </c>
      <c r="X98" s="9"/>
      <c r="Y98" s="21">
        <v>1.29684</v>
      </c>
      <c r="Z98" s="21">
        <v>15.1168</v>
      </c>
      <c r="AA98" s="21">
        <v>-6.7962600000000001E-3</v>
      </c>
      <c r="AB98" s="21">
        <v>88</v>
      </c>
      <c r="AC98" s="21">
        <v>1.2957799999999999</v>
      </c>
      <c r="AD98">
        <f t="shared" si="16"/>
        <v>8.3904444444444426</v>
      </c>
      <c r="AE98">
        <f t="shared" si="17"/>
        <v>10.881063973333331</v>
      </c>
      <c r="AF98" s="9"/>
      <c r="AG98" s="21">
        <v>0.34316999999999998</v>
      </c>
      <c r="AH98" s="21">
        <v>18.815100000000001</v>
      </c>
      <c r="AI98" s="21">
        <v>-7.8979500000000008E-3</v>
      </c>
      <c r="AJ98" s="21">
        <v>88</v>
      </c>
      <c r="AK98" s="21">
        <v>0.34262100000000001</v>
      </c>
      <c r="AL98">
        <f t="shared" si="18"/>
        <v>9.7505555555555556</v>
      </c>
      <c r="AM98">
        <f t="shared" si="19"/>
        <v>3.34609815</v>
      </c>
      <c r="AP98" s="9"/>
      <c r="AQ98" s="21">
        <v>1.29684</v>
      </c>
      <c r="AR98" s="21">
        <v>24.178999999999998</v>
      </c>
      <c r="AS98" s="21">
        <v>-6.7077600000000001E-3</v>
      </c>
      <c r="AT98" s="21">
        <v>88</v>
      </c>
      <c r="AU98" s="21">
        <v>1.2960799999999999</v>
      </c>
      <c r="AV98">
        <f t="shared" si="20"/>
        <v>8.2811851851851852</v>
      </c>
      <c r="AW98">
        <f t="shared" si="21"/>
        <v>10.739372195555555</v>
      </c>
      <c r="AX98" s="9"/>
      <c r="AY98" s="21">
        <v>0.34316999999999998</v>
      </c>
      <c r="AZ98" s="21">
        <v>27.877300000000002</v>
      </c>
      <c r="BA98" s="21">
        <v>-7.8491199999999994E-3</v>
      </c>
      <c r="BB98" s="21">
        <v>88</v>
      </c>
      <c r="BC98" s="21">
        <v>0.34265099999999998</v>
      </c>
      <c r="BD98">
        <f t="shared" si="22"/>
        <v>9.6902716049382693</v>
      </c>
      <c r="BE98">
        <f t="shared" si="23"/>
        <v>3.3254105066666657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1.2918099999999999</v>
      </c>
      <c r="H99" s="21">
        <v>5.9916400000000003</v>
      </c>
      <c r="I99" s="21">
        <v>-6.9946299999999999E-3</v>
      </c>
      <c r="J99" s="21">
        <v>89</v>
      </c>
      <c r="K99" s="21">
        <v>1.2908900000000001</v>
      </c>
      <c r="L99">
        <f t="shared" si="12"/>
        <v>8.635345679012346</v>
      </c>
      <c r="M99">
        <f t="shared" si="13"/>
        <v>11.155225901604938</v>
      </c>
      <c r="N99" s="9"/>
      <c r="O99" s="21">
        <v>0.34820600000000002</v>
      </c>
      <c r="P99" s="21">
        <v>9.6899800000000003</v>
      </c>
      <c r="Q99" s="21">
        <v>-7.9223599999999998E-3</v>
      </c>
      <c r="R99" s="21">
        <v>89</v>
      </c>
      <c r="S99" s="21">
        <v>0.34768700000000002</v>
      </c>
      <c r="T99">
        <f t="shared" si="14"/>
        <v>9.7806913580246917</v>
      </c>
      <c r="U99">
        <f t="shared" si="15"/>
        <v>3.405695415012346</v>
      </c>
      <c r="X99" s="9"/>
      <c r="Y99" s="21">
        <v>1.2918099999999999</v>
      </c>
      <c r="Z99" s="21">
        <v>15.126899999999999</v>
      </c>
      <c r="AA99" s="21">
        <v>-6.8115199999999997E-3</v>
      </c>
      <c r="AB99" s="21">
        <v>89</v>
      </c>
      <c r="AC99" s="21">
        <v>1.2908900000000001</v>
      </c>
      <c r="AD99">
        <f t="shared" si="16"/>
        <v>8.409283950617283</v>
      </c>
      <c r="AE99">
        <f t="shared" si="17"/>
        <v>10.863197100246911</v>
      </c>
      <c r="AF99" s="9"/>
      <c r="AG99" s="21">
        <v>0.34820600000000002</v>
      </c>
      <c r="AH99" s="21">
        <v>18.825199999999999</v>
      </c>
      <c r="AI99" s="21">
        <v>-7.8857400000000005E-3</v>
      </c>
      <c r="AJ99" s="21">
        <v>89</v>
      </c>
      <c r="AK99" s="21">
        <v>0.34768700000000002</v>
      </c>
      <c r="AL99">
        <f t="shared" si="18"/>
        <v>9.7354814814814823</v>
      </c>
      <c r="AM99">
        <f t="shared" si="19"/>
        <v>3.389953064740741</v>
      </c>
      <c r="AP99" s="9"/>
      <c r="AQ99" s="21">
        <v>1.2918099999999999</v>
      </c>
      <c r="AR99" s="21">
        <v>24.189</v>
      </c>
      <c r="AS99" s="21">
        <v>-6.7291299999999998E-3</v>
      </c>
      <c r="AT99" s="21">
        <v>89</v>
      </c>
      <c r="AU99" s="21">
        <v>1.2908900000000001</v>
      </c>
      <c r="AV99">
        <f t="shared" si="20"/>
        <v>8.3075679012345685</v>
      </c>
      <c r="AW99">
        <f t="shared" si="21"/>
        <v>10.731799290493827</v>
      </c>
      <c r="AX99" s="9"/>
      <c r="AY99" s="21">
        <v>0.34820600000000002</v>
      </c>
      <c r="AZ99" s="21">
        <v>27.8874</v>
      </c>
      <c r="BA99" s="21">
        <v>-7.8338599999999998E-3</v>
      </c>
      <c r="BB99" s="21">
        <v>89</v>
      </c>
      <c r="BC99" s="21">
        <v>0.34768700000000002</v>
      </c>
      <c r="BD99">
        <f t="shared" si="22"/>
        <v>9.6714320987654308</v>
      </c>
      <c r="BE99">
        <f t="shared" si="23"/>
        <v>3.3676506853827157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1.28677</v>
      </c>
      <c r="H100" s="21">
        <v>6.0017100000000001</v>
      </c>
      <c r="I100" s="21">
        <v>-7.0190399999999998E-3</v>
      </c>
      <c r="J100" s="21">
        <v>90</v>
      </c>
      <c r="K100" s="21">
        <v>1.2860100000000001</v>
      </c>
      <c r="L100">
        <f t="shared" si="12"/>
        <v>8.6654814814814802</v>
      </c>
      <c r="M100">
        <f t="shared" si="13"/>
        <v>11.150481605925924</v>
      </c>
      <c r="N100" s="9"/>
      <c r="O100" s="21">
        <v>0.35324100000000003</v>
      </c>
      <c r="P100" s="21">
        <v>9.7000499999999992</v>
      </c>
      <c r="Q100" s="21">
        <v>-7.9101599999999994E-3</v>
      </c>
      <c r="R100" s="21">
        <v>90</v>
      </c>
      <c r="S100" s="21">
        <v>0.35269200000000001</v>
      </c>
      <c r="T100">
        <f t="shared" si="14"/>
        <v>9.7656296296296272</v>
      </c>
      <c r="U100">
        <f t="shared" si="15"/>
        <v>3.4496207759999993</v>
      </c>
      <c r="X100" s="9"/>
      <c r="Y100" s="21">
        <v>1.28677</v>
      </c>
      <c r="Z100" s="21">
        <v>15.136900000000001</v>
      </c>
      <c r="AA100" s="21">
        <v>-6.82068E-3</v>
      </c>
      <c r="AB100" s="21">
        <v>90</v>
      </c>
      <c r="AC100" s="21">
        <v>1.2857099999999999</v>
      </c>
      <c r="AD100">
        <f t="shared" si="16"/>
        <v>8.4205925925925929</v>
      </c>
      <c r="AE100">
        <f t="shared" si="17"/>
        <v>10.83536593037037</v>
      </c>
      <c r="AF100" s="9"/>
      <c r="AG100" s="21">
        <v>0.35324100000000003</v>
      </c>
      <c r="AH100" s="21">
        <v>18.8353</v>
      </c>
      <c r="AI100" s="21">
        <v>-7.8674299999999999E-3</v>
      </c>
      <c r="AJ100" s="21">
        <v>90</v>
      </c>
      <c r="AK100" s="21">
        <v>0.35275299999999998</v>
      </c>
      <c r="AL100">
        <f t="shared" si="18"/>
        <v>9.7128765432098749</v>
      </c>
      <c r="AM100">
        <f t="shared" si="19"/>
        <v>3.4309862229999997</v>
      </c>
      <c r="AP100" s="9"/>
      <c r="AQ100" s="21">
        <v>1.28677</v>
      </c>
      <c r="AR100" s="21">
        <v>24.199100000000001</v>
      </c>
      <c r="AS100" s="21">
        <v>-6.7474400000000004E-3</v>
      </c>
      <c r="AT100" s="21">
        <v>90</v>
      </c>
      <c r="AU100" s="21">
        <v>1.2860100000000001</v>
      </c>
      <c r="AV100">
        <f t="shared" si="20"/>
        <v>8.330172839506174</v>
      </c>
      <c r="AW100">
        <f t="shared" si="21"/>
        <v>10.719016504691359</v>
      </c>
      <c r="AX100" s="9"/>
      <c r="AY100" s="21">
        <v>0.35324100000000003</v>
      </c>
      <c r="AZ100" s="21">
        <v>27.897500000000001</v>
      </c>
      <c r="BA100" s="21">
        <v>-7.8277599999999996E-3</v>
      </c>
      <c r="BB100" s="21">
        <v>90</v>
      </c>
      <c r="BC100" s="21">
        <v>0.35272199999999998</v>
      </c>
      <c r="BD100">
        <f t="shared" si="22"/>
        <v>9.6639012345679003</v>
      </c>
      <c r="BE100">
        <f t="shared" si="23"/>
        <v>3.4136861359999999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1.2817400000000001</v>
      </c>
      <c r="H101" s="21">
        <v>6.0117799999999999</v>
      </c>
      <c r="I101" s="21">
        <v>-7.0373500000000004E-3</v>
      </c>
      <c r="J101" s="21">
        <v>91</v>
      </c>
      <c r="K101" s="21">
        <v>1.2808200000000001</v>
      </c>
      <c r="L101">
        <f t="shared" si="12"/>
        <v>8.6880864197530858</v>
      </c>
      <c r="M101">
        <f t="shared" si="13"/>
        <v>11.135867887654321</v>
      </c>
      <c r="N101" s="9"/>
      <c r="O101" s="21">
        <v>0.35827599999999998</v>
      </c>
      <c r="P101" s="21">
        <v>9.7101199999999999</v>
      </c>
      <c r="Q101" s="21">
        <v>-7.901E-3</v>
      </c>
      <c r="R101" s="21">
        <v>91</v>
      </c>
      <c r="S101" s="21">
        <v>0.35772700000000002</v>
      </c>
      <c r="T101">
        <f t="shared" si="14"/>
        <v>9.7543209876543191</v>
      </c>
      <c r="U101">
        <f t="shared" si="15"/>
        <v>3.4947391061728386</v>
      </c>
      <c r="X101" s="9"/>
      <c r="Y101" s="21">
        <v>1.2817400000000001</v>
      </c>
      <c r="Z101" s="21">
        <v>15.147</v>
      </c>
      <c r="AA101" s="21">
        <v>-6.8328900000000003E-3</v>
      </c>
      <c r="AB101" s="21">
        <v>91</v>
      </c>
      <c r="AC101" s="21">
        <v>1.2808200000000001</v>
      </c>
      <c r="AD101">
        <f t="shared" si="16"/>
        <v>8.4356666666666662</v>
      </c>
      <c r="AE101">
        <f t="shared" si="17"/>
        <v>10.812331393333334</v>
      </c>
      <c r="AF101" s="9"/>
      <c r="AG101" s="21">
        <v>0.35827599999999998</v>
      </c>
      <c r="AH101" s="21">
        <v>18.845300000000002</v>
      </c>
      <c r="AI101" s="21">
        <v>-7.8521700000000003E-3</v>
      </c>
      <c r="AJ101" s="21">
        <v>91</v>
      </c>
      <c r="AK101" s="21">
        <v>0.35784899999999997</v>
      </c>
      <c r="AL101">
        <f t="shared" si="18"/>
        <v>9.6940370370370381</v>
      </c>
      <c r="AM101">
        <f t="shared" si="19"/>
        <v>3.4731408134814816</v>
      </c>
      <c r="AP101" s="9"/>
      <c r="AQ101" s="21">
        <v>1.2817400000000001</v>
      </c>
      <c r="AR101" s="21">
        <v>24.209199999999999</v>
      </c>
      <c r="AS101" s="21">
        <v>-6.7596399999999999E-3</v>
      </c>
      <c r="AT101" s="21">
        <v>91</v>
      </c>
      <c r="AU101" s="21">
        <v>1.2805200000000001</v>
      </c>
      <c r="AV101">
        <f t="shared" si="20"/>
        <v>8.345234567901235</v>
      </c>
      <c r="AW101">
        <f t="shared" si="21"/>
        <v>10.696420955061729</v>
      </c>
      <c r="AX101" s="9"/>
      <c r="AY101" s="21">
        <v>0.35827599999999998</v>
      </c>
      <c r="AZ101" s="21">
        <v>27.907599999999999</v>
      </c>
      <c r="BA101" s="21">
        <v>-7.8277599999999996E-3</v>
      </c>
      <c r="BB101" s="21">
        <v>91</v>
      </c>
      <c r="BC101" s="21">
        <v>0.35778799999999999</v>
      </c>
      <c r="BD101">
        <f t="shared" si="22"/>
        <v>9.6639012345679003</v>
      </c>
      <c r="BE101">
        <f t="shared" si="23"/>
        <v>3.462343878716049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1.2766999999999999</v>
      </c>
      <c r="H102" s="21">
        <v>6.0218499999999997</v>
      </c>
      <c r="I102" s="21">
        <v>-7.0434599999999997E-3</v>
      </c>
      <c r="J102" s="21">
        <v>92</v>
      </c>
      <c r="K102" s="21">
        <v>1.27563</v>
      </c>
      <c r="L102">
        <f t="shared" si="12"/>
        <v>8.6956296296296269</v>
      </c>
      <c r="M102">
        <f t="shared" si="13"/>
        <v>11.101710348148144</v>
      </c>
      <c r="N102" s="9"/>
      <c r="O102" s="21">
        <v>0.36331200000000002</v>
      </c>
      <c r="P102" s="21">
        <v>9.7201900000000006</v>
      </c>
      <c r="Q102" s="21">
        <v>-7.8887899999999997E-3</v>
      </c>
      <c r="R102" s="21">
        <v>92</v>
      </c>
      <c r="S102" s="21">
        <v>0.36282300000000001</v>
      </c>
      <c r="T102">
        <f t="shared" si="14"/>
        <v>9.7392469135802457</v>
      </c>
      <c r="U102">
        <f t="shared" si="15"/>
        <v>3.5383852746666666</v>
      </c>
      <c r="X102" s="9"/>
      <c r="Y102" s="21">
        <v>1.2766999999999999</v>
      </c>
      <c r="Z102" s="21">
        <v>15.1571</v>
      </c>
      <c r="AA102" s="21">
        <v>-6.8420399999999998E-3</v>
      </c>
      <c r="AB102" s="21">
        <v>92</v>
      </c>
      <c r="AC102" s="21">
        <v>1.2765500000000001</v>
      </c>
      <c r="AD102">
        <f t="shared" si="16"/>
        <v>8.4469629629629619</v>
      </c>
      <c r="AE102">
        <f t="shared" si="17"/>
        <v>10.784237614814813</v>
      </c>
      <c r="AF102" s="9"/>
      <c r="AG102" s="21">
        <v>0.36331200000000002</v>
      </c>
      <c r="AH102" s="21">
        <v>18.855399999999999</v>
      </c>
      <c r="AI102" s="21">
        <v>-7.8338599999999998E-3</v>
      </c>
      <c r="AJ102" s="21">
        <v>92</v>
      </c>
      <c r="AK102" s="21">
        <v>0.36276199999999997</v>
      </c>
      <c r="AL102">
        <f t="shared" si="18"/>
        <v>9.6714320987654308</v>
      </c>
      <c r="AM102">
        <f t="shared" si="19"/>
        <v>3.5137473386666662</v>
      </c>
      <c r="AP102" s="9"/>
      <c r="AQ102" s="21">
        <v>1.2766999999999999</v>
      </c>
      <c r="AR102" s="21">
        <v>24.219200000000001</v>
      </c>
      <c r="AS102" s="21">
        <v>-6.7810099999999996E-3</v>
      </c>
      <c r="AT102" s="21">
        <v>92</v>
      </c>
      <c r="AU102" s="21">
        <v>1.2762500000000001</v>
      </c>
      <c r="AV102">
        <f t="shared" si="20"/>
        <v>8.3716172839506164</v>
      </c>
      <c r="AW102">
        <f t="shared" si="21"/>
        <v>10.688043786419751</v>
      </c>
      <c r="AX102" s="9"/>
      <c r="AY102" s="21">
        <v>0.36331200000000002</v>
      </c>
      <c r="AZ102" s="21">
        <v>27.9176</v>
      </c>
      <c r="BA102" s="21">
        <v>-7.8186000000000002E-3</v>
      </c>
      <c r="BB102" s="21">
        <v>92</v>
      </c>
      <c r="BC102" s="21">
        <v>0.36279299999999998</v>
      </c>
      <c r="BD102">
        <f t="shared" si="22"/>
        <v>9.6525925925925922</v>
      </c>
      <c r="BE102">
        <f t="shared" si="23"/>
        <v>3.5069027200000003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1.2716700000000001</v>
      </c>
      <c r="H103" s="21">
        <v>6.0319200000000004</v>
      </c>
      <c r="I103" s="21">
        <v>-7.05261E-3</v>
      </c>
      <c r="J103" s="21">
        <v>93</v>
      </c>
      <c r="K103" s="21">
        <v>1.27075</v>
      </c>
      <c r="L103">
        <f t="shared" si="12"/>
        <v>8.7069259259259244</v>
      </c>
      <c r="M103">
        <f t="shared" si="13"/>
        <v>11.07233649222222</v>
      </c>
      <c r="N103" s="9"/>
      <c r="O103" s="21">
        <v>0.36834699999999998</v>
      </c>
      <c r="P103" s="21">
        <v>9.7302599999999995</v>
      </c>
      <c r="Q103" s="21">
        <v>-7.8826899999999995E-3</v>
      </c>
      <c r="R103" s="21">
        <v>93</v>
      </c>
      <c r="S103" s="21">
        <v>0.36782799999999999</v>
      </c>
      <c r="T103">
        <f t="shared" si="14"/>
        <v>9.7317160493827153</v>
      </c>
      <c r="U103">
        <f t="shared" si="15"/>
        <v>3.5846484116419748</v>
      </c>
      <c r="X103" s="9"/>
      <c r="Y103" s="21">
        <v>1.2716700000000001</v>
      </c>
      <c r="Z103" s="21">
        <v>15.1671</v>
      </c>
      <c r="AA103" s="21">
        <v>-6.8634000000000004E-3</v>
      </c>
      <c r="AB103" s="21">
        <v>93</v>
      </c>
      <c r="AC103" s="21">
        <v>1.2710600000000001</v>
      </c>
      <c r="AD103">
        <f t="shared" si="16"/>
        <v>8.4733333333333327</v>
      </c>
      <c r="AE103">
        <f t="shared" si="17"/>
        <v>10.7752838</v>
      </c>
      <c r="AF103" s="9"/>
      <c r="AG103" s="21">
        <v>0.36834699999999998</v>
      </c>
      <c r="AH103" s="21">
        <v>18.865500000000001</v>
      </c>
      <c r="AI103" s="21">
        <v>-7.8155499999999992E-3</v>
      </c>
      <c r="AJ103" s="21">
        <v>93</v>
      </c>
      <c r="AK103" s="21">
        <v>0.36779800000000001</v>
      </c>
      <c r="AL103">
        <f t="shared" si="18"/>
        <v>9.6488271604938252</v>
      </c>
      <c r="AM103">
        <f t="shared" si="19"/>
        <v>3.554116538086419</v>
      </c>
      <c r="AP103" s="9"/>
      <c r="AQ103" s="21">
        <v>1.2716700000000001</v>
      </c>
      <c r="AR103" s="21">
        <v>24.229299999999999</v>
      </c>
      <c r="AS103" s="21">
        <v>-6.8023700000000003E-3</v>
      </c>
      <c r="AT103" s="21">
        <v>93</v>
      </c>
      <c r="AU103" s="21">
        <v>1.27014</v>
      </c>
      <c r="AV103">
        <f t="shared" si="20"/>
        <v>8.3979876543209873</v>
      </c>
      <c r="AW103">
        <f t="shared" si="21"/>
        <v>10.67946896037037</v>
      </c>
      <c r="AX103" s="9"/>
      <c r="AY103" s="21">
        <v>0.36834699999999998</v>
      </c>
      <c r="AZ103" s="21">
        <v>27.927700000000002</v>
      </c>
      <c r="BA103" s="21">
        <v>-7.8033399999999998E-3</v>
      </c>
      <c r="BB103" s="21">
        <v>93</v>
      </c>
      <c r="BC103" s="21">
        <v>0.36779800000000001</v>
      </c>
      <c r="BD103">
        <f t="shared" si="22"/>
        <v>9.6337530864197518</v>
      </c>
      <c r="BE103">
        <f t="shared" si="23"/>
        <v>3.5485640481234562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1.2666299999999999</v>
      </c>
      <c r="H104" s="21">
        <v>6.0419999999999998</v>
      </c>
      <c r="I104" s="21">
        <v>-7.0617700000000002E-3</v>
      </c>
      <c r="J104" s="21">
        <v>94</v>
      </c>
      <c r="K104" s="21">
        <v>1.2652600000000001</v>
      </c>
      <c r="L104">
        <f t="shared" si="12"/>
        <v>8.7182345679012343</v>
      </c>
      <c r="M104">
        <f t="shared" si="13"/>
        <v>11.04277745074074</v>
      </c>
      <c r="N104" s="9"/>
      <c r="O104" s="21">
        <v>0.37338300000000002</v>
      </c>
      <c r="P104" s="21">
        <v>9.7403300000000002</v>
      </c>
      <c r="Q104" s="21">
        <v>-7.8765899999999993E-3</v>
      </c>
      <c r="R104" s="21">
        <v>94</v>
      </c>
      <c r="S104" s="21">
        <v>0.37283300000000003</v>
      </c>
      <c r="T104">
        <f t="shared" si="14"/>
        <v>9.724185185185183</v>
      </c>
      <c r="U104">
        <f t="shared" si="15"/>
        <v>3.6308454369999996</v>
      </c>
      <c r="X104" s="9"/>
      <c r="Y104" s="21">
        <v>1.2666299999999999</v>
      </c>
      <c r="Z104" s="21">
        <v>15.177199999999999</v>
      </c>
      <c r="AA104" s="21">
        <v>-6.8756099999999999E-3</v>
      </c>
      <c r="AB104" s="21">
        <v>94</v>
      </c>
      <c r="AC104" s="21">
        <v>1.2658700000000001</v>
      </c>
      <c r="AD104">
        <f t="shared" si="16"/>
        <v>8.4884074074074061</v>
      </c>
      <c r="AE104">
        <f t="shared" si="17"/>
        <v>10.751671474444443</v>
      </c>
      <c r="AF104" s="9"/>
      <c r="AG104" s="21">
        <v>0.37338300000000002</v>
      </c>
      <c r="AH104" s="21">
        <v>18.875499999999999</v>
      </c>
      <c r="AI104" s="21">
        <v>-7.8094499999999999E-3</v>
      </c>
      <c r="AJ104" s="21">
        <v>94</v>
      </c>
      <c r="AK104" s="21">
        <v>0.37283300000000003</v>
      </c>
      <c r="AL104">
        <f t="shared" si="18"/>
        <v>9.6412962962962947</v>
      </c>
      <c r="AM104">
        <f t="shared" si="19"/>
        <v>3.5998961349999994</v>
      </c>
      <c r="AP104" s="9"/>
      <c r="AQ104" s="21">
        <v>1.2666299999999999</v>
      </c>
      <c r="AR104" s="21">
        <v>24.2394</v>
      </c>
      <c r="AS104" s="21">
        <v>-6.8237300000000001E-3</v>
      </c>
      <c r="AT104" s="21">
        <v>94</v>
      </c>
      <c r="AU104" s="21">
        <v>1.2658700000000001</v>
      </c>
      <c r="AV104">
        <f t="shared" si="20"/>
        <v>8.4243580246913581</v>
      </c>
      <c r="AW104">
        <f t="shared" si="21"/>
        <v>10.670544604814815</v>
      </c>
      <c r="AX104" s="9"/>
      <c r="AY104" s="21">
        <v>0.37338300000000002</v>
      </c>
      <c r="AZ104" s="21">
        <v>27.937799999999999</v>
      </c>
      <c r="BA104" s="21">
        <v>-7.7941900000000003E-3</v>
      </c>
      <c r="BB104" s="21">
        <v>94</v>
      </c>
      <c r="BC104" s="21">
        <v>0.372894</v>
      </c>
      <c r="BD104">
        <f t="shared" si="22"/>
        <v>9.6224567901234561</v>
      </c>
      <c r="BE104">
        <f t="shared" si="23"/>
        <v>3.5928617836666668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1.2616000000000001</v>
      </c>
      <c r="H105" s="21">
        <v>6.0520699999999996</v>
      </c>
      <c r="I105" s="21">
        <v>-7.0739699999999997E-3</v>
      </c>
      <c r="J105" s="21">
        <v>95</v>
      </c>
      <c r="K105" s="21">
        <v>1.26129</v>
      </c>
      <c r="L105">
        <f t="shared" si="12"/>
        <v>8.7332962962962952</v>
      </c>
      <c r="M105">
        <f t="shared" si="13"/>
        <v>11.017926607407407</v>
      </c>
      <c r="N105" s="9"/>
      <c r="O105" s="21">
        <v>0.37841799999999998</v>
      </c>
      <c r="P105" s="21">
        <v>9.7504000000000008</v>
      </c>
      <c r="Q105" s="21">
        <v>-7.8674299999999999E-3</v>
      </c>
      <c r="R105" s="21">
        <v>95</v>
      </c>
      <c r="S105" s="21">
        <v>0.37789899999999998</v>
      </c>
      <c r="T105">
        <f t="shared" si="14"/>
        <v>9.7128765432098749</v>
      </c>
      <c r="U105">
        <f t="shared" si="15"/>
        <v>3.6755273157283943</v>
      </c>
      <c r="X105" s="9"/>
      <c r="Y105" s="21">
        <v>1.2616000000000001</v>
      </c>
      <c r="Z105" s="21">
        <v>15.1873</v>
      </c>
      <c r="AA105" s="21">
        <v>-6.8908700000000003E-3</v>
      </c>
      <c r="AB105" s="21">
        <v>95</v>
      </c>
      <c r="AC105" s="21">
        <v>1.2609900000000001</v>
      </c>
      <c r="AD105">
        <f t="shared" si="16"/>
        <v>8.5072469135802482</v>
      </c>
      <c r="AE105">
        <f t="shared" si="17"/>
        <v>10.732742706172841</v>
      </c>
      <c r="AF105" s="9"/>
      <c r="AG105" s="21">
        <v>0.37841799999999998</v>
      </c>
      <c r="AH105" s="21">
        <v>18.8856</v>
      </c>
      <c r="AI105" s="21">
        <v>-7.8002899999999997E-3</v>
      </c>
      <c r="AJ105" s="21">
        <v>95</v>
      </c>
      <c r="AK105" s="21">
        <v>0.37799100000000002</v>
      </c>
      <c r="AL105">
        <f t="shared" si="18"/>
        <v>9.6299876543209866</v>
      </c>
      <c r="AM105">
        <f t="shared" si="19"/>
        <v>3.6441606681728387</v>
      </c>
      <c r="AP105" s="9"/>
      <c r="AQ105" s="21">
        <v>1.2616000000000001</v>
      </c>
      <c r="AR105" s="21">
        <v>24.249500000000001</v>
      </c>
      <c r="AS105" s="21">
        <v>-6.8389899999999997E-3</v>
      </c>
      <c r="AT105" s="21">
        <v>95</v>
      </c>
      <c r="AU105" s="21">
        <v>1.2609900000000001</v>
      </c>
      <c r="AV105">
        <f t="shared" si="20"/>
        <v>8.4431975308641967</v>
      </c>
      <c r="AW105">
        <f t="shared" si="21"/>
        <v>10.651938004938271</v>
      </c>
      <c r="AX105" s="9"/>
      <c r="AY105" s="21">
        <v>0.37841799999999998</v>
      </c>
      <c r="AZ105" s="21">
        <v>27.947800000000001</v>
      </c>
      <c r="BA105" s="21">
        <v>-7.7789299999999999E-3</v>
      </c>
      <c r="BB105" s="21">
        <v>95</v>
      </c>
      <c r="BC105" s="21">
        <v>0.37796000000000002</v>
      </c>
      <c r="BD105">
        <f t="shared" si="22"/>
        <v>9.6036172839506158</v>
      </c>
      <c r="BE105">
        <f t="shared" si="23"/>
        <v>3.6341816453580238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1.2565599999999999</v>
      </c>
      <c r="H106" s="21">
        <v>6.0621400000000003</v>
      </c>
      <c r="I106" s="21">
        <v>-7.0892300000000002E-3</v>
      </c>
      <c r="J106" s="21">
        <v>96</v>
      </c>
      <c r="K106" s="21">
        <v>1.2558</v>
      </c>
      <c r="L106">
        <f t="shared" si="12"/>
        <v>8.7521358024691356</v>
      </c>
      <c r="M106">
        <f t="shared" si="13"/>
        <v>10.997583763950615</v>
      </c>
      <c r="N106" s="9"/>
      <c r="O106" s="21">
        <v>0.38345299999999999</v>
      </c>
      <c r="P106" s="21">
        <v>9.7604699999999998</v>
      </c>
      <c r="Q106" s="21">
        <v>-7.8643800000000007E-3</v>
      </c>
      <c r="R106" s="21">
        <v>96</v>
      </c>
      <c r="S106" s="21">
        <v>0.382965</v>
      </c>
      <c r="T106">
        <f t="shared" si="14"/>
        <v>9.7091111111111115</v>
      </c>
      <c r="U106">
        <f t="shared" si="15"/>
        <v>3.7229877828888891</v>
      </c>
      <c r="X106" s="9"/>
      <c r="Y106" s="21">
        <v>1.2565599999999999</v>
      </c>
      <c r="Z106" s="21">
        <v>15.1974</v>
      </c>
      <c r="AA106" s="21">
        <v>-6.9122300000000001E-3</v>
      </c>
      <c r="AB106" s="21">
        <v>96</v>
      </c>
      <c r="AC106" s="21">
        <v>1.2561</v>
      </c>
      <c r="AD106">
        <f t="shared" si="16"/>
        <v>8.5336172839506172</v>
      </c>
      <c r="AE106">
        <f t="shared" si="17"/>
        <v>10.723002134320987</v>
      </c>
      <c r="AF106" s="9"/>
      <c r="AG106" s="21">
        <v>0.38345299999999999</v>
      </c>
      <c r="AH106" s="21">
        <v>18.895700000000001</v>
      </c>
      <c r="AI106" s="21">
        <v>-7.7911400000000002E-3</v>
      </c>
      <c r="AJ106" s="21">
        <v>96</v>
      </c>
      <c r="AK106" s="21">
        <v>0.38293500000000003</v>
      </c>
      <c r="AL106">
        <f t="shared" si="18"/>
        <v>9.6186913580246909</v>
      </c>
      <c r="AM106">
        <f t="shared" si="19"/>
        <v>3.6883160573086418</v>
      </c>
      <c r="AP106" s="9"/>
      <c r="AQ106" s="21">
        <v>1.2565599999999999</v>
      </c>
      <c r="AR106" s="21">
        <v>24.259499999999999</v>
      </c>
      <c r="AS106" s="21">
        <v>-6.8603500000000003E-3</v>
      </c>
      <c r="AT106" s="21">
        <v>96</v>
      </c>
      <c r="AU106" s="21">
        <v>1.2561</v>
      </c>
      <c r="AV106">
        <f t="shared" si="20"/>
        <v>8.4695679012345675</v>
      </c>
      <c r="AW106">
        <f t="shared" si="21"/>
        <v>10.642520241975307</v>
      </c>
      <c r="AX106" s="9"/>
      <c r="AY106" s="21">
        <v>0.38345299999999999</v>
      </c>
      <c r="AZ106" s="21">
        <v>27.957899999999999</v>
      </c>
      <c r="BA106" s="21">
        <v>-7.7697799999999996E-3</v>
      </c>
      <c r="BB106" s="21">
        <v>96</v>
      </c>
      <c r="BC106" s="21">
        <v>0.38293500000000003</v>
      </c>
      <c r="BD106">
        <f t="shared" si="22"/>
        <v>9.5923209876543183</v>
      </c>
      <c r="BE106">
        <f t="shared" si="23"/>
        <v>3.6782042596790112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1.25153</v>
      </c>
      <c r="H107" s="21">
        <v>6.0722100000000001</v>
      </c>
      <c r="I107" s="21">
        <v>-7.1044899999999998E-3</v>
      </c>
      <c r="J107" s="21">
        <v>97</v>
      </c>
      <c r="K107" s="21">
        <v>1.25092</v>
      </c>
      <c r="L107">
        <f t="shared" si="12"/>
        <v>8.7709753086419759</v>
      </c>
      <c r="M107">
        <f t="shared" si="13"/>
        <v>10.977138728024693</v>
      </c>
      <c r="N107" s="9"/>
      <c r="O107" s="21">
        <v>0.38848899999999997</v>
      </c>
      <c r="P107" s="21">
        <v>9.7705500000000001</v>
      </c>
      <c r="Q107" s="21">
        <v>-7.8521700000000003E-3</v>
      </c>
      <c r="R107" s="21">
        <v>97</v>
      </c>
      <c r="S107" s="21">
        <v>0.38800000000000001</v>
      </c>
      <c r="T107">
        <f t="shared" si="14"/>
        <v>9.6940370370370381</v>
      </c>
      <c r="U107">
        <f t="shared" si="15"/>
        <v>3.7660267544814818</v>
      </c>
      <c r="X107" s="9"/>
      <c r="Y107" s="21">
        <v>1.25153</v>
      </c>
      <c r="Z107" s="21">
        <v>15.2074</v>
      </c>
      <c r="AA107" s="21">
        <v>-6.9335899999999999E-3</v>
      </c>
      <c r="AB107" s="21">
        <v>97</v>
      </c>
      <c r="AC107" s="21">
        <v>1.25092</v>
      </c>
      <c r="AD107">
        <f t="shared" si="16"/>
        <v>8.5599876543209881</v>
      </c>
      <c r="AE107">
        <f t="shared" si="17"/>
        <v>10.713081349012347</v>
      </c>
      <c r="AF107" s="9"/>
      <c r="AG107" s="21">
        <v>0.38848899999999997</v>
      </c>
      <c r="AH107" s="21">
        <v>18.905799999999999</v>
      </c>
      <c r="AI107" s="21">
        <v>-7.7758799999999998E-3</v>
      </c>
      <c r="AJ107" s="21">
        <v>97</v>
      </c>
      <c r="AK107" s="21">
        <v>0.38803100000000001</v>
      </c>
      <c r="AL107">
        <f t="shared" si="18"/>
        <v>9.5998518518518505</v>
      </c>
      <c r="AM107">
        <f t="shared" si="19"/>
        <v>3.7294368460740732</v>
      </c>
      <c r="AP107" s="9"/>
      <c r="AQ107" s="21">
        <v>1.25153</v>
      </c>
      <c r="AR107" s="21">
        <v>24.269600000000001</v>
      </c>
      <c r="AS107" s="21">
        <v>-6.8878200000000002E-3</v>
      </c>
      <c r="AT107" s="21">
        <v>97</v>
      </c>
      <c r="AU107" s="21">
        <v>1.25031</v>
      </c>
      <c r="AV107">
        <f t="shared" si="20"/>
        <v>8.5034814814814812</v>
      </c>
      <c r="AW107">
        <f t="shared" si="21"/>
        <v>10.642362178518518</v>
      </c>
      <c r="AX107" s="9"/>
      <c r="AY107" s="21">
        <v>0.38848899999999997</v>
      </c>
      <c r="AZ107" s="21">
        <v>27.968</v>
      </c>
      <c r="BA107" s="21">
        <v>-7.7636700000000003E-3</v>
      </c>
      <c r="BB107" s="21">
        <v>97</v>
      </c>
      <c r="BC107" s="21">
        <v>0.38793899999999998</v>
      </c>
      <c r="BD107">
        <f t="shared" si="22"/>
        <v>9.5847777777777772</v>
      </c>
      <c r="BE107">
        <f t="shared" si="23"/>
        <v>3.7235807341111107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1.2464900000000001</v>
      </c>
      <c r="H108" s="21">
        <v>6.0822799999999999</v>
      </c>
      <c r="I108" s="21">
        <v>-7.1289099999999996E-3</v>
      </c>
      <c r="J108" s="21">
        <v>98</v>
      </c>
      <c r="K108" s="21">
        <v>1.24542</v>
      </c>
      <c r="L108">
        <f t="shared" si="12"/>
        <v>8.8011234567901226</v>
      </c>
      <c r="M108">
        <f t="shared" si="13"/>
        <v>10.970512377654321</v>
      </c>
      <c r="N108" s="9"/>
      <c r="O108" s="21">
        <v>0.39352399999999998</v>
      </c>
      <c r="P108" s="21">
        <v>9.7806200000000008</v>
      </c>
      <c r="Q108" s="21">
        <v>-7.8369100000000008E-3</v>
      </c>
      <c r="R108" s="21">
        <v>98</v>
      </c>
      <c r="S108" s="21">
        <v>0.39300499999999999</v>
      </c>
      <c r="T108">
        <f t="shared" si="14"/>
        <v>9.6751975308641978</v>
      </c>
      <c r="U108">
        <f t="shared" si="15"/>
        <v>3.8074224331358022</v>
      </c>
      <c r="X108" s="9"/>
      <c r="Y108" s="21">
        <v>1.2464900000000001</v>
      </c>
      <c r="Z108" s="21">
        <v>15.217499999999999</v>
      </c>
      <c r="AA108" s="21">
        <v>-6.9580099999999997E-3</v>
      </c>
      <c r="AB108" s="21">
        <v>98</v>
      </c>
      <c r="AC108" s="21">
        <v>1.24542</v>
      </c>
      <c r="AD108">
        <f t="shared" si="16"/>
        <v>8.5901358024691348</v>
      </c>
      <c r="AE108">
        <f t="shared" si="17"/>
        <v>10.707518376419753</v>
      </c>
      <c r="AF108" s="9"/>
      <c r="AG108" s="21">
        <v>0.39352399999999998</v>
      </c>
      <c r="AH108" s="21">
        <v>18.915800000000001</v>
      </c>
      <c r="AI108" s="21">
        <v>-7.7667200000000004E-3</v>
      </c>
      <c r="AJ108" s="21">
        <v>98</v>
      </c>
      <c r="AK108" s="21">
        <v>0.39297500000000002</v>
      </c>
      <c r="AL108">
        <f t="shared" si="18"/>
        <v>9.5885432098765424</v>
      </c>
      <c r="AM108">
        <f t="shared" si="19"/>
        <v>3.7733218781234563</v>
      </c>
      <c r="AP108" s="9"/>
      <c r="AQ108" s="21">
        <v>1.2464900000000001</v>
      </c>
      <c r="AR108" s="21">
        <v>24.279699999999998</v>
      </c>
      <c r="AS108" s="21">
        <v>-6.9061299999999999E-3</v>
      </c>
      <c r="AT108" s="21">
        <v>98</v>
      </c>
      <c r="AU108" s="21">
        <v>1.24512</v>
      </c>
      <c r="AV108">
        <f t="shared" si="20"/>
        <v>8.526086419753085</v>
      </c>
      <c r="AW108">
        <f t="shared" si="21"/>
        <v>10.627681461358025</v>
      </c>
      <c r="AX108" s="9"/>
      <c r="AY108" s="21">
        <v>0.39352399999999998</v>
      </c>
      <c r="AZ108" s="21">
        <v>27.978000000000002</v>
      </c>
      <c r="BA108" s="21">
        <v>-7.7606200000000002E-3</v>
      </c>
      <c r="BB108" s="21">
        <v>98</v>
      </c>
      <c r="BC108" s="21">
        <v>0.39309699999999997</v>
      </c>
      <c r="BD108">
        <f t="shared" si="22"/>
        <v>9.5810123456790119</v>
      </c>
      <c r="BE108">
        <f t="shared" si="23"/>
        <v>3.7703583023209872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1.24146</v>
      </c>
      <c r="H109" s="21">
        <v>6.0923499999999997</v>
      </c>
      <c r="I109" s="21">
        <v>-7.1502700000000002E-3</v>
      </c>
      <c r="J109" s="21">
        <v>99</v>
      </c>
      <c r="K109" s="21">
        <v>1.2408399999999999</v>
      </c>
      <c r="L109">
        <f t="shared" si="12"/>
        <v>8.8274938271604935</v>
      </c>
      <c r="M109">
        <f t="shared" si="13"/>
        <v>10.958980486666666</v>
      </c>
      <c r="N109" s="9"/>
      <c r="O109" s="21">
        <v>0.39856000000000003</v>
      </c>
      <c r="P109" s="21">
        <v>9.7906899999999997</v>
      </c>
      <c r="Q109" s="21">
        <v>-7.8308100000000005E-3</v>
      </c>
      <c r="R109" s="21">
        <v>99</v>
      </c>
      <c r="S109" s="21">
        <v>0.39807100000000001</v>
      </c>
      <c r="T109">
        <f t="shared" si="14"/>
        <v>9.6676666666666673</v>
      </c>
      <c r="U109">
        <f t="shared" si="15"/>
        <v>3.8531452266666673</v>
      </c>
      <c r="X109" s="9"/>
      <c r="Y109" s="21">
        <v>1.24146</v>
      </c>
      <c r="Z109" s="21">
        <v>15.227600000000001</v>
      </c>
      <c r="AA109" s="21">
        <v>-6.9702100000000001E-3</v>
      </c>
      <c r="AB109" s="21">
        <v>99</v>
      </c>
      <c r="AC109" s="21">
        <v>1.24054</v>
      </c>
      <c r="AD109">
        <f t="shared" si="16"/>
        <v>8.6051975308641957</v>
      </c>
      <c r="AE109">
        <f t="shared" si="17"/>
        <v>10.683008526666665</v>
      </c>
      <c r="AF109" s="9"/>
      <c r="AG109" s="21">
        <v>0.39856000000000003</v>
      </c>
      <c r="AH109" s="21">
        <v>18.925899999999999</v>
      </c>
      <c r="AI109" s="21">
        <v>-7.75452E-3</v>
      </c>
      <c r="AJ109" s="21">
        <v>99</v>
      </c>
      <c r="AK109" s="21">
        <v>0.39804099999999998</v>
      </c>
      <c r="AL109">
        <f t="shared" si="18"/>
        <v>9.5734814814814815</v>
      </c>
      <c r="AM109">
        <f t="shared" si="19"/>
        <v>3.8156067792592596</v>
      </c>
      <c r="AP109" s="9"/>
      <c r="AQ109" s="21">
        <v>1.24146</v>
      </c>
      <c r="AR109" s="21">
        <v>24.2897</v>
      </c>
      <c r="AS109" s="21">
        <v>-6.9213900000000004E-3</v>
      </c>
      <c r="AT109" s="21">
        <v>99</v>
      </c>
      <c r="AU109" s="21">
        <v>1.2408399999999999</v>
      </c>
      <c r="AV109">
        <f t="shared" si="20"/>
        <v>8.5449259259259271</v>
      </c>
      <c r="AW109">
        <f t="shared" si="21"/>
        <v>10.608183740000001</v>
      </c>
      <c r="AX109" s="9"/>
      <c r="AY109" s="21">
        <v>0.39856000000000003</v>
      </c>
      <c r="AZ109" s="21">
        <v>27.988099999999999</v>
      </c>
      <c r="BA109" s="21">
        <v>-7.7606200000000002E-3</v>
      </c>
      <c r="BB109" s="21">
        <v>99</v>
      </c>
      <c r="BC109" s="21">
        <v>0.39810200000000001</v>
      </c>
      <c r="BD109">
        <f t="shared" si="22"/>
        <v>9.5810123456790119</v>
      </c>
      <c r="BE109">
        <f t="shared" si="23"/>
        <v>3.8186082804938271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1.2364200000000001</v>
      </c>
      <c r="H110" s="21">
        <v>6.1024200000000004</v>
      </c>
      <c r="I110" s="21">
        <v>-7.1655299999999998E-3</v>
      </c>
      <c r="J110" s="21">
        <v>100</v>
      </c>
      <c r="K110" s="21">
        <v>1.23566</v>
      </c>
      <c r="L110">
        <f t="shared" si="12"/>
        <v>8.846333333333332</v>
      </c>
      <c r="M110">
        <f t="shared" si="13"/>
        <v>10.937783459999999</v>
      </c>
      <c r="N110" s="9"/>
      <c r="O110" s="21">
        <v>0.40359499999999998</v>
      </c>
      <c r="P110" s="21">
        <v>9.8007600000000004</v>
      </c>
      <c r="Q110" s="21">
        <v>-7.8155499999999992E-3</v>
      </c>
      <c r="R110" s="21">
        <v>100</v>
      </c>
      <c r="S110" s="21">
        <v>0.40310699999999999</v>
      </c>
      <c r="T110">
        <f t="shared" si="14"/>
        <v>9.6488271604938252</v>
      </c>
      <c r="U110">
        <f t="shared" si="15"/>
        <v>3.8942183978395053</v>
      </c>
      <c r="X110" s="9"/>
      <c r="Y110" s="21">
        <v>1.2364200000000001</v>
      </c>
      <c r="Z110" s="21">
        <v>15.2376</v>
      </c>
      <c r="AA110" s="21">
        <v>-6.9793700000000004E-3</v>
      </c>
      <c r="AB110" s="21">
        <v>100</v>
      </c>
      <c r="AC110" s="21">
        <v>1.23566</v>
      </c>
      <c r="AD110">
        <f t="shared" si="16"/>
        <v>8.6165061728395056</v>
      </c>
      <c r="AE110">
        <f t="shared" si="17"/>
        <v>10.653620562222223</v>
      </c>
      <c r="AF110" s="9"/>
      <c r="AG110" s="21">
        <v>0.40359499999999998</v>
      </c>
      <c r="AH110" s="21">
        <v>18.936</v>
      </c>
      <c r="AI110" s="21">
        <v>-7.7392600000000004E-3</v>
      </c>
      <c r="AJ110" s="21">
        <v>100</v>
      </c>
      <c r="AK110" s="21">
        <v>0.403198</v>
      </c>
      <c r="AL110">
        <f t="shared" si="18"/>
        <v>9.5546419753086411</v>
      </c>
      <c r="AM110">
        <f t="shared" si="19"/>
        <v>3.8562057280246909</v>
      </c>
      <c r="AP110" s="9"/>
      <c r="AQ110" s="21">
        <v>1.2364200000000001</v>
      </c>
      <c r="AR110" s="21">
        <v>24.299800000000001</v>
      </c>
      <c r="AS110" s="21">
        <v>-6.9274899999999997E-3</v>
      </c>
      <c r="AT110" s="21">
        <v>100</v>
      </c>
      <c r="AU110" s="21">
        <v>1.23566</v>
      </c>
      <c r="AV110">
        <f t="shared" si="20"/>
        <v>8.5524567901234558</v>
      </c>
      <c r="AW110">
        <f t="shared" si="21"/>
        <v>10.574428624444444</v>
      </c>
      <c r="AX110" s="9"/>
      <c r="AY110" s="21">
        <v>0.40359499999999998</v>
      </c>
      <c r="AZ110" s="21">
        <v>27.998200000000001</v>
      </c>
      <c r="BA110" s="21">
        <v>-7.75452E-3</v>
      </c>
      <c r="BB110" s="21">
        <v>100</v>
      </c>
      <c r="BC110" s="21">
        <v>0.40313700000000002</v>
      </c>
      <c r="BD110">
        <f t="shared" si="22"/>
        <v>9.5734814814814815</v>
      </c>
      <c r="BE110">
        <f t="shared" si="23"/>
        <v>3.8638092585185184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1.2313799999999999</v>
      </c>
      <c r="H111" s="21">
        <v>6.1124900000000002</v>
      </c>
      <c r="I111" s="21">
        <v>-7.1899399999999997E-3</v>
      </c>
      <c r="J111" s="21">
        <v>101</v>
      </c>
      <c r="K111" s="21">
        <v>1.2307699999999999</v>
      </c>
      <c r="L111">
        <f t="shared" si="12"/>
        <v>8.8764691358024681</v>
      </c>
      <c r="M111">
        <f t="shared" si="13"/>
        <v>10.930306564444443</v>
      </c>
      <c r="N111" s="9"/>
      <c r="O111" s="21">
        <v>0.40862999999999999</v>
      </c>
      <c r="P111" s="21">
        <v>9.8108299999999993</v>
      </c>
      <c r="Q111" s="21">
        <v>-7.8033399999999998E-3</v>
      </c>
      <c r="R111" s="21">
        <v>101</v>
      </c>
      <c r="S111" s="21">
        <v>0.40811199999999997</v>
      </c>
      <c r="T111">
        <f t="shared" si="14"/>
        <v>9.6337530864197518</v>
      </c>
      <c r="U111">
        <f t="shared" si="15"/>
        <v>3.9366405237037032</v>
      </c>
      <c r="X111" s="9"/>
      <c r="Y111" s="21">
        <v>1.2313799999999999</v>
      </c>
      <c r="Z111" s="21">
        <v>15.2477</v>
      </c>
      <c r="AA111" s="21">
        <v>-6.9946299999999999E-3</v>
      </c>
      <c r="AB111" s="21">
        <v>101</v>
      </c>
      <c r="AC111" s="21">
        <v>1.23047</v>
      </c>
      <c r="AD111">
        <f t="shared" si="16"/>
        <v>8.635345679012346</v>
      </c>
      <c r="AE111">
        <f t="shared" si="17"/>
        <v>10.633391962222221</v>
      </c>
      <c r="AF111" s="9"/>
      <c r="AG111" s="21">
        <v>0.40862999999999999</v>
      </c>
      <c r="AH111" s="21">
        <v>18.946000000000002</v>
      </c>
      <c r="AI111" s="21">
        <v>-7.724E-3</v>
      </c>
      <c r="AJ111" s="21">
        <v>101</v>
      </c>
      <c r="AK111" s="21">
        <v>0.40811199999999997</v>
      </c>
      <c r="AL111">
        <f t="shared" si="18"/>
        <v>9.5358024691358025</v>
      </c>
      <c r="AM111">
        <f t="shared" si="19"/>
        <v>3.8966149629629627</v>
      </c>
      <c r="AP111" s="9"/>
      <c r="AQ111" s="21">
        <v>1.2313799999999999</v>
      </c>
      <c r="AR111" s="21">
        <v>24.309899999999999</v>
      </c>
      <c r="AS111" s="21">
        <v>-6.9458000000000002E-3</v>
      </c>
      <c r="AT111" s="21">
        <v>101</v>
      </c>
      <c r="AU111" s="21">
        <v>1.2307699999999999</v>
      </c>
      <c r="AV111">
        <f t="shared" si="20"/>
        <v>8.5750617283950614</v>
      </c>
      <c r="AW111">
        <f t="shared" si="21"/>
        <v>10.55915951111111</v>
      </c>
      <c r="AX111" s="9"/>
      <c r="AY111" s="21">
        <v>0.40862999999999999</v>
      </c>
      <c r="AZ111" s="21">
        <v>28.008299999999998</v>
      </c>
      <c r="BA111" s="21">
        <v>-7.7423099999999996E-3</v>
      </c>
      <c r="BB111" s="21">
        <v>101</v>
      </c>
      <c r="BC111" s="21">
        <v>0.40808100000000003</v>
      </c>
      <c r="BD111">
        <f t="shared" si="22"/>
        <v>9.5584074074074064</v>
      </c>
      <c r="BE111">
        <f t="shared" si="23"/>
        <v>3.9058520188888886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1.2263500000000001</v>
      </c>
      <c r="H112" s="21">
        <v>6.12256</v>
      </c>
      <c r="I112" s="21">
        <v>-7.20215E-3</v>
      </c>
      <c r="J112" s="21">
        <v>102</v>
      </c>
      <c r="K112" s="21">
        <v>1.22559</v>
      </c>
      <c r="L112">
        <f t="shared" si="12"/>
        <v>8.8915432098765432</v>
      </c>
      <c r="M112">
        <f t="shared" si="13"/>
        <v>10.904144015432099</v>
      </c>
      <c r="N112" s="9"/>
      <c r="O112" s="21">
        <v>0.41366599999999998</v>
      </c>
      <c r="P112" s="21">
        <v>9.8209</v>
      </c>
      <c r="Q112" s="21">
        <v>-7.7972400000000004E-3</v>
      </c>
      <c r="R112" s="21">
        <v>102</v>
      </c>
      <c r="S112" s="21">
        <v>0.41317700000000002</v>
      </c>
      <c r="T112">
        <f t="shared" si="14"/>
        <v>9.6262222222222213</v>
      </c>
      <c r="U112">
        <f t="shared" si="15"/>
        <v>3.9820408417777773</v>
      </c>
      <c r="X112" s="9"/>
      <c r="Y112" s="21">
        <v>1.2263500000000001</v>
      </c>
      <c r="Z112" s="21">
        <v>15.2578</v>
      </c>
      <c r="AA112" s="21">
        <v>-7.0068400000000003E-3</v>
      </c>
      <c r="AB112" s="21">
        <v>102</v>
      </c>
      <c r="AC112" s="21">
        <v>1.2258899999999999</v>
      </c>
      <c r="AD112">
        <f t="shared" si="16"/>
        <v>8.6504197530864193</v>
      </c>
      <c r="AE112">
        <f t="shared" si="17"/>
        <v>10.608442264197532</v>
      </c>
      <c r="AF112" s="9"/>
      <c r="AG112" s="21">
        <v>0.41366599999999998</v>
      </c>
      <c r="AH112" s="21">
        <v>18.956099999999999</v>
      </c>
      <c r="AI112" s="21">
        <v>-7.7209499999999999E-3</v>
      </c>
      <c r="AJ112" s="21">
        <v>102</v>
      </c>
      <c r="AK112" s="21">
        <v>0.41314699999999999</v>
      </c>
      <c r="AL112">
        <f t="shared" si="18"/>
        <v>9.5320370370370373</v>
      </c>
      <c r="AM112">
        <f t="shared" si="19"/>
        <v>3.9430796329629629</v>
      </c>
      <c r="AP112" s="9"/>
      <c r="AQ112" s="21">
        <v>1.2263500000000001</v>
      </c>
      <c r="AR112" s="21">
        <v>24.32</v>
      </c>
      <c r="AS112" s="21">
        <v>-6.9549599999999996E-3</v>
      </c>
      <c r="AT112" s="21">
        <v>102</v>
      </c>
      <c r="AU112" s="21">
        <v>1.2252799999999999</v>
      </c>
      <c r="AV112">
        <f t="shared" si="20"/>
        <v>8.5863703703703695</v>
      </c>
      <c r="AW112">
        <f t="shared" si="21"/>
        <v>10.529895303703704</v>
      </c>
      <c r="AX112" s="9"/>
      <c r="AY112" s="21">
        <v>0.41366599999999998</v>
      </c>
      <c r="AZ112" s="21">
        <v>28.0183</v>
      </c>
      <c r="BA112" s="21">
        <v>-7.7331500000000003E-3</v>
      </c>
      <c r="BB112" s="21">
        <v>102</v>
      </c>
      <c r="BC112" s="21">
        <v>0.41323900000000002</v>
      </c>
      <c r="BD112">
        <f t="shared" si="22"/>
        <v>9.5470987654320982</v>
      </c>
      <c r="BE112">
        <f t="shared" si="23"/>
        <v>3.949310157901234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1.2213099999999999</v>
      </c>
      <c r="H113" s="21">
        <v>6.1326299999999998</v>
      </c>
      <c r="I113" s="21">
        <v>-7.2174099999999996E-3</v>
      </c>
      <c r="J113" s="21">
        <v>103</v>
      </c>
      <c r="K113" s="21">
        <v>1.2210099999999999</v>
      </c>
      <c r="L113">
        <f t="shared" si="12"/>
        <v>8.91038271604938</v>
      </c>
      <c r="M113">
        <f t="shared" si="13"/>
        <v>10.882339514938268</v>
      </c>
      <c r="N113" s="9"/>
      <c r="O113" s="21">
        <v>0.41870099999999999</v>
      </c>
      <c r="P113" s="21">
        <v>9.8309700000000007</v>
      </c>
      <c r="Q113" s="21">
        <v>-7.7972400000000004E-3</v>
      </c>
      <c r="R113" s="21">
        <v>103</v>
      </c>
      <c r="S113" s="21">
        <v>0.418182</v>
      </c>
      <c r="T113">
        <f t="shared" si="14"/>
        <v>9.6262222222222213</v>
      </c>
      <c r="U113">
        <f t="shared" si="15"/>
        <v>4.0305088706666661</v>
      </c>
      <c r="X113" s="9"/>
      <c r="Y113" s="21">
        <v>1.2213099999999999</v>
      </c>
      <c r="Z113" s="21">
        <v>15.267799999999999</v>
      </c>
      <c r="AA113" s="21">
        <v>-7.0190399999999998E-3</v>
      </c>
      <c r="AB113" s="21">
        <v>103</v>
      </c>
      <c r="AC113" s="21">
        <v>1.2200899999999999</v>
      </c>
      <c r="AD113">
        <f t="shared" si="16"/>
        <v>8.6654814814814802</v>
      </c>
      <c r="AE113">
        <f t="shared" si="17"/>
        <v>10.583239188148145</v>
      </c>
      <c r="AF113" s="9"/>
      <c r="AG113" s="21">
        <v>0.41870099999999999</v>
      </c>
      <c r="AH113" s="21">
        <v>18.966200000000001</v>
      </c>
      <c r="AI113" s="21">
        <v>-7.7117899999999996E-3</v>
      </c>
      <c r="AJ113" s="21">
        <v>103</v>
      </c>
      <c r="AK113" s="21">
        <v>0.41824299999999998</v>
      </c>
      <c r="AL113">
        <f t="shared" si="18"/>
        <v>9.5207283950617274</v>
      </c>
      <c r="AM113">
        <f t="shared" si="19"/>
        <v>3.9863384997407403</v>
      </c>
      <c r="AP113" s="9"/>
      <c r="AQ113" s="21">
        <v>1.2213099999999999</v>
      </c>
      <c r="AR113" s="21">
        <v>24.33</v>
      </c>
      <c r="AS113" s="21">
        <v>-6.96716E-3</v>
      </c>
      <c r="AT113" s="21">
        <v>103</v>
      </c>
      <c r="AU113" s="21">
        <v>1.2206999999999999</v>
      </c>
      <c r="AV113">
        <f t="shared" si="20"/>
        <v>8.6014320987654305</v>
      </c>
      <c r="AW113">
        <f t="shared" si="21"/>
        <v>10.505015036543208</v>
      </c>
      <c r="AX113" s="9"/>
      <c r="AY113" s="21">
        <v>0.41870099999999999</v>
      </c>
      <c r="AZ113" s="21">
        <v>28.028400000000001</v>
      </c>
      <c r="BA113" s="21">
        <v>-7.7209499999999999E-3</v>
      </c>
      <c r="BB113" s="21">
        <v>103</v>
      </c>
      <c r="BC113" s="21">
        <v>0.418182</v>
      </c>
      <c r="BD113">
        <f t="shared" si="22"/>
        <v>9.5320370370370373</v>
      </c>
      <c r="BE113">
        <f t="shared" si="23"/>
        <v>3.9910734394444445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1.21628</v>
      </c>
      <c r="H114" s="21">
        <v>6.1427100000000001</v>
      </c>
      <c r="I114" s="21">
        <v>-7.2204599999999997E-3</v>
      </c>
      <c r="J114" s="21">
        <v>104</v>
      </c>
      <c r="K114" s="21">
        <v>1.2152099999999999</v>
      </c>
      <c r="L114">
        <f t="shared" si="12"/>
        <v>8.914148148148147</v>
      </c>
      <c r="M114">
        <f t="shared" si="13"/>
        <v>10.842100109629628</v>
      </c>
      <c r="N114" s="9"/>
      <c r="O114" s="21">
        <v>0.42373699999999997</v>
      </c>
      <c r="P114" s="21">
        <v>9.8410399999999996</v>
      </c>
      <c r="Q114" s="21">
        <v>-7.7911400000000002E-3</v>
      </c>
      <c r="R114" s="21">
        <v>104</v>
      </c>
      <c r="S114" s="21">
        <v>0.42327900000000002</v>
      </c>
      <c r="T114">
        <f t="shared" si="14"/>
        <v>9.6186913580246909</v>
      </c>
      <c r="U114">
        <f t="shared" si="15"/>
        <v>4.0757954199753081</v>
      </c>
      <c r="X114" s="9"/>
      <c r="Y114" s="21">
        <v>1.21628</v>
      </c>
      <c r="Z114" s="21">
        <v>15.277900000000001</v>
      </c>
      <c r="AA114" s="21">
        <v>-7.0404100000000004E-3</v>
      </c>
      <c r="AB114" s="21">
        <v>104</v>
      </c>
      <c r="AC114" s="21">
        <v>1.2161299999999999</v>
      </c>
      <c r="AD114">
        <f t="shared" si="16"/>
        <v>8.6918641975308635</v>
      </c>
      <c r="AE114">
        <f t="shared" si="17"/>
        <v>10.571740586172838</v>
      </c>
      <c r="AF114" s="9"/>
      <c r="AG114" s="21">
        <v>0.42373699999999997</v>
      </c>
      <c r="AH114" s="21">
        <v>18.976299999999998</v>
      </c>
      <c r="AI114" s="21">
        <v>-7.7087400000000004E-3</v>
      </c>
      <c r="AJ114" s="21">
        <v>104</v>
      </c>
      <c r="AK114" s="21">
        <v>0.42324800000000001</v>
      </c>
      <c r="AL114">
        <f t="shared" si="18"/>
        <v>9.516962962962964</v>
      </c>
      <c r="AM114">
        <f t="shared" si="19"/>
        <v>4.0326893350370376</v>
      </c>
      <c r="AP114" s="9"/>
      <c r="AQ114" s="21">
        <v>1.21628</v>
      </c>
      <c r="AR114" s="21">
        <v>24.3401</v>
      </c>
      <c r="AS114" s="21">
        <v>-6.9854699999999997E-3</v>
      </c>
      <c r="AT114" s="21">
        <v>104</v>
      </c>
      <c r="AU114" s="21">
        <v>1.2149000000000001</v>
      </c>
      <c r="AV114">
        <f t="shared" si="20"/>
        <v>8.6240370370370361</v>
      </c>
      <c r="AW114">
        <f t="shared" si="21"/>
        <v>10.489243767407407</v>
      </c>
      <c r="AX114" s="9"/>
      <c r="AY114" s="21">
        <v>0.42373699999999997</v>
      </c>
      <c r="AZ114" s="21">
        <v>28.038499999999999</v>
      </c>
      <c r="BA114" s="21">
        <v>-7.7148399999999997E-3</v>
      </c>
      <c r="BB114" s="21">
        <v>104</v>
      </c>
      <c r="BC114" s="21">
        <v>0.42324800000000001</v>
      </c>
      <c r="BD114">
        <f t="shared" si="22"/>
        <v>9.5244938271604926</v>
      </c>
      <c r="BE114">
        <f t="shared" si="23"/>
        <v>4.035880440839505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1.2112400000000001</v>
      </c>
      <c r="H115" s="21">
        <v>6.1527799999999999</v>
      </c>
      <c r="I115" s="21">
        <v>-7.2357200000000002E-3</v>
      </c>
      <c r="J115" s="21">
        <v>105</v>
      </c>
      <c r="K115" s="21">
        <v>1.2103299999999999</v>
      </c>
      <c r="L115">
        <f t="shared" si="12"/>
        <v>8.9329876543209874</v>
      </c>
      <c r="M115">
        <f t="shared" si="13"/>
        <v>10.819991966419753</v>
      </c>
      <c r="N115" s="9"/>
      <c r="O115" s="21">
        <v>0.42877199999999999</v>
      </c>
      <c r="P115" s="21">
        <v>9.8511100000000003</v>
      </c>
      <c r="Q115" s="21">
        <v>-7.78198E-3</v>
      </c>
      <c r="R115" s="21">
        <v>105</v>
      </c>
      <c r="S115" s="21">
        <v>0.42825299999999999</v>
      </c>
      <c r="T115">
        <f t="shared" si="14"/>
        <v>9.6073827160493828</v>
      </c>
      <c r="U115">
        <f t="shared" si="15"/>
        <v>4.1193767019259262</v>
      </c>
      <c r="X115" s="9"/>
      <c r="Y115" s="21">
        <v>1.2112400000000001</v>
      </c>
      <c r="Z115" s="21">
        <v>15.288</v>
      </c>
      <c r="AA115" s="21">
        <v>-7.0678700000000004E-3</v>
      </c>
      <c r="AB115" s="21">
        <v>105</v>
      </c>
      <c r="AC115" s="21">
        <v>1.2103299999999999</v>
      </c>
      <c r="AD115">
        <f t="shared" si="16"/>
        <v>8.7257654320987648</v>
      </c>
      <c r="AE115">
        <f t="shared" si="17"/>
        <v>10.568996121975308</v>
      </c>
      <c r="AF115" s="9"/>
      <c r="AG115" s="21">
        <v>0.42877199999999999</v>
      </c>
      <c r="AH115" s="21">
        <v>18.9863</v>
      </c>
      <c r="AI115" s="21">
        <v>-7.7117899999999996E-3</v>
      </c>
      <c r="AJ115" s="21">
        <v>105</v>
      </c>
      <c r="AK115" s="21">
        <v>0.42819200000000002</v>
      </c>
      <c r="AL115">
        <f t="shared" si="18"/>
        <v>9.5207283950617274</v>
      </c>
      <c r="AM115">
        <f t="shared" si="19"/>
        <v>4.0822217554074065</v>
      </c>
      <c r="AP115" s="9"/>
      <c r="AQ115" s="21">
        <v>1.2112400000000001</v>
      </c>
      <c r="AR115" s="21">
        <v>24.350200000000001</v>
      </c>
      <c r="AS115" s="21">
        <v>-6.99768E-3</v>
      </c>
      <c r="AT115" s="21">
        <v>105</v>
      </c>
      <c r="AU115" s="21">
        <v>1.2103299999999999</v>
      </c>
      <c r="AV115">
        <f t="shared" si="20"/>
        <v>8.6391111111111112</v>
      </c>
      <c r="AW115">
        <f t="shared" si="21"/>
        <v>10.464036942222224</v>
      </c>
      <c r="AX115" s="9"/>
      <c r="AY115" s="21">
        <v>0.42877199999999999</v>
      </c>
      <c r="AZ115" s="21">
        <v>28.048500000000001</v>
      </c>
      <c r="BA115" s="21">
        <v>-7.7056900000000003E-3</v>
      </c>
      <c r="BB115" s="21">
        <v>105</v>
      </c>
      <c r="BC115" s="21">
        <v>0.42822300000000002</v>
      </c>
      <c r="BD115">
        <f t="shared" si="22"/>
        <v>9.5131975308641969</v>
      </c>
      <c r="BE115">
        <f t="shared" si="23"/>
        <v>4.0789927317037034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1.20621</v>
      </c>
      <c r="H116" s="21">
        <v>6.1628499999999997</v>
      </c>
      <c r="I116" s="21">
        <v>-7.2479199999999997E-3</v>
      </c>
      <c r="J116" s="21">
        <v>106</v>
      </c>
      <c r="K116" s="21">
        <v>1.2051400000000001</v>
      </c>
      <c r="L116">
        <f t="shared" si="12"/>
        <v>8.9480493827160483</v>
      </c>
      <c r="M116">
        <f t="shared" si="13"/>
        <v>10.793226645925925</v>
      </c>
      <c r="N116" s="9"/>
      <c r="O116" s="21">
        <v>0.433807</v>
      </c>
      <c r="P116" s="21">
        <v>9.8611799999999992</v>
      </c>
      <c r="Q116" s="21">
        <v>-7.7789299999999999E-3</v>
      </c>
      <c r="R116" s="21">
        <v>106</v>
      </c>
      <c r="S116" s="21">
        <v>0.43328899999999998</v>
      </c>
      <c r="T116">
        <f t="shared" si="14"/>
        <v>9.6036172839506158</v>
      </c>
      <c r="U116">
        <f t="shared" si="15"/>
        <v>4.1661164030987647</v>
      </c>
      <c r="X116" s="9"/>
      <c r="Y116" s="21">
        <v>1.20621</v>
      </c>
      <c r="Z116" s="21">
        <v>15.2981</v>
      </c>
      <c r="AA116" s="21">
        <v>-7.08313E-3</v>
      </c>
      <c r="AB116" s="21">
        <v>106</v>
      </c>
      <c r="AC116" s="21">
        <v>1.2051400000000001</v>
      </c>
      <c r="AD116">
        <f t="shared" si="16"/>
        <v>8.7446049382716033</v>
      </c>
      <c r="AE116">
        <f t="shared" si="17"/>
        <v>10.547829922592591</v>
      </c>
      <c r="AF116" s="9"/>
      <c r="AG116" s="21">
        <v>0.433807</v>
      </c>
      <c r="AH116" s="21">
        <v>18.996400000000001</v>
      </c>
      <c r="AI116" s="21">
        <v>-7.7117899999999996E-3</v>
      </c>
      <c r="AJ116" s="21">
        <v>106</v>
      </c>
      <c r="AK116" s="21">
        <v>0.43331900000000001</v>
      </c>
      <c r="AL116">
        <f t="shared" si="18"/>
        <v>9.5207283950617274</v>
      </c>
      <c r="AM116">
        <f t="shared" si="19"/>
        <v>4.130158622876543</v>
      </c>
      <c r="AP116" s="9"/>
      <c r="AQ116" s="21">
        <v>1.20621</v>
      </c>
      <c r="AR116" s="21">
        <v>24.360199999999999</v>
      </c>
      <c r="AS116" s="21">
        <v>-7.0129399999999996E-3</v>
      </c>
      <c r="AT116" s="21">
        <v>106</v>
      </c>
      <c r="AU116" s="21">
        <v>1.2051400000000001</v>
      </c>
      <c r="AV116">
        <f t="shared" si="20"/>
        <v>8.6579506172839498</v>
      </c>
      <c r="AW116">
        <f t="shared" si="21"/>
        <v>10.443306614074073</v>
      </c>
      <c r="AX116" s="9"/>
      <c r="AY116" s="21">
        <v>0.433807</v>
      </c>
      <c r="AZ116" s="21">
        <v>28.058599999999998</v>
      </c>
      <c r="BA116" s="21">
        <v>-7.7087400000000004E-3</v>
      </c>
      <c r="BB116" s="21">
        <v>106</v>
      </c>
      <c r="BC116" s="21">
        <v>0.43328899999999998</v>
      </c>
      <c r="BD116">
        <f t="shared" si="22"/>
        <v>9.516962962962964</v>
      </c>
      <c r="BE116">
        <f t="shared" si="23"/>
        <v>4.1285251520740749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1.2011700000000001</v>
      </c>
      <c r="H117" s="21">
        <v>6.1729200000000004</v>
      </c>
      <c r="I117" s="21">
        <v>-7.2601300000000001E-3</v>
      </c>
      <c r="J117" s="21">
        <v>107</v>
      </c>
      <c r="K117" s="21">
        <v>1.2002600000000001</v>
      </c>
      <c r="L117">
        <f t="shared" si="12"/>
        <v>8.9631234567901235</v>
      </c>
      <c r="M117">
        <f t="shared" si="13"/>
        <v>10.766235002592593</v>
      </c>
      <c r="N117" s="9"/>
      <c r="O117" s="21">
        <v>0.43884299999999998</v>
      </c>
      <c r="P117" s="21">
        <v>9.8712599999999995</v>
      </c>
      <c r="Q117" s="21">
        <v>-7.7728299999999997E-3</v>
      </c>
      <c r="R117" s="21">
        <v>107</v>
      </c>
      <c r="S117" s="21">
        <v>0.43835400000000002</v>
      </c>
      <c r="T117">
        <f t="shared" si="14"/>
        <v>9.5960864197530853</v>
      </c>
      <c r="U117">
        <f t="shared" si="15"/>
        <v>4.2111753527037035</v>
      </c>
      <c r="X117" s="9"/>
      <c r="Y117" s="21">
        <v>1.2011700000000001</v>
      </c>
      <c r="Z117" s="21">
        <v>15.3081</v>
      </c>
      <c r="AA117" s="21">
        <v>-7.0922900000000002E-3</v>
      </c>
      <c r="AB117" s="21">
        <v>107</v>
      </c>
      <c r="AC117" s="21">
        <v>1.1999500000000001</v>
      </c>
      <c r="AD117">
        <f t="shared" si="16"/>
        <v>8.7559135802469132</v>
      </c>
      <c r="AE117">
        <f t="shared" si="17"/>
        <v>10.517340715185185</v>
      </c>
      <c r="AF117" s="9"/>
      <c r="AG117" s="21">
        <v>0.43884299999999998</v>
      </c>
      <c r="AH117" s="21">
        <v>19.006499999999999</v>
      </c>
      <c r="AI117" s="21">
        <v>-7.7026400000000002E-3</v>
      </c>
      <c r="AJ117" s="21">
        <v>107</v>
      </c>
      <c r="AK117" s="21">
        <v>0.43832399999999999</v>
      </c>
      <c r="AL117">
        <f t="shared" si="18"/>
        <v>9.5094320987654317</v>
      </c>
      <c r="AM117">
        <f t="shared" si="19"/>
        <v>4.173147710518518</v>
      </c>
      <c r="AP117" s="9"/>
      <c r="AQ117" s="21">
        <v>1.2011700000000001</v>
      </c>
      <c r="AR117" s="21">
        <v>24.3703</v>
      </c>
      <c r="AS117" s="21">
        <v>-7.02515E-3</v>
      </c>
      <c r="AT117" s="21">
        <v>107</v>
      </c>
      <c r="AU117" s="21">
        <v>1.1999500000000001</v>
      </c>
      <c r="AV117">
        <f t="shared" si="20"/>
        <v>8.6730246913580249</v>
      </c>
      <c r="AW117">
        <f t="shared" si="21"/>
        <v>10.41777706851852</v>
      </c>
      <c r="AX117" s="9"/>
      <c r="AY117" s="21">
        <v>0.43884299999999998</v>
      </c>
      <c r="AZ117" s="21">
        <v>28.0687</v>
      </c>
      <c r="BA117" s="21">
        <v>-7.7026400000000002E-3</v>
      </c>
      <c r="BB117" s="21">
        <v>107</v>
      </c>
      <c r="BC117" s="21">
        <v>0.43835400000000002</v>
      </c>
      <c r="BD117">
        <f t="shared" si="22"/>
        <v>9.5094320987654317</v>
      </c>
      <c r="BE117">
        <f t="shared" si="23"/>
        <v>4.173147710518518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1.19614</v>
      </c>
      <c r="H118" s="21">
        <v>6.1829900000000002</v>
      </c>
      <c r="I118" s="21">
        <v>-7.2723400000000004E-3</v>
      </c>
      <c r="J118" s="21">
        <v>108</v>
      </c>
      <c r="K118" s="21">
        <v>1.19476</v>
      </c>
      <c r="L118">
        <f t="shared" si="12"/>
        <v>8.9781975308641968</v>
      </c>
      <c r="M118">
        <f t="shared" si="13"/>
        <v>10.7391811945679</v>
      </c>
      <c r="N118" s="9"/>
      <c r="O118" s="21">
        <v>0.44387799999999999</v>
      </c>
      <c r="P118" s="21">
        <v>9.8813300000000002</v>
      </c>
      <c r="Q118" s="21">
        <v>-7.7667200000000004E-3</v>
      </c>
      <c r="R118" s="21">
        <v>108</v>
      </c>
      <c r="S118" s="21">
        <v>0.44339000000000001</v>
      </c>
      <c r="T118">
        <f t="shared" si="14"/>
        <v>9.5885432098765424</v>
      </c>
      <c r="U118">
        <f t="shared" si="15"/>
        <v>4.2561433829135797</v>
      </c>
      <c r="X118" s="9"/>
      <c r="Y118" s="21">
        <v>1.19614</v>
      </c>
      <c r="Z118" s="21">
        <v>15.318199999999999</v>
      </c>
      <c r="AA118" s="21">
        <v>-7.0983900000000004E-3</v>
      </c>
      <c r="AB118" s="21">
        <v>108</v>
      </c>
      <c r="AC118" s="21">
        <v>1.19537</v>
      </c>
      <c r="AD118">
        <f t="shared" si="16"/>
        <v>8.7634444444444455</v>
      </c>
      <c r="AE118">
        <f t="shared" si="17"/>
        <v>10.48230643777778</v>
      </c>
      <c r="AF118" s="9"/>
      <c r="AG118" s="21">
        <v>0.44387799999999999</v>
      </c>
      <c r="AH118" s="21">
        <v>19.016500000000001</v>
      </c>
      <c r="AI118" s="21">
        <v>-7.69653E-3</v>
      </c>
      <c r="AJ118" s="21">
        <v>108</v>
      </c>
      <c r="AK118" s="21">
        <v>0.44339000000000001</v>
      </c>
      <c r="AL118">
        <f t="shared" si="18"/>
        <v>9.5018888888888871</v>
      </c>
      <c r="AM118">
        <f t="shared" si="19"/>
        <v>4.2176794362222214</v>
      </c>
      <c r="AP118" s="9"/>
      <c r="AQ118" s="21">
        <v>1.19614</v>
      </c>
      <c r="AR118" s="21">
        <v>24.380400000000002</v>
      </c>
      <c r="AS118" s="21">
        <v>-7.0373500000000004E-3</v>
      </c>
      <c r="AT118" s="21">
        <v>108</v>
      </c>
      <c r="AU118" s="21">
        <v>1.1950700000000001</v>
      </c>
      <c r="AV118">
        <f t="shared" si="20"/>
        <v>8.6880864197530858</v>
      </c>
      <c r="AW118">
        <f t="shared" si="21"/>
        <v>10.392167690123456</v>
      </c>
      <c r="AX118" s="9"/>
      <c r="AY118" s="21">
        <v>0.44387799999999999</v>
      </c>
      <c r="AZ118" s="21">
        <v>28.078800000000001</v>
      </c>
      <c r="BA118" s="21">
        <v>-7.69653E-3</v>
      </c>
      <c r="BB118" s="21">
        <v>108</v>
      </c>
      <c r="BC118" s="21">
        <v>0.44341999999999998</v>
      </c>
      <c r="BD118">
        <f t="shared" si="22"/>
        <v>9.5018888888888871</v>
      </c>
      <c r="BE118">
        <f t="shared" si="23"/>
        <v>4.2176794362222214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1.1911</v>
      </c>
      <c r="H119" s="21">
        <v>6.19306</v>
      </c>
      <c r="I119" s="21">
        <v>-7.2876E-3</v>
      </c>
      <c r="J119" s="21">
        <v>109</v>
      </c>
      <c r="K119" s="21">
        <v>1.19049</v>
      </c>
      <c r="L119">
        <f t="shared" si="12"/>
        <v>8.9970370370370354</v>
      </c>
      <c r="M119">
        <f t="shared" si="13"/>
        <v>10.716370814814812</v>
      </c>
      <c r="N119" s="9"/>
      <c r="O119" s="21">
        <v>0.44891399999999998</v>
      </c>
      <c r="P119" s="21">
        <v>9.8914000000000009</v>
      </c>
      <c r="Q119" s="21">
        <v>-7.75452E-3</v>
      </c>
      <c r="R119" s="21">
        <v>109</v>
      </c>
      <c r="S119" s="21">
        <v>0.44839499999999999</v>
      </c>
      <c r="T119">
        <f t="shared" si="14"/>
        <v>9.5734814814814815</v>
      </c>
      <c r="U119">
        <f t="shared" si="15"/>
        <v>4.2976698657777774</v>
      </c>
      <c r="X119" s="9"/>
      <c r="Y119" s="21">
        <v>1.1911</v>
      </c>
      <c r="Z119" s="21">
        <v>15.3283</v>
      </c>
      <c r="AA119" s="21">
        <v>-7.11365E-3</v>
      </c>
      <c r="AB119" s="21">
        <v>109</v>
      </c>
      <c r="AC119" s="21">
        <v>1.18988</v>
      </c>
      <c r="AD119">
        <f t="shared" si="16"/>
        <v>8.7822839506172823</v>
      </c>
      <c r="AE119">
        <f t="shared" si="17"/>
        <v>10.460578413580246</v>
      </c>
      <c r="AF119" s="9"/>
      <c r="AG119" s="21">
        <v>0.44891399999999998</v>
      </c>
      <c r="AH119" s="21">
        <v>19.026599999999998</v>
      </c>
      <c r="AI119" s="21">
        <v>-7.6873799999999997E-3</v>
      </c>
      <c r="AJ119" s="21">
        <v>109</v>
      </c>
      <c r="AK119" s="21">
        <v>0.44842500000000002</v>
      </c>
      <c r="AL119">
        <f t="shared" si="18"/>
        <v>9.4905925925925914</v>
      </c>
      <c r="AM119">
        <f t="shared" si="19"/>
        <v>4.2604598831111105</v>
      </c>
      <c r="AP119" s="9"/>
      <c r="AQ119" s="21">
        <v>1.1911</v>
      </c>
      <c r="AR119" s="21">
        <v>24.390499999999999</v>
      </c>
      <c r="AS119" s="21">
        <v>-7.0495599999999999E-3</v>
      </c>
      <c r="AT119" s="21">
        <v>109</v>
      </c>
      <c r="AU119" s="21">
        <v>1.19049</v>
      </c>
      <c r="AV119">
        <f t="shared" si="20"/>
        <v>8.7031604938271592</v>
      </c>
      <c r="AW119">
        <f t="shared" si="21"/>
        <v>10.36633446419753</v>
      </c>
      <c r="AX119" s="9"/>
      <c r="AY119" s="21">
        <v>0.44891399999999998</v>
      </c>
      <c r="AZ119" s="21">
        <v>28.088799999999999</v>
      </c>
      <c r="BA119" s="21">
        <v>-7.6843299999999996E-3</v>
      </c>
      <c r="BB119" s="21">
        <v>109</v>
      </c>
      <c r="BC119" s="21">
        <v>0.44839499999999999</v>
      </c>
      <c r="BD119">
        <f t="shared" si="22"/>
        <v>9.4868271604938261</v>
      </c>
      <c r="BE119">
        <f t="shared" si="23"/>
        <v>4.2587695279259252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1.18607</v>
      </c>
      <c r="H120" s="21">
        <v>6.2031299999999998</v>
      </c>
      <c r="I120" s="21">
        <v>-7.3059099999999997E-3</v>
      </c>
      <c r="J120" s="21">
        <v>110</v>
      </c>
      <c r="K120" s="21">
        <v>1.18469</v>
      </c>
      <c r="L120">
        <f t="shared" si="12"/>
        <v>9.019641975308641</v>
      </c>
      <c r="M120">
        <f t="shared" si="13"/>
        <v>10.697926757654319</v>
      </c>
      <c r="N120" s="9"/>
      <c r="O120" s="21">
        <v>0.45394899999999999</v>
      </c>
      <c r="P120" s="21">
        <v>9.9014699999999998</v>
      </c>
      <c r="Q120" s="21">
        <v>-7.7514599999999999E-3</v>
      </c>
      <c r="R120" s="21">
        <v>110</v>
      </c>
      <c r="S120" s="21">
        <v>0.453461</v>
      </c>
      <c r="T120">
        <f t="shared" si="14"/>
        <v>9.5697037037037038</v>
      </c>
      <c r="U120">
        <f t="shared" si="15"/>
        <v>4.3441574265925924</v>
      </c>
      <c r="X120" s="9"/>
      <c r="Y120" s="21">
        <v>1.18607</v>
      </c>
      <c r="Z120" s="21">
        <v>15.3383</v>
      </c>
      <c r="AA120" s="21">
        <v>-7.1350099999999998E-3</v>
      </c>
      <c r="AB120" s="21">
        <v>110</v>
      </c>
      <c r="AC120" s="21">
        <v>1.1850000000000001</v>
      </c>
      <c r="AD120">
        <f t="shared" si="16"/>
        <v>8.8086543209876531</v>
      </c>
      <c r="AE120">
        <f t="shared" si="17"/>
        <v>10.447680630493826</v>
      </c>
      <c r="AF120" s="9"/>
      <c r="AG120" s="21">
        <v>0.45394899999999999</v>
      </c>
      <c r="AH120" s="21">
        <v>19.0367</v>
      </c>
      <c r="AI120" s="21">
        <v>-7.6843299999999996E-3</v>
      </c>
      <c r="AJ120" s="21">
        <v>110</v>
      </c>
      <c r="AK120" s="21">
        <v>0.45349099999999998</v>
      </c>
      <c r="AL120">
        <f t="shared" si="18"/>
        <v>9.4868271604938261</v>
      </c>
      <c r="AM120">
        <f t="shared" si="19"/>
        <v>4.3065357026790121</v>
      </c>
      <c r="AP120" s="9"/>
      <c r="AQ120" s="21">
        <v>1.18607</v>
      </c>
      <c r="AR120" s="21">
        <v>24.400500000000001</v>
      </c>
      <c r="AS120" s="21">
        <v>-7.0617700000000002E-3</v>
      </c>
      <c r="AT120" s="21">
        <v>110</v>
      </c>
      <c r="AU120" s="21">
        <v>1.1850000000000001</v>
      </c>
      <c r="AV120">
        <f t="shared" si="20"/>
        <v>8.7182345679012343</v>
      </c>
      <c r="AW120">
        <f t="shared" si="21"/>
        <v>10.340436473950616</v>
      </c>
      <c r="AX120" s="9"/>
      <c r="AY120" s="21">
        <v>0.45394899999999999</v>
      </c>
      <c r="AZ120" s="21">
        <v>28.0989</v>
      </c>
      <c r="BA120" s="21">
        <v>-7.6721200000000002E-3</v>
      </c>
      <c r="BB120" s="21">
        <v>110</v>
      </c>
      <c r="BC120" s="21">
        <v>0.453461</v>
      </c>
      <c r="BD120">
        <f t="shared" si="22"/>
        <v>9.4717530864197528</v>
      </c>
      <c r="BE120">
        <f t="shared" si="23"/>
        <v>4.2996928418271603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1.18103</v>
      </c>
      <c r="H121" s="21">
        <v>6.2131999999999996</v>
      </c>
      <c r="I121" s="21">
        <v>-7.31506E-3</v>
      </c>
      <c r="J121" s="21">
        <v>111</v>
      </c>
      <c r="K121" s="21">
        <v>1.18011</v>
      </c>
      <c r="L121">
        <f t="shared" si="12"/>
        <v>9.0309382716049367</v>
      </c>
      <c r="M121">
        <f t="shared" si="13"/>
        <v>10.665809026913578</v>
      </c>
      <c r="N121" s="9"/>
      <c r="O121" s="21">
        <v>0.458984</v>
      </c>
      <c r="P121" s="21">
        <v>9.9115400000000005</v>
      </c>
      <c r="Q121" s="21">
        <v>-7.7362100000000003E-3</v>
      </c>
      <c r="R121" s="21">
        <v>111</v>
      </c>
      <c r="S121" s="21">
        <v>0.45843499999999998</v>
      </c>
      <c r="T121">
        <f t="shared" si="14"/>
        <v>9.5508765432098759</v>
      </c>
      <c r="U121">
        <f t="shared" si="15"/>
        <v>4.3836995193086414</v>
      </c>
      <c r="X121" s="9"/>
      <c r="Y121" s="21">
        <v>1.18103</v>
      </c>
      <c r="Z121" s="21">
        <v>15.3484</v>
      </c>
      <c r="AA121" s="21">
        <v>-7.1563699999999996E-3</v>
      </c>
      <c r="AB121" s="21">
        <v>111</v>
      </c>
      <c r="AC121" s="21">
        <v>1.18042</v>
      </c>
      <c r="AD121">
        <f t="shared" si="16"/>
        <v>8.8350246913580239</v>
      </c>
      <c r="AE121">
        <f t="shared" si="17"/>
        <v>10.434429211234567</v>
      </c>
      <c r="AF121" s="9"/>
      <c r="AG121" s="21">
        <v>0.458984</v>
      </c>
      <c r="AH121" s="21">
        <v>19.046800000000001</v>
      </c>
      <c r="AI121" s="21">
        <v>-7.6843299999999996E-3</v>
      </c>
      <c r="AJ121" s="21">
        <v>111</v>
      </c>
      <c r="AK121" s="21">
        <v>0.45846599999999998</v>
      </c>
      <c r="AL121">
        <f t="shared" si="18"/>
        <v>9.4868271604938261</v>
      </c>
      <c r="AM121">
        <f t="shared" si="19"/>
        <v>4.3543018774320981</v>
      </c>
      <c r="AP121" s="9"/>
      <c r="AQ121" s="21">
        <v>1.18103</v>
      </c>
      <c r="AR121" s="21">
        <v>24.410599999999999</v>
      </c>
      <c r="AS121" s="21">
        <v>-7.0861800000000001E-3</v>
      </c>
      <c r="AT121" s="21">
        <v>111</v>
      </c>
      <c r="AU121" s="21">
        <v>1.18011</v>
      </c>
      <c r="AV121">
        <f t="shared" si="20"/>
        <v>8.7483703703703704</v>
      </c>
      <c r="AW121">
        <f t="shared" si="21"/>
        <v>10.332087858518518</v>
      </c>
      <c r="AX121" s="9"/>
      <c r="AY121" s="21">
        <v>0.458984</v>
      </c>
      <c r="AZ121" s="21">
        <v>28.109000000000002</v>
      </c>
      <c r="BA121" s="21">
        <v>-7.6690700000000001E-3</v>
      </c>
      <c r="BB121" s="21">
        <v>111</v>
      </c>
      <c r="BC121" s="21">
        <v>0.45843499999999998</v>
      </c>
      <c r="BD121">
        <f t="shared" si="22"/>
        <v>9.4679876543209875</v>
      </c>
      <c r="BE121">
        <f t="shared" si="23"/>
        <v>4.3456548455308646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1.1759900000000001</v>
      </c>
      <c r="H122" s="21">
        <v>6.2232700000000003</v>
      </c>
      <c r="I122" s="21">
        <v>-7.3242200000000002E-3</v>
      </c>
      <c r="J122" s="21">
        <v>112</v>
      </c>
      <c r="K122" s="21">
        <v>1.17523</v>
      </c>
      <c r="L122">
        <f t="shared" si="12"/>
        <v>9.0422469135802466</v>
      </c>
      <c r="M122">
        <f t="shared" si="13"/>
        <v>10.633591947901236</v>
      </c>
      <c r="N122" s="9"/>
      <c r="O122" s="21">
        <v>0.46401999999999999</v>
      </c>
      <c r="P122" s="21">
        <v>9.9216099999999994</v>
      </c>
      <c r="Q122" s="21">
        <v>-7.7178999999999998E-3</v>
      </c>
      <c r="R122" s="21">
        <v>112</v>
      </c>
      <c r="S122" s="21">
        <v>0.46356199999999997</v>
      </c>
      <c r="T122">
        <f t="shared" si="14"/>
        <v>9.5282716049382703</v>
      </c>
      <c r="U122">
        <f t="shared" si="15"/>
        <v>4.4213085901234557</v>
      </c>
      <c r="X122" s="9"/>
      <c r="Y122" s="21">
        <v>1.1759900000000001</v>
      </c>
      <c r="Z122" s="21">
        <v>15.358499999999999</v>
      </c>
      <c r="AA122" s="21">
        <v>-7.1655299999999998E-3</v>
      </c>
      <c r="AB122" s="21">
        <v>112</v>
      </c>
      <c r="AC122" s="21">
        <v>1.17493</v>
      </c>
      <c r="AD122">
        <f t="shared" si="16"/>
        <v>8.846333333333332</v>
      </c>
      <c r="AE122">
        <f t="shared" si="17"/>
        <v>10.403199536666666</v>
      </c>
      <c r="AF122" s="9"/>
      <c r="AG122" s="21">
        <v>0.46401999999999999</v>
      </c>
      <c r="AH122" s="21">
        <v>19.056799999999999</v>
      </c>
      <c r="AI122" s="21">
        <v>-7.6812699999999996E-3</v>
      </c>
      <c r="AJ122" s="21">
        <v>112</v>
      </c>
      <c r="AK122" s="21">
        <v>0.46356199999999997</v>
      </c>
      <c r="AL122">
        <f t="shared" si="18"/>
        <v>9.4830493827160485</v>
      </c>
      <c r="AM122">
        <f t="shared" si="19"/>
        <v>4.4003245745679003</v>
      </c>
      <c r="AP122" s="9"/>
      <c r="AQ122" s="21">
        <v>1.1759900000000001</v>
      </c>
      <c r="AR122" s="21">
        <v>24.4207</v>
      </c>
      <c r="AS122" s="21">
        <v>-7.0983900000000004E-3</v>
      </c>
      <c r="AT122" s="21">
        <v>112</v>
      </c>
      <c r="AU122" s="21">
        <v>1.17493</v>
      </c>
      <c r="AV122">
        <f t="shared" si="20"/>
        <v>8.7634444444444455</v>
      </c>
      <c r="AW122">
        <f t="shared" si="21"/>
        <v>10.305723032222224</v>
      </c>
      <c r="AX122" s="9"/>
      <c r="AY122" s="21">
        <v>0.46401999999999999</v>
      </c>
      <c r="AZ122" s="21">
        <v>28.119</v>
      </c>
      <c r="BA122" s="21">
        <v>-7.6599099999999998E-3</v>
      </c>
      <c r="BB122" s="21">
        <v>112</v>
      </c>
      <c r="BC122" s="21">
        <v>0.46346999999999999</v>
      </c>
      <c r="BD122">
        <f t="shared" si="22"/>
        <v>9.4566790123456776</v>
      </c>
      <c r="BE122">
        <f t="shared" si="23"/>
        <v>4.388088195308641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1.17096</v>
      </c>
      <c r="H123" s="21">
        <v>6.2333400000000001</v>
      </c>
      <c r="I123" s="21">
        <v>-7.3272700000000003E-3</v>
      </c>
      <c r="J123" s="21">
        <v>113</v>
      </c>
      <c r="K123" s="21">
        <v>1.17004</v>
      </c>
      <c r="L123">
        <f t="shared" si="12"/>
        <v>9.0460123456790118</v>
      </c>
      <c r="M123">
        <f t="shared" si="13"/>
        <v>10.592518616296296</v>
      </c>
      <c r="N123" s="9"/>
      <c r="O123" s="21">
        <v>0.469055</v>
      </c>
      <c r="P123" s="21">
        <v>9.9316800000000001</v>
      </c>
      <c r="Q123" s="21">
        <v>-7.7117899999999996E-3</v>
      </c>
      <c r="R123" s="21">
        <v>113</v>
      </c>
      <c r="S123" s="21">
        <v>0.46859699999999999</v>
      </c>
      <c r="T123">
        <f t="shared" si="14"/>
        <v>9.5207283950617274</v>
      </c>
      <c r="U123">
        <f t="shared" si="15"/>
        <v>4.4657452573456782</v>
      </c>
      <c r="X123" s="9"/>
      <c r="Y123" s="21">
        <v>1.17096</v>
      </c>
      <c r="Z123" s="21">
        <v>15.368600000000001</v>
      </c>
      <c r="AA123" s="21">
        <v>-7.1868899999999996E-3</v>
      </c>
      <c r="AB123" s="21">
        <v>113</v>
      </c>
      <c r="AC123" s="21">
        <v>1.16974</v>
      </c>
      <c r="AD123">
        <f t="shared" si="16"/>
        <v>8.8727037037037029</v>
      </c>
      <c r="AE123">
        <f t="shared" si="17"/>
        <v>10.389581128888889</v>
      </c>
      <c r="AF123" s="9"/>
      <c r="AG123" s="21">
        <v>0.469055</v>
      </c>
      <c r="AH123" s="21">
        <v>19.0669</v>
      </c>
      <c r="AI123" s="21">
        <v>-7.6629599999999999E-3</v>
      </c>
      <c r="AJ123" s="21">
        <v>113</v>
      </c>
      <c r="AK123" s="21">
        <v>0.46859699999999999</v>
      </c>
      <c r="AL123">
        <f t="shared" si="18"/>
        <v>9.4604444444444429</v>
      </c>
      <c r="AM123">
        <f t="shared" si="19"/>
        <v>4.4374687688888885</v>
      </c>
      <c r="AP123" s="9"/>
      <c r="AQ123" s="21">
        <v>1.17096</v>
      </c>
      <c r="AR123" s="21">
        <v>24.430700000000002</v>
      </c>
      <c r="AS123" s="21">
        <v>-7.11365E-3</v>
      </c>
      <c r="AT123" s="21">
        <v>113</v>
      </c>
      <c r="AU123" s="21">
        <v>1.17035</v>
      </c>
      <c r="AV123">
        <f t="shared" si="20"/>
        <v>8.7822839506172823</v>
      </c>
      <c r="AW123">
        <f t="shared" si="21"/>
        <v>10.283703214814812</v>
      </c>
      <c r="AX123" s="9"/>
      <c r="AY123" s="21">
        <v>0.469055</v>
      </c>
      <c r="AZ123" s="21">
        <v>28.129100000000001</v>
      </c>
      <c r="BA123" s="21">
        <v>-7.6446500000000002E-3</v>
      </c>
      <c r="BB123" s="21">
        <v>113</v>
      </c>
      <c r="BC123" s="21">
        <v>0.46853600000000001</v>
      </c>
      <c r="BD123">
        <f t="shared" si="22"/>
        <v>9.4378395061728391</v>
      </c>
      <c r="BE123">
        <f t="shared" si="23"/>
        <v>4.426865809567901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1.1659200000000001</v>
      </c>
      <c r="H124" s="21">
        <v>6.2434200000000004</v>
      </c>
      <c r="I124" s="21">
        <v>-7.3272700000000003E-3</v>
      </c>
      <c r="J124" s="21">
        <v>114</v>
      </c>
      <c r="K124" s="21">
        <v>1.16486</v>
      </c>
      <c r="L124">
        <f t="shared" si="12"/>
        <v>9.0460123456790118</v>
      </c>
      <c r="M124">
        <f t="shared" si="13"/>
        <v>10.546926714074074</v>
      </c>
      <c r="N124" s="9"/>
      <c r="O124" s="21">
        <v>0.47409099999999998</v>
      </c>
      <c r="P124" s="21">
        <v>9.9417500000000008</v>
      </c>
      <c r="Q124" s="21">
        <v>-7.7056900000000003E-3</v>
      </c>
      <c r="R124" s="21">
        <v>114</v>
      </c>
      <c r="S124" s="21">
        <v>0.47360200000000002</v>
      </c>
      <c r="T124">
        <f t="shared" si="14"/>
        <v>9.5131975308641969</v>
      </c>
      <c r="U124">
        <f t="shared" si="15"/>
        <v>4.5101213306049379</v>
      </c>
      <c r="X124" s="9"/>
      <c r="Y124" s="21">
        <v>1.1659200000000001</v>
      </c>
      <c r="Z124" s="21">
        <v>15.3786</v>
      </c>
      <c r="AA124" s="21">
        <v>-7.20215E-3</v>
      </c>
      <c r="AB124" s="21">
        <v>114</v>
      </c>
      <c r="AC124" s="21">
        <v>1.16516</v>
      </c>
      <c r="AD124">
        <f t="shared" si="16"/>
        <v>8.8915432098765432</v>
      </c>
      <c r="AE124">
        <f t="shared" si="17"/>
        <v>10.366828059259261</v>
      </c>
      <c r="AF124" s="9"/>
      <c r="AG124" s="21">
        <v>0.47409099999999998</v>
      </c>
      <c r="AH124" s="21">
        <v>19.077000000000002</v>
      </c>
      <c r="AI124" s="21">
        <v>-7.6538099999999996E-3</v>
      </c>
      <c r="AJ124" s="21">
        <v>114</v>
      </c>
      <c r="AK124" s="21">
        <v>0.47360200000000002</v>
      </c>
      <c r="AL124">
        <f t="shared" si="18"/>
        <v>9.4491481481481472</v>
      </c>
      <c r="AM124">
        <f t="shared" si="19"/>
        <v>4.4797560947037027</v>
      </c>
      <c r="AP124" s="9"/>
      <c r="AQ124" s="21">
        <v>1.1659200000000001</v>
      </c>
      <c r="AR124" s="21">
        <v>24.440799999999999</v>
      </c>
      <c r="AS124" s="21">
        <v>-7.1197500000000002E-3</v>
      </c>
      <c r="AT124" s="21">
        <v>114</v>
      </c>
      <c r="AU124" s="21">
        <v>1.16486</v>
      </c>
      <c r="AV124">
        <f t="shared" si="20"/>
        <v>8.7898148148148145</v>
      </c>
      <c r="AW124">
        <f t="shared" si="21"/>
        <v>10.248220888888889</v>
      </c>
      <c r="AX124" s="9"/>
      <c r="AY124" s="21">
        <v>0.47409099999999998</v>
      </c>
      <c r="AZ124" s="21">
        <v>28.139199999999999</v>
      </c>
      <c r="BA124" s="21">
        <v>-7.6354999999999999E-3</v>
      </c>
      <c r="BB124" s="21">
        <v>114</v>
      </c>
      <c r="BC124" s="21">
        <v>0.47357199999999999</v>
      </c>
      <c r="BD124">
        <f t="shared" si="22"/>
        <v>9.4265432098765416</v>
      </c>
      <c r="BE124">
        <f t="shared" si="23"/>
        <v>4.4690392969135795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1.16089</v>
      </c>
      <c r="H125" s="21">
        <v>6.2534900000000002</v>
      </c>
      <c r="I125" s="21">
        <v>-7.3272700000000003E-3</v>
      </c>
      <c r="J125" s="21">
        <v>115</v>
      </c>
      <c r="K125" s="21">
        <v>1.15967</v>
      </c>
      <c r="L125">
        <f t="shared" si="12"/>
        <v>9.0460123456790118</v>
      </c>
      <c r="M125">
        <f t="shared" si="13"/>
        <v>10.501425271975307</v>
      </c>
      <c r="N125" s="9"/>
      <c r="O125" s="21">
        <v>0.479126</v>
      </c>
      <c r="P125" s="21">
        <v>9.9518199999999997</v>
      </c>
      <c r="Q125" s="21">
        <v>-7.7026400000000002E-3</v>
      </c>
      <c r="R125" s="21">
        <v>115</v>
      </c>
      <c r="S125" s="21">
        <v>0.47866799999999998</v>
      </c>
      <c r="T125">
        <f t="shared" si="14"/>
        <v>9.5094320987654317</v>
      </c>
      <c r="U125">
        <f t="shared" si="15"/>
        <v>4.5562161637530858</v>
      </c>
      <c r="X125" s="9"/>
      <c r="Y125" s="21">
        <v>1.16089</v>
      </c>
      <c r="Z125" s="21">
        <v>15.3887</v>
      </c>
      <c r="AA125" s="21">
        <v>-7.2113000000000003E-3</v>
      </c>
      <c r="AB125" s="21">
        <v>115</v>
      </c>
      <c r="AC125" s="21">
        <v>1.1599699999999999</v>
      </c>
      <c r="AD125">
        <f t="shared" si="16"/>
        <v>8.9028395061728389</v>
      </c>
      <c r="AE125">
        <f t="shared" si="17"/>
        <v>10.335217354320987</v>
      </c>
      <c r="AF125" s="9"/>
      <c r="AG125" s="21">
        <v>0.479126</v>
      </c>
      <c r="AH125" s="21">
        <v>19.087</v>
      </c>
      <c r="AI125" s="21">
        <v>-7.6446500000000002E-3</v>
      </c>
      <c r="AJ125" s="21">
        <v>115</v>
      </c>
      <c r="AK125" s="21">
        <v>0.478607</v>
      </c>
      <c r="AL125">
        <f t="shared" si="18"/>
        <v>9.4378395061728391</v>
      </c>
      <c r="AM125">
        <f t="shared" si="19"/>
        <v>4.5219142912345678</v>
      </c>
      <c r="AP125" s="9"/>
      <c r="AQ125" s="21">
        <v>1.16089</v>
      </c>
      <c r="AR125" s="21">
        <v>24.450900000000001</v>
      </c>
      <c r="AS125" s="21">
        <v>-7.1289099999999996E-3</v>
      </c>
      <c r="AT125" s="21">
        <v>115</v>
      </c>
      <c r="AU125" s="21">
        <v>1.1599699999999999</v>
      </c>
      <c r="AV125">
        <f t="shared" si="20"/>
        <v>8.8011234567901226</v>
      </c>
      <c r="AW125">
        <f t="shared" si="21"/>
        <v>10.217136209753086</v>
      </c>
      <c r="AX125" s="9"/>
      <c r="AY125" s="21">
        <v>0.479126</v>
      </c>
      <c r="AZ125" s="21">
        <v>28.1493</v>
      </c>
      <c r="BA125" s="21">
        <v>-7.6202400000000003E-3</v>
      </c>
      <c r="BB125" s="21">
        <v>115</v>
      </c>
      <c r="BC125" s="21">
        <v>0.47857699999999997</v>
      </c>
      <c r="BD125">
        <f t="shared" si="22"/>
        <v>9.407703703703703</v>
      </c>
      <c r="BE125">
        <f t="shared" si="23"/>
        <v>4.5074754447407406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1.15585</v>
      </c>
      <c r="H126" s="21">
        <v>6.26356</v>
      </c>
      <c r="I126" s="21">
        <v>-7.3303200000000004E-3</v>
      </c>
      <c r="J126" s="21">
        <v>116</v>
      </c>
      <c r="K126" s="21">
        <v>1.15448</v>
      </c>
      <c r="L126">
        <f t="shared" si="12"/>
        <v>9.0497777777777788</v>
      </c>
      <c r="M126">
        <f t="shared" si="13"/>
        <v>10.460185644444445</v>
      </c>
      <c r="N126" s="9"/>
      <c r="O126" s="21">
        <v>0.48416100000000001</v>
      </c>
      <c r="P126" s="21">
        <v>9.9618900000000004</v>
      </c>
      <c r="Q126" s="21">
        <v>-7.69653E-3</v>
      </c>
      <c r="R126" s="21">
        <v>116</v>
      </c>
      <c r="S126" s="21">
        <v>0.48367300000000002</v>
      </c>
      <c r="T126">
        <f t="shared" si="14"/>
        <v>9.5018888888888871</v>
      </c>
      <c r="U126">
        <f t="shared" si="15"/>
        <v>4.6004440263333324</v>
      </c>
      <c r="X126" s="9"/>
      <c r="Y126" s="21">
        <v>1.15585</v>
      </c>
      <c r="Z126" s="21">
        <v>15.3988</v>
      </c>
      <c r="AA126" s="21">
        <v>-7.2204599999999997E-3</v>
      </c>
      <c r="AB126" s="21">
        <v>116</v>
      </c>
      <c r="AC126" s="21">
        <v>1.15509</v>
      </c>
      <c r="AD126">
        <f t="shared" si="16"/>
        <v>8.914148148148147</v>
      </c>
      <c r="AE126">
        <f t="shared" si="17"/>
        <v>10.303418137037037</v>
      </c>
      <c r="AF126" s="9"/>
      <c r="AG126" s="21">
        <v>0.48416100000000001</v>
      </c>
      <c r="AH126" s="21">
        <v>19.097100000000001</v>
      </c>
      <c r="AI126" s="21">
        <v>-7.63855E-3</v>
      </c>
      <c r="AJ126" s="21">
        <v>116</v>
      </c>
      <c r="AK126" s="21">
        <v>0.48355100000000001</v>
      </c>
      <c r="AL126">
        <f t="shared" si="18"/>
        <v>9.4303086419753086</v>
      </c>
      <c r="AM126">
        <f t="shared" si="19"/>
        <v>4.5657876624074074</v>
      </c>
      <c r="AP126" s="9"/>
      <c r="AQ126" s="21">
        <v>1.15585</v>
      </c>
      <c r="AR126" s="21">
        <v>24.460999999999999</v>
      </c>
      <c r="AS126" s="21">
        <v>-7.14111E-3</v>
      </c>
      <c r="AT126" s="21">
        <v>116</v>
      </c>
      <c r="AU126" s="21">
        <v>1.1554</v>
      </c>
      <c r="AV126">
        <f t="shared" si="20"/>
        <v>8.8161851851851836</v>
      </c>
      <c r="AW126">
        <f t="shared" si="21"/>
        <v>10.190187646296295</v>
      </c>
      <c r="AX126" s="9"/>
      <c r="AY126" s="21">
        <v>0.48416100000000001</v>
      </c>
      <c r="AZ126" s="21">
        <v>28.159300000000002</v>
      </c>
      <c r="BA126" s="21">
        <v>-7.6141400000000001E-3</v>
      </c>
      <c r="BB126" s="21">
        <v>116</v>
      </c>
      <c r="BC126" s="21">
        <v>0.48358200000000001</v>
      </c>
      <c r="BD126">
        <f t="shared" si="22"/>
        <v>9.4001728395061726</v>
      </c>
      <c r="BE126">
        <f t="shared" si="23"/>
        <v>4.551197082148148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1.15082</v>
      </c>
      <c r="H127" s="21">
        <v>6.2736299999999998</v>
      </c>
      <c r="I127" s="21">
        <v>-7.3364299999999997E-3</v>
      </c>
      <c r="J127" s="21">
        <v>117</v>
      </c>
      <c r="K127" s="21">
        <v>1.1505099999999999</v>
      </c>
      <c r="L127">
        <f t="shared" si="12"/>
        <v>9.0573209876543199</v>
      </c>
      <c r="M127">
        <f t="shared" si="13"/>
        <v>10.423346139012343</v>
      </c>
      <c r="N127" s="9"/>
      <c r="O127" s="21">
        <v>0.48919699999999999</v>
      </c>
      <c r="P127" s="21">
        <v>9.9719700000000007</v>
      </c>
      <c r="Q127" s="21">
        <v>-7.6934799999999999E-3</v>
      </c>
      <c r="R127" s="21">
        <v>117</v>
      </c>
      <c r="S127" s="21">
        <v>0.48861700000000002</v>
      </c>
      <c r="T127">
        <f t="shared" si="14"/>
        <v>9.4981234567901218</v>
      </c>
      <c r="U127">
        <f t="shared" si="15"/>
        <v>4.646453500691357</v>
      </c>
      <c r="X127" s="9"/>
      <c r="Y127" s="21">
        <v>1.15082</v>
      </c>
      <c r="Z127" s="21">
        <v>15.408799999999999</v>
      </c>
      <c r="AA127" s="21">
        <v>-7.22961E-3</v>
      </c>
      <c r="AB127" s="21">
        <v>117</v>
      </c>
      <c r="AC127" s="21">
        <v>1.1498999999999999</v>
      </c>
      <c r="AD127">
        <f t="shared" si="16"/>
        <v>8.9254444444444445</v>
      </c>
      <c r="AE127">
        <f t="shared" si="17"/>
        <v>10.271579975555555</v>
      </c>
      <c r="AF127" s="9"/>
      <c r="AG127" s="21">
        <v>0.48919699999999999</v>
      </c>
      <c r="AH127" s="21">
        <v>19.107199999999999</v>
      </c>
      <c r="AI127" s="21">
        <v>-7.6263399999999997E-3</v>
      </c>
      <c r="AJ127" s="21">
        <v>117</v>
      </c>
      <c r="AK127" s="21">
        <v>0.488678</v>
      </c>
      <c r="AL127">
        <f t="shared" si="18"/>
        <v>9.4152345679012335</v>
      </c>
      <c r="AM127">
        <f t="shared" si="19"/>
        <v>4.6059045049135801</v>
      </c>
      <c r="AP127" s="9"/>
      <c r="AQ127" s="21">
        <v>1.15082</v>
      </c>
      <c r="AR127" s="21">
        <v>24.471</v>
      </c>
      <c r="AS127" s="21">
        <v>-7.1502700000000002E-3</v>
      </c>
      <c r="AT127" s="21">
        <v>117</v>
      </c>
      <c r="AU127" s="21">
        <v>1.1496</v>
      </c>
      <c r="AV127">
        <f t="shared" si="20"/>
        <v>8.8274938271604935</v>
      </c>
      <c r="AW127">
        <f t="shared" si="21"/>
        <v>10.158856446172839</v>
      </c>
      <c r="AX127" s="9"/>
      <c r="AY127" s="21">
        <v>0.48919699999999999</v>
      </c>
      <c r="AZ127" s="21">
        <v>28.1694</v>
      </c>
      <c r="BA127" s="21">
        <v>-7.6019299999999998E-3</v>
      </c>
      <c r="BB127" s="21">
        <v>117</v>
      </c>
      <c r="BC127" s="21">
        <v>0.48873899999999998</v>
      </c>
      <c r="BD127">
        <f t="shared" si="22"/>
        <v>9.3850987654320974</v>
      </c>
      <c r="BE127">
        <f t="shared" si="23"/>
        <v>4.5911621607530861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1.14578</v>
      </c>
      <c r="H128" s="21">
        <v>6.2836999999999996</v>
      </c>
      <c r="I128" s="21">
        <v>-7.3486300000000001E-3</v>
      </c>
      <c r="J128" s="21">
        <v>118</v>
      </c>
      <c r="K128" s="21">
        <v>1.1447099999999999</v>
      </c>
      <c r="L128">
        <f t="shared" si="12"/>
        <v>9.0723827160493808</v>
      </c>
      <c r="M128">
        <f t="shared" si="13"/>
        <v>10.39495466839506</v>
      </c>
      <c r="N128" s="9"/>
      <c r="O128" s="21">
        <v>0.494232</v>
      </c>
      <c r="P128" s="21">
        <v>9.9820399999999996</v>
      </c>
      <c r="Q128" s="21">
        <v>-7.6843299999999996E-3</v>
      </c>
      <c r="R128" s="21">
        <v>118</v>
      </c>
      <c r="S128" s="21">
        <v>0.49371300000000001</v>
      </c>
      <c r="T128">
        <f t="shared" si="14"/>
        <v>9.4868271604938261</v>
      </c>
      <c r="U128">
        <f t="shared" si="15"/>
        <v>4.6886935611851843</v>
      </c>
      <c r="X128" s="9"/>
      <c r="Y128" s="21">
        <v>1.14578</v>
      </c>
      <c r="Z128" s="21">
        <v>15.418900000000001</v>
      </c>
      <c r="AA128" s="21">
        <v>-7.2418200000000004E-3</v>
      </c>
      <c r="AB128" s="21">
        <v>118</v>
      </c>
      <c r="AC128" s="21">
        <v>1.1450199999999999</v>
      </c>
      <c r="AD128">
        <f t="shared" si="16"/>
        <v>8.9405185185185179</v>
      </c>
      <c r="AE128">
        <f t="shared" si="17"/>
        <v>10.243867308148147</v>
      </c>
      <c r="AF128" s="9"/>
      <c r="AG128" s="21">
        <v>0.494232</v>
      </c>
      <c r="AH128" s="21">
        <v>19.1173</v>
      </c>
      <c r="AI128" s="21">
        <v>-7.6141400000000001E-3</v>
      </c>
      <c r="AJ128" s="21">
        <v>118</v>
      </c>
      <c r="AK128" s="21">
        <v>0.49371300000000001</v>
      </c>
      <c r="AL128">
        <f t="shared" si="18"/>
        <v>9.4001728395061726</v>
      </c>
      <c r="AM128">
        <f t="shared" si="19"/>
        <v>4.6458662228148144</v>
      </c>
      <c r="AP128" s="9"/>
      <c r="AQ128" s="21">
        <v>1.14578</v>
      </c>
      <c r="AR128" s="21">
        <v>24.481100000000001</v>
      </c>
      <c r="AS128" s="21">
        <v>-7.1594199999999997E-3</v>
      </c>
      <c r="AT128" s="21">
        <v>118</v>
      </c>
      <c r="AU128" s="21">
        <v>1.1450199999999999</v>
      </c>
      <c r="AV128">
        <f t="shared" si="20"/>
        <v>8.8387901234567892</v>
      </c>
      <c r="AW128">
        <f t="shared" si="21"/>
        <v>10.127308947654321</v>
      </c>
      <c r="AX128" s="9"/>
      <c r="AY128" s="21">
        <v>0.494232</v>
      </c>
      <c r="AZ128" s="21">
        <v>28.179500000000001</v>
      </c>
      <c r="BA128" s="21">
        <v>-7.5958299999999996E-3</v>
      </c>
      <c r="BB128" s="21">
        <v>118</v>
      </c>
      <c r="BC128" s="21">
        <v>0.49377399999999999</v>
      </c>
      <c r="BD128">
        <f t="shared" si="22"/>
        <v>9.3775679012345652</v>
      </c>
      <c r="BE128">
        <f t="shared" si="23"/>
        <v>4.6346941389629617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1.1407499999999999</v>
      </c>
      <c r="H129" s="21">
        <v>6.2937700000000003</v>
      </c>
      <c r="I129" s="21">
        <v>-7.3608399999999996E-3</v>
      </c>
      <c r="J129" s="21">
        <v>119</v>
      </c>
      <c r="K129" s="21">
        <v>1.1401399999999999</v>
      </c>
      <c r="L129">
        <f t="shared" si="12"/>
        <v>9.087456790123456</v>
      </c>
      <c r="M129">
        <f t="shared" si="13"/>
        <v>10.366516333333331</v>
      </c>
      <c r="N129" s="9"/>
      <c r="O129" s="21">
        <v>0.49926799999999999</v>
      </c>
      <c r="P129" s="21">
        <v>9.9921100000000003</v>
      </c>
      <c r="Q129" s="21">
        <v>-7.6751700000000003E-3</v>
      </c>
      <c r="R129" s="21">
        <v>119</v>
      </c>
      <c r="S129" s="21">
        <v>0.498749</v>
      </c>
      <c r="T129">
        <f t="shared" si="14"/>
        <v>9.475518518518518</v>
      </c>
      <c r="U129">
        <f t="shared" si="15"/>
        <v>4.7308231797037035</v>
      </c>
      <c r="X129" s="9"/>
      <c r="Y129" s="21">
        <v>1.1407499999999999</v>
      </c>
      <c r="Z129" s="21">
        <v>15.429</v>
      </c>
      <c r="AA129" s="21">
        <v>-7.2509799999999998E-3</v>
      </c>
      <c r="AB129" s="21">
        <v>119</v>
      </c>
      <c r="AC129" s="21">
        <v>1.1395299999999999</v>
      </c>
      <c r="AD129">
        <f t="shared" si="16"/>
        <v>8.951827160493826</v>
      </c>
      <c r="AE129">
        <f t="shared" si="17"/>
        <v>10.211796833333331</v>
      </c>
      <c r="AF129" s="9"/>
      <c r="AG129" s="21">
        <v>0.49926799999999999</v>
      </c>
      <c r="AH129" s="21">
        <v>19.127300000000002</v>
      </c>
      <c r="AI129" s="21">
        <v>-7.6049799999999999E-3</v>
      </c>
      <c r="AJ129" s="21">
        <v>119</v>
      </c>
      <c r="AK129" s="21">
        <v>0.49871799999999999</v>
      </c>
      <c r="AL129">
        <f t="shared" si="18"/>
        <v>9.3888641975308627</v>
      </c>
      <c r="AM129">
        <f t="shared" si="19"/>
        <v>4.6875594501728388</v>
      </c>
      <c r="AP129" s="9"/>
      <c r="AQ129" s="21">
        <v>1.1407499999999999</v>
      </c>
      <c r="AR129" s="21">
        <v>24.491199999999999</v>
      </c>
      <c r="AS129" s="21">
        <v>-7.17163E-3</v>
      </c>
      <c r="AT129" s="21">
        <v>119</v>
      </c>
      <c r="AU129" s="21">
        <v>1.1395299999999999</v>
      </c>
      <c r="AV129">
        <f t="shared" si="20"/>
        <v>8.8538641975308643</v>
      </c>
      <c r="AW129">
        <f t="shared" si="21"/>
        <v>10.100045583333333</v>
      </c>
      <c r="AX129" s="9"/>
      <c r="AY129" s="21">
        <v>0.49926799999999999</v>
      </c>
      <c r="AZ129" s="21">
        <v>28.189499999999999</v>
      </c>
      <c r="BA129" s="21">
        <v>-7.5866700000000002E-3</v>
      </c>
      <c r="BB129" s="21">
        <v>119</v>
      </c>
      <c r="BC129" s="21">
        <v>0.49880999999999998</v>
      </c>
      <c r="BD129">
        <f t="shared" si="22"/>
        <v>9.3662592592592588</v>
      </c>
      <c r="BE129">
        <f t="shared" si="23"/>
        <v>4.6762735278518512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1.13571</v>
      </c>
      <c r="H130" s="21">
        <v>6.3038400000000001</v>
      </c>
      <c r="I130" s="21">
        <v>-7.3638899999999997E-3</v>
      </c>
      <c r="J130" s="21">
        <v>120</v>
      </c>
      <c r="K130" s="21">
        <v>1.1355599999999999</v>
      </c>
      <c r="L130">
        <f t="shared" si="12"/>
        <v>9.0912222222222212</v>
      </c>
      <c r="M130">
        <f t="shared" si="13"/>
        <v>10.324991989999999</v>
      </c>
      <c r="N130" s="9"/>
      <c r="O130" s="21">
        <v>0.50430299999999995</v>
      </c>
      <c r="P130" s="21">
        <v>10.0022</v>
      </c>
      <c r="Q130" s="21">
        <v>-7.66602E-3</v>
      </c>
      <c r="R130" s="21">
        <v>120</v>
      </c>
      <c r="S130" s="21">
        <v>0.50378400000000001</v>
      </c>
      <c r="T130">
        <f t="shared" si="14"/>
        <v>9.4642222222222205</v>
      </c>
      <c r="U130">
        <f t="shared" si="15"/>
        <v>4.7728356593333316</v>
      </c>
      <c r="X130" s="9"/>
      <c r="Y130" s="21">
        <v>1.13571</v>
      </c>
      <c r="Z130" s="21">
        <v>15.4391</v>
      </c>
      <c r="AA130" s="21">
        <v>-7.2662400000000002E-3</v>
      </c>
      <c r="AB130" s="21">
        <v>120</v>
      </c>
      <c r="AC130" s="21">
        <v>1.1349499999999999</v>
      </c>
      <c r="AD130">
        <f t="shared" si="16"/>
        <v>8.9706666666666663</v>
      </c>
      <c r="AE130">
        <f t="shared" si="17"/>
        <v>10.18807584</v>
      </c>
      <c r="AF130" s="9"/>
      <c r="AG130" s="21">
        <v>0.50430299999999995</v>
      </c>
      <c r="AH130" s="21">
        <v>19.1374</v>
      </c>
      <c r="AI130" s="21">
        <v>-7.5988799999999997E-3</v>
      </c>
      <c r="AJ130" s="21">
        <v>120</v>
      </c>
      <c r="AK130" s="21">
        <v>0.50372300000000003</v>
      </c>
      <c r="AL130">
        <f t="shared" si="18"/>
        <v>9.3813333333333322</v>
      </c>
      <c r="AM130">
        <f t="shared" si="19"/>
        <v>4.731034543999999</v>
      </c>
      <c r="AP130" s="9"/>
      <c r="AQ130" s="21">
        <v>1.13571</v>
      </c>
      <c r="AR130" s="21">
        <v>24.501200000000001</v>
      </c>
      <c r="AS130" s="21">
        <v>-7.1807900000000003E-3</v>
      </c>
      <c r="AT130" s="21">
        <v>120</v>
      </c>
      <c r="AU130" s="21">
        <v>1.1349499999999999</v>
      </c>
      <c r="AV130">
        <f t="shared" si="20"/>
        <v>8.8651728395061724</v>
      </c>
      <c r="AW130">
        <f t="shared" si="21"/>
        <v>10.068265445555555</v>
      </c>
      <c r="AX130" s="9"/>
      <c r="AY130" s="21">
        <v>0.50430299999999995</v>
      </c>
      <c r="AZ130" s="21">
        <v>28.1996</v>
      </c>
      <c r="BA130" s="21">
        <v>-7.57751E-3</v>
      </c>
      <c r="BB130" s="21">
        <v>120</v>
      </c>
      <c r="BC130" s="21">
        <v>0.50375400000000004</v>
      </c>
      <c r="BD130">
        <f t="shared" si="22"/>
        <v>9.3549506172839507</v>
      </c>
      <c r="BE130">
        <f t="shared" si="23"/>
        <v>4.7177296611481481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1.1306799999999999</v>
      </c>
      <c r="H131" s="21">
        <v>6.3139099999999999</v>
      </c>
      <c r="I131" s="21">
        <v>-7.3669399999999998E-3</v>
      </c>
      <c r="J131" s="21">
        <v>121</v>
      </c>
      <c r="K131" s="21">
        <v>1.1294599999999999</v>
      </c>
      <c r="L131">
        <f t="shared" si="12"/>
        <v>9.0949876543209864</v>
      </c>
      <c r="M131">
        <f t="shared" si="13"/>
        <v>10.283520640987652</v>
      </c>
      <c r="N131" s="9"/>
      <c r="O131" s="21">
        <v>0.50933799999999996</v>
      </c>
      <c r="P131" s="21">
        <v>10.0122</v>
      </c>
      <c r="Q131" s="21">
        <v>-7.6599099999999998E-3</v>
      </c>
      <c r="R131" s="21">
        <v>121</v>
      </c>
      <c r="S131" s="21">
        <v>0.50878900000000005</v>
      </c>
      <c r="T131">
        <f t="shared" si="14"/>
        <v>9.4566790123456776</v>
      </c>
      <c r="U131">
        <f t="shared" si="15"/>
        <v>4.8166459747901227</v>
      </c>
      <c r="X131" s="9"/>
      <c r="Y131" s="21">
        <v>1.1306799999999999</v>
      </c>
      <c r="Z131" s="21">
        <v>15.4491</v>
      </c>
      <c r="AA131" s="21">
        <v>-7.2784399999999997E-3</v>
      </c>
      <c r="AB131" s="21">
        <v>121</v>
      </c>
      <c r="AC131" s="21">
        <v>1.1300699999999999</v>
      </c>
      <c r="AD131">
        <f t="shared" si="16"/>
        <v>8.985728395061729</v>
      </c>
      <c r="AE131">
        <f t="shared" si="17"/>
        <v>10.159983381728395</v>
      </c>
      <c r="AF131" s="9"/>
      <c r="AG131" s="21">
        <v>0.50933799999999996</v>
      </c>
      <c r="AH131" s="21">
        <v>19.147500000000001</v>
      </c>
      <c r="AI131" s="21">
        <v>-7.5927700000000004E-3</v>
      </c>
      <c r="AJ131" s="21">
        <v>121</v>
      </c>
      <c r="AK131" s="21">
        <v>0.50875899999999996</v>
      </c>
      <c r="AL131">
        <f t="shared" si="18"/>
        <v>9.3737901234567893</v>
      </c>
      <c r="AM131">
        <f t="shared" si="19"/>
        <v>4.7744275139012338</v>
      </c>
      <c r="AP131" s="9"/>
      <c r="AQ131" s="21">
        <v>1.1306799999999999</v>
      </c>
      <c r="AR131" s="21">
        <v>24.511299999999999</v>
      </c>
      <c r="AS131" s="21">
        <v>-7.1929899999999998E-3</v>
      </c>
      <c r="AT131" s="21">
        <v>121</v>
      </c>
      <c r="AU131" s="21">
        <v>1.1297600000000001</v>
      </c>
      <c r="AV131">
        <f t="shared" si="20"/>
        <v>8.8802345679012333</v>
      </c>
      <c r="AW131">
        <f t="shared" si="21"/>
        <v>10.040703621234565</v>
      </c>
      <c r="AX131" s="9"/>
      <c r="AY131" s="21">
        <v>0.50933799999999996</v>
      </c>
      <c r="AZ131" s="21">
        <v>28.209700000000002</v>
      </c>
      <c r="BA131" s="21">
        <v>-7.5592000000000003E-3</v>
      </c>
      <c r="BB131" s="21">
        <v>121</v>
      </c>
      <c r="BC131" s="21">
        <v>0.50875899999999996</v>
      </c>
      <c r="BD131">
        <f t="shared" si="22"/>
        <v>9.3323456790123451</v>
      </c>
      <c r="BE131">
        <f t="shared" si="23"/>
        <v>4.7533182834567898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1.12564</v>
      </c>
      <c r="H132" s="21">
        <v>6.3239799999999997</v>
      </c>
      <c r="I132" s="21">
        <v>-7.3822000000000002E-3</v>
      </c>
      <c r="J132" s="21">
        <v>122</v>
      </c>
      <c r="K132" s="21">
        <v>1.1245700000000001</v>
      </c>
      <c r="L132">
        <f t="shared" si="12"/>
        <v>9.1138271604938268</v>
      </c>
      <c r="M132">
        <f t="shared" si="13"/>
        <v>10.25888840493827</v>
      </c>
      <c r="N132" s="9"/>
      <c r="O132" s="21">
        <v>0.514374</v>
      </c>
      <c r="P132" s="21">
        <v>10.0223</v>
      </c>
      <c r="Q132" s="21">
        <v>-7.6477100000000003E-3</v>
      </c>
      <c r="R132" s="21">
        <v>122</v>
      </c>
      <c r="S132" s="21">
        <v>0.51382399999999995</v>
      </c>
      <c r="T132">
        <f t="shared" si="14"/>
        <v>9.4416172839506167</v>
      </c>
      <c r="U132">
        <f t="shared" si="15"/>
        <v>4.8565224488148147</v>
      </c>
      <c r="X132" s="9"/>
      <c r="Y132" s="21">
        <v>1.12564</v>
      </c>
      <c r="Z132" s="21">
        <v>15.459199999999999</v>
      </c>
      <c r="AA132" s="21">
        <v>-7.2845499999999999E-3</v>
      </c>
      <c r="AB132" s="21">
        <v>122</v>
      </c>
      <c r="AC132" s="21">
        <v>1.1248800000000001</v>
      </c>
      <c r="AD132">
        <f t="shared" si="16"/>
        <v>8.9932716049382702</v>
      </c>
      <c r="AE132">
        <f t="shared" si="17"/>
        <v>10.123186249382714</v>
      </c>
      <c r="AF132" s="9"/>
      <c r="AG132" s="21">
        <v>0.514374</v>
      </c>
      <c r="AH132" s="21">
        <v>19.157499999999999</v>
      </c>
      <c r="AI132" s="21">
        <v>-7.58057E-3</v>
      </c>
      <c r="AJ132" s="21">
        <v>122</v>
      </c>
      <c r="AK132" s="21">
        <v>0.51379399999999997</v>
      </c>
      <c r="AL132">
        <f t="shared" si="18"/>
        <v>9.3587283950617284</v>
      </c>
      <c r="AM132">
        <f t="shared" si="19"/>
        <v>4.8138865594814817</v>
      </c>
      <c r="AP132" s="9"/>
      <c r="AQ132" s="21">
        <v>1.12564</v>
      </c>
      <c r="AR132" s="21">
        <v>24.5214</v>
      </c>
      <c r="AS132" s="21">
        <v>-7.2082500000000002E-3</v>
      </c>
      <c r="AT132" s="21">
        <v>122</v>
      </c>
      <c r="AU132" s="21">
        <v>1.1245700000000001</v>
      </c>
      <c r="AV132">
        <f t="shared" si="20"/>
        <v>8.8990740740740737</v>
      </c>
      <c r="AW132">
        <f t="shared" si="21"/>
        <v>10.01715374074074</v>
      </c>
      <c r="AX132" s="9"/>
      <c r="AY132" s="21">
        <v>0.514374</v>
      </c>
      <c r="AZ132" s="21">
        <v>28.219799999999999</v>
      </c>
      <c r="BA132" s="21">
        <v>-7.5439499999999998E-3</v>
      </c>
      <c r="BB132" s="21">
        <v>122</v>
      </c>
      <c r="BC132" s="21">
        <v>0.51376299999999997</v>
      </c>
      <c r="BD132">
        <f t="shared" si="22"/>
        <v>9.3135185185185172</v>
      </c>
      <c r="BE132">
        <f t="shared" si="23"/>
        <v>4.790631774444444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1.1206100000000001</v>
      </c>
      <c r="H133" s="21">
        <v>6.3340500000000004</v>
      </c>
      <c r="I133" s="21">
        <v>-7.3974599999999998E-3</v>
      </c>
      <c r="J133" s="21">
        <v>123</v>
      </c>
      <c r="K133" s="21">
        <v>1.1200000000000001</v>
      </c>
      <c r="L133">
        <f t="shared" si="12"/>
        <v>9.1326666666666654</v>
      </c>
      <c r="M133">
        <f t="shared" si="13"/>
        <v>10.234157593333332</v>
      </c>
      <c r="N133" s="9"/>
      <c r="O133" s="21">
        <v>0.51940900000000001</v>
      </c>
      <c r="P133" s="21">
        <v>10.032400000000001</v>
      </c>
      <c r="Q133" s="21">
        <v>-7.6354999999999999E-3</v>
      </c>
      <c r="R133" s="21">
        <v>123</v>
      </c>
      <c r="S133" s="21">
        <v>0.51885999999999999</v>
      </c>
      <c r="T133">
        <f t="shared" si="14"/>
        <v>9.4265432098765416</v>
      </c>
      <c r="U133">
        <f t="shared" si="15"/>
        <v>4.8962313820987644</v>
      </c>
      <c r="X133" s="9"/>
      <c r="Y133" s="21">
        <v>1.1206100000000001</v>
      </c>
      <c r="Z133" s="21">
        <v>15.4693</v>
      </c>
      <c r="AA133" s="21">
        <v>-7.2998000000000004E-3</v>
      </c>
      <c r="AB133" s="21">
        <v>123</v>
      </c>
      <c r="AC133" s="21">
        <v>1.1196900000000001</v>
      </c>
      <c r="AD133">
        <f t="shared" si="16"/>
        <v>9.0120987654320999</v>
      </c>
      <c r="AE133">
        <f t="shared" si="17"/>
        <v>10.099047997530866</v>
      </c>
      <c r="AF133" s="9"/>
      <c r="AG133" s="21">
        <v>0.51940900000000001</v>
      </c>
      <c r="AH133" s="21">
        <v>19.1676</v>
      </c>
      <c r="AI133" s="21">
        <v>-7.5714099999999998E-3</v>
      </c>
      <c r="AJ133" s="21">
        <v>123</v>
      </c>
      <c r="AK133" s="21">
        <v>0.51892099999999997</v>
      </c>
      <c r="AL133">
        <f t="shared" si="18"/>
        <v>9.3474197530864185</v>
      </c>
      <c r="AM133">
        <f t="shared" si="19"/>
        <v>4.8551339465308638</v>
      </c>
      <c r="AP133" s="9"/>
      <c r="AQ133" s="21">
        <v>1.1206100000000001</v>
      </c>
      <c r="AR133" s="21">
        <v>24.531500000000001</v>
      </c>
      <c r="AS133" s="21">
        <v>-7.2235099999999998E-3</v>
      </c>
      <c r="AT133" s="21">
        <v>123</v>
      </c>
      <c r="AU133" s="21">
        <v>1.1196900000000001</v>
      </c>
      <c r="AV133">
        <f t="shared" si="20"/>
        <v>8.9179135802469123</v>
      </c>
      <c r="AW133">
        <f t="shared" si="21"/>
        <v>9.9935031371604932</v>
      </c>
      <c r="AX133" s="9"/>
      <c r="AY133" s="21">
        <v>0.51940900000000001</v>
      </c>
      <c r="AZ133" s="21">
        <v>28.229800000000001</v>
      </c>
      <c r="BA133" s="21">
        <v>-7.5408899999999997E-3</v>
      </c>
      <c r="BB133" s="21">
        <v>123</v>
      </c>
      <c r="BC133" s="21">
        <v>0.51888999999999996</v>
      </c>
      <c r="BD133">
        <f t="shared" si="22"/>
        <v>9.3097407407407395</v>
      </c>
      <c r="BE133">
        <f t="shared" si="23"/>
        <v>4.835563128407407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1.11557</v>
      </c>
      <c r="H134" s="21">
        <v>6.3441299999999998</v>
      </c>
      <c r="I134" s="21">
        <v>-7.4096700000000001E-3</v>
      </c>
      <c r="J134" s="21">
        <v>124</v>
      </c>
      <c r="K134" s="21">
        <v>1.1145</v>
      </c>
      <c r="L134">
        <f t="shared" si="12"/>
        <v>9.1477407407407405</v>
      </c>
      <c r="M134">
        <f t="shared" si="13"/>
        <v>10.204945138148148</v>
      </c>
      <c r="N134" s="9"/>
      <c r="O134" s="21">
        <v>0.52444500000000005</v>
      </c>
      <c r="P134" s="21">
        <v>10.0425</v>
      </c>
      <c r="Q134" s="21">
        <v>-7.6293899999999998E-3</v>
      </c>
      <c r="R134" s="21">
        <v>124</v>
      </c>
      <c r="S134" s="21">
        <v>0.523895</v>
      </c>
      <c r="T134">
        <f t="shared" si="14"/>
        <v>9.4189999999999987</v>
      </c>
      <c r="U134">
        <f t="shared" si="15"/>
        <v>4.939747455</v>
      </c>
      <c r="X134" s="9"/>
      <c r="Y134" s="21">
        <v>1.11557</v>
      </c>
      <c r="Z134" s="21">
        <v>15.4793</v>
      </c>
      <c r="AA134" s="21">
        <v>-7.3120099999999999E-3</v>
      </c>
      <c r="AB134" s="21">
        <v>124</v>
      </c>
      <c r="AC134" s="21">
        <v>1.1145</v>
      </c>
      <c r="AD134">
        <f t="shared" si="16"/>
        <v>9.0271728395061732</v>
      </c>
      <c r="AE134">
        <f t="shared" si="17"/>
        <v>10.070443204567901</v>
      </c>
      <c r="AF134" s="9"/>
      <c r="AG134" s="21">
        <v>0.52444500000000005</v>
      </c>
      <c r="AH134" s="21">
        <v>19.177700000000002</v>
      </c>
      <c r="AI134" s="21">
        <v>-7.5592000000000003E-3</v>
      </c>
      <c r="AJ134" s="21">
        <v>124</v>
      </c>
      <c r="AK134" s="21">
        <v>0.52383400000000002</v>
      </c>
      <c r="AL134">
        <f t="shared" si="18"/>
        <v>9.3323456790123451</v>
      </c>
      <c r="AM134">
        <f t="shared" si="19"/>
        <v>4.89430202962963</v>
      </c>
      <c r="AP134" s="9"/>
      <c r="AQ134" s="21">
        <v>1.11557</v>
      </c>
      <c r="AR134" s="21">
        <v>24.541499999999999</v>
      </c>
      <c r="AS134" s="21">
        <v>-7.2387700000000003E-3</v>
      </c>
      <c r="AT134" s="21">
        <v>124</v>
      </c>
      <c r="AU134" s="21">
        <v>1.11511</v>
      </c>
      <c r="AV134">
        <f t="shared" si="20"/>
        <v>8.9367530864197544</v>
      </c>
      <c r="AW134">
        <f t="shared" si="21"/>
        <v>9.9695736406172841</v>
      </c>
      <c r="AX134" s="9"/>
      <c r="AY134" s="21">
        <v>0.52444500000000005</v>
      </c>
      <c r="AZ134" s="21">
        <v>28.239899999999999</v>
      </c>
      <c r="BA134" s="21">
        <v>-7.5378399999999996E-3</v>
      </c>
      <c r="BB134" s="21">
        <v>124</v>
      </c>
      <c r="BC134" s="21">
        <v>0.523895</v>
      </c>
      <c r="BD134">
        <f t="shared" si="22"/>
        <v>9.3059753086419743</v>
      </c>
      <c r="BE134">
        <f t="shared" si="23"/>
        <v>4.8804722207407405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1.11053</v>
      </c>
      <c r="H135" s="21">
        <v>6.3541999999999996</v>
      </c>
      <c r="I135" s="21">
        <v>-7.4218799999999996E-3</v>
      </c>
      <c r="J135" s="21">
        <v>125</v>
      </c>
      <c r="K135" s="21">
        <v>1.1096200000000001</v>
      </c>
      <c r="L135">
        <f t="shared" si="12"/>
        <v>9.1628148148148139</v>
      </c>
      <c r="M135">
        <f t="shared" si="13"/>
        <v>10.175580736296295</v>
      </c>
      <c r="N135" s="9"/>
      <c r="O135" s="21">
        <v>0.52947999999999995</v>
      </c>
      <c r="P135" s="21">
        <v>10.0525</v>
      </c>
      <c r="Q135" s="21">
        <v>-7.6171900000000002E-3</v>
      </c>
      <c r="R135" s="21">
        <v>125</v>
      </c>
      <c r="S135" s="21">
        <v>0.52893100000000004</v>
      </c>
      <c r="T135">
        <f t="shared" si="14"/>
        <v>9.4039382716049396</v>
      </c>
      <c r="U135">
        <f t="shared" si="15"/>
        <v>4.9791972360493828</v>
      </c>
      <c r="X135" s="9"/>
      <c r="Y135" s="21">
        <v>1.11053</v>
      </c>
      <c r="Z135" s="21">
        <v>15.4894</v>
      </c>
      <c r="AA135" s="21">
        <v>-7.3242200000000002E-3</v>
      </c>
      <c r="AB135" s="21">
        <v>125</v>
      </c>
      <c r="AC135" s="21">
        <v>1.1096200000000001</v>
      </c>
      <c r="AD135">
        <f t="shared" si="16"/>
        <v>9.0422469135802466</v>
      </c>
      <c r="AE135">
        <f t="shared" si="17"/>
        <v>10.041686464938271</v>
      </c>
      <c r="AF135" s="9"/>
      <c r="AG135" s="21">
        <v>0.52947999999999995</v>
      </c>
      <c r="AH135" s="21">
        <v>19.1877</v>
      </c>
      <c r="AI135" s="21">
        <v>-7.5439499999999998E-3</v>
      </c>
      <c r="AJ135" s="21">
        <v>125</v>
      </c>
      <c r="AK135" s="21">
        <v>0.52893100000000004</v>
      </c>
      <c r="AL135">
        <f t="shared" si="18"/>
        <v>9.3135185185185172</v>
      </c>
      <c r="AM135">
        <f t="shared" si="19"/>
        <v>4.931321785185184</v>
      </c>
      <c r="AP135" s="9"/>
      <c r="AQ135" s="21">
        <v>1.11053</v>
      </c>
      <c r="AR135" s="21">
        <v>24.551600000000001</v>
      </c>
      <c r="AS135" s="21">
        <v>-7.2540299999999999E-3</v>
      </c>
      <c r="AT135" s="21">
        <v>125</v>
      </c>
      <c r="AU135" s="21">
        <v>1.10931</v>
      </c>
      <c r="AV135">
        <f t="shared" si="20"/>
        <v>8.9555925925925912</v>
      </c>
      <c r="AW135">
        <f t="shared" si="21"/>
        <v>9.9454542418518503</v>
      </c>
      <c r="AX135" s="9"/>
      <c r="AY135" s="21">
        <v>0.52947999999999995</v>
      </c>
      <c r="AZ135" s="21">
        <v>28.25</v>
      </c>
      <c r="BA135" s="21">
        <v>-7.5347900000000004E-3</v>
      </c>
      <c r="BB135" s="21">
        <v>125</v>
      </c>
      <c r="BC135" s="21">
        <v>0.52890000000000004</v>
      </c>
      <c r="BD135">
        <f t="shared" si="22"/>
        <v>9.3022098765432109</v>
      </c>
      <c r="BE135">
        <f t="shared" si="23"/>
        <v>4.9253340854320991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1.1054999999999999</v>
      </c>
      <c r="H136" s="21">
        <v>6.3642700000000003</v>
      </c>
      <c r="I136" s="21">
        <v>-7.4310299999999999E-3</v>
      </c>
      <c r="J136" s="21">
        <v>126</v>
      </c>
      <c r="K136" s="21">
        <v>1.1041300000000001</v>
      </c>
      <c r="L136">
        <f t="shared" si="12"/>
        <v>9.1741111111111096</v>
      </c>
      <c r="M136">
        <f t="shared" si="13"/>
        <v>10.14197983333333</v>
      </c>
      <c r="N136" s="9"/>
      <c r="O136" s="21">
        <v>0.53451499999999996</v>
      </c>
      <c r="P136" s="21">
        <v>10.0626</v>
      </c>
      <c r="Q136" s="21">
        <v>-7.60803E-3</v>
      </c>
      <c r="R136" s="21">
        <v>126</v>
      </c>
      <c r="S136" s="21">
        <v>0.53399700000000005</v>
      </c>
      <c r="T136">
        <f t="shared" si="14"/>
        <v>9.3926296296296297</v>
      </c>
      <c r="U136">
        <f t="shared" si="15"/>
        <v>5.0205014264814816</v>
      </c>
      <c r="X136" s="9"/>
      <c r="Y136" s="21">
        <v>1.1054999999999999</v>
      </c>
      <c r="Z136" s="21">
        <v>15.499499999999999</v>
      </c>
      <c r="AA136" s="21">
        <v>-7.3364299999999997E-3</v>
      </c>
      <c r="AB136" s="21">
        <v>126</v>
      </c>
      <c r="AC136" s="21">
        <v>1.10443</v>
      </c>
      <c r="AD136">
        <f t="shared" si="16"/>
        <v>9.0573209876543199</v>
      </c>
      <c r="AE136">
        <f t="shared" si="17"/>
        <v>10.01286835185185</v>
      </c>
      <c r="AF136" s="9"/>
      <c r="AG136" s="21">
        <v>0.53451499999999996</v>
      </c>
      <c r="AH136" s="21">
        <v>19.197800000000001</v>
      </c>
      <c r="AI136" s="21">
        <v>-7.5286900000000002E-3</v>
      </c>
      <c r="AJ136" s="21">
        <v>126</v>
      </c>
      <c r="AK136" s="21">
        <v>0.53393599999999997</v>
      </c>
      <c r="AL136">
        <f t="shared" si="18"/>
        <v>9.2946790123456786</v>
      </c>
      <c r="AM136">
        <f t="shared" si="19"/>
        <v>4.9681453522839503</v>
      </c>
      <c r="AP136" s="9"/>
      <c r="AQ136" s="21">
        <v>1.1054999999999999</v>
      </c>
      <c r="AR136" s="21">
        <v>24.561699999999998</v>
      </c>
      <c r="AS136" s="21">
        <v>-7.2662400000000002E-3</v>
      </c>
      <c r="AT136" s="21">
        <v>126</v>
      </c>
      <c r="AU136" s="21">
        <v>1.10443</v>
      </c>
      <c r="AV136">
        <f t="shared" si="20"/>
        <v>8.9706666666666663</v>
      </c>
      <c r="AW136">
        <f t="shared" si="21"/>
        <v>9.9170719999999992</v>
      </c>
      <c r="AX136" s="9"/>
      <c r="AY136" s="21">
        <v>0.53451499999999996</v>
      </c>
      <c r="AZ136" s="21">
        <v>28.26</v>
      </c>
      <c r="BA136" s="21">
        <v>-7.5317400000000003E-3</v>
      </c>
      <c r="BB136" s="21">
        <v>126</v>
      </c>
      <c r="BC136" s="21">
        <v>0.53396600000000005</v>
      </c>
      <c r="BD136">
        <f t="shared" si="22"/>
        <v>9.2984444444444438</v>
      </c>
      <c r="BE136">
        <f t="shared" si="23"/>
        <v>4.9701580322222219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1.10046</v>
      </c>
      <c r="H137" s="21">
        <v>6.3743400000000001</v>
      </c>
      <c r="I137" s="21">
        <v>-7.4401900000000002E-3</v>
      </c>
      <c r="J137" s="21">
        <v>127</v>
      </c>
      <c r="K137" s="21">
        <v>1.09894</v>
      </c>
      <c r="L137">
        <f t="shared" si="12"/>
        <v>9.1854197530864194</v>
      </c>
      <c r="M137">
        <f t="shared" si="13"/>
        <v>10.108187021481481</v>
      </c>
      <c r="N137" s="9"/>
      <c r="O137" s="21">
        <v>0.539551</v>
      </c>
      <c r="P137" s="21">
        <v>10.072699999999999</v>
      </c>
      <c r="Q137" s="21">
        <v>-7.5988799999999997E-3</v>
      </c>
      <c r="R137" s="21">
        <v>127</v>
      </c>
      <c r="S137" s="21">
        <v>0.53903199999999996</v>
      </c>
      <c r="T137">
        <f t="shared" si="14"/>
        <v>9.3813333333333322</v>
      </c>
      <c r="U137">
        <f t="shared" si="15"/>
        <v>5.0617077813333324</v>
      </c>
      <c r="X137" s="9"/>
      <c r="Y137" s="21">
        <v>1.10046</v>
      </c>
      <c r="Z137" s="21">
        <v>15.509600000000001</v>
      </c>
      <c r="AA137" s="21">
        <v>-7.3547400000000002E-3</v>
      </c>
      <c r="AB137" s="21">
        <v>127</v>
      </c>
      <c r="AC137" s="21">
        <v>1.09924</v>
      </c>
      <c r="AD137">
        <f t="shared" si="16"/>
        <v>9.0799259259259255</v>
      </c>
      <c r="AE137">
        <f t="shared" si="17"/>
        <v>9.9920952844444439</v>
      </c>
      <c r="AF137" s="9"/>
      <c r="AG137" s="21">
        <v>0.539551</v>
      </c>
      <c r="AH137" s="21">
        <v>19.207899999999999</v>
      </c>
      <c r="AI137" s="21">
        <v>-7.51953E-3</v>
      </c>
      <c r="AJ137" s="21">
        <v>127</v>
      </c>
      <c r="AK137" s="21">
        <v>0.53897099999999998</v>
      </c>
      <c r="AL137">
        <f t="shared" si="18"/>
        <v>9.2833703703703687</v>
      </c>
      <c r="AM137">
        <f t="shared" si="19"/>
        <v>5.0088517667037031</v>
      </c>
      <c r="AP137" s="9"/>
      <c r="AQ137" s="21">
        <v>1.10046</v>
      </c>
      <c r="AR137" s="21">
        <v>24.5717</v>
      </c>
      <c r="AS137" s="21">
        <v>-7.2753899999999996E-3</v>
      </c>
      <c r="AT137" s="21">
        <v>127</v>
      </c>
      <c r="AU137" s="21">
        <v>1.09955</v>
      </c>
      <c r="AV137">
        <f t="shared" si="20"/>
        <v>8.981962962962962</v>
      </c>
      <c r="AW137">
        <f t="shared" si="21"/>
        <v>9.8842909622222219</v>
      </c>
      <c r="AX137" s="9"/>
      <c r="AY137" s="21">
        <v>0.539551</v>
      </c>
      <c r="AZ137" s="21">
        <v>28.270099999999999</v>
      </c>
      <c r="BA137" s="21">
        <v>-7.5286900000000002E-3</v>
      </c>
      <c r="BB137" s="21">
        <v>127</v>
      </c>
      <c r="BC137" s="21">
        <v>0.53900099999999995</v>
      </c>
      <c r="BD137">
        <f t="shared" si="22"/>
        <v>9.2946790123456786</v>
      </c>
      <c r="BE137">
        <f t="shared" si="23"/>
        <v>5.0149533557901229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1.0954299999999999</v>
      </c>
      <c r="H138" s="21">
        <v>6.3844099999999999</v>
      </c>
      <c r="I138" s="21">
        <v>-7.4462900000000004E-3</v>
      </c>
      <c r="J138" s="21">
        <v>128</v>
      </c>
      <c r="K138" s="21">
        <v>1.09467</v>
      </c>
      <c r="L138">
        <f t="shared" si="12"/>
        <v>9.1929506172839499</v>
      </c>
      <c r="M138">
        <f t="shared" si="13"/>
        <v>10.070233894691356</v>
      </c>
      <c r="N138" s="9"/>
      <c r="O138" s="21">
        <v>0.54458600000000001</v>
      </c>
      <c r="P138" s="21">
        <v>10.082700000000001</v>
      </c>
      <c r="Q138" s="21">
        <v>-7.5836200000000001E-3</v>
      </c>
      <c r="R138" s="21">
        <v>128</v>
      </c>
      <c r="S138" s="21">
        <v>0.54400599999999999</v>
      </c>
      <c r="T138">
        <f t="shared" si="14"/>
        <v>9.3624938271604936</v>
      </c>
      <c r="U138">
        <f t="shared" si="15"/>
        <v>5.0986830633580249</v>
      </c>
      <c r="X138" s="9"/>
      <c r="Y138" s="21">
        <v>1.0954299999999999</v>
      </c>
      <c r="Z138" s="21">
        <v>15.519600000000001</v>
      </c>
      <c r="AA138" s="21">
        <v>-7.3669399999999998E-3</v>
      </c>
      <c r="AB138" s="21">
        <v>128</v>
      </c>
      <c r="AC138" s="21">
        <v>1.09436</v>
      </c>
      <c r="AD138">
        <f t="shared" si="16"/>
        <v>9.0949876543209864</v>
      </c>
      <c r="AE138">
        <f t="shared" si="17"/>
        <v>9.962922326172837</v>
      </c>
      <c r="AF138" s="9"/>
      <c r="AG138" s="21">
        <v>0.54458600000000001</v>
      </c>
      <c r="AH138" s="21">
        <v>19.218</v>
      </c>
      <c r="AI138" s="21">
        <v>-7.5164799999999999E-3</v>
      </c>
      <c r="AJ138" s="21">
        <v>128</v>
      </c>
      <c r="AK138" s="21">
        <v>0.54403699999999999</v>
      </c>
      <c r="AL138">
        <f t="shared" si="18"/>
        <v>9.2796049382716053</v>
      </c>
      <c r="AM138">
        <f t="shared" si="19"/>
        <v>5.0535429349135805</v>
      </c>
      <c r="AP138" s="9"/>
      <c r="AQ138" s="21">
        <v>1.0954299999999999</v>
      </c>
      <c r="AR138" s="21">
        <v>24.581800000000001</v>
      </c>
      <c r="AS138" s="21">
        <v>-7.2937000000000002E-3</v>
      </c>
      <c r="AT138" s="21">
        <v>128</v>
      </c>
      <c r="AU138" s="21">
        <v>1.09467</v>
      </c>
      <c r="AV138">
        <f t="shared" si="20"/>
        <v>9.0045679012345676</v>
      </c>
      <c r="AW138">
        <f t="shared" si="21"/>
        <v>9.8638738160493808</v>
      </c>
      <c r="AX138" s="9"/>
      <c r="AY138" s="21">
        <v>0.54458600000000001</v>
      </c>
      <c r="AZ138" s="21">
        <v>28.280200000000001</v>
      </c>
      <c r="BA138" s="21">
        <v>-7.5256300000000002E-3</v>
      </c>
      <c r="BB138" s="21">
        <v>128</v>
      </c>
      <c r="BC138" s="21">
        <v>0.54400599999999999</v>
      </c>
      <c r="BD138">
        <f t="shared" si="22"/>
        <v>9.290901234567901</v>
      </c>
      <c r="BE138">
        <f t="shared" si="23"/>
        <v>5.0596947397283953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1.09039</v>
      </c>
      <c r="H139" s="21">
        <v>6.3944799999999997</v>
      </c>
      <c r="I139" s="21">
        <v>-7.4554399999999998E-3</v>
      </c>
      <c r="J139" s="21">
        <v>129</v>
      </c>
      <c r="K139" s="21">
        <v>1.08917</v>
      </c>
      <c r="L139">
        <f t="shared" si="12"/>
        <v>9.2042469135802456</v>
      </c>
      <c r="M139">
        <f t="shared" si="13"/>
        <v>10.036218792098763</v>
      </c>
      <c r="N139" s="9"/>
      <c r="O139" s="21">
        <v>0.54962200000000005</v>
      </c>
      <c r="P139" s="21">
        <v>10.0928</v>
      </c>
      <c r="Q139" s="21">
        <v>-7.5714099999999998E-3</v>
      </c>
      <c r="R139" s="21">
        <v>129</v>
      </c>
      <c r="S139" s="21">
        <v>0.54910300000000001</v>
      </c>
      <c r="T139">
        <f t="shared" si="14"/>
        <v>9.3474197530864185</v>
      </c>
      <c r="U139">
        <f t="shared" si="15"/>
        <v>5.1375475395308641</v>
      </c>
      <c r="X139" s="9"/>
      <c r="Y139" s="21">
        <v>1.09039</v>
      </c>
      <c r="Z139" s="21">
        <v>15.5297</v>
      </c>
      <c r="AA139" s="21">
        <v>-7.3883100000000004E-3</v>
      </c>
      <c r="AB139" s="21">
        <v>129</v>
      </c>
      <c r="AC139" s="21">
        <v>1.08887</v>
      </c>
      <c r="AD139">
        <f t="shared" si="16"/>
        <v>9.1213703703703697</v>
      </c>
      <c r="AE139">
        <f t="shared" si="17"/>
        <v>9.9458510381481471</v>
      </c>
      <c r="AF139" s="9"/>
      <c r="AG139" s="21">
        <v>0.54962200000000005</v>
      </c>
      <c r="AH139" s="21">
        <v>19.228000000000002</v>
      </c>
      <c r="AI139" s="21">
        <v>-7.5073199999999996E-3</v>
      </c>
      <c r="AJ139" s="21">
        <v>129</v>
      </c>
      <c r="AK139" s="21">
        <v>0.54913299999999998</v>
      </c>
      <c r="AL139">
        <f t="shared" si="18"/>
        <v>9.2682962962962954</v>
      </c>
      <c r="AM139">
        <f t="shared" si="19"/>
        <v>5.0940595469629626</v>
      </c>
      <c r="AP139" s="9"/>
      <c r="AQ139" s="21">
        <v>1.09039</v>
      </c>
      <c r="AR139" s="21">
        <v>24.591899999999999</v>
      </c>
      <c r="AS139" s="21">
        <v>-7.3028600000000004E-3</v>
      </c>
      <c r="AT139" s="21">
        <v>129</v>
      </c>
      <c r="AU139" s="21">
        <v>1.08948</v>
      </c>
      <c r="AV139">
        <f t="shared" si="20"/>
        <v>9.0158765432098775</v>
      </c>
      <c r="AW139">
        <f t="shared" si="21"/>
        <v>9.8308216239506176</v>
      </c>
      <c r="AX139" s="9"/>
      <c r="AY139" s="21">
        <v>0.54962200000000005</v>
      </c>
      <c r="AZ139" s="21">
        <v>28.290299999999998</v>
      </c>
      <c r="BA139" s="21">
        <v>-7.51953E-3</v>
      </c>
      <c r="BB139" s="21">
        <v>129</v>
      </c>
      <c r="BC139" s="21">
        <v>0.549072</v>
      </c>
      <c r="BD139">
        <f t="shared" si="22"/>
        <v>9.2833703703703687</v>
      </c>
      <c r="BE139">
        <f t="shared" si="23"/>
        <v>5.1023445897037032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1.0853600000000001</v>
      </c>
      <c r="H140" s="21">
        <v>6.4045500000000004</v>
      </c>
      <c r="I140" s="21">
        <v>-7.46155E-3</v>
      </c>
      <c r="J140" s="21">
        <v>130</v>
      </c>
      <c r="K140" s="21">
        <v>1.0849</v>
      </c>
      <c r="L140">
        <f t="shared" ref="L140:L203" si="24">-I140/$F$2*1000</f>
        <v>9.2117901234567885</v>
      </c>
      <c r="M140">
        <f t="shared" ref="M140:M203" si="25">L140*G140</f>
        <v>9.9981085283950613</v>
      </c>
      <c r="N140" s="9"/>
      <c r="O140" s="21">
        <v>0.55465699999999996</v>
      </c>
      <c r="P140" s="21">
        <v>10.1029</v>
      </c>
      <c r="Q140" s="21">
        <v>-7.5622600000000003E-3</v>
      </c>
      <c r="R140" s="21">
        <v>130</v>
      </c>
      <c r="S140" s="21">
        <v>0.55413800000000002</v>
      </c>
      <c r="T140">
        <f t="shared" ref="T140:T203" si="26">-Q140/$F$2*1000</f>
        <v>9.3361234567901228</v>
      </c>
      <c r="U140">
        <f t="shared" ref="U140:U203" si="27">T140*O140</f>
        <v>5.1783462281728383</v>
      </c>
      <c r="X140" s="9"/>
      <c r="Y140" s="21">
        <v>1.0853600000000001</v>
      </c>
      <c r="Z140" s="21">
        <v>15.5398</v>
      </c>
      <c r="AA140" s="21">
        <v>-7.40662E-3</v>
      </c>
      <c r="AB140" s="21">
        <v>130</v>
      </c>
      <c r="AC140" s="21">
        <v>1.08429</v>
      </c>
      <c r="AD140">
        <f t="shared" ref="AD140:AD203" si="28">-AA140/$F$2*1000</f>
        <v>9.1439753086419753</v>
      </c>
      <c r="AE140">
        <f t="shared" ref="AE140:AE203" si="29">AD140*Y140</f>
        <v>9.9245050409876558</v>
      </c>
      <c r="AF140" s="9"/>
      <c r="AG140" s="21">
        <v>0.55465699999999996</v>
      </c>
      <c r="AH140" s="21">
        <v>19.238099999999999</v>
      </c>
      <c r="AI140" s="21">
        <v>-7.5012200000000003E-3</v>
      </c>
      <c r="AJ140" s="21">
        <v>130</v>
      </c>
      <c r="AK140" s="21">
        <v>0.55416900000000002</v>
      </c>
      <c r="AL140">
        <f t="shared" ref="AL140:AL203" si="30">-AI140/$F$2*1000</f>
        <v>9.2607654320987649</v>
      </c>
      <c r="AM140">
        <f t="shared" ref="AM140:AM203" si="31">AL140*AG140</f>
        <v>5.1365483722716041</v>
      </c>
      <c r="AP140" s="9"/>
      <c r="AQ140" s="21">
        <v>1.0853600000000001</v>
      </c>
      <c r="AR140" s="21">
        <v>24.601900000000001</v>
      </c>
      <c r="AS140" s="21">
        <v>-7.31506E-3</v>
      </c>
      <c r="AT140" s="21">
        <v>130</v>
      </c>
      <c r="AU140" s="21">
        <v>1.0849</v>
      </c>
      <c r="AV140">
        <f t="shared" ref="AV140:AV203" si="32">-AS140/$F$2*1000</f>
        <v>9.0309382716049367</v>
      </c>
      <c r="AW140">
        <f t="shared" ref="AW140:AW203" si="33">AV140*AQ140</f>
        <v>9.8018191624691351</v>
      </c>
      <c r="AX140" s="9"/>
      <c r="AY140" s="21">
        <v>0.55465699999999996</v>
      </c>
      <c r="AZ140" s="21">
        <v>28.3003</v>
      </c>
      <c r="BA140" s="21">
        <v>-7.5134299999999998E-3</v>
      </c>
      <c r="BB140" s="21">
        <v>130</v>
      </c>
      <c r="BC140" s="21">
        <v>0.55410800000000004</v>
      </c>
      <c r="BD140">
        <f t="shared" ref="BD140:BD203" si="34">-BA140/$F$2*1000</f>
        <v>9.2758395061728383</v>
      </c>
      <c r="BE140">
        <f t="shared" ref="BE140:BE203" si="35">BD140*AY140</f>
        <v>5.1449093129753072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1.0803199999999999</v>
      </c>
      <c r="H141" s="21">
        <v>6.4146200000000002</v>
      </c>
      <c r="I141" s="21">
        <v>-7.4737500000000004E-3</v>
      </c>
      <c r="J141" s="21">
        <v>131</v>
      </c>
      <c r="K141" s="21">
        <v>1.0797099999999999</v>
      </c>
      <c r="L141">
        <f t="shared" si="24"/>
        <v>9.226851851851853</v>
      </c>
      <c r="M141">
        <f t="shared" si="25"/>
        <v>9.967952592592594</v>
      </c>
      <c r="N141" s="9"/>
      <c r="O141" s="21">
        <v>0.55969199999999997</v>
      </c>
      <c r="P141" s="21">
        <v>10.113</v>
      </c>
      <c r="Q141" s="21">
        <v>-7.5531000000000001E-3</v>
      </c>
      <c r="R141" s="21">
        <v>131</v>
      </c>
      <c r="S141" s="21">
        <v>0.55920400000000003</v>
      </c>
      <c r="T141">
        <f t="shared" si="26"/>
        <v>9.3248148148148129</v>
      </c>
      <c r="U141">
        <f t="shared" si="27"/>
        <v>5.2190242533333322</v>
      </c>
      <c r="X141" s="9"/>
      <c r="Y141" s="21">
        <v>1.0803199999999999</v>
      </c>
      <c r="Z141" s="21">
        <v>15.549799999999999</v>
      </c>
      <c r="AA141" s="21">
        <v>-7.4218799999999996E-3</v>
      </c>
      <c r="AB141" s="21">
        <v>131</v>
      </c>
      <c r="AC141" s="21">
        <v>1.0788</v>
      </c>
      <c r="AD141">
        <f t="shared" si="28"/>
        <v>9.1628148148148139</v>
      </c>
      <c r="AE141">
        <f t="shared" si="29"/>
        <v>9.8987721007407394</v>
      </c>
      <c r="AF141" s="9"/>
      <c r="AG141" s="21">
        <v>0.55969199999999997</v>
      </c>
      <c r="AH141" s="21">
        <v>19.248200000000001</v>
      </c>
      <c r="AI141" s="21">
        <v>-7.49207E-3</v>
      </c>
      <c r="AJ141" s="21">
        <v>131</v>
      </c>
      <c r="AK141" s="21">
        <v>0.55920400000000003</v>
      </c>
      <c r="AL141">
        <f t="shared" si="30"/>
        <v>9.2494691358024674</v>
      </c>
      <c r="AM141">
        <f t="shared" si="31"/>
        <v>5.1768538795555541</v>
      </c>
      <c r="AP141" s="9"/>
      <c r="AQ141" s="21">
        <v>1.0803199999999999</v>
      </c>
      <c r="AR141" s="21">
        <v>24.611999999999998</v>
      </c>
      <c r="AS141" s="21">
        <v>-7.3242200000000002E-3</v>
      </c>
      <c r="AT141" s="21">
        <v>131</v>
      </c>
      <c r="AU141" s="21">
        <v>1.0790999999999999</v>
      </c>
      <c r="AV141">
        <f t="shared" si="32"/>
        <v>9.0422469135802466</v>
      </c>
      <c r="AW141">
        <f t="shared" si="33"/>
        <v>9.7685201856790123</v>
      </c>
      <c r="AX141" s="9"/>
      <c r="AY141" s="21">
        <v>0.55969199999999997</v>
      </c>
      <c r="AZ141" s="21">
        <v>28.310400000000001</v>
      </c>
      <c r="BA141" s="21">
        <v>-7.5042700000000004E-3</v>
      </c>
      <c r="BB141" s="21">
        <v>131</v>
      </c>
      <c r="BC141" s="21">
        <v>0.55917399999999995</v>
      </c>
      <c r="BD141">
        <f t="shared" si="34"/>
        <v>9.2645308641975319</v>
      </c>
      <c r="BE141">
        <f t="shared" si="35"/>
        <v>5.1852838084444448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1.0752900000000001</v>
      </c>
      <c r="H142" s="21">
        <v>6.42469</v>
      </c>
      <c r="I142" s="21">
        <v>-7.4890099999999999E-3</v>
      </c>
      <c r="J142" s="21">
        <v>132</v>
      </c>
      <c r="K142" s="21">
        <v>1.07422</v>
      </c>
      <c r="L142">
        <f t="shared" si="24"/>
        <v>9.2456913580246898</v>
      </c>
      <c r="M142">
        <f t="shared" si="25"/>
        <v>9.941799460370369</v>
      </c>
      <c r="N142" s="9"/>
      <c r="O142" s="21">
        <v>0.56472800000000001</v>
      </c>
      <c r="P142" s="21">
        <v>10.122999999999999</v>
      </c>
      <c r="Q142" s="21">
        <v>-7.55005E-3</v>
      </c>
      <c r="R142" s="21">
        <v>132</v>
      </c>
      <c r="S142" s="21">
        <v>0.56411699999999998</v>
      </c>
      <c r="T142">
        <f t="shared" si="26"/>
        <v>9.3210493827160494</v>
      </c>
      <c r="U142">
        <f t="shared" si="27"/>
        <v>5.2638575758024695</v>
      </c>
      <c r="X142" s="9"/>
      <c r="Y142" s="21">
        <v>1.0752900000000001</v>
      </c>
      <c r="Z142" s="21">
        <v>15.559900000000001</v>
      </c>
      <c r="AA142" s="21">
        <v>-7.4310299999999999E-3</v>
      </c>
      <c r="AB142" s="21">
        <v>132</v>
      </c>
      <c r="AC142" s="21">
        <v>1.0739099999999999</v>
      </c>
      <c r="AD142">
        <f t="shared" si="28"/>
        <v>9.1741111111111096</v>
      </c>
      <c r="AE142">
        <f t="shared" si="29"/>
        <v>9.8648299366666663</v>
      </c>
      <c r="AF142" s="9"/>
      <c r="AG142" s="21">
        <v>0.56472800000000001</v>
      </c>
      <c r="AH142" s="21">
        <v>19.258199999999999</v>
      </c>
      <c r="AI142" s="21">
        <v>-7.4890099999999999E-3</v>
      </c>
      <c r="AJ142" s="21">
        <v>132</v>
      </c>
      <c r="AK142" s="21">
        <v>0.56423999999999996</v>
      </c>
      <c r="AL142">
        <f t="shared" si="30"/>
        <v>9.2456913580246898</v>
      </c>
      <c r="AM142">
        <f t="shared" si="31"/>
        <v>5.2213007892345669</v>
      </c>
      <c r="AP142" s="9"/>
      <c r="AQ142" s="21">
        <v>1.0752900000000001</v>
      </c>
      <c r="AR142" s="21">
        <v>24.6221</v>
      </c>
      <c r="AS142" s="21">
        <v>-7.3272700000000003E-3</v>
      </c>
      <c r="AT142" s="21">
        <v>132</v>
      </c>
      <c r="AU142" s="21">
        <v>1.0739099999999999</v>
      </c>
      <c r="AV142">
        <f t="shared" si="32"/>
        <v>9.0460123456790118</v>
      </c>
      <c r="AW142">
        <f t="shared" si="33"/>
        <v>9.7270866151851845</v>
      </c>
      <c r="AX142" s="9"/>
      <c r="AY142" s="21">
        <v>0.56472800000000001</v>
      </c>
      <c r="AZ142" s="21">
        <v>28.320499999999999</v>
      </c>
      <c r="BA142" s="21">
        <v>-7.4951200000000001E-3</v>
      </c>
      <c r="BB142" s="21">
        <v>132</v>
      </c>
      <c r="BC142" s="21">
        <v>0.56411699999999998</v>
      </c>
      <c r="BD142">
        <f t="shared" si="34"/>
        <v>9.2532345679012344</v>
      </c>
      <c r="BE142">
        <f t="shared" si="35"/>
        <v>5.2255606510617287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1.0702499999999999</v>
      </c>
      <c r="H143" s="21">
        <v>6.4347599999999998</v>
      </c>
      <c r="I143" s="21">
        <v>-7.5012200000000003E-3</v>
      </c>
      <c r="J143" s="21">
        <v>133</v>
      </c>
      <c r="K143" s="21">
        <v>1.06934</v>
      </c>
      <c r="L143">
        <f t="shared" si="24"/>
        <v>9.2607654320987649</v>
      </c>
      <c r="M143">
        <f t="shared" si="25"/>
        <v>9.9113342037037029</v>
      </c>
      <c r="N143" s="9"/>
      <c r="O143" s="21">
        <v>0.56976300000000002</v>
      </c>
      <c r="P143" s="21">
        <v>10.133100000000001</v>
      </c>
      <c r="Q143" s="21">
        <v>-7.5469999999999999E-3</v>
      </c>
      <c r="R143" s="21">
        <v>133</v>
      </c>
      <c r="S143" s="21">
        <v>0.56918299999999999</v>
      </c>
      <c r="T143">
        <f t="shared" si="26"/>
        <v>9.3172839506172842</v>
      </c>
      <c r="U143">
        <f t="shared" si="27"/>
        <v>5.3086436555555556</v>
      </c>
      <c r="X143" s="9"/>
      <c r="Y143" s="21">
        <v>1.0702499999999999</v>
      </c>
      <c r="Z143" s="21">
        <v>15.57</v>
      </c>
      <c r="AA143" s="21">
        <v>-7.4401900000000002E-3</v>
      </c>
      <c r="AB143" s="21">
        <v>133</v>
      </c>
      <c r="AC143" s="21">
        <v>1.0696399999999999</v>
      </c>
      <c r="AD143">
        <f t="shared" si="28"/>
        <v>9.1854197530864194</v>
      </c>
      <c r="AE143">
        <f t="shared" si="29"/>
        <v>9.8306954907407391</v>
      </c>
      <c r="AF143" s="9"/>
      <c r="AG143" s="21">
        <v>0.56976300000000002</v>
      </c>
      <c r="AH143" s="21">
        <v>19.2683</v>
      </c>
      <c r="AI143" s="21">
        <v>-7.4737500000000004E-3</v>
      </c>
      <c r="AJ143" s="21">
        <v>133</v>
      </c>
      <c r="AK143" s="21">
        <v>0.56918299999999999</v>
      </c>
      <c r="AL143">
        <f t="shared" si="30"/>
        <v>9.226851851851853</v>
      </c>
      <c r="AM143">
        <f t="shared" si="31"/>
        <v>5.2571187916666675</v>
      </c>
      <c r="AP143" s="9"/>
      <c r="AQ143" s="21">
        <v>1.0702499999999999</v>
      </c>
      <c r="AR143" s="21">
        <v>24.632200000000001</v>
      </c>
      <c r="AS143" s="21">
        <v>-7.3333699999999996E-3</v>
      </c>
      <c r="AT143" s="21">
        <v>133</v>
      </c>
      <c r="AU143" s="21">
        <v>1.0690299999999999</v>
      </c>
      <c r="AV143">
        <f t="shared" si="32"/>
        <v>9.0535432098765423</v>
      </c>
      <c r="AW143">
        <f t="shared" si="33"/>
        <v>9.6895546203703695</v>
      </c>
      <c r="AX143" s="9"/>
      <c r="AY143" s="21">
        <v>0.56976300000000002</v>
      </c>
      <c r="AZ143" s="21">
        <v>28.330500000000001</v>
      </c>
      <c r="BA143" s="21">
        <v>-7.49207E-3</v>
      </c>
      <c r="BB143" s="21">
        <v>133</v>
      </c>
      <c r="BC143" s="21">
        <v>0.56927499999999998</v>
      </c>
      <c r="BD143">
        <f t="shared" si="34"/>
        <v>9.2494691358024674</v>
      </c>
      <c r="BE143">
        <f t="shared" si="35"/>
        <v>5.2700052832222211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1.0652200000000001</v>
      </c>
      <c r="H144" s="21">
        <v>6.4448400000000001</v>
      </c>
      <c r="I144" s="21">
        <v>-7.5225800000000001E-3</v>
      </c>
      <c r="J144" s="21">
        <v>134</v>
      </c>
      <c r="K144" s="21">
        <v>1.0638399999999999</v>
      </c>
      <c r="L144">
        <f t="shared" si="24"/>
        <v>9.2871358024691339</v>
      </c>
      <c r="M144">
        <f t="shared" si="25"/>
        <v>9.8928427995061714</v>
      </c>
      <c r="N144" s="9"/>
      <c r="O144" s="21">
        <v>0.57479899999999995</v>
      </c>
      <c r="P144" s="21">
        <v>10.1432</v>
      </c>
      <c r="Q144" s="21">
        <v>-7.5378399999999996E-3</v>
      </c>
      <c r="R144" s="21">
        <v>134</v>
      </c>
      <c r="S144" s="21">
        <v>0.57418800000000003</v>
      </c>
      <c r="T144">
        <f t="shared" si="26"/>
        <v>9.3059753086419743</v>
      </c>
      <c r="U144">
        <f t="shared" si="27"/>
        <v>5.3490653014320975</v>
      </c>
      <c r="X144" s="9"/>
      <c r="Y144" s="21">
        <v>1.0652200000000001</v>
      </c>
      <c r="Z144" s="21">
        <v>15.58</v>
      </c>
      <c r="AA144" s="21">
        <v>-7.4584999999999999E-3</v>
      </c>
      <c r="AB144" s="21">
        <v>134</v>
      </c>
      <c r="AC144" s="21">
        <v>1.0644499999999999</v>
      </c>
      <c r="AD144">
        <f t="shared" si="28"/>
        <v>9.2080246913580233</v>
      </c>
      <c r="AE144">
        <f t="shared" si="29"/>
        <v>9.8085720617283947</v>
      </c>
      <c r="AF144" s="9"/>
      <c r="AG144" s="21">
        <v>0.57479899999999995</v>
      </c>
      <c r="AH144" s="21">
        <v>19.278400000000001</v>
      </c>
      <c r="AI144" s="21">
        <v>-7.4584999999999999E-3</v>
      </c>
      <c r="AJ144" s="21">
        <v>134</v>
      </c>
      <c r="AK144" s="21">
        <v>0.57428000000000001</v>
      </c>
      <c r="AL144">
        <f t="shared" si="30"/>
        <v>9.2080246913580233</v>
      </c>
      <c r="AM144">
        <f t="shared" si="31"/>
        <v>5.2927633845679001</v>
      </c>
      <c r="AP144" s="9"/>
      <c r="AQ144" s="21">
        <v>1.0652200000000001</v>
      </c>
      <c r="AR144" s="21">
        <v>24.642199999999999</v>
      </c>
      <c r="AS144" s="21">
        <v>-7.3425299999999999E-3</v>
      </c>
      <c r="AT144" s="21">
        <v>134</v>
      </c>
      <c r="AU144" s="21">
        <v>1.0641499999999999</v>
      </c>
      <c r="AV144">
        <f t="shared" si="32"/>
        <v>9.0648518518518522</v>
      </c>
      <c r="AW144">
        <f t="shared" si="33"/>
        <v>9.6560614896296304</v>
      </c>
      <c r="AX144" s="9"/>
      <c r="AY144" s="21">
        <v>0.57479899999999995</v>
      </c>
      <c r="AZ144" s="21">
        <v>28.340599999999998</v>
      </c>
      <c r="BA144" s="21">
        <v>-7.4859599999999998E-3</v>
      </c>
      <c r="BB144" s="21">
        <v>134</v>
      </c>
      <c r="BC144" s="21">
        <v>0.57437099999999996</v>
      </c>
      <c r="BD144">
        <f t="shared" si="34"/>
        <v>9.2419259259259245</v>
      </c>
      <c r="BE144">
        <f t="shared" si="35"/>
        <v>5.3122497802962947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1.0601799999999999</v>
      </c>
      <c r="H145" s="21">
        <v>6.4549099999999999</v>
      </c>
      <c r="I145" s="21">
        <v>-7.5347900000000004E-3</v>
      </c>
      <c r="J145" s="21">
        <v>135</v>
      </c>
      <c r="K145" s="21">
        <v>1.0589599999999999</v>
      </c>
      <c r="L145">
        <f t="shared" si="24"/>
        <v>9.3022098765432109</v>
      </c>
      <c r="M145">
        <f t="shared" si="25"/>
        <v>9.8620168669135797</v>
      </c>
      <c r="N145" s="9"/>
      <c r="O145" s="21">
        <v>0.57983399999999996</v>
      </c>
      <c r="P145" s="21">
        <v>10.1532</v>
      </c>
      <c r="Q145" s="21">
        <v>-7.5286900000000002E-3</v>
      </c>
      <c r="R145" s="21">
        <v>135</v>
      </c>
      <c r="S145" s="21">
        <v>0.57934600000000003</v>
      </c>
      <c r="T145">
        <f t="shared" si="26"/>
        <v>9.2946790123456786</v>
      </c>
      <c r="U145">
        <f t="shared" si="27"/>
        <v>5.3893709104444438</v>
      </c>
      <c r="X145" s="9"/>
      <c r="Y145" s="21">
        <v>1.0601799999999999</v>
      </c>
      <c r="Z145" s="21">
        <v>15.5901</v>
      </c>
      <c r="AA145" s="21">
        <v>-7.4768100000000004E-3</v>
      </c>
      <c r="AB145" s="21">
        <v>135</v>
      </c>
      <c r="AC145" s="21">
        <v>1.0586500000000001</v>
      </c>
      <c r="AD145">
        <f t="shared" si="28"/>
        <v>9.2306296296296306</v>
      </c>
      <c r="AE145">
        <f t="shared" si="29"/>
        <v>9.7861289207407403</v>
      </c>
      <c r="AF145" s="9"/>
      <c r="AG145" s="21">
        <v>0.57983399999999996</v>
      </c>
      <c r="AH145" s="21">
        <v>19.288499999999999</v>
      </c>
      <c r="AI145" s="21">
        <v>-7.4493399999999996E-3</v>
      </c>
      <c r="AJ145" s="21">
        <v>135</v>
      </c>
      <c r="AK145" s="21">
        <v>0.57925400000000005</v>
      </c>
      <c r="AL145">
        <f t="shared" si="30"/>
        <v>9.1967160493827151</v>
      </c>
      <c r="AM145">
        <f t="shared" si="31"/>
        <v>5.332568653777777</v>
      </c>
      <c r="AP145" s="9"/>
      <c r="AQ145" s="21">
        <v>1.0601799999999999</v>
      </c>
      <c r="AR145" s="21">
        <v>24.6523</v>
      </c>
      <c r="AS145" s="21">
        <v>-7.3516800000000002E-3</v>
      </c>
      <c r="AT145" s="21">
        <v>135</v>
      </c>
      <c r="AU145" s="21">
        <v>1.0595699999999999</v>
      </c>
      <c r="AV145">
        <f t="shared" si="32"/>
        <v>9.0761481481481479</v>
      </c>
      <c r="AW145">
        <f t="shared" si="33"/>
        <v>9.6223507437037021</v>
      </c>
      <c r="AX145" s="9"/>
      <c r="AY145" s="21">
        <v>0.57983399999999996</v>
      </c>
      <c r="AZ145" s="21">
        <v>28.3507</v>
      </c>
      <c r="BA145" s="21">
        <v>-7.4707000000000003E-3</v>
      </c>
      <c r="BB145" s="21">
        <v>135</v>
      </c>
      <c r="BC145" s="21">
        <v>0.57934600000000003</v>
      </c>
      <c r="BD145">
        <f t="shared" si="34"/>
        <v>9.223086419753086</v>
      </c>
      <c r="BE145">
        <f t="shared" si="35"/>
        <v>5.3478590911111104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1.05515</v>
      </c>
      <c r="H146" s="21">
        <v>6.4649799999999997</v>
      </c>
      <c r="I146" s="21">
        <v>-7.5408899999999997E-3</v>
      </c>
      <c r="J146" s="21">
        <v>136</v>
      </c>
      <c r="K146" s="21">
        <v>1.0540799999999999</v>
      </c>
      <c r="L146">
        <f t="shared" si="24"/>
        <v>9.3097407407407395</v>
      </c>
      <c r="M146">
        <f t="shared" si="25"/>
        <v>9.823172942592592</v>
      </c>
      <c r="N146" s="9"/>
      <c r="O146" s="21">
        <v>0.58486899999999997</v>
      </c>
      <c r="P146" s="21">
        <v>10.1633</v>
      </c>
      <c r="Q146" s="21">
        <v>-7.5286900000000002E-3</v>
      </c>
      <c r="R146" s="21">
        <v>136</v>
      </c>
      <c r="S146" s="21">
        <v>0.58438100000000004</v>
      </c>
      <c r="T146">
        <f t="shared" si="26"/>
        <v>9.2946790123456786</v>
      </c>
      <c r="U146">
        <f t="shared" si="27"/>
        <v>5.4361696192716042</v>
      </c>
      <c r="X146" s="9"/>
      <c r="Y146" s="21">
        <v>1.05515</v>
      </c>
      <c r="Z146" s="21">
        <v>15.600199999999999</v>
      </c>
      <c r="AA146" s="21">
        <v>-7.49207E-3</v>
      </c>
      <c r="AB146" s="21">
        <v>136</v>
      </c>
      <c r="AC146" s="21">
        <v>1.0543800000000001</v>
      </c>
      <c r="AD146">
        <f t="shared" si="28"/>
        <v>9.2494691358024674</v>
      </c>
      <c r="AE146">
        <f t="shared" si="29"/>
        <v>9.7595773586419732</v>
      </c>
      <c r="AF146" s="9"/>
      <c r="AG146" s="21">
        <v>0.58486899999999997</v>
      </c>
      <c r="AH146" s="21">
        <v>19.298500000000001</v>
      </c>
      <c r="AI146" s="21">
        <v>-7.4401900000000002E-3</v>
      </c>
      <c r="AJ146" s="21">
        <v>136</v>
      </c>
      <c r="AK146" s="21">
        <v>0.58431999999999995</v>
      </c>
      <c r="AL146">
        <f t="shared" si="30"/>
        <v>9.1854197530864194</v>
      </c>
      <c r="AM146">
        <f t="shared" si="31"/>
        <v>5.3722672655679009</v>
      </c>
      <c r="AP146" s="9"/>
      <c r="AQ146" s="21">
        <v>1.05515</v>
      </c>
      <c r="AR146" s="21">
        <v>24.662400000000002</v>
      </c>
      <c r="AS146" s="21">
        <v>-7.3608399999999996E-3</v>
      </c>
      <c r="AT146" s="21">
        <v>136</v>
      </c>
      <c r="AU146" s="21">
        <v>1.0537700000000001</v>
      </c>
      <c r="AV146">
        <f t="shared" si="32"/>
        <v>9.087456790123456</v>
      </c>
      <c r="AW146">
        <f t="shared" si="33"/>
        <v>9.5886300320987647</v>
      </c>
      <c r="AX146" s="9"/>
      <c r="AY146" s="21">
        <v>0.58486899999999997</v>
      </c>
      <c r="AZ146" s="21">
        <v>28.360700000000001</v>
      </c>
      <c r="BA146" s="21">
        <v>-7.4584999999999999E-3</v>
      </c>
      <c r="BB146" s="21">
        <v>136</v>
      </c>
      <c r="BC146" s="21">
        <v>0.58441200000000004</v>
      </c>
      <c r="BD146">
        <f t="shared" si="34"/>
        <v>9.2080246913580233</v>
      </c>
      <c r="BE146">
        <f t="shared" si="35"/>
        <v>5.3854881932098753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1.0501100000000001</v>
      </c>
      <c r="H147" s="21">
        <v>6.4750500000000004</v>
      </c>
      <c r="I147" s="21">
        <v>-7.55005E-3</v>
      </c>
      <c r="J147" s="21">
        <v>137</v>
      </c>
      <c r="K147" s="21">
        <v>1.0495000000000001</v>
      </c>
      <c r="L147">
        <f t="shared" si="24"/>
        <v>9.3210493827160494</v>
      </c>
      <c r="M147">
        <f t="shared" si="25"/>
        <v>9.7881271672839514</v>
      </c>
      <c r="N147" s="9"/>
      <c r="O147" s="21">
        <v>0.58990500000000001</v>
      </c>
      <c r="P147" s="21">
        <v>10.173400000000001</v>
      </c>
      <c r="Q147" s="21">
        <v>-7.5286900000000002E-3</v>
      </c>
      <c r="R147" s="21">
        <v>137</v>
      </c>
      <c r="S147" s="21">
        <v>0.58944700000000005</v>
      </c>
      <c r="T147">
        <f t="shared" si="26"/>
        <v>9.2946790123456786</v>
      </c>
      <c r="U147">
        <f t="shared" si="27"/>
        <v>5.4829776227777778</v>
      </c>
      <c r="X147" s="9"/>
      <c r="Y147" s="21">
        <v>1.0501100000000001</v>
      </c>
      <c r="Z147" s="21">
        <v>15.610300000000001</v>
      </c>
      <c r="AA147" s="21">
        <v>-7.5073199999999996E-3</v>
      </c>
      <c r="AB147" s="21">
        <v>137</v>
      </c>
      <c r="AC147" s="21">
        <v>1.0491900000000001</v>
      </c>
      <c r="AD147">
        <f t="shared" si="28"/>
        <v>9.2682962962962954</v>
      </c>
      <c r="AE147">
        <f t="shared" si="29"/>
        <v>9.7327306237037039</v>
      </c>
      <c r="AF147" s="9"/>
      <c r="AG147" s="21">
        <v>0.58990500000000001</v>
      </c>
      <c r="AH147" s="21">
        <v>19.308599999999998</v>
      </c>
      <c r="AI147" s="21">
        <v>-7.4279799999999998E-3</v>
      </c>
      <c r="AJ147" s="21">
        <v>137</v>
      </c>
      <c r="AK147" s="21">
        <v>0.58941699999999997</v>
      </c>
      <c r="AL147">
        <f t="shared" si="30"/>
        <v>9.1703456790123443</v>
      </c>
      <c r="AM147">
        <f t="shared" si="31"/>
        <v>5.4096327677777767</v>
      </c>
      <c r="AP147" s="9"/>
      <c r="AQ147" s="21">
        <v>1.0501100000000001</v>
      </c>
      <c r="AR147" s="21">
        <v>24.6724</v>
      </c>
      <c r="AS147" s="21">
        <v>-7.3791500000000001E-3</v>
      </c>
      <c r="AT147" s="21">
        <v>137</v>
      </c>
      <c r="AU147" s="21">
        <v>1.0495000000000001</v>
      </c>
      <c r="AV147">
        <f t="shared" si="32"/>
        <v>9.1100617283950598</v>
      </c>
      <c r="AW147">
        <f t="shared" si="33"/>
        <v>9.5665669216049363</v>
      </c>
      <c r="AX147" s="9"/>
      <c r="AY147" s="21">
        <v>0.58990500000000001</v>
      </c>
      <c r="AZ147" s="21">
        <v>28.370799999999999</v>
      </c>
      <c r="BA147" s="21">
        <v>-7.4584999999999999E-3</v>
      </c>
      <c r="BB147" s="21">
        <v>137</v>
      </c>
      <c r="BC147" s="21">
        <v>0.58941699999999997</v>
      </c>
      <c r="BD147">
        <f t="shared" si="34"/>
        <v>9.2080246913580233</v>
      </c>
      <c r="BE147">
        <f t="shared" si="35"/>
        <v>5.4318598055555549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1.0450699999999999</v>
      </c>
      <c r="H148" s="21">
        <v>6.4851200000000002</v>
      </c>
      <c r="I148" s="21">
        <v>-7.5683599999999997E-3</v>
      </c>
      <c r="J148" s="21">
        <v>138</v>
      </c>
      <c r="K148" s="21">
        <v>1.0434000000000001</v>
      </c>
      <c r="L148">
        <f t="shared" si="24"/>
        <v>9.3436543209876533</v>
      </c>
      <c r="M148">
        <f t="shared" si="25"/>
        <v>9.7647728212345655</v>
      </c>
      <c r="N148" s="9"/>
      <c r="O148" s="21">
        <v>0.59494000000000002</v>
      </c>
      <c r="P148" s="21">
        <v>10.1835</v>
      </c>
      <c r="Q148" s="21">
        <v>-7.51953E-3</v>
      </c>
      <c r="R148" s="21">
        <v>138</v>
      </c>
      <c r="S148" s="21">
        <v>0.594391</v>
      </c>
      <c r="T148">
        <f t="shared" si="26"/>
        <v>9.2833703703703687</v>
      </c>
      <c r="U148">
        <f t="shared" si="27"/>
        <v>5.5230483681481477</v>
      </c>
      <c r="X148" s="9"/>
      <c r="Y148" s="21">
        <v>1.0450699999999999</v>
      </c>
      <c r="Z148" s="21">
        <v>15.6203</v>
      </c>
      <c r="AA148" s="21">
        <v>-7.5164799999999999E-3</v>
      </c>
      <c r="AB148" s="21">
        <v>138</v>
      </c>
      <c r="AC148" s="21">
        <v>1.0437000000000001</v>
      </c>
      <c r="AD148">
        <f t="shared" si="28"/>
        <v>9.2796049382716053</v>
      </c>
      <c r="AE148">
        <f t="shared" si="29"/>
        <v>9.6978367328395052</v>
      </c>
      <c r="AF148" s="9"/>
      <c r="AG148" s="21">
        <v>0.59494000000000002</v>
      </c>
      <c r="AH148" s="21">
        <v>19.3187</v>
      </c>
      <c r="AI148" s="21">
        <v>-7.4249299999999997E-3</v>
      </c>
      <c r="AJ148" s="21">
        <v>138</v>
      </c>
      <c r="AK148" s="21">
        <v>0.594391</v>
      </c>
      <c r="AL148">
        <f t="shared" si="30"/>
        <v>9.1665802469135791</v>
      </c>
      <c r="AM148">
        <f t="shared" si="31"/>
        <v>5.4535652520987652</v>
      </c>
      <c r="AP148" s="9"/>
      <c r="AQ148" s="21">
        <v>1.0450699999999999</v>
      </c>
      <c r="AR148" s="21">
        <v>24.682500000000001</v>
      </c>
      <c r="AS148" s="21">
        <v>-7.3883100000000004E-3</v>
      </c>
      <c r="AT148" s="21">
        <v>138</v>
      </c>
      <c r="AU148" s="21">
        <v>1.0440100000000001</v>
      </c>
      <c r="AV148">
        <f t="shared" si="32"/>
        <v>9.1213703703703697</v>
      </c>
      <c r="AW148">
        <f t="shared" si="33"/>
        <v>9.5324705329629609</v>
      </c>
      <c r="AX148" s="9"/>
      <c r="AY148" s="21">
        <v>0.59494000000000002</v>
      </c>
      <c r="AZ148" s="21">
        <v>28.3809</v>
      </c>
      <c r="BA148" s="21">
        <v>-7.4554399999999998E-3</v>
      </c>
      <c r="BB148" s="21">
        <v>138</v>
      </c>
      <c r="BC148" s="21">
        <v>0.59445199999999998</v>
      </c>
      <c r="BD148">
        <f t="shared" si="34"/>
        <v>9.2042469135802456</v>
      </c>
      <c r="BE148">
        <f t="shared" si="35"/>
        <v>5.4759746587654314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1.0400400000000001</v>
      </c>
      <c r="H149" s="21">
        <v>6.49519</v>
      </c>
      <c r="I149" s="21">
        <v>-7.5836200000000001E-3</v>
      </c>
      <c r="J149" s="21">
        <v>139</v>
      </c>
      <c r="K149" s="21">
        <v>1.0388200000000001</v>
      </c>
      <c r="L149">
        <f t="shared" si="24"/>
        <v>9.3624938271604936</v>
      </c>
      <c r="M149">
        <f t="shared" si="25"/>
        <v>9.7373680800000013</v>
      </c>
      <c r="N149" s="9"/>
      <c r="O149" s="21">
        <v>0.59997599999999995</v>
      </c>
      <c r="P149" s="21">
        <v>10.1935</v>
      </c>
      <c r="Q149" s="21">
        <v>-7.5042700000000004E-3</v>
      </c>
      <c r="R149" s="21">
        <v>139</v>
      </c>
      <c r="S149" s="21">
        <v>0.59948699999999999</v>
      </c>
      <c r="T149">
        <f t="shared" si="26"/>
        <v>9.2645308641975319</v>
      </c>
      <c r="U149">
        <f t="shared" si="27"/>
        <v>5.5584961697777784</v>
      </c>
      <c r="X149" s="9"/>
      <c r="Y149" s="21">
        <v>1.0400400000000001</v>
      </c>
      <c r="Z149" s="21">
        <v>15.6304</v>
      </c>
      <c r="AA149" s="21">
        <v>-7.51953E-3</v>
      </c>
      <c r="AB149" s="21">
        <v>139</v>
      </c>
      <c r="AC149" s="21">
        <v>1.03912</v>
      </c>
      <c r="AD149">
        <f t="shared" si="28"/>
        <v>9.2833703703703687</v>
      </c>
      <c r="AE149">
        <f t="shared" si="29"/>
        <v>9.6550765199999997</v>
      </c>
      <c r="AF149" s="9"/>
      <c r="AG149" s="21">
        <v>0.59997599999999995</v>
      </c>
      <c r="AH149" s="21">
        <v>19.328700000000001</v>
      </c>
      <c r="AI149" s="21">
        <v>-7.4188199999999996E-3</v>
      </c>
      <c r="AJ149" s="21">
        <v>139</v>
      </c>
      <c r="AK149" s="21">
        <v>0.59948699999999999</v>
      </c>
      <c r="AL149">
        <f t="shared" si="30"/>
        <v>9.1590370370370362</v>
      </c>
      <c r="AM149">
        <f t="shared" si="31"/>
        <v>5.4952024053333322</v>
      </c>
      <c r="AP149" s="9"/>
      <c r="AQ149" s="21">
        <v>1.0400400000000001</v>
      </c>
      <c r="AR149" s="21">
        <v>24.692599999999999</v>
      </c>
      <c r="AS149" s="21">
        <v>-7.3974599999999998E-3</v>
      </c>
      <c r="AT149" s="21">
        <v>139</v>
      </c>
      <c r="AU149" s="21">
        <v>1.03851</v>
      </c>
      <c r="AV149">
        <f t="shared" si="32"/>
        <v>9.1326666666666654</v>
      </c>
      <c r="AW149">
        <f t="shared" si="33"/>
        <v>9.4983386400000001</v>
      </c>
      <c r="AX149" s="9"/>
      <c r="AY149" s="21">
        <v>0.59997599999999995</v>
      </c>
      <c r="AZ149" s="21">
        <v>28.390999999999998</v>
      </c>
      <c r="BA149" s="21">
        <v>-7.4432400000000003E-3</v>
      </c>
      <c r="BB149" s="21">
        <v>139</v>
      </c>
      <c r="BC149" s="21">
        <v>0.59945700000000002</v>
      </c>
      <c r="BD149">
        <f t="shared" si="34"/>
        <v>9.1891851851851865</v>
      </c>
      <c r="BE149">
        <f t="shared" si="35"/>
        <v>5.5132905706666673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1.0349999999999999</v>
      </c>
      <c r="H150" s="21">
        <v>6.5052599999999998</v>
      </c>
      <c r="I150" s="21">
        <v>-7.5927700000000004E-3</v>
      </c>
      <c r="J150" s="21">
        <v>140</v>
      </c>
      <c r="K150" s="21">
        <v>1.0339400000000001</v>
      </c>
      <c r="L150">
        <f t="shared" si="24"/>
        <v>9.3737901234567893</v>
      </c>
      <c r="M150">
        <f t="shared" si="25"/>
        <v>9.7018727777777762</v>
      </c>
      <c r="N150" s="9"/>
      <c r="O150" s="21">
        <v>0.60501099999999997</v>
      </c>
      <c r="P150" s="21">
        <v>10.2036</v>
      </c>
      <c r="Q150" s="21">
        <v>-7.4981700000000002E-3</v>
      </c>
      <c r="R150" s="21">
        <v>140</v>
      </c>
      <c r="S150" s="21">
        <v>0.60446200000000005</v>
      </c>
      <c r="T150">
        <f t="shared" si="26"/>
        <v>9.2569999999999997</v>
      </c>
      <c r="U150">
        <f t="shared" si="27"/>
        <v>5.6005868269999999</v>
      </c>
      <c r="X150" s="9"/>
      <c r="Y150" s="21">
        <v>1.0349999999999999</v>
      </c>
      <c r="Z150" s="21">
        <v>15.640499999999999</v>
      </c>
      <c r="AA150" s="21">
        <v>-7.5164799999999999E-3</v>
      </c>
      <c r="AB150" s="21">
        <v>140</v>
      </c>
      <c r="AC150" s="21">
        <v>1.0339400000000001</v>
      </c>
      <c r="AD150">
        <f t="shared" si="28"/>
        <v>9.2796049382716053</v>
      </c>
      <c r="AE150">
        <f t="shared" si="29"/>
        <v>9.6043911111111111</v>
      </c>
      <c r="AF150" s="9"/>
      <c r="AG150" s="21">
        <v>0.60501099999999997</v>
      </c>
      <c r="AH150" s="21">
        <v>19.338799999999999</v>
      </c>
      <c r="AI150" s="21">
        <v>-7.4188199999999996E-3</v>
      </c>
      <c r="AJ150" s="21">
        <v>140</v>
      </c>
      <c r="AK150" s="21">
        <v>0.60449200000000003</v>
      </c>
      <c r="AL150">
        <f t="shared" si="30"/>
        <v>9.1590370370370362</v>
      </c>
      <c r="AM150">
        <f t="shared" si="31"/>
        <v>5.541318156814814</v>
      </c>
      <c r="AP150" s="9"/>
      <c r="AQ150" s="21">
        <v>1.0349999999999999</v>
      </c>
      <c r="AR150" s="21">
        <v>24.7027</v>
      </c>
      <c r="AS150" s="21">
        <v>-7.4157700000000003E-3</v>
      </c>
      <c r="AT150" s="21">
        <v>140</v>
      </c>
      <c r="AU150" s="21">
        <v>1.03424</v>
      </c>
      <c r="AV150">
        <f t="shared" si="32"/>
        <v>9.155271604938271</v>
      </c>
      <c r="AW150">
        <f t="shared" si="33"/>
        <v>9.4757061111111103</v>
      </c>
      <c r="AX150" s="9"/>
      <c r="AY150" s="21">
        <v>0.60501099999999997</v>
      </c>
      <c r="AZ150" s="21">
        <v>28.401</v>
      </c>
      <c r="BA150" s="21">
        <v>-7.43408E-3</v>
      </c>
      <c r="BB150" s="21">
        <v>140</v>
      </c>
      <c r="BC150" s="21">
        <v>0.60443100000000005</v>
      </c>
      <c r="BD150">
        <f t="shared" si="34"/>
        <v>9.1778765432098766</v>
      </c>
      <c r="BE150">
        <f t="shared" si="35"/>
        <v>5.5527162652839506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1.0299700000000001</v>
      </c>
      <c r="H151" s="21">
        <v>6.5153299999999996</v>
      </c>
      <c r="I151" s="21">
        <v>-7.6019299999999998E-3</v>
      </c>
      <c r="J151" s="21">
        <v>141</v>
      </c>
      <c r="K151" s="21">
        <v>1.0293600000000001</v>
      </c>
      <c r="L151">
        <f t="shared" si="24"/>
        <v>9.3850987654320974</v>
      </c>
      <c r="M151">
        <f t="shared" si="25"/>
        <v>9.6663701754320979</v>
      </c>
      <c r="N151" s="9"/>
      <c r="O151" s="21">
        <v>0.61004599999999998</v>
      </c>
      <c r="P151" s="21">
        <v>10.213699999999999</v>
      </c>
      <c r="Q151" s="21">
        <v>-7.49207E-3</v>
      </c>
      <c r="R151" s="21">
        <v>141</v>
      </c>
      <c r="S151" s="21">
        <v>0.60955800000000004</v>
      </c>
      <c r="T151">
        <f t="shared" si="26"/>
        <v>9.2494691358024674</v>
      </c>
      <c r="U151">
        <f t="shared" si="27"/>
        <v>5.6426016484197516</v>
      </c>
      <c r="X151" s="9"/>
      <c r="Y151" s="21">
        <v>1.0299700000000001</v>
      </c>
      <c r="Z151" s="21">
        <v>15.650499999999999</v>
      </c>
      <c r="AA151" s="21">
        <v>-7.5225800000000001E-3</v>
      </c>
      <c r="AB151" s="21">
        <v>141</v>
      </c>
      <c r="AC151" s="21">
        <v>1.0287500000000001</v>
      </c>
      <c r="AD151">
        <f t="shared" si="28"/>
        <v>9.2871358024691339</v>
      </c>
      <c r="AE151">
        <f t="shared" si="29"/>
        <v>9.5654712624691349</v>
      </c>
      <c r="AF151" s="9"/>
      <c r="AG151" s="21">
        <v>0.61004599999999998</v>
      </c>
      <c r="AH151" s="21">
        <v>19.3489</v>
      </c>
      <c r="AI151" s="21">
        <v>-7.4188199999999996E-3</v>
      </c>
      <c r="AJ151" s="21">
        <v>141</v>
      </c>
      <c r="AK151" s="21">
        <v>0.60949699999999996</v>
      </c>
      <c r="AL151">
        <f t="shared" si="30"/>
        <v>9.1590370370370362</v>
      </c>
      <c r="AM151">
        <f t="shared" si="31"/>
        <v>5.5874339082962958</v>
      </c>
      <c r="AP151" s="9"/>
      <c r="AQ151" s="21">
        <v>1.0299700000000001</v>
      </c>
      <c r="AR151" s="21">
        <v>24.712700000000002</v>
      </c>
      <c r="AS151" s="21">
        <v>-7.4310299999999999E-3</v>
      </c>
      <c r="AT151" s="21">
        <v>141</v>
      </c>
      <c r="AU151" s="21">
        <v>1.02905</v>
      </c>
      <c r="AV151">
        <f t="shared" si="32"/>
        <v>9.1741111111111096</v>
      </c>
      <c r="AW151">
        <f t="shared" si="33"/>
        <v>9.44905922111111</v>
      </c>
      <c r="AX151" s="9"/>
      <c r="AY151" s="21">
        <v>0.61004599999999998</v>
      </c>
      <c r="AZ151" s="21">
        <v>28.411100000000001</v>
      </c>
      <c r="BA151" s="21">
        <v>-7.4218799999999996E-3</v>
      </c>
      <c r="BB151" s="21">
        <v>141</v>
      </c>
      <c r="BC151" s="21">
        <v>0.60952799999999996</v>
      </c>
      <c r="BD151">
        <f t="shared" si="34"/>
        <v>9.1628148148148139</v>
      </c>
      <c r="BE151">
        <f t="shared" si="35"/>
        <v>5.5897385265185173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1.0249299999999999</v>
      </c>
      <c r="H152" s="21">
        <v>6.5254000000000003</v>
      </c>
      <c r="I152" s="21">
        <v>-7.6141400000000001E-3</v>
      </c>
      <c r="J152" s="21">
        <v>142</v>
      </c>
      <c r="K152" s="21">
        <v>1.02325</v>
      </c>
      <c r="L152">
        <f t="shared" si="24"/>
        <v>9.4001728395061726</v>
      </c>
      <c r="M152">
        <f t="shared" si="25"/>
        <v>9.6345191483950607</v>
      </c>
      <c r="N152" s="9"/>
      <c r="O152" s="21">
        <v>0.61508200000000002</v>
      </c>
      <c r="P152" s="21">
        <v>10.223699999999999</v>
      </c>
      <c r="Q152" s="21">
        <v>-7.4798599999999996E-3</v>
      </c>
      <c r="R152" s="21">
        <v>142</v>
      </c>
      <c r="S152" s="21">
        <v>0.61453199999999997</v>
      </c>
      <c r="T152">
        <f t="shared" si="26"/>
        <v>9.2343950617283941</v>
      </c>
      <c r="U152">
        <f t="shared" si="27"/>
        <v>5.6799101833580243</v>
      </c>
      <c r="X152" s="9"/>
      <c r="Y152" s="21">
        <v>1.0249299999999999</v>
      </c>
      <c r="Z152" s="21">
        <v>15.660600000000001</v>
      </c>
      <c r="AA152" s="21">
        <v>-7.5347900000000004E-3</v>
      </c>
      <c r="AB152" s="21">
        <v>142</v>
      </c>
      <c r="AC152" s="21">
        <v>1.02417</v>
      </c>
      <c r="AD152">
        <f t="shared" si="28"/>
        <v>9.3022098765432109</v>
      </c>
      <c r="AE152">
        <f t="shared" si="29"/>
        <v>9.5341139687654319</v>
      </c>
      <c r="AF152" s="9"/>
      <c r="AG152" s="21">
        <v>0.61508200000000002</v>
      </c>
      <c r="AH152" s="21">
        <v>19.359000000000002</v>
      </c>
      <c r="AI152" s="21">
        <v>-7.4188199999999996E-3</v>
      </c>
      <c r="AJ152" s="21">
        <v>142</v>
      </c>
      <c r="AK152" s="21">
        <v>0.61453199999999997</v>
      </c>
      <c r="AL152">
        <f t="shared" si="30"/>
        <v>9.1590370370370362</v>
      </c>
      <c r="AM152">
        <f t="shared" si="31"/>
        <v>5.633558818814814</v>
      </c>
      <c r="AP152" s="9"/>
      <c r="AQ152" s="21">
        <v>1.0249299999999999</v>
      </c>
      <c r="AR152" s="21">
        <v>24.722799999999999</v>
      </c>
      <c r="AS152" s="21">
        <v>-7.4462900000000004E-3</v>
      </c>
      <c r="AT152" s="21">
        <v>142</v>
      </c>
      <c r="AU152" s="21">
        <v>1.02386</v>
      </c>
      <c r="AV152">
        <f t="shared" si="32"/>
        <v>9.1929506172839499</v>
      </c>
      <c r="AW152">
        <f t="shared" si="33"/>
        <v>9.4221308761728384</v>
      </c>
      <c r="AX152" s="9"/>
      <c r="AY152" s="21">
        <v>0.61508200000000002</v>
      </c>
      <c r="AZ152" s="21">
        <v>28.421199999999999</v>
      </c>
      <c r="BA152" s="21">
        <v>-7.4096700000000001E-3</v>
      </c>
      <c r="BB152" s="21">
        <v>142</v>
      </c>
      <c r="BC152" s="21">
        <v>0.61456299999999997</v>
      </c>
      <c r="BD152">
        <f t="shared" si="34"/>
        <v>9.1477407407407405</v>
      </c>
      <c r="BE152">
        <f t="shared" si="35"/>
        <v>5.6266106702962961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1.0199</v>
      </c>
      <c r="H153" s="21">
        <v>6.5354700000000001</v>
      </c>
      <c r="I153" s="21">
        <v>-7.6202400000000003E-3</v>
      </c>
      <c r="J153" s="21">
        <v>143</v>
      </c>
      <c r="K153" s="21">
        <v>1.01898</v>
      </c>
      <c r="L153">
        <f t="shared" si="24"/>
        <v>9.407703703703703</v>
      </c>
      <c r="M153">
        <f t="shared" si="25"/>
        <v>9.5949170074074068</v>
      </c>
      <c r="N153" s="9"/>
      <c r="O153" s="21">
        <v>0.62011700000000003</v>
      </c>
      <c r="P153" s="21">
        <v>10.2338</v>
      </c>
      <c r="Q153" s="21">
        <v>-7.4554399999999998E-3</v>
      </c>
      <c r="R153" s="21">
        <v>143</v>
      </c>
      <c r="S153" s="21">
        <v>0.61959799999999998</v>
      </c>
      <c r="T153">
        <f t="shared" si="26"/>
        <v>9.2042469135802456</v>
      </c>
      <c r="U153">
        <f t="shared" si="27"/>
        <v>5.7077099833086411</v>
      </c>
      <c r="X153" s="9"/>
      <c r="Y153" s="21">
        <v>1.0199</v>
      </c>
      <c r="Z153" s="21">
        <v>15.6707</v>
      </c>
      <c r="AA153" s="21">
        <v>-7.5408899999999997E-3</v>
      </c>
      <c r="AB153" s="21">
        <v>143</v>
      </c>
      <c r="AC153" s="21">
        <v>1.01898</v>
      </c>
      <c r="AD153">
        <f t="shared" si="28"/>
        <v>9.3097407407407395</v>
      </c>
      <c r="AE153">
        <f t="shared" si="29"/>
        <v>9.4950045814814814</v>
      </c>
      <c r="AF153" s="9"/>
      <c r="AG153" s="21">
        <v>0.62011700000000003</v>
      </c>
      <c r="AH153" s="21">
        <v>19.369</v>
      </c>
      <c r="AI153" s="21">
        <v>-7.4127200000000002E-3</v>
      </c>
      <c r="AJ153" s="21">
        <v>143</v>
      </c>
      <c r="AK153" s="21">
        <v>0.61959799999999998</v>
      </c>
      <c r="AL153">
        <f t="shared" si="30"/>
        <v>9.1515061728395057</v>
      </c>
      <c r="AM153">
        <f t="shared" si="31"/>
        <v>5.675004553382716</v>
      </c>
      <c r="AP153" s="9"/>
      <c r="AQ153" s="21">
        <v>1.0199</v>
      </c>
      <c r="AR153" s="21">
        <v>24.732900000000001</v>
      </c>
      <c r="AS153" s="21">
        <v>-7.4584999999999999E-3</v>
      </c>
      <c r="AT153" s="21">
        <v>143</v>
      </c>
      <c r="AU153" s="21">
        <v>1.01929</v>
      </c>
      <c r="AV153">
        <f t="shared" si="32"/>
        <v>9.2080246913580233</v>
      </c>
      <c r="AW153">
        <f t="shared" si="33"/>
        <v>9.3912643827160487</v>
      </c>
      <c r="AX153" s="9"/>
      <c r="AY153" s="21">
        <v>0.62011700000000003</v>
      </c>
      <c r="AZ153" s="21">
        <v>28.4312</v>
      </c>
      <c r="BA153" s="21">
        <v>-7.4005099999999999E-3</v>
      </c>
      <c r="BB153" s="21">
        <v>143</v>
      </c>
      <c r="BC153" s="21">
        <v>0.619537</v>
      </c>
      <c r="BD153">
        <f t="shared" si="34"/>
        <v>9.1364320987654306</v>
      </c>
      <c r="BE153">
        <f t="shared" si="35"/>
        <v>5.6656568637901232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1.0148600000000001</v>
      </c>
      <c r="H154" s="21">
        <v>6.5455500000000004</v>
      </c>
      <c r="I154" s="21">
        <v>-7.6324499999999998E-3</v>
      </c>
      <c r="J154" s="21">
        <v>144</v>
      </c>
      <c r="K154" s="21">
        <v>1.0141</v>
      </c>
      <c r="L154">
        <f t="shared" si="24"/>
        <v>9.4227777777777764</v>
      </c>
      <c r="M154">
        <f t="shared" si="25"/>
        <v>9.5628002555555547</v>
      </c>
      <c r="N154" s="9"/>
      <c r="O154" s="21">
        <v>0.62515299999999996</v>
      </c>
      <c r="P154" s="21">
        <v>10.2439</v>
      </c>
      <c r="Q154" s="21">
        <v>-7.4432400000000003E-3</v>
      </c>
      <c r="R154" s="21">
        <v>144</v>
      </c>
      <c r="S154" s="21">
        <v>0.62460300000000002</v>
      </c>
      <c r="T154">
        <f t="shared" si="26"/>
        <v>9.1891851851851865</v>
      </c>
      <c r="U154">
        <f t="shared" si="27"/>
        <v>5.7446466860740744</v>
      </c>
      <c r="X154" s="9"/>
      <c r="Y154" s="21">
        <v>1.0148600000000001</v>
      </c>
      <c r="Z154" s="21">
        <v>15.6808</v>
      </c>
      <c r="AA154" s="21">
        <v>-7.55005E-3</v>
      </c>
      <c r="AB154" s="21">
        <v>144</v>
      </c>
      <c r="AC154" s="21">
        <v>1.01379</v>
      </c>
      <c r="AD154">
        <f t="shared" si="28"/>
        <v>9.3210493827160494</v>
      </c>
      <c r="AE154">
        <f t="shared" si="29"/>
        <v>9.45956017654321</v>
      </c>
      <c r="AF154" s="9"/>
      <c r="AG154" s="21">
        <v>0.62515299999999996</v>
      </c>
      <c r="AH154" s="21">
        <v>19.379100000000001</v>
      </c>
      <c r="AI154" s="21">
        <v>-7.4127200000000002E-3</v>
      </c>
      <c r="AJ154" s="21">
        <v>144</v>
      </c>
      <c r="AK154" s="21">
        <v>0.62463400000000002</v>
      </c>
      <c r="AL154">
        <f t="shared" si="30"/>
        <v>9.1515061728395057</v>
      </c>
      <c r="AM154">
        <f t="shared" si="31"/>
        <v>5.7210915384691354</v>
      </c>
      <c r="AP154" s="9"/>
      <c r="AQ154" s="21">
        <v>1.0148600000000001</v>
      </c>
      <c r="AR154" s="21">
        <v>24.742899999999999</v>
      </c>
      <c r="AS154" s="21">
        <v>-7.4584999999999999E-3</v>
      </c>
      <c r="AT154" s="21">
        <v>144</v>
      </c>
      <c r="AU154" s="21">
        <v>1.01349</v>
      </c>
      <c r="AV154">
        <f t="shared" si="32"/>
        <v>9.2080246913580233</v>
      </c>
      <c r="AW154">
        <f t="shared" si="33"/>
        <v>9.3448559382716052</v>
      </c>
      <c r="AX154" s="9"/>
      <c r="AY154" s="21">
        <v>0.62515299999999996</v>
      </c>
      <c r="AZ154" s="21">
        <v>28.441299999999998</v>
      </c>
      <c r="BA154" s="21">
        <v>-7.3944099999999997E-3</v>
      </c>
      <c r="BB154" s="21">
        <v>144</v>
      </c>
      <c r="BC154" s="21">
        <v>0.62457300000000004</v>
      </c>
      <c r="BD154">
        <f t="shared" si="34"/>
        <v>9.1289012345679001</v>
      </c>
      <c r="BE154">
        <f t="shared" si="35"/>
        <v>5.7069599934938262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1.00983</v>
      </c>
      <c r="H155" s="21">
        <v>6.5556200000000002</v>
      </c>
      <c r="I155" s="21">
        <v>-7.6477100000000003E-3</v>
      </c>
      <c r="J155" s="21">
        <v>145</v>
      </c>
      <c r="K155" s="21">
        <v>1.00922</v>
      </c>
      <c r="L155">
        <f t="shared" si="24"/>
        <v>9.4416172839506167</v>
      </c>
      <c r="M155">
        <f t="shared" si="25"/>
        <v>9.5344283818518516</v>
      </c>
      <c r="N155" s="9"/>
      <c r="O155" s="21">
        <v>0.63018799999999997</v>
      </c>
      <c r="P155" s="21">
        <v>10.254</v>
      </c>
      <c r="Q155" s="21">
        <v>-7.4218799999999996E-3</v>
      </c>
      <c r="R155" s="21">
        <v>145</v>
      </c>
      <c r="S155" s="21">
        <v>0.62957799999999997</v>
      </c>
      <c r="T155">
        <f t="shared" si="26"/>
        <v>9.1628148148148139</v>
      </c>
      <c r="U155">
        <f t="shared" si="27"/>
        <v>5.7742959425185179</v>
      </c>
      <c r="X155" s="9"/>
      <c r="Y155" s="21">
        <v>1.00983</v>
      </c>
      <c r="Z155" s="21">
        <v>15.690799999999999</v>
      </c>
      <c r="AA155" s="21">
        <v>-7.5592000000000003E-3</v>
      </c>
      <c r="AB155" s="21">
        <v>145</v>
      </c>
      <c r="AC155" s="21">
        <v>1.00952</v>
      </c>
      <c r="AD155">
        <f t="shared" si="28"/>
        <v>9.3323456790123451</v>
      </c>
      <c r="AE155">
        <f t="shared" si="29"/>
        <v>9.4240826370370367</v>
      </c>
      <c r="AF155" s="9"/>
      <c r="AG155" s="21">
        <v>0.63018799999999997</v>
      </c>
      <c r="AH155" s="21">
        <v>19.389199999999999</v>
      </c>
      <c r="AI155" s="21">
        <v>-7.4096700000000001E-3</v>
      </c>
      <c r="AJ155" s="21">
        <v>145</v>
      </c>
      <c r="AK155" s="21">
        <v>0.62963899999999995</v>
      </c>
      <c r="AL155">
        <f t="shared" si="30"/>
        <v>9.1477407407407405</v>
      </c>
      <c r="AM155">
        <f t="shared" si="31"/>
        <v>5.7647964419259257</v>
      </c>
      <c r="AP155" s="9"/>
      <c r="AQ155" s="21">
        <v>1.00983</v>
      </c>
      <c r="AR155" s="21">
        <v>24.753</v>
      </c>
      <c r="AS155" s="21">
        <v>-7.4646000000000001E-3</v>
      </c>
      <c r="AT155" s="21">
        <v>145</v>
      </c>
      <c r="AU155" s="21">
        <v>1.00891</v>
      </c>
      <c r="AV155">
        <f t="shared" si="32"/>
        <v>9.2155555555555555</v>
      </c>
      <c r="AW155">
        <f t="shared" si="33"/>
        <v>9.3061444666666659</v>
      </c>
      <c r="AX155" s="9"/>
      <c r="AY155" s="21">
        <v>0.63018799999999997</v>
      </c>
      <c r="AZ155" s="21">
        <v>28.4514</v>
      </c>
      <c r="BA155" s="21">
        <v>-7.3791500000000001E-3</v>
      </c>
      <c r="BB155" s="21">
        <v>145</v>
      </c>
      <c r="BC155" s="21">
        <v>0.62966900000000003</v>
      </c>
      <c r="BD155">
        <f t="shared" si="34"/>
        <v>9.1100617283950598</v>
      </c>
      <c r="BE155">
        <f t="shared" si="35"/>
        <v>5.741051580493826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1.0047900000000001</v>
      </c>
      <c r="H156" s="21">
        <v>6.56569</v>
      </c>
      <c r="I156" s="21">
        <v>-7.6629599999999999E-3</v>
      </c>
      <c r="J156" s="21">
        <v>146</v>
      </c>
      <c r="K156" s="21">
        <v>1.0037199999999999</v>
      </c>
      <c r="L156">
        <f t="shared" si="24"/>
        <v>9.4604444444444429</v>
      </c>
      <c r="M156">
        <f t="shared" si="25"/>
        <v>9.5057599733333316</v>
      </c>
      <c r="N156" s="9"/>
      <c r="O156" s="21">
        <v>0.63522299999999998</v>
      </c>
      <c r="P156" s="21">
        <v>10.263999999999999</v>
      </c>
      <c r="Q156" s="21">
        <v>-7.40356E-3</v>
      </c>
      <c r="R156" s="21">
        <v>146</v>
      </c>
      <c r="S156" s="21">
        <v>0.63467399999999996</v>
      </c>
      <c r="T156">
        <f t="shared" si="26"/>
        <v>9.1401975308641976</v>
      </c>
      <c r="U156">
        <f t="shared" si="27"/>
        <v>5.806063696148148</v>
      </c>
      <c r="X156" s="9"/>
      <c r="Y156" s="21">
        <v>1.0047900000000001</v>
      </c>
      <c r="Z156" s="21">
        <v>15.700900000000001</v>
      </c>
      <c r="AA156" s="21">
        <v>-7.5653099999999996E-3</v>
      </c>
      <c r="AB156" s="21">
        <v>146</v>
      </c>
      <c r="AC156" s="21">
        <v>1.00342</v>
      </c>
      <c r="AD156">
        <f t="shared" si="28"/>
        <v>9.339888888888888</v>
      </c>
      <c r="AE156">
        <f t="shared" si="29"/>
        <v>9.3846269566666667</v>
      </c>
      <c r="AF156" s="9"/>
      <c r="AG156" s="21">
        <v>0.63522299999999998</v>
      </c>
      <c r="AH156" s="21">
        <v>19.3992</v>
      </c>
      <c r="AI156" s="21">
        <v>-7.4005099999999999E-3</v>
      </c>
      <c r="AJ156" s="21">
        <v>146</v>
      </c>
      <c r="AK156" s="21">
        <v>0.63470499999999996</v>
      </c>
      <c r="AL156">
        <f t="shared" si="30"/>
        <v>9.1364320987654306</v>
      </c>
      <c r="AM156">
        <f t="shared" si="31"/>
        <v>5.8036718070740729</v>
      </c>
      <c r="AP156" s="9"/>
      <c r="AQ156" s="21">
        <v>1.0047900000000001</v>
      </c>
      <c r="AR156" s="21">
        <v>24.763100000000001</v>
      </c>
      <c r="AS156" s="21">
        <v>-7.4737500000000004E-3</v>
      </c>
      <c r="AT156" s="21">
        <v>146</v>
      </c>
      <c r="AU156" s="21">
        <v>1.00403</v>
      </c>
      <c r="AV156">
        <f t="shared" si="32"/>
        <v>9.226851851851853</v>
      </c>
      <c r="AW156">
        <f t="shared" si="33"/>
        <v>9.2710484722222244</v>
      </c>
      <c r="AX156" s="9"/>
      <c r="AY156" s="21">
        <v>0.63522299999999998</v>
      </c>
      <c r="AZ156" s="21">
        <v>28.461500000000001</v>
      </c>
      <c r="BA156" s="21">
        <v>-7.3669399999999998E-3</v>
      </c>
      <c r="BB156" s="21">
        <v>146</v>
      </c>
      <c r="BC156" s="21">
        <v>0.63467399999999996</v>
      </c>
      <c r="BD156">
        <f t="shared" si="34"/>
        <v>9.0949876543209864</v>
      </c>
      <c r="BE156">
        <f t="shared" si="35"/>
        <v>5.7773453427407402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0.99975599999999998</v>
      </c>
      <c r="H157" s="21">
        <v>6.5757599999999998</v>
      </c>
      <c r="I157" s="21">
        <v>-7.6690700000000001E-3</v>
      </c>
      <c r="J157" s="21">
        <v>147</v>
      </c>
      <c r="K157" s="21">
        <v>0.99853499999999995</v>
      </c>
      <c r="L157">
        <f t="shared" si="24"/>
        <v>9.4679876543209875</v>
      </c>
      <c r="M157">
        <f t="shared" si="25"/>
        <v>9.4656774653333322</v>
      </c>
      <c r="N157" s="9"/>
      <c r="O157" s="21">
        <v>0.64025900000000002</v>
      </c>
      <c r="P157" s="21">
        <v>10.274100000000001</v>
      </c>
      <c r="Q157" s="21">
        <v>-7.3944099999999997E-3</v>
      </c>
      <c r="R157" s="21">
        <v>147</v>
      </c>
      <c r="S157" s="21">
        <v>0.63973999999999998</v>
      </c>
      <c r="T157">
        <f t="shared" si="26"/>
        <v>9.1289012345679001</v>
      </c>
      <c r="U157">
        <f t="shared" si="27"/>
        <v>5.8448611755432092</v>
      </c>
      <c r="X157" s="9"/>
      <c r="Y157" s="21">
        <v>0.99975599999999998</v>
      </c>
      <c r="Z157" s="21">
        <v>15.711</v>
      </c>
      <c r="AA157" s="21">
        <v>-7.5714099999999998E-3</v>
      </c>
      <c r="AB157" s="21">
        <v>147</v>
      </c>
      <c r="AC157" s="21">
        <v>0.99792499999999995</v>
      </c>
      <c r="AD157">
        <f t="shared" si="28"/>
        <v>9.3474197530864185</v>
      </c>
      <c r="AE157">
        <f t="shared" si="29"/>
        <v>9.3451389826666649</v>
      </c>
      <c r="AF157" s="9"/>
      <c r="AG157" s="21">
        <v>0.64025900000000002</v>
      </c>
      <c r="AH157" s="21">
        <v>19.409300000000002</v>
      </c>
      <c r="AI157" s="21">
        <v>-7.3944099999999997E-3</v>
      </c>
      <c r="AJ157" s="21">
        <v>147</v>
      </c>
      <c r="AK157" s="21">
        <v>0.63970899999999997</v>
      </c>
      <c r="AL157">
        <f t="shared" si="30"/>
        <v>9.1289012345679001</v>
      </c>
      <c r="AM157">
        <f t="shared" si="31"/>
        <v>5.8448611755432092</v>
      </c>
      <c r="AP157" s="9"/>
      <c r="AQ157" s="21">
        <v>0.99975599999999998</v>
      </c>
      <c r="AR157" s="21">
        <v>24.773199999999999</v>
      </c>
      <c r="AS157" s="21">
        <v>-7.49207E-3</v>
      </c>
      <c r="AT157" s="21">
        <v>147</v>
      </c>
      <c r="AU157" s="21">
        <v>0.99853499999999995</v>
      </c>
      <c r="AV157">
        <f t="shared" si="32"/>
        <v>9.2494691358024674</v>
      </c>
      <c r="AW157">
        <f t="shared" si="33"/>
        <v>9.2472122653333315</v>
      </c>
      <c r="AX157" s="9"/>
      <c r="AY157" s="21">
        <v>0.64025900000000002</v>
      </c>
      <c r="AZ157" s="21">
        <v>28.471499999999999</v>
      </c>
      <c r="BA157" s="21">
        <v>-7.3547400000000002E-3</v>
      </c>
      <c r="BB157" s="21">
        <v>147</v>
      </c>
      <c r="BC157" s="21">
        <v>0.63977099999999998</v>
      </c>
      <c r="BD157">
        <f t="shared" si="34"/>
        <v>9.0799259259259255</v>
      </c>
      <c r="BE157">
        <f t="shared" si="35"/>
        <v>5.8135042934074077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0.99472000000000005</v>
      </c>
      <c r="H158" s="21">
        <v>6.5858299999999996</v>
      </c>
      <c r="I158" s="21">
        <v>-7.6721200000000002E-3</v>
      </c>
      <c r="J158" s="21">
        <v>148</v>
      </c>
      <c r="K158" s="21">
        <v>0.99365199999999998</v>
      </c>
      <c r="L158">
        <f t="shared" si="24"/>
        <v>9.4717530864197528</v>
      </c>
      <c r="M158">
        <f t="shared" si="25"/>
        <v>9.4217422301234564</v>
      </c>
      <c r="N158" s="9"/>
      <c r="O158" s="21">
        <v>0.64529400000000003</v>
      </c>
      <c r="P158" s="21">
        <v>10.2842</v>
      </c>
      <c r="Q158" s="21">
        <v>-7.3913599999999996E-3</v>
      </c>
      <c r="R158" s="21">
        <v>148</v>
      </c>
      <c r="S158" s="21">
        <v>0.64477499999999999</v>
      </c>
      <c r="T158">
        <f t="shared" si="26"/>
        <v>9.1251358024691349</v>
      </c>
      <c r="U158">
        <f t="shared" si="27"/>
        <v>5.8883953825185182</v>
      </c>
      <c r="X158" s="9"/>
      <c r="Y158" s="21">
        <v>0.99472000000000005</v>
      </c>
      <c r="Z158" s="21">
        <v>15.721</v>
      </c>
      <c r="AA158" s="21">
        <v>-7.5836200000000001E-3</v>
      </c>
      <c r="AB158" s="21">
        <v>148</v>
      </c>
      <c r="AC158" s="21">
        <v>0.99395800000000001</v>
      </c>
      <c r="AD158">
        <f t="shared" si="28"/>
        <v>9.3624938271604936</v>
      </c>
      <c r="AE158">
        <f t="shared" si="29"/>
        <v>9.3130598597530874</v>
      </c>
      <c r="AF158" s="9"/>
      <c r="AG158" s="21">
        <v>0.64529400000000003</v>
      </c>
      <c r="AH158" s="21">
        <v>19.4194</v>
      </c>
      <c r="AI158" s="21">
        <v>-7.3852500000000003E-3</v>
      </c>
      <c r="AJ158" s="21">
        <v>148</v>
      </c>
      <c r="AK158" s="21">
        <v>0.64477499999999999</v>
      </c>
      <c r="AL158">
        <f t="shared" si="30"/>
        <v>9.117592592592592</v>
      </c>
      <c r="AM158">
        <f t="shared" si="31"/>
        <v>5.8835277944444444</v>
      </c>
      <c r="AP158" s="9"/>
      <c r="AQ158" s="21">
        <v>0.99472000000000005</v>
      </c>
      <c r="AR158" s="21">
        <v>24.783200000000001</v>
      </c>
      <c r="AS158" s="21">
        <v>-7.5103799999999997E-3</v>
      </c>
      <c r="AT158" s="21">
        <v>148</v>
      </c>
      <c r="AU158" s="21">
        <v>0.99365199999999998</v>
      </c>
      <c r="AV158">
        <f t="shared" si="32"/>
        <v>9.272074074074073</v>
      </c>
      <c r="AW158">
        <f t="shared" si="33"/>
        <v>9.2231175229629621</v>
      </c>
      <c r="AX158" s="9"/>
      <c r="AY158" s="21">
        <v>0.64529400000000003</v>
      </c>
      <c r="AZ158" s="21">
        <v>28.4816</v>
      </c>
      <c r="BA158" s="21">
        <v>-7.3486300000000001E-3</v>
      </c>
      <c r="BB158" s="21">
        <v>148</v>
      </c>
      <c r="BC158" s="21">
        <v>0.64468400000000003</v>
      </c>
      <c r="BD158">
        <f t="shared" si="34"/>
        <v>9.0723827160493808</v>
      </c>
      <c r="BE158">
        <f t="shared" si="35"/>
        <v>5.8543541323703696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0.98968500000000004</v>
      </c>
      <c r="H159" s="21">
        <v>6.5959000000000003</v>
      </c>
      <c r="I159" s="21">
        <v>-7.6751700000000003E-3</v>
      </c>
      <c r="J159" s="21">
        <v>149</v>
      </c>
      <c r="K159" s="21">
        <v>0.98877000000000004</v>
      </c>
      <c r="L159">
        <f t="shared" si="24"/>
        <v>9.475518518518518</v>
      </c>
      <c r="M159">
        <f t="shared" si="25"/>
        <v>9.377778545</v>
      </c>
      <c r="N159" s="9"/>
      <c r="O159" s="21">
        <v>0.65032999999999996</v>
      </c>
      <c r="P159" s="21">
        <v>10.2942</v>
      </c>
      <c r="Q159" s="21">
        <v>-7.3944099999999997E-3</v>
      </c>
      <c r="R159" s="21">
        <v>149</v>
      </c>
      <c r="S159" s="21">
        <v>0.64978000000000002</v>
      </c>
      <c r="T159">
        <f t="shared" si="26"/>
        <v>9.1289012345679001</v>
      </c>
      <c r="U159">
        <f t="shared" si="27"/>
        <v>5.9367983398765425</v>
      </c>
      <c r="X159" s="9"/>
      <c r="Y159" s="21">
        <v>0.98968500000000004</v>
      </c>
      <c r="Z159" s="21">
        <v>15.7311</v>
      </c>
      <c r="AA159" s="21">
        <v>-7.5988799999999997E-3</v>
      </c>
      <c r="AB159" s="21">
        <v>149</v>
      </c>
      <c r="AC159" s="21">
        <v>0.98846400000000001</v>
      </c>
      <c r="AD159">
        <f t="shared" si="28"/>
        <v>9.3813333333333322</v>
      </c>
      <c r="AE159">
        <f t="shared" si="29"/>
        <v>9.2845648799999996</v>
      </c>
      <c r="AF159" s="9"/>
      <c r="AG159" s="21">
        <v>0.65032999999999996</v>
      </c>
      <c r="AH159" s="21">
        <v>19.429500000000001</v>
      </c>
      <c r="AI159" s="21">
        <v>-7.3669399999999998E-3</v>
      </c>
      <c r="AJ159" s="21">
        <v>149</v>
      </c>
      <c r="AK159" s="21">
        <v>0.64975000000000005</v>
      </c>
      <c r="AL159">
        <f t="shared" si="30"/>
        <v>9.0949876543209864</v>
      </c>
      <c r="AM159">
        <f t="shared" si="31"/>
        <v>5.9147433212345666</v>
      </c>
      <c r="AP159" s="9"/>
      <c r="AQ159" s="21">
        <v>0.98968500000000004</v>
      </c>
      <c r="AR159" s="21">
        <v>24.793299999999999</v>
      </c>
      <c r="AS159" s="21">
        <v>-7.5256300000000002E-3</v>
      </c>
      <c r="AT159" s="21">
        <v>149</v>
      </c>
      <c r="AU159" s="21">
        <v>0.98877000000000004</v>
      </c>
      <c r="AV159">
        <f t="shared" si="32"/>
        <v>9.290901234567901</v>
      </c>
      <c r="AW159">
        <f t="shared" si="33"/>
        <v>9.1950655883333337</v>
      </c>
      <c r="AX159" s="9"/>
      <c r="AY159" s="21">
        <v>0.65032999999999996</v>
      </c>
      <c r="AZ159" s="21">
        <v>28.491700000000002</v>
      </c>
      <c r="BA159" s="21">
        <v>-7.3394799999999998E-3</v>
      </c>
      <c r="BB159" s="21">
        <v>149</v>
      </c>
      <c r="BC159" s="21">
        <v>0.64981100000000003</v>
      </c>
      <c r="BD159">
        <f t="shared" si="34"/>
        <v>9.0610864197530852</v>
      </c>
      <c r="BE159">
        <f t="shared" si="35"/>
        <v>5.8926963313580236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0.98465000000000003</v>
      </c>
      <c r="H160" s="21">
        <v>6.6059700000000001</v>
      </c>
      <c r="I160" s="21">
        <v>-7.6782200000000004E-3</v>
      </c>
      <c r="J160" s="21">
        <v>150</v>
      </c>
      <c r="K160" s="21">
        <v>0.98358199999999996</v>
      </c>
      <c r="L160">
        <f t="shared" si="24"/>
        <v>9.479283950617285</v>
      </c>
      <c r="M160">
        <f t="shared" si="25"/>
        <v>9.3337769419753105</v>
      </c>
      <c r="N160" s="9"/>
      <c r="O160" s="21">
        <v>0.65536499999999998</v>
      </c>
      <c r="P160" s="21">
        <v>10.3043</v>
      </c>
      <c r="Q160" s="21">
        <v>-7.3822000000000002E-3</v>
      </c>
      <c r="R160" s="21">
        <v>150</v>
      </c>
      <c r="S160" s="21">
        <v>0.65484600000000004</v>
      </c>
      <c r="T160">
        <f t="shared" si="26"/>
        <v>9.1138271604938268</v>
      </c>
      <c r="U160">
        <f t="shared" si="27"/>
        <v>5.9728833370370369</v>
      </c>
      <c r="X160" s="9"/>
      <c r="Y160" s="21">
        <v>0.98465000000000003</v>
      </c>
      <c r="Z160" s="21">
        <v>15.741199999999999</v>
      </c>
      <c r="AA160" s="21">
        <v>-7.60803E-3</v>
      </c>
      <c r="AB160" s="21">
        <v>150</v>
      </c>
      <c r="AC160" s="21">
        <v>0.98388699999999996</v>
      </c>
      <c r="AD160">
        <f t="shared" si="28"/>
        <v>9.3926296296296297</v>
      </c>
      <c r="AE160">
        <f t="shared" si="29"/>
        <v>9.2484527648148145</v>
      </c>
      <c r="AF160" s="9"/>
      <c r="AG160" s="21">
        <v>0.65536499999999998</v>
      </c>
      <c r="AH160" s="21">
        <v>19.439499999999999</v>
      </c>
      <c r="AI160" s="21">
        <v>-7.3547400000000002E-3</v>
      </c>
      <c r="AJ160" s="21">
        <v>150</v>
      </c>
      <c r="AK160" s="21">
        <v>0.65481599999999995</v>
      </c>
      <c r="AL160">
        <f t="shared" si="30"/>
        <v>9.0799259259259255</v>
      </c>
      <c r="AM160">
        <f t="shared" si="31"/>
        <v>5.9506656544444443</v>
      </c>
      <c r="AP160" s="9"/>
      <c r="AQ160" s="21">
        <v>0.98465000000000003</v>
      </c>
      <c r="AR160" s="21">
        <v>24.8034</v>
      </c>
      <c r="AS160" s="21">
        <v>-7.5286900000000002E-3</v>
      </c>
      <c r="AT160" s="21">
        <v>150</v>
      </c>
      <c r="AU160" s="21">
        <v>0.98327600000000004</v>
      </c>
      <c r="AV160">
        <f t="shared" si="32"/>
        <v>9.2946790123456786</v>
      </c>
      <c r="AW160">
        <f t="shared" si="33"/>
        <v>9.1520056895061721</v>
      </c>
      <c r="AX160" s="9"/>
      <c r="AY160" s="21">
        <v>0.65536499999999998</v>
      </c>
      <c r="AZ160" s="21">
        <v>28.5017</v>
      </c>
      <c r="BA160" s="21">
        <v>-7.3303200000000004E-3</v>
      </c>
      <c r="BB160" s="21">
        <v>150</v>
      </c>
      <c r="BC160" s="21">
        <v>0.65481599999999995</v>
      </c>
      <c r="BD160">
        <f t="shared" si="34"/>
        <v>9.0497777777777788</v>
      </c>
      <c r="BE160">
        <f t="shared" si="35"/>
        <v>5.9309076133333338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0.97961399999999998</v>
      </c>
      <c r="H161" s="21">
        <v>6.6160399999999999</v>
      </c>
      <c r="I161" s="21">
        <v>-7.6812699999999996E-3</v>
      </c>
      <c r="J161" s="21">
        <v>151</v>
      </c>
      <c r="K161" s="21">
        <v>0.97900399999999999</v>
      </c>
      <c r="L161">
        <f t="shared" si="24"/>
        <v>9.4830493827160485</v>
      </c>
      <c r="M161">
        <f t="shared" si="25"/>
        <v>9.2897279379999986</v>
      </c>
      <c r="N161" s="9"/>
      <c r="O161" s="21">
        <v>0.66039999999999999</v>
      </c>
      <c r="P161" s="21">
        <v>10.314399999999999</v>
      </c>
      <c r="Q161" s="21">
        <v>-7.3730499999999999E-3</v>
      </c>
      <c r="R161" s="21">
        <v>151</v>
      </c>
      <c r="S161" s="21">
        <v>0.65991200000000005</v>
      </c>
      <c r="T161">
        <f t="shared" si="26"/>
        <v>9.1025308641975311</v>
      </c>
      <c r="U161">
        <f t="shared" si="27"/>
        <v>6.0113113827160491</v>
      </c>
      <c r="X161" s="9"/>
      <c r="Y161" s="21">
        <v>0.97961399999999998</v>
      </c>
      <c r="Z161" s="21">
        <v>15.751300000000001</v>
      </c>
      <c r="AA161" s="21">
        <v>-7.6232899999999996E-3</v>
      </c>
      <c r="AB161" s="21">
        <v>151</v>
      </c>
      <c r="AC161" s="21">
        <v>0.97900399999999999</v>
      </c>
      <c r="AD161">
        <f t="shared" si="28"/>
        <v>9.4114691358024682</v>
      </c>
      <c r="AE161">
        <f t="shared" si="29"/>
        <v>9.2196069259999991</v>
      </c>
      <c r="AF161" s="9"/>
      <c r="AG161" s="21">
        <v>0.66039999999999999</v>
      </c>
      <c r="AH161" s="21">
        <v>19.4496</v>
      </c>
      <c r="AI161" s="21">
        <v>-7.3486300000000001E-3</v>
      </c>
      <c r="AJ161" s="21">
        <v>151</v>
      </c>
      <c r="AK161" s="21">
        <v>0.65988199999999997</v>
      </c>
      <c r="AL161">
        <f t="shared" si="30"/>
        <v>9.0723827160493808</v>
      </c>
      <c r="AM161">
        <f t="shared" si="31"/>
        <v>5.9914015456790111</v>
      </c>
      <c r="AP161" s="9"/>
      <c r="AQ161" s="21">
        <v>0.97961399999999998</v>
      </c>
      <c r="AR161" s="21">
        <v>24.813400000000001</v>
      </c>
      <c r="AS161" s="21">
        <v>-7.5347900000000004E-3</v>
      </c>
      <c r="AT161" s="21">
        <v>151</v>
      </c>
      <c r="AU161" s="21">
        <v>0.97900399999999999</v>
      </c>
      <c r="AV161">
        <f t="shared" si="32"/>
        <v>9.3022098765432109</v>
      </c>
      <c r="AW161">
        <f t="shared" si="33"/>
        <v>9.112575026</v>
      </c>
      <c r="AX161" s="9"/>
      <c r="AY161" s="21">
        <v>0.66039999999999999</v>
      </c>
      <c r="AZ161" s="21">
        <v>28.511800000000001</v>
      </c>
      <c r="BA161" s="21">
        <v>-7.31506E-3</v>
      </c>
      <c r="BB161" s="21">
        <v>151</v>
      </c>
      <c r="BC161" s="21">
        <v>0.65985099999999997</v>
      </c>
      <c r="BD161">
        <f t="shared" si="34"/>
        <v>9.0309382716049367</v>
      </c>
      <c r="BE161">
        <f t="shared" si="35"/>
        <v>5.9640316345678999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0.97457899999999997</v>
      </c>
      <c r="H162" s="21">
        <v>6.6261099999999997</v>
      </c>
      <c r="I162" s="21">
        <v>-7.6812699999999996E-3</v>
      </c>
      <c r="J162" s="21">
        <v>152</v>
      </c>
      <c r="K162" s="21">
        <v>0.97351100000000002</v>
      </c>
      <c r="L162">
        <f t="shared" si="24"/>
        <v>9.4830493827160485</v>
      </c>
      <c r="M162">
        <f t="shared" si="25"/>
        <v>9.2419807843580237</v>
      </c>
      <c r="N162" s="9"/>
      <c r="O162" s="21">
        <v>0.66543600000000003</v>
      </c>
      <c r="P162" s="21">
        <v>10.3245</v>
      </c>
      <c r="Q162" s="21">
        <v>-7.3638899999999997E-3</v>
      </c>
      <c r="R162" s="21">
        <v>152</v>
      </c>
      <c r="S162" s="21">
        <v>0.664856</v>
      </c>
      <c r="T162">
        <f t="shared" si="26"/>
        <v>9.0912222222222212</v>
      </c>
      <c r="U162">
        <f t="shared" si="27"/>
        <v>6.049626550666666</v>
      </c>
      <c r="X162" s="9"/>
      <c r="Y162" s="21">
        <v>0.97457899999999997</v>
      </c>
      <c r="Z162" s="21">
        <v>15.7613</v>
      </c>
      <c r="AA162" s="21">
        <v>-7.6354999999999999E-3</v>
      </c>
      <c r="AB162" s="21">
        <v>152</v>
      </c>
      <c r="AC162" s="21">
        <v>0.97320600000000002</v>
      </c>
      <c r="AD162">
        <f t="shared" si="28"/>
        <v>9.4265432098765416</v>
      </c>
      <c r="AE162">
        <f t="shared" si="29"/>
        <v>9.1869110549382693</v>
      </c>
      <c r="AF162" s="9"/>
      <c r="AG162" s="21">
        <v>0.66543600000000003</v>
      </c>
      <c r="AH162" s="21">
        <v>19.459700000000002</v>
      </c>
      <c r="AI162" s="21">
        <v>-7.3394799999999998E-3</v>
      </c>
      <c r="AJ162" s="21">
        <v>152</v>
      </c>
      <c r="AK162" s="21">
        <v>0.66488599999999998</v>
      </c>
      <c r="AL162">
        <f t="shared" si="30"/>
        <v>9.0610864197530852</v>
      </c>
      <c r="AM162">
        <f t="shared" si="31"/>
        <v>6.0295731028148145</v>
      </c>
      <c r="AP162" s="9"/>
      <c r="AQ162" s="21">
        <v>0.97457899999999997</v>
      </c>
      <c r="AR162" s="21">
        <v>24.823499999999999</v>
      </c>
      <c r="AS162" s="21">
        <v>-7.5469999999999999E-3</v>
      </c>
      <c r="AT162" s="21">
        <v>152</v>
      </c>
      <c r="AU162" s="21">
        <v>0.97320600000000002</v>
      </c>
      <c r="AV162">
        <f t="shared" si="32"/>
        <v>9.3172839506172842</v>
      </c>
      <c r="AW162">
        <f t="shared" si="33"/>
        <v>9.0804292753086422</v>
      </c>
      <c r="AX162" s="9"/>
      <c r="AY162" s="21">
        <v>0.66543600000000003</v>
      </c>
      <c r="AZ162" s="21">
        <v>28.521899999999999</v>
      </c>
      <c r="BA162" s="21">
        <v>-7.3059099999999997E-3</v>
      </c>
      <c r="BB162" s="21">
        <v>152</v>
      </c>
      <c r="BC162" s="21">
        <v>0.66494799999999998</v>
      </c>
      <c r="BD162">
        <f t="shared" si="34"/>
        <v>9.019641975308641</v>
      </c>
      <c r="BE162">
        <f t="shared" si="35"/>
        <v>6.0019944774814808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0.96954300000000004</v>
      </c>
      <c r="H163" s="21">
        <v>6.6361800000000004</v>
      </c>
      <c r="I163" s="21">
        <v>-7.6904299999999998E-3</v>
      </c>
      <c r="J163" s="21">
        <v>153</v>
      </c>
      <c r="K163" s="21">
        <v>0.96862800000000004</v>
      </c>
      <c r="L163">
        <f t="shared" si="24"/>
        <v>9.4943580246913584</v>
      </c>
      <c r="M163">
        <f t="shared" si="25"/>
        <v>9.2051883623333346</v>
      </c>
      <c r="N163" s="9"/>
      <c r="O163" s="21">
        <v>0.67047100000000004</v>
      </c>
      <c r="P163" s="21">
        <v>10.3345</v>
      </c>
      <c r="Q163" s="21">
        <v>-7.3547400000000002E-3</v>
      </c>
      <c r="R163" s="21">
        <v>153</v>
      </c>
      <c r="S163" s="21">
        <v>0.669983</v>
      </c>
      <c r="T163">
        <f t="shared" si="26"/>
        <v>9.0799259259259255</v>
      </c>
      <c r="U163">
        <f t="shared" si="27"/>
        <v>6.0878270154814818</v>
      </c>
      <c r="X163" s="9"/>
      <c r="Y163" s="21">
        <v>0.96954300000000004</v>
      </c>
      <c r="Z163" s="21">
        <v>15.7714</v>
      </c>
      <c r="AA163" s="21">
        <v>-7.6477100000000003E-3</v>
      </c>
      <c r="AB163" s="21">
        <v>153</v>
      </c>
      <c r="AC163" s="21">
        <v>0.96862800000000004</v>
      </c>
      <c r="AD163">
        <f t="shared" si="28"/>
        <v>9.4416172839506167</v>
      </c>
      <c r="AE163">
        <f t="shared" si="29"/>
        <v>9.1540539463333328</v>
      </c>
      <c r="AF163" s="9"/>
      <c r="AG163" s="21">
        <v>0.67047100000000004</v>
      </c>
      <c r="AH163" s="21">
        <v>19.4697</v>
      </c>
      <c r="AI163" s="21">
        <v>-7.3333699999999996E-3</v>
      </c>
      <c r="AJ163" s="21">
        <v>153</v>
      </c>
      <c r="AK163" s="21">
        <v>0.669983</v>
      </c>
      <c r="AL163">
        <f t="shared" si="30"/>
        <v>9.0535432098765423</v>
      </c>
      <c r="AM163">
        <f t="shared" si="31"/>
        <v>6.0701381694691356</v>
      </c>
      <c r="AP163" s="9"/>
      <c r="AQ163" s="21">
        <v>0.96954300000000004</v>
      </c>
      <c r="AR163" s="21">
        <v>24.833600000000001</v>
      </c>
      <c r="AS163" s="21">
        <v>-7.5561500000000002E-3</v>
      </c>
      <c r="AT163" s="21">
        <v>153</v>
      </c>
      <c r="AU163" s="21">
        <v>0.96923800000000004</v>
      </c>
      <c r="AV163">
        <f t="shared" si="32"/>
        <v>9.3285802469135799</v>
      </c>
      <c r="AW163">
        <f t="shared" si="33"/>
        <v>9.0444596783333342</v>
      </c>
      <c r="AX163" s="9"/>
      <c r="AY163" s="21">
        <v>0.67047100000000004</v>
      </c>
      <c r="AZ163" s="21">
        <v>28.532</v>
      </c>
      <c r="BA163" s="21">
        <v>-7.2937000000000002E-3</v>
      </c>
      <c r="BB163" s="21">
        <v>153</v>
      </c>
      <c r="BC163" s="21">
        <v>0.66995199999999999</v>
      </c>
      <c r="BD163">
        <f t="shared" si="34"/>
        <v>9.0045679012345676</v>
      </c>
      <c r="BE163">
        <f t="shared" si="35"/>
        <v>6.0373016453086423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0.96450800000000003</v>
      </c>
      <c r="H164" s="21">
        <v>6.6462599999999998</v>
      </c>
      <c r="I164" s="21">
        <v>-7.6995800000000001E-3</v>
      </c>
      <c r="J164" s="21">
        <v>154</v>
      </c>
      <c r="K164" s="21">
        <v>0.96374499999999996</v>
      </c>
      <c r="L164">
        <f t="shared" si="24"/>
        <v>9.5056543209876541</v>
      </c>
      <c r="M164">
        <f t="shared" si="25"/>
        <v>9.16827963782716</v>
      </c>
      <c r="N164" s="9"/>
      <c r="O164" s="21">
        <v>0.67550699999999997</v>
      </c>
      <c r="P164" s="21">
        <v>10.3446</v>
      </c>
      <c r="Q164" s="21">
        <v>-7.3425299999999999E-3</v>
      </c>
      <c r="R164" s="21">
        <v>154</v>
      </c>
      <c r="S164" s="21">
        <v>0.67492700000000005</v>
      </c>
      <c r="T164">
        <f t="shared" si="26"/>
        <v>9.0648518518518522</v>
      </c>
      <c r="U164">
        <f t="shared" si="27"/>
        <v>6.1233708798888884</v>
      </c>
      <c r="X164" s="9"/>
      <c r="Y164" s="21">
        <v>0.96450800000000003</v>
      </c>
      <c r="Z164" s="21">
        <v>15.781499999999999</v>
      </c>
      <c r="AA164" s="21">
        <v>-7.6599099999999998E-3</v>
      </c>
      <c r="AB164" s="21">
        <v>154</v>
      </c>
      <c r="AC164" s="21">
        <v>0.96374499999999996</v>
      </c>
      <c r="AD164">
        <f t="shared" si="28"/>
        <v>9.4566790123456776</v>
      </c>
      <c r="AE164">
        <f t="shared" si="29"/>
        <v>9.1210425608395056</v>
      </c>
      <c r="AF164" s="9"/>
      <c r="AG164" s="21">
        <v>0.67550699999999997</v>
      </c>
      <c r="AH164" s="21">
        <v>19.479800000000001</v>
      </c>
      <c r="AI164" s="21">
        <v>-7.3272700000000003E-3</v>
      </c>
      <c r="AJ164" s="21">
        <v>154</v>
      </c>
      <c r="AK164" s="21">
        <v>0.67498800000000003</v>
      </c>
      <c r="AL164">
        <f t="shared" si="30"/>
        <v>9.0460123456790118</v>
      </c>
      <c r="AM164">
        <f t="shared" si="31"/>
        <v>6.110644661592592</v>
      </c>
      <c r="AP164" s="9"/>
      <c r="AQ164" s="21">
        <v>0.96450800000000003</v>
      </c>
      <c r="AR164" s="21">
        <v>24.843699999999998</v>
      </c>
      <c r="AS164" s="21">
        <v>-7.5683599999999997E-3</v>
      </c>
      <c r="AT164" s="21">
        <v>154</v>
      </c>
      <c r="AU164" s="21">
        <v>0.96404999999999996</v>
      </c>
      <c r="AV164">
        <f t="shared" si="32"/>
        <v>9.3436543209876533</v>
      </c>
      <c r="AW164">
        <f t="shared" si="33"/>
        <v>9.0120293418271604</v>
      </c>
      <c r="AX164" s="9"/>
      <c r="AY164" s="21">
        <v>0.67550699999999997</v>
      </c>
      <c r="AZ164" s="21">
        <v>28.542000000000002</v>
      </c>
      <c r="BA164" s="21">
        <v>-7.2814899999999998E-3</v>
      </c>
      <c r="BB164" s="21">
        <v>154</v>
      </c>
      <c r="BC164" s="21">
        <v>0.67495700000000003</v>
      </c>
      <c r="BD164">
        <f t="shared" si="34"/>
        <v>8.9894938271604925</v>
      </c>
      <c r="BE164">
        <f t="shared" si="35"/>
        <v>6.0724660067037028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0.95947300000000002</v>
      </c>
      <c r="H165" s="21">
        <v>6.6563299999999996</v>
      </c>
      <c r="I165" s="21">
        <v>-7.7056900000000003E-3</v>
      </c>
      <c r="J165" s="21">
        <v>155</v>
      </c>
      <c r="K165" s="21">
        <v>0.95825199999999999</v>
      </c>
      <c r="L165">
        <f t="shared" si="24"/>
        <v>9.5131975308641969</v>
      </c>
      <c r="M165">
        <f t="shared" si="25"/>
        <v>9.1276561745308644</v>
      </c>
      <c r="N165" s="9"/>
      <c r="O165" s="21">
        <v>0.68054199999999998</v>
      </c>
      <c r="P165" s="21">
        <v>10.354699999999999</v>
      </c>
      <c r="Q165" s="21">
        <v>-7.3364299999999997E-3</v>
      </c>
      <c r="R165" s="21">
        <v>155</v>
      </c>
      <c r="S165" s="21">
        <v>0.67999299999999996</v>
      </c>
      <c r="T165">
        <f t="shared" si="26"/>
        <v>9.0573209876543199</v>
      </c>
      <c r="U165">
        <f t="shared" si="27"/>
        <v>6.1638873395802456</v>
      </c>
      <c r="X165" s="9"/>
      <c r="Y165" s="21">
        <v>0.95947300000000002</v>
      </c>
      <c r="Z165" s="21">
        <v>15.791499999999999</v>
      </c>
      <c r="AA165" s="21">
        <v>-7.6721200000000002E-3</v>
      </c>
      <c r="AB165" s="21">
        <v>155</v>
      </c>
      <c r="AC165" s="21">
        <v>0.95886199999999999</v>
      </c>
      <c r="AD165">
        <f t="shared" si="28"/>
        <v>9.4717530864197528</v>
      </c>
      <c r="AE165">
        <f t="shared" si="29"/>
        <v>9.0878913490864193</v>
      </c>
      <c r="AF165" s="9"/>
      <c r="AG165" s="21">
        <v>0.68054199999999998</v>
      </c>
      <c r="AH165" s="21">
        <v>19.489899999999999</v>
      </c>
      <c r="AI165" s="21">
        <v>-7.31506E-3</v>
      </c>
      <c r="AJ165" s="21">
        <v>155</v>
      </c>
      <c r="AK165" s="21">
        <v>0.67999299999999996</v>
      </c>
      <c r="AL165">
        <f t="shared" si="30"/>
        <v>9.0309382716049367</v>
      </c>
      <c r="AM165">
        <f t="shared" si="31"/>
        <v>6.1459327932345662</v>
      </c>
      <c r="AP165" s="9"/>
      <c r="AQ165" s="21">
        <v>0.95947300000000002</v>
      </c>
      <c r="AR165" s="21">
        <v>24.8537</v>
      </c>
      <c r="AS165" s="21">
        <v>-7.5836200000000001E-3</v>
      </c>
      <c r="AT165" s="21">
        <v>155</v>
      </c>
      <c r="AU165" s="21">
        <v>0.95855699999999999</v>
      </c>
      <c r="AV165">
        <f t="shared" si="32"/>
        <v>9.3624938271604936</v>
      </c>
      <c r="AW165">
        <f t="shared" si="33"/>
        <v>8.9830600398271603</v>
      </c>
      <c r="AX165" s="9"/>
      <c r="AY165" s="21">
        <v>0.68054199999999998</v>
      </c>
      <c r="AZ165" s="21">
        <v>28.552099999999999</v>
      </c>
      <c r="BA165" s="21">
        <v>-7.2723400000000004E-3</v>
      </c>
      <c r="BB165" s="21">
        <v>155</v>
      </c>
      <c r="BC165" s="21">
        <v>0.68005400000000005</v>
      </c>
      <c r="BD165">
        <f t="shared" si="34"/>
        <v>8.9781975308641968</v>
      </c>
      <c r="BE165">
        <f t="shared" si="35"/>
        <v>6.1100405040493824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0.95443699999999998</v>
      </c>
      <c r="H166" s="21">
        <v>6.6664000000000003</v>
      </c>
      <c r="I166" s="21">
        <v>-7.7209499999999999E-3</v>
      </c>
      <c r="J166" s="21">
        <v>156</v>
      </c>
      <c r="K166" s="21">
        <v>0.95275900000000002</v>
      </c>
      <c r="L166">
        <f t="shared" si="24"/>
        <v>9.5320370370370373</v>
      </c>
      <c r="M166">
        <f t="shared" si="25"/>
        <v>9.0977288335185182</v>
      </c>
      <c r="N166" s="9"/>
      <c r="O166" s="21">
        <v>0.68557699999999999</v>
      </c>
      <c r="P166" s="21">
        <v>10.364699999999999</v>
      </c>
      <c r="Q166" s="21">
        <v>-7.3364299999999997E-3</v>
      </c>
      <c r="R166" s="21">
        <v>156</v>
      </c>
      <c r="S166" s="21">
        <v>0.68505899999999997</v>
      </c>
      <c r="T166">
        <f t="shared" si="26"/>
        <v>9.0573209876543199</v>
      </c>
      <c r="U166">
        <f t="shared" si="27"/>
        <v>6.2094909507530858</v>
      </c>
      <c r="X166" s="9"/>
      <c r="Y166" s="21">
        <v>0.95443699999999998</v>
      </c>
      <c r="Z166" s="21">
        <v>15.801600000000001</v>
      </c>
      <c r="AA166" s="21">
        <v>-7.6843299999999996E-3</v>
      </c>
      <c r="AB166" s="21">
        <v>156</v>
      </c>
      <c r="AC166" s="21">
        <v>0.95397900000000002</v>
      </c>
      <c r="AD166">
        <f t="shared" si="28"/>
        <v>9.4868271604938261</v>
      </c>
      <c r="AE166">
        <f t="shared" si="29"/>
        <v>9.0545788545802459</v>
      </c>
      <c r="AF166" s="9"/>
      <c r="AG166" s="21">
        <v>0.68557699999999999</v>
      </c>
      <c r="AH166" s="21">
        <v>19.5</v>
      </c>
      <c r="AI166" s="21">
        <v>-7.2937000000000002E-3</v>
      </c>
      <c r="AJ166" s="21">
        <v>156</v>
      </c>
      <c r="AK166" s="21">
        <v>0.68496699999999999</v>
      </c>
      <c r="AL166">
        <f t="shared" si="30"/>
        <v>9.0045679012345676</v>
      </c>
      <c r="AM166">
        <f t="shared" si="31"/>
        <v>6.1733246480246908</v>
      </c>
      <c r="AP166" s="9"/>
      <c r="AQ166" s="21">
        <v>0.95443699999999998</v>
      </c>
      <c r="AR166" s="21">
        <v>24.863800000000001</v>
      </c>
      <c r="AS166" s="21">
        <v>-7.5897200000000003E-3</v>
      </c>
      <c r="AT166" s="21">
        <v>156</v>
      </c>
      <c r="AU166" s="21">
        <v>0.95306400000000002</v>
      </c>
      <c r="AV166">
        <f t="shared" si="32"/>
        <v>9.3700246913580241</v>
      </c>
      <c r="AW166">
        <f t="shared" si="33"/>
        <v>8.943098256345678</v>
      </c>
      <c r="AX166" s="9"/>
      <c r="AY166" s="21">
        <v>0.68557699999999999</v>
      </c>
      <c r="AZ166" s="21">
        <v>28.562200000000001</v>
      </c>
      <c r="BA166" s="21">
        <v>-7.2601300000000001E-3</v>
      </c>
      <c r="BB166" s="21">
        <v>156</v>
      </c>
      <c r="BC166" s="21">
        <v>0.68508899999999995</v>
      </c>
      <c r="BD166">
        <f t="shared" si="34"/>
        <v>8.9631234567901235</v>
      </c>
      <c r="BE166">
        <f t="shared" si="35"/>
        <v>6.1449112901358021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0.94940199999999997</v>
      </c>
      <c r="H167" s="21">
        <v>6.6764700000000001</v>
      </c>
      <c r="I167" s="21">
        <v>-7.7392600000000004E-3</v>
      </c>
      <c r="J167" s="21">
        <v>157</v>
      </c>
      <c r="K167" s="21">
        <v>0.94848600000000005</v>
      </c>
      <c r="L167">
        <f t="shared" si="24"/>
        <v>9.5546419753086411</v>
      </c>
      <c r="M167">
        <f t="shared" si="25"/>
        <v>9.0711962006419746</v>
      </c>
      <c r="N167" s="9"/>
      <c r="O167" s="21">
        <v>0.69061300000000003</v>
      </c>
      <c r="P167" s="21">
        <v>10.3748</v>
      </c>
      <c r="Q167" s="21">
        <v>-7.3333699999999996E-3</v>
      </c>
      <c r="R167" s="21">
        <v>157</v>
      </c>
      <c r="S167" s="21">
        <v>0.69009399999999999</v>
      </c>
      <c r="T167">
        <f t="shared" si="26"/>
        <v>9.0535432098765423</v>
      </c>
      <c r="U167">
        <f t="shared" si="27"/>
        <v>6.252494636802469</v>
      </c>
      <c r="X167" s="9"/>
      <c r="Y167" s="21">
        <v>0.94940199999999997</v>
      </c>
      <c r="Z167" s="21">
        <v>15.8117</v>
      </c>
      <c r="AA167" s="21">
        <v>-7.6873799999999997E-3</v>
      </c>
      <c r="AB167" s="21">
        <v>157</v>
      </c>
      <c r="AC167" s="21">
        <v>0.94879199999999997</v>
      </c>
      <c r="AD167">
        <f t="shared" si="28"/>
        <v>9.4905925925925914</v>
      </c>
      <c r="AE167">
        <f t="shared" si="29"/>
        <v>9.0103875885925913</v>
      </c>
      <c r="AF167" s="9"/>
      <c r="AG167" s="21">
        <v>0.69061300000000003</v>
      </c>
      <c r="AH167" s="21">
        <v>19.510000000000002</v>
      </c>
      <c r="AI167" s="21">
        <v>-7.2784399999999997E-3</v>
      </c>
      <c r="AJ167" s="21">
        <v>157</v>
      </c>
      <c r="AK167" s="21">
        <v>0.69003300000000001</v>
      </c>
      <c r="AL167">
        <f t="shared" si="30"/>
        <v>8.985728395061729</v>
      </c>
      <c r="AM167">
        <f t="shared" si="31"/>
        <v>6.2056608440987659</v>
      </c>
      <c r="AP167" s="9"/>
      <c r="AQ167" s="21">
        <v>0.94940199999999997</v>
      </c>
      <c r="AR167" s="21">
        <v>24.873899999999999</v>
      </c>
      <c r="AS167" s="21">
        <v>-7.6049799999999999E-3</v>
      </c>
      <c r="AT167" s="21">
        <v>157</v>
      </c>
      <c r="AU167" s="21">
        <v>0.94848600000000005</v>
      </c>
      <c r="AV167">
        <f t="shared" si="32"/>
        <v>9.3888641975308627</v>
      </c>
      <c r="AW167">
        <f t="shared" si="33"/>
        <v>8.9138064468641964</v>
      </c>
      <c r="AX167" s="9"/>
      <c r="AY167" s="21">
        <v>0.69061300000000003</v>
      </c>
      <c r="AZ167" s="21">
        <v>28.572199999999999</v>
      </c>
      <c r="BA167" s="21">
        <v>-7.2601300000000001E-3</v>
      </c>
      <c r="BB167" s="21">
        <v>157</v>
      </c>
      <c r="BC167" s="21">
        <v>0.69009399999999999</v>
      </c>
      <c r="BD167">
        <f t="shared" si="34"/>
        <v>8.9631234567901235</v>
      </c>
      <c r="BE167">
        <f t="shared" si="35"/>
        <v>6.1900495798641977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0.94436600000000004</v>
      </c>
      <c r="H168" s="21">
        <v>6.6865399999999999</v>
      </c>
      <c r="I168" s="21">
        <v>-7.7514599999999999E-3</v>
      </c>
      <c r="J168" s="21">
        <v>158</v>
      </c>
      <c r="K168" s="21">
        <v>0.943909</v>
      </c>
      <c r="L168">
        <f t="shared" si="24"/>
        <v>9.5697037037037038</v>
      </c>
      <c r="M168">
        <f t="shared" si="25"/>
        <v>9.0373028078518516</v>
      </c>
      <c r="N168" s="9"/>
      <c r="O168" s="21">
        <v>0.69564800000000004</v>
      </c>
      <c r="P168" s="21">
        <v>10.3849</v>
      </c>
      <c r="Q168" s="21">
        <v>-7.3272700000000003E-3</v>
      </c>
      <c r="R168" s="21">
        <v>158</v>
      </c>
      <c r="S168" s="21">
        <v>0.695129</v>
      </c>
      <c r="T168">
        <f t="shared" si="26"/>
        <v>9.0460123456790118</v>
      </c>
      <c r="U168">
        <f t="shared" si="27"/>
        <v>6.2928403962469135</v>
      </c>
      <c r="X168" s="9"/>
      <c r="Y168" s="21">
        <v>0.94436600000000004</v>
      </c>
      <c r="Z168" s="21">
        <v>15.8218</v>
      </c>
      <c r="AA168" s="21">
        <v>-7.6934799999999999E-3</v>
      </c>
      <c r="AB168" s="21">
        <v>158</v>
      </c>
      <c r="AC168" s="21">
        <v>0.943604</v>
      </c>
      <c r="AD168">
        <f t="shared" si="28"/>
        <v>9.4981234567901218</v>
      </c>
      <c r="AE168">
        <f t="shared" si="29"/>
        <v>8.9697048563950599</v>
      </c>
      <c r="AF168" s="9"/>
      <c r="AG168" s="21">
        <v>0.69564800000000004</v>
      </c>
      <c r="AH168" s="21">
        <v>19.520099999999999</v>
      </c>
      <c r="AI168" s="21">
        <v>-7.2601300000000001E-3</v>
      </c>
      <c r="AJ168" s="21">
        <v>158</v>
      </c>
      <c r="AK168" s="21">
        <v>0.695129</v>
      </c>
      <c r="AL168">
        <f t="shared" si="30"/>
        <v>8.9631234567901235</v>
      </c>
      <c r="AM168">
        <f t="shared" si="31"/>
        <v>6.2351789064691365</v>
      </c>
      <c r="AP168" s="9"/>
      <c r="AQ168" s="21">
        <v>0.94436600000000004</v>
      </c>
      <c r="AR168" s="21">
        <v>24.883900000000001</v>
      </c>
      <c r="AS168" s="21">
        <v>-7.6141400000000001E-3</v>
      </c>
      <c r="AT168" s="21">
        <v>158</v>
      </c>
      <c r="AU168" s="21">
        <v>0.94299299999999997</v>
      </c>
      <c r="AV168">
        <f t="shared" si="32"/>
        <v>9.4001728395061726</v>
      </c>
      <c r="AW168">
        <f t="shared" si="33"/>
        <v>8.8772036237530862</v>
      </c>
      <c r="AX168" s="9"/>
      <c r="AY168" s="21">
        <v>0.69564800000000004</v>
      </c>
      <c r="AZ168" s="21">
        <v>28.5823</v>
      </c>
      <c r="BA168" s="21">
        <v>-7.25708E-3</v>
      </c>
      <c r="BB168" s="21">
        <v>158</v>
      </c>
      <c r="BC168" s="21">
        <v>0.69518999999999997</v>
      </c>
      <c r="BD168">
        <f t="shared" si="34"/>
        <v>8.9593580246913564</v>
      </c>
      <c r="BE168">
        <f t="shared" si="35"/>
        <v>6.2325594911604929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0.93933100000000003</v>
      </c>
      <c r="H169" s="21">
        <v>6.6966099999999997</v>
      </c>
      <c r="I169" s="21">
        <v>-7.7606200000000002E-3</v>
      </c>
      <c r="J169" s="21">
        <v>159</v>
      </c>
      <c r="K169" s="21">
        <v>0.93811</v>
      </c>
      <c r="L169">
        <f t="shared" si="24"/>
        <v>9.5810123456790119</v>
      </c>
      <c r="M169">
        <f t="shared" si="25"/>
        <v>8.9997419076790131</v>
      </c>
      <c r="N169" s="9"/>
      <c r="O169" s="21">
        <v>0.70068399999999997</v>
      </c>
      <c r="P169" s="21">
        <v>10.3949</v>
      </c>
      <c r="Q169" s="21">
        <v>-7.3211700000000001E-3</v>
      </c>
      <c r="R169" s="21">
        <v>159</v>
      </c>
      <c r="S169" s="21">
        <v>0.70019500000000001</v>
      </c>
      <c r="T169">
        <f t="shared" si="26"/>
        <v>9.0384814814814813</v>
      </c>
      <c r="U169">
        <f t="shared" si="27"/>
        <v>6.3331193583703698</v>
      </c>
      <c r="X169" s="9"/>
      <c r="Y169" s="21">
        <v>0.93933100000000003</v>
      </c>
      <c r="Z169" s="21">
        <v>15.831799999999999</v>
      </c>
      <c r="AA169" s="21">
        <v>-7.6934799999999999E-3</v>
      </c>
      <c r="AB169" s="21">
        <v>159</v>
      </c>
      <c r="AC169" s="21">
        <v>0.93811</v>
      </c>
      <c r="AD169">
        <f t="shared" si="28"/>
        <v>9.4981234567901218</v>
      </c>
      <c r="AE169">
        <f t="shared" si="29"/>
        <v>8.9218818047901216</v>
      </c>
      <c r="AF169" s="9"/>
      <c r="AG169" s="21">
        <v>0.70068399999999997</v>
      </c>
      <c r="AH169" s="21">
        <v>19.530200000000001</v>
      </c>
      <c r="AI169" s="21">
        <v>-7.2540299999999999E-3</v>
      </c>
      <c r="AJ169" s="21">
        <v>159</v>
      </c>
      <c r="AK169" s="21">
        <v>0.70022600000000002</v>
      </c>
      <c r="AL169">
        <f t="shared" si="30"/>
        <v>8.9555925925925912</v>
      </c>
      <c r="AM169">
        <f t="shared" si="31"/>
        <v>6.275040440148147</v>
      </c>
      <c r="AP169" s="9"/>
      <c r="AQ169" s="21">
        <v>0.93933100000000003</v>
      </c>
      <c r="AR169" s="21">
        <v>24.893999999999998</v>
      </c>
      <c r="AS169" s="21">
        <v>-7.6232899999999996E-3</v>
      </c>
      <c r="AT169" s="21">
        <v>159</v>
      </c>
      <c r="AU169" s="21">
        <v>0.93811</v>
      </c>
      <c r="AV169">
        <f t="shared" si="32"/>
        <v>9.4114691358024682</v>
      </c>
      <c r="AW169">
        <f t="shared" si="33"/>
        <v>8.8404847148024679</v>
      </c>
      <c r="AX169" s="9"/>
      <c r="AY169" s="21">
        <v>0.70068399999999997</v>
      </c>
      <c r="AZ169" s="21">
        <v>28.592400000000001</v>
      </c>
      <c r="BA169" s="21">
        <v>-7.2540299999999999E-3</v>
      </c>
      <c r="BB169" s="21">
        <v>159</v>
      </c>
      <c r="BC169" s="21">
        <v>0.70013400000000003</v>
      </c>
      <c r="BD169">
        <f t="shared" si="34"/>
        <v>8.9555925925925912</v>
      </c>
      <c r="BE169">
        <f t="shared" si="35"/>
        <v>6.275040440148147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0.93429600000000002</v>
      </c>
      <c r="H170" s="21">
        <v>6.7066800000000004</v>
      </c>
      <c r="I170" s="21">
        <v>-7.7697799999999996E-3</v>
      </c>
      <c r="J170" s="21">
        <v>160</v>
      </c>
      <c r="K170" s="21">
        <v>0.93414299999999995</v>
      </c>
      <c r="L170">
        <f t="shared" si="24"/>
        <v>9.5923209876543183</v>
      </c>
      <c r="M170">
        <f t="shared" si="25"/>
        <v>8.9620671294814791</v>
      </c>
      <c r="N170" s="9"/>
      <c r="O170" s="21">
        <v>0.70571899999999999</v>
      </c>
      <c r="P170" s="21">
        <v>10.404999999999999</v>
      </c>
      <c r="Q170" s="21">
        <v>-7.31506E-3</v>
      </c>
      <c r="R170" s="21">
        <v>160</v>
      </c>
      <c r="S170" s="21">
        <v>0.70523100000000005</v>
      </c>
      <c r="T170">
        <f t="shared" si="26"/>
        <v>9.0309382716049367</v>
      </c>
      <c r="U170">
        <f t="shared" si="27"/>
        <v>6.3733047260987643</v>
      </c>
      <c r="X170" s="9"/>
      <c r="Y170" s="21">
        <v>0.93429600000000002</v>
      </c>
      <c r="Z170" s="21">
        <v>15.841900000000001</v>
      </c>
      <c r="AA170" s="21">
        <v>-7.69653E-3</v>
      </c>
      <c r="AB170" s="21">
        <v>160</v>
      </c>
      <c r="AC170" s="21">
        <v>0.93353299999999995</v>
      </c>
      <c r="AD170">
        <f t="shared" si="28"/>
        <v>9.5018888888888871</v>
      </c>
      <c r="AE170">
        <f t="shared" si="29"/>
        <v>8.8775767813333317</v>
      </c>
      <c r="AF170" s="9"/>
      <c r="AG170" s="21">
        <v>0.70571899999999999</v>
      </c>
      <c r="AH170" s="21">
        <v>19.540199999999999</v>
      </c>
      <c r="AI170" s="21">
        <v>-7.2479199999999997E-3</v>
      </c>
      <c r="AJ170" s="21">
        <v>160</v>
      </c>
      <c r="AK170" s="21">
        <v>0.70526100000000003</v>
      </c>
      <c r="AL170">
        <f t="shared" si="30"/>
        <v>8.9480493827160483</v>
      </c>
      <c r="AM170">
        <f t="shared" si="31"/>
        <v>6.314808462320987</v>
      </c>
      <c r="AP170" s="9"/>
      <c r="AQ170" s="21">
        <v>0.93429600000000002</v>
      </c>
      <c r="AR170" s="21">
        <v>24.9041</v>
      </c>
      <c r="AS170" s="21">
        <v>-7.6324499999999998E-3</v>
      </c>
      <c r="AT170" s="21">
        <v>160</v>
      </c>
      <c r="AU170" s="21">
        <v>0.93322799999999995</v>
      </c>
      <c r="AV170">
        <f t="shared" si="32"/>
        <v>9.4227777777777764</v>
      </c>
      <c r="AW170">
        <f t="shared" si="33"/>
        <v>8.8036635866666657</v>
      </c>
      <c r="AX170" s="9"/>
      <c r="AY170" s="21">
        <v>0.70571899999999999</v>
      </c>
      <c r="AZ170" s="21">
        <v>28.602499999999999</v>
      </c>
      <c r="BA170" s="21">
        <v>-7.2509799999999998E-3</v>
      </c>
      <c r="BB170" s="21">
        <v>160</v>
      </c>
      <c r="BC170" s="21">
        <v>0.70523100000000005</v>
      </c>
      <c r="BD170">
        <f t="shared" si="34"/>
        <v>8.951827160493826</v>
      </c>
      <c r="BE170">
        <f t="shared" si="35"/>
        <v>6.3174745118765419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0.92925999999999997</v>
      </c>
      <c r="H171" s="21">
        <v>6.7167500000000002</v>
      </c>
      <c r="I171" s="21">
        <v>-7.7697799999999996E-3</v>
      </c>
      <c r="J171" s="21">
        <v>161</v>
      </c>
      <c r="K171" s="21">
        <v>0.92773399999999995</v>
      </c>
      <c r="L171">
        <f t="shared" si="24"/>
        <v>9.5923209876543183</v>
      </c>
      <c r="M171">
        <f t="shared" si="25"/>
        <v>8.9137602009876513</v>
      </c>
      <c r="N171" s="9"/>
      <c r="O171" s="21">
        <v>0.710754</v>
      </c>
      <c r="P171" s="21">
        <v>10.415100000000001</v>
      </c>
      <c r="Q171" s="21">
        <v>-7.3028600000000004E-3</v>
      </c>
      <c r="R171" s="21">
        <v>161</v>
      </c>
      <c r="S171" s="21">
        <v>0.71023599999999998</v>
      </c>
      <c r="T171">
        <f t="shared" si="26"/>
        <v>9.0158765432098775</v>
      </c>
      <c r="U171">
        <f t="shared" si="27"/>
        <v>6.4080703165925934</v>
      </c>
      <c r="X171" s="9"/>
      <c r="Y171" s="21">
        <v>0.92925999999999997</v>
      </c>
      <c r="Z171" s="21">
        <v>15.852</v>
      </c>
      <c r="AA171" s="21">
        <v>-7.7087400000000004E-3</v>
      </c>
      <c r="AB171" s="21">
        <v>161</v>
      </c>
      <c r="AC171" s="21">
        <v>0.92895499999999998</v>
      </c>
      <c r="AD171">
        <f t="shared" si="28"/>
        <v>9.516962962962964</v>
      </c>
      <c r="AE171">
        <f t="shared" si="29"/>
        <v>8.8437330029629635</v>
      </c>
      <c r="AF171" s="9"/>
      <c r="AG171" s="21">
        <v>0.710754</v>
      </c>
      <c r="AH171" s="21">
        <v>19.5503</v>
      </c>
      <c r="AI171" s="21">
        <v>-7.2479199999999997E-3</v>
      </c>
      <c r="AJ171" s="21">
        <v>161</v>
      </c>
      <c r="AK171" s="21">
        <v>0.71023599999999998</v>
      </c>
      <c r="AL171">
        <f t="shared" si="30"/>
        <v>8.9480493827160483</v>
      </c>
      <c r="AM171">
        <f t="shared" si="31"/>
        <v>6.3598618909629625</v>
      </c>
      <c r="AP171" s="9"/>
      <c r="AQ171" s="21">
        <v>0.92925999999999997</v>
      </c>
      <c r="AR171" s="21">
        <v>24.914100000000001</v>
      </c>
      <c r="AS171" s="21">
        <v>-7.6507600000000004E-3</v>
      </c>
      <c r="AT171" s="21">
        <v>161</v>
      </c>
      <c r="AU171" s="21">
        <v>0.92864999999999998</v>
      </c>
      <c r="AV171">
        <f t="shared" si="32"/>
        <v>9.4453827160493837</v>
      </c>
      <c r="AW171">
        <f t="shared" si="33"/>
        <v>8.7772163427160503</v>
      </c>
      <c r="AX171" s="9"/>
      <c r="AY171" s="21">
        <v>0.710754</v>
      </c>
      <c r="AZ171" s="21">
        <v>28.612500000000001</v>
      </c>
      <c r="BA171" s="21">
        <v>-7.2479199999999997E-3</v>
      </c>
      <c r="BB171" s="21">
        <v>161</v>
      </c>
      <c r="BC171" s="21">
        <v>0.71026599999999995</v>
      </c>
      <c r="BD171">
        <f t="shared" si="34"/>
        <v>8.9480493827160483</v>
      </c>
      <c r="BE171">
        <f t="shared" si="35"/>
        <v>6.3598618909629625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0.92422499999999996</v>
      </c>
      <c r="H172" s="21">
        <v>6.72682</v>
      </c>
      <c r="I172" s="21">
        <v>-7.7636700000000003E-3</v>
      </c>
      <c r="J172" s="21">
        <v>162</v>
      </c>
      <c r="K172" s="21">
        <v>0.92254599999999998</v>
      </c>
      <c r="L172">
        <f t="shared" si="24"/>
        <v>9.5847777777777772</v>
      </c>
      <c r="M172">
        <f t="shared" si="25"/>
        <v>8.8584912416666661</v>
      </c>
      <c r="N172" s="9"/>
      <c r="O172" s="21">
        <v>0.71579000000000004</v>
      </c>
      <c r="P172" s="21">
        <v>10.4252</v>
      </c>
      <c r="Q172" s="21">
        <v>-7.2998000000000004E-3</v>
      </c>
      <c r="R172" s="21">
        <v>162</v>
      </c>
      <c r="S172" s="21">
        <v>0.71533199999999997</v>
      </c>
      <c r="T172">
        <f t="shared" si="26"/>
        <v>9.0120987654320999</v>
      </c>
      <c r="U172">
        <f t="shared" si="27"/>
        <v>6.4507701753086435</v>
      </c>
      <c r="X172" s="9"/>
      <c r="Y172" s="21">
        <v>0.92422499999999996</v>
      </c>
      <c r="Z172" s="21">
        <v>15.862</v>
      </c>
      <c r="AA172" s="21">
        <v>-7.7178999999999998E-3</v>
      </c>
      <c r="AB172" s="21">
        <v>162</v>
      </c>
      <c r="AC172" s="21">
        <v>0.92315700000000001</v>
      </c>
      <c r="AD172">
        <f t="shared" si="28"/>
        <v>9.5282716049382703</v>
      </c>
      <c r="AE172">
        <f t="shared" si="29"/>
        <v>8.806266824074072</v>
      </c>
      <c r="AF172" s="9"/>
      <c r="AG172" s="21">
        <v>0.71579000000000004</v>
      </c>
      <c r="AH172" s="21">
        <v>19.560400000000001</v>
      </c>
      <c r="AI172" s="21">
        <v>-7.2448699999999996E-3</v>
      </c>
      <c r="AJ172" s="21">
        <v>162</v>
      </c>
      <c r="AK172" s="21">
        <v>0.71530199999999999</v>
      </c>
      <c r="AL172">
        <f t="shared" si="30"/>
        <v>8.9442839506172831</v>
      </c>
      <c r="AM172">
        <f t="shared" si="31"/>
        <v>6.4022290090123457</v>
      </c>
      <c r="AP172" s="9"/>
      <c r="AQ172" s="21">
        <v>0.92422499999999996</v>
      </c>
      <c r="AR172" s="21">
        <v>24.924199999999999</v>
      </c>
      <c r="AS172" s="21">
        <v>-7.6690700000000001E-3</v>
      </c>
      <c r="AT172" s="21">
        <v>162</v>
      </c>
      <c r="AU172" s="21">
        <v>0.92346200000000001</v>
      </c>
      <c r="AV172">
        <f t="shared" si="32"/>
        <v>9.4679876543209875</v>
      </c>
      <c r="AW172">
        <f t="shared" si="33"/>
        <v>8.7505508898148143</v>
      </c>
      <c r="AX172" s="9"/>
      <c r="AY172" s="21">
        <v>0.71579000000000004</v>
      </c>
      <c r="AZ172" s="21">
        <v>28.622599999999998</v>
      </c>
      <c r="BA172" s="21">
        <v>-7.2357200000000002E-3</v>
      </c>
      <c r="BB172" s="21">
        <v>162</v>
      </c>
      <c r="BC172" s="21">
        <v>0.71533199999999997</v>
      </c>
      <c r="BD172">
        <f t="shared" si="34"/>
        <v>8.9329876543209874</v>
      </c>
      <c r="BE172">
        <f t="shared" si="35"/>
        <v>6.3941432330864201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0.91918900000000003</v>
      </c>
      <c r="H173" s="21">
        <v>6.7368899999999998</v>
      </c>
      <c r="I173" s="21">
        <v>-7.7697799999999996E-3</v>
      </c>
      <c r="J173" s="21">
        <v>163</v>
      </c>
      <c r="K173" s="21">
        <v>0.91827400000000003</v>
      </c>
      <c r="L173">
        <f t="shared" si="24"/>
        <v>9.5923209876543183</v>
      </c>
      <c r="M173">
        <f t="shared" si="25"/>
        <v>8.8171559363209848</v>
      </c>
      <c r="N173" s="9"/>
      <c r="O173" s="21">
        <v>0.72082500000000005</v>
      </c>
      <c r="P173" s="21">
        <v>10.4352</v>
      </c>
      <c r="Q173" s="21">
        <v>-7.2937000000000002E-3</v>
      </c>
      <c r="R173" s="21">
        <v>163</v>
      </c>
      <c r="S173" s="21">
        <v>0.72024500000000002</v>
      </c>
      <c r="T173">
        <f t="shared" si="26"/>
        <v>9.0045679012345676</v>
      </c>
      <c r="U173">
        <f t="shared" si="27"/>
        <v>6.4907176574074077</v>
      </c>
      <c r="X173" s="9"/>
      <c r="Y173" s="21">
        <v>0.91918900000000003</v>
      </c>
      <c r="Z173" s="21">
        <v>15.8721</v>
      </c>
      <c r="AA173" s="21">
        <v>-7.7209499999999999E-3</v>
      </c>
      <c r="AB173" s="21">
        <v>163</v>
      </c>
      <c r="AC173" s="21">
        <v>0.91857900000000003</v>
      </c>
      <c r="AD173">
        <f t="shared" si="28"/>
        <v>9.5320370370370373</v>
      </c>
      <c r="AE173">
        <f t="shared" si="29"/>
        <v>8.7617435920370372</v>
      </c>
      <c r="AF173" s="9"/>
      <c r="AG173" s="21">
        <v>0.72082500000000005</v>
      </c>
      <c r="AH173" s="21">
        <v>19.570399999999999</v>
      </c>
      <c r="AI173" s="21">
        <v>-7.2326700000000001E-3</v>
      </c>
      <c r="AJ173" s="21">
        <v>163</v>
      </c>
      <c r="AK173" s="21">
        <v>0.720306</v>
      </c>
      <c r="AL173">
        <f t="shared" si="30"/>
        <v>8.9292222222222222</v>
      </c>
      <c r="AM173">
        <f t="shared" si="31"/>
        <v>6.4364066083333338</v>
      </c>
      <c r="AP173" s="9"/>
      <c r="AQ173" s="21">
        <v>0.91918900000000003</v>
      </c>
      <c r="AR173" s="21">
        <v>24.9343</v>
      </c>
      <c r="AS173" s="21">
        <v>-7.6843299999999996E-3</v>
      </c>
      <c r="AT173" s="21">
        <v>163</v>
      </c>
      <c r="AU173" s="21">
        <v>0.91796900000000003</v>
      </c>
      <c r="AV173">
        <f t="shared" si="32"/>
        <v>9.4868271604938261</v>
      </c>
      <c r="AW173">
        <f t="shared" si="33"/>
        <v>8.7201871708271597</v>
      </c>
      <c r="AX173" s="9"/>
      <c r="AY173" s="21">
        <v>0.72082500000000005</v>
      </c>
      <c r="AZ173" s="21">
        <v>28.6327</v>
      </c>
      <c r="BA173" s="21">
        <v>-7.22961E-3</v>
      </c>
      <c r="BB173" s="21">
        <v>163</v>
      </c>
      <c r="BC173" s="21">
        <v>0.720306</v>
      </c>
      <c r="BD173">
        <f t="shared" si="34"/>
        <v>8.9254444444444445</v>
      </c>
      <c r="BE173">
        <f t="shared" si="35"/>
        <v>6.4336834916666668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0.91415400000000002</v>
      </c>
      <c r="H174" s="21">
        <v>6.7469700000000001</v>
      </c>
      <c r="I174" s="21">
        <v>-7.7728299999999997E-3</v>
      </c>
      <c r="J174" s="21">
        <v>164</v>
      </c>
      <c r="K174" s="21">
        <v>0.91369599999999995</v>
      </c>
      <c r="L174">
        <f t="shared" si="24"/>
        <v>9.5960864197530853</v>
      </c>
      <c r="M174">
        <f t="shared" si="25"/>
        <v>8.7723007849629617</v>
      </c>
      <c r="N174" s="9"/>
      <c r="O174" s="21">
        <v>0.72586099999999998</v>
      </c>
      <c r="P174" s="21">
        <v>10.4453</v>
      </c>
      <c r="Q174" s="21">
        <v>-7.2876E-3</v>
      </c>
      <c r="R174" s="21">
        <v>164</v>
      </c>
      <c r="S174" s="21">
        <v>0.72531100000000004</v>
      </c>
      <c r="T174">
        <f t="shared" si="26"/>
        <v>8.9970370370370354</v>
      </c>
      <c r="U174">
        <f t="shared" si="27"/>
        <v>6.5305983007407393</v>
      </c>
      <c r="X174" s="9"/>
      <c r="Y174" s="21">
        <v>0.91415400000000002</v>
      </c>
      <c r="Z174" s="21">
        <v>15.882199999999999</v>
      </c>
      <c r="AA174" s="21">
        <v>-7.7301000000000002E-3</v>
      </c>
      <c r="AB174" s="21">
        <v>164</v>
      </c>
      <c r="AC174" s="21">
        <v>0.91339099999999995</v>
      </c>
      <c r="AD174">
        <f t="shared" si="28"/>
        <v>9.543333333333333</v>
      </c>
      <c r="AE174">
        <f t="shared" si="29"/>
        <v>8.7240763399999999</v>
      </c>
      <c r="AF174" s="9"/>
      <c r="AG174" s="21">
        <v>0.72586099999999998</v>
      </c>
      <c r="AH174" s="21">
        <v>19.580500000000001</v>
      </c>
      <c r="AI174" s="21">
        <v>-7.2204599999999997E-3</v>
      </c>
      <c r="AJ174" s="21">
        <v>164</v>
      </c>
      <c r="AK174" s="21">
        <v>0.72537200000000002</v>
      </c>
      <c r="AL174">
        <f t="shared" si="30"/>
        <v>8.914148148148147</v>
      </c>
      <c r="AM174">
        <f t="shared" si="31"/>
        <v>6.4704324889629623</v>
      </c>
      <c r="AP174" s="9"/>
      <c r="AQ174" s="21">
        <v>0.91415400000000002</v>
      </c>
      <c r="AR174" s="21">
        <v>24.944400000000002</v>
      </c>
      <c r="AS174" s="21">
        <v>-7.69653E-3</v>
      </c>
      <c r="AT174" s="21">
        <v>164</v>
      </c>
      <c r="AU174" s="21">
        <v>0.91369599999999995</v>
      </c>
      <c r="AV174">
        <f t="shared" si="32"/>
        <v>9.5018888888888871</v>
      </c>
      <c r="AW174">
        <f t="shared" si="33"/>
        <v>8.6861897353333326</v>
      </c>
      <c r="AX174" s="9"/>
      <c r="AY174" s="21">
        <v>0.72586099999999998</v>
      </c>
      <c r="AZ174" s="21">
        <v>28.642700000000001</v>
      </c>
      <c r="BA174" s="21">
        <v>-7.2204599999999997E-3</v>
      </c>
      <c r="BB174" s="21">
        <v>164</v>
      </c>
      <c r="BC174" s="21">
        <v>0.72537200000000002</v>
      </c>
      <c r="BD174">
        <f t="shared" si="34"/>
        <v>8.914148148148147</v>
      </c>
      <c r="BE174">
        <f t="shared" si="35"/>
        <v>6.4704324889629623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0.90911900000000001</v>
      </c>
      <c r="H175" s="21">
        <v>6.7570399999999999</v>
      </c>
      <c r="I175" s="21">
        <v>-7.78198E-3</v>
      </c>
      <c r="J175" s="21">
        <v>165</v>
      </c>
      <c r="K175" s="21">
        <v>0.90789799999999998</v>
      </c>
      <c r="L175">
        <f t="shared" si="24"/>
        <v>9.6073827160493828</v>
      </c>
      <c r="M175">
        <f t="shared" si="25"/>
        <v>8.7342541674320984</v>
      </c>
      <c r="N175" s="9"/>
      <c r="O175" s="21">
        <v>0.73089599999999999</v>
      </c>
      <c r="P175" s="21">
        <v>10.455399999999999</v>
      </c>
      <c r="Q175" s="21">
        <v>-7.2784399999999997E-3</v>
      </c>
      <c r="R175" s="21">
        <v>165</v>
      </c>
      <c r="S175" s="21">
        <v>0.73034699999999997</v>
      </c>
      <c r="T175">
        <f t="shared" si="26"/>
        <v>8.985728395061729</v>
      </c>
      <c r="U175">
        <f t="shared" si="27"/>
        <v>6.5676329410370373</v>
      </c>
      <c r="X175" s="9"/>
      <c r="Y175" s="21">
        <v>0.90911900000000001</v>
      </c>
      <c r="Z175" s="21">
        <v>15.892300000000001</v>
      </c>
      <c r="AA175" s="21">
        <v>-7.7423099999999996E-3</v>
      </c>
      <c r="AB175" s="21">
        <v>165</v>
      </c>
      <c r="AC175" s="21">
        <v>0.90881299999999998</v>
      </c>
      <c r="AD175">
        <f t="shared" si="28"/>
        <v>9.5584074074074064</v>
      </c>
      <c r="AE175">
        <f t="shared" si="29"/>
        <v>8.6897297838148138</v>
      </c>
      <c r="AF175" s="9"/>
      <c r="AG175" s="21">
        <v>0.73089599999999999</v>
      </c>
      <c r="AH175" s="21">
        <v>19.590599999999998</v>
      </c>
      <c r="AI175" s="21">
        <v>-7.2174099999999996E-3</v>
      </c>
      <c r="AJ175" s="21">
        <v>165</v>
      </c>
      <c r="AK175" s="21">
        <v>0.73031599999999997</v>
      </c>
      <c r="AL175">
        <f t="shared" si="30"/>
        <v>8.91038271604938</v>
      </c>
      <c r="AM175">
        <f t="shared" si="31"/>
        <v>6.5125630856296279</v>
      </c>
      <c r="AP175" s="9"/>
      <c r="AQ175" s="21">
        <v>0.90911900000000001</v>
      </c>
      <c r="AR175" s="21">
        <v>24.9544</v>
      </c>
      <c r="AS175" s="21">
        <v>-7.7026400000000002E-3</v>
      </c>
      <c r="AT175" s="21">
        <v>165</v>
      </c>
      <c r="AU175" s="21">
        <v>0.90850799999999998</v>
      </c>
      <c r="AV175">
        <f t="shared" si="32"/>
        <v>9.5094320987654317</v>
      </c>
      <c r="AW175">
        <f t="shared" si="33"/>
        <v>8.6452054001975309</v>
      </c>
      <c r="AX175" s="9"/>
      <c r="AY175" s="21">
        <v>0.73089599999999999</v>
      </c>
      <c r="AZ175" s="21">
        <v>28.652799999999999</v>
      </c>
      <c r="BA175" s="21">
        <v>-7.2082500000000002E-3</v>
      </c>
      <c r="BB175" s="21">
        <v>165</v>
      </c>
      <c r="BC175" s="21">
        <v>0.73040799999999995</v>
      </c>
      <c r="BD175">
        <f t="shared" si="34"/>
        <v>8.8990740740740737</v>
      </c>
      <c r="BE175">
        <f t="shared" si="35"/>
        <v>6.5042976444444438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0.90408299999999997</v>
      </c>
      <c r="H176" s="21">
        <v>6.7671099999999997</v>
      </c>
      <c r="I176" s="21">
        <v>-7.7880900000000001E-3</v>
      </c>
      <c r="J176" s="21">
        <v>166</v>
      </c>
      <c r="K176" s="21">
        <v>0.90332000000000001</v>
      </c>
      <c r="L176">
        <f t="shared" si="24"/>
        <v>9.6149259259259257</v>
      </c>
      <c r="M176">
        <f t="shared" si="25"/>
        <v>8.692691075888888</v>
      </c>
      <c r="N176" s="9"/>
      <c r="O176" s="21">
        <v>0.735931</v>
      </c>
      <c r="P176" s="21">
        <v>10.465400000000001</v>
      </c>
      <c r="Q176" s="21">
        <v>-7.2753899999999996E-3</v>
      </c>
      <c r="R176" s="21">
        <v>166</v>
      </c>
      <c r="S176" s="21">
        <v>0.73544299999999996</v>
      </c>
      <c r="T176">
        <f t="shared" si="26"/>
        <v>8.981962962962962</v>
      </c>
      <c r="U176">
        <f t="shared" si="27"/>
        <v>6.6101049852962959</v>
      </c>
      <c r="X176" s="9"/>
      <c r="Y176" s="21">
        <v>0.90408299999999997</v>
      </c>
      <c r="Z176" s="21">
        <v>15.9023</v>
      </c>
      <c r="AA176" s="21">
        <v>-7.7514599999999999E-3</v>
      </c>
      <c r="AB176" s="21">
        <v>166</v>
      </c>
      <c r="AC176" s="21">
        <v>0.90332000000000001</v>
      </c>
      <c r="AD176">
        <f t="shared" si="28"/>
        <v>9.5697037037037038</v>
      </c>
      <c r="AE176">
        <f t="shared" si="29"/>
        <v>8.6518064335555547</v>
      </c>
      <c r="AF176" s="9"/>
      <c r="AG176" s="21">
        <v>0.735931</v>
      </c>
      <c r="AH176" s="21">
        <v>19.6007</v>
      </c>
      <c r="AI176" s="21">
        <v>-7.2082500000000002E-3</v>
      </c>
      <c r="AJ176" s="21">
        <v>166</v>
      </c>
      <c r="AK176" s="21">
        <v>0.73550400000000005</v>
      </c>
      <c r="AL176">
        <f t="shared" si="30"/>
        <v>8.8990740740740737</v>
      </c>
      <c r="AM176">
        <f t="shared" si="31"/>
        <v>6.5491044824074072</v>
      </c>
      <c r="AP176" s="9"/>
      <c r="AQ176" s="21">
        <v>0.90408299999999997</v>
      </c>
      <c r="AR176" s="21">
        <v>24.964500000000001</v>
      </c>
      <c r="AS176" s="21">
        <v>-7.7087400000000004E-3</v>
      </c>
      <c r="AT176" s="21">
        <v>166</v>
      </c>
      <c r="AU176" s="21">
        <v>0.90301500000000001</v>
      </c>
      <c r="AV176">
        <f t="shared" si="32"/>
        <v>9.516962962962964</v>
      </c>
      <c r="AW176">
        <f t="shared" si="33"/>
        <v>8.6041244264444448</v>
      </c>
      <c r="AX176" s="9"/>
      <c r="AY176" s="21">
        <v>0.735931</v>
      </c>
      <c r="AZ176" s="21">
        <v>28.6629</v>
      </c>
      <c r="BA176" s="21">
        <v>-7.2052000000000001E-3</v>
      </c>
      <c r="BB176" s="21">
        <v>166</v>
      </c>
      <c r="BC176" s="21">
        <v>0.73535200000000001</v>
      </c>
      <c r="BD176">
        <f t="shared" si="34"/>
        <v>8.8953086419753085</v>
      </c>
      <c r="BE176">
        <f t="shared" si="35"/>
        <v>6.5463333841975304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0.89904799999999996</v>
      </c>
      <c r="H177" s="21">
        <v>6.7771800000000004</v>
      </c>
      <c r="I177" s="21">
        <v>-7.7850300000000001E-3</v>
      </c>
      <c r="J177" s="21">
        <v>167</v>
      </c>
      <c r="K177" s="21">
        <v>0.89813200000000004</v>
      </c>
      <c r="L177">
        <f t="shared" si="24"/>
        <v>9.611148148148148</v>
      </c>
      <c r="M177">
        <f t="shared" si="25"/>
        <v>8.6408835202962955</v>
      </c>
      <c r="N177" s="9"/>
      <c r="O177" s="21">
        <v>0.74096700000000004</v>
      </c>
      <c r="P177" s="21">
        <v>10.4755</v>
      </c>
      <c r="Q177" s="21">
        <v>-7.2662400000000002E-3</v>
      </c>
      <c r="R177" s="21">
        <v>167</v>
      </c>
      <c r="S177" s="21">
        <v>0.740448</v>
      </c>
      <c r="T177">
        <f t="shared" si="26"/>
        <v>8.9706666666666663</v>
      </c>
      <c r="U177">
        <f t="shared" si="27"/>
        <v>6.6469679680000002</v>
      </c>
      <c r="X177" s="9"/>
      <c r="Y177" s="21">
        <v>0.89904799999999996</v>
      </c>
      <c r="Z177" s="21">
        <v>15.9124</v>
      </c>
      <c r="AA177" s="21">
        <v>-7.7575700000000001E-3</v>
      </c>
      <c r="AB177" s="21">
        <v>167</v>
      </c>
      <c r="AC177" s="21">
        <v>0.89752200000000004</v>
      </c>
      <c r="AD177">
        <f t="shared" si="28"/>
        <v>9.5772469135802467</v>
      </c>
      <c r="AE177">
        <f t="shared" si="29"/>
        <v>8.6104046831604926</v>
      </c>
      <c r="AF177" s="9"/>
      <c r="AG177" s="21">
        <v>0.74096700000000004</v>
      </c>
      <c r="AH177" s="21">
        <v>19.610700000000001</v>
      </c>
      <c r="AI177" s="21">
        <v>-7.2052000000000001E-3</v>
      </c>
      <c r="AJ177" s="21">
        <v>167</v>
      </c>
      <c r="AK177" s="21">
        <v>0.740479</v>
      </c>
      <c r="AL177">
        <f t="shared" si="30"/>
        <v>8.8953086419753085</v>
      </c>
      <c r="AM177">
        <f t="shared" si="31"/>
        <v>6.5911301585185189</v>
      </c>
      <c r="AP177" s="9"/>
      <c r="AQ177" s="21">
        <v>0.89904799999999996</v>
      </c>
      <c r="AR177" s="21">
        <v>24.974599999999999</v>
      </c>
      <c r="AS177" s="21">
        <v>-7.7117899999999996E-3</v>
      </c>
      <c r="AT177" s="21">
        <v>167</v>
      </c>
      <c r="AU177" s="21">
        <v>0.89874299999999996</v>
      </c>
      <c r="AV177">
        <f t="shared" si="32"/>
        <v>9.5207283950617274</v>
      </c>
      <c r="AW177">
        <f t="shared" si="33"/>
        <v>8.5595918221234548</v>
      </c>
      <c r="AX177" s="9"/>
      <c r="AY177" s="21">
        <v>0.74096700000000004</v>
      </c>
      <c r="AZ177" s="21">
        <v>28.672899999999998</v>
      </c>
      <c r="BA177" s="21">
        <v>-7.20215E-3</v>
      </c>
      <c r="BB177" s="21">
        <v>167</v>
      </c>
      <c r="BC177" s="21">
        <v>0.74041699999999999</v>
      </c>
      <c r="BD177">
        <f t="shared" si="34"/>
        <v>8.8915432098765432</v>
      </c>
      <c r="BE177">
        <f t="shared" si="35"/>
        <v>6.5883400975925932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0.89401200000000003</v>
      </c>
      <c r="H178" s="21">
        <v>6.7872500000000002</v>
      </c>
      <c r="I178" s="21">
        <v>-7.7941900000000003E-3</v>
      </c>
      <c r="J178" s="21">
        <v>168</v>
      </c>
      <c r="K178" s="21">
        <v>0.89294399999999996</v>
      </c>
      <c r="L178">
        <f t="shared" si="24"/>
        <v>9.6224567901234561</v>
      </c>
      <c r="M178">
        <f t="shared" si="25"/>
        <v>8.6025918398518524</v>
      </c>
      <c r="N178" s="9"/>
      <c r="O178" s="21">
        <v>0.74600200000000005</v>
      </c>
      <c r="P178" s="21">
        <v>10.4856</v>
      </c>
      <c r="Q178" s="21">
        <v>-7.25708E-3</v>
      </c>
      <c r="R178" s="21">
        <v>168</v>
      </c>
      <c r="S178" s="21">
        <v>0.74542200000000003</v>
      </c>
      <c r="T178">
        <f t="shared" si="26"/>
        <v>8.9593580246913564</v>
      </c>
      <c r="U178">
        <f t="shared" si="27"/>
        <v>6.6836990051358018</v>
      </c>
      <c r="X178" s="9"/>
      <c r="Y178" s="21">
        <v>0.89401200000000003</v>
      </c>
      <c r="Z178" s="21">
        <v>15.922499999999999</v>
      </c>
      <c r="AA178" s="21">
        <v>-7.7728299999999997E-3</v>
      </c>
      <c r="AB178" s="21">
        <v>168</v>
      </c>
      <c r="AC178" s="21">
        <v>0.89294399999999996</v>
      </c>
      <c r="AD178">
        <f t="shared" si="28"/>
        <v>9.5960864197530853</v>
      </c>
      <c r="AE178">
        <f t="shared" si="29"/>
        <v>8.579016412296296</v>
      </c>
      <c r="AF178" s="9"/>
      <c r="AG178" s="21">
        <v>0.74600200000000005</v>
      </c>
      <c r="AH178" s="21">
        <v>19.620799999999999</v>
      </c>
      <c r="AI178" s="21">
        <v>-7.1990999999999999E-3</v>
      </c>
      <c r="AJ178" s="21">
        <v>168</v>
      </c>
      <c r="AK178" s="21">
        <v>0.74551400000000001</v>
      </c>
      <c r="AL178">
        <f t="shared" si="30"/>
        <v>8.887777777777778</v>
      </c>
      <c r="AM178">
        <f t="shared" si="31"/>
        <v>6.6302999977777786</v>
      </c>
      <c r="AP178" s="9"/>
      <c r="AQ178" s="21">
        <v>0.89401200000000003</v>
      </c>
      <c r="AR178" s="21">
        <v>24.9846</v>
      </c>
      <c r="AS178" s="21">
        <v>-7.724E-3</v>
      </c>
      <c r="AT178" s="21">
        <v>168</v>
      </c>
      <c r="AU178" s="21">
        <v>0.89294399999999996</v>
      </c>
      <c r="AV178">
        <f t="shared" si="32"/>
        <v>9.5358024691358025</v>
      </c>
      <c r="AW178">
        <f t="shared" si="33"/>
        <v>8.5251218370370374</v>
      </c>
      <c r="AX178" s="9"/>
      <c r="AY178" s="21">
        <v>0.74600200000000005</v>
      </c>
      <c r="AZ178" s="21">
        <v>28.683</v>
      </c>
      <c r="BA178" s="21">
        <v>-7.1929899999999998E-3</v>
      </c>
      <c r="BB178" s="21">
        <v>168</v>
      </c>
      <c r="BC178" s="21">
        <v>0.74551400000000001</v>
      </c>
      <c r="BD178">
        <f t="shared" si="34"/>
        <v>8.8802345679012333</v>
      </c>
      <c r="BE178">
        <f t="shared" si="35"/>
        <v>6.624672748123456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0.88897700000000002</v>
      </c>
      <c r="H179" s="21">
        <v>6.79732</v>
      </c>
      <c r="I179" s="21">
        <v>-7.7972400000000004E-3</v>
      </c>
      <c r="J179" s="21">
        <v>169</v>
      </c>
      <c r="K179" s="21">
        <v>0.88806200000000002</v>
      </c>
      <c r="L179">
        <f t="shared" si="24"/>
        <v>9.6262222222222213</v>
      </c>
      <c r="M179">
        <f t="shared" si="25"/>
        <v>8.5574901524444442</v>
      </c>
      <c r="N179" s="9"/>
      <c r="O179" s="21">
        <v>0.75103799999999998</v>
      </c>
      <c r="P179" s="21">
        <v>10.495699999999999</v>
      </c>
      <c r="Q179" s="21">
        <v>-7.2479199999999997E-3</v>
      </c>
      <c r="R179" s="21">
        <v>169</v>
      </c>
      <c r="S179" s="21">
        <v>0.75045799999999996</v>
      </c>
      <c r="T179">
        <f t="shared" si="26"/>
        <v>8.9480493827160483</v>
      </c>
      <c r="U179">
        <f t="shared" si="27"/>
        <v>6.7203251122962957</v>
      </c>
      <c r="X179" s="9"/>
      <c r="Y179" s="21">
        <v>0.88897700000000002</v>
      </c>
      <c r="Z179" s="21">
        <v>15.932499999999999</v>
      </c>
      <c r="AA179" s="21">
        <v>-7.78198E-3</v>
      </c>
      <c r="AB179" s="21">
        <v>169</v>
      </c>
      <c r="AC179" s="21">
        <v>0.88775599999999999</v>
      </c>
      <c r="AD179">
        <f t="shared" si="28"/>
        <v>9.6073827160493828</v>
      </c>
      <c r="AE179">
        <f t="shared" si="29"/>
        <v>8.5407422647654325</v>
      </c>
      <c r="AF179" s="9"/>
      <c r="AG179" s="21">
        <v>0.75103799999999998</v>
      </c>
      <c r="AH179" s="21">
        <v>19.6309</v>
      </c>
      <c r="AI179" s="21">
        <v>-7.1838400000000004E-3</v>
      </c>
      <c r="AJ179" s="21">
        <v>169</v>
      </c>
      <c r="AK179" s="21">
        <v>0.75048800000000004</v>
      </c>
      <c r="AL179">
        <f t="shared" si="30"/>
        <v>8.8689382716049376</v>
      </c>
      <c r="AM179">
        <f t="shared" si="31"/>
        <v>6.6609096616296286</v>
      </c>
      <c r="AP179" s="9"/>
      <c r="AQ179" s="21">
        <v>0.88897700000000002</v>
      </c>
      <c r="AR179" s="21">
        <v>24.994700000000002</v>
      </c>
      <c r="AS179" s="21">
        <v>-7.7301000000000002E-3</v>
      </c>
      <c r="AT179" s="21">
        <v>169</v>
      </c>
      <c r="AU179" s="21">
        <v>0.88836700000000002</v>
      </c>
      <c r="AV179">
        <f t="shared" si="32"/>
        <v>9.543333333333333</v>
      </c>
      <c r="AW179">
        <f t="shared" si="33"/>
        <v>8.4838038366666666</v>
      </c>
      <c r="AX179" s="9"/>
      <c r="AY179" s="21">
        <v>0.75103799999999998</v>
      </c>
      <c r="AZ179" s="21">
        <v>28.693100000000001</v>
      </c>
      <c r="BA179" s="21">
        <v>-7.1838400000000004E-3</v>
      </c>
      <c r="BB179" s="21">
        <v>169</v>
      </c>
      <c r="BC179" s="21">
        <v>0.75048800000000004</v>
      </c>
      <c r="BD179">
        <f t="shared" si="34"/>
        <v>8.8689382716049376</v>
      </c>
      <c r="BE179">
        <f t="shared" si="35"/>
        <v>6.6609096616296286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0.88394200000000001</v>
      </c>
      <c r="H180" s="21">
        <v>6.8073899999999998</v>
      </c>
      <c r="I180" s="21">
        <v>-7.8094499999999999E-3</v>
      </c>
      <c r="J180" s="21">
        <v>170</v>
      </c>
      <c r="K180" s="21">
        <v>0.88287400000000005</v>
      </c>
      <c r="L180">
        <f t="shared" si="24"/>
        <v>9.6412962962962947</v>
      </c>
      <c r="M180">
        <f t="shared" si="25"/>
        <v>8.5223467307407397</v>
      </c>
      <c r="N180" s="9"/>
      <c r="O180" s="21">
        <v>0.756073</v>
      </c>
      <c r="P180" s="21">
        <v>10.505699999999999</v>
      </c>
      <c r="Q180" s="21">
        <v>-7.2418200000000004E-3</v>
      </c>
      <c r="R180" s="21">
        <v>170</v>
      </c>
      <c r="S180" s="21">
        <v>0.75561500000000004</v>
      </c>
      <c r="T180">
        <f t="shared" si="26"/>
        <v>8.9405185185185179</v>
      </c>
      <c r="U180">
        <f t="shared" si="27"/>
        <v>6.7596846578518512</v>
      </c>
      <c r="X180" s="9"/>
      <c r="Y180" s="21">
        <v>0.88394200000000001</v>
      </c>
      <c r="Z180" s="21">
        <v>15.942600000000001</v>
      </c>
      <c r="AA180" s="21">
        <v>-7.7850300000000001E-3</v>
      </c>
      <c r="AB180" s="21">
        <v>170</v>
      </c>
      <c r="AC180" s="21">
        <v>0.88348400000000005</v>
      </c>
      <c r="AD180">
        <f t="shared" si="28"/>
        <v>9.611148148148148</v>
      </c>
      <c r="AE180">
        <f t="shared" si="29"/>
        <v>8.4956975163703703</v>
      </c>
      <c r="AF180" s="9"/>
      <c r="AG180" s="21">
        <v>0.756073</v>
      </c>
      <c r="AH180" s="21">
        <v>19.640899999999998</v>
      </c>
      <c r="AI180" s="21">
        <v>-7.1746800000000001E-3</v>
      </c>
      <c r="AJ180" s="21">
        <v>170</v>
      </c>
      <c r="AK180" s="21">
        <v>0.75500500000000004</v>
      </c>
      <c r="AL180">
        <f t="shared" si="30"/>
        <v>8.8576296296296277</v>
      </c>
      <c r="AM180">
        <f t="shared" si="31"/>
        <v>6.6970146069629619</v>
      </c>
      <c r="AP180" s="9"/>
      <c r="AQ180" s="21">
        <v>0.88394200000000001</v>
      </c>
      <c r="AR180" s="21">
        <v>25.004799999999999</v>
      </c>
      <c r="AS180" s="21">
        <v>-7.7301000000000002E-3</v>
      </c>
      <c r="AT180" s="21">
        <v>170</v>
      </c>
      <c r="AU180" s="21">
        <v>0.88348400000000005</v>
      </c>
      <c r="AV180">
        <f t="shared" si="32"/>
        <v>9.543333333333333</v>
      </c>
      <c r="AW180">
        <f t="shared" si="33"/>
        <v>8.4357531533333336</v>
      </c>
      <c r="AX180" s="9"/>
      <c r="AY180" s="21">
        <v>0.756073</v>
      </c>
      <c r="AZ180" s="21">
        <v>28.703199999999999</v>
      </c>
      <c r="BA180" s="21">
        <v>-7.1685799999999999E-3</v>
      </c>
      <c r="BB180" s="21">
        <v>170</v>
      </c>
      <c r="BC180" s="21">
        <v>0.75531000000000004</v>
      </c>
      <c r="BD180">
        <f t="shared" si="34"/>
        <v>8.8500987654320991</v>
      </c>
      <c r="BE180">
        <f t="shared" si="35"/>
        <v>6.6913207238765438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0.87890599999999997</v>
      </c>
      <c r="H181" s="21">
        <v>6.8174599999999996</v>
      </c>
      <c r="I181" s="21">
        <v>-7.8216599999999994E-3</v>
      </c>
      <c r="J181" s="21">
        <v>171</v>
      </c>
      <c r="K181" s="21">
        <v>0.87829599999999997</v>
      </c>
      <c r="L181">
        <f t="shared" si="24"/>
        <v>9.6563703703703698</v>
      </c>
      <c r="M181">
        <f t="shared" si="25"/>
        <v>8.4870418567407402</v>
      </c>
      <c r="N181" s="9"/>
      <c r="O181" s="21">
        <v>0.76110800000000001</v>
      </c>
      <c r="P181" s="21">
        <v>10.5158</v>
      </c>
      <c r="Q181" s="21">
        <v>-7.2357200000000002E-3</v>
      </c>
      <c r="R181" s="21">
        <v>171</v>
      </c>
      <c r="S181" s="21">
        <v>0.76049800000000001</v>
      </c>
      <c r="T181">
        <f t="shared" si="26"/>
        <v>8.9329876543209874</v>
      </c>
      <c r="U181">
        <f t="shared" si="27"/>
        <v>6.7989683676049379</v>
      </c>
      <c r="X181" s="9"/>
      <c r="Y181" s="21">
        <v>0.87890599999999997</v>
      </c>
      <c r="Z181" s="21">
        <v>15.9527</v>
      </c>
      <c r="AA181" s="21">
        <v>-7.7911400000000002E-3</v>
      </c>
      <c r="AB181" s="21">
        <v>171</v>
      </c>
      <c r="AC181" s="21">
        <v>0.87799099999999997</v>
      </c>
      <c r="AD181">
        <f t="shared" si="28"/>
        <v>9.6186913580246909</v>
      </c>
      <c r="AE181">
        <f t="shared" si="29"/>
        <v>8.4539255467160483</v>
      </c>
      <c r="AF181" s="9"/>
      <c r="AG181" s="21">
        <v>0.76110800000000001</v>
      </c>
      <c r="AH181" s="21">
        <v>19.651</v>
      </c>
      <c r="AI181" s="21">
        <v>-7.1655299999999998E-3</v>
      </c>
      <c r="AJ181" s="21">
        <v>171</v>
      </c>
      <c r="AK181" s="21">
        <v>0.75988800000000001</v>
      </c>
      <c r="AL181">
        <f t="shared" si="30"/>
        <v>8.846333333333332</v>
      </c>
      <c r="AM181">
        <f t="shared" si="31"/>
        <v>6.7330150706666654</v>
      </c>
      <c r="AP181" s="9"/>
      <c r="AQ181" s="21">
        <v>0.87890599999999997</v>
      </c>
      <c r="AR181" s="21">
        <v>25.014900000000001</v>
      </c>
      <c r="AS181" s="21">
        <v>-7.7392600000000004E-3</v>
      </c>
      <c r="AT181" s="21">
        <v>171</v>
      </c>
      <c r="AU181" s="21">
        <v>0.87738000000000005</v>
      </c>
      <c r="AV181">
        <f t="shared" si="32"/>
        <v>9.5546419753086411</v>
      </c>
      <c r="AW181">
        <f t="shared" si="33"/>
        <v>8.3976321599506161</v>
      </c>
      <c r="AX181" s="9"/>
      <c r="AY181" s="21">
        <v>0.76110800000000001</v>
      </c>
      <c r="AZ181" s="21">
        <v>28.713200000000001</v>
      </c>
      <c r="BA181" s="21">
        <v>-7.1594199999999997E-3</v>
      </c>
      <c r="BB181" s="21">
        <v>171</v>
      </c>
      <c r="BC181" s="21">
        <v>0.76049800000000001</v>
      </c>
      <c r="BD181">
        <f t="shared" si="34"/>
        <v>8.8387901234567892</v>
      </c>
      <c r="BE181">
        <f t="shared" si="35"/>
        <v>6.7272738732839503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0.87387099999999995</v>
      </c>
      <c r="H182" s="21">
        <v>6.8275300000000003</v>
      </c>
      <c r="I182" s="21">
        <v>-7.8338599999999998E-3</v>
      </c>
      <c r="J182" s="21">
        <v>172</v>
      </c>
      <c r="K182" s="21">
        <v>0.872803</v>
      </c>
      <c r="L182">
        <f t="shared" si="24"/>
        <v>9.6714320987654308</v>
      </c>
      <c r="M182">
        <f t="shared" si="25"/>
        <v>8.4515840395802453</v>
      </c>
      <c r="N182" s="9"/>
      <c r="O182" s="21">
        <v>0.76614400000000005</v>
      </c>
      <c r="P182" s="21">
        <v>10.5259</v>
      </c>
      <c r="Q182" s="21">
        <v>-7.2265599999999999E-3</v>
      </c>
      <c r="R182" s="21">
        <v>172</v>
      </c>
      <c r="S182" s="21">
        <v>0.76507599999999998</v>
      </c>
      <c r="T182">
        <f t="shared" si="26"/>
        <v>8.9216790123456775</v>
      </c>
      <c r="U182">
        <f t="shared" si="27"/>
        <v>6.8352908452345673</v>
      </c>
      <c r="X182" s="9"/>
      <c r="Y182" s="21">
        <v>0.87387099999999995</v>
      </c>
      <c r="Z182" s="21">
        <v>15.9627</v>
      </c>
      <c r="AA182" s="21">
        <v>-7.7972400000000004E-3</v>
      </c>
      <c r="AB182" s="21">
        <v>172</v>
      </c>
      <c r="AC182" s="21">
        <v>0.872803</v>
      </c>
      <c r="AD182">
        <f t="shared" si="28"/>
        <v>9.6262222222222213</v>
      </c>
      <c r="AE182">
        <f t="shared" si="29"/>
        <v>8.4120764395555536</v>
      </c>
      <c r="AF182" s="9"/>
      <c r="AG182" s="21">
        <v>0.76614400000000005</v>
      </c>
      <c r="AH182" s="21">
        <v>19.661100000000001</v>
      </c>
      <c r="AI182" s="21">
        <v>-7.1594199999999997E-3</v>
      </c>
      <c r="AJ182" s="21">
        <v>172</v>
      </c>
      <c r="AK182" s="21">
        <v>0.76507599999999998</v>
      </c>
      <c r="AL182">
        <f t="shared" si="30"/>
        <v>8.8387901234567892</v>
      </c>
      <c r="AM182">
        <f t="shared" si="31"/>
        <v>6.7717860203456786</v>
      </c>
      <c r="AP182" s="9"/>
      <c r="AQ182" s="21">
        <v>0.87387099999999995</v>
      </c>
      <c r="AR182" s="21">
        <v>25.024899999999999</v>
      </c>
      <c r="AS182" s="21">
        <v>-7.75452E-3</v>
      </c>
      <c r="AT182" s="21">
        <v>172</v>
      </c>
      <c r="AU182" s="21">
        <v>0.87341299999999999</v>
      </c>
      <c r="AV182">
        <f t="shared" si="32"/>
        <v>9.5734814814814815</v>
      </c>
      <c r="AW182">
        <f t="shared" si="33"/>
        <v>8.3659878357037041</v>
      </c>
      <c r="AX182" s="9"/>
      <c r="AY182" s="21">
        <v>0.76614400000000005</v>
      </c>
      <c r="AZ182" s="21">
        <v>28.723299999999998</v>
      </c>
      <c r="BA182" s="21">
        <v>-7.14417E-3</v>
      </c>
      <c r="BB182" s="21">
        <v>172</v>
      </c>
      <c r="BC182" s="21">
        <v>0.76507599999999998</v>
      </c>
      <c r="BD182">
        <f t="shared" si="34"/>
        <v>8.8199629629629612</v>
      </c>
      <c r="BE182">
        <f t="shared" si="35"/>
        <v>6.7573617042962955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0.86883500000000002</v>
      </c>
      <c r="H183" s="21">
        <v>6.8376000000000001</v>
      </c>
      <c r="I183" s="21">
        <v>-7.8460700000000001E-3</v>
      </c>
      <c r="J183" s="21">
        <v>173</v>
      </c>
      <c r="K183" s="21">
        <v>0.86761500000000003</v>
      </c>
      <c r="L183">
        <f t="shared" si="24"/>
        <v>9.6865061728395059</v>
      </c>
      <c r="M183">
        <f t="shared" si="25"/>
        <v>8.4159755906790128</v>
      </c>
      <c r="N183" s="9"/>
      <c r="O183" s="21">
        <v>0.77117899999999995</v>
      </c>
      <c r="P183" s="21">
        <v>10.5359</v>
      </c>
      <c r="Q183" s="21">
        <v>-7.2174099999999996E-3</v>
      </c>
      <c r="R183" s="21">
        <v>173</v>
      </c>
      <c r="S183" s="21">
        <v>0.77056899999999995</v>
      </c>
      <c r="T183">
        <f t="shared" si="26"/>
        <v>8.91038271604938</v>
      </c>
      <c r="U183">
        <f t="shared" si="27"/>
        <v>6.8715000325802444</v>
      </c>
      <c r="X183" s="9"/>
      <c r="Y183" s="21">
        <v>0.86883500000000002</v>
      </c>
      <c r="Z183" s="21">
        <v>15.972799999999999</v>
      </c>
      <c r="AA183" s="21">
        <v>-7.8002899999999997E-3</v>
      </c>
      <c r="AB183" s="21">
        <v>173</v>
      </c>
      <c r="AC183" s="21">
        <v>0.86792000000000002</v>
      </c>
      <c r="AD183">
        <f t="shared" si="28"/>
        <v>9.6299876543209866</v>
      </c>
      <c r="AE183">
        <f t="shared" si="29"/>
        <v>8.3668703236419741</v>
      </c>
      <c r="AF183" s="9"/>
      <c r="AG183" s="21">
        <v>0.77117899999999995</v>
      </c>
      <c r="AH183" s="21">
        <v>19.671199999999999</v>
      </c>
      <c r="AI183" s="21">
        <v>-7.1533200000000003E-3</v>
      </c>
      <c r="AJ183" s="21">
        <v>173</v>
      </c>
      <c r="AK183" s="21">
        <v>0.76995800000000003</v>
      </c>
      <c r="AL183">
        <f t="shared" si="30"/>
        <v>8.8312592592592587</v>
      </c>
      <c r="AM183">
        <f t="shared" si="31"/>
        <v>6.8104816842962954</v>
      </c>
      <c r="AP183" s="9"/>
      <c r="AQ183" s="21">
        <v>0.86883500000000002</v>
      </c>
      <c r="AR183" s="21">
        <v>25.035</v>
      </c>
      <c r="AS183" s="21">
        <v>-7.7697799999999996E-3</v>
      </c>
      <c r="AT183" s="21">
        <v>173</v>
      </c>
      <c r="AU183" s="21">
        <v>0.86761500000000003</v>
      </c>
      <c r="AV183">
        <f t="shared" si="32"/>
        <v>9.5923209876543183</v>
      </c>
      <c r="AW183">
        <f t="shared" si="33"/>
        <v>8.3341442053086396</v>
      </c>
      <c r="AX183" s="9"/>
      <c r="AY183" s="21">
        <v>0.77117899999999995</v>
      </c>
      <c r="AZ183" s="21">
        <v>28.7334</v>
      </c>
      <c r="BA183" s="21">
        <v>-7.1319599999999997E-3</v>
      </c>
      <c r="BB183" s="21">
        <v>173</v>
      </c>
      <c r="BC183" s="21">
        <v>0.76995800000000003</v>
      </c>
      <c r="BD183">
        <f t="shared" si="34"/>
        <v>8.8048888888888879</v>
      </c>
      <c r="BE183">
        <f t="shared" si="35"/>
        <v>6.7901454084444435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0.86380000000000001</v>
      </c>
      <c r="H184" s="21">
        <v>6.8476800000000004</v>
      </c>
      <c r="I184" s="21">
        <v>-7.8460700000000001E-3</v>
      </c>
      <c r="J184" s="21">
        <v>174</v>
      </c>
      <c r="K184" s="21">
        <v>0.86303700000000005</v>
      </c>
      <c r="L184">
        <f t="shared" si="24"/>
        <v>9.6865061728395059</v>
      </c>
      <c r="M184">
        <f t="shared" si="25"/>
        <v>8.3672040320987655</v>
      </c>
      <c r="N184" s="9"/>
      <c r="O184" s="21">
        <v>0.77621499999999999</v>
      </c>
      <c r="P184" s="21">
        <v>10.545999999999999</v>
      </c>
      <c r="Q184" s="21">
        <v>-7.1960399999999999E-3</v>
      </c>
      <c r="R184" s="21">
        <v>174</v>
      </c>
      <c r="S184" s="21">
        <v>0.77545200000000003</v>
      </c>
      <c r="T184">
        <f t="shared" si="26"/>
        <v>8.8840000000000003</v>
      </c>
      <c r="U184">
        <f t="shared" si="27"/>
        <v>6.8958940599999998</v>
      </c>
      <c r="X184" s="9"/>
      <c r="Y184" s="21">
        <v>0.86380000000000001</v>
      </c>
      <c r="Z184" s="21">
        <v>15.982900000000001</v>
      </c>
      <c r="AA184" s="21">
        <v>-7.8002899999999997E-3</v>
      </c>
      <c r="AB184" s="21">
        <v>174</v>
      </c>
      <c r="AC184" s="21">
        <v>0.86273200000000005</v>
      </c>
      <c r="AD184">
        <f t="shared" si="28"/>
        <v>9.6299876543209866</v>
      </c>
      <c r="AE184">
        <f t="shared" si="29"/>
        <v>8.3183833358024675</v>
      </c>
      <c r="AF184" s="9"/>
      <c r="AG184" s="21">
        <v>0.77621499999999999</v>
      </c>
      <c r="AH184" s="21">
        <v>19.6812</v>
      </c>
      <c r="AI184" s="21">
        <v>-7.14417E-3</v>
      </c>
      <c r="AJ184" s="21">
        <v>174</v>
      </c>
      <c r="AK184" s="21">
        <v>0.774536</v>
      </c>
      <c r="AL184">
        <f t="shared" si="30"/>
        <v>8.8199629629629612</v>
      </c>
      <c r="AM184">
        <f t="shared" si="31"/>
        <v>6.8461875512962944</v>
      </c>
      <c r="AP184" s="9"/>
      <c r="AQ184" s="21">
        <v>0.86380000000000001</v>
      </c>
      <c r="AR184" s="21">
        <v>25.045100000000001</v>
      </c>
      <c r="AS184" s="21">
        <v>-7.7850300000000001E-3</v>
      </c>
      <c r="AT184" s="21">
        <v>174</v>
      </c>
      <c r="AU184" s="21">
        <v>0.86334200000000005</v>
      </c>
      <c r="AV184">
        <f t="shared" si="32"/>
        <v>9.611148148148148</v>
      </c>
      <c r="AW184">
        <f t="shared" si="33"/>
        <v>8.3021097703703699</v>
      </c>
      <c r="AX184" s="9"/>
      <c r="AY184" s="21">
        <v>0.77621499999999999</v>
      </c>
      <c r="AZ184" s="21">
        <v>28.743400000000001</v>
      </c>
      <c r="BA184" s="21">
        <v>-7.1197500000000002E-3</v>
      </c>
      <c r="BB184" s="21">
        <v>174</v>
      </c>
      <c r="BC184" s="21">
        <v>0.77545200000000003</v>
      </c>
      <c r="BD184">
        <f t="shared" si="34"/>
        <v>8.7898148148148145</v>
      </c>
      <c r="BE184">
        <f t="shared" si="35"/>
        <v>6.8227861064814812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0.858765</v>
      </c>
      <c r="H185" s="21">
        <v>6.8577500000000002</v>
      </c>
      <c r="I185" s="21">
        <v>-7.8521700000000003E-3</v>
      </c>
      <c r="J185" s="21">
        <v>175</v>
      </c>
      <c r="K185" s="21">
        <v>0.85815399999999997</v>
      </c>
      <c r="L185">
        <f t="shared" si="24"/>
        <v>9.6940370370370381</v>
      </c>
      <c r="M185">
        <f t="shared" si="25"/>
        <v>8.324899716111112</v>
      </c>
      <c r="N185" s="9"/>
      <c r="O185" s="21">
        <v>0.78125</v>
      </c>
      <c r="P185" s="21">
        <v>10.556100000000001</v>
      </c>
      <c r="Q185" s="21">
        <v>-7.1868899999999996E-3</v>
      </c>
      <c r="R185" s="21">
        <v>175</v>
      </c>
      <c r="S185" s="21">
        <v>0.78002899999999997</v>
      </c>
      <c r="T185">
        <f t="shared" si="26"/>
        <v>8.8727037037037029</v>
      </c>
      <c r="U185">
        <f t="shared" si="27"/>
        <v>6.931799768518518</v>
      </c>
      <c r="X185" s="9"/>
      <c r="Y185" s="21">
        <v>0.858765</v>
      </c>
      <c r="Z185" s="21">
        <v>15.993</v>
      </c>
      <c r="AA185" s="21">
        <v>-7.8033399999999998E-3</v>
      </c>
      <c r="AB185" s="21">
        <v>175</v>
      </c>
      <c r="AC185" s="21">
        <v>0.85784899999999997</v>
      </c>
      <c r="AD185">
        <f t="shared" si="28"/>
        <v>9.6337530864197518</v>
      </c>
      <c r="AE185">
        <f t="shared" si="29"/>
        <v>8.2731299692592586</v>
      </c>
      <c r="AF185" s="9"/>
      <c r="AG185" s="21">
        <v>0.78125</v>
      </c>
      <c r="AH185" s="21">
        <v>19.691299999999998</v>
      </c>
      <c r="AI185" s="21">
        <v>-7.1350099999999998E-3</v>
      </c>
      <c r="AJ185" s="21">
        <v>175</v>
      </c>
      <c r="AK185" s="21">
        <v>0.78033399999999997</v>
      </c>
      <c r="AL185">
        <f t="shared" si="30"/>
        <v>8.8086543209876531</v>
      </c>
      <c r="AM185">
        <f t="shared" si="31"/>
        <v>6.8817611882716037</v>
      </c>
      <c r="AP185" s="9"/>
      <c r="AQ185" s="21">
        <v>0.858765</v>
      </c>
      <c r="AR185" s="21">
        <v>25.055099999999999</v>
      </c>
      <c r="AS185" s="21">
        <v>-7.7880900000000001E-3</v>
      </c>
      <c r="AT185" s="21">
        <v>175</v>
      </c>
      <c r="AU185" s="21">
        <v>0.85784899999999997</v>
      </c>
      <c r="AV185">
        <f t="shared" si="32"/>
        <v>9.6149259259259257</v>
      </c>
      <c r="AW185">
        <f t="shared" si="33"/>
        <v>8.2569618627777768</v>
      </c>
      <c r="AX185" s="9"/>
      <c r="AY185" s="21">
        <v>0.78125</v>
      </c>
      <c r="AZ185" s="21">
        <v>28.753499999999999</v>
      </c>
      <c r="BA185" s="21">
        <v>-7.1075399999999999E-3</v>
      </c>
      <c r="BB185" s="21">
        <v>175</v>
      </c>
      <c r="BC185" s="21">
        <v>0.78033399999999997</v>
      </c>
      <c r="BD185">
        <f t="shared" si="34"/>
        <v>8.7747407407407394</v>
      </c>
      <c r="BE185">
        <f t="shared" si="35"/>
        <v>6.8552662037037031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0.85372899999999996</v>
      </c>
      <c r="H186" s="21">
        <v>6.86782</v>
      </c>
      <c r="I186" s="21">
        <v>-7.8643800000000007E-3</v>
      </c>
      <c r="J186" s="21">
        <v>176</v>
      </c>
      <c r="K186" s="21">
        <v>0.852966</v>
      </c>
      <c r="L186">
        <f t="shared" si="24"/>
        <v>9.7091111111111115</v>
      </c>
      <c r="M186">
        <f t="shared" si="25"/>
        <v>8.2889497197777775</v>
      </c>
      <c r="N186" s="9"/>
      <c r="O186" s="21">
        <v>0.78628500000000001</v>
      </c>
      <c r="P186" s="21">
        <v>10.5662</v>
      </c>
      <c r="Q186" s="21">
        <v>-7.1685799999999999E-3</v>
      </c>
      <c r="R186" s="21">
        <v>176</v>
      </c>
      <c r="S186" s="21">
        <v>0.78491200000000005</v>
      </c>
      <c r="T186">
        <f t="shared" si="26"/>
        <v>8.8500987654320991</v>
      </c>
      <c r="U186">
        <f t="shared" si="27"/>
        <v>6.9586999077777785</v>
      </c>
      <c r="X186" s="9"/>
      <c r="Y186" s="21">
        <v>0.85372899999999996</v>
      </c>
      <c r="Z186" s="21">
        <v>16.003</v>
      </c>
      <c r="AA186" s="21">
        <v>-7.8063999999999998E-3</v>
      </c>
      <c r="AB186" s="21">
        <v>176</v>
      </c>
      <c r="AC186" s="21">
        <v>0.852966</v>
      </c>
      <c r="AD186">
        <f t="shared" si="28"/>
        <v>9.6375308641975295</v>
      </c>
      <c r="AE186">
        <f t="shared" si="29"/>
        <v>8.2278395871604921</v>
      </c>
      <c r="AF186" s="9"/>
      <c r="AG186" s="21">
        <v>0.78628500000000001</v>
      </c>
      <c r="AH186" s="21">
        <v>19.7014</v>
      </c>
      <c r="AI186" s="21">
        <v>-7.1228000000000003E-3</v>
      </c>
      <c r="AJ186" s="21">
        <v>176</v>
      </c>
      <c r="AK186" s="21">
        <v>0.78582799999999997</v>
      </c>
      <c r="AL186">
        <f t="shared" si="30"/>
        <v>8.7935802469135798</v>
      </c>
      <c r="AM186">
        <f t="shared" si="31"/>
        <v>6.9142602444444439</v>
      </c>
      <c r="AP186" s="9"/>
      <c r="AQ186" s="21">
        <v>0.85372899999999996</v>
      </c>
      <c r="AR186" s="21">
        <v>25.065200000000001</v>
      </c>
      <c r="AS186" s="21">
        <v>-7.7880900000000001E-3</v>
      </c>
      <c r="AT186" s="21">
        <v>176</v>
      </c>
      <c r="AU186" s="21">
        <v>0.852661</v>
      </c>
      <c r="AV186">
        <f t="shared" si="32"/>
        <v>9.6149259259259257</v>
      </c>
      <c r="AW186">
        <f t="shared" si="33"/>
        <v>8.2085410958148142</v>
      </c>
      <c r="AX186" s="9"/>
      <c r="AY186" s="21">
        <v>0.78628500000000001</v>
      </c>
      <c r="AZ186" s="21">
        <v>28.7636</v>
      </c>
      <c r="BA186" s="21">
        <v>-7.0953400000000003E-3</v>
      </c>
      <c r="BB186" s="21">
        <v>176</v>
      </c>
      <c r="BC186" s="21">
        <v>0.78491200000000005</v>
      </c>
      <c r="BD186">
        <f t="shared" si="34"/>
        <v>8.7596790123456802</v>
      </c>
      <c r="BE186">
        <f t="shared" si="35"/>
        <v>6.8876042122222234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0.84869399999999995</v>
      </c>
      <c r="H187" s="21">
        <v>6.8778899999999998</v>
      </c>
      <c r="I187" s="21">
        <v>-7.8765899999999993E-3</v>
      </c>
      <c r="J187" s="21">
        <v>177</v>
      </c>
      <c r="K187" s="21">
        <v>0.84747300000000003</v>
      </c>
      <c r="L187">
        <f t="shared" si="24"/>
        <v>9.724185185185183</v>
      </c>
      <c r="M187">
        <f t="shared" si="25"/>
        <v>8.2528576215555525</v>
      </c>
      <c r="N187" s="9"/>
      <c r="O187" s="21">
        <v>0.79132100000000005</v>
      </c>
      <c r="P187" s="21">
        <v>10.5762</v>
      </c>
      <c r="Q187" s="21">
        <v>-7.1685799999999999E-3</v>
      </c>
      <c r="R187" s="21">
        <v>177</v>
      </c>
      <c r="S187" s="21">
        <v>0.79071000000000002</v>
      </c>
      <c r="T187">
        <f t="shared" si="26"/>
        <v>8.8500987654320991</v>
      </c>
      <c r="U187">
        <f t="shared" si="27"/>
        <v>7.0032690051604947</v>
      </c>
      <c r="X187" s="9"/>
      <c r="Y187" s="21">
        <v>0.84869399999999995</v>
      </c>
      <c r="Z187" s="21">
        <v>16.013100000000001</v>
      </c>
      <c r="AA187" s="21">
        <v>-7.8094499999999999E-3</v>
      </c>
      <c r="AB187" s="21">
        <v>177</v>
      </c>
      <c r="AC187" s="21">
        <v>0.84747300000000003</v>
      </c>
      <c r="AD187">
        <f t="shared" si="28"/>
        <v>9.6412962962962947</v>
      </c>
      <c r="AE187">
        <f t="shared" si="29"/>
        <v>8.1825103188888875</v>
      </c>
      <c r="AF187" s="9"/>
      <c r="AG187" s="21">
        <v>0.79132100000000005</v>
      </c>
      <c r="AH187" s="21">
        <v>19.711400000000001</v>
      </c>
      <c r="AI187" s="21">
        <v>-7.11365E-3</v>
      </c>
      <c r="AJ187" s="21">
        <v>177</v>
      </c>
      <c r="AK187" s="21">
        <v>0.79101600000000005</v>
      </c>
      <c r="AL187">
        <f t="shared" si="30"/>
        <v>8.7822839506172823</v>
      </c>
      <c r="AM187">
        <f t="shared" si="31"/>
        <v>6.9496057180864188</v>
      </c>
      <c r="AP187" s="9"/>
      <c r="AQ187" s="21">
        <v>0.84869399999999995</v>
      </c>
      <c r="AR187" s="21">
        <v>25.075299999999999</v>
      </c>
      <c r="AS187" s="21">
        <v>-7.7880900000000001E-3</v>
      </c>
      <c r="AT187" s="21">
        <v>177</v>
      </c>
      <c r="AU187" s="21">
        <v>0.84838899999999995</v>
      </c>
      <c r="AV187">
        <f t="shared" si="32"/>
        <v>9.6149259259259257</v>
      </c>
      <c r="AW187">
        <f t="shared" si="33"/>
        <v>8.1601299437777772</v>
      </c>
      <c r="AX187" s="9"/>
      <c r="AY187" s="21">
        <v>0.79132100000000005</v>
      </c>
      <c r="AZ187" s="21">
        <v>28.773700000000002</v>
      </c>
      <c r="BA187" s="21">
        <v>-7.0800799999999999E-3</v>
      </c>
      <c r="BB187" s="21">
        <v>177</v>
      </c>
      <c r="BC187" s="21">
        <v>0.79040500000000002</v>
      </c>
      <c r="BD187">
        <f t="shared" si="34"/>
        <v>8.7408395061728381</v>
      </c>
      <c r="BE187">
        <f t="shared" si="35"/>
        <v>6.9168098588641973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0.84365800000000002</v>
      </c>
      <c r="H188" s="21">
        <v>6.8879599999999996</v>
      </c>
      <c r="I188" s="21">
        <v>-7.8857400000000005E-3</v>
      </c>
      <c r="J188" s="21">
        <v>178</v>
      </c>
      <c r="K188" s="21">
        <v>0.84289599999999998</v>
      </c>
      <c r="L188">
        <f t="shared" si="24"/>
        <v>9.7354814814814823</v>
      </c>
      <c r="M188">
        <f t="shared" si="25"/>
        <v>8.2134168357037041</v>
      </c>
      <c r="N188" s="9"/>
      <c r="O188" s="21">
        <v>0.79635599999999995</v>
      </c>
      <c r="P188" s="21">
        <v>10.5863</v>
      </c>
      <c r="Q188" s="21">
        <v>-7.1624799999999997E-3</v>
      </c>
      <c r="R188" s="21">
        <v>178</v>
      </c>
      <c r="S188" s="21">
        <v>0.79559299999999999</v>
      </c>
      <c r="T188">
        <f t="shared" si="26"/>
        <v>8.8425679012345668</v>
      </c>
      <c r="U188">
        <f t="shared" si="27"/>
        <v>7.0418320035555544</v>
      </c>
      <c r="X188" s="9"/>
      <c r="Y188" s="21">
        <v>0.84365800000000002</v>
      </c>
      <c r="Z188" s="21">
        <v>16.023199999999999</v>
      </c>
      <c r="AA188" s="21">
        <v>-7.8155499999999992E-3</v>
      </c>
      <c r="AB188" s="21">
        <v>178</v>
      </c>
      <c r="AC188" s="21">
        <v>0.84289599999999998</v>
      </c>
      <c r="AD188">
        <f t="shared" si="28"/>
        <v>9.6488271604938252</v>
      </c>
      <c r="AE188">
        <f t="shared" si="29"/>
        <v>8.1403102245678998</v>
      </c>
      <c r="AF188" s="9"/>
      <c r="AG188" s="21">
        <v>0.79635599999999995</v>
      </c>
      <c r="AH188" s="21">
        <v>19.721499999999999</v>
      </c>
      <c r="AI188" s="21">
        <v>-7.1105999999999999E-3</v>
      </c>
      <c r="AJ188" s="21">
        <v>178</v>
      </c>
      <c r="AK188" s="21">
        <v>0.794983</v>
      </c>
      <c r="AL188">
        <f t="shared" si="30"/>
        <v>8.7785185185185171</v>
      </c>
      <c r="AM188">
        <f t="shared" si="31"/>
        <v>6.9908258933333318</v>
      </c>
      <c r="AP188" s="9"/>
      <c r="AQ188" s="21">
        <v>0.84365800000000002</v>
      </c>
      <c r="AR188" s="21">
        <v>25.0854</v>
      </c>
      <c r="AS188" s="21">
        <v>-7.8002899999999997E-3</v>
      </c>
      <c r="AT188" s="21">
        <v>178</v>
      </c>
      <c r="AU188" s="21">
        <v>0.84320099999999998</v>
      </c>
      <c r="AV188">
        <f t="shared" si="32"/>
        <v>9.6299876543209866</v>
      </c>
      <c r="AW188">
        <f t="shared" si="33"/>
        <v>8.1244161244691355</v>
      </c>
      <c r="AX188" s="9"/>
      <c r="AY188" s="21">
        <v>0.79635599999999995</v>
      </c>
      <c r="AZ188" s="21">
        <v>28.7837</v>
      </c>
      <c r="BA188" s="21">
        <v>-7.0770299999999998E-3</v>
      </c>
      <c r="BB188" s="21">
        <v>178</v>
      </c>
      <c r="BC188" s="21">
        <v>0.79559299999999999</v>
      </c>
      <c r="BD188">
        <f t="shared" si="34"/>
        <v>8.7370740740740729</v>
      </c>
      <c r="BE188">
        <f t="shared" si="35"/>
        <v>6.9578213613333322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0.83862300000000001</v>
      </c>
      <c r="H189" s="21">
        <v>6.8980300000000003</v>
      </c>
      <c r="I189" s="21">
        <v>-7.8887899999999997E-3</v>
      </c>
      <c r="J189" s="21">
        <v>179</v>
      </c>
      <c r="K189" s="21">
        <v>0.83709699999999998</v>
      </c>
      <c r="L189">
        <f t="shared" si="24"/>
        <v>9.7392469135802457</v>
      </c>
      <c r="M189">
        <f t="shared" si="25"/>
        <v>8.1675564644074061</v>
      </c>
      <c r="N189" s="9"/>
      <c r="O189" s="21">
        <v>0.80139199999999999</v>
      </c>
      <c r="P189" s="21">
        <v>10.596399999999999</v>
      </c>
      <c r="Q189" s="21">
        <v>-7.1533200000000003E-3</v>
      </c>
      <c r="R189" s="21">
        <v>179</v>
      </c>
      <c r="S189" s="21">
        <v>0.80017099999999997</v>
      </c>
      <c r="T189">
        <f t="shared" si="26"/>
        <v>8.8312592592592587</v>
      </c>
      <c r="U189">
        <f t="shared" si="27"/>
        <v>7.077300520296296</v>
      </c>
      <c r="X189" s="9"/>
      <c r="Y189" s="21">
        <v>0.83862300000000001</v>
      </c>
      <c r="Z189" s="21">
        <v>16.033200000000001</v>
      </c>
      <c r="AA189" s="21">
        <v>-7.8216599999999994E-3</v>
      </c>
      <c r="AB189" s="21">
        <v>179</v>
      </c>
      <c r="AC189" s="21">
        <v>0.83770800000000001</v>
      </c>
      <c r="AD189">
        <f t="shared" si="28"/>
        <v>9.6563703703703698</v>
      </c>
      <c r="AE189">
        <f t="shared" si="29"/>
        <v>8.0980542891111114</v>
      </c>
      <c r="AF189" s="9"/>
      <c r="AG189" s="21">
        <v>0.80139199999999999</v>
      </c>
      <c r="AH189" s="21">
        <v>19.7316</v>
      </c>
      <c r="AI189" s="21">
        <v>-7.0983900000000004E-3</v>
      </c>
      <c r="AJ189" s="21">
        <v>179</v>
      </c>
      <c r="AK189" s="21">
        <v>0.80078099999999997</v>
      </c>
      <c r="AL189">
        <f t="shared" si="30"/>
        <v>8.7634444444444455</v>
      </c>
      <c r="AM189">
        <f t="shared" si="31"/>
        <v>7.0229542702222227</v>
      </c>
      <c r="AP189" s="9"/>
      <c r="AQ189" s="21">
        <v>0.83862300000000001</v>
      </c>
      <c r="AR189" s="21">
        <v>25.095400000000001</v>
      </c>
      <c r="AS189" s="21">
        <v>-7.8125E-3</v>
      </c>
      <c r="AT189" s="21">
        <v>179</v>
      </c>
      <c r="AU189" s="21">
        <v>0.83801300000000001</v>
      </c>
      <c r="AV189">
        <f t="shared" si="32"/>
        <v>9.6450617283950617</v>
      </c>
      <c r="AW189">
        <f t="shared" si="33"/>
        <v>8.0885706018518526</v>
      </c>
      <c r="AX189" s="9"/>
      <c r="AY189" s="21">
        <v>0.80139199999999999</v>
      </c>
      <c r="AZ189" s="21">
        <v>28.793800000000001</v>
      </c>
      <c r="BA189" s="21">
        <v>-7.0709199999999996E-3</v>
      </c>
      <c r="BB189" s="21">
        <v>179</v>
      </c>
      <c r="BC189" s="21">
        <v>0.80047599999999997</v>
      </c>
      <c r="BD189">
        <f t="shared" si="34"/>
        <v>8.72953086419753</v>
      </c>
      <c r="BE189">
        <f t="shared" si="35"/>
        <v>6.9957761983209865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0.833588</v>
      </c>
      <c r="H190" s="21">
        <v>6.9081000000000001</v>
      </c>
      <c r="I190" s="21">
        <v>-7.8948999999999998E-3</v>
      </c>
      <c r="J190" s="21">
        <v>180</v>
      </c>
      <c r="K190" s="21">
        <v>0.83343500000000004</v>
      </c>
      <c r="L190">
        <f t="shared" si="24"/>
        <v>9.7467901234567904</v>
      </c>
      <c r="M190">
        <f t="shared" si="25"/>
        <v>8.1248072854320998</v>
      </c>
      <c r="N190" s="9"/>
      <c r="O190" s="21">
        <v>0.806427</v>
      </c>
      <c r="P190" s="21">
        <v>10.606400000000001</v>
      </c>
      <c r="Q190" s="21">
        <v>-7.14111E-3</v>
      </c>
      <c r="R190" s="21">
        <v>180</v>
      </c>
      <c r="S190" s="21">
        <v>0.80566400000000005</v>
      </c>
      <c r="T190">
        <f t="shared" si="26"/>
        <v>8.8161851851851836</v>
      </c>
      <c r="U190">
        <f t="shared" si="27"/>
        <v>7.1096097703333321</v>
      </c>
      <c r="X190" s="9"/>
      <c r="Y190" s="21">
        <v>0.833588</v>
      </c>
      <c r="Z190" s="21">
        <v>16.043299999999999</v>
      </c>
      <c r="AA190" s="21">
        <v>-7.8308100000000005E-3</v>
      </c>
      <c r="AB190" s="21">
        <v>180</v>
      </c>
      <c r="AC190" s="21">
        <v>0.83252000000000004</v>
      </c>
      <c r="AD190">
        <f t="shared" si="28"/>
        <v>9.6676666666666673</v>
      </c>
      <c r="AE190">
        <f t="shared" si="29"/>
        <v>8.0588509213333346</v>
      </c>
      <c r="AF190" s="9"/>
      <c r="AG190" s="21">
        <v>0.806427</v>
      </c>
      <c r="AH190" s="21">
        <v>19.741700000000002</v>
      </c>
      <c r="AI190" s="21">
        <v>-7.0953400000000003E-3</v>
      </c>
      <c r="AJ190" s="21">
        <v>180</v>
      </c>
      <c r="AK190" s="21">
        <v>0.80596900000000005</v>
      </c>
      <c r="AL190">
        <f t="shared" si="30"/>
        <v>8.7596790123456802</v>
      </c>
      <c r="AM190">
        <f t="shared" si="31"/>
        <v>7.0640416668888903</v>
      </c>
      <c r="AP190" s="9"/>
      <c r="AQ190" s="21">
        <v>0.833588</v>
      </c>
      <c r="AR190" s="21">
        <v>25.105499999999999</v>
      </c>
      <c r="AS190" s="21">
        <v>-7.8277599999999996E-3</v>
      </c>
      <c r="AT190" s="21">
        <v>180</v>
      </c>
      <c r="AU190" s="21">
        <v>0.83221400000000001</v>
      </c>
      <c r="AV190">
        <f t="shared" si="32"/>
        <v>9.6639012345679003</v>
      </c>
      <c r="AW190">
        <f t="shared" si="33"/>
        <v>8.055712102320987</v>
      </c>
      <c r="AX190" s="9"/>
      <c r="AY190" s="21">
        <v>0.806427</v>
      </c>
      <c r="AZ190" s="21">
        <v>28.803899999999999</v>
      </c>
      <c r="BA190" s="21">
        <v>-7.0587200000000001E-3</v>
      </c>
      <c r="BB190" s="21">
        <v>180</v>
      </c>
      <c r="BC190" s="21">
        <v>0.80566400000000005</v>
      </c>
      <c r="BD190">
        <f t="shared" si="34"/>
        <v>8.7144691358024691</v>
      </c>
      <c r="BE190">
        <f t="shared" si="35"/>
        <v>7.0275832017777775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0.82855199999999996</v>
      </c>
      <c r="H191" s="21">
        <v>6.9181699999999999</v>
      </c>
      <c r="I191" s="21">
        <v>-7.8918500000000006E-3</v>
      </c>
      <c r="J191" s="21">
        <v>181</v>
      </c>
      <c r="K191" s="21">
        <v>0.82733199999999996</v>
      </c>
      <c r="L191">
        <f t="shared" si="24"/>
        <v>9.7430246913580234</v>
      </c>
      <c r="M191">
        <f t="shared" si="25"/>
        <v>8.0726025940740733</v>
      </c>
      <c r="N191" s="9"/>
      <c r="O191" s="21">
        <v>0.81146200000000002</v>
      </c>
      <c r="P191" s="21">
        <v>10.6165</v>
      </c>
      <c r="Q191" s="21">
        <v>-7.1350099999999998E-3</v>
      </c>
      <c r="R191" s="21">
        <v>181</v>
      </c>
      <c r="S191" s="21">
        <v>0.81054700000000002</v>
      </c>
      <c r="T191">
        <f t="shared" si="26"/>
        <v>8.8086543209876531</v>
      </c>
      <c r="U191">
        <f t="shared" si="27"/>
        <v>7.1478882526172836</v>
      </c>
      <c r="X191" s="9"/>
      <c r="Y191" s="21">
        <v>0.82855199999999996</v>
      </c>
      <c r="Z191" s="21">
        <v>16.0534</v>
      </c>
      <c r="AA191" s="21">
        <v>-7.8369100000000008E-3</v>
      </c>
      <c r="AB191" s="21">
        <v>181</v>
      </c>
      <c r="AC191" s="21">
        <v>0.82824699999999996</v>
      </c>
      <c r="AD191">
        <f t="shared" si="28"/>
        <v>9.6751975308641978</v>
      </c>
      <c r="AE191">
        <f t="shared" si="29"/>
        <v>8.0164042645925928</v>
      </c>
      <c r="AF191" s="9"/>
      <c r="AG191" s="21">
        <v>0.81146200000000002</v>
      </c>
      <c r="AH191" s="21">
        <v>19.7517</v>
      </c>
      <c r="AI191" s="21">
        <v>-7.08313E-3</v>
      </c>
      <c r="AJ191" s="21">
        <v>181</v>
      </c>
      <c r="AK191" s="21">
        <v>0.81054700000000002</v>
      </c>
      <c r="AL191">
        <f t="shared" si="30"/>
        <v>8.7446049382716033</v>
      </c>
      <c r="AM191">
        <f t="shared" si="31"/>
        <v>7.0959146124197519</v>
      </c>
      <c r="AP191" s="9"/>
      <c r="AQ191" s="21">
        <v>0.82855199999999996</v>
      </c>
      <c r="AR191" s="21">
        <v>25.115600000000001</v>
      </c>
      <c r="AS191" s="21">
        <v>-7.8430199999999992E-3</v>
      </c>
      <c r="AT191" s="21">
        <v>181</v>
      </c>
      <c r="AU191" s="21">
        <v>0.82794199999999996</v>
      </c>
      <c r="AV191">
        <f t="shared" si="32"/>
        <v>9.6827407407407389</v>
      </c>
      <c r="AW191">
        <f t="shared" si="33"/>
        <v>8.0226542062222208</v>
      </c>
      <c r="AX191" s="9"/>
      <c r="AY191" s="21">
        <v>0.81146200000000002</v>
      </c>
      <c r="AZ191" s="21">
        <v>28.8139</v>
      </c>
      <c r="BA191" s="21">
        <v>-7.05261E-3</v>
      </c>
      <c r="BB191" s="21">
        <v>181</v>
      </c>
      <c r="BC191" s="21">
        <v>0.81115700000000002</v>
      </c>
      <c r="BD191">
        <f t="shared" si="34"/>
        <v>8.7069259259259244</v>
      </c>
      <c r="BE191">
        <f t="shared" si="35"/>
        <v>7.0653395257037026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0.82351700000000005</v>
      </c>
      <c r="H192" s="21">
        <v>6.9282399999999997</v>
      </c>
      <c r="I192" s="21">
        <v>-7.8887899999999997E-3</v>
      </c>
      <c r="J192" s="21">
        <v>182</v>
      </c>
      <c r="K192" s="21">
        <v>0.82244899999999999</v>
      </c>
      <c r="L192">
        <f t="shared" si="24"/>
        <v>9.7392469135802457</v>
      </c>
      <c r="M192">
        <f t="shared" si="25"/>
        <v>8.0204354005308645</v>
      </c>
      <c r="N192" s="9"/>
      <c r="O192" s="21">
        <v>0.81649799999999995</v>
      </c>
      <c r="P192" s="21">
        <v>10.6266</v>
      </c>
      <c r="Q192" s="21">
        <v>-7.1380599999999999E-3</v>
      </c>
      <c r="R192" s="21">
        <v>182</v>
      </c>
      <c r="S192" s="21">
        <v>0.81573499999999999</v>
      </c>
      <c r="T192">
        <f t="shared" si="26"/>
        <v>8.8124197530864201</v>
      </c>
      <c r="U192">
        <f t="shared" si="27"/>
        <v>7.1953231035555554</v>
      </c>
      <c r="X192" s="9"/>
      <c r="Y192" s="21">
        <v>0.82351700000000005</v>
      </c>
      <c r="Z192" s="21">
        <v>16.063500000000001</v>
      </c>
      <c r="AA192" s="21">
        <v>-7.8430199999999992E-3</v>
      </c>
      <c r="AB192" s="21">
        <v>182</v>
      </c>
      <c r="AC192" s="21">
        <v>0.82275399999999999</v>
      </c>
      <c r="AD192">
        <f t="shared" si="28"/>
        <v>9.6827407407407389</v>
      </c>
      <c r="AE192">
        <f t="shared" si="29"/>
        <v>7.9739016065925918</v>
      </c>
      <c r="AF192" s="9"/>
      <c r="AG192" s="21">
        <v>0.81649799999999995</v>
      </c>
      <c r="AH192" s="21">
        <v>19.761800000000001</v>
      </c>
      <c r="AI192" s="21">
        <v>-7.0739699999999997E-3</v>
      </c>
      <c r="AJ192" s="21">
        <v>182</v>
      </c>
      <c r="AK192" s="21">
        <v>0.81542999999999999</v>
      </c>
      <c r="AL192">
        <f t="shared" si="30"/>
        <v>8.7332962962962952</v>
      </c>
      <c r="AM192">
        <f t="shared" si="31"/>
        <v>7.1307189593333318</v>
      </c>
      <c r="AP192" s="9"/>
      <c r="AQ192" s="21">
        <v>0.82351700000000005</v>
      </c>
      <c r="AR192" s="21">
        <v>25.125599999999999</v>
      </c>
      <c r="AS192" s="21">
        <v>-7.8399699999999999E-3</v>
      </c>
      <c r="AT192" s="21">
        <v>182</v>
      </c>
      <c r="AU192" s="21">
        <v>0.82244899999999999</v>
      </c>
      <c r="AV192">
        <f t="shared" si="32"/>
        <v>9.6789753086419736</v>
      </c>
      <c r="AW192">
        <f t="shared" si="33"/>
        <v>7.9708007092469124</v>
      </c>
      <c r="AX192" s="9"/>
      <c r="AY192" s="21">
        <v>0.81649799999999995</v>
      </c>
      <c r="AZ192" s="21">
        <v>28.824000000000002</v>
      </c>
      <c r="BA192" s="21">
        <v>-7.0404100000000004E-3</v>
      </c>
      <c r="BB192" s="21">
        <v>182</v>
      </c>
      <c r="BC192" s="21">
        <v>0.81573499999999999</v>
      </c>
      <c r="BD192">
        <f t="shared" si="34"/>
        <v>8.6918641975308635</v>
      </c>
      <c r="BE192">
        <f t="shared" si="35"/>
        <v>7.0968897335555541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0.81848100000000001</v>
      </c>
      <c r="H193" s="21">
        <v>6.9383100000000004</v>
      </c>
      <c r="I193" s="21">
        <v>-7.8979500000000008E-3</v>
      </c>
      <c r="J193" s="21">
        <v>183</v>
      </c>
      <c r="K193" s="21">
        <v>0.81787100000000001</v>
      </c>
      <c r="L193">
        <f t="shared" si="24"/>
        <v>9.7505555555555556</v>
      </c>
      <c r="M193">
        <f t="shared" si="25"/>
        <v>7.9806444616666665</v>
      </c>
      <c r="N193" s="9"/>
      <c r="O193" s="21">
        <v>0.82153299999999996</v>
      </c>
      <c r="P193" s="21">
        <v>10.636699999999999</v>
      </c>
      <c r="Q193" s="21">
        <v>-7.1289099999999996E-3</v>
      </c>
      <c r="R193" s="21">
        <v>183</v>
      </c>
      <c r="S193" s="21">
        <v>0.82092299999999996</v>
      </c>
      <c r="T193">
        <f t="shared" si="26"/>
        <v>8.8011234567901226</v>
      </c>
      <c r="U193">
        <f t="shared" si="27"/>
        <v>7.2304133568271594</v>
      </c>
      <c r="X193" s="9"/>
      <c r="Y193" s="21">
        <v>0.81848100000000001</v>
      </c>
      <c r="Z193" s="21">
        <v>16.073499999999999</v>
      </c>
      <c r="AA193" s="21">
        <v>-7.8552199999999996E-3</v>
      </c>
      <c r="AB193" s="21">
        <v>183</v>
      </c>
      <c r="AC193" s="21">
        <v>0.81726100000000002</v>
      </c>
      <c r="AD193">
        <f t="shared" si="28"/>
        <v>9.6978024691358016</v>
      </c>
      <c r="AE193">
        <f t="shared" si="29"/>
        <v>7.9374670627407404</v>
      </c>
      <c r="AF193" s="9"/>
      <c r="AG193" s="21">
        <v>0.82153299999999996</v>
      </c>
      <c r="AH193" s="21">
        <v>19.771899999999999</v>
      </c>
      <c r="AI193" s="21">
        <v>-7.0709199999999996E-3</v>
      </c>
      <c r="AJ193" s="21">
        <v>183</v>
      </c>
      <c r="AK193" s="21">
        <v>0.82092299999999996</v>
      </c>
      <c r="AL193">
        <f t="shared" si="30"/>
        <v>8.72953086419753</v>
      </c>
      <c r="AM193">
        <f t="shared" si="31"/>
        <v>7.1715976794567888</v>
      </c>
      <c r="AP193" s="9"/>
      <c r="AQ193" s="21">
        <v>0.81848100000000001</v>
      </c>
      <c r="AR193" s="21">
        <v>25.1357</v>
      </c>
      <c r="AS193" s="21">
        <v>-7.8491199999999994E-3</v>
      </c>
      <c r="AT193" s="21">
        <v>183</v>
      </c>
      <c r="AU193" s="21">
        <v>0.81756600000000001</v>
      </c>
      <c r="AV193">
        <f t="shared" si="32"/>
        <v>9.6902716049382693</v>
      </c>
      <c r="AW193">
        <f t="shared" si="33"/>
        <v>7.9313031934814795</v>
      </c>
      <c r="AX193" s="9"/>
      <c r="AY193" s="21">
        <v>0.82153299999999996</v>
      </c>
      <c r="AZ193" s="21">
        <v>28.834099999999999</v>
      </c>
      <c r="BA193" s="21">
        <v>-7.0282000000000001E-3</v>
      </c>
      <c r="BB193" s="21">
        <v>183</v>
      </c>
      <c r="BC193" s="21">
        <v>0.82122799999999996</v>
      </c>
      <c r="BD193">
        <f t="shared" si="34"/>
        <v>8.6767901234567901</v>
      </c>
      <c r="BE193">
        <f t="shared" si="35"/>
        <v>7.1282694204938268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0.813446</v>
      </c>
      <c r="H194" s="21">
        <v>6.9483899999999998</v>
      </c>
      <c r="I194" s="21">
        <v>-7.9101599999999994E-3</v>
      </c>
      <c r="J194" s="21">
        <v>184</v>
      </c>
      <c r="K194" s="21">
        <v>0.81268300000000004</v>
      </c>
      <c r="L194">
        <f t="shared" si="24"/>
        <v>9.7656296296296272</v>
      </c>
      <c r="M194">
        <f t="shared" si="25"/>
        <v>7.9438123597037018</v>
      </c>
      <c r="N194" s="9"/>
      <c r="O194" s="21">
        <v>0.826569</v>
      </c>
      <c r="P194" s="21">
        <v>10.646699999999999</v>
      </c>
      <c r="Q194" s="21">
        <v>-7.1167000000000001E-3</v>
      </c>
      <c r="R194" s="21">
        <v>184</v>
      </c>
      <c r="S194" s="21">
        <v>0.82519500000000001</v>
      </c>
      <c r="T194">
        <f t="shared" si="26"/>
        <v>8.7860493827160493</v>
      </c>
      <c r="U194">
        <f t="shared" si="27"/>
        <v>7.2622760522222221</v>
      </c>
      <c r="X194" s="9"/>
      <c r="Y194" s="21">
        <v>0.813446</v>
      </c>
      <c r="Z194" s="21">
        <v>16.083600000000001</v>
      </c>
      <c r="AA194" s="21">
        <v>-7.8704799999999991E-3</v>
      </c>
      <c r="AB194" s="21">
        <v>184</v>
      </c>
      <c r="AC194" s="21">
        <v>0.81237800000000004</v>
      </c>
      <c r="AD194">
        <f t="shared" si="28"/>
        <v>9.7166419753086402</v>
      </c>
      <c r="AE194">
        <f t="shared" si="29"/>
        <v>7.9039635482469119</v>
      </c>
      <c r="AF194" s="9"/>
      <c r="AG194" s="21">
        <v>0.826569</v>
      </c>
      <c r="AH194" s="21">
        <v>19.7819</v>
      </c>
      <c r="AI194" s="21">
        <v>-7.0648200000000003E-3</v>
      </c>
      <c r="AJ194" s="21">
        <v>184</v>
      </c>
      <c r="AK194" s="21">
        <v>0.82580600000000004</v>
      </c>
      <c r="AL194">
        <f t="shared" si="30"/>
        <v>8.7220000000000013</v>
      </c>
      <c r="AM194">
        <f t="shared" si="31"/>
        <v>7.2093348180000012</v>
      </c>
      <c r="AP194" s="9"/>
      <c r="AQ194" s="21">
        <v>0.813446</v>
      </c>
      <c r="AR194" s="21">
        <v>25.145800000000001</v>
      </c>
      <c r="AS194" s="21">
        <v>-7.8521700000000003E-3</v>
      </c>
      <c r="AT194" s="21">
        <v>184</v>
      </c>
      <c r="AU194" s="21">
        <v>0.81268300000000004</v>
      </c>
      <c r="AV194">
        <f t="shared" si="32"/>
        <v>9.6940370370370381</v>
      </c>
      <c r="AW194">
        <f t="shared" si="33"/>
        <v>7.8855756516296305</v>
      </c>
      <c r="AX194" s="9"/>
      <c r="AY194" s="21">
        <v>0.826569</v>
      </c>
      <c r="AZ194" s="21">
        <v>28.844200000000001</v>
      </c>
      <c r="BA194" s="21">
        <v>-7.0220899999999999E-3</v>
      </c>
      <c r="BB194" s="21">
        <v>184</v>
      </c>
      <c r="BC194" s="21">
        <v>0.82611100000000004</v>
      </c>
      <c r="BD194">
        <f t="shared" si="34"/>
        <v>8.6692469135802472</v>
      </c>
      <c r="BE194">
        <f t="shared" si="35"/>
        <v>7.1657307521111111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0.80841099999999999</v>
      </c>
      <c r="H195" s="21">
        <v>6.9584599999999996</v>
      </c>
      <c r="I195" s="21">
        <v>-7.9162599999999996E-3</v>
      </c>
      <c r="J195" s="21">
        <v>185</v>
      </c>
      <c r="K195" s="21">
        <v>0.80779999999999996</v>
      </c>
      <c r="L195">
        <f t="shared" si="24"/>
        <v>9.7731604938271595</v>
      </c>
      <c r="M195">
        <f t="shared" si="25"/>
        <v>7.9007304479753078</v>
      </c>
      <c r="N195" s="9"/>
      <c r="O195" s="21">
        <v>0.83160400000000001</v>
      </c>
      <c r="P195" s="21">
        <v>10.6568</v>
      </c>
      <c r="Q195" s="21">
        <v>-7.1014399999999997E-3</v>
      </c>
      <c r="R195" s="21">
        <v>185</v>
      </c>
      <c r="S195" s="21">
        <v>0.83099400000000001</v>
      </c>
      <c r="T195">
        <f t="shared" si="26"/>
        <v>8.7672098765432089</v>
      </c>
      <c r="U195">
        <f t="shared" si="27"/>
        <v>7.2908468021728385</v>
      </c>
      <c r="X195" s="9"/>
      <c r="Y195" s="21">
        <v>0.80841099999999999</v>
      </c>
      <c r="Z195" s="21">
        <v>16.093699999999998</v>
      </c>
      <c r="AA195" s="21">
        <v>-7.8826899999999995E-3</v>
      </c>
      <c r="AB195" s="21">
        <v>185</v>
      </c>
      <c r="AC195" s="21">
        <v>0.80718999999999996</v>
      </c>
      <c r="AD195">
        <f t="shared" si="28"/>
        <v>9.7317160493827153</v>
      </c>
      <c r="AE195">
        <f t="shared" si="29"/>
        <v>7.8672263031975298</v>
      </c>
      <c r="AF195" s="9"/>
      <c r="AG195" s="21">
        <v>0.83160400000000001</v>
      </c>
      <c r="AH195" s="21">
        <v>19.792000000000002</v>
      </c>
      <c r="AI195" s="21">
        <v>-7.0678700000000004E-3</v>
      </c>
      <c r="AJ195" s="21">
        <v>185</v>
      </c>
      <c r="AK195" s="21">
        <v>0.83068799999999998</v>
      </c>
      <c r="AL195">
        <f t="shared" si="30"/>
        <v>8.7257654320987648</v>
      </c>
      <c r="AM195">
        <f t="shared" si="31"/>
        <v>7.2563814363950616</v>
      </c>
      <c r="AP195" s="9"/>
      <c r="AQ195" s="21">
        <v>0.80841099999999999</v>
      </c>
      <c r="AR195" s="21">
        <v>25.155899999999999</v>
      </c>
      <c r="AS195" s="21">
        <v>-7.8643800000000007E-3</v>
      </c>
      <c r="AT195" s="21">
        <v>185</v>
      </c>
      <c r="AU195" s="21">
        <v>0.80718999999999996</v>
      </c>
      <c r="AV195">
        <f t="shared" si="32"/>
        <v>9.7091111111111115</v>
      </c>
      <c r="AW195">
        <f t="shared" si="33"/>
        <v>7.8489522224444448</v>
      </c>
      <c r="AX195" s="9"/>
      <c r="AY195" s="21">
        <v>0.83160400000000001</v>
      </c>
      <c r="AZ195" s="21">
        <v>28.854199999999999</v>
      </c>
      <c r="BA195" s="21">
        <v>-7.0098900000000004E-3</v>
      </c>
      <c r="BB195" s="21">
        <v>185</v>
      </c>
      <c r="BC195" s="21">
        <v>0.83099400000000001</v>
      </c>
      <c r="BD195">
        <f t="shared" si="34"/>
        <v>8.6541851851851845</v>
      </c>
      <c r="BE195">
        <f t="shared" si="35"/>
        <v>7.1968550167407406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0.80337499999999995</v>
      </c>
      <c r="H196" s="21">
        <v>6.9685300000000003</v>
      </c>
      <c r="I196" s="21">
        <v>-7.9254200000000007E-3</v>
      </c>
      <c r="J196" s="21">
        <v>186</v>
      </c>
      <c r="K196" s="21">
        <v>0.80230699999999999</v>
      </c>
      <c r="L196">
        <f t="shared" si="24"/>
        <v>9.7844691358024694</v>
      </c>
      <c r="M196">
        <f t="shared" si="25"/>
        <v>7.8605978919753081</v>
      </c>
      <c r="N196" s="9"/>
      <c r="O196" s="21">
        <v>0.83663900000000002</v>
      </c>
      <c r="P196" s="21">
        <v>10.6669</v>
      </c>
      <c r="Q196" s="21">
        <v>-7.0953400000000003E-3</v>
      </c>
      <c r="R196" s="21">
        <v>186</v>
      </c>
      <c r="S196" s="21">
        <v>0.83557099999999995</v>
      </c>
      <c r="T196">
        <f t="shared" si="26"/>
        <v>8.7596790123456802</v>
      </c>
      <c r="U196">
        <f t="shared" si="27"/>
        <v>7.3286890892098775</v>
      </c>
      <c r="X196" s="9"/>
      <c r="Y196" s="21">
        <v>0.80337499999999995</v>
      </c>
      <c r="Z196" s="21">
        <v>16.1037</v>
      </c>
      <c r="AA196" s="21">
        <v>-7.8857400000000005E-3</v>
      </c>
      <c r="AB196" s="21">
        <v>186</v>
      </c>
      <c r="AC196" s="21">
        <v>0.80291699999999999</v>
      </c>
      <c r="AD196">
        <f t="shared" si="28"/>
        <v>9.7354814814814823</v>
      </c>
      <c r="AE196">
        <f t="shared" si="29"/>
        <v>7.8212424351851855</v>
      </c>
      <c r="AF196" s="9"/>
      <c r="AG196" s="21">
        <v>0.83663900000000002</v>
      </c>
      <c r="AH196" s="21">
        <v>19.802099999999999</v>
      </c>
      <c r="AI196" s="21">
        <v>-7.0617700000000002E-3</v>
      </c>
      <c r="AJ196" s="21">
        <v>186</v>
      </c>
      <c r="AK196" s="21">
        <v>0.83618199999999998</v>
      </c>
      <c r="AL196">
        <f t="shared" si="30"/>
        <v>8.7182345679012343</v>
      </c>
      <c r="AM196">
        <f t="shared" si="31"/>
        <v>7.2940150506543207</v>
      </c>
      <c r="AP196" s="9"/>
      <c r="AQ196" s="21">
        <v>0.80337499999999995</v>
      </c>
      <c r="AR196" s="21">
        <v>25.165900000000001</v>
      </c>
      <c r="AS196" s="21">
        <v>-7.8674299999999999E-3</v>
      </c>
      <c r="AT196" s="21">
        <v>186</v>
      </c>
      <c r="AU196" s="21">
        <v>0.80230699999999999</v>
      </c>
      <c r="AV196">
        <f t="shared" si="32"/>
        <v>9.7128765432098749</v>
      </c>
      <c r="AW196">
        <f t="shared" si="33"/>
        <v>7.8030821929012326</v>
      </c>
      <c r="AX196" s="9"/>
      <c r="AY196" s="21">
        <v>0.83663900000000002</v>
      </c>
      <c r="AZ196" s="21">
        <v>28.8643</v>
      </c>
      <c r="BA196" s="21">
        <v>-7.0007300000000001E-3</v>
      </c>
      <c r="BB196" s="21">
        <v>186</v>
      </c>
      <c r="BC196" s="21">
        <v>0.83557099999999995</v>
      </c>
      <c r="BD196">
        <f t="shared" si="34"/>
        <v>8.6428765432098746</v>
      </c>
      <c r="BE196">
        <f t="shared" si="35"/>
        <v>7.2309675882345665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0.79834000000000005</v>
      </c>
      <c r="H197" s="21">
        <v>6.9786000000000001</v>
      </c>
      <c r="I197" s="21">
        <v>-7.9406700000000004E-3</v>
      </c>
      <c r="J197" s="21">
        <v>187</v>
      </c>
      <c r="K197" s="21">
        <v>0.79711900000000002</v>
      </c>
      <c r="L197">
        <f t="shared" si="24"/>
        <v>9.8032962962962955</v>
      </c>
      <c r="M197">
        <f t="shared" si="25"/>
        <v>7.8263635651851846</v>
      </c>
      <c r="N197" s="9"/>
      <c r="O197" s="21">
        <v>0.84167499999999995</v>
      </c>
      <c r="P197" s="21">
        <v>10.6769</v>
      </c>
      <c r="Q197" s="21">
        <v>-7.0922900000000002E-3</v>
      </c>
      <c r="R197" s="21">
        <v>187</v>
      </c>
      <c r="S197" s="21">
        <v>0.84106400000000003</v>
      </c>
      <c r="T197">
        <f t="shared" si="26"/>
        <v>8.7559135802469132</v>
      </c>
      <c r="U197">
        <f t="shared" si="27"/>
        <v>7.3696335626543199</v>
      </c>
      <c r="X197" s="9"/>
      <c r="Y197" s="21">
        <v>0.79834000000000005</v>
      </c>
      <c r="Z197" s="21">
        <v>16.113800000000001</v>
      </c>
      <c r="AA197" s="21">
        <v>-7.8948999999999998E-3</v>
      </c>
      <c r="AB197" s="21">
        <v>187</v>
      </c>
      <c r="AC197" s="21">
        <v>0.79742400000000002</v>
      </c>
      <c r="AD197">
        <f t="shared" si="28"/>
        <v>9.7467901234567904</v>
      </c>
      <c r="AE197">
        <f t="shared" si="29"/>
        <v>7.7812524271604948</v>
      </c>
      <c r="AF197" s="9"/>
      <c r="AG197" s="21">
        <v>0.84167499999999995</v>
      </c>
      <c r="AH197" s="21">
        <v>19.812200000000001</v>
      </c>
      <c r="AI197" s="21">
        <v>-7.0587200000000001E-3</v>
      </c>
      <c r="AJ197" s="21">
        <v>187</v>
      </c>
      <c r="AK197" s="21">
        <v>0.84106400000000003</v>
      </c>
      <c r="AL197">
        <f t="shared" si="30"/>
        <v>8.7144691358024691</v>
      </c>
      <c r="AM197">
        <f t="shared" si="31"/>
        <v>7.3347508098765424</v>
      </c>
      <c r="AP197" s="9"/>
      <c r="AQ197" s="21">
        <v>0.79834000000000005</v>
      </c>
      <c r="AR197" s="21">
        <v>25.175999999999998</v>
      </c>
      <c r="AS197" s="21">
        <v>-7.8704799999999991E-3</v>
      </c>
      <c r="AT197" s="21">
        <v>187</v>
      </c>
      <c r="AU197" s="21">
        <v>0.79772900000000002</v>
      </c>
      <c r="AV197">
        <f t="shared" si="32"/>
        <v>9.7166419753086402</v>
      </c>
      <c r="AW197">
        <f t="shared" si="33"/>
        <v>7.7571839545679007</v>
      </c>
      <c r="AX197" s="9"/>
      <c r="AY197" s="21">
        <v>0.84167499999999995</v>
      </c>
      <c r="AZ197" s="21">
        <v>28.874400000000001</v>
      </c>
      <c r="BA197" s="21">
        <v>-6.9946299999999999E-3</v>
      </c>
      <c r="BB197" s="21">
        <v>187</v>
      </c>
      <c r="BC197" s="21">
        <v>0.84106400000000003</v>
      </c>
      <c r="BD197">
        <f t="shared" si="34"/>
        <v>8.635345679012346</v>
      </c>
      <c r="BE197">
        <f t="shared" si="35"/>
        <v>7.2681545743827156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0.79330400000000001</v>
      </c>
      <c r="H198" s="21">
        <v>6.9886699999999999</v>
      </c>
      <c r="I198" s="21">
        <v>-7.9467800000000005E-3</v>
      </c>
      <c r="J198" s="21">
        <v>188</v>
      </c>
      <c r="K198" s="21">
        <v>0.79223600000000005</v>
      </c>
      <c r="L198">
        <f t="shared" si="24"/>
        <v>9.8108395061728402</v>
      </c>
      <c r="M198">
        <f t="shared" si="25"/>
        <v>7.782978223604939</v>
      </c>
      <c r="N198" s="9"/>
      <c r="O198" s="21">
        <v>0.84670999999999996</v>
      </c>
      <c r="P198" s="21">
        <v>10.686999999999999</v>
      </c>
      <c r="Q198" s="21">
        <v>-7.08313E-3</v>
      </c>
      <c r="R198" s="21">
        <v>188</v>
      </c>
      <c r="S198" s="21">
        <v>0.845947</v>
      </c>
      <c r="T198">
        <f t="shared" si="26"/>
        <v>8.7446049382716033</v>
      </c>
      <c r="U198">
        <f t="shared" si="27"/>
        <v>7.404144447283949</v>
      </c>
      <c r="X198" s="9"/>
      <c r="Y198" s="21">
        <v>0.79330400000000001</v>
      </c>
      <c r="Z198" s="21">
        <v>16.123899999999999</v>
      </c>
      <c r="AA198" s="21">
        <v>-7.9071000000000002E-3</v>
      </c>
      <c r="AB198" s="21">
        <v>188</v>
      </c>
      <c r="AC198" s="21">
        <v>0.79223600000000005</v>
      </c>
      <c r="AD198">
        <f t="shared" si="28"/>
        <v>9.7618518518518513</v>
      </c>
      <c r="AE198">
        <f t="shared" si="29"/>
        <v>7.7441161214814809</v>
      </c>
      <c r="AF198" s="9"/>
      <c r="AG198" s="21">
        <v>0.84670999999999996</v>
      </c>
      <c r="AH198" s="21">
        <v>19.822199999999999</v>
      </c>
      <c r="AI198" s="21">
        <v>-7.0465099999999998E-3</v>
      </c>
      <c r="AJ198" s="21">
        <v>188</v>
      </c>
      <c r="AK198" s="21">
        <v>0.846252</v>
      </c>
      <c r="AL198">
        <f t="shared" si="30"/>
        <v>8.6993950617283939</v>
      </c>
      <c r="AM198">
        <f t="shared" si="31"/>
        <v>7.3658647927160485</v>
      </c>
      <c r="AP198" s="9"/>
      <c r="AQ198" s="21">
        <v>0.79330400000000001</v>
      </c>
      <c r="AR198" s="21">
        <v>25.1861</v>
      </c>
      <c r="AS198" s="21">
        <v>-7.8796400000000003E-3</v>
      </c>
      <c r="AT198" s="21">
        <v>188</v>
      </c>
      <c r="AU198" s="21">
        <v>0.79223600000000005</v>
      </c>
      <c r="AV198">
        <f t="shared" si="32"/>
        <v>9.7279506172839501</v>
      </c>
      <c r="AW198">
        <f t="shared" si="33"/>
        <v>7.7172221364938265</v>
      </c>
      <c r="AX198" s="9"/>
      <c r="AY198" s="21">
        <v>0.84670999999999996</v>
      </c>
      <c r="AZ198" s="21">
        <v>28.884399999999999</v>
      </c>
      <c r="BA198" s="21">
        <v>-6.9946299999999999E-3</v>
      </c>
      <c r="BB198" s="21">
        <v>188</v>
      </c>
      <c r="BC198" s="21">
        <v>0.845642</v>
      </c>
      <c r="BD198">
        <f t="shared" si="34"/>
        <v>8.635345679012346</v>
      </c>
      <c r="BE198">
        <f t="shared" si="35"/>
        <v>7.3116335398765431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0.788269</v>
      </c>
      <c r="H199" s="21">
        <v>6.9987399999999997</v>
      </c>
      <c r="I199" s="21">
        <v>-7.9559299999999999E-3</v>
      </c>
      <c r="J199" s="21">
        <v>189</v>
      </c>
      <c r="K199" s="21">
        <v>0.78674299999999997</v>
      </c>
      <c r="L199">
        <f t="shared" si="24"/>
        <v>9.8221358024691359</v>
      </c>
      <c r="M199">
        <f t="shared" si="25"/>
        <v>7.7424851668765431</v>
      </c>
      <c r="N199" s="9"/>
      <c r="O199" s="21">
        <v>0.851746</v>
      </c>
      <c r="P199" s="21">
        <v>10.697100000000001</v>
      </c>
      <c r="Q199" s="21">
        <v>-7.0739699999999997E-3</v>
      </c>
      <c r="R199" s="21">
        <v>189</v>
      </c>
      <c r="S199" s="21">
        <v>0.85113499999999997</v>
      </c>
      <c r="T199">
        <f t="shared" si="26"/>
        <v>8.7332962962962952</v>
      </c>
      <c r="U199">
        <f t="shared" si="27"/>
        <v>7.438550187185184</v>
      </c>
      <c r="X199" s="9"/>
      <c r="Y199" s="21">
        <v>0.788269</v>
      </c>
      <c r="Z199" s="21">
        <v>16.134</v>
      </c>
      <c r="AA199" s="21">
        <v>-7.9162599999999996E-3</v>
      </c>
      <c r="AB199" s="21">
        <v>189</v>
      </c>
      <c r="AC199" s="21">
        <v>0.787659</v>
      </c>
      <c r="AD199">
        <f t="shared" si="28"/>
        <v>9.7731604938271595</v>
      </c>
      <c r="AE199">
        <f t="shared" si="29"/>
        <v>7.7038794493086415</v>
      </c>
      <c r="AF199" s="9"/>
      <c r="AG199" s="21">
        <v>0.851746</v>
      </c>
      <c r="AH199" s="21">
        <v>19.8323</v>
      </c>
      <c r="AI199" s="21">
        <v>-7.0434599999999997E-3</v>
      </c>
      <c r="AJ199" s="21">
        <v>189</v>
      </c>
      <c r="AK199" s="21">
        <v>0.85082999999999998</v>
      </c>
      <c r="AL199">
        <f t="shared" si="30"/>
        <v>8.6956296296296269</v>
      </c>
      <c r="AM199">
        <f t="shared" si="31"/>
        <v>7.4064677545185162</v>
      </c>
      <c r="AP199" s="9"/>
      <c r="AQ199" s="21">
        <v>0.788269</v>
      </c>
      <c r="AR199" s="21">
        <v>25.196100000000001</v>
      </c>
      <c r="AS199" s="21">
        <v>-7.8887899999999997E-3</v>
      </c>
      <c r="AT199" s="21">
        <v>189</v>
      </c>
      <c r="AU199" s="21">
        <v>0.787354</v>
      </c>
      <c r="AV199">
        <f t="shared" si="32"/>
        <v>9.7392469135802457</v>
      </c>
      <c r="AW199">
        <f t="shared" si="33"/>
        <v>7.6771464253209869</v>
      </c>
      <c r="AX199" s="9"/>
      <c r="AY199" s="21">
        <v>0.851746</v>
      </c>
      <c r="AZ199" s="21">
        <v>28.894500000000001</v>
      </c>
      <c r="BA199" s="21">
        <v>-6.9885299999999997E-3</v>
      </c>
      <c r="BB199" s="21">
        <v>189</v>
      </c>
      <c r="BC199" s="21">
        <v>0.85143999999999997</v>
      </c>
      <c r="BD199">
        <f t="shared" si="34"/>
        <v>8.6278148148148137</v>
      </c>
      <c r="BE199">
        <f t="shared" si="35"/>
        <v>7.3487067572592579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0.78323399999999999</v>
      </c>
      <c r="H200" s="21">
        <v>7.0088100000000004</v>
      </c>
      <c r="I200" s="21">
        <v>-7.9589799999999992E-3</v>
      </c>
      <c r="J200" s="21">
        <v>190</v>
      </c>
      <c r="K200" s="21">
        <v>0.78186</v>
      </c>
      <c r="L200">
        <f t="shared" si="24"/>
        <v>9.8259012345678993</v>
      </c>
      <c r="M200">
        <f t="shared" si="25"/>
        <v>7.6959799275555536</v>
      </c>
      <c r="N200" s="9"/>
      <c r="O200" s="21">
        <v>0.85678100000000001</v>
      </c>
      <c r="P200" s="21">
        <v>10.707100000000001</v>
      </c>
      <c r="Q200" s="21">
        <v>-7.0648200000000003E-3</v>
      </c>
      <c r="R200" s="21">
        <v>190</v>
      </c>
      <c r="S200" s="21">
        <v>0.85571299999999995</v>
      </c>
      <c r="T200">
        <f t="shared" si="26"/>
        <v>8.7220000000000013</v>
      </c>
      <c r="U200">
        <f t="shared" si="27"/>
        <v>7.4728438820000012</v>
      </c>
      <c r="X200" s="9"/>
      <c r="Y200" s="21">
        <v>0.78323399999999999</v>
      </c>
      <c r="Z200" s="21">
        <v>16.143999999999998</v>
      </c>
      <c r="AA200" s="21">
        <v>-7.92847E-3</v>
      </c>
      <c r="AB200" s="21">
        <v>190</v>
      </c>
      <c r="AC200" s="21">
        <v>0.78308100000000003</v>
      </c>
      <c r="AD200">
        <f t="shared" si="28"/>
        <v>9.7882345679012346</v>
      </c>
      <c r="AE200">
        <f t="shared" si="29"/>
        <v>7.6664781135555558</v>
      </c>
      <c r="AF200" s="9"/>
      <c r="AG200" s="21">
        <v>0.85678100000000001</v>
      </c>
      <c r="AH200" s="21">
        <v>19.842400000000001</v>
      </c>
      <c r="AI200" s="21">
        <v>-7.0373500000000004E-3</v>
      </c>
      <c r="AJ200" s="21">
        <v>190</v>
      </c>
      <c r="AK200" s="21">
        <v>0.85601799999999995</v>
      </c>
      <c r="AL200">
        <f t="shared" si="30"/>
        <v>8.6880864197530858</v>
      </c>
      <c r="AM200">
        <f t="shared" si="31"/>
        <v>7.4437873708024691</v>
      </c>
      <c r="AP200" s="9"/>
      <c r="AQ200" s="21">
        <v>0.78323399999999999</v>
      </c>
      <c r="AR200" s="21">
        <v>25.206199999999999</v>
      </c>
      <c r="AS200" s="21">
        <v>-7.9040499999999993E-3</v>
      </c>
      <c r="AT200" s="21">
        <v>190</v>
      </c>
      <c r="AU200" s="21">
        <v>0.78186</v>
      </c>
      <c r="AV200">
        <f t="shared" si="32"/>
        <v>9.7580864197530861</v>
      </c>
      <c r="AW200">
        <f t="shared" si="33"/>
        <v>7.6428650588888889</v>
      </c>
      <c r="AX200" s="9"/>
      <c r="AY200" s="21">
        <v>0.85678100000000001</v>
      </c>
      <c r="AZ200" s="21">
        <v>28.904599999999999</v>
      </c>
      <c r="BA200" s="21">
        <v>-6.9824199999999996E-3</v>
      </c>
      <c r="BB200" s="21">
        <v>190</v>
      </c>
      <c r="BC200" s="21">
        <v>0.85571299999999995</v>
      </c>
      <c r="BD200">
        <f t="shared" si="34"/>
        <v>8.6202716049382708</v>
      </c>
      <c r="BE200">
        <f t="shared" si="35"/>
        <v>7.385684925950617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0.77819799999999995</v>
      </c>
      <c r="H201" s="21">
        <v>7.0188800000000002</v>
      </c>
      <c r="I201" s="21">
        <v>-7.9681400000000003E-3</v>
      </c>
      <c r="J201" s="21">
        <v>191</v>
      </c>
      <c r="K201" s="21">
        <v>0.77758799999999995</v>
      </c>
      <c r="L201">
        <f t="shared" si="24"/>
        <v>9.8372098765432092</v>
      </c>
      <c r="M201">
        <f t="shared" si="25"/>
        <v>7.6552970515061718</v>
      </c>
      <c r="N201" s="9"/>
      <c r="O201" s="21">
        <v>0.86181600000000003</v>
      </c>
      <c r="P201" s="21">
        <v>10.7172</v>
      </c>
      <c r="Q201" s="21">
        <v>-7.0587200000000001E-3</v>
      </c>
      <c r="R201" s="21">
        <v>191</v>
      </c>
      <c r="S201" s="21">
        <v>0.86090100000000003</v>
      </c>
      <c r="T201">
        <f t="shared" si="26"/>
        <v>8.7144691358024691</v>
      </c>
      <c r="U201">
        <f t="shared" si="27"/>
        <v>7.5102689327407406</v>
      </c>
      <c r="X201" s="9"/>
      <c r="Y201" s="21">
        <v>0.77819799999999995</v>
      </c>
      <c r="Z201" s="21">
        <v>16.1541</v>
      </c>
      <c r="AA201" s="21">
        <v>-7.9345700000000002E-3</v>
      </c>
      <c r="AB201" s="21">
        <v>191</v>
      </c>
      <c r="AC201" s="21">
        <v>0.77728299999999995</v>
      </c>
      <c r="AD201">
        <f t="shared" si="28"/>
        <v>9.795765432098765</v>
      </c>
      <c r="AE201">
        <f t="shared" si="29"/>
        <v>7.6230450677283939</v>
      </c>
      <c r="AF201" s="9"/>
      <c r="AG201" s="21">
        <v>0.86181600000000003</v>
      </c>
      <c r="AH201" s="21">
        <v>19.852399999999999</v>
      </c>
      <c r="AI201" s="21">
        <v>-7.0282000000000001E-3</v>
      </c>
      <c r="AJ201" s="21">
        <v>191</v>
      </c>
      <c r="AK201" s="21">
        <v>0.86090100000000003</v>
      </c>
      <c r="AL201">
        <f t="shared" si="30"/>
        <v>8.6767901234567901</v>
      </c>
      <c r="AM201">
        <f t="shared" si="31"/>
        <v>7.4777965570370375</v>
      </c>
      <c r="AP201" s="9"/>
      <c r="AQ201" s="21">
        <v>0.77819799999999995</v>
      </c>
      <c r="AR201" s="21">
        <v>25.2163</v>
      </c>
      <c r="AS201" s="21">
        <v>-7.9132100000000004E-3</v>
      </c>
      <c r="AT201" s="21">
        <v>191</v>
      </c>
      <c r="AU201" s="21">
        <v>0.77728299999999995</v>
      </c>
      <c r="AV201">
        <f t="shared" si="32"/>
        <v>9.769395061728396</v>
      </c>
      <c r="AW201">
        <f t="shared" si="33"/>
        <v>7.6025236982469142</v>
      </c>
      <c r="AX201" s="9"/>
      <c r="AY201" s="21">
        <v>0.86181600000000003</v>
      </c>
      <c r="AZ201" s="21">
        <v>28.9147</v>
      </c>
      <c r="BA201" s="21">
        <v>-6.9641099999999999E-3</v>
      </c>
      <c r="BB201" s="21">
        <v>191</v>
      </c>
      <c r="BC201" s="21">
        <v>0.86120600000000003</v>
      </c>
      <c r="BD201">
        <f t="shared" si="34"/>
        <v>8.597666666666667</v>
      </c>
      <c r="BE201">
        <f t="shared" si="35"/>
        <v>7.4096066960000009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0.77316300000000004</v>
      </c>
      <c r="H202" s="21">
        <v>7.02895</v>
      </c>
      <c r="I202" s="21">
        <v>-7.9742400000000005E-3</v>
      </c>
      <c r="J202" s="21">
        <v>192</v>
      </c>
      <c r="K202" s="21">
        <v>0.77178999999999998</v>
      </c>
      <c r="L202">
        <f t="shared" si="24"/>
        <v>9.8447407407407415</v>
      </c>
      <c r="M202">
        <f t="shared" si="25"/>
        <v>7.6115892853333342</v>
      </c>
      <c r="N202" s="9"/>
      <c r="O202" s="21">
        <v>0.86685199999999996</v>
      </c>
      <c r="P202" s="21">
        <v>10.7273</v>
      </c>
      <c r="Q202" s="21">
        <v>-7.05261E-3</v>
      </c>
      <c r="R202" s="21">
        <v>192</v>
      </c>
      <c r="S202" s="21">
        <v>0.865784</v>
      </c>
      <c r="T202">
        <f t="shared" si="26"/>
        <v>8.7069259259259244</v>
      </c>
      <c r="U202">
        <f t="shared" si="27"/>
        <v>7.5476161527407388</v>
      </c>
      <c r="X202" s="9"/>
      <c r="Y202" s="21">
        <v>0.77316300000000004</v>
      </c>
      <c r="Z202" s="21">
        <v>16.164200000000001</v>
      </c>
      <c r="AA202" s="21">
        <v>-7.9376199999999994E-3</v>
      </c>
      <c r="AB202" s="21">
        <v>192</v>
      </c>
      <c r="AC202" s="21">
        <v>0.77209499999999998</v>
      </c>
      <c r="AD202">
        <f t="shared" si="28"/>
        <v>9.7995308641975303</v>
      </c>
      <c r="AE202">
        <f t="shared" si="29"/>
        <v>7.5766346815555554</v>
      </c>
      <c r="AF202" s="9"/>
      <c r="AG202" s="21">
        <v>0.86685199999999996</v>
      </c>
      <c r="AH202" s="21">
        <v>19.862500000000001</v>
      </c>
      <c r="AI202" s="21">
        <v>-7.0190399999999998E-3</v>
      </c>
      <c r="AJ202" s="21">
        <v>192</v>
      </c>
      <c r="AK202" s="21">
        <v>0.865784</v>
      </c>
      <c r="AL202">
        <f t="shared" si="30"/>
        <v>8.6654814814814802</v>
      </c>
      <c r="AM202">
        <f t="shared" si="31"/>
        <v>7.5116899531851837</v>
      </c>
      <c r="AP202" s="9"/>
      <c r="AQ202" s="21">
        <v>0.77316300000000004</v>
      </c>
      <c r="AR202" s="21">
        <v>25.226299999999998</v>
      </c>
      <c r="AS202" s="21">
        <v>-7.9162599999999996E-3</v>
      </c>
      <c r="AT202" s="21">
        <v>192</v>
      </c>
      <c r="AU202" s="21">
        <v>0.77270499999999998</v>
      </c>
      <c r="AV202">
        <f t="shared" si="32"/>
        <v>9.7731604938271595</v>
      </c>
      <c r="AW202">
        <f t="shared" si="33"/>
        <v>7.5562460868888888</v>
      </c>
      <c r="AX202" s="9"/>
      <c r="AY202" s="21">
        <v>0.86685199999999996</v>
      </c>
      <c r="AZ202" s="21">
        <v>28.924700000000001</v>
      </c>
      <c r="BA202" s="21">
        <v>-6.9610599999999998E-3</v>
      </c>
      <c r="BB202" s="21">
        <v>192</v>
      </c>
      <c r="BC202" s="21">
        <v>0.865784</v>
      </c>
      <c r="BD202">
        <f t="shared" si="34"/>
        <v>8.5939012345679</v>
      </c>
      <c r="BE202">
        <f t="shared" si="35"/>
        <v>7.4496404729876531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0.768127</v>
      </c>
      <c r="H203" s="21">
        <v>7.0390199999999998</v>
      </c>
      <c r="I203" s="21">
        <v>-7.9803500000000006E-3</v>
      </c>
      <c r="J203" s="21">
        <v>193</v>
      </c>
      <c r="K203" s="21">
        <v>0.76721200000000001</v>
      </c>
      <c r="L203">
        <f t="shared" si="24"/>
        <v>9.8522839506172843</v>
      </c>
      <c r="M203">
        <f t="shared" si="25"/>
        <v>7.5678053141358026</v>
      </c>
      <c r="N203" s="9"/>
      <c r="O203" s="21">
        <v>0.87188699999999997</v>
      </c>
      <c r="P203" s="21">
        <v>10.737399999999999</v>
      </c>
      <c r="Q203" s="21">
        <v>-7.0404100000000004E-3</v>
      </c>
      <c r="R203" s="21">
        <v>193</v>
      </c>
      <c r="S203" s="21">
        <v>0.87036100000000005</v>
      </c>
      <c r="T203">
        <f t="shared" si="26"/>
        <v>8.6918641975308635</v>
      </c>
      <c r="U203">
        <f t="shared" si="27"/>
        <v>7.578323399592592</v>
      </c>
      <c r="X203" s="9"/>
      <c r="Y203" s="21">
        <v>0.768127</v>
      </c>
      <c r="Z203" s="21">
        <v>16.174199999999999</v>
      </c>
      <c r="AA203" s="21">
        <v>-7.9315199999999992E-3</v>
      </c>
      <c r="AB203" s="21">
        <v>193</v>
      </c>
      <c r="AC203" s="21">
        <v>0.76721200000000001</v>
      </c>
      <c r="AD203">
        <f t="shared" si="28"/>
        <v>9.791999999999998</v>
      </c>
      <c r="AE203">
        <f t="shared" si="29"/>
        <v>7.521499583999999</v>
      </c>
      <c r="AF203" s="9"/>
      <c r="AG203" s="21">
        <v>0.87188699999999997</v>
      </c>
      <c r="AH203" s="21">
        <v>19.872599999999998</v>
      </c>
      <c r="AI203" s="21">
        <v>-7.0068400000000003E-3</v>
      </c>
      <c r="AJ203" s="21">
        <v>193</v>
      </c>
      <c r="AK203" s="21">
        <v>0.87005600000000005</v>
      </c>
      <c r="AL203">
        <f t="shared" si="30"/>
        <v>8.6504197530864193</v>
      </c>
      <c r="AM203">
        <f t="shared" si="31"/>
        <v>7.5421885272592588</v>
      </c>
      <c r="AP203" s="9"/>
      <c r="AQ203" s="21">
        <v>0.768127</v>
      </c>
      <c r="AR203" s="21">
        <v>25.2364</v>
      </c>
      <c r="AS203" s="21">
        <v>-7.9223599999999998E-3</v>
      </c>
      <c r="AT203" s="21">
        <v>193</v>
      </c>
      <c r="AU203" s="21">
        <v>0.76660200000000001</v>
      </c>
      <c r="AV203">
        <f t="shared" si="32"/>
        <v>9.7806913580246917</v>
      </c>
      <c r="AW203">
        <f t="shared" si="33"/>
        <v>7.5128131107654328</v>
      </c>
      <c r="AX203" s="9"/>
      <c r="AY203" s="21">
        <v>0.87188699999999997</v>
      </c>
      <c r="AZ203" s="21">
        <v>28.934799999999999</v>
      </c>
      <c r="BA203" s="21">
        <v>-6.9549599999999996E-3</v>
      </c>
      <c r="BB203" s="21">
        <v>193</v>
      </c>
      <c r="BC203" s="21">
        <v>0.87158199999999997</v>
      </c>
      <c r="BD203">
        <f t="shared" si="34"/>
        <v>8.5863703703703695</v>
      </c>
      <c r="BE203">
        <f t="shared" si="35"/>
        <v>7.4863447031111106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0.76309199999999999</v>
      </c>
      <c r="H204" s="21">
        <v>7.0491000000000001</v>
      </c>
      <c r="I204" s="21">
        <v>-7.9864500000000008E-3</v>
      </c>
      <c r="J204" s="21">
        <v>194</v>
      </c>
      <c r="K204" s="21">
        <v>0.76202400000000003</v>
      </c>
      <c r="L204">
        <f t="shared" ref="L204:L267" si="36">-I204/$F$2*1000</f>
        <v>9.8598148148148166</v>
      </c>
      <c r="M204">
        <f t="shared" ref="M204:M267" si="37">L204*G204</f>
        <v>7.523945806666668</v>
      </c>
      <c r="N204" s="9"/>
      <c r="O204" s="21">
        <v>0.87692300000000001</v>
      </c>
      <c r="P204" s="21">
        <v>10.747400000000001</v>
      </c>
      <c r="Q204" s="21">
        <v>-7.0312500000000002E-3</v>
      </c>
      <c r="R204" s="21">
        <v>194</v>
      </c>
      <c r="S204" s="21">
        <v>0.87554900000000002</v>
      </c>
      <c r="T204">
        <f t="shared" ref="T204:T267" si="38">-Q204/$F$2*1000</f>
        <v>8.6805555555555554</v>
      </c>
      <c r="U204">
        <f t="shared" ref="U204:U267" si="39">T204*O204</f>
        <v>7.612178819444444</v>
      </c>
      <c r="X204" s="9"/>
      <c r="Y204" s="21">
        <v>0.76309199999999999</v>
      </c>
      <c r="Z204" s="21">
        <v>16.1843</v>
      </c>
      <c r="AA204" s="21">
        <v>-7.9315199999999992E-3</v>
      </c>
      <c r="AB204" s="21">
        <v>194</v>
      </c>
      <c r="AC204" s="21">
        <v>0.76232900000000003</v>
      </c>
      <c r="AD204">
        <f t="shared" ref="AD204:AD267" si="40">-AA204/$F$2*1000</f>
        <v>9.791999999999998</v>
      </c>
      <c r="AE204">
        <f t="shared" ref="AE204:AE267" si="41">AD204*Y204</f>
        <v>7.4721968639999981</v>
      </c>
      <c r="AF204" s="9"/>
      <c r="AG204" s="21">
        <v>0.87692300000000001</v>
      </c>
      <c r="AH204" s="21">
        <v>19.8826</v>
      </c>
      <c r="AI204" s="21">
        <v>-6.9885299999999997E-3</v>
      </c>
      <c r="AJ204" s="21">
        <v>194</v>
      </c>
      <c r="AK204" s="21">
        <v>0.87646500000000005</v>
      </c>
      <c r="AL204">
        <f t="shared" ref="AL204:AL267" si="42">-AI204/$F$2*1000</f>
        <v>8.6278148148148137</v>
      </c>
      <c r="AM204">
        <f t="shared" ref="AM204:AM267" si="43">AL204*AG204</f>
        <v>7.565929250851851</v>
      </c>
      <c r="AP204" s="9"/>
      <c r="AQ204" s="21">
        <v>0.76309199999999999</v>
      </c>
      <c r="AR204" s="21">
        <v>25.246500000000001</v>
      </c>
      <c r="AS204" s="21">
        <v>-7.9254200000000007E-3</v>
      </c>
      <c r="AT204" s="21">
        <v>194</v>
      </c>
      <c r="AU204" s="21">
        <v>0.76202400000000003</v>
      </c>
      <c r="AV204">
        <f t="shared" ref="AV204:AV267" si="44">-AS204/$F$2*1000</f>
        <v>9.7844691358024694</v>
      </c>
      <c r="AW204">
        <f t="shared" ref="AW204:AW267" si="45">AV204*AQ204</f>
        <v>7.4664501217777781</v>
      </c>
      <c r="AX204" s="9"/>
      <c r="AY204" s="21">
        <v>0.87692300000000001</v>
      </c>
      <c r="AZ204" s="21">
        <v>28.944900000000001</v>
      </c>
      <c r="BA204" s="21">
        <v>-6.9458000000000002E-3</v>
      </c>
      <c r="BB204" s="21">
        <v>194</v>
      </c>
      <c r="BC204" s="21">
        <v>0.87646500000000005</v>
      </c>
      <c r="BD204">
        <f t="shared" ref="BD204:BD267" si="46">-BA204/$F$2*1000</f>
        <v>8.5750617283950614</v>
      </c>
      <c r="BE204">
        <f t="shared" ref="BE204:BE267" si="47">BD204*AY204</f>
        <v>7.5196688560493827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0.75805699999999998</v>
      </c>
      <c r="H205" s="21">
        <v>7.0591699999999999</v>
      </c>
      <c r="I205" s="21">
        <v>-7.9925499999999993E-3</v>
      </c>
      <c r="J205" s="21">
        <v>195</v>
      </c>
      <c r="K205" s="21">
        <v>0.75744599999999995</v>
      </c>
      <c r="L205">
        <f t="shared" si="36"/>
        <v>9.8673456790123435</v>
      </c>
      <c r="M205">
        <f t="shared" si="37"/>
        <v>7.4800104633950601</v>
      </c>
      <c r="N205" s="9"/>
      <c r="O205" s="21">
        <v>0.88195800000000002</v>
      </c>
      <c r="P205" s="21">
        <v>10.7575</v>
      </c>
      <c r="Q205" s="21">
        <v>-7.02515E-3</v>
      </c>
      <c r="R205" s="21">
        <v>195</v>
      </c>
      <c r="S205" s="21">
        <v>0.88195800000000002</v>
      </c>
      <c r="T205">
        <f t="shared" si="38"/>
        <v>8.6730246913580249</v>
      </c>
      <c r="U205">
        <f t="shared" si="39"/>
        <v>7.6492435107407415</v>
      </c>
      <c r="X205" s="9"/>
      <c r="Y205" s="21">
        <v>0.75805699999999998</v>
      </c>
      <c r="Z205" s="21">
        <v>16.194400000000002</v>
      </c>
      <c r="AA205" s="21">
        <v>-7.9437299999999995E-3</v>
      </c>
      <c r="AB205" s="21">
        <v>195</v>
      </c>
      <c r="AC205" s="21">
        <v>0.75714099999999995</v>
      </c>
      <c r="AD205">
        <f t="shared" si="40"/>
        <v>9.8070740740740714</v>
      </c>
      <c r="AE205">
        <f t="shared" si="41"/>
        <v>7.4343211513703684</v>
      </c>
      <c r="AF205" s="9"/>
      <c r="AG205" s="21">
        <v>0.88195800000000002</v>
      </c>
      <c r="AH205" s="21">
        <v>19.892700000000001</v>
      </c>
      <c r="AI205" s="21">
        <v>-6.9732700000000002E-3</v>
      </c>
      <c r="AJ205" s="21">
        <v>195</v>
      </c>
      <c r="AK205" s="21">
        <v>0.88073699999999999</v>
      </c>
      <c r="AL205">
        <f t="shared" si="42"/>
        <v>8.6089753086419751</v>
      </c>
      <c r="AM205">
        <f t="shared" si="43"/>
        <v>7.5927546452592596</v>
      </c>
      <c r="AP205" s="9"/>
      <c r="AQ205" s="21">
        <v>0.75805699999999998</v>
      </c>
      <c r="AR205" s="21">
        <v>25.256599999999999</v>
      </c>
      <c r="AS205" s="21">
        <v>-7.9315199999999992E-3</v>
      </c>
      <c r="AT205" s="21">
        <v>195</v>
      </c>
      <c r="AU205" s="21">
        <v>0.75683599999999995</v>
      </c>
      <c r="AV205">
        <f t="shared" si="44"/>
        <v>9.791999999999998</v>
      </c>
      <c r="AW205">
        <f t="shared" si="45"/>
        <v>7.422894143999998</v>
      </c>
      <c r="AX205" s="9"/>
      <c r="AY205" s="21">
        <v>0.88195800000000002</v>
      </c>
      <c r="AZ205" s="21">
        <v>28.954899999999999</v>
      </c>
      <c r="BA205" s="21">
        <v>-6.9397E-3</v>
      </c>
      <c r="BB205" s="21">
        <v>195</v>
      </c>
      <c r="BC205" s="21">
        <v>0.88104199999999999</v>
      </c>
      <c r="BD205">
        <f t="shared" si="46"/>
        <v>8.5675308641975292</v>
      </c>
      <c r="BE205">
        <f t="shared" si="47"/>
        <v>7.5562023859259249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0.75302100000000005</v>
      </c>
      <c r="H206" s="21">
        <v>7.0692399999999997</v>
      </c>
      <c r="I206" s="21">
        <v>-7.9925499999999993E-3</v>
      </c>
      <c r="J206" s="21">
        <v>196</v>
      </c>
      <c r="K206" s="21">
        <v>0.75225799999999998</v>
      </c>
      <c r="L206">
        <f t="shared" si="36"/>
        <v>9.8673456790123435</v>
      </c>
      <c r="M206">
        <f t="shared" si="37"/>
        <v>7.430318510555554</v>
      </c>
      <c r="N206" s="9"/>
      <c r="O206" s="21">
        <v>0.88699300000000003</v>
      </c>
      <c r="P206" s="21">
        <v>10.7676</v>
      </c>
      <c r="Q206" s="21">
        <v>-7.0098900000000004E-3</v>
      </c>
      <c r="R206" s="21">
        <v>196</v>
      </c>
      <c r="S206" s="21">
        <v>0.88622999999999996</v>
      </c>
      <c r="T206">
        <f t="shared" si="38"/>
        <v>8.6541851851851845</v>
      </c>
      <c r="U206">
        <f t="shared" si="39"/>
        <v>7.6762016799629631</v>
      </c>
      <c r="X206" s="9"/>
      <c r="Y206" s="21">
        <v>0.75302100000000005</v>
      </c>
      <c r="Z206" s="21">
        <v>16.204499999999999</v>
      </c>
      <c r="AA206" s="21">
        <v>-7.9467800000000005E-3</v>
      </c>
      <c r="AB206" s="21">
        <v>196</v>
      </c>
      <c r="AC206" s="21">
        <v>0.75225799999999998</v>
      </c>
      <c r="AD206">
        <f t="shared" si="40"/>
        <v>9.8108395061728402</v>
      </c>
      <c r="AE206">
        <f t="shared" si="41"/>
        <v>7.3877681757777784</v>
      </c>
      <c r="AF206" s="9"/>
      <c r="AG206" s="21">
        <v>0.88699300000000003</v>
      </c>
      <c r="AH206" s="21">
        <v>19.902799999999999</v>
      </c>
      <c r="AI206" s="21">
        <v>-6.9549599999999996E-3</v>
      </c>
      <c r="AJ206" s="21">
        <v>196</v>
      </c>
      <c r="AK206" s="21">
        <v>0.88592499999999996</v>
      </c>
      <c r="AL206">
        <f t="shared" si="42"/>
        <v>8.5863703703703695</v>
      </c>
      <c r="AM206">
        <f t="shared" si="43"/>
        <v>7.6160504139259251</v>
      </c>
      <c r="AP206" s="9"/>
      <c r="AQ206" s="21">
        <v>0.75302100000000005</v>
      </c>
      <c r="AR206" s="21">
        <v>25.2666</v>
      </c>
      <c r="AS206" s="21">
        <v>-7.9315199999999992E-3</v>
      </c>
      <c r="AT206" s="21">
        <v>196</v>
      </c>
      <c r="AU206" s="21">
        <v>0.75225799999999998</v>
      </c>
      <c r="AV206">
        <f t="shared" si="44"/>
        <v>9.791999999999998</v>
      </c>
      <c r="AW206">
        <f t="shared" si="45"/>
        <v>7.3735816319999987</v>
      </c>
      <c r="AX206" s="9"/>
      <c r="AY206" s="21">
        <v>0.88699300000000003</v>
      </c>
      <c r="AZ206" s="21">
        <v>28.965</v>
      </c>
      <c r="BA206" s="21">
        <v>-6.9366499999999999E-3</v>
      </c>
      <c r="BB206" s="21">
        <v>196</v>
      </c>
      <c r="BC206" s="21">
        <v>0.88622999999999996</v>
      </c>
      <c r="BD206">
        <f t="shared" si="46"/>
        <v>8.563765432098764</v>
      </c>
      <c r="BE206">
        <f t="shared" si="47"/>
        <v>7.5959999919135788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0.74798600000000004</v>
      </c>
      <c r="H207" s="21">
        <v>7.0793100000000004</v>
      </c>
      <c r="I207" s="21">
        <v>-7.9986599999999995E-3</v>
      </c>
      <c r="J207" s="21">
        <v>197</v>
      </c>
      <c r="K207" s="21">
        <v>0.74746699999999999</v>
      </c>
      <c r="L207">
        <f t="shared" si="36"/>
        <v>9.8748888888888882</v>
      </c>
      <c r="M207">
        <f t="shared" si="37"/>
        <v>7.386278640444444</v>
      </c>
      <c r="N207" s="9"/>
      <c r="O207" s="21">
        <v>0.89202899999999996</v>
      </c>
      <c r="P207" s="21">
        <v>10.7776</v>
      </c>
      <c r="Q207" s="21">
        <v>-7.0037800000000002E-3</v>
      </c>
      <c r="R207" s="21">
        <v>197</v>
      </c>
      <c r="S207" s="21">
        <v>0.89111300000000004</v>
      </c>
      <c r="T207">
        <f t="shared" si="38"/>
        <v>8.6466419753086416</v>
      </c>
      <c r="U207">
        <f t="shared" si="39"/>
        <v>7.7130553945925922</v>
      </c>
      <c r="X207" s="9"/>
      <c r="Y207" s="21">
        <v>0.74798600000000004</v>
      </c>
      <c r="Z207" s="21">
        <v>16.214500000000001</v>
      </c>
      <c r="AA207" s="21">
        <v>-7.9559299999999999E-3</v>
      </c>
      <c r="AB207" s="21">
        <v>197</v>
      </c>
      <c r="AC207" s="21">
        <v>0.74743700000000002</v>
      </c>
      <c r="AD207">
        <f t="shared" si="40"/>
        <v>9.8221358024691359</v>
      </c>
      <c r="AE207">
        <f t="shared" si="41"/>
        <v>7.3468200703456796</v>
      </c>
      <c r="AF207" s="9"/>
      <c r="AG207" s="21">
        <v>0.89202899999999996</v>
      </c>
      <c r="AH207" s="21">
        <v>19.9129</v>
      </c>
      <c r="AI207" s="21">
        <v>-6.9488500000000003E-3</v>
      </c>
      <c r="AJ207" s="21">
        <v>197</v>
      </c>
      <c r="AK207" s="21">
        <v>0.89080800000000004</v>
      </c>
      <c r="AL207">
        <f t="shared" si="42"/>
        <v>8.5788271604938267</v>
      </c>
      <c r="AM207">
        <f t="shared" si="43"/>
        <v>7.652562613148147</v>
      </c>
      <c r="AP207" s="9"/>
      <c r="AQ207" s="21">
        <v>0.74798600000000004</v>
      </c>
      <c r="AR207" s="21">
        <v>25.276700000000002</v>
      </c>
      <c r="AS207" s="21">
        <v>-7.9376199999999994E-3</v>
      </c>
      <c r="AT207" s="21">
        <v>197</v>
      </c>
      <c r="AU207" s="21">
        <v>0.74737500000000001</v>
      </c>
      <c r="AV207">
        <f t="shared" si="44"/>
        <v>9.7995308641975303</v>
      </c>
      <c r="AW207">
        <f t="shared" si="45"/>
        <v>7.3299118929876546</v>
      </c>
      <c r="AX207" s="9"/>
      <c r="AY207" s="21">
        <v>0.89202899999999996</v>
      </c>
      <c r="AZ207" s="21">
        <v>28.975100000000001</v>
      </c>
      <c r="BA207" s="21">
        <v>-6.9305399999999998E-3</v>
      </c>
      <c r="BB207" s="21">
        <v>197</v>
      </c>
      <c r="BC207" s="21">
        <v>0.89050300000000004</v>
      </c>
      <c r="BD207">
        <f t="shared" si="46"/>
        <v>8.5562222222222228</v>
      </c>
      <c r="BE207">
        <f t="shared" si="47"/>
        <v>7.6323983526666668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0.74295</v>
      </c>
      <c r="H208" s="21">
        <v>7.0893800000000002</v>
      </c>
      <c r="I208" s="21">
        <v>-8.0017100000000004E-3</v>
      </c>
      <c r="J208" s="21">
        <v>198</v>
      </c>
      <c r="K208" s="21">
        <v>0.74243199999999998</v>
      </c>
      <c r="L208">
        <f t="shared" si="36"/>
        <v>9.8786543209876534</v>
      </c>
      <c r="M208">
        <f t="shared" si="37"/>
        <v>7.339346227777777</v>
      </c>
      <c r="N208" s="9"/>
      <c r="O208" s="21">
        <v>0.89706399999999997</v>
      </c>
      <c r="P208" s="21">
        <v>10.787699999999999</v>
      </c>
      <c r="Q208" s="21">
        <v>-6.9824199999999996E-3</v>
      </c>
      <c r="R208" s="21">
        <v>198</v>
      </c>
      <c r="S208" s="21">
        <v>0.89569100000000001</v>
      </c>
      <c r="T208">
        <f t="shared" si="38"/>
        <v>8.6202716049382708</v>
      </c>
      <c r="U208">
        <f t="shared" si="39"/>
        <v>7.7329353270123447</v>
      </c>
      <c r="X208" s="9"/>
      <c r="Y208" s="21">
        <v>0.74295</v>
      </c>
      <c r="Z208" s="21">
        <v>16.224599999999999</v>
      </c>
      <c r="AA208" s="21">
        <v>-7.9559299999999999E-3</v>
      </c>
      <c r="AB208" s="21">
        <v>198</v>
      </c>
      <c r="AC208" s="21">
        <v>0.74243199999999998</v>
      </c>
      <c r="AD208">
        <f t="shared" si="40"/>
        <v>9.8221358024691359</v>
      </c>
      <c r="AE208">
        <f t="shared" si="41"/>
        <v>7.297355794444444</v>
      </c>
      <c r="AF208" s="9"/>
      <c r="AG208" s="21">
        <v>0.89706399999999997</v>
      </c>
      <c r="AH208" s="21">
        <v>19.922899999999998</v>
      </c>
      <c r="AI208" s="21">
        <v>-6.9366499999999999E-3</v>
      </c>
      <c r="AJ208" s="21">
        <v>198</v>
      </c>
      <c r="AK208" s="21">
        <v>0.89630100000000001</v>
      </c>
      <c r="AL208">
        <f t="shared" si="42"/>
        <v>8.563765432098764</v>
      </c>
      <c r="AM208">
        <f t="shared" si="43"/>
        <v>7.6822456735802458</v>
      </c>
      <c r="AP208" s="9"/>
      <c r="AQ208" s="21">
        <v>0.74295</v>
      </c>
      <c r="AR208" s="21">
        <v>25.286799999999999</v>
      </c>
      <c r="AS208" s="21">
        <v>-7.9437299999999995E-3</v>
      </c>
      <c r="AT208" s="21">
        <v>198</v>
      </c>
      <c r="AU208" s="21">
        <v>0.74231000000000003</v>
      </c>
      <c r="AV208">
        <f t="shared" si="44"/>
        <v>9.8070740740740714</v>
      </c>
      <c r="AW208">
        <f t="shared" si="45"/>
        <v>7.2861656833333317</v>
      </c>
      <c r="AX208" s="9"/>
      <c r="AY208" s="21">
        <v>0.89706399999999997</v>
      </c>
      <c r="AZ208" s="21">
        <v>28.985099999999999</v>
      </c>
      <c r="BA208" s="21">
        <v>-6.9244399999999996E-3</v>
      </c>
      <c r="BB208" s="21">
        <v>198</v>
      </c>
      <c r="BC208" s="21">
        <v>0.89599600000000001</v>
      </c>
      <c r="BD208">
        <f t="shared" si="46"/>
        <v>8.5486913580246906</v>
      </c>
      <c r="BE208">
        <f t="shared" si="47"/>
        <v>7.6687232643950605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0.73791499999999999</v>
      </c>
      <c r="H209" s="21">
        <v>7.09945</v>
      </c>
      <c r="I209" s="21">
        <v>-8.0078100000000006E-3</v>
      </c>
      <c r="J209" s="21">
        <v>199</v>
      </c>
      <c r="K209" s="21">
        <v>0.73736599999999997</v>
      </c>
      <c r="L209">
        <f t="shared" si="36"/>
        <v>9.8861851851851856</v>
      </c>
      <c r="M209">
        <f t="shared" si="37"/>
        <v>7.2951643409259264</v>
      </c>
      <c r="N209" s="9"/>
      <c r="O209" s="21">
        <v>0.90210000000000001</v>
      </c>
      <c r="P209" s="21">
        <v>10.797800000000001</v>
      </c>
      <c r="Q209" s="21">
        <v>-6.9732700000000002E-3</v>
      </c>
      <c r="R209" s="21">
        <v>199</v>
      </c>
      <c r="S209" s="21">
        <v>0.90118399999999999</v>
      </c>
      <c r="T209">
        <f t="shared" si="38"/>
        <v>8.6089753086419751</v>
      </c>
      <c r="U209">
        <f t="shared" si="39"/>
        <v>7.7661566259259258</v>
      </c>
      <c r="X209" s="9"/>
      <c r="Y209" s="21">
        <v>0.73791499999999999</v>
      </c>
      <c r="Z209" s="21">
        <v>16.2347</v>
      </c>
      <c r="AA209" s="21">
        <v>-7.9711899999999995E-3</v>
      </c>
      <c r="AB209" s="21">
        <v>199</v>
      </c>
      <c r="AC209" s="21">
        <v>0.73736599999999997</v>
      </c>
      <c r="AD209">
        <f t="shared" si="40"/>
        <v>9.8409753086419745</v>
      </c>
      <c r="AE209">
        <f t="shared" si="41"/>
        <v>7.2618032948765423</v>
      </c>
      <c r="AF209" s="9"/>
      <c r="AG209" s="21">
        <v>0.90210000000000001</v>
      </c>
      <c r="AH209" s="21">
        <v>19.933</v>
      </c>
      <c r="AI209" s="21">
        <v>-6.9305399999999998E-3</v>
      </c>
      <c r="AJ209" s="21">
        <v>199</v>
      </c>
      <c r="AK209" s="21">
        <v>0.90118399999999999</v>
      </c>
      <c r="AL209">
        <f t="shared" si="42"/>
        <v>8.5562222222222228</v>
      </c>
      <c r="AM209">
        <f t="shared" si="43"/>
        <v>7.7185680666666672</v>
      </c>
      <c r="AP209" s="9"/>
      <c r="AQ209" s="21">
        <v>0.73791499999999999</v>
      </c>
      <c r="AR209" s="21">
        <v>25.296800000000001</v>
      </c>
      <c r="AS209" s="21">
        <v>-7.9437299999999995E-3</v>
      </c>
      <c r="AT209" s="21">
        <v>199</v>
      </c>
      <c r="AU209" s="21">
        <v>0.73736599999999997</v>
      </c>
      <c r="AV209">
        <f t="shared" si="44"/>
        <v>9.8070740740740714</v>
      </c>
      <c r="AW209">
        <f t="shared" si="45"/>
        <v>7.2367870653703683</v>
      </c>
      <c r="AX209" s="9"/>
      <c r="AY209" s="21">
        <v>0.90210000000000001</v>
      </c>
      <c r="AZ209" s="21">
        <v>28.995200000000001</v>
      </c>
      <c r="BA209" s="21">
        <v>-6.90918E-3</v>
      </c>
      <c r="BB209" s="21">
        <v>199</v>
      </c>
      <c r="BC209" s="21">
        <v>0.90118399999999999</v>
      </c>
      <c r="BD209">
        <f t="shared" si="46"/>
        <v>8.5298518518518502</v>
      </c>
      <c r="BE209">
        <f t="shared" si="47"/>
        <v>7.6947793555555544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0.73287999999999998</v>
      </c>
      <c r="H210" s="21">
        <v>7.1095199999999998</v>
      </c>
      <c r="I210" s="21">
        <v>-8.0139200000000008E-3</v>
      </c>
      <c r="J210" s="21">
        <v>200</v>
      </c>
      <c r="K210" s="21">
        <v>0.73233000000000004</v>
      </c>
      <c r="L210">
        <f t="shared" si="36"/>
        <v>9.8937283950617285</v>
      </c>
      <c r="M210">
        <f t="shared" si="37"/>
        <v>7.2509156661728396</v>
      </c>
      <c r="N210" s="9"/>
      <c r="O210" s="21">
        <v>0.90713500000000002</v>
      </c>
      <c r="P210" s="21">
        <v>10.8079</v>
      </c>
      <c r="Q210" s="21">
        <v>-6.96716E-3</v>
      </c>
      <c r="R210" s="21">
        <v>200</v>
      </c>
      <c r="S210" s="21">
        <v>0.90576199999999996</v>
      </c>
      <c r="T210">
        <f t="shared" si="38"/>
        <v>8.6014320987654305</v>
      </c>
      <c r="U210">
        <f t="shared" si="39"/>
        <v>7.8026601069135788</v>
      </c>
      <c r="X210" s="9"/>
      <c r="Y210" s="21">
        <v>0.73287999999999998</v>
      </c>
      <c r="Z210" s="21">
        <v>16.244700000000002</v>
      </c>
      <c r="AA210" s="21">
        <v>-7.9803500000000006E-3</v>
      </c>
      <c r="AB210" s="21">
        <v>200</v>
      </c>
      <c r="AC210" s="21">
        <v>0.73233000000000004</v>
      </c>
      <c r="AD210">
        <f t="shared" si="40"/>
        <v>9.8522839506172843</v>
      </c>
      <c r="AE210">
        <f t="shared" si="41"/>
        <v>7.2205418617283952</v>
      </c>
      <c r="AF210" s="9"/>
      <c r="AG210" s="21">
        <v>0.90713500000000002</v>
      </c>
      <c r="AH210" s="21">
        <v>19.943100000000001</v>
      </c>
      <c r="AI210" s="21">
        <v>-6.9244399999999996E-3</v>
      </c>
      <c r="AJ210" s="21">
        <v>200</v>
      </c>
      <c r="AK210" s="21">
        <v>0.90606699999999996</v>
      </c>
      <c r="AL210">
        <f t="shared" si="42"/>
        <v>8.5486913580246906</v>
      </c>
      <c r="AM210">
        <f t="shared" si="43"/>
        <v>7.7548171350617281</v>
      </c>
      <c r="AP210" s="9"/>
      <c r="AQ210" s="21">
        <v>0.73287999999999998</v>
      </c>
      <c r="AR210" s="21">
        <v>25.306899999999999</v>
      </c>
      <c r="AS210" s="21">
        <v>-7.9559299999999999E-3</v>
      </c>
      <c r="AT210" s="21">
        <v>200</v>
      </c>
      <c r="AU210" s="21">
        <v>0.73239100000000001</v>
      </c>
      <c r="AV210">
        <f t="shared" si="44"/>
        <v>9.8221358024691359</v>
      </c>
      <c r="AW210">
        <f t="shared" si="45"/>
        <v>7.1984468869135805</v>
      </c>
      <c r="AX210" s="9"/>
      <c r="AY210" s="21">
        <v>0.90713500000000002</v>
      </c>
      <c r="AZ210" s="21">
        <v>29.005299999999998</v>
      </c>
      <c r="BA210" s="21">
        <v>-6.8969699999999997E-3</v>
      </c>
      <c r="BB210" s="21">
        <v>200</v>
      </c>
      <c r="BC210" s="21">
        <v>0.90637199999999996</v>
      </c>
      <c r="BD210">
        <f t="shared" si="46"/>
        <v>8.5147777777777769</v>
      </c>
      <c r="BE210">
        <f t="shared" si="47"/>
        <v>7.7240529394444435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0.72784400000000005</v>
      </c>
      <c r="H211" s="21">
        <v>7.1195899999999996</v>
      </c>
      <c r="I211" s="21">
        <v>-8.01697E-3</v>
      </c>
      <c r="J211" s="21">
        <v>201</v>
      </c>
      <c r="K211" s="21">
        <v>0.72729500000000002</v>
      </c>
      <c r="L211">
        <f t="shared" si="36"/>
        <v>9.8974938271604938</v>
      </c>
      <c r="M211">
        <f t="shared" si="37"/>
        <v>7.2038314971358028</v>
      </c>
      <c r="N211" s="9"/>
      <c r="O211" s="21">
        <v>0.91217000000000004</v>
      </c>
      <c r="P211" s="21">
        <v>10.8179</v>
      </c>
      <c r="Q211" s="21">
        <v>-6.9580099999999997E-3</v>
      </c>
      <c r="R211" s="21">
        <v>201</v>
      </c>
      <c r="S211" s="21">
        <v>0.91125500000000004</v>
      </c>
      <c r="T211">
        <f t="shared" si="38"/>
        <v>8.5901358024691348</v>
      </c>
      <c r="U211">
        <f t="shared" si="39"/>
        <v>7.8356641749382714</v>
      </c>
      <c r="X211" s="9"/>
      <c r="Y211" s="21">
        <v>0.72784400000000005</v>
      </c>
      <c r="Z211" s="21">
        <v>16.254799999999999</v>
      </c>
      <c r="AA211" s="21">
        <v>-7.9895000000000001E-3</v>
      </c>
      <c r="AB211" s="21">
        <v>201</v>
      </c>
      <c r="AC211" s="21">
        <v>0.72726400000000002</v>
      </c>
      <c r="AD211">
        <f t="shared" si="40"/>
        <v>9.86358024691358</v>
      </c>
      <c r="AE211">
        <f t="shared" si="41"/>
        <v>7.1791477012345686</v>
      </c>
      <c r="AF211" s="9"/>
      <c r="AG211" s="21">
        <v>0.91217000000000004</v>
      </c>
      <c r="AH211" s="21">
        <v>19.953099999999999</v>
      </c>
      <c r="AI211" s="21">
        <v>-6.9122300000000001E-3</v>
      </c>
      <c r="AJ211" s="21">
        <v>201</v>
      </c>
      <c r="AK211" s="21">
        <v>0.91125500000000004</v>
      </c>
      <c r="AL211">
        <f t="shared" si="42"/>
        <v>8.5336172839506172</v>
      </c>
      <c r="AM211">
        <f t="shared" si="43"/>
        <v>7.7841096779012346</v>
      </c>
      <c r="AP211" s="9"/>
      <c r="AQ211" s="21">
        <v>0.72784400000000005</v>
      </c>
      <c r="AR211" s="21">
        <v>25.317</v>
      </c>
      <c r="AS211" s="21">
        <v>-7.9681400000000003E-3</v>
      </c>
      <c r="AT211" s="21">
        <v>201</v>
      </c>
      <c r="AU211" s="21">
        <v>0.72726400000000002</v>
      </c>
      <c r="AV211">
        <f t="shared" si="44"/>
        <v>9.8372098765432092</v>
      </c>
      <c r="AW211">
        <f t="shared" si="45"/>
        <v>7.1599541853827162</v>
      </c>
      <c r="AX211" s="9"/>
      <c r="AY211" s="21">
        <v>0.91217000000000004</v>
      </c>
      <c r="AZ211" s="21">
        <v>29.0154</v>
      </c>
      <c r="BA211" s="21">
        <v>-6.8878200000000002E-3</v>
      </c>
      <c r="BB211" s="21">
        <v>201</v>
      </c>
      <c r="BC211" s="21">
        <v>0.91156000000000004</v>
      </c>
      <c r="BD211">
        <f t="shared" si="46"/>
        <v>8.5034814814814812</v>
      </c>
      <c r="BE211">
        <f t="shared" si="47"/>
        <v>7.7566207029629632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0.72280900000000003</v>
      </c>
      <c r="H212" s="21">
        <v>7.1296600000000003</v>
      </c>
      <c r="I212" s="21">
        <v>-8.0200199999999992E-3</v>
      </c>
      <c r="J212" s="21">
        <v>202</v>
      </c>
      <c r="K212" s="21">
        <v>0.72228999999999999</v>
      </c>
      <c r="L212">
        <f t="shared" si="36"/>
        <v>9.9012592592592572</v>
      </c>
      <c r="M212">
        <f t="shared" si="37"/>
        <v>7.1567193039259251</v>
      </c>
      <c r="N212" s="9"/>
      <c r="O212" s="21">
        <v>0.91720599999999997</v>
      </c>
      <c r="P212" s="21">
        <v>10.827999999999999</v>
      </c>
      <c r="Q212" s="21">
        <v>-6.9549599999999996E-3</v>
      </c>
      <c r="R212" s="21">
        <v>202</v>
      </c>
      <c r="S212" s="21">
        <v>0.91644300000000001</v>
      </c>
      <c r="T212">
        <f t="shared" si="38"/>
        <v>8.5863703703703695</v>
      </c>
      <c r="U212">
        <f t="shared" si="39"/>
        <v>7.8754704219259253</v>
      </c>
      <c r="X212" s="9"/>
      <c r="Y212" s="21">
        <v>0.72280900000000003</v>
      </c>
      <c r="Z212" s="21">
        <v>16.264900000000001</v>
      </c>
      <c r="AA212" s="21">
        <v>-7.9986599999999995E-3</v>
      </c>
      <c r="AB212" s="21">
        <v>202</v>
      </c>
      <c r="AC212" s="21">
        <v>0.72219800000000001</v>
      </c>
      <c r="AD212">
        <f t="shared" si="40"/>
        <v>9.8748888888888882</v>
      </c>
      <c r="AE212">
        <f t="shared" si="41"/>
        <v>7.1376585628888884</v>
      </c>
      <c r="AF212" s="9"/>
      <c r="AG212" s="21">
        <v>0.91720599999999997</v>
      </c>
      <c r="AH212" s="21">
        <v>19.963200000000001</v>
      </c>
      <c r="AI212" s="21">
        <v>-6.9122300000000001E-3</v>
      </c>
      <c r="AJ212" s="21">
        <v>202</v>
      </c>
      <c r="AK212" s="21">
        <v>0.91644300000000001</v>
      </c>
      <c r="AL212">
        <f t="shared" si="42"/>
        <v>8.5336172839506172</v>
      </c>
      <c r="AM212">
        <f t="shared" si="43"/>
        <v>7.8270849745432098</v>
      </c>
      <c r="AP212" s="9"/>
      <c r="AQ212" s="21">
        <v>0.72280900000000003</v>
      </c>
      <c r="AR212" s="21">
        <v>25.327100000000002</v>
      </c>
      <c r="AS212" s="21">
        <v>-7.9803500000000006E-3</v>
      </c>
      <c r="AT212" s="21">
        <v>202</v>
      </c>
      <c r="AU212" s="21">
        <v>0.72226000000000001</v>
      </c>
      <c r="AV212">
        <f t="shared" si="44"/>
        <v>9.8522839506172843</v>
      </c>
      <c r="AW212">
        <f t="shared" si="45"/>
        <v>7.1213195100617286</v>
      </c>
      <c r="AX212" s="9"/>
      <c r="AY212" s="21">
        <v>0.91720599999999997</v>
      </c>
      <c r="AZ212" s="21">
        <v>29.025400000000001</v>
      </c>
      <c r="BA212" s="21">
        <v>-6.8878200000000002E-3</v>
      </c>
      <c r="BB212" s="21">
        <v>202</v>
      </c>
      <c r="BC212" s="21">
        <v>0.91644300000000001</v>
      </c>
      <c r="BD212">
        <f t="shared" si="46"/>
        <v>8.5034814814814812</v>
      </c>
      <c r="BE212">
        <f t="shared" si="47"/>
        <v>7.799444235703703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0.71777299999999999</v>
      </c>
      <c r="H213" s="21">
        <v>7.1397300000000001</v>
      </c>
      <c r="I213" s="21">
        <v>-8.0322299999999996E-3</v>
      </c>
      <c r="J213" s="21">
        <v>203</v>
      </c>
      <c r="K213" s="21">
        <v>0.71725499999999998</v>
      </c>
      <c r="L213">
        <f t="shared" si="36"/>
        <v>9.9163333333333323</v>
      </c>
      <c r="M213">
        <f t="shared" si="37"/>
        <v>7.1176763256666655</v>
      </c>
      <c r="N213" s="9"/>
      <c r="O213" s="21">
        <v>0.92224099999999998</v>
      </c>
      <c r="P213" s="21">
        <v>10.838100000000001</v>
      </c>
      <c r="Q213" s="21">
        <v>-6.9427500000000001E-3</v>
      </c>
      <c r="R213" s="21">
        <v>203</v>
      </c>
      <c r="S213" s="21">
        <v>0.92132599999999998</v>
      </c>
      <c r="T213">
        <f t="shared" si="38"/>
        <v>8.5712962962962962</v>
      </c>
      <c r="U213">
        <f t="shared" si="39"/>
        <v>7.9048008675925923</v>
      </c>
      <c r="X213" s="9"/>
      <c r="Y213" s="21">
        <v>0.71777299999999999</v>
      </c>
      <c r="Z213" s="21">
        <v>16.274899999999999</v>
      </c>
      <c r="AA213" s="21">
        <v>-8.0017100000000004E-3</v>
      </c>
      <c r="AB213" s="21">
        <v>203</v>
      </c>
      <c r="AC213" s="21">
        <v>0.717194</v>
      </c>
      <c r="AD213">
        <f t="shared" si="40"/>
        <v>9.8786543209876534</v>
      </c>
      <c r="AE213">
        <f t="shared" si="41"/>
        <v>7.0906313479382712</v>
      </c>
      <c r="AF213" s="9"/>
      <c r="AG213" s="21">
        <v>0.92224099999999998</v>
      </c>
      <c r="AH213" s="21">
        <v>19.973299999999998</v>
      </c>
      <c r="AI213" s="21">
        <v>-6.9000199999999998E-3</v>
      </c>
      <c r="AJ213" s="21">
        <v>203</v>
      </c>
      <c r="AK213" s="21">
        <v>0.92071499999999995</v>
      </c>
      <c r="AL213">
        <f t="shared" si="42"/>
        <v>8.5185432098765439</v>
      </c>
      <c r="AM213">
        <f t="shared" si="43"/>
        <v>7.8561498084197536</v>
      </c>
      <c r="AP213" s="9"/>
      <c r="AQ213" s="21">
        <v>0.71777299999999999</v>
      </c>
      <c r="AR213" s="21">
        <v>25.3371</v>
      </c>
      <c r="AS213" s="21">
        <v>-7.9895000000000001E-3</v>
      </c>
      <c r="AT213" s="21">
        <v>203</v>
      </c>
      <c r="AU213" s="21">
        <v>0.717194</v>
      </c>
      <c r="AV213">
        <f t="shared" si="44"/>
        <v>9.86358024691358</v>
      </c>
      <c r="AW213">
        <f t="shared" si="45"/>
        <v>7.0798115845679011</v>
      </c>
      <c r="AX213" s="9"/>
      <c r="AY213" s="21">
        <v>0.92224099999999998</v>
      </c>
      <c r="AZ213" s="21">
        <v>29.035499999999999</v>
      </c>
      <c r="BA213" s="21">
        <v>-6.8756099999999999E-3</v>
      </c>
      <c r="BB213" s="21">
        <v>203</v>
      </c>
      <c r="BC213" s="21">
        <v>0.92132599999999998</v>
      </c>
      <c r="BD213">
        <f t="shared" si="46"/>
        <v>8.4884074074074061</v>
      </c>
      <c r="BE213">
        <f t="shared" si="47"/>
        <v>7.8283573358148137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0.71273799999999998</v>
      </c>
      <c r="H214" s="21">
        <v>7.1498100000000004</v>
      </c>
      <c r="I214" s="21">
        <v>-8.0413800000000007E-3</v>
      </c>
      <c r="J214" s="21">
        <v>204</v>
      </c>
      <c r="K214" s="21">
        <v>0.71215799999999996</v>
      </c>
      <c r="L214">
        <f t="shared" si="36"/>
        <v>9.9276296296296298</v>
      </c>
      <c r="M214">
        <f t="shared" si="37"/>
        <v>7.0757988869629633</v>
      </c>
      <c r="N214" s="9"/>
      <c r="O214" s="21">
        <v>0.92727700000000002</v>
      </c>
      <c r="P214" s="21">
        <v>10.848100000000001</v>
      </c>
      <c r="Q214" s="21">
        <v>-6.9366499999999999E-3</v>
      </c>
      <c r="R214" s="21">
        <v>204</v>
      </c>
      <c r="S214" s="21">
        <v>0.92620800000000003</v>
      </c>
      <c r="T214">
        <f t="shared" si="38"/>
        <v>8.563765432098764</v>
      </c>
      <c r="U214">
        <f t="shared" si="39"/>
        <v>7.940982718580246</v>
      </c>
      <c r="X214" s="9"/>
      <c r="Y214" s="21">
        <v>0.71273799999999998</v>
      </c>
      <c r="Z214" s="21">
        <v>16.285</v>
      </c>
      <c r="AA214" s="21">
        <v>-8.0139200000000008E-3</v>
      </c>
      <c r="AB214" s="21">
        <v>204</v>
      </c>
      <c r="AC214" s="21">
        <v>0.71215799999999996</v>
      </c>
      <c r="AD214">
        <f t="shared" si="40"/>
        <v>9.8937283950617285</v>
      </c>
      <c r="AE214">
        <f t="shared" si="41"/>
        <v>7.051636188839506</v>
      </c>
      <c r="AF214" s="9"/>
      <c r="AG214" s="21">
        <v>0.92727700000000002</v>
      </c>
      <c r="AH214" s="21">
        <v>19.9834</v>
      </c>
      <c r="AI214" s="21">
        <v>-6.8908700000000003E-3</v>
      </c>
      <c r="AJ214" s="21">
        <v>204</v>
      </c>
      <c r="AK214" s="21">
        <v>0.92620800000000003</v>
      </c>
      <c r="AL214">
        <f t="shared" si="42"/>
        <v>8.5072469135802482</v>
      </c>
      <c r="AM214">
        <f t="shared" si="43"/>
        <v>7.8885743962839516</v>
      </c>
      <c r="AP214" s="9"/>
      <c r="AQ214" s="21">
        <v>0.71273799999999998</v>
      </c>
      <c r="AR214" s="21">
        <v>25.347200000000001</v>
      </c>
      <c r="AS214" s="21">
        <v>-8.0017100000000004E-3</v>
      </c>
      <c r="AT214" s="21">
        <v>204</v>
      </c>
      <c r="AU214" s="21">
        <v>0.71218899999999996</v>
      </c>
      <c r="AV214">
        <f t="shared" si="44"/>
        <v>9.8786543209876534</v>
      </c>
      <c r="AW214">
        <f t="shared" si="45"/>
        <v>7.0408923234320984</v>
      </c>
      <c r="AX214" s="9"/>
      <c r="AY214" s="21">
        <v>0.92727700000000002</v>
      </c>
      <c r="AZ214" s="21">
        <v>29.0456</v>
      </c>
      <c r="BA214" s="21">
        <v>-6.8695099999999997E-3</v>
      </c>
      <c r="BB214" s="21">
        <v>204</v>
      </c>
      <c r="BC214" s="21">
        <v>0.92651399999999995</v>
      </c>
      <c r="BD214">
        <f t="shared" si="46"/>
        <v>8.4808765432098756</v>
      </c>
      <c r="BE214">
        <f t="shared" si="47"/>
        <v>7.8641217583580243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0.70770299999999997</v>
      </c>
      <c r="H215" s="21">
        <v>7.1598800000000002</v>
      </c>
      <c r="I215" s="21">
        <v>-8.0535899999999994E-3</v>
      </c>
      <c r="J215" s="21">
        <v>205</v>
      </c>
      <c r="K215" s="21">
        <v>0.70721400000000001</v>
      </c>
      <c r="L215">
        <f t="shared" si="36"/>
        <v>9.9427037037037014</v>
      </c>
      <c r="M215">
        <f t="shared" si="37"/>
        <v>7.03648123922222</v>
      </c>
      <c r="N215" s="9"/>
      <c r="O215" s="21">
        <v>0.93231200000000003</v>
      </c>
      <c r="P215" s="21">
        <v>10.8582</v>
      </c>
      <c r="Q215" s="21">
        <v>-6.9305399999999998E-3</v>
      </c>
      <c r="R215" s="21">
        <v>205</v>
      </c>
      <c r="S215" s="21">
        <v>0.931396</v>
      </c>
      <c r="T215">
        <f t="shared" si="38"/>
        <v>8.5562222222222228</v>
      </c>
      <c r="U215">
        <f t="shared" si="39"/>
        <v>7.9770686524444452</v>
      </c>
      <c r="X215" s="9"/>
      <c r="Y215" s="21">
        <v>0.70770299999999997</v>
      </c>
      <c r="Z215" s="21">
        <v>16.295100000000001</v>
      </c>
      <c r="AA215" s="21">
        <v>-8.0200199999999992E-3</v>
      </c>
      <c r="AB215" s="21">
        <v>205</v>
      </c>
      <c r="AC215" s="21">
        <v>0.70715300000000003</v>
      </c>
      <c r="AD215">
        <f t="shared" si="40"/>
        <v>9.9012592592592572</v>
      </c>
      <c r="AE215">
        <f t="shared" si="41"/>
        <v>7.0071508815555541</v>
      </c>
      <c r="AF215" s="9"/>
      <c r="AG215" s="21">
        <v>0.93231200000000003</v>
      </c>
      <c r="AH215" s="21">
        <v>19.993400000000001</v>
      </c>
      <c r="AI215" s="21">
        <v>-6.87866E-3</v>
      </c>
      <c r="AJ215" s="21">
        <v>205</v>
      </c>
      <c r="AK215" s="21">
        <v>0.93231200000000003</v>
      </c>
      <c r="AL215">
        <f t="shared" si="42"/>
        <v>8.4921728395061713</v>
      </c>
      <c r="AM215">
        <f t="shared" si="43"/>
        <v>7.9173546443456777</v>
      </c>
      <c r="AP215" s="9"/>
      <c r="AQ215" s="21">
        <v>0.70770299999999997</v>
      </c>
      <c r="AR215" s="21">
        <v>25.357299999999999</v>
      </c>
      <c r="AS215" s="21">
        <v>-8.0108599999999999E-3</v>
      </c>
      <c r="AT215" s="21">
        <v>205</v>
      </c>
      <c r="AU215" s="21">
        <v>0.70721400000000001</v>
      </c>
      <c r="AV215">
        <f t="shared" si="44"/>
        <v>9.8899506172839491</v>
      </c>
      <c r="AW215">
        <f t="shared" si="45"/>
        <v>6.9991477217037019</v>
      </c>
      <c r="AX215" s="9"/>
      <c r="AY215" s="21">
        <v>0.93231200000000003</v>
      </c>
      <c r="AZ215" s="21">
        <v>29.055599999999998</v>
      </c>
      <c r="BA215" s="21">
        <v>-6.8634000000000004E-3</v>
      </c>
      <c r="BB215" s="21">
        <v>205</v>
      </c>
      <c r="BC215" s="21">
        <v>0.931396</v>
      </c>
      <c r="BD215">
        <f t="shared" si="46"/>
        <v>8.4733333333333327</v>
      </c>
      <c r="BE215">
        <f t="shared" si="47"/>
        <v>7.8997903466666664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0.70266700000000004</v>
      </c>
      <c r="H216" s="21">
        <v>7.16995</v>
      </c>
      <c r="I216" s="21">
        <v>-8.0657999999999997E-3</v>
      </c>
      <c r="J216" s="21">
        <v>206</v>
      </c>
      <c r="K216" s="21">
        <v>0.70205700000000004</v>
      </c>
      <c r="L216">
        <f t="shared" si="36"/>
        <v>9.9577777777777765</v>
      </c>
      <c r="M216">
        <f t="shared" si="37"/>
        <v>6.997001837777777</v>
      </c>
      <c r="N216" s="9"/>
      <c r="O216" s="21">
        <v>0.93734700000000004</v>
      </c>
      <c r="P216" s="21">
        <v>10.8683</v>
      </c>
      <c r="Q216" s="21">
        <v>-6.9244399999999996E-3</v>
      </c>
      <c r="R216" s="21">
        <v>206</v>
      </c>
      <c r="S216" s="21">
        <v>0.93689</v>
      </c>
      <c r="T216">
        <f t="shared" si="38"/>
        <v>8.5486913580246906</v>
      </c>
      <c r="U216">
        <f t="shared" si="39"/>
        <v>8.0130901983703708</v>
      </c>
      <c r="X216" s="9"/>
      <c r="Y216" s="21">
        <v>0.70266700000000004</v>
      </c>
      <c r="Z216" s="21">
        <v>16.305199999999999</v>
      </c>
      <c r="AA216" s="21">
        <v>-8.0200199999999992E-3</v>
      </c>
      <c r="AB216" s="21">
        <v>206</v>
      </c>
      <c r="AC216" s="21">
        <v>0.70205700000000004</v>
      </c>
      <c r="AD216">
        <f t="shared" si="40"/>
        <v>9.9012592592592572</v>
      </c>
      <c r="AE216">
        <f t="shared" si="41"/>
        <v>6.9572881399259252</v>
      </c>
      <c r="AF216" s="9"/>
      <c r="AG216" s="21">
        <v>0.93734700000000004</v>
      </c>
      <c r="AH216" s="21">
        <v>20.003499999999999</v>
      </c>
      <c r="AI216" s="21">
        <v>-6.8695099999999997E-3</v>
      </c>
      <c r="AJ216" s="21">
        <v>206</v>
      </c>
      <c r="AK216" s="21">
        <v>0.93597399999999997</v>
      </c>
      <c r="AL216">
        <f t="shared" si="42"/>
        <v>8.4808765432098756</v>
      </c>
      <c r="AM216">
        <f t="shared" si="43"/>
        <v>7.9495241851481477</v>
      </c>
      <c r="AP216" s="9"/>
      <c r="AQ216" s="21">
        <v>0.70266700000000004</v>
      </c>
      <c r="AR216" s="21">
        <v>25.3673</v>
      </c>
      <c r="AS216" s="21">
        <v>-8.0230700000000002E-3</v>
      </c>
      <c r="AT216" s="21">
        <v>206</v>
      </c>
      <c r="AU216" s="21">
        <v>0.70214799999999999</v>
      </c>
      <c r="AV216">
        <f t="shared" si="44"/>
        <v>9.9050246913580242</v>
      </c>
      <c r="AW216">
        <f t="shared" si="45"/>
        <v>6.9599339848024693</v>
      </c>
      <c r="AX216" s="9"/>
      <c r="AY216" s="21">
        <v>0.93734700000000004</v>
      </c>
      <c r="AZ216" s="21">
        <v>29.0657</v>
      </c>
      <c r="BA216" s="21">
        <v>-6.8573000000000002E-3</v>
      </c>
      <c r="BB216" s="21">
        <v>206</v>
      </c>
      <c r="BC216" s="21">
        <v>0.93658399999999997</v>
      </c>
      <c r="BD216">
        <f t="shared" si="46"/>
        <v>8.4658024691358023</v>
      </c>
      <c r="BE216">
        <f t="shared" si="47"/>
        <v>7.9353945470370375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0.69763200000000003</v>
      </c>
      <c r="H217" s="21">
        <v>7.1800199999999998</v>
      </c>
      <c r="I217" s="21">
        <v>-8.0749499999999991E-3</v>
      </c>
      <c r="J217" s="21">
        <v>207</v>
      </c>
      <c r="K217" s="21">
        <v>0.697052</v>
      </c>
      <c r="L217">
        <f t="shared" si="36"/>
        <v>9.9690740740740722</v>
      </c>
      <c r="M217">
        <f t="shared" si="37"/>
        <v>6.9547450844444434</v>
      </c>
      <c r="N217" s="9"/>
      <c r="O217" s="21">
        <v>0.94238299999999997</v>
      </c>
      <c r="P217" s="21">
        <v>10.878399999999999</v>
      </c>
      <c r="Q217" s="21">
        <v>-6.9183300000000003E-3</v>
      </c>
      <c r="R217" s="21">
        <v>207</v>
      </c>
      <c r="S217" s="21">
        <v>0.94085700000000005</v>
      </c>
      <c r="T217">
        <f t="shared" si="38"/>
        <v>8.5411481481481477</v>
      </c>
      <c r="U217">
        <f t="shared" si="39"/>
        <v>8.0490328152962949</v>
      </c>
      <c r="X217" s="9"/>
      <c r="Y217" s="21">
        <v>0.69763200000000003</v>
      </c>
      <c r="Z217" s="21">
        <v>16.315200000000001</v>
      </c>
      <c r="AA217" s="21">
        <v>-8.0261199999999994E-3</v>
      </c>
      <c r="AB217" s="21">
        <v>207</v>
      </c>
      <c r="AC217" s="21">
        <v>0.697021</v>
      </c>
      <c r="AD217">
        <f t="shared" si="40"/>
        <v>9.9087901234567894</v>
      </c>
      <c r="AE217">
        <f t="shared" si="41"/>
        <v>6.9126890714074074</v>
      </c>
      <c r="AF217" s="9"/>
      <c r="AG217" s="21">
        <v>0.94238299999999997</v>
      </c>
      <c r="AH217" s="21">
        <v>20.0136</v>
      </c>
      <c r="AI217" s="21">
        <v>-6.8603500000000003E-3</v>
      </c>
      <c r="AJ217" s="21">
        <v>207</v>
      </c>
      <c r="AK217" s="21">
        <v>0.94116200000000005</v>
      </c>
      <c r="AL217">
        <f t="shared" si="42"/>
        <v>8.4695679012345675</v>
      </c>
      <c r="AM217">
        <f t="shared" si="43"/>
        <v>7.9815768074691356</v>
      </c>
      <c r="AP217" s="9"/>
      <c r="AQ217" s="21">
        <v>0.69763200000000003</v>
      </c>
      <c r="AR217" s="21">
        <v>25.377400000000002</v>
      </c>
      <c r="AS217" s="21">
        <v>-8.0322299999999996E-3</v>
      </c>
      <c r="AT217" s="21">
        <v>207</v>
      </c>
      <c r="AU217" s="21">
        <v>0.69708300000000001</v>
      </c>
      <c r="AV217">
        <f t="shared" si="44"/>
        <v>9.9163333333333323</v>
      </c>
      <c r="AW217">
        <f t="shared" si="45"/>
        <v>6.9179514559999999</v>
      </c>
      <c r="AX217" s="9"/>
      <c r="AY217" s="21">
        <v>0.94238299999999997</v>
      </c>
      <c r="AZ217" s="21">
        <v>29.075800000000001</v>
      </c>
      <c r="BA217" s="21">
        <v>-6.84814E-3</v>
      </c>
      <c r="BB217" s="21">
        <v>207</v>
      </c>
      <c r="BC217" s="21">
        <v>0.94116200000000005</v>
      </c>
      <c r="BD217">
        <f t="shared" si="46"/>
        <v>8.4544938271604941</v>
      </c>
      <c r="BE217">
        <f t="shared" si="47"/>
        <v>7.9673712563209875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0.69259599999999999</v>
      </c>
      <c r="H218" s="21">
        <v>7.1900899999999996</v>
      </c>
      <c r="I218" s="21">
        <v>-8.0841100000000003E-3</v>
      </c>
      <c r="J218" s="21">
        <v>208</v>
      </c>
      <c r="K218" s="21">
        <v>0.69201699999999999</v>
      </c>
      <c r="L218">
        <f t="shared" si="36"/>
        <v>9.9803827160493821</v>
      </c>
      <c r="M218">
        <f t="shared" si="37"/>
        <v>6.9123731476049377</v>
      </c>
      <c r="N218" s="9"/>
      <c r="O218" s="21">
        <v>0.94741799999999998</v>
      </c>
      <c r="P218" s="21">
        <v>10.888400000000001</v>
      </c>
      <c r="Q218" s="21">
        <v>-6.90918E-3</v>
      </c>
      <c r="R218" s="21">
        <v>208</v>
      </c>
      <c r="S218" s="21">
        <v>0.94604500000000002</v>
      </c>
      <c r="T218">
        <f t="shared" si="38"/>
        <v>8.5298518518518502</v>
      </c>
      <c r="U218">
        <f t="shared" si="39"/>
        <v>8.0813351817777761</v>
      </c>
      <c r="X218" s="9"/>
      <c r="Y218" s="21">
        <v>0.69259599999999999</v>
      </c>
      <c r="Z218" s="21">
        <v>16.325299999999999</v>
      </c>
      <c r="AA218" s="21">
        <v>-8.0352800000000005E-3</v>
      </c>
      <c r="AB218" s="21">
        <v>208</v>
      </c>
      <c r="AC218" s="21">
        <v>0.69198599999999999</v>
      </c>
      <c r="AD218">
        <f t="shared" si="40"/>
        <v>9.9200987654320976</v>
      </c>
      <c r="AE218">
        <f t="shared" si="41"/>
        <v>6.8706207245432092</v>
      </c>
      <c r="AF218" s="9"/>
      <c r="AG218" s="21">
        <v>0.94741799999999998</v>
      </c>
      <c r="AH218" s="21">
        <v>20.023599999999998</v>
      </c>
      <c r="AI218" s="21">
        <v>-6.8512E-3</v>
      </c>
      <c r="AJ218" s="21">
        <v>208</v>
      </c>
      <c r="AK218" s="21">
        <v>0.94635000000000002</v>
      </c>
      <c r="AL218">
        <f t="shared" si="42"/>
        <v>8.4582716049382718</v>
      </c>
      <c r="AM218">
        <f t="shared" si="43"/>
        <v>8.0135187674074082</v>
      </c>
      <c r="AP218" s="9"/>
      <c r="AQ218" s="21">
        <v>0.69259599999999999</v>
      </c>
      <c r="AR218" s="21">
        <v>25.387499999999999</v>
      </c>
      <c r="AS218" s="21">
        <v>-8.0322299999999996E-3</v>
      </c>
      <c r="AT218" s="21">
        <v>208</v>
      </c>
      <c r="AU218" s="21">
        <v>0.69204699999999997</v>
      </c>
      <c r="AV218">
        <f t="shared" si="44"/>
        <v>9.9163333333333323</v>
      </c>
      <c r="AW218">
        <f t="shared" si="45"/>
        <v>6.8680128013333324</v>
      </c>
      <c r="AX218" s="9"/>
      <c r="AY218" s="21">
        <v>0.94741799999999998</v>
      </c>
      <c r="AZ218" s="21">
        <v>29.085899999999999</v>
      </c>
      <c r="BA218" s="21">
        <v>-6.8328900000000003E-3</v>
      </c>
      <c r="BB218" s="21">
        <v>208</v>
      </c>
      <c r="BC218" s="21">
        <v>0.94635000000000002</v>
      </c>
      <c r="BD218">
        <f t="shared" si="46"/>
        <v>8.4356666666666662</v>
      </c>
      <c r="BE218">
        <f t="shared" si="47"/>
        <v>7.9921024419999993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0.68756099999999998</v>
      </c>
      <c r="H219" s="21">
        <v>7.2001600000000003</v>
      </c>
      <c r="I219" s="21">
        <v>-8.0932599999999997E-3</v>
      </c>
      <c r="J219" s="21">
        <v>209</v>
      </c>
      <c r="K219" s="21">
        <v>0.68701199999999996</v>
      </c>
      <c r="L219">
        <f t="shared" si="36"/>
        <v>9.9916790123456778</v>
      </c>
      <c r="M219">
        <f t="shared" si="37"/>
        <v>6.8698888134074068</v>
      </c>
      <c r="N219" s="9"/>
      <c r="O219" s="21">
        <v>0.95245400000000002</v>
      </c>
      <c r="P219" s="21">
        <v>10.8985</v>
      </c>
      <c r="Q219" s="21">
        <v>-6.9000199999999998E-3</v>
      </c>
      <c r="R219" s="21">
        <v>209</v>
      </c>
      <c r="S219" s="21">
        <v>0.951233</v>
      </c>
      <c r="T219">
        <f t="shared" si="38"/>
        <v>8.5185432098765439</v>
      </c>
      <c r="U219">
        <f t="shared" si="39"/>
        <v>8.1135205544197539</v>
      </c>
      <c r="X219" s="9"/>
      <c r="Y219" s="21">
        <v>0.68756099999999998</v>
      </c>
      <c r="Z219" s="21">
        <v>16.3354</v>
      </c>
      <c r="AA219" s="21">
        <v>-8.0383299999999998E-3</v>
      </c>
      <c r="AB219" s="21">
        <v>209</v>
      </c>
      <c r="AC219" s="21">
        <v>0.68698099999999995</v>
      </c>
      <c r="AD219">
        <f t="shared" si="40"/>
        <v>9.9238641975308628</v>
      </c>
      <c r="AE219">
        <f t="shared" si="41"/>
        <v>6.8232619915185175</v>
      </c>
      <c r="AF219" s="9"/>
      <c r="AG219" s="21">
        <v>0.95245400000000002</v>
      </c>
      <c r="AH219" s="21">
        <v>20.0337</v>
      </c>
      <c r="AI219" s="21">
        <v>-6.84814E-3</v>
      </c>
      <c r="AJ219" s="21">
        <v>209</v>
      </c>
      <c r="AK219" s="21">
        <v>0.95153799999999999</v>
      </c>
      <c r="AL219">
        <f t="shared" si="42"/>
        <v>8.4544938271604941</v>
      </c>
      <c r="AM219">
        <f t="shared" si="43"/>
        <v>8.0525164636543209</v>
      </c>
      <c r="AP219" s="9"/>
      <c r="AQ219" s="21">
        <v>0.68756099999999998</v>
      </c>
      <c r="AR219" s="21">
        <v>25.397600000000001</v>
      </c>
      <c r="AS219" s="21">
        <v>-8.0261199999999994E-3</v>
      </c>
      <c r="AT219" s="21">
        <v>209</v>
      </c>
      <c r="AU219" s="21">
        <v>0.68704200000000004</v>
      </c>
      <c r="AV219">
        <f t="shared" si="44"/>
        <v>9.9087901234567894</v>
      </c>
      <c r="AW219">
        <f t="shared" si="45"/>
        <v>6.8128976460740738</v>
      </c>
      <c r="AX219" s="9"/>
      <c r="AY219" s="21">
        <v>0.95245400000000002</v>
      </c>
      <c r="AZ219" s="21">
        <v>29.0959</v>
      </c>
      <c r="BA219" s="21">
        <v>-6.8176299999999999E-3</v>
      </c>
      <c r="BB219" s="21">
        <v>209</v>
      </c>
      <c r="BC219" s="21">
        <v>0.95153799999999999</v>
      </c>
      <c r="BD219">
        <f t="shared" si="46"/>
        <v>8.4168271604938258</v>
      </c>
      <c r="BE219">
        <f t="shared" si="47"/>
        <v>8.0166406963209873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0.68252599999999997</v>
      </c>
      <c r="H220" s="21">
        <v>7.2102300000000001</v>
      </c>
      <c r="I220" s="21">
        <v>-8.1024200000000008E-3</v>
      </c>
      <c r="J220" s="21">
        <v>210</v>
      </c>
      <c r="K220" s="21">
        <v>0.68191500000000005</v>
      </c>
      <c r="L220">
        <f t="shared" si="36"/>
        <v>10.002987654320988</v>
      </c>
      <c r="M220">
        <f t="shared" si="37"/>
        <v>6.8272991517530857</v>
      </c>
      <c r="N220" s="9"/>
      <c r="O220" s="21">
        <v>0.95748900000000003</v>
      </c>
      <c r="P220" s="21">
        <v>10.9086</v>
      </c>
      <c r="Q220" s="21">
        <v>-6.8878200000000002E-3</v>
      </c>
      <c r="R220" s="21">
        <v>210</v>
      </c>
      <c r="S220" s="21">
        <v>0.95642099999999997</v>
      </c>
      <c r="T220">
        <f t="shared" si="38"/>
        <v>8.5034814814814812</v>
      </c>
      <c r="U220">
        <f t="shared" si="39"/>
        <v>8.1419899802222222</v>
      </c>
      <c r="X220" s="9"/>
      <c r="Y220" s="21">
        <v>0.68252599999999997</v>
      </c>
      <c r="Z220" s="21">
        <v>16.345400000000001</v>
      </c>
      <c r="AA220" s="21">
        <v>-8.0413800000000007E-3</v>
      </c>
      <c r="AB220" s="21">
        <v>210</v>
      </c>
      <c r="AC220" s="21">
        <v>0.68197600000000003</v>
      </c>
      <c r="AD220">
        <f t="shared" si="40"/>
        <v>9.9276296296296298</v>
      </c>
      <c r="AE220">
        <f t="shared" si="41"/>
        <v>6.7758653405925919</v>
      </c>
      <c r="AF220" s="9"/>
      <c r="AG220" s="21">
        <v>0.95748900000000003</v>
      </c>
      <c r="AH220" s="21">
        <v>20.043800000000001</v>
      </c>
      <c r="AI220" s="21">
        <v>-6.8420399999999998E-3</v>
      </c>
      <c r="AJ220" s="21">
        <v>210</v>
      </c>
      <c r="AK220" s="21">
        <v>0.95703099999999997</v>
      </c>
      <c r="AL220">
        <f t="shared" si="42"/>
        <v>8.4469629629629619</v>
      </c>
      <c r="AM220">
        <f t="shared" si="43"/>
        <v>8.0878741204444431</v>
      </c>
      <c r="AP220" s="9"/>
      <c r="AQ220" s="21">
        <v>0.68252599999999997</v>
      </c>
      <c r="AR220" s="21">
        <v>25.407599999999999</v>
      </c>
      <c r="AS220" s="21">
        <v>-8.0291700000000004E-3</v>
      </c>
      <c r="AT220" s="21">
        <v>210</v>
      </c>
      <c r="AU220" s="21">
        <v>0.68197600000000003</v>
      </c>
      <c r="AV220">
        <f t="shared" si="44"/>
        <v>9.9125555555555547</v>
      </c>
      <c r="AW220">
        <f t="shared" si="45"/>
        <v>6.7655768931111098</v>
      </c>
      <c r="AX220" s="9"/>
      <c r="AY220" s="21">
        <v>0.95748900000000003</v>
      </c>
      <c r="AZ220" s="21">
        <v>29.106000000000002</v>
      </c>
      <c r="BA220" s="21">
        <v>-6.8054200000000004E-3</v>
      </c>
      <c r="BB220" s="21">
        <v>210</v>
      </c>
      <c r="BC220" s="21">
        <v>0.95642099999999997</v>
      </c>
      <c r="BD220">
        <f t="shared" si="46"/>
        <v>8.4017530864197525</v>
      </c>
      <c r="BE220">
        <f t="shared" si="47"/>
        <v>8.0445861609629628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0.67749000000000004</v>
      </c>
      <c r="H221" s="21">
        <v>7.2202999999999999</v>
      </c>
      <c r="I221" s="21">
        <v>-8.1085199999999993E-3</v>
      </c>
      <c r="J221" s="21">
        <v>211</v>
      </c>
      <c r="K221" s="21">
        <v>0.67697099999999999</v>
      </c>
      <c r="L221">
        <f t="shared" si="36"/>
        <v>10.010518518518518</v>
      </c>
      <c r="M221">
        <f t="shared" si="37"/>
        <v>6.782026191111111</v>
      </c>
      <c r="N221" s="9"/>
      <c r="O221" s="21">
        <v>0.96252400000000005</v>
      </c>
      <c r="P221" s="21">
        <v>10.9186</v>
      </c>
      <c r="Q221" s="21">
        <v>-6.8756099999999999E-3</v>
      </c>
      <c r="R221" s="21">
        <v>211</v>
      </c>
      <c r="S221" s="21">
        <v>0.96099900000000005</v>
      </c>
      <c r="T221">
        <f t="shared" si="38"/>
        <v>8.4884074074074061</v>
      </c>
      <c r="U221">
        <f t="shared" si="39"/>
        <v>8.1702958514074062</v>
      </c>
      <c r="X221" s="9"/>
      <c r="Y221" s="21">
        <v>0.67749000000000004</v>
      </c>
      <c r="Z221" s="21">
        <v>16.355499999999999</v>
      </c>
      <c r="AA221" s="21">
        <v>-8.0535899999999994E-3</v>
      </c>
      <c r="AB221" s="21">
        <v>211</v>
      </c>
      <c r="AC221" s="21">
        <v>0.67694100000000001</v>
      </c>
      <c r="AD221">
        <f t="shared" si="40"/>
        <v>9.9427037037037014</v>
      </c>
      <c r="AE221">
        <f t="shared" si="41"/>
        <v>6.736082332222221</v>
      </c>
      <c r="AF221" s="9"/>
      <c r="AG221" s="21">
        <v>0.96252400000000005</v>
      </c>
      <c r="AH221" s="21">
        <v>20.053899999999999</v>
      </c>
      <c r="AI221" s="21">
        <v>-6.8328900000000003E-3</v>
      </c>
      <c r="AJ221" s="21">
        <v>211</v>
      </c>
      <c r="AK221" s="21">
        <v>0.96130400000000005</v>
      </c>
      <c r="AL221">
        <f t="shared" si="42"/>
        <v>8.4356666666666662</v>
      </c>
      <c r="AM221">
        <f t="shared" si="43"/>
        <v>8.1195316226666669</v>
      </c>
      <c r="AP221" s="9"/>
      <c r="AQ221" s="21">
        <v>0.67749000000000004</v>
      </c>
      <c r="AR221" s="21">
        <v>25.4177</v>
      </c>
      <c r="AS221" s="21">
        <v>-8.0352800000000005E-3</v>
      </c>
      <c r="AT221" s="21">
        <v>211</v>
      </c>
      <c r="AU221" s="21">
        <v>0.67694100000000001</v>
      </c>
      <c r="AV221">
        <f t="shared" si="44"/>
        <v>9.9200987654320976</v>
      </c>
      <c r="AW221">
        <f t="shared" si="45"/>
        <v>6.7207677125925924</v>
      </c>
      <c r="AX221" s="9"/>
      <c r="AY221" s="21">
        <v>0.96252400000000005</v>
      </c>
      <c r="AZ221" s="21">
        <v>29.116099999999999</v>
      </c>
      <c r="BA221" s="21">
        <v>-6.79321E-3</v>
      </c>
      <c r="BB221" s="21">
        <v>211</v>
      </c>
      <c r="BC221" s="21">
        <v>0.96130400000000005</v>
      </c>
      <c r="BD221">
        <f t="shared" si="46"/>
        <v>8.3866790123456791</v>
      </c>
      <c r="BE221">
        <f t="shared" si="47"/>
        <v>8.0723798296790132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0.67245500000000002</v>
      </c>
      <c r="H222" s="21">
        <v>7.2303699999999997</v>
      </c>
      <c r="I222" s="21">
        <v>-8.1146199999999995E-3</v>
      </c>
      <c r="J222" s="21">
        <v>212</v>
      </c>
      <c r="K222" s="21">
        <v>0.671875</v>
      </c>
      <c r="L222">
        <f t="shared" si="36"/>
        <v>10.018049382716047</v>
      </c>
      <c r="M222">
        <f t="shared" si="37"/>
        <v>6.7366873976543191</v>
      </c>
      <c r="N222" s="9"/>
      <c r="O222" s="21">
        <v>0.96755999999999998</v>
      </c>
      <c r="P222" s="21">
        <v>10.928699999999999</v>
      </c>
      <c r="Q222" s="21">
        <v>-6.8695099999999997E-3</v>
      </c>
      <c r="R222" s="21">
        <v>212</v>
      </c>
      <c r="S222" s="21">
        <v>0.96618700000000002</v>
      </c>
      <c r="T222">
        <f t="shared" si="38"/>
        <v>8.4808765432098756</v>
      </c>
      <c r="U222">
        <f t="shared" si="39"/>
        <v>8.2057569081481478</v>
      </c>
      <c r="X222" s="9"/>
      <c r="Y222" s="21">
        <v>0.67245500000000002</v>
      </c>
      <c r="Z222" s="21">
        <v>16.365600000000001</v>
      </c>
      <c r="AA222" s="21">
        <v>-8.0566400000000003E-3</v>
      </c>
      <c r="AB222" s="21">
        <v>212</v>
      </c>
      <c r="AC222" s="21">
        <v>0.671906</v>
      </c>
      <c r="AD222">
        <f t="shared" si="40"/>
        <v>9.9464691358024702</v>
      </c>
      <c r="AE222">
        <f t="shared" si="41"/>
        <v>6.68855290271605</v>
      </c>
      <c r="AF222" s="9"/>
      <c r="AG222" s="21">
        <v>0.96755999999999998</v>
      </c>
      <c r="AH222" s="21">
        <v>20.0639</v>
      </c>
      <c r="AI222" s="21">
        <v>-6.8298300000000003E-3</v>
      </c>
      <c r="AJ222" s="21">
        <v>212</v>
      </c>
      <c r="AK222" s="21">
        <v>0.96649200000000002</v>
      </c>
      <c r="AL222">
        <f t="shared" si="42"/>
        <v>8.4318888888888885</v>
      </c>
      <c r="AM222">
        <f t="shared" si="43"/>
        <v>8.1583584133333336</v>
      </c>
      <c r="AP222" s="9"/>
      <c r="AQ222" s="21">
        <v>0.67245500000000002</v>
      </c>
      <c r="AR222" s="21">
        <v>25.427800000000001</v>
      </c>
      <c r="AS222" s="21">
        <v>-8.0505400000000001E-3</v>
      </c>
      <c r="AT222" s="21">
        <v>212</v>
      </c>
      <c r="AU222" s="21">
        <v>0.671844</v>
      </c>
      <c r="AV222">
        <f t="shared" si="44"/>
        <v>9.9389382716049379</v>
      </c>
      <c r="AW222">
        <f t="shared" si="45"/>
        <v>6.6834887354320989</v>
      </c>
      <c r="AX222" s="9"/>
      <c r="AY222" s="21">
        <v>0.96755999999999998</v>
      </c>
      <c r="AZ222" s="21">
        <v>29.126100000000001</v>
      </c>
      <c r="BA222" s="21">
        <v>-6.7840599999999997E-3</v>
      </c>
      <c r="BB222" s="21">
        <v>212</v>
      </c>
      <c r="BC222" s="21">
        <v>0.96649200000000002</v>
      </c>
      <c r="BD222">
        <f t="shared" si="46"/>
        <v>8.3753827160493817</v>
      </c>
      <c r="BE222">
        <f t="shared" si="47"/>
        <v>8.1036853007407395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0.66741899999999998</v>
      </c>
      <c r="H223" s="21">
        <v>7.2404400000000004</v>
      </c>
      <c r="I223" s="21">
        <v>-8.1207299999999996E-3</v>
      </c>
      <c r="J223" s="21">
        <v>213</v>
      </c>
      <c r="K223" s="21">
        <v>0.66686999999999996</v>
      </c>
      <c r="L223">
        <f t="shared" si="36"/>
        <v>10.025592592592592</v>
      </c>
      <c r="M223">
        <f t="shared" si="37"/>
        <v>6.6912709825555545</v>
      </c>
      <c r="N223" s="9"/>
      <c r="O223" s="21">
        <v>0.97259499999999999</v>
      </c>
      <c r="P223" s="21">
        <v>10.938800000000001</v>
      </c>
      <c r="Q223" s="21">
        <v>-6.8664599999999996E-3</v>
      </c>
      <c r="R223" s="21">
        <v>213</v>
      </c>
      <c r="S223" s="21">
        <v>0.97137499999999999</v>
      </c>
      <c r="T223">
        <f t="shared" si="38"/>
        <v>8.4771111111111104</v>
      </c>
      <c r="U223">
        <f t="shared" si="39"/>
        <v>8.2447958811111111</v>
      </c>
      <c r="X223" s="9"/>
      <c r="Y223" s="21">
        <v>0.66741899999999998</v>
      </c>
      <c r="Z223" s="21">
        <v>16.375699999999998</v>
      </c>
      <c r="AA223" s="21">
        <v>-8.0688500000000007E-3</v>
      </c>
      <c r="AB223" s="21">
        <v>213</v>
      </c>
      <c r="AC223" s="21">
        <v>0.66693100000000005</v>
      </c>
      <c r="AD223">
        <f t="shared" si="40"/>
        <v>9.9615432098765435</v>
      </c>
      <c r="AE223">
        <f t="shared" si="41"/>
        <v>6.6485232075925929</v>
      </c>
      <c r="AF223" s="9"/>
      <c r="AG223" s="21">
        <v>0.97259499999999999</v>
      </c>
      <c r="AH223" s="21">
        <v>20.074000000000002</v>
      </c>
      <c r="AI223" s="21">
        <v>-6.8176299999999999E-3</v>
      </c>
      <c r="AJ223" s="21">
        <v>213</v>
      </c>
      <c r="AK223" s="21">
        <v>0.97106899999999996</v>
      </c>
      <c r="AL223">
        <f t="shared" si="42"/>
        <v>8.4168271604938258</v>
      </c>
      <c r="AM223">
        <f t="shared" si="43"/>
        <v>8.1861640121604928</v>
      </c>
      <c r="AP223" s="9"/>
      <c r="AQ223" s="21">
        <v>0.66741899999999998</v>
      </c>
      <c r="AR223" s="21">
        <v>25.437799999999999</v>
      </c>
      <c r="AS223" s="21">
        <v>-8.0505400000000001E-3</v>
      </c>
      <c r="AT223" s="21">
        <v>213</v>
      </c>
      <c r="AU223" s="21">
        <v>0.66690099999999997</v>
      </c>
      <c r="AV223">
        <f t="shared" si="44"/>
        <v>9.9389382716049379</v>
      </c>
      <c r="AW223">
        <f t="shared" si="45"/>
        <v>6.6334362422962956</v>
      </c>
      <c r="AX223" s="9"/>
      <c r="AY223" s="21">
        <v>0.97259499999999999</v>
      </c>
      <c r="AZ223" s="21">
        <v>29.136199999999999</v>
      </c>
      <c r="BA223" s="21">
        <v>-6.7718500000000003E-3</v>
      </c>
      <c r="BB223" s="21">
        <v>213</v>
      </c>
      <c r="BC223" s="21">
        <v>0.97106899999999996</v>
      </c>
      <c r="BD223">
        <f t="shared" si="46"/>
        <v>8.3603086419753083</v>
      </c>
      <c r="BE223">
        <f t="shared" si="47"/>
        <v>8.1311943836419758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0.66238399999999997</v>
      </c>
      <c r="H224" s="21">
        <v>7.2505199999999999</v>
      </c>
      <c r="I224" s="21">
        <v>-8.13293E-3</v>
      </c>
      <c r="J224" s="21">
        <v>214</v>
      </c>
      <c r="K224" s="21">
        <v>0.66183499999999995</v>
      </c>
      <c r="L224">
        <f t="shared" si="36"/>
        <v>10.040654320987654</v>
      </c>
      <c r="M224">
        <f t="shared" si="37"/>
        <v>6.6507687717530857</v>
      </c>
      <c r="N224" s="9"/>
      <c r="O224" s="21">
        <v>0.97763100000000003</v>
      </c>
      <c r="P224" s="21">
        <v>10.9489</v>
      </c>
      <c r="Q224" s="21">
        <v>-6.8603500000000003E-3</v>
      </c>
      <c r="R224" s="21">
        <v>214</v>
      </c>
      <c r="S224" s="21">
        <v>0.97686799999999996</v>
      </c>
      <c r="T224">
        <f t="shared" si="38"/>
        <v>8.4695679012345675</v>
      </c>
      <c r="U224">
        <f t="shared" si="39"/>
        <v>8.2801121368518515</v>
      </c>
      <c r="X224" s="9"/>
      <c r="Y224" s="21">
        <v>0.66238399999999997</v>
      </c>
      <c r="Z224" s="21">
        <v>16.3857</v>
      </c>
      <c r="AA224" s="21">
        <v>-8.0810499999999993E-3</v>
      </c>
      <c r="AB224" s="21">
        <v>214</v>
      </c>
      <c r="AC224" s="21">
        <v>0.66183499999999995</v>
      </c>
      <c r="AD224">
        <f t="shared" si="40"/>
        <v>9.9766049382716027</v>
      </c>
      <c r="AE224">
        <f t="shared" si="41"/>
        <v>6.6083434854320968</v>
      </c>
      <c r="AF224" s="9"/>
      <c r="AG224" s="21">
        <v>0.97763100000000003</v>
      </c>
      <c r="AH224" s="21">
        <v>20.084099999999999</v>
      </c>
      <c r="AI224" s="21">
        <v>-6.8054200000000004E-3</v>
      </c>
      <c r="AJ224" s="21">
        <v>214</v>
      </c>
      <c r="AK224" s="21">
        <v>0.97625700000000004</v>
      </c>
      <c r="AL224">
        <f t="shared" si="42"/>
        <v>8.4017530864197525</v>
      </c>
      <c r="AM224">
        <f t="shared" si="43"/>
        <v>8.2138142716296301</v>
      </c>
      <c r="AP224" s="9"/>
      <c r="AQ224" s="21">
        <v>0.66238399999999997</v>
      </c>
      <c r="AR224" s="21">
        <v>25.447900000000001</v>
      </c>
      <c r="AS224" s="21">
        <v>-8.0627400000000005E-3</v>
      </c>
      <c r="AT224" s="21">
        <v>214</v>
      </c>
      <c r="AU224" s="21">
        <v>0.66186500000000004</v>
      </c>
      <c r="AV224">
        <f t="shared" si="44"/>
        <v>9.9539999999999988</v>
      </c>
      <c r="AW224">
        <f t="shared" si="45"/>
        <v>6.5933703359999987</v>
      </c>
      <c r="AX224" s="9"/>
      <c r="AY224" s="21">
        <v>0.97763100000000003</v>
      </c>
      <c r="AZ224" s="21">
        <v>29.1463</v>
      </c>
      <c r="BA224" s="21">
        <v>-6.7596399999999999E-3</v>
      </c>
      <c r="BB224" s="21">
        <v>214</v>
      </c>
      <c r="BC224" s="21">
        <v>0.97625700000000004</v>
      </c>
      <c r="BD224">
        <f t="shared" si="46"/>
        <v>8.345234567901235</v>
      </c>
      <c r="BE224">
        <f t="shared" si="47"/>
        <v>8.1585600158518528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0.65734899999999996</v>
      </c>
      <c r="H225" s="21">
        <v>7.2605899999999997</v>
      </c>
      <c r="I225" s="21">
        <v>-8.1359899999999992E-3</v>
      </c>
      <c r="J225" s="21">
        <v>215</v>
      </c>
      <c r="K225" s="21">
        <v>0.65679900000000002</v>
      </c>
      <c r="L225">
        <f t="shared" si="36"/>
        <v>10.04443209876543</v>
      </c>
      <c r="M225">
        <f t="shared" si="37"/>
        <v>6.6026973956913562</v>
      </c>
      <c r="N225" s="9"/>
      <c r="O225" s="21">
        <v>0.98266600000000004</v>
      </c>
      <c r="P225" s="21">
        <v>10.9589</v>
      </c>
      <c r="Q225" s="21">
        <v>-6.84814E-3</v>
      </c>
      <c r="R225" s="21">
        <v>215</v>
      </c>
      <c r="S225" s="21">
        <v>0.98175000000000001</v>
      </c>
      <c r="T225">
        <f t="shared" si="38"/>
        <v>8.4544938271604941</v>
      </c>
      <c r="U225">
        <f t="shared" si="39"/>
        <v>8.3079436311604944</v>
      </c>
      <c r="X225" s="9"/>
      <c r="Y225" s="21">
        <v>0.65734899999999996</v>
      </c>
      <c r="Z225" s="21">
        <v>16.395800000000001</v>
      </c>
      <c r="AA225" s="21">
        <v>-8.0841100000000003E-3</v>
      </c>
      <c r="AB225" s="21">
        <v>215</v>
      </c>
      <c r="AC225" s="21">
        <v>0.65683000000000002</v>
      </c>
      <c r="AD225">
        <f t="shared" si="40"/>
        <v>9.9803827160493821</v>
      </c>
      <c r="AE225">
        <f t="shared" si="41"/>
        <v>6.5605945980123446</v>
      </c>
      <c r="AF225" s="9"/>
      <c r="AG225" s="21">
        <v>0.98266600000000004</v>
      </c>
      <c r="AH225" s="21">
        <v>20.094100000000001</v>
      </c>
      <c r="AI225" s="21">
        <v>-6.79321E-3</v>
      </c>
      <c r="AJ225" s="21">
        <v>215</v>
      </c>
      <c r="AK225" s="21">
        <v>0.98236100000000004</v>
      </c>
      <c r="AL225">
        <f t="shared" si="42"/>
        <v>8.3866790123456791</v>
      </c>
      <c r="AM225">
        <f t="shared" si="43"/>
        <v>8.24130431834568</v>
      </c>
      <c r="AP225" s="9"/>
      <c r="AQ225" s="21">
        <v>0.65734899999999996</v>
      </c>
      <c r="AR225" s="21">
        <v>25.457999999999998</v>
      </c>
      <c r="AS225" s="21">
        <v>-8.0657999999999997E-3</v>
      </c>
      <c r="AT225" s="21">
        <v>215</v>
      </c>
      <c r="AU225" s="21">
        <v>0.65676900000000005</v>
      </c>
      <c r="AV225">
        <f t="shared" si="44"/>
        <v>9.9577777777777765</v>
      </c>
      <c r="AW225">
        <f t="shared" si="45"/>
        <v>6.5457352644444429</v>
      </c>
      <c r="AX225" s="9"/>
      <c r="AY225" s="21">
        <v>0.98266600000000004</v>
      </c>
      <c r="AZ225" s="21">
        <v>29.156400000000001</v>
      </c>
      <c r="BA225" s="21">
        <v>-6.7504899999999996E-3</v>
      </c>
      <c r="BB225" s="21">
        <v>215</v>
      </c>
      <c r="BC225" s="21">
        <v>0.98144500000000001</v>
      </c>
      <c r="BD225">
        <f t="shared" si="46"/>
        <v>8.3339382716049375</v>
      </c>
      <c r="BE225">
        <f t="shared" si="47"/>
        <v>8.1894777856049377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0.65231300000000003</v>
      </c>
      <c r="H226" s="21">
        <v>7.2706600000000003</v>
      </c>
      <c r="I226" s="21">
        <v>-8.1481899999999996E-3</v>
      </c>
      <c r="J226" s="21">
        <v>216</v>
      </c>
      <c r="K226" s="21">
        <v>0.65170300000000003</v>
      </c>
      <c r="L226">
        <f t="shared" si="36"/>
        <v>10.059493827160493</v>
      </c>
      <c r="M226">
        <f t="shared" si="37"/>
        <v>6.5619385968765425</v>
      </c>
      <c r="N226" s="9"/>
      <c r="O226" s="21">
        <v>0.98770100000000005</v>
      </c>
      <c r="P226" s="21">
        <v>10.968999999999999</v>
      </c>
      <c r="Q226" s="21">
        <v>-6.8359400000000004E-3</v>
      </c>
      <c r="R226" s="21">
        <v>216</v>
      </c>
      <c r="S226" s="21">
        <v>0.98693799999999998</v>
      </c>
      <c r="T226">
        <f t="shared" si="38"/>
        <v>8.4394320987654314</v>
      </c>
      <c r="U226">
        <f t="shared" si="39"/>
        <v>8.3356355233827166</v>
      </c>
      <c r="X226" s="9"/>
      <c r="Y226" s="21">
        <v>0.65231300000000003</v>
      </c>
      <c r="Z226" s="21">
        <v>16.405899999999999</v>
      </c>
      <c r="AA226" s="21">
        <v>-8.0902100000000005E-3</v>
      </c>
      <c r="AB226" s="21">
        <v>216</v>
      </c>
      <c r="AC226" s="21">
        <v>0.65173300000000001</v>
      </c>
      <c r="AD226">
        <f t="shared" si="40"/>
        <v>9.9879135802469143</v>
      </c>
      <c r="AE226">
        <f t="shared" si="41"/>
        <v>6.5152458712716061</v>
      </c>
      <c r="AF226" s="9"/>
      <c r="AG226" s="21">
        <v>0.98770100000000005</v>
      </c>
      <c r="AH226" s="21">
        <v>20.104199999999999</v>
      </c>
      <c r="AI226" s="21">
        <v>-6.7810099999999996E-3</v>
      </c>
      <c r="AJ226" s="21">
        <v>216</v>
      </c>
      <c r="AK226" s="21">
        <v>0.98724400000000001</v>
      </c>
      <c r="AL226">
        <f t="shared" si="42"/>
        <v>8.3716172839506164</v>
      </c>
      <c r="AM226">
        <f t="shared" si="43"/>
        <v>8.2686547629753075</v>
      </c>
      <c r="AP226" s="9"/>
      <c r="AQ226" s="21">
        <v>0.65231300000000003</v>
      </c>
      <c r="AR226" s="21">
        <v>25.4681</v>
      </c>
      <c r="AS226" s="21">
        <v>-8.0688500000000007E-3</v>
      </c>
      <c r="AT226" s="21">
        <v>216</v>
      </c>
      <c r="AU226" s="21">
        <v>0.65179399999999998</v>
      </c>
      <c r="AV226">
        <f t="shared" si="44"/>
        <v>9.9615432098765435</v>
      </c>
      <c r="AW226">
        <f t="shared" si="45"/>
        <v>6.4980441358641983</v>
      </c>
      <c r="AX226" s="9"/>
      <c r="AY226" s="21">
        <v>0.98770100000000005</v>
      </c>
      <c r="AZ226" s="21">
        <v>29.166399999999999</v>
      </c>
      <c r="BA226" s="21">
        <v>-6.7413300000000002E-3</v>
      </c>
      <c r="BB226" s="21">
        <v>216</v>
      </c>
      <c r="BC226" s="21">
        <v>0.98632799999999998</v>
      </c>
      <c r="BD226">
        <f t="shared" si="46"/>
        <v>8.3226296296296294</v>
      </c>
      <c r="BE226">
        <f t="shared" si="47"/>
        <v>8.2202696078148154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0.64727800000000002</v>
      </c>
      <c r="H227" s="21">
        <v>7.2807300000000001</v>
      </c>
      <c r="I227" s="21">
        <v>-8.1573500000000007E-3</v>
      </c>
      <c r="J227" s="21">
        <v>217</v>
      </c>
      <c r="K227" s="21">
        <v>0.646698</v>
      </c>
      <c r="L227">
        <f t="shared" si="36"/>
        <v>10.070802469135803</v>
      </c>
      <c r="M227">
        <f t="shared" si="37"/>
        <v>6.5186088806172844</v>
      </c>
      <c r="N227" s="9"/>
      <c r="O227" s="21">
        <v>0.99273699999999998</v>
      </c>
      <c r="P227" s="21">
        <v>10.979100000000001</v>
      </c>
      <c r="Q227" s="21">
        <v>-6.8267800000000002E-3</v>
      </c>
      <c r="R227" s="21">
        <v>217</v>
      </c>
      <c r="S227" s="21">
        <v>0.99212599999999995</v>
      </c>
      <c r="T227">
        <f t="shared" si="38"/>
        <v>8.4281234567901215</v>
      </c>
      <c r="U227">
        <f t="shared" si="39"/>
        <v>8.3669099961234554</v>
      </c>
      <c r="X227" s="9"/>
      <c r="Y227" s="21">
        <v>0.64727800000000002</v>
      </c>
      <c r="Z227" s="21">
        <v>16.415900000000001</v>
      </c>
      <c r="AA227" s="21">
        <v>-8.0963100000000007E-3</v>
      </c>
      <c r="AB227" s="21">
        <v>217</v>
      </c>
      <c r="AC227" s="21">
        <v>0.646698</v>
      </c>
      <c r="AD227">
        <f t="shared" si="40"/>
        <v>9.9954444444444448</v>
      </c>
      <c r="AE227">
        <f t="shared" si="41"/>
        <v>6.4698312891111112</v>
      </c>
      <c r="AF227" s="9"/>
      <c r="AG227" s="21">
        <v>0.99273699999999998</v>
      </c>
      <c r="AH227" s="21">
        <v>20.1143</v>
      </c>
      <c r="AI227" s="21">
        <v>-6.7749000000000004E-3</v>
      </c>
      <c r="AJ227" s="21">
        <v>217</v>
      </c>
      <c r="AK227" s="21">
        <v>0.99121099999999995</v>
      </c>
      <c r="AL227">
        <f t="shared" si="42"/>
        <v>8.3640740740740736</v>
      </c>
      <c r="AM227">
        <f t="shared" si="43"/>
        <v>8.3033258040740741</v>
      </c>
      <c r="AP227" s="9"/>
      <c r="AQ227" s="21">
        <v>0.64727800000000002</v>
      </c>
      <c r="AR227" s="21">
        <v>25.478100000000001</v>
      </c>
      <c r="AS227" s="21">
        <v>-8.0718999999999999E-3</v>
      </c>
      <c r="AT227" s="21">
        <v>217</v>
      </c>
      <c r="AU227" s="21">
        <v>0.646698</v>
      </c>
      <c r="AV227">
        <f t="shared" si="44"/>
        <v>9.965308641975307</v>
      </c>
      <c r="AW227">
        <f t="shared" si="45"/>
        <v>6.4503250471604927</v>
      </c>
      <c r="AX227" s="9"/>
      <c r="AY227" s="21">
        <v>0.99273699999999998</v>
      </c>
      <c r="AZ227" s="21">
        <v>29.176500000000001</v>
      </c>
      <c r="BA227" s="21">
        <v>-6.7321799999999999E-3</v>
      </c>
      <c r="BB227" s="21">
        <v>217</v>
      </c>
      <c r="BC227" s="21">
        <v>0.99212599999999995</v>
      </c>
      <c r="BD227">
        <f t="shared" si="46"/>
        <v>8.3113333333333319</v>
      </c>
      <c r="BE227">
        <f t="shared" si="47"/>
        <v>8.2509681193333311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0.64224199999999998</v>
      </c>
      <c r="H228" s="21">
        <v>7.2907999999999999</v>
      </c>
      <c r="I228" s="21">
        <v>-8.1726100000000003E-3</v>
      </c>
      <c r="J228" s="21">
        <v>218</v>
      </c>
      <c r="K228" s="21">
        <v>0.64169299999999996</v>
      </c>
      <c r="L228">
        <f t="shared" si="36"/>
        <v>10.089641975308641</v>
      </c>
      <c r="M228">
        <f t="shared" si="37"/>
        <v>6.4799918415061724</v>
      </c>
      <c r="N228" s="9"/>
      <c r="O228" s="21">
        <v>0.99777199999999999</v>
      </c>
      <c r="P228" s="21">
        <v>10.989100000000001</v>
      </c>
      <c r="Q228" s="21">
        <v>-6.8237300000000001E-3</v>
      </c>
      <c r="R228" s="21">
        <v>218</v>
      </c>
      <c r="S228" s="21">
        <v>0.99670400000000003</v>
      </c>
      <c r="T228">
        <f t="shared" si="38"/>
        <v>8.4243580246913581</v>
      </c>
      <c r="U228">
        <f t="shared" si="39"/>
        <v>8.4055885550123453</v>
      </c>
      <c r="X228" s="9"/>
      <c r="Y228" s="21">
        <v>0.64224199999999998</v>
      </c>
      <c r="Z228" s="21">
        <v>16.425999999999998</v>
      </c>
      <c r="AA228" s="21">
        <v>-8.1115700000000002E-3</v>
      </c>
      <c r="AB228" s="21">
        <v>218</v>
      </c>
      <c r="AC228" s="21">
        <v>0.64166299999999998</v>
      </c>
      <c r="AD228">
        <f t="shared" si="40"/>
        <v>10.014283950617283</v>
      </c>
      <c r="AE228">
        <f t="shared" si="41"/>
        <v>6.4315937530123453</v>
      </c>
      <c r="AF228" s="9"/>
      <c r="AG228" s="21">
        <v>0.99777199999999999</v>
      </c>
      <c r="AH228" s="21">
        <v>20.124400000000001</v>
      </c>
      <c r="AI228" s="21">
        <v>-6.7657500000000001E-3</v>
      </c>
      <c r="AJ228" s="21">
        <v>218</v>
      </c>
      <c r="AK228" s="21">
        <v>0.99639900000000003</v>
      </c>
      <c r="AL228">
        <f t="shared" si="42"/>
        <v>8.3527777777777761</v>
      </c>
      <c r="AM228">
        <f t="shared" si="43"/>
        <v>8.3341677888888874</v>
      </c>
      <c r="AP228" s="9"/>
      <c r="AQ228" s="21">
        <v>0.64224199999999998</v>
      </c>
      <c r="AR228" s="21">
        <v>25.488199999999999</v>
      </c>
      <c r="AS228" s="21">
        <v>-8.0718999999999999E-3</v>
      </c>
      <c r="AT228" s="21">
        <v>218</v>
      </c>
      <c r="AU228" s="21">
        <v>0.64169299999999996</v>
      </c>
      <c r="AV228">
        <f t="shared" si="44"/>
        <v>9.965308641975307</v>
      </c>
      <c r="AW228">
        <f t="shared" si="45"/>
        <v>6.4001397528395048</v>
      </c>
      <c r="AX228" s="9"/>
      <c r="AY228" s="21">
        <v>0.99777199999999999</v>
      </c>
      <c r="AZ228" s="21">
        <v>29.186599999999999</v>
      </c>
      <c r="BA228" s="21">
        <v>-6.7169200000000004E-3</v>
      </c>
      <c r="BB228" s="21">
        <v>218</v>
      </c>
      <c r="BC228" s="21">
        <v>0.99639900000000003</v>
      </c>
      <c r="BD228">
        <f t="shared" si="46"/>
        <v>8.2924938271604951</v>
      </c>
      <c r="BE228">
        <f t="shared" si="47"/>
        <v>8.2740181509135819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0.63720699999999997</v>
      </c>
      <c r="H229" s="21">
        <v>7.3008699999999997</v>
      </c>
      <c r="I229" s="21">
        <v>-8.1848100000000007E-3</v>
      </c>
      <c r="J229" s="21">
        <v>219</v>
      </c>
      <c r="K229" s="21">
        <v>0.63668800000000003</v>
      </c>
      <c r="L229">
        <f t="shared" si="36"/>
        <v>10.104703703703704</v>
      </c>
      <c r="M229">
        <f t="shared" si="37"/>
        <v>6.4387879329259254</v>
      </c>
      <c r="N229" s="9"/>
      <c r="O229" s="21">
        <v>1.00281</v>
      </c>
      <c r="P229" s="21">
        <v>10.9992</v>
      </c>
      <c r="Q229" s="21">
        <v>-6.8145799999999998E-3</v>
      </c>
      <c r="R229" s="21">
        <v>219</v>
      </c>
      <c r="S229" s="21">
        <v>1.0024999999999999</v>
      </c>
      <c r="T229">
        <f t="shared" si="38"/>
        <v>8.4130617283950606</v>
      </c>
      <c r="U229">
        <f t="shared" si="39"/>
        <v>8.4367024318518506</v>
      </c>
      <c r="X229" s="9"/>
      <c r="Y229" s="21">
        <v>0.63720699999999997</v>
      </c>
      <c r="Z229" s="21">
        <v>16.4361</v>
      </c>
      <c r="AA229" s="21">
        <v>-8.1268299999999998E-3</v>
      </c>
      <c r="AB229" s="21">
        <v>219</v>
      </c>
      <c r="AC229" s="21">
        <v>0.63668800000000003</v>
      </c>
      <c r="AD229">
        <f t="shared" si="40"/>
        <v>10.033123456790122</v>
      </c>
      <c r="AE229">
        <f t="shared" si="41"/>
        <v>6.3931764985308632</v>
      </c>
      <c r="AF229" s="9"/>
      <c r="AG229" s="21">
        <v>1.00281</v>
      </c>
      <c r="AH229" s="21">
        <v>20.134399999999999</v>
      </c>
      <c r="AI229" s="21">
        <v>-6.7596399999999999E-3</v>
      </c>
      <c r="AJ229" s="21">
        <v>219</v>
      </c>
      <c r="AK229" s="21">
        <v>1.00159</v>
      </c>
      <c r="AL229">
        <f t="shared" si="42"/>
        <v>8.345234567901235</v>
      </c>
      <c r="AM229">
        <f t="shared" si="43"/>
        <v>8.368684677037038</v>
      </c>
      <c r="AP229" s="9"/>
      <c r="AQ229" s="21">
        <v>0.63720699999999997</v>
      </c>
      <c r="AR229" s="21">
        <v>25.4983</v>
      </c>
      <c r="AS229" s="21">
        <v>-8.0841100000000003E-3</v>
      </c>
      <c r="AT229" s="21">
        <v>219</v>
      </c>
      <c r="AU229" s="21">
        <v>0.63674900000000001</v>
      </c>
      <c r="AV229">
        <f t="shared" si="44"/>
        <v>9.9803827160493821</v>
      </c>
      <c r="AW229">
        <f t="shared" si="45"/>
        <v>6.3595697293456785</v>
      </c>
      <c r="AX229" s="9"/>
      <c r="AY229" s="21">
        <v>1.00281</v>
      </c>
      <c r="AZ229" s="21">
        <v>29.1966</v>
      </c>
      <c r="BA229" s="21">
        <v>-6.7077600000000001E-3</v>
      </c>
      <c r="BB229" s="21">
        <v>219</v>
      </c>
      <c r="BC229" s="21">
        <v>1.0018899999999999</v>
      </c>
      <c r="BD229">
        <f t="shared" si="46"/>
        <v>8.2811851851851852</v>
      </c>
      <c r="BE229">
        <f t="shared" si="47"/>
        <v>8.3044553155555558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0.63217199999999996</v>
      </c>
      <c r="H230" s="21">
        <v>7.3109400000000004</v>
      </c>
      <c r="I230" s="21">
        <v>-8.1970199999999993E-3</v>
      </c>
      <c r="J230" s="21">
        <v>220</v>
      </c>
      <c r="K230" s="21">
        <v>0.63168299999999999</v>
      </c>
      <c r="L230">
        <f t="shared" si="36"/>
        <v>10.119777777777776</v>
      </c>
      <c r="M230">
        <f t="shared" si="37"/>
        <v>6.3974401573333317</v>
      </c>
      <c r="N230" s="9"/>
      <c r="O230" s="21">
        <v>1.0078400000000001</v>
      </c>
      <c r="P230" s="21">
        <v>11.0093</v>
      </c>
      <c r="Q230" s="21">
        <v>-6.8054200000000004E-3</v>
      </c>
      <c r="R230" s="21">
        <v>220</v>
      </c>
      <c r="S230" s="21">
        <v>1.0067699999999999</v>
      </c>
      <c r="T230">
        <f t="shared" si="38"/>
        <v>8.4017530864197525</v>
      </c>
      <c r="U230">
        <f t="shared" si="39"/>
        <v>8.4676228306172838</v>
      </c>
      <c r="X230" s="9"/>
      <c r="Y230" s="21">
        <v>0.63217199999999996</v>
      </c>
      <c r="Z230" s="21">
        <v>16.446200000000001</v>
      </c>
      <c r="AA230" s="21">
        <v>-8.1298800000000008E-3</v>
      </c>
      <c r="AB230" s="21">
        <v>220</v>
      </c>
      <c r="AC230" s="21">
        <v>0.63159200000000004</v>
      </c>
      <c r="AD230">
        <f t="shared" si="40"/>
        <v>10.036888888888889</v>
      </c>
      <c r="AE230">
        <f t="shared" si="41"/>
        <v>6.3450401226666662</v>
      </c>
      <c r="AF230" s="9"/>
      <c r="AG230" s="21">
        <v>1.0078400000000001</v>
      </c>
      <c r="AH230" s="21">
        <v>20.144500000000001</v>
      </c>
      <c r="AI230" s="21">
        <v>-6.7535399999999997E-3</v>
      </c>
      <c r="AJ230" s="21">
        <v>220</v>
      </c>
      <c r="AK230" s="21">
        <v>1.00647</v>
      </c>
      <c r="AL230">
        <f t="shared" si="42"/>
        <v>8.3377037037037027</v>
      </c>
      <c r="AM230">
        <f t="shared" si="43"/>
        <v>8.4030713007407396</v>
      </c>
      <c r="AP230" s="9"/>
      <c r="AQ230" s="21">
        <v>0.63217199999999996</v>
      </c>
      <c r="AR230" s="21">
        <v>25.508299999999998</v>
      </c>
      <c r="AS230" s="21">
        <v>-8.0993699999999998E-3</v>
      </c>
      <c r="AT230" s="21">
        <v>220</v>
      </c>
      <c r="AU230" s="21">
        <v>0.63156100000000004</v>
      </c>
      <c r="AV230">
        <f t="shared" si="44"/>
        <v>9.9992222222222225</v>
      </c>
      <c r="AW230">
        <f t="shared" si="45"/>
        <v>6.3212283106666662</v>
      </c>
      <c r="AX230" s="9"/>
      <c r="AY230" s="21">
        <v>1.0078400000000001</v>
      </c>
      <c r="AZ230" s="21">
        <v>29.206700000000001</v>
      </c>
      <c r="BA230" s="21">
        <v>-6.7016599999999999E-3</v>
      </c>
      <c r="BB230" s="21">
        <v>220</v>
      </c>
      <c r="BC230" s="21">
        <v>1.00647</v>
      </c>
      <c r="BD230">
        <f t="shared" si="46"/>
        <v>8.273654320987653</v>
      </c>
      <c r="BE230">
        <f t="shared" si="47"/>
        <v>8.3385197708641972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0.62713600000000003</v>
      </c>
      <c r="H231" s="21">
        <v>7.3210100000000002</v>
      </c>
      <c r="I231" s="21">
        <v>-8.2061800000000004E-3</v>
      </c>
      <c r="J231" s="21">
        <v>221</v>
      </c>
      <c r="K231" s="21">
        <v>0.62658700000000001</v>
      </c>
      <c r="L231">
        <f t="shared" si="36"/>
        <v>10.131086419753085</v>
      </c>
      <c r="M231">
        <f t="shared" si="37"/>
        <v>6.3535690129382711</v>
      </c>
      <c r="N231" s="9"/>
      <c r="O231" s="21">
        <v>1.01288</v>
      </c>
      <c r="P231" s="21">
        <v>11.019299999999999</v>
      </c>
      <c r="Q231" s="21">
        <v>-6.7962600000000001E-3</v>
      </c>
      <c r="R231" s="21">
        <v>221</v>
      </c>
      <c r="S231" s="21">
        <v>1.01227</v>
      </c>
      <c r="T231">
        <f t="shared" si="38"/>
        <v>8.3904444444444426</v>
      </c>
      <c r="U231">
        <f t="shared" si="39"/>
        <v>8.4985133688888865</v>
      </c>
      <c r="X231" s="9"/>
      <c r="Y231" s="21">
        <v>0.62713600000000003</v>
      </c>
      <c r="Z231" s="21">
        <v>16.456199999999999</v>
      </c>
      <c r="AA231" s="21">
        <v>-8.13293E-3</v>
      </c>
      <c r="AB231" s="21">
        <v>221</v>
      </c>
      <c r="AC231" s="21">
        <v>0.62664799999999998</v>
      </c>
      <c r="AD231">
        <f t="shared" si="40"/>
        <v>10.040654320987654</v>
      </c>
      <c r="AE231">
        <f t="shared" si="41"/>
        <v>6.2968557882469138</v>
      </c>
      <c r="AF231" s="9"/>
      <c r="AG231" s="21">
        <v>1.01288</v>
      </c>
      <c r="AH231" s="21">
        <v>20.154599999999999</v>
      </c>
      <c r="AI231" s="21">
        <v>-6.7413300000000002E-3</v>
      </c>
      <c r="AJ231" s="21">
        <v>221</v>
      </c>
      <c r="AK231" s="21">
        <v>1.01166</v>
      </c>
      <c r="AL231">
        <f t="shared" si="42"/>
        <v>8.3226296296296294</v>
      </c>
      <c r="AM231">
        <f t="shared" si="43"/>
        <v>8.4298250992592596</v>
      </c>
      <c r="AP231" s="9"/>
      <c r="AQ231" s="21">
        <v>0.62713600000000003</v>
      </c>
      <c r="AR231" s="21">
        <v>25.5184</v>
      </c>
      <c r="AS231" s="21">
        <v>-8.1115700000000002E-3</v>
      </c>
      <c r="AT231" s="21">
        <v>221</v>
      </c>
      <c r="AU231" s="21">
        <v>0.62667799999999996</v>
      </c>
      <c r="AV231">
        <f t="shared" si="44"/>
        <v>10.014283950617283</v>
      </c>
      <c r="AW231">
        <f t="shared" si="45"/>
        <v>6.2803179796543205</v>
      </c>
      <c r="AX231" s="9"/>
      <c r="AY231" s="21">
        <v>1.01288</v>
      </c>
      <c r="AZ231" s="21">
        <v>29.216799999999999</v>
      </c>
      <c r="BA231" s="21">
        <v>-6.6955599999999997E-3</v>
      </c>
      <c r="BB231" s="21">
        <v>221</v>
      </c>
      <c r="BC231" s="21">
        <v>1.01227</v>
      </c>
      <c r="BD231">
        <f t="shared" si="46"/>
        <v>8.2661234567901225</v>
      </c>
      <c r="BE231">
        <f t="shared" si="47"/>
        <v>8.37259112691358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0.62210100000000002</v>
      </c>
      <c r="H232" s="21">
        <v>7.33108</v>
      </c>
      <c r="I232" s="21">
        <v>-8.2061800000000004E-3</v>
      </c>
      <c r="J232" s="21">
        <v>222</v>
      </c>
      <c r="K232" s="21">
        <v>0.62155199999999999</v>
      </c>
      <c r="L232">
        <f t="shared" si="36"/>
        <v>10.131086419753085</v>
      </c>
      <c r="M232">
        <f t="shared" si="37"/>
        <v>6.3025589928148147</v>
      </c>
      <c r="N232" s="9"/>
      <c r="O232" s="21">
        <v>1.0179100000000001</v>
      </c>
      <c r="P232" s="21">
        <v>11.029400000000001</v>
      </c>
      <c r="Q232" s="21">
        <v>-6.7810099999999996E-3</v>
      </c>
      <c r="R232" s="21">
        <v>222</v>
      </c>
      <c r="S232" s="21">
        <v>1.01685</v>
      </c>
      <c r="T232">
        <f t="shared" si="38"/>
        <v>8.3716172839506164</v>
      </c>
      <c r="U232">
        <f t="shared" si="39"/>
        <v>8.521552949506173</v>
      </c>
      <c r="X232" s="9"/>
      <c r="Y232" s="21">
        <v>0.62210100000000002</v>
      </c>
      <c r="Z232" s="21">
        <v>16.4663</v>
      </c>
      <c r="AA232" s="21">
        <v>-8.1390400000000002E-3</v>
      </c>
      <c r="AB232" s="21">
        <v>222</v>
      </c>
      <c r="AC232" s="21">
        <v>0.62158199999999997</v>
      </c>
      <c r="AD232">
        <f t="shared" si="40"/>
        <v>10.048197530864197</v>
      </c>
      <c r="AE232">
        <f t="shared" si="41"/>
        <v>6.2509937321481477</v>
      </c>
      <c r="AF232" s="9"/>
      <c r="AG232" s="21">
        <v>1.0179100000000001</v>
      </c>
      <c r="AH232" s="21">
        <v>20.1646</v>
      </c>
      <c r="AI232" s="21">
        <v>-6.7260699999999998E-3</v>
      </c>
      <c r="AJ232" s="21">
        <v>222</v>
      </c>
      <c r="AK232" s="21">
        <v>1.01685</v>
      </c>
      <c r="AL232">
        <f t="shared" si="42"/>
        <v>8.3037901234567908</v>
      </c>
      <c r="AM232">
        <f t="shared" si="43"/>
        <v>8.4525110045679028</v>
      </c>
      <c r="AP232" s="9"/>
      <c r="AQ232" s="21">
        <v>0.62210100000000002</v>
      </c>
      <c r="AR232" s="21">
        <v>25.528500000000001</v>
      </c>
      <c r="AS232" s="21">
        <v>-8.1207299999999996E-3</v>
      </c>
      <c r="AT232" s="21">
        <v>222</v>
      </c>
      <c r="AU232" s="21">
        <v>0.62158199999999997</v>
      </c>
      <c r="AV232">
        <f t="shared" si="44"/>
        <v>10.025592592592592</v>
      </c>
      <c r="AW232">
        <f t="shared" si="45"/>
        <v>6.2369311774444443</v>
      </c>
      <c r="AX232" s="9"/>
      <c r="AY232" s="21">
        <v>1.0179100000000001</v>
      </c>
      <c r="AZ232" s="21">
        <v>29.226900000000001</v>
      </c>
      <c r="BA232" s="21">
        <v>-6.6833500000000002E-3</v>
      </c>
      <c r="BB232" s="21">
        <v>222</v>
      </c>
      <c r="BC232" s="21">
        <v>1.01685</v>
      </c>
      <c r="BD232">
        <f t="shared" si="46"/>
        <v>8.2510493827160492</v>
      </c>
      <c r="BE232">
        <f t="shared" si="47"/>
        <v>8.3988256771604952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0.61706499999999997</v>
      </c>
      <c r="H233" s="21">
        <v>7.3411499999999998</v>
      </c>
      <c r="I233" s="21">
        <v>-8.2153299999999999E-3</v>
      </c>
      <c r="J233" s="21">
        <v>223</v>
      </c>
      <c r="K233" s="21">
        <v>0.61651599999999995</v>
      </c>
      <c r="L233">
        <f t="shared" si="36"/>
        <v>10.142382716049381</v>
      </c>
      <c r="M233">
        <f t="shared" si="37"/>
        <v>6.258509390679011</v>
      </c>
      <c r="N233" s="9"/>
      <c r="O233" s="21">
        <v>1.02295</v>
      </c>
      <c r="P233" s="21">
        <v>11.0395</v>
      </c>
      <c r="Q233" s="21">
        <v>-6.7688000000000002E-3</v>
      </c>
      <c r="R233" s="21">
        <v>223</v>
      </c>
      <c r="S233" s="21">
        <v>1.02173</v>
      </c>
      <c r="T233">
        <f t="shared" si="38"/>
        <v>8.3565432098765431</v>
      </c>
      <c r="U233">
        <f t="shared" si="39"/>
        <v>8.5483258765432097</v>
      </c>
      <c r="X233" s="9"/>
      <c r="Y233" s="21">
        <v>0.61706499999999997</v>
      </c>
      <c r="Z233" s="21">
        <v>16.476400000000002</v>
      </c>
      <c r="AA233" s="21">
        <v>-8.1359899999999992E-3</v>
      </c>
      <c r="AB233" s="21">
        <v>223</v>
      </c>
      <c r="AC233" s="21">
        <v>0.61651599999999995</v>
      </c>
      <c r="AD233">
        <f t="shared" si="40"/>
        <v>10.04443209876543</v>
      </c>
      <c r="AE233">
        <f t="shared" si="41"/>
        <v>6.1980674930246895</v>
      </c>
      <c r="AF233" s="9"/>
      <c r="AG233" s="21">
        <v>1.02295</v>
      </c>
      <c r="AH233" s="21">
        <v>20.174700000000001</v>
      </c>
      <c r="AI233" s="21">
        <v>-6.7138700000000003E-3</v>
      </c>
      <c r="AJ233" s="21">
        <v>223</v>
      </c>
      <c r="AK233" s="21">
        <v>1.02173</v>
      </c>
      <c r="AL233">
        <f t="shared" si="42"/>
        <v>8.2887283950617281</v>
      </c>
      <c r="AM233">
        <f t="shared" si="43"/>
        <v>8.4789547117283952</v>
      </c>
      <c r="AP233" s="9"/>
      <c r="AQ233" s="21">
        <v>0.61706499999999997</v>
      </c>
      <c r="AR233" s="21">
        <v>25.538599999999999</v>
      </c>
      <c r="AS233" s="21">
        <v>-8.1237800000000006E-3</v>
      </c>
      <c r="AT233" s="21">
        <v>223</v>
      </c>
      <c r="AU233" s="21">
        <v>0.61657700000000004</v>
      </c>
      <c r="AV233">
        <f t="shared" si="44"/>
        <v>10.029358024691359</v>
      </c>
      <c r="AW233">
        <f t="shared" si="45"/>
        <v>6.1887658095061733</v>
      </c>
      <c r="AX233" s="9"/>
      <c r="AY233" s="21">
        <v>1.02295</v>
      </c>
      <c r="AZ233" s="21">
        <v>29.236899999999999</v>
      </c>
      <c r="BA233" s="21">
        <v>-6.67419E-3</v>
      </c>
      <c r="BB233" s="21">
        <v>223</v>
      </c>
      <c r="BC233" s="21">
        <v>1.02203</v>
      </c>
      <c r="BD233">
        <f t="shared" si="46"/>
        <v>8.239740740740741</v>
      </c>
      <c r="BE233">
        <f t="shared" si="47"/>
        <v>8.4288427907407417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0.61202999999999996</v>
      </c>
      <c r="H234" s="21">
        <v>7.3512300000000002</v>
      </c>
      <c r="I234" s="21">
        <v>-8.22144E-3</v>
      </c>
      <c r="J234" s="21">
        <v>224</v>
      </c>
      <c r="K234" s="21">
        <v>0.61151100000000003</v>
      </c>
      <c r="L234">
        <f t="shared" si="36"/>
        <v>10.149925925925926</v>
      </c>
      <c r="M234">
        <f t="shared" si="37"/>
        <v>6.2120591644444438</v>
      </c>
      <c r="N234" s="9"/>
      <c r="O234" s="21">
        <v>1.0279799999999999</v>
      </c>
      <c r="P234" s="21">
        <v>11.0496</v>
      </c>
      <c r="Q234" s="21">
        <v>-6.7565899999999998E-3</v>
      </c>
      <c r="R234" s="21">
        <v>224</v>
      </c>
      <c r="S234" s="21">
        <v>1.0269200000000001</v>
      </c>
      <c r="T234">
        <f t="shared" si="38"/>
        <v>8.3414691358024697</v>
      </c>
      <c r="U234">
        <f t="shared" si="39"/>
        <v>8.5748634422222221</v>
      </c>
      <c r="X234" s="9"/>
      <c r="Y234" s="21">
        <v>0.61202999999999996</v>
      </c>
      <c r="Z234" s="21">
        <v>16.4864</v>
      </c>
      <c r="AA234" s="21">
        <v>-8.1451400000000004E-3</v>
      </c>
      <c r="AB234" s="21">
        <v>224</v>
      </c>
      <c r="AC234" s="21">
        <v>0.61148100000000005</v>
      </c>
      <c r="AD234">
        <f t="shared" si="40"/>
        <v>10.055728395061728</v>
      </c>
      <c r="AE234">
        <f t="shared" si="41"/>
        <v>6.1544074496296286</v>
      </c>
      <c r="AF234" s="9"/>
      <c r="AG234" s="21">
        <v>1.0279799999999999</v>
      </c>
      <c r="AH234" s="21">
        <v>20.184799999999999</v>
      </c>
      <c r="AI234" s="21">
        <v>-6.70471E-3</v>
      </c>
      <c r="AJ234" s="21">
        <v>224</v>
      </c>
      <c r="AK234" s="21">
        <v>1.02661</v>
      </c>
      <c r="AL234">
        <f t="shared" si="42"/>
        <v>8.2774197530864182</v>
      </c>
      <c r="AM234">
        <f t="shared" si="43"/>
        <v>8.5090219577777759</v>
      </c>
      <c r="AP234" s="9"/>
      <c r="AQ234" s="21">
        <v>0.61202999999999996</v>
      </c>
      <c r="AR234" s="21">
        <v>25.5486</v>
      </c>
      <c r="AS234" s="21">
        <v>-8.1298800000000008E-3</v>
      </c>
      <c r="AT234" s="21">
        <v>224</v>
      </c>
      <c r="AU234" s="21">
        <v>0.611572</v>
      </c>
      <c r="AV234">
        <f t="shared" si="44"/>
        <v>10.036888888888889</v>
      </c>
      <c r="AW234">
        <f t="shared" si="45"/>
        <v>6.1428771066666661</v>
      </c>
      <c r="AX234" s="9"/>
      <c r="AY234" s="21">
        <v>1.0279799999999999</v>
      </c>
      <c r="AZ234" s="21">
        <v>29.247</v>
      </c>
      <c r="BA234" s="21">
        <v>-6.6619899999999996E-3</v>
      </c>
      <c r="BB234" s="21">
        <v>224</v>
      </c>
      <c r="BC234" s="21">
        <v>1.02661</v>
      </c>
      <c r="BD234">
        <f t="shared" si="46"/>
        <v>8.2246790123456783</v>
      </c>
      <c r="BE234">
        <f t="shared" si="47"/>
        <v>8.4548055311111092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0.60699499999999995</v>
      </c>
      <c r="H235" s="21">
        <v>7.3613</v>
      </c>
      <c r="I235" s="21">
        <v>-8.2336400000000004E-3</v>
      </c>
      <c r="J235" s="21">
        <v>225</v>
      </c>
      <c r="K235" s="21">
        <v>0.60641500000000004</v>
      </c>
      <c r="L235">
        <f t="shared" si="36"/>
        <v>10.164987654320988</v>
      </c>
      <c r="M235">
        <f t="shared" si="37"/>
        <v>6.1700966812345683</v>
      </c>
      <c r="N235" s="9"/>
      <c r="O235" s="21">
        <v>1.03302</v>
      </c>
      <c r="P235" s="21">
        <v>11.0596</v>
      </c>
      <c r="Q235" s="21">
        <v>-6.7413300000000002E-3</v>
      </c>
      <c r="R235" s="21">
        <v>225</v>
      </c>
      <c r="S235" s="21">
        <v>1.03241</v>
      </c>
      <c r="T235">
        <f t="shared" si="38"/>
        <v>8.3226296296296294</v>
      </c>
      <c r="U235">
        <f t="shared" si="39"/>
        <v>8.597442860000001</v>
      </c>
      <c r="X235" s="9"/>
      <c r="Y235" s="21">
        <v>0.60699499999999995</v>
      </c>
      <c r="Z235" s="21">
        <v>16.496500000000001</v>
      </c>
      <c r="AA235" s="21">
        <v>-8.1451400000000004E-3</v>
      </c>
      <c r="AB235" s="21">
        <v>225</v>
      </c>
      <c r="AC235" s="21">
        <v>0.60644500000000001</v>
      </c>
      <c r="AD235">
        <f t="shared" si="40"/>
        <v>10.055728395061728</v>
      </c>
      <c r="AE235">
        <f t="shared" si="41"/>
        <v>6.1037768571604927</v>
      </c>
      <c r="AF235" s="9"/>
      <c r="AG235" s="21">
        <v>1.03302</v>
      </c>
      <c r="AH235" s="21">
        <v>20.194800000000001</v>
      </c>
      <c r="AI235" s="21">
        <v>-6.7016599999999999E-3</v>
      </c>
      <c r="AJ235" s="21">
        <v>225</v>
      </c>
      <c r="AK235" s="21">
        <v>1.0318000000000001</v>
      </c>
      <c r="AL235">
        <f t="shared" si="42"/>
        <v>8.273654320987653</v>
      </c>
      <c r="AM235">
        <f t="shared" si="43"/>
        <v>8.5468503866666659</v>
      </c>
      <c r="AP235" s="9"/>
      <c r="AQ235" s="21">
        <v>0.60699499999999995</v>
      </c>
      <c r="AR235" s="21">
        <v>25.558700000000002</v>
      </c>
      <c r="AS235" s="21">
        <v>-8.1298800000000008E-3</v>
      </c>
      <c r="AT235" s="21">
        <v>225</v>
      </c>
      <c r="AU235" s="21">
        <v>0.60647600000000002</v>
      </c>
      <c r="AV235">
        <f t="shared" si="44"/>
        <v>10.036888888888889</v>
      </c>
      <c r="AW235">
        <f t="shared" si="45"/>
        <v>6.092341371111111</v>
      </c>
      <c r="AX235" s="9"/>
      <c r="AY235" s="21">
        <v>1.03302</v>
      </c>
      <c r="AZ235" s="21">
        <v>29.257100000000001</v>
      </c>
      <c r="BA235" s="21">
        <v>-6.6436799999999999E-3</v>
      </c>
      <c r="BB235" s="21">
        <v>225</v>
      </c>
      <c r="BC235" s="21">
        <v>1.0318000000000001</v>
      </c>
      <c r="BD235">
        <f t="shared" si="46"/>
        <v>8.2020740740740727</v>
      </c>
      <c r="BE235">
        <f t="shared" si="47"/>
        <v>8.4729065599999984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0.60195900000000002</v>
      </c>
      <c r="H236" s="21">
        <v>7.3713699999999998</v>
      </c>
      <c r="I236" s="21">
        <v>-8.2427999999999998E-3</v>
      </c>
      <c r="J236" s="21">
        <v>226</v>
      </c>
      <c r="K236" s="21">
        <v>0.60143999999999997</v>
      </c>
      <c r="L236">
        <f t="shared" si="36"/>
        <v>10.176296296296297</v>
      </c>
      <c r="M236">
        <f t="shared" si="37"/>
        <v>6.1257131422222226</v>
      </c>
      <c r="N236" s="9"/>
      <c r="O236" s="21">
        <v>1.03806</v>
      </c>
      <c r="P236" s="21">
        <v>11.069699999999999</v>
      </c>
      <c r="Q236" s="21">
        <v>-6.7291299999999998E-3</v>
      </c>
      <c r="R236" s="21">
        <v>226</v>
      </c>
      <c r="S236" s="21">
        <v>1.03729</v>
      </c>
      <c r="T236">
        <f t="shared" si="38"/>
        <v>8.3075679012345685</v>
      </c>
      <c r="U236">
        <f t="shared" si="39"/>
        <v>8.6237539355555555</v>
      </c>
      <c r="X236" s="9"/>
      <c r="Y236" s="21">
        <v>0.60195900000000002</v>
      </c>
      <c r="Z236" s="21">
        <v>16.506599999999999</v>
      </c>
      <c r="AA236" s="21">
        <v>-8.1542999999999997E-3</v>
      </c>
      <c r="AB236" s="21">
        <v>226</v>
      </c>
      <c r="AC236" s="21">
        <v>0.601379</v>
      </c>
      <c r="AD236">
        <f t="shared" si="40"/>
        <v>10.067037037037036</v>
      </c>
      <c r="AE236">
        <f t="shared" si="41"/>
        <v>6.0599435477777774</v>
      </c>
      <c r="AF236" s="9"/>
      <c r="AG236" s="21">
        <v>1.03806</v>
      </c>
      <c r="AH236" s="21">
        <v>20.204899999999999</v>
      </c>
      <c r="AI236" s="21">
        <v>-6.6924999999999997E-3</v>
      </c>
      <c r="AJ236" s="21">
        <v>226</v>
      </c>
      <c r="AK236" s="21">
        <v>1.03668</v>
      </c>
      <c r="AL236">
        <f t="shared" si="42"/>
        <v>8.2623456790123448</v>
      </c>
      <c r="AM236">
        <f t="shared" si="43"/>
        <v>8.5768105555555554</v>
      </c>
      <c r="AP236" s="9"/>
      <c r="AQ236" s="21">
        <v>0.60195900000000002</v>
      </c>
      <c r="AR236" s="21">
        <v>25.5688</v>
      </c>
      <c r="AS236" s="21">
        <v>-8.1268299999999998E-3</v>
      </c>
      <c r="AT236" s="21">
        <v>226</v>
      </c>
      <c r="AU236" s="21">
        <v>0.601379</v>
      </c>
      <c r="AV236">
        <f t="shared" si="44"/>
        <v>10.033123456790122</v>
      </c>
      <c r="AW236">
        <f t="shared" si="45"/>
        <v>6.0395289629259254</v>
      </c>
      <c r="AX236" s="9"/>
      <c r="AY236" s="21">
        <v>1.03806</v>
      </c>
      <c r="AZ236" s="21">
        <v>29.267099999999999</v>
      </c>
      <c r="BA236" s="21">
        <v>-6.6314700000000004E-3</v>
      </c>
      <c r="BB236" s="21">
        <v>226</v>
      </c>
      <c r="BC236" s="21">
        <v>1.0369900000000001</v>
      </c>
      <c r="BD236">
        <f t="shared" si="46"/>
        <v>8.1869999999999994</v>
      </c>
      <c r="BE236">
        <f t="shared" si="47"/>
        <v>8.4985972199999988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0.59692400000000001</v>
      </c>
      <c r="H237" s="21">
        <v>7.3814399999999996</v>
      </c>
      <c r="I237" s="21">
        <v>-8.2427999999999998E-3</v>
      </c>
      <c r="J237" s="21">
        <v>227</v>
      </c>
      <c r="K237" s="21">
        <v>0.59637499999999999</v>
      </c>
      <c r="L237">
        <f t="shared" si="36"/>
        <v>10.176296296296297</v>
      </c>
      <c r="M237">
        <f t="shared" si="37"/>
        <v>6.0744754903703706</v>
      </c>
      <c r="N237" s="9"/>
      <c r="O237" s="21">
        <v>1.0430900000000001</v>
      </c>
      <c r="P237" s="21">
        <v>11.079800000000001</v>
      </c>
      <c r="Q237" s="21">
        <v>-6.7169200000000004E-3</v>
      </c>
      <c r="R237" s="21">
        <v>227</v>
      </c>
      <c r="S237" s="21">
        <v>1.0418700000000001</v>
      </c>
      <c r="T237">
        <f t="shared" si="38"/>
        <v>8.2924938271604951</v>
      </c>
      <c r="U237">
        <f t="shared" si="39"/>
        <v>8.6498173861728418</v>
      </c>
      <c r="X237" s="9"/>
      <c r="Y237" s="21">
        <v>0.59692400000000001</v>
      </c>
      <c r="Z237" s="21">
        <v>16.5167</v>
      </c>
      <c r="AA237" s="21">
        <v>-8.1634499999999992E-3</v>
      </c>
      <c r="AB237" s="21">
        <v>227</v>
      </c>
      <c r="AC237" s="21">
        <v>0.59640499999999996</v>
      </c>
      <c r="AD237">
        <f t="shared" si="40"/>
        <v>10.078333333333331</v>
      </c>
      <c r="AE237">
        <f t="shared" si="41"/>
        <v>6.015999046666666</v>
      </c>
      <c r="AF237" s="9"/>
      <c r="AG237" s="21">
        <v>1.0430900000000001</v>
      </c>
      <c r="AH237" s="21">
        <v>20.215</v>
      </c>
      <c r="AI237" s="21">
        <v>-6.67419E-3</v>
      </c>
      <c r="AJ237" s="21">
        <v>227</v>
      </c>
      <c r="AK237" s="21">
        <v>1.0421800000000001</v>
      </c>
      <c r="AL237">
        <f t="shared" si="42"/>
        <v>8.239740740740741</v>
      </c>
      <c r="AM237">
        <f t="shared" si="43"/>
        <v>8.5947911692592598</v>
      </c>
      <c r="AP237" s="9"/>
      <c r="AQ237" s="21">
        <v>0.59692400000000001</v>
      </c>
      <c r="AR237" s="21">
        <v>25.578800000000001</v>
      </c>
      <c r="AS237" s="21">
        <v>-8.1420899999999994E-3</v>
      </c>
      <c r="AT237" s="21">
        <v>227</v>
      </c>
      <c r="AU237" s="21">
        <v>0.59643599999999997</v>
      </c>
      <c r="AV237">
        <f t="shared" si="44"/>
        <v>10.051962962962962</v>
      </c>
      <c r="AW237">
        <f t="shared" si="45"/>
        <v>6.0002579397037037</v>
      </c>
      <c r="AX237" s="9"/>
      <c r="AY237" s="21">
        <v>1.0430900000000001</v>
      </c>
      <c r="AZ237" s="21">
        <v>29.277200000000001</v>
      </c>
      <c r="BA237" s="21">
        <v>-6.6223100000000002E-3</v>
      </c>
      <c r="BB237" s="21">
        <v>227</v>
      </c>
      <c r="BC237" s="21">
        <v>1.0418700000000001</v>
      </c>
      <c r="BD237">
        <f t="shared" si="46"/>
        <v>8.1756913580246895</v>
      </c>
      <c r="BE237">
        <f t="shared" si="47"/>
        <v>8.5279818986419738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0.59188799999999997</v>
      </c>
      <c r="H238" s="21">
        <v>7.3915100000000002</v>
      </c>
      <c r="I238" s="21">
        <v>-8.2550000000000002E-3</v>
      </c>
      <c r="J238" s="21">
        <v>228</v>
      </c>
      <c r="K238" s="21">
        <v>0.59130899999999997</v>
      </c>
      <c r="L238">
        <f t="shared" si="36"/>
        <v>10.191358024691358</v>
      </c>
      <c r="M238">
        <f t="shared" si="37"/>
        <v>6.0321425185185182</v>
      </c>
      <c r="N238" s="9"/>
      <c r="O238" s="21">
        <v>1.04813</v>
      </c>
      <c r="P238" s="21">
        <v>11.0898</v>
      </c>
      <c r="Q238" s="21">
        <v>-6.7108200000000002E-3</v>
      </c>
      <c r="R238" s="21">
        <v>228</v>
      </c>
      <c r="S238" s="21">
        <v>1.0470600000000001</v>
      </c>
      <c r="T238">
        <f t="shared" si="38"/>
        <v>8.2849629629629629</v>
      </c>
      <c r="U238">
        <f t="shared" si="39"/>
        <v>8.6837182303703706</v>
      </c>
      <c r="X238" s="9"/>
      <c r="Y238" s="21">
        <v>0.59188799999999997</v>
      </c>
      <c r="Z238" s="21">
        <v>16.526700000000002</v>
      </c>
      <c r="AA238" s="21">
        <v>-8.1634499999999992E-3</v>
      </c>
      <c r="AB238" s="21">
        <v>228</v>
      </c>
      <c r="AC238" s="21">
        <v>0.59136999999999995</v>
      </c>
      <c r="AD238">
        <f t="shared" si="40"/>
        <v>10.078333333333331</v>
      </c>
      <c r="AE238">
        <f t="shared" si="41"/>
        <v>5.9652445599999986</v>
      </c>
      <c r="AF238" s="9"/>
      <c r="AG238" s="21">
        <v>1.04813</v>
      </c>
      <c r="AH238" s="21">
        <v>20.225100000000001</v>
      </c>
      <c r="AI238" s="21">
        <v>-6.6589400000000003E-3</v>
      </c>
      <c r="AJ238" s="21">
        <v>228</v>
      </c>
      <c r="AK238" s="21">
        <v>1.0467500000000001</v>
      </c>
      <c r="AL238">
        <f t="shared" si="42"/>
        <v>8.2209135802469131</v>
      </c>
      <c r="AM238">
        <f t="shared" si="43"/>
        <v>8.6165861508641974</v>
      </c>
      <c r="AP238" s="9"/>
      <c r="AQ238" s="21">
        <v>0.59188799999999997</v>
      </c>
      <c r="AR238" s="21">
        <v>25.588899999999999</v>
      </c>
      <c r="AS238" s="21">
        <v>-8.1481899999999996E-3</v>
      </c>
      <c r="AT238" s="21">
        <v>228</v>
      </c>
      <c r="AU238" s="21">
        <v>0.59140000000000004</v>
      </c>
      <c r="AV238">
        <f t="shared" si="44"/>
        <v>10.059493827160493</v>
      </c>
      <c r="AW238">
        <f t="shared" si="45"/>
        <v>5.9540936823703694</v>
      </c>
      <c r="AX238" s="9"/>
      <c r="AY238" s="21">
        <v>1.04813</v>
      </c>
      <c r="AZ238" s="21">
        <v>29.287299999999998</v>
      </c>
      <c r="BA238" s="21">
        <v>-6.6131599999999999E-3</v>
      </c>
      <c r="BB238" s="21">
        <v>228</v>
      </c>
      <c r="BC238" s="21">
        <v>1.0467500000000001</v>
      </c>
      <c r="BD238">
        <f t="shared" si="46"/>
        <v>8.1643950617283938</v>
      </c>
      <c r="BE238">
        <f t="shared" si="47"/>
        <v>8.5573473960493818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0.58685299999999996</v>
      </c>
      <c r="H239" s="21">
        <v>7.40158</v>
      </c>
      <c r="I239" s="21">
        <v>-8.2519499999999992E-3</v>
      </c>
      <c r="J239" s="21">
        <v>229</v>
      </c>
      <c r="K239" s="21">
        <v>0.58630400000000005</v>
      </c>
      <c r="L239">
        <f t="shared" si="36"/>
        <v>10.187592592592591</v>
      </c>
      <c r="M239">
        <f t="shared" si="37"/>
        <v>5.9786192757407388</v>
      </c>
      <c r="N239" s="9"/>
      <c r="O239" s="21">
        <v>1.0531600000000001</v>
      </c>
      <c r="P239" s="21">
        <v>11.0999</v>
      </c>
      <c r="Q239" s="21">
        <v>-6.6955599999999997E-3</v>
      </c>
      <c r="R239" s="21">
        <v>229</v>
      </c>
      <c r="S239" s="21">
        <v>1.0519400000000001</v>
      </c>
      <c r="T239">
        <f t="shared" si="38"/>
        <v>8.2661234567901225</v>
      </c>
      <c r="U239">
        <f t="shared" si="39"/>
        <v>8.705550579753087</v>
      </c>
      <c r="X239" s="9"/>
      <c r="Y239" s="21">
        <v>0.58685299999999996</v>
      </c>
      <c r="Z239" s="21">
        <v>16.536799999999999</v>
      </c>
      <c r="AA239" s="21">
        <v>-8.1756599999999995E-3</v>
      </c>
      <c r="AB239" s="21">
        <v>229</v>
      </c>
      <c r="AC239" s="21">
        <v>0.58630400000000005</v>
      </c>
      <c r="AD239">
        <f t="shared" si="40"/>
        <v>10.093407407407406</v>
      </c>
      <c r="AE239">
        <f t="shared" si="41"/>
        <v>5.9233464172592587</v>
      </c>
      <c r="AF239" s="9"/>
      <c r="AG239" s="21">
        <v>1.0531600000000001</v>
      </c>
      <c r="AH239" s="21">
        <v>20.235099999999999</v>
      </c>
      <c r="AI239" s="21">
        <v>-6.6436799999999999E-3</v>
      </c>
      <c r="AJ239" s="21">
        <v>229</v>
      </c>
      <c r="AK239" s="21">
        <v>1.0525500000000001</v>
      </c>
      <c r="AL239">
        <f t="shared" si="42"/>
        <v>8.2020740740740727</v>
      </c>
      <c r="AM239">
        <f t="shared" si="43"/>
        <v>8.6380963318518518</v>
      </c>
      <c r="AP239" s="9"/>
      <c r="AQ239" s="21">
        <v>0.58685299999999996</v>
      </c>
      <c r="AR239" s="21">
        <v>25.599</v>
      </c>
      <c r="AS239" s="21">
        <v>-8.1542999999999997E-3</v>
      </c>
      <c r="AT239" s="21">
        <v>229</v>
      </c>
      <c r="AU239" s="21">
        <v>0.58630400000000005</v>
      </c>
      <c r="AV239">
        <f t="shared" si="44"/>
        <v>10.067037037037036</v>
      </c>
      <c r="AW239">
        <f t="shared" si="45"/>
        <v>5.907870886296295</v>
      </c>
      <c r="AX239" s="9"/>
      <c r="AY239" s="21">
        <v>1.0531600000000001</v>
      </c>
      <c r="AZ239" s="21">
        <v>29.2974</v>
      </c>
      <c r="BA239" s="21">
        <v>-6.6070599999999997E-3</v>
      </c>
      <c r="BB239" s="21">
        <v>229</v>
      </c>
      <c r="BC239" s="21">
        <v>1.0519400000000001</v>
      </c>
      <c r="BD239">
        <f t="shared" si="46"/>
        <v>8.1568641975308633</v>
      </c>
      <c r="BE239">
        <f t="shared" si="47"/>
        <v>8.5904830982716049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0.58181799999999995</v>
      </c>
      <c r="H240" s="21">
        <v>7.4116499999999998</v>
      </c>
      <c r="I240" s="21">
        <v>-8.2550000000000002E-3</v>
      </c>
      <c r="J240" s="21">
        <v>230</v>
      </c>
      <c r="K240" s="21">
        <v>0.58117700000000005</v>
      </c>
      <c r="L240">
        <f t="shared" si="36"/>
        <v>10.191358024691358</v>
      </c>
      <c r="M240">
        <f t="shared" si="37"/>
        <v>5.9295155432098756</v>
      </c>
      <c r="N240" s="9"/>
      <c r="O240" s="21">
        <v>1.0582</v>
      </c>
      <c r="P240" s="21">
        <v>11.11</v>
      </c>
      <c r="Q240" s="21">
        <v>-6.6864000000000003E-3</v>
      </c>
      <c r="R240" s="21">
        <v>230</v>
      </c>
      <c r="S240" s="21">
        <v>1.0571299999999999</v>
      </c>
      <c r="T240">
        <f t="shared" si="38"/>
        <v>8.2548148148148162</v>
      </c>
      <c r="U240">
        <f t="shared" si="39"/>
        <v>8.7352450370370391</v>
      </c>
      <c r="X240" s="9"/>
      <c r="Y240" s="21">
        <v>0.58181799999999995</v>
      </c>
      <c r="Z240" s="21">
        <v>16.546900000000001</v>
      </c>
      <c r="AA240" s="21">
        <v>-8.1787100000000005E-3</v>
      </c>
      <c r="AB240" s="21">
        <v>230</v>
      </c>
      <c r="AC240" s="21">
        <v>0.58129900000000001</v>
      </c>
      <c r="AD240">
        <f t="shared" si="40"/>
        <v>10.097172839506174</v>
      </c>
      <c r="AE240">
        <f t="shared" si="41"/>
        <v>5.8747169071358023</v>
      </c>
      <c r="AF240" s="9"/>
      <c r="AG240" s="21">
        <v>1.0582</v>
      </c>
      <c r="AH240" s="21">
        <v>20.245200000000001</v>
      </c>
      <c r="AI240" s="21">
        <v>-6.6345199999999997E-3</v>
      </c>
      <c r="AJ240" s="21">
        <v>230</v>
      </c>
      <c r="AK240" s="21">
        <v>1.0571299999999999</v>
      </c>
      <c r="AL240">
        <f t="shared" si="42"/>
        <v>8.1907654320987646</v>
      </c>
      <c r="AM240">
        <f t="shared" si="43"/>
        <v>8.6674679802469132</v>
      </c>
      <c r="AP240" s="9"/>
      <c r="AQ240" s="21">
        <v>0.58181799999999995</v>
      </c>
      <c r="AR240" s="21">
        <v>25.609000000000002</v>
      </c>
      <c r="AS240" s="21">
        <v>-8.1665000000000001E-3</v>
      </c>
      <c r="AT240" s="21">
        <v>230</v>
      </c>
      <c r="AU240" s="21">
        <v>0.58126800000000001</v>
      </c>
      <c r="AV240">
        <f t="shared" si="44"/>
        <v>10.082098765432098</v>
      </c>
      <c r="AW240">
        <f t="shared" si="45"/>
        <v>5.8659465395061723</v>
      </c>
      <c r="AX240" s="9"/>
      <c r="AY240" s="21">
        <v>1.0582</v>
      </c>
      <c r="AZ240" s="21">
        <v>29.307400000000001</v>
      </c>
      <c r="BA240" s="21">
        <v>-6.5918000000000001E-3</v>
      </c>
      <c r="BB240" s="21">
        <v>230</v>
      </c>
      <c r="BC240" s="21">
        <v>1.0568200000000001</v>
      </c>
      <c r="BD240">
        <f t="shared" si="46"/>
        <v>8.138024691358023</v>
      </c>
      <c r="BE240">
        <f t="shared" si="47"/>
        <v>8.6116577283950608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0.57678200000000002</v>
      </c>
      <c r="H241" s="21">
        <v>7.4217199999999997</v>
      </c>
      <c r="I241" s="21">
        <v>-8.2519499999999992E-3</v>
      </c>
      <c r="J241" s="21">
        <v>231</v>
      </c>
      <c r="K241" s="21">
        <v>0.57620199999999999</v>
      </c>
      <c r="L241">
        <f t="shared" si="36"/>
        <v>10.187592592592591</v>
      </c>
      <c r="M241">
        <f t="shared" si="37"/>
        <v>5.8760200307407393</v>
      </c>
      <c r="N241" s="9"/>
      <c r="O241" s="21">
        <v>1.0632299999999999</v>
      </c>
      <c r="P241" s="21">
        <v>11.120100000000001</v>
      </c>
      <c r="Q241" s="21">
        <v>-6.67725E-3</v>
      </c>
      <c r="R241" s="21">
        <v>231</v>
      </c>
      <c r="S241" s="21">
        <v>1.0623199999999999</v>
      </c>
      <c r="T241">
        <f t="shared" si="38"/>
        <v>8.2435185185185187</v>
      </c>
      <c r="U241">
        <f t="shared" si="39"/>
        <v>8.764756194444443</v>
      </c>
      <c r="X241" s="9"/>
      <c r="Y241" s="21">
        <v>0.57678200000000002</v>
      </c>
      <c r="Z241" s="21">
        <v>16.556899999999999</v>
      </c>
      <c r="AA241" s="21">
        <v>-8.1817599999999997E-3</v>
      </c>
      <c r="AB241" s="21">
        <v>231</v>
      </c>
      <c r="AC241" s="21">
        <v>0.576233</v>
      </c>
      <c r="AD241">
        <f t="shared" si="40"/>
        <v>10.100938271604937</v>
      </c>
      <c r="AE241">
        <f t="shared" si="41"/>
        <v>5.8260393781728386</v>
      </c>
      <c r="AF241" s="9"/>
      <c r="AG241" s="21">
        <v>1.0632299999999999</v>
      </c>
      <c r="AH241" s="21">
        <v>20.255299999999998</v>
      </c>
      <c r="AI241" s="21">
        <v>-6.6253700000000002E-3</v>
      </c>
      <c r="AJ241" s="21">
        <v>231</v>
      </c>
      <c r="AK241" s="21">
        <v>1.0632299999999999</v>
      </c>
      <c r="AL241">
        <f t="shared" si="42"/>
        <v>8.1794691358024689</v>
      </c>
      <c r="AM241">
        <f t="shared" si="43"/>
        <v>8.6966569692592586</v>
      </c>
      <c r="AP241" s="9"/>
      <c r="AQ241" s="21">
        <v>0.57678200000000002</v>
      </c>
      <c r="AR241" s="21">
        <v>25.6191</v>
      </c>
      <c r="AS241" s="21">
        <v>-8.1817599999999997E-3</v>
      </c>
      <c r="AT241" s="21">
        <v>231</v>
      </c>
      <c r="AU241" s="21">
        <v>0.576233</v>
      </c>
      <c r="AV241">
        <f t="shared" si="44"/>
        <v>10.100938271604937</v>
      </c>
      <c r="AW241">
        <f t="shared" si="45"/>
        <v>5.8260393781728386</v>
      </c>
      <c r="AX241" s="9"/>
      <c r="AY241" s="21">
        <v>1.0632299999999999</v>
      </c>
      <c r="AZ241" s="21">
        <v>29.317499999999999</v>
      </c>
      <c r="BA241" s="21">
        <v>-6.58875E-3</v>
      </c>
      <c r="BB241" s="21">
        <v>231</v>
      </c>
      <c r="BC241" s="21">
        <v>1.0620099999999999</v>
      </c>
      <c r="BD241">
        <f t="shared" si="46"/>
        <v>8.1342592592592595</v>
      </c>
      <c r="BE241">
        <f t="shared" si="47"/>
        <v>8.6485884722222224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0.57174700000000001</v>
      </c>
      <c r="H242" s="21">
        <v>7.4317900000000003</v>
      </c>
      <c r="I242" s="21">
        <v>-8.2519499999999992E-3</v>
      </c>
      <c r="J242" s="21">
        <v>232</v>
      </c>
      <c r="K242" s="21">
        <v>0.57119799999999998</v>
      </c>
      <c r="L242">
        <f t="shared" si="36"/>
        <v>10.187592592592591</v>
      </c>
      <c r="M242">
        <f t="shared" si="37"/>
        <v>5.8247255020370359</v>
      </c>
      <c r="N242" s="9"/>
      <c r="O242" s="21">
        <v>1.0682700000000001</v>
      </c>
      <c r="P242" s="21">
        <v>11.130100000000001</v>
      </c>
      <c r="Q242" s="21">
        <v>-6.6650399999999997E-3</v>
      </c>
      <c r="R242" s="21">
        <v>232</v>
      </c>
      <c r="S242" s="21">
        <v>1.0668899999999999</v>
      </c>
      <c r="T242">
        <f t="shared" si="38"/>
        <v>8.2284444444444436</v>
      </c>
      <c r="U242">
        <f t="shared" si="39"/>
        <v>8.7902003466666656</v>
      </c>
      <c r="X242" s="9"/>
      <c r="Y242" s="21">
        <v>0.57174700000000001</v>
      </c>
      <c r="Z242" s="21">
        <v>16.567</v>
      </c>
      <c r="AA242" s="21">
        <v>-8.1878699999999999E-3</v>
      </c>
      <c r="AB242" s="21">
        <v>232</v>
      </c>
      <c r="AC242" s="21">
        <v>0.57119799999999998</v>
      </c>
      <c r="AD242">
        <f t="shared" si="40"/>
        <v>10.10848148148148</v>
      </c>
      <c r="AE242">
        <f t="shared" si="41"/>
        <v>5.7794939615925918</v>
      </c>
      <c r="AF242" s="9"/>
      <c r="AG242" s="21">
        <v>1.0682700000000001</v>
      </c>
      <c r="AH242" s="21">
        <v>20.2653</v>
      </c>
      <c r="AI242" s="21">
        <v>-6.6131599999999999E-3</v>
      </c>
      <c r="AJ242" s="21">
        <v>232</v>
      </c>
      <c r="AK242" s="21">
        <v>1.0668899999999999</v>
      </c>
      <c r="AL242">
        <f t="shared" si="42"/>
        <v>8.1643950617283938</v>
      </c>
      <c r="AM242">
        <f t="shared" si="43"/>
        <v>8.7217783125925923</v>
      </c>
      <c r="AP242" s="9"/>
      <c r="AQ242" s="21">
        <v>0.57174700000000001</v>
      </c>
      <c r="AR242" s="21">
        <v>25.629200000000001</v>
      </c>
      <c r="AS242" s="21">
        <v>-8.1909200000000008E-3</v>
      </c>
      <c r="AT242" s="21">
        <v>232</v>
      </c>
      <c r="AU242" s="21">
        <v>0.57113599999999998</v>
      </c>
      <c r="AV242">
        <f t="shared" si="44"/>
        <v>10.112246913580249</v>
      </c>
      <c r="AW242">
        <f t="shared" si="45"/>
        <v>5.7816468360987665</v>
      </c>
      <c r="AX242" s="9"/>
      <c r="AY242" s="21">
        <v>1.0682700000000001</v>
      </c>
      <c r="AZ242" s="21">
        <v>29.3276</v>
      </c>
      <c r="BA242" s="21">
        <v>-6.5765399999999996E-3</v>
      </c>
      <c r="BB242" s="21">
        <v>232</v>
      </c>
      <c r="BC242" s="21">
        <v>1.0671999999999999</v>
      </c>
      <c r="BD242">
        <f t="shared" si="46"/>
        <v>8.1191851851851844</v>
      </c>
      <c r="BE242">
        <f t="shared" si="47"/>
        <v>8.6734819577777778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0.56671099999999996</v>
      </c>
      <c r="H243" s="21">
        <v>7.4418600000000001</v>
      </c>
      <c r="I243" s="21">
        <v>-8.2641599999999996E-3</v>
      </c>
      <c r="J243" s="21">
        <v>233</v>
      </c>
      <c r="K243" s="21">
        <v>0.56613199999999997</v>
      </c>
      <c r="L243">
        <f t="shared" si="36"/>
        <v>10.202666666666666</v>
      </c>
      <c r="M243">
        <f t="shared" si="37"/>
        <v>5.7819634293333326</v>
      </c>
      <c r="N243" s="9"/>
      <c r="O243" s="21">
        <v>1.0732999999999999</v>
      </c>
      <c r="P243" s="21">
        <v>11.1402</v>
      </c>
      <c r="Q243" s="21">
        <v>-6.6497800000000001E-3</v>
      </c>
      <c r="R243" s="21">
        <v>233</v>
      </c>
      <c r="S243" s="21">
        <v>1.0720799999999999</v>
      </c>
      <c r="T243">
        <f t="shared" si="38"/>
        <v>8.209604938271605</v>
      </c>
      <c r="U243">
        <f t="shared" si="39"/>
        <v>8.8113689802469128</v>
      </c>
      <c r="X243" s="9"/>
      <c r="Y243" s="21">
        <v>0.56671099999999996</v>
      </c>
      <c r="Z243" s="21">
        <v>16.577100000000002</v>
      </c>
      <c r="AA243" s="21">
        <v>-8.1878699999999999E-3</v>
      </c>
      <c r="AB243" s="21">
        <v>233</v>
      </c>
      <c r="AC243" s="21">
        <v>0.56622300000000003</v>
      </c>
      <c r="AD243">
        <f t="shared" si="40"/>
        <v>10.10848148148148</v>
      </c>
      <c r="AE243">
        <f t="shared" si="41"/>
        <v>5.7285876488518506</v>
      </c>
      <c r="AF243" s="9"/>
      <c r="AG243" s="21">
        <v>1.0732999999999999</v>
      </c>
      <c r="AH243" s="21">
        <v>20.275400000000001</v>
      </c>
      <c r="AI243" s="21">
        <v>-6.6101099999999998E-3</v>
      </c>
      <c r="AJ243" s="21">
        <v>233</v>
      </c>
      <c r="AK243" s="21">
        <v>1.07239</v>
      </c>
      <c r="AL243">
        <f t="shared" si="42"/>
        <v>8.1606296296296286</v>
      </c>
      <c r="AM243">
        <f t="shared" si="43"/>
        <v>8.758803781481479</v>
      </c>
      <c r="AP243" s="9"/>
      <c r="AQ243" s="21">
        <v>0.56671099999999996</v>
      </c>
      <c r="AR243" s="21">
        <v>25.639299999999999</v>
      </c>
      <c r="AS243" s="21">
        <v>-8.1939700000000001E-3</v>
      </c>
      <c r="AT243" s="21">
        <v>233</v>
      </c>
      <c r="AU243" s="21">
        <v>0.56622300000000003</v>
      </c>
      <c r="AV243">
        <f t="shared" si="44"/>
        <v>10.116012345679012</v>
      </c>
      <c r="AW243">
        <f t="shared" si="45"/>
        <v>5.7328554724320986</v>
      </c>
      <c r="AX243" s="9"/>
      <c r="AY243" s="21">
        <v>1.0732999999999999</v>
      </c>
      <c r="AZ243" s="21">
        <v>29.337599999999998</v>
      </c>
      <c r="BA243" s="21">
        <v>-6.5673800000000003E-3</v>
      </c>
      <c r="BB243" s="21">
        <v>233</v>
      </c>
      <c r="BC243" s="21">
        <v>1.0726899999999999</v>
      </c>
      <c r="BD243">
        <f t="shared" si="46"/>
        <v>8.1078765432098763</v>
      </c>
      <c r="BE243">
        <f t="shared" si="47"/>
        <v>8.7021838938271596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0.56167599999999995</v>
      </c>
      <c r="H244" s="21">
        <v>7.4519399999999996</v>
      </c>
      <c r="I244" s="21">
        <v>-8.2824700000000001E-3</v>
      </c>
      <c r="J244" s="21">
        <v>234</v>
      </c>
      <c r="K244" s="21">
        <v>0.56109600000000004</v>
      </c>
      <c r="L244">
        <f t="shared" si="36"/>
        <v>10.225271604938271</v>
      </c>
      <c r="M244">
        <f t="shared" si="37"/>
        <v>5.7432896539753076</v>
      </c>
      <c r="N244" s="9"/>
      <c r="O244" s="21">
        <v>1.0783400000000001</v>
      </c>
      <c r="P244" s="21">
        <v>11.1503</v>
      </c>
      <c r="Q244" s="21">
        <v>-6.6375699999999998E-3</v>
      </c>
      <c r="R244" s="21">
        <v>234</v>
      </c>
      <c r="S244" s="21">
        <v>1.0772699999999999</v>
      </c>
      <c r="T244">
        <f t="shared" si="38"/>
        <v>8.1945308641975299</v>
      </c>
      <c r="U244">
        <f t="shared" si="39"/>
        <v>8.8364904120987653</v>
      </c>
      <c r="X244" s="9"/>
      <c r="Y244" s="21">
        <v>0.56167599999999995</v>
      </c>
      <c r="Z244" s="21">
        <v>16.5871</v>
      </c>
      <c r="AA244" s="21">
        <v>-8.1878699999999999E-3</v>
      </c>
      <c r="AB244" s="21">
        <v>234</v>
      </c>
      <c r="AC244" s="21">
        <v>0.56112700000000004</v>
      </c>
      <c r="AD244">
        <f t="shared" si="40"/>
        <v>10.10848148148148</v>
      </c>
      <c r="AE244">
        <f t="shared" si="41"/>
        <v>5.6776914445925915</v>
      </c>
      <c r="AF244" s="9"/>
      <c r="AG244" s="21">
        <v>1.0783400000000001</v>
      </c>
      <c r="AH244" s="21">
        <v>20.285499999999999</v>
      </c>
      <c r="AI244" s="21">
        <v>-6.5979000000000003E-3</v>
      </c>
      <c r="AJ244" s="21">
        <v>234</v>
      </c>
      <c r="AK244" s="21">
        <v>1.07666</v>
      </c>
      <c r="AL244">
        <f t="shared" si="42"/>
        <v>8.1455555555555552</v>
      </c>
      <c r="AM244">
        <f t="shared" si="43"/>
        <v>8.7836783777777772</v>
      </c>
      <c r="AP244" s="9"/>
      <c r="AQ244" s="21">
        <v>0.56167599999999995</v>
      </c>
      <c r="AR244" s="21">
        <v>25.6493</v>
      </c>
      <c r="AS244" s="21">
        <v>-8.2061800000000004E-3</v>
      </c>
      <c r="AT244" s="21">
        <v>234</v>
      </c>
      <c r="AU244" s="21">
        <v>0.56106599999999995</v>
      </c>
      <c r="AV244">
        <f t="shared" si="44"/>
        <v>10.131086419753085</v>
      </c>
      <c r="AW244">
        <f t="shared" si="45"/>
        <v>5.6903880959012332</v>
      </c>
      <c r="AX244" s="9"/>
      <c r="AY244" s="21">
        <v>1.0783400000000001</v>
      </c>
      <c r="AZ244" s="21">
        <v>29.3477</v>
      </c>
      <c r="BA244" s="21">
        <v>-6.5521199999999998E-3</v>
      </c>
      <c r="BB244" s="21">
        <v>234</v>
      </c>
      <c r="BC244" s="21">
        <v>1.0772699999999999</v>
      </c>
      <c r="BD244">
        <f t="shared" si="46"/>
        <v>8.0890370370370377</v>
      </c>
      <c r="BE244">
        <f t="shared" si="47"/>
        <v>8.7227321985185196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0.55664100000000005</v>
      </c>
      <c r="H245" s="21">
        <v>7.4620100000000003</v>
      </c>
      <c r="I245" s="21">
        <v>-8.2916299999999995E-3</v>
      </c>
      <c r="J245" s="21">
        <v>235</v>
      </c>
      <c r="K245" s="21">
        <v>0.556091</v>
      </c>
      <c r="L245">
        <f t="shared" si="36"/>
        <v>10.236580246913578</v>
      </c>
      <c r="M245">
        <f t="shared" si="37"/>
        <v>5.6981002652222212</v>
      </c>
      <c r="N245" s="9"/>
      <c r="O245" s="21">
        <v>1.0833699999999999</v>
      </c>
      <c r="P245" s="21">
        <v>11.160299999999999</v>
      </c>
      <c r="Q245" s="21">
        <v>-6.6223100000000002E-3</v>
      </c>
      <c r="R245" s="21">
        <v>235</v>
      </c>
      <c r="S245" s="21">
        <v>1.0821499999999999</v>
      </c>
      <c r="T245">
        <f t="shared" si="38"/>
        <v>8.1756913580246895</v>
      </c>
      <c r="U245">
        <f t="shared" si="39"/>
        <v>8.8572987465432078</v>
      </c>
      <c r="X245" s="9"/>
      <c r="Y245" s="21">
        <v>0.55664100000000005</v>
      </c>
      <c r="Z245" s="21">
        <v>16.597200000000001</v>
      </c>
      <c r="AA245" s="21">
        <v>-8.1939700000000001E-3</v>
      </c>
      <c r="AB245" s="21">
        <v>235</v>
      </c>
      <c r="AC245" s="21">
        <v>0.55612200000000001</v>
      </c>
      <c r="AD245">
        <f t="shared" si="40"/>
        <v>10.116012345679012</v>
      </c>
      <c r="AE245">
        <f t="shared" si="41"/>
        <v>5.6309872281111115</v>
      </c>
      <c r="AF245" s="9"/>
      <c r="AG245" s="21">
        <v>1.0833699999999999</v>
      </c>
      <c r="AH245" s="21">
        <v>20.2956</v>
      </c>
      <c r="AI245" s="21">
        <v>-6.5856899999999999E-3</v>
      </c>
      <c r="AJ245" s="21">
        <v>235</v>
      </c>
      <c r="AK245" s="21">
        <v>1.08246</v>
      </c>
      <c r="AL245">
        <f t="shared" si="42"/>
        <v>8.1304814814814819</v>
      </c>
      <c r="AM245">
        <f t="shared" si="43"/>
        <v>8.8083197225925929</v>
      </c>
      <c r="AP245" s="9"/>
      <c r="AQ245" s="21">
        <v>0.55664100000000005</v>
      </c>
      <c r="AR245" s="21">
        <v>25.659400000000002</v>
      </c>
      <c r="AS245" s="21">
        <v>-8.2092299999999997E-3</v>
      </c>
      <c r="AT245" s="21">
        <v>235</v>
      </c>
      <c r="AU245" s="21">
        <v>0.55603000000000002</v>
      </c>
      <c r="AV245">
        <f t="shared" si="44"/>
        <v>10.134851851851851</v>
      </c>
      <c r="AW245">
        <f t="shared" si="45"/>
        <v>5.6414740696666668</v>
      </c>
      <c r="AX245" s="9"/>
      <c r="AY245" s="21">
        <v>1.0833699999999999</v>
      </c>
      <c r="AZ245" s="21">
        <v>29.357800000000001</v>
      </c>
      <c r="BA245" s="21">
        <v>-6.5399200000000003E-3</v>
      </c>
      <c r="BB245" s="21">
        <v>235</v>
      </c>
      <c r="BC245" s="21">
        <v>1.08246</v>
      </c>
      <c r="BD245">
        <f t="shared" si="46"/>
        <v>8.073975308641975</v>
      </c>
      <c r="BE245">
        <f t="shared" si="47"/>
        <v>8.7471026301234556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0.55160500000000001</v>
      </c>
      <c r="H246" s="21">
        <v>7.4720800000000001</v>
      </c>
      <c r="I246" s="21">
        <v>-8.2916299999999995E-3</v>
      </c>
      <c r="J246" s="21">
        <v>236</v>
      </c>
      <c r="K246" s="21">
        <v>0.55111699999999997</v>
      </c>
      <c r="L246">
        <f t="shared" si="36"/>
        <v>10.236580246913578</v>
      </c>
      <c r="M246">
        <f t="shared" si="37"/>
        <v>5.6465488470987637</v>
      </c>
      <c r="N246" s="9"/>
      <c r="O246" s="21">
        <v>1.0884100000000001</v>
      </c>
      <c r="P246" s="21">
        <v>11.170400000000001</v>
      </c>
      <c r="Q246" s="21">
        <v>-6.6131599999999999E-3</v>
      </c>
      <c r="R246" s="21">
        <v>236</v>
      </c>
      <c r="S246" s="21">
        <v>1.08765</v>
      </c>
      <c r="T246">
        <f t="shared" si="38"/>
        <v>8.1643950617283938</v>
      </c>
      <c r="U246">
        <f t="shared" si="39"/>
        <v>8.886209229135801</v>
      </c>
      <c r="X246" s="9"/>
      <c r="Y246" s="21">
        <v>0.55160500000000001</v>
      </c>
      <c r="Z246" s="21">
        <v>16.607299999999999</v>
      </c>
      <c r="AA246" s="21">
        <v>-8.2000700000000003E-3</v>
      </c>
      <c r="AB246" s="21">
        <v>236</v>
      </c>
      <c r="AC246" s="21">
        <v>0.55111699999999997</v>
      </c>
      <c r="AD246">
        <f t="shared" si="40"/>
        <v>10.123543209876544</v>
      </c>
      <c r="AE246">
        <f t="shared" si="41"/>
        <v>5.584197052283951</v>
      </c>
      <c r="AF246" s="9"/>
      <c r="AG246" s="21">
        <v>1.0884100000000001</v>
      </c>
      <c r="AH246" s="21">
        <v>20.305599999999998</v>
      </c>
      <c r="AI246" s="21">
        <v>-6.5795899999999997E-3</v>
      </c>
      <c r="AJ246" s="21">
        <v>236</v>
      </c>
      <c r="AK246" s="21">
        <v>1.08765</v>
      </c>
      <c r="AL246">
        <f t="shared" si="42"/>
        <v>8.1229506172839496</v>
      </c>
      <c r="AM246">
        <f t="shared" si="43"/>
        <v>8.8411006813580251</v>
      </c>
      <c r="AP246" s="9"/>
      <c r="AQ246" s="21">
        <v>0.55160500000000001</v>
      </c>
      <c r="AR246" s="21">
        <v>25.669499999999999</v>
      </c>
      <c r="AS246" s="21">
        <v>-8.2183800000000008E-3</v>
      </c>
      <c r="AT246" s="21">
        <v>236</v>
      </c>
      <c r="AU246" s="21">
        <v>0.55105599999999999</v>
      </c>
      <c r="AV246">
        <f t="shared" si="44"/>
        <v>10.146148148148148</v>
      </c>
      <c r="AW246">
        <f t="shared" si="45"/>
        <v>5.5966660492592597</v>
      </c>
      <c r="AX246" s="9"/>
      <c r="AY246" s="21">
        <v>1.0884100000000001</v>
      </c>
      <c r="AZ246" s="21">
        <v>29.367799999999999</v>
      </c>
      <c r="BA246" s="21">
        <v>-6.53076E-3</v>
      </c>
      <c r="BB246" s="21">
        <v>236</v>
      </c>
      <c r="BC246" s="21">
        <v>1.08734</v>
      </c>
      <c r="BD246">
        <f t="shared" si="46"/>
        <v>8.0626666666666651</v>
      </c>
      <c r="BE246">
        <f t="shared" si="47"/>
        <v>8.7754870266666654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0.54657</v>
      </c>
      <c r="H247" s="21">
        <v>7.4821499999999999</v>
      </c>
      <c r="I247" s="21">
        <v>-8.2977299999999997E-3</v>
      </c>
      <c r="J247" s="21">
        <v>237</v>
      </c>
      <c r="K247" s="21">
        <v>0.54598999999999998</v>
      </c>
      <c r="L247">
        <f t="shared" si="36"/>
        <v>10.24411111111111</v>
      </c>
      <c r="M247">
        <f t="shared" si="37"/>
        <v>5.5991238099999991</v>
      </c>
      <c r="N247" s="9"/>
      <c r="O247" s="21">
        <v>1.09344</v>
      </c>
      <c r="P247" s="21">
        <v>11.1805</v>
      </c>
      <c r="Q247" s="21">
        <v>-6.6009500000000004E-3</v>
      </c>
      <c r="R247" s="21">
        <v>237</v>
      </c>
      <c r="S247" s="21">
        <v>1.09283</v>
      </c>
      <c r="T247">
        <f t="shared" si="38"/>
        <v>8.1493209876543204</v>
      </c>
      <c r="U247">
        <f t="shared" si="39"/>
        <v>8.9107935407407393</v>
      </c>
      <c r="X247" s="9"/>
      <c r="Y247" s="21">
        <v>0.54657</v>
      </c>
      <c r="Z247" s="21">
        <v>16.6174</v>
      </c>
      <c r="AA247" s="21">
        <v>-8.2061800000000004E-3</v>
      </c>
      <c r="AB247" s="21">
        <v>237</v>
      </c>
      <c r="AC247" s="21">
        <v>0.54595899999999997</v>
      </c>
      <c r="AD247">
        <f t="shared" si="40"/>
        <v>10.131086419753085</v>
      </c>
      <c r="AE247">
        <f t="shared" si="41"/>
        <v>5.5373479044444442</v>
      </c>
      <c r="AF247" s="9"/>
      <c r="AG247" s="21">
        <v>1.09344</v>
      </c>
      <c r="AH247" s="21">
        <v>20.3157</v>
      </c>
      <c r="AI247" s="21">
        <v>-6.5643300000000002E-3</v>
      </c>
      <c r="AJ247" s="21">
        <v>237</v>
      </c>
      <c r="AK247" s="21">
        <v>1.09253</v>
      </c>
      <c r="AL247">
        <f t="shared" si="42"/>
        <v>8.104111111111111</v>
      </c>
      <c r="AM247">
        <f t="shared" si="43"/>
        <v>8.8613592533333332</v>
      </c>
      <c r="AP247" s="9"/>
      <c r="AQ247" s="21">
        <v>0.54657</v>
      </c>
      <c r="AR247" s="21">
        <v>25.679500000000001</v>
      </c>
      <c r="AS247" s="21">
        <v>-8.2183800000000008E-3</v>
      </c>
      <c r="AT247" s="21">
        <v>237</v>
      </c>
      <c r="AU247" s="21">
        <v>0.54605099999999995</v>
      </c>
      <c r="AV247">
        <f t="shared" si="44"/>
        <v>10.146148148148148</v>
      </c>
      <c r="AW247">
        <f t="shared" si="45"/>
        <v>5.5455801933333335</v>
      </c>
      <c r="AX247" s="9"/>
      <c r="AY247" s="21">
        <v>1.09344</v>
      </c>
      <c r="AZ247" s="21">
        <v>29.3779</v>
      </c>
      <c r="BA247" s="21">
        <v>-6.5185499999999997E-3</v>
      </c>
      <c r="BB247" s="21">
        <v>237</v>
      </c>
      <c r="BC247" s="21">
        <v>1.09253</v>
      </c>
      <c r="BD247">
        <f t="shared" si="46"/>
        <v>8.0475925925925917</v>
      </c>
      <c r="BE247">
        <f t="shared" si="47"/>
        <v>8.7995596444444431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0.54153399999999996</v>
      </c>
      <c r="H248" s="21">
        <v>7.4922199999999997</v>
      </c>
      <c r="I248" s="21">
        <v>-8.3068800000000009E-3</v>
      </c>
      <c r="J248" s="21">
        <v>238</v>
      </c>
      <c r="K248" s="21">
        <v>0.54095499999999996</v>
      </c>
      <c r="L248">
        <f t="shared" si="36"/>
        <v>10.255407407407407</v>
      </c>
      <c r="M248">
        <f t="shared" si="37"/>
        <v>5.5536517949629625</v>
      </c>
      <c r="N248" s="9"/>
      <c r="O248" s="21">
        <v>1.0984799999999999</v>
      </c>
      <c r="P248" s="21">
        <v>11.1906</v>
      </c>
      <c r="Q248" s="21">
        <v>-6.5979000000000003E-3</v>
      </c>
      <c r="R248" s="21">
        <v>238</v>
      </c>
      <c r="S248" s="21">
        <v>1.09772</v>
      </c>
      <c r="T248">
        <f t="shared" si="38"/>
        <v>8.1455555555555552</v>
      </c>
      <c r="U248">
        <f t="shared" si="39"/>
        <v>8.9477298666666663</v>
      </c>
      <c r="X248" s="9"/>
      <c r="Y248" s="21">
        <v>0.54153399999999996</v>
      </c>
      <c r="Z248" s="21">
        <v>16.627400000000002</v>
      </c>
      <c r="AA248" s="21">
        <v>-8.2183800000000008E-3</v>
      </c>
      <c r="AB248" s="21">
        <v>238</v>
      </c>
      <c r="AC248" s="21">
        <v>0.54095499999999996</v>
      </c>
      <c r="AD248">
        <f t="shared" si="40"/>
        <v>10.146148148148148</v>
      </c>
      <c r="AE248">
        <f t="shared" si="41"/>
        <v>5.494484191259259</v>
      </c>
      <c r="AF248" s="9"/>
      <c r="AG248" s="21">
        <v>1.0984799999999999</v>
      </c>
      <c r="AH248" s="21">
        <v>20.325800000000001</v>
      </c>
      <c r="AI248" s="21">
        <v>-6.5521199999999998E-3</v>
      </c>
      <c r="AJ248" s="21">
        <v>238</v>
      </c>
      <c r="AK248" s="21">
        <v>1.09772</v>
      </c>
      <c r="AL248">
        <f t="shared" si="42"/>
        <v>8.0890370370370377</v>
      </c>
      <c r="AM248">
        <f t="shared" si="43"/>
        <v>8.8856454044444444</v>
      </c>
      <c r="AP248" s="9"/>
      <c r="AQ248" s="21">
        <v>0.54153399999999996</v>
      </c>
      <c r="AR248" s="21">
        <v>25.689599999999999</v>
      </c>
      <c r="AS248" s="21">
        <v>-8.2366899999999996E-3</v>
      </c>
      <c r="AT248" s="21">
        <v>238</v>
      </c>
      <c r="AU248" s="21">
        <v>0.54095499999999996</v>
      </c>
      <c r="AV248">
        <f t="shared" si="44"/>
        <v>10.168753086419752</v>
      </c>
      <c r="AW248">
        <f t="shared" si="45"/>
        <v>5.5067255339012338</v>
      </c>
      <c r="AX248" s="9"/>
      <c r="AY248" s="21">
        <v>1.0984799999999999</v>
      </c>
      <c r="AZ248" s="21">
        <v>29.388000000000002</v>
      </c>
      <c r="BA248" s="21">
        <v>-6.5124500000000004E-3</v>
      </c>
      <c r="BB248" s="21">
        <v>238</v>
      </c>
      <c r="BC248" s="21">
        <v>1.09802</v>
      </c>
      <c r="BD248">
        <f t="shared" si="46"/>
        <v>8.0400617283950631</v>
      </c>
      <c r="BE248">
        <f t="shared" si="47"/>
        <v>8.8318470074074078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0.53649899999999995</v>
      </c>
      <c r="H249" s="21">
        <v>7.5022900000000003</v>
      </c>
      <c r="I249" s="21">
        <v>-8.3038299999999999E-3</v>
      </c>
      <c r="J249" s="21">
        <v>239</v>
      </c>
      <c r="K249" s="21">
        <v>0.53585799999999995</v>
      </c>
      <c r="L249">
        <f t="shared" si="36"/>
        <v>10.251641975308642</v>
      </c>
      <c r="M249">
        <f t="shared" si="37"/>
        <v>5.4999956681111106</v>
      </c>
      <c r="N249" s="9"/>
      <c r="O249" s="21">
        <v>1.1035200000000001</v>
      </c>
      <c r="P249" s="21">
        <v>11.2006</v>
      </c>
      <c r="Q249" s="21">
        <v>-6.5948500000000002E-3</v>
      </c>
      <c r="R249" s="21">
        <v>239</v>
      </c>
      <c r="S249" s="21">
        <v>1.1026</v>
      </c>
      <c r="T249">
        <f t="shared" si="38"/>
        <v>8.14179012345679</v>
      </c>
      <c r="U249">
        <f t="shared" si="39"/>
        <v>8.9846282370370378</v>
      </c>
      <c r="X249" s="9"/>
      <c r="Y249" s="21">
        <v>0.53649899999999995</v>
      </c>
      <c r="Z249" s="21">
        <v>16.637499999999999</v>
      </c>
      <c r="AA249" s="21">
        <v>-8.2305899999999994E-3</v>
      </c>
      <c r="AB249" s="21">
        <v>239</v>
      </c>
      <c r="AC249" s="21">
        <v>0.53591900000000003</v>
      </c>
      <c r="AD249">
        <f t="shared" si="40"/>
        <v>10.161222222222221</v>
      </c>
      <c r="AE249">
        <f t="shared" si="41"/>
        <v>5.4514855609999993</v>
      </c>
      <c r="AF249" s="9"/>
      <c r="AG249" s="21">
        <v>1.1035200000000001</v>
      </c>
      <c r="AH249" s="21">
        <v>20.335799999999999</v>
      </c>
      <c r="AI249" s="21">
        <v>-6.5399200000000003E-3</v>
      </c>
      <c r="AJ249" s="21">
        <v>239</v>
      </c>
      <c r="AK249" s="21">
        <v>1.1029100000000001</v>
      </c>
      <c r="AL249">
        <f t="shared" si="42"/>
        <v>8.073975308641975</v>
      </c>
      <c r="AM249">
        <f t="shared" si="43"/>
        <v>8.9097932325925928</v>
      </c>
      <c r="AP249" s="9"/>
      <c r="AQ249" s="21">
        <v>0.53649899999999995</v>
      </c>
      <c r="AR249" s="21">
        <v>25.6997</v>
      </c>
      <c r="AS249" s="21">
        <v>-8.2519499999999992E-3</v>
      </c>
      <c r="AT249" s="21">
        <v>239</v>
      </c>
      <c r="AU249" s="21">
        <v>0.53595000000000004</v>
      </c>
      <c r="AV249">
        <f t="shared" si="44"/>
        <v>10.187592592592591</v>
      </c>
      <c r="AW249">
        <f t="shared" si="45"/>
        <v>5.4656332383333321</v>
      </c>
      <c r="AX249" s="9"/>
      <c r="AY249" s="21">
        <v>1.1035200000000001</v>
      </c>
      <c r="AZ249" s="21">
        <v>29.398099999999999</v>
      </c>
      <c r="BA249" s="21">
        <v>-6.50024E-3</v>
      </c>
      <c r="BB249" s="21">
        <v>239</v>
      </c>
      <c r="BC249" s="21">
        <v>1.10229</v>
      </c>
      <c r="BD249">
        <f t="shared" si="46"/>
        <v>8.0249876543209879</v>
      </c>
      <c r="BE249">
        <f t="shared" si="47"/>
        <v>8.8557343762962972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0.53146400000000005</v>
      </c>
      <c r="H250" s="21">
        <v>7.5123600000000001</v>
      </c>
      <c r="I250" s="21">
        <v>-8.3160400000000002E-3</v>
      </c>
      <c r="J250" s="21">
        <v>240</v>
      </c>
      <c r="K250" s="21">
        <v>0.530914</v>
      </c>
      <c r="L250">
        <f t="shared" si="36"/>
        <v>10.266716049382715</v>
      </c>
      <c r="M250">
        <f t="shared" si="37"/>
        <v>5.4563899784691356</v>
      </c>
      <c r="N250" s="9"/>
      <c r="O250" s="21">
        <v>1.1085499999999999</v>
      </c>
      <c r="P250" s="21">
        <v>11.210699999999999</v>
      </c>
      <c r="Q250" s="21">
        <v>-6.58875E-3</v>
      </c>
      <c r="R250" s="21">
        <v>240</v>
      </c>
      <c r="S250" s="21">
        <v>1.1077900000000001</v>
      </c>
      <c r="T250">
        <f t="shared" si="38"/>
        <v>8.1342592592592595</v>
      </c>
      <c r="U250">
        <f t="shared" si="39"/>
        <v>9.0172331018518523</v>
      </c>
      <c r="X250" s="9"/>
      <c r="Y250" s="21">
        <v>0.53146400000000005</v>
      </c>
      <c r="Z250" s="21">
        <v>16.647600000000001</v>
      </c>
      <c r="AA250" s="21">
        <v>-8.2489E-3</v>
      </c>
      <c r="AB250" s="21">
        <v>240</v>
      </c>
      <c r="AC250" s="21">
        <v>0.530914</v>
      </c>
      <c r="AD250">
        <f t="shared" si="40"/>
        <v>10.183827160493825</v>
      </c>
      <c r="AE250">
        <f t="shared" si="41"/>
        <v>5.4123375180246907</v>
      </c>
      <c r="AF250" s="9"/>
      <c r="AG250" s="21">
        <v>1.1085499999999999</v>
      </c>
      <c r="AH250" s="21">
        <v>20.3459</v>
      </c>
      <c r="AI250" s="21">
        <v>-6.5277099999999999E-3</v>
      </c>
      <c r="AJ250" s="21">
        <v>240</v>
      </c>
      <c r="AK250" s="21">
        <v>1.1071800000000001</v>
      </c>
      <c r="AL250">
        <f t="shared" si="42"/>
        <v>8.0589012345678999</v>
      </c>
      <c r="AM250">
        <f t="shared" si="43"/>
        <v>8.9336949635802441</v>
      </c>
      <c r="AP250" s="9"/>
      <c r="AQ250" s="21">
        <v>0.53146400000000005</v>
      </c>
      <c r="AR250" s="21">
        <v>25.709800000000001</v>
      </c>
      <c r="AS250" s="21">
        <v>-8.2580599999999994E-3</v>
      </c>
      <c r="AT250" s="21">
        <v>240</v>
      </c>
      <c r="AU250" s="21">
        <v>0.530945</v>
      </c>
      <c r="AV250">
        <f t="shared" si="44"/>
        <v>10.195135802469133</v>
      </c>
      <c r="AW250">
        <f t="shared" si="45"/>
        <v>5.4183476541234556</v>
      </c>
      <c r="AX250" s="9"/>
      <c r="AY250" s="21">
        <v>1.1085499999999999</v>
      </c>
      <c r="AZ250" s="21">
        <v>29.408100000000001</v>
      </c>
      <c r="BA250" s="21">
        <v>-6.4788800000000002E-3</v>
      </c>
      <c r="BB250" s="21">
        <v>240</v>
      </c>
      <c r="BC250" s="21">
        <v>1.10748</v>
      </c>
      <c r="BD250">
        <f t="shared" si="46"/>
        <v>7.998617283950618</v>
      </c>
      <c r="BE250">
        <f t="shared" si="47"/>
        <v>8.8668671901234575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0.52642800000000001</v>
      </c>
      <c r="H251" s="21">
        <v>7.5224299999999999</v>
      </c>
      <c r="I251" s="21">
        <v>-8.3221400000000004E-3</v>
      </c>
      <c r="J251" s="21">
        <v>241</v>
      </c>
      <c r="K251" s="21">
        <v>0.52584799999999998</v>
      </c>
      <c r="L251">
        <f t="shared" si="36"/>
        <v>10.274246913580248</v>
      </c>
      <c r="M251">
        <f t="shared" si="37"/>
        <v>5.4086512542222227</v>
      </c>
      <c r="N251" s="9"/>
      <c r="O251" s="21">
        <v>1.1135900000000001</v>
      </c>
      <c r="P251" s="21">
        <v>11.220800000000001</v>
      </c>
      <c r="Q251" s="21">
        <v>-6.5765399999999996E-3</v>
      </c>
      <c r="R251" s="21">
        <v>241</v>
      </c>
      <c r="S251" s="21">
        <v>1.11267</v>
      </c>
      <c r="T251">
        <f t="shared" si="38"/>
        <v>8.1191851851851844</v>
      </c>
      <c r="U251">
        <f t="shared" si="39"/>
        <v>9.0414434303703697</v>
      </c>
      <c r="X251" s="9"/>
      <c r="Y251" s="21">
        <v>0.52642800000000001</v>
      </c>
      <c r="Z251" s="21">
        <v>16.657599999999999</v>
      </c>
      <c r="AA251" s="21">
        <v>-8.2580599999999994E-3</v>
      </c>
      <c r="AB251" s="21">
        <v>241</v>
      </c>
      <c r="AC251" s="21">
        <v>0.52584799999999998</v>
      </c>
      <c r="AD251">
        <f t="shared" si="40"/>
        <v>10.195135802469133</v>
      </c>
      <c r="AE251">
        <f t="shared" si="41"/>
        <v>5.3670049502222215</v>
      </c>
      <c r="AF251" s="9"/>
      <c r="AG251" s="21">
        <v>1.1135900000000001</v>
      </c>
      <c r="AH251" s="21">
        <v>20.356000000000002</v>
      </c>
      <c r="AI251" s="21">
        <v>-6.5185499999999997E-3</v>
      </c>
      <c r="AJ251" s="21">
        <v>241</v>
      </c>
      <c r="AK251" s="21">
        <v>1.11267</v>
      </c>
      <c r="AL251">
        <f t="shared" si="42"/>
        <v>8.0475925925925917</v>
      </c>
      <c r="AM251">
        <f t="shared" si="43"/>
        <v>8.9617186351851856</v>
      </c>
      <c r="AP251" s="9"/>
      <c r="AQ251" s="21">
        <v>0.52642800000000001</v>
      </c>
      <c r="AR251" s="21">
        <v>25.719799999999999</v>
      </c>
      <c r="AS251" s="21">
        <v>-8.2611100000000003E-3</v>
      </c>
      <c r="AT251" s="21">
        <v>241</v>
      </c>
      <c r="AU251" s="21">
        <v>0.52584799999999998</v>
      </c>
      <c r="AV251">
        <f t="shared" si="44"/>
        <v>10.198901234567902</v>
      </c>
      <c r="AW251">
        <f t="shared" si="45"/>
        <v>5.3689871791111115</v>
      </c>
      <c r="AX251" s="9"/>
      <c r="AY251" s="21">
        <v>1.1135900000000001</v>
      </c>
      <c r="AZ251" s="21">
        <v>29.418199999999999</v>
      </c>
      <c r="BA251" s="21">
        <v>-6.4666699999999999E-3</v>
      </c>
      <c r="BB251" s="21">
        <v>241</v>
      </c>
      <c r="BC251" s="21">
        <v>1.1129800000000001</v>
      </c>
      <c r="BD251">
        <f t="shared" si="46"/>
        <v>7.983543209876542</v>
      </c>
      <c r="BE251">
        <f t="shared" si="47"/>
        <v>8.8903938830864195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0.521393</v>
      </c>
      <c r="H252" s="21">
        <v>7.5324999999999998</v>
      </c>
      <c r="I252" s="21">
        <v>-8.3129899999999993E-3</v>
      </c>
      <c r="J252" s="21">
        <v>242</v>
      </c>
      <c r="K252" s="21">
        <v>0.52087399999999995</v>
      </c>
      <c r="L252">
        <f t="shared" si="36"/>
        <v>10.26295061728395</v>
      </c>
      <c r="M252">
        <f t="shared" si="37"/>
        <v>5.3510306111975305</v>
      </c>
      <c r="N252" s="9"/>
      <c r="O252" s="21">
        <v>1.1186199999999999</v>
      </c>
      <c r="P252" s="21">
        <v>11.2308</v>
      </c>
      <c r="Q252" s="21">
        <v>-6.5643300000000002E-3</v>
      </c>
      <c r="R252" s="21">
        <v>242</v>
      </c>
      <c r="S252" s="21">
        <v>1.1172500000000001</v>
      </c>
      <c r="T252">
        <f t="shared" si="38"/>
        <v>8.104111111111111</v>
      </c>
      <c r="U252">
        <f t="shared" si="39"/>
        <v>9.0654207711111106</v>
      </c>
      <c r="X252" s="9"/>
      <c r="Y252" s="21">
        <v>0.521393</v>
      </c>
      <c r="Z252" s="21">
        <v>16.6677</v>
      </c>
      <c r="AA252" s="21">
        <v>-8.2672100000000005E-3</v>
      </c>
      <c r="AB252" s="21">
        <v>242</v>
      </c>
      <c r="AC252" s="21">
        <v>0.52084399999999997</v>
      </c>
      <c r="AD252">
        <f t="shared" si="40"/>
        <v>10.206432098765431</v>
      </c>
      <c r="AE252">
        <f t="shared" si="41"/>
        <v>5.3215622512716045</v>
      </c>
      <c r="AF252" s="9"/>
      <c r="AG252" s="21">
        <v>1.1186199999999999</v>
      </c>
      <c r="AH252" s="21">
        <v>20.366099999999999</v>
      </c>
      <c r="AI252" s="21">
        <v>-6.5094000000000003E-3</v>
      </c>
      <c r="AJ252" s="21">
        <v>242</v>
      </c>
      <c r="AK252" s="21">
        <v>1.11755</v>
      </c>
      <c r="AL252">
        <f t="shared" si="42"/>
        <v>8.036296296296296</v>
      </c>
      <c r="AM252">
        <f t="shared" si="43"/>
        <v>8.9895617629629623</v>
      </c>
      <c r="AP252" s="9"/>
      <c r="AQ252" s="21">
        <v>0.521393</v>
      </c>
      <c r="AR252" s="21">
        <v>25.729900000000001</v>
      </c>
      <c r="AS252" s="21">
        <v>-8.2611100000000003E-3</v>
      </c>
      <c r="AT252" s="21">
        <v>242</v>
      </c>
      <c r="AU252" s="21">
        <v>0.52087399999999995</v>
      </c>
      <c r="AV252">
        <f t="shared" si="44"/>
        <v>10.198901234567902</v>
      </c>
      <c r="AW252">
        <f t="shared" si="45"/>
        <v>5.3176357113950621</v>
      </c>
      <c r="AX252" s="9"/>
      <c r="AY252" s="21">
        <v>1.1186199999999999</v>
      </c>
      <c r="AZ252" s="21">
        <v>29.4283</v>
      </c>
      <c r="BA252" s="21">
        <v>-6.4544700000000003E-3</v>
      </c>
      <c r="BB252" s="21">
        <v>242</v>
      </c>
      <c r="BC252" s="21">
        <v>1.1178600000000001</v>
      </c>
      <c r="BD252">
        <f t="shared" si="46"/>
        <v>7.9684814814814811</v>
      </c>
      <c r="BE252">
        <f t="shared" si="47"/>
        <v>8.913702754814814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0.51635699999999995</v>
      </c>
      <c r="H253" s="21">
        <v>7.5425700000000004</v>
      </c>
      <c r="I253" s="21">
        <v>-8.3068800000000009E-3</v>
      </c>
      <c r="J253" s="21">
        <v>243</v>
      </c>
      <c r="K253" s="21">
        <v>0.51577799999999996</v>
      </c>
      <c r="L253">
        <f t="shared" si="36"/>
        <v>10.255407407407407</v>
      </c>
      <c r="M253">
        <f t="shared" si="37"/>
        <v>5.2954514026666661</v>
      </c>
      <c r="N253" s="9"/>
      <c r="O253" s="21">
        <v>1.1236600000000001</v>
      </c>
      <c r="P253" s="21">
        <v>11.2409</v>
      </c>
      <c r="Q253" s="21">
        <v>-6.5460199999999996E-3</v>
      </c>
      <c r="R253" s="21">
        <v>243</v>
      </c>
      <c r="S253" s="21">
        <v>1.1227400000000001</v>
      </c>
      <c r="T253">
        <f t="shared" si="38"/>
        <v>8.0815061728395055</v>
      </c>
      <c r="U253">
        <f t="shared" si="39"/>
        <v>9.0808652261728398</v>
      </c>
      <c r="X253" s="9"/>
      <c r="Y253" s="21">
        <v>0.51635699999999995</v>
      </c>
      <c r="Z253" s="21">
        <v>16.677800000000001</v>
      </c>
      <c r="AA253" s="21">
        <v>-8.2763699999999999E-3</v>
      </c>
      <c r="AB253" s="21">
        <v>243</v>
      </c>
      <c r="AC253" s="21">
        <v>0.51580800000000004</v>
      </c>
      <c r="AD253">
        <f t="shared" si="40"/>
        <v>10.217740740740741</v>
      </c>
      <c r="AE253">
        <f t="shared" si="41"/>
        <v>5.2760019556666666</v>
      </c>
      <c r="AF253" s="9"/>
      <c r="AG253" s="21">
        <v>1.1236600000000001</v>
      </c>
      <c r="AH253" s="21">
        <v>20.376100000000001</v>
      </c>
      <c r="AI253" s="21">
        <v>-6.4971899999999999E-3</v>
      </c>
      <c r="AJ253" s="21">
        <v>243</v>
      </c>
      <c r="AK253" s="21">
        <v>1.1227400000000001</v>
      </c>
      <c r="AL253">
        <f t="shared" si="42"/>
        <v>8.0212222222222209</v>
      </c>
      <c r="AM253">
        <f t="shared" si="43"/>
        <v>9.0131265622222223</v>
      </c>
      <c r="AP253" s="9"/>
      <c r="AQ253" s="21">
        <v>0.51635699999999995</v>
      </c>
      <c r="AR253" s="21">
        <v>25.74</v>
      </c>
      <c r="AS253" s="21">
        <v>-8.2672100000000005E-3</v>
      </c>
      <c r="AT253" s="21">
        <v>243</v>
      </c>
      <c r="AU253" s="21">
        <v>0.51574699999999996</v>
      </c>
      <c r="AV253">
        <f t="shared" si="44"/>
        <v>10.206432098765431</v>
      </c>
      <c r="AW253">
        <f t="shared" si="45"/>
        <v>5.2701626592222208</v>
      </c>
      <c r="AX253" s="9"/>
      <c r="AY253" s="21">
        <v>1.1236600000000001</v>
      </c>
      <c r="AZ253" s="21">
        <v>29.438300000000002</v>
      </c>
      <c r="BA253" s="21">
        <v>-6.4392099999999999E-3</v>
      </c>
      <c r="BB253" s="21">
        <v>243</v>
      </c>
      <c r="BC253" s="21">
        <v>1.1227400000000001</v>
      </c>
      <c r="BD253">
        <f t="shared" si="46"/>
        <v>7.9496419753086416</v>
      </c>
      <c r="BE253">
        <f t="shared" si="47"/>
        <v>8.9326947019753096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0.51132200000000005</v>
      </c>
      <c r="H254" s="21">
        <v>7.5526499999999999</v>
      </c>
      <c r="I254" s="21">
        <v>-8.3129899999999993E-3</v>
      </c>
      <c r="J254" s="21">
        <v>244</v>
      </c>
      <c r="K254" s="21">
        <v>0.51074200000000003</v>
      </c>
      <c r="L254">
        <f t="shared" si="36"/>
        <v>10.26295061728395</v>
      </c>
      <c r="M254">
        <f t="shared" si="37"/>
        <v>5.2476724355308644</v>
      </c>
      <c r="N254" s="9"/>
      <c r="O254" s="21">
        <v>1.12869</v>
      </c>
      <c r="P254" s="21">
        <v>11.250999999999999</v>
      </c>
      <c r="Q254" s="21">
        <v>-6.5368700000000002E-3</v>
      </c>
      <c r="R254" s="21">
        <v>244</v>
      </c>
      <c r="S254" s="21">
        <v>1.1270100000000001</v>
      </c>
      <c r="T254">
        <f t="shared" si="38"/>
        <v>8.0702098765432098</v>
      </c>
      <c r="U254">
        <f t="shared" si="39"/>
        <v>9.1087651855555549</v>
      </c>
      <c r="X254" s="9"/>
      <c r="Y254" s="21">
        <v>0.51132200000000005</v>
      </c>
      <c r="Z254" s="21">
        <v>16.687899999999999</v>
      </c>
      <c r="AA254" s="21">
        <v>-8.2763699999999999E-3</v>
      </c>
      <c r="AB254" s="21">
        <v>244</v>
      </c>
      <c r="AC254" s="21">
        <v>0.51080300000000001</v>
      </c>
      <c r="AD254">
        <f t="shared" si="40"/>
        <v>10.217740740740741</v>
      </c>
      <c r="AE254">
        <f t="shared" si="41"/>
        <v>5.2245556310370374</v>
      </c>
      <c r="AF254" s="9"/>
      <c r="AG254" s="21">
        <v>1.12869</v>
      </c>
      <c r="AH254" s="21">
        <v>20.386199999999999</v>
      </c>
      <c r="AI254" s="21">
        <v>-6.4788800000000002E-3</v>
      </c>
      <c r="AJ254" s="21">
        <v>244</v>
      </c>
      <c r="AK254" s="21">
        <v>1.1279300000000001</v>
      </c>
      <c r="AL254">
        <f t="shared" si="42"/>
        <v>7.998617283950618</v>
      </c>
      <c r="AM254">
        <f t="shared" si="43"/>
        <v>9.0279593422222231</v>
      </c>
      <c r="AP254" s="9"/>
      <c r="AQ254" s="21">
        <v>0.51132200000000005</v>
      </c>
      <c r="AR254" s="21">
        <v>25.75</v>
      </c>
      <c r="AS254" s="21">
        <v>-8.2763699999999999E-3</v>
      </c>
      <c r="AT254" s="21">
        <v>244</v>
      </c>
      <c r="AU254" s="21">
        <v>0.51071200000000005</v>
      </c>
      <c r="AV254">
        <f t="shared" si="44"/>
        <v>10.217740740740741</v>
      </c>
      <c r="AW254">
        <f t="shared" si="45"/>
        <v>5.2245556310370374</v>
      </c>
      <c r="AX254" s="9"/>
      <c r="AY254" s="21">
        <v>1.12869</v>
      </c>
      <c r="AZ254" s="21">
        <v>29.448399999999999</v>
      </c>
      <c r="BA254" s="21">
        <v>-6.4270000000000004E-3</v>
      </c>
      <c r="BB254" s="21">
        <v>244</v>
      </c>
      <c r="BC254" s="21">
        <v>1.1276200000000001</v>
      </c>
      <c r="BD254">
        <f t="shared" si="46"/>
        <v>7.9345679012345682</v>
      </c>
      <c r="BE254">
        <f t="shared" si="47"/>
        <v>8.955667444444444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0.50628700000000004</v>
      </c>
      <c r="H255" s="21">
        <v>7.5627199999999997</v>
      </c>
      <c r="I255" s="21">
        <v>-8.3221400000000004E-3</v>
      </c>
      <c r="J255" s="21">
        <v>245</v>
      </c>
      <c r="K255" s="21">
        <v>0.50573699999999999</v>
      </c>
      <c r="L255">
        <f t="shared" si="36"/>
        <v>10.274246913580248</v>
      </c>
      <c r="M255">
        <f t="shared" si="37"/>
        <v>5.2017176471358031</v>
      </c>
      <c r="N255" s="9"/>
      <c r="O255" s="21">
        <v>1.1337299999999999</v>
      </c>
      <c r="P255" s="21">
        <v>11.261100000000001</v>
      </c>
      <c r="Q255" s="21">
        <v>-6.53076E-3</v>
      </c>
      <c r="R255" s="21">
        <v>245</v>
      </c>
      <c r="S255" s="21">
        <v>1.1328100000000001</v>
      </c>
      <c r="T255">
        <f t="shared" si="38"/>
        <v>8.0626666666666651</v>
      </c>
      <c r="U255">
        <f t="shared" si="39"/>
        <v>9.1408870799999971</v>
      </c>
      <c r="X255" s="9"/>
      <c r="Y255" s="21">
        <v>0.50628700000000004</v>
      </c>
      <c r="Z255" s="21">
        <v>16.697900000000001</v>
      </c>
      <c r="AA255" s="21">
        <v>-8.2824700000000001E-3</v>
      </c>
      <c r="AB255" s="21">
        <v>245</v>
      </c>
      <c r="AC255" s="21">
        <v>0.50573699999999999</v>
      </c>
      <c r="AD255">
        <f t="shared" si="40"/>
        <v>10.225271604938271</v>
      </c>
      <c r="AE255">
        <f t="shared" si="41"/>
        <v>5.1769220850493829</v>
      </c>
      <c r="AF255" s="9"/>
      <c r="AG255" s="21">
        <v>1.1337299999999999</v>
      </c>
      <c r="AH255" s="21">
        <v>20.3963</v>
      </c>
      <c r="AI255" s="21">
        <v>-6.4605699999999997E-3</v>
      </c>
      <c r="AJ255" s="21">
        <v>245</v>
      </c>
      <c r="AK255" s="21">
        <v>1.1331199999999999</v>
      </c>
      <c r="AL255">
        <f t="shared" si="42"/>
        <v>7.9760123456790106</v>
      </c>
      <c r="AM255">
        <f t="shared" si="43"/>
        <v>9.0426444766666645</v>
      </c>
      <c r="AP255" s="9"/>
      <c r="AQ255" s="21">
        <v>0.50628700000000004</v>
      </c>
      <c r="AR255" s="21">
        <v>25.760100000000001</v>
      </c>
      <c r="AS255" s="21">
        <v>-8.2794199999999991E-3</v>
      </c>
      <c r="AT255" s="21">
        <v>245</v>
      </c>
      <c r="AU255" s="21">
        <v>0.505768</v>
      </c>
      <c r="AV255">
        <f t="shared" si="44"/>
        <v>10.221506172839504</v>
      </c>
      <c r="AW255">
        <f t="shared" si="45"/>
        <v>5.1750156957283941</v>
      </c>
      <c r="AX255" s="9"/>
      <c r="AY255" s="21">
        <v>1.1337299999999999</v>
      </c>
      <c r="AZ255" s="21">
        <v>29.458500000000001</v>
      </c>
      <c r="BA255" s="21">
        <v>-6.4209000000000002E-3</v>
      </c>
      <c r="BB255" s="21">
        <v>245</v>
      </c>
      <c r="BC255" s="21">
        <v>1.1325099999999999</v>
      </c>
      <c r="BD255">
        <f t="shared" si="46"/>
        <v>7.927037037037036</v>
      </c>
      <c r="BE255">
        <f t="shared" si="47"/>
        <v>8.9871196999999974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0.501251</v>
      </c>
      <c r="H256" s="21">
        <v>7.5727900000000004</v>
      </c>
      <c r="I256" s="21">
        <v>-8.3343500000000008E-3</v>
      </c>
      <c r="J256" s="21">
        <v>246</v>
      </c>
      <c r="K256" s="21">
        <v>0.50070199999999998</v>
      </c>
      <c r="L256">
        <f t="shared" si="36"/>
        <v>10.289320987654321</v>
      </c>
      <c r="M256">
        <f t="shared" si="37"/>
        <v>5.1575324343827162</v>
      </c>
      <c r="N256" s="9"/>
      <c r="O256" s="21">
        <v>1.13876</v>
      </c>
      <c r="P256" s="21">
        <v>11.271100000000001</v>
      </c>
      <c r="Q256" s="21">
        <v>-6.5216099999999997E-3</v>
      </c>
      <c r="R256" s="21">
        <v>246</v>
      </c>
      <c r="S256" s="21">
        <v>1.1379999999999999</v>
      </c>
      <c r="T256">
        <f t="shared" si="38"/>
        <v>8.0513703703703694</v>
      </c>
      <c r="U256">
        <f t="shared" si="39"/>
        <v>9.1685785229629619</v>
      </c>
      <c r="X256" s="9"/>
      <c r="Y256" s="21">
        <v>0.501251</v>
      </c>
      <c r="Z256" s="21">
        <v>16.707999999999998</v>
      </c>
      <c r="AA256" s="21">
        <v>-8.2885700000000003E-3</v>
      </c>
      <c r="AB256" s="21">
        <v>246</v>
      </c>
      <c r="AC256" s="21">
        <v>0.50076299999999996</v>
      </c>
      <c r="AD256">
        <f t="shared" si="40"/>
        <v>10.232802469135802</v>
      </c>
      <c r="AE256">
        <f t="shared" si="41"/>
        <v>5.1292024704567893</v>
      </c>
      <c r="AF256" s="9"/>
      <c r="AG256" s="21">
        <v>1.13876</v>
      </c>
      <c r="AH256" s="21">
        <v>20.406300000000002</v>
      </c>
      <c r="AI256" s="21">
        <v>-6.4483600000000002E-3</v>
      </c>
      <c r="AJ256" s="21">
        <v>246</v>
      </c>
      <c r="AK256" s="21">
        <v>1.1376999999999999</v>
      </c>
      <c r="AL256">
        <f t="shared" si="42"/>
        <v>7.9609382716049373</v>
      </c>
      <c r="AM256">
        <f t="shared" si="43"/>
        <v>9.0655980661728375</v>
      </c>
      <c r="AP256" s="9"/>
      <c r="AQ256" s="21">
        <v>0.501251</v>
      </c>
      <c r="AR256" s="21">
        <v>25.770199999999999</v>
      </c>
      <c r="AS256" s="21">
        <v>-8.2824700000000001E-3</v>
      </c>
      <c r="AT256" s="21">
        <v>246</v>
      </c>
      <c r="AU256" s="21">
        <v>0.50070199999999998</v>
      </c>
      <c r="AV256">
        <f t="shared" si="44"/>
        <v>10.225271604938271</v>
      </c>
      <c r="AW256">
        <f t="shared" si="45"/>
        <v>5.1254276172469133</v>
      </c>
      <c r="AX256" s="9"/>
      <c r="AY256" s="21">
        <v>1.13876</v>
      </c>
      <c r="AZ256" s="21">
        <v>29.468599999999999</v>
      </c>
      <c r="BA256" s="21">
        <v>-6.4086899999999999E-3</v>
      </c>
      <c r="BB256" s="21">
        <v>246</v>
      </c>
      <c r="BC256" s="21">
        <v>1.1379999999999999</v>
      </c>
      <c r="BD256">
        <f t="shared" si="46"/>
        <v>7.9119629629629626</v>
      </c>
      <c r="BE256">
        <f t="shared" si="47"/>
        <v>9.009826943703704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0.49621599999999999</v>
      </c>
      <c r="H257" s="21">
        <v>7.5828600000000002</v>
      </c>
      <c r="I257" s="21">
        <v>-8.3435100000000002E-3</v>
      </c>
      <c r="J257" s="21">
        <v>247</v>
      </c>
      <c r="K257" s="21">
        <v>0.495728</v>
      </c>
      <c r="L257">
        <f t="shared" si="36"/>
        <v>10.300629629629629</v>
      </c>
      <c r="M257">
        <f t="shared" si="37"/>
        <v>5.1113372322962958</v>
      </c>
      <c r="N257" s="9"/>
      <c r="O257" s="21">
        <v>1.1437999999999999</v>
      </c>
      <c r="P257" s="21">
        <v>11.2812</v>
      </c>
      <c r="Q257" s="21">
        <v>-6.5124500000000004E-3</v>
      </c>
      <c r="R257" s="21">
        <v>247</v>
      </c>
      <c r="S257" s="21">
        <v>1.1425799999999999</v>
      </c>
      <c r="T257">
        <f t="shared" si="38"/>
        <v>8.0400617283950631</v>
      </c>
      <c r="U257">
        <f t="shared" si="39"/>
        <v>9.1962226049382725</v>
      </c>
      <c r="X257" s="9"/>
      <c r="Y257" s="21">
        <v>0.49621599999999999</v>
      </c>
      <c r="Z257" s="21">
        <v>16.7181</v>
      </c>
      <c r="AA257" s="21">
        <v>-8.3007800000000007E-3</v>
      </c>
      <c r="AB257" s="21">
        <v>247</v>
      </c>
      <c r="AC257" s="21">
        <v>0.49563600000000002</v>
      </c>
      <c r="AD257">
        <f t="shared" si="40"/>
        <v>10.247876543209875</v>
      </c>
      <c r="AE257">
        <f t="shared" si="41"/>
        <v>5.085160306765431</v>
      </c>
      <c r="AF257" s="9"/>
      <c r="AG257" s="21">
        <v>1.1437999999999999</v>
      </c>
      <c r="AH257" s="21">
        <v>20.416399999999999</v>
      </c>
      <c r="AI257" s="21">
        <v>-6.4361599999999998E-3</v>
      </c>
      <c r="AJ257" s="21">
        <v>247</v>
      </c>
      <c r="AK257" s="21">
        <v>1.1428799999999999</v>
      </c>
      <c r="AL257">
        <f t="shared" si="42"/>
        <v>7.9458765432098755</v>
      </c>
      <c r="AM257">
        <f t="shared" si="43"/>
        <v>9.0884935901234556</v>
      </c>
      <c r="AP257" s="9"/>
      <c r="AQ257" s="21">
        <v>0.49621599999999999</v>
      </c>
      <c r="AR257" s="21">
        <v>25.7803</v>
      </c>
      <c r="AS257" s="21">
        <v>-8.2885700000000003E-3</v>
      </c>
      <c r="AT257" s="21">
        <v>247</v>
      </c>
      <c r="AU257" s="21">
        <v>0.49563600000000002</v>
      </c>
      <c r="AV257">
        <f t="shared" si="44"/>
        <v>10.232802469135802</v>
      </c>
      <c r="AW257">
        <f t="shared" si="45"/>
        <v>5.0776803100246912</v>
      </c>
      <c r="AX257" s="9"/>
      <c r="AY257" s="21">
        <v>1.1437999999999999</v>
      </c>
      <c r="AZ257" s="21">
        <v>29.4786</v>
      </c>
      <c r="BA257" s="21">
        <v>-6.4056399999999998E-3</v>
      </c>
      <c r="BB257" s="21">
        <v>247</v>
      </c>
      <c r="BC257" s="21">
        <v>1.1428799999999999</v>
      </c>
      <c r="BD257">
        <f t="shared" si="46"/>
        <v>7.9081975308641965</v>
      </c>
      <c r="BE257">
        <f t="shared" si="47"/>
        <v>9.0453963358024669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0.49118000000000001</v>
      </c>
      <c r="H258" s="21">
        <v>7.59293</v>
      </c>
      <c r="I258" s="21">
        <v>-8.3526599999999996E-3</v>
      </c>
      <c r="J258" s="21">
        <v>248</v>
      </c>
      <c r="K258" s="21">
        <v>0.49063099999999998</v>
      </c>
      <c r="L258">
        <f t="shared" si="36"/>
        <v>10.311925925925925</v>
      </c>
      <c r="M258">
        <f t="shared" si="37"/>
        <v>5.0650117762962958</v>
      </c>
      <c r="N258" s="9"/>
      <c r="O258" s="21">
        <v>1.14883</v>
      </c>
      <c r="P258" s="21">
        <v>11.2913</v>
      </c>
      <c r="Q258" s="21">
        <v>-6.5033000000000001E-3</v>
      </c>
      <c r="R258" s="21">
        <v>248</v>
      </c>
      <c r="S258" s="21">
        <v>1.1480699999999999</v>
      </c>
      <c r="T258">
        <f t="shared" si="38"/>
        <v>8.0287654320987656</v>
      </c>
      <c r="U258">
        <f t="shared" si="39"/>
        <v>9.2236865913580246</v>
      </c>
      <c r="X258" s="9"/>
      <c r="Y258" s="21">
        <v>0.49118000000000001</v>
      </c>
      <c r="Z258" s="21">
        <v>16.728100000000001</v>
      </c>
      <c r="AA258" s="21">
        <v>-8.30994E-3</v>
      </c>
      <c r="AB258" s="21">
        <v>248</v>
      </c>
      <c r="AC258" s="21">
        <v>0.49066199999999999</v>
      </c>
      <c r="AD258">
        <f t="shared" si="40"/>
        <v>10.259185185185183</v>
      </c>
      <c r="AE258">
        <f t="shared" si="41"/>
        <v>5.0391065792592586</v>
      </c>
      <c r="AF258" s="9"/>
      <c r="AG258" s="21">
        <v>1.14883</v>
      </c>
      <c r="AH258" s="21">
        <v>20.426500000000001</v>
      </c>
      <c r="AI258" s="21">
        <v>-6.4178500000000001E-3</v>
      </c>
      <c r="AJ258" s="21">
        <v>248</v>
      </c>
      <c r="AK258" s="21">
        <v>1.14838</v>
      </c>
      <c r="AL258">
        <f t="shared" si="42"/>
        <v>7.9232716049382708</v>
      </c>
      <c r="AM258">
        <f t="shared" si="43"/>
        <v>9.1024921179012335</v>
      </c>
      <c r="AP258" s="9"/>
      <c r="AQ258" s="21">
        <v>0.49118000000000001</v>
      </c>
      <c r="AR258" s="21">
        <v>25.790299999999998</v>
      </c>
      <c r="AS258" s="21">
        <v>-8.2946800000000005E-3</v>
      </c>
      <c r="AT258" s="21">
        <v>248</v>
      </c>
      <c r="AU258" s="21">
        <v>0.49060100000000001</v>
      </c>
      <c r="AV258">
        <f t="shared" si="44"/>
        <v>10.240345679012346</v>
      </c>
      <c r="AW258">
        <f t="shared" si="45"/>
        <v>5.0298529906172842</v>
      </c>
      <c r="AX258" s="9"/>
      <c r="AY258" s="21">
        <v>1.14883</v>
      </c>
      <c r="AZ258" s="21">
        <v>29.488700000000001</v>
      </c>
      <c r="BA258" s="21">
        <v>-6.3964800000000004E-3</v>
      </c>
      <c r="BB258" s="21">
        <v>248</v>
      </c>
      <c r="BC258" s="21">
        <v>1.14777</v>
      </c>
      <c r="BD258">
        <f t="shared" si="46"/>
        <v>7.8968888888888893</v>
      </c>
      <c r="BE258">
        <f t="shared" si="47"/>
        <v>9.0721828622222223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0.48614499999999999</v>
      </c>
      <c r="H259" s="21">
        <v>7.6029999999999998</v>
      </c>
      <c r="I259" s="21">
        <v>-8.3587599999999998E-3</v>
      </c>
      <c r="J259" s="21">
        <v>249</v>
      </c>
      <c r="K259" s="21">
        <v>0.485626</v>
      </c>
      <c r="L259">
        <f t="shared" si="36"/>
        <v>10.319456790123455</v>
      </c>
      <c r="M259">
        <f t="shared" si="37"/>
        <v>5.0167523212345673</v>
      </c>
      <c r="N259" s="9"/>
      <c r="O259" s="21">
        <v>1.15387</v>
      </c>
      <c r="P259" s="21">
        <v>11.301299999999999</v>
      </c>
      <c r="Q259" s="21">
        <v>-6.4880399999999996E-3</v>
      </c>
      <c r="R259" s="21">
        <v>249</v>
      </c>
      <c r="S259" s="21">
        <v>1.1529499999999999</v>
      </c>
      <c r="T259">
        <f t="shared" si="38"/>
        <v>8.0099259259259252</v>
      </c>
      <c r="U259">
        <f t="shared" si="39"/>
        <v>9.2424132281481466</v>
      </c>
      <c r="X259" s="9"/>
      <c r="Y259" s="21">
        <v>0.48614499999999999</v>
      </c>
      <c r="Z259" s="21">
        <v>16.738199999999999</v>
      </c>
      <c r="AA259" s="21">
        <v>-8.3190899999999995E-3</v>
      </c>
      <c r="AB259" s="21">
        <v>249</v>
      </c>
      <c r="AC259" s="21">
        <v>0.485626</v>
      </c>
      <c r="AD259">
        <f t="shared" si="40"/>
        <v>10.270481481481479</v>
      </c>
      <c r="AE259">
        <f t="shared" si="41"/>
        <v>4.9929432198148138</v>
      </c>
      <c r="AF259" s="9"/>
      <c r="AG259" s="21">
        <v>1.15387</v>
      </c>
      <c r="AH259" s="21">
        <v>20.436599999999999</v>
      </c>
      <c r="AI259" s="21">
        <v>-6.3995399999999996E-3</v>
      </c>
      <c r="AJ259" s="21">
        <v>249</v>
      </c>
      <c r="AK259" s="21">
        <v>1.15265</v>
      </c>
      <c r="AL259">
        <f t="shared" si="42"/>
        <v>7.9006666666666652</v>
      </c>
      <c r="AM259">
        <f t="shared" si="43"/>
        <v>9.1163422466666653</v>
      </c>
      <c r="AP259" s="9"/>
      <c r="AQ259" s="21">
        <v>0.48614499999999999</v>
      </c>
      <c r="AR259" s="21">
        <v>25.8004</v>
      </c>
      <c r="AS259" s="21">
        <v>-8.3038299999999999E-3</v>
      </c>
      <c r="AT259" s="21">
        <v>249</v>
      </c>
      <c r="AU259" s="21">
        <v>0.48568699999999998</v>
      </c>
      <c r="AV259">
        <f t="shared" si="44"/>
        <v>10.251641975308642</v>
      </c>
      <c r="AW259">
        <f t="shared" si="45"/>
        <v>4.9837844880864202</v>
      </c>
      <c r="AX259" s="9"/>
      <c r="AY259" s="21">
        <v>1.15387</v>
      </c>
      <c r="AZ259" s="21">
        <v>29.498799999999999</v>
      </c>
      <c r="BA259" s="21">
        <v>-6.3873300000000001E-3</v>
      </c>
      <c r="BB259" s="21">
        <v>249</v>
      </c>
      <c r="BC259" s="21">
        <v>1.15326</v>
      </c>
      <c r="BD259">
        <f t="shared" si="46"/>
        <v>7.8855925925925918</v>
      </c>
      <c r="BE259">
        <f t="shared" si="47"/>
        <v>9.0989487248148144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0.48110999999999998</v>
      </c>
      <c r="H260" s="21">
        <v>7.6130699999999996</v>
      </c>
      <c r="I260" s="21">
        <v>-8.3618200000000007E-3</v>
      </c>
      <c r="J260" s="21">
        <v>250</v>
      </c>
      <c r="K260" s="21">
        <v>0.48059099999999999</v>
      </c>
      <c r="L260">
        <f t="shared" si="36"/>
        <v>10.323234567901235</v>
      </c>
      <c r="M260">
        <f t="shared" si="37"/>
        <v>4.966611382962963</v>
      </c>
      <c r="N260" s="9"/>
      <c r="O260" s="21">
        <v>1.1589100000000001</v>
      </c>
      <c r="P260" s="21">
        <v>11.311400000000001</v>
      </c>
      <c r="Q260" s="21">
        <v>-6.4697299999999999E-3</v>
      </c>
      <c r="R260" s="21">
        <v>250</v>
      </c>
      <c r="S260" s="21">
        <v>1.1581399999999999</v>
      </c>
      <c r="T260">
        <f t="shared" si="38"/>
        <v>7.9873209876543205</v>
      </c>
      <c r="U260">
        <f t="shared" si="39"/>
        <v>9.2565861658024691</v>
      </c>
      <c r="X260" s="9"/>
      <c r="Y260" s="21">
        <v>0.48110999999999998</v>
      </c>
      <c r="Z260" s="21">
        <v>16.7483</v>
      </c>
      <c r="AA260" s="21">
        <v>-8.3221400000000004E-3</v>
      </c>
      <c r="AB260" s="21">
        <v>250</v>
      </c>
      <c r="AC260" s="21">
        <v>0.48062100000000002</v>
      </c>
      <c r="AD260">
        <f t="shared" si="40"/>
        <v>10.274246913580248</v>
      </c>
      <c r="AE260">
        <f t="shared" si="41"/>
        <v>4.9430429325925926</v>
      </c>
      <c r="AF260" s="9"/>
      <c r="AG260" s="21">
        <v>1.1589100000000001</v>
      </c>
      <c r="AH260" s="21">
        <v>20.4466</v>
      </c>
      <c r="AI260" s="21">
        <v>-6.3873300000000001E-3</v>
      </c>
      <c r="AJ260" s="21">
        <v>250</v>
      </c>
      <c r="AK260" s="21">
        <v>1.1581399999999999</v>
      </c>
      <c r="AL260">
        <f t="shared" si="42"/>
        <v>7.8855925925925918</v>
      </c>
      <c r="AM260">
        <f t="shared" si="43"/>
        <v>9.1386921114814808</v>
      </c>
      <c r="AP260" s="9"/>
      <c r="AQ260" s="21">
        <v>0.48110999999999998</v>
      </c>
      <c r="AR260" s="21">
        <v>25.810500000000001</v>
      </c>
      <c r="AS260" s="21">
        <v>-8.3129899999999993E-3</v>
      </c>
      <c r="AT260" s="21">
        <v>250</v>
      </c>
      <c r="AU260" s="21">
        <v>0.48055999999999999</v>
      </c>
      <c r="AV260">
        <f t="shared" si="44"/>
        <v>10.26295061728395</v>
      </c>
      <c r="AW260">
        <f t="shared" si="45"/>
        <v>4.9376081714814815</v>
      </c>
      <c r="AX260" s="9"/>
      <c r="AY260" s="21">
        <v>1.1589100000000001</v>
      </c>
      <c r="AZ260" s="21">
        <v>29.508800000000001</v>
      </c>
      <c r="BA260" s="21">
        <v>-6.3720699999999996E-3</v>
      </c>
      <c r="BB260" s="21">
        <v>250</v>
      </c>
      <c r="BC260" s="21">
        <v>1.1581399999999999</v>
      </c>
      <c r="BD260">
        <f t="shared" si="46"/>
        <v>7.8667530864197523</v>
      </c>
      <c r="BE260">
        <f t="shared" si="47"/>
        <v>9.1168588193827169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0.476074</v>
      </c>
      <c r="H261" s="21">
        <v>7.6231400000000002</v>
      </c>
      <c r="I261" s="21">
        <v>-8.3648699999999999E-3</v>
      </c>
      <c r="J261" s="21">
        <v>251</v>
      </c>
      <c r="K261" s="21">
        <v>0.47558600000000001</v>
      </c>
      <c r="L261">
        <f t="shared" si="36"/>
        <v>10.327</v>
      </c>
      <c r="M261">
        <f t="shared" si="37"/>
        <v>4.9164161980000003</v>
      </c>
      <c r="N261" s="9"/>
      <c r="O261" s="21">
        <v>1.16394</v>
      </c>
      <c r="P261" s="21">
        <v>11.3215</v>
      </c>
      <c r="Q261" s="21">
        <v>-6.4544700000000003E-3</v>
      </c>
      <c r="R261" s="21">
        <v>251</v>
      </c>
      <c r="S261" s="21">
        <v>1.16272</v>
      </c>
      <c r="T261">
        <f t="shared" si="38"/>
        <v>7.9684814814814811</v>
      </c>
      <c r="U261">
        <f t="shared" si="39"/>
        <v>9.2748343355555551</v>
      </c>
      <c r="X261" s="9"/>
      <c r="Y261" s="21">
        <v>0.476074</v>
      </c>
      <c r="Z261" s="21">
        <v>16.758400000000002</v>
      </c>
      <c r="AA261" s="21">
        <v>-8.3282500000000006E-3</v>
      </c>
      <c r="AB261" s="21">
        <v>251</v>
      </c>
      <c r="AC261" s="21">
        <v>0.47552499999999998</v>
      </c>
      <c r="AD261">
        <f t="shared" si="40"/>
        <v>10.281790123456791</v>
      </c>
      <c r="AE261">
        <f t="shared" si="41"/>
        <v>4.894892951234568</v>
      </c>
      <c r="AF261" s="9"/>
      <c r="AG261" s="21">
        <v>1.16394</v>
      </c>
      <c r="AH261" s="21">
        <v>20.456700000000001</v>
      </c>
      <c r="AI261" s="21">
        <v>-6.3751199999999997E-3</v>
      </c>
      <c r="AJ261" s="21">
        <v>251</v>
      </c>
      <c r="AK261" s="21">
        <v>1.1630199999999999</v>
      </c>
      <c r="AL261">
        <f t="shared" si="42"/>
        <v>7.8705185185185176</v>
      </c>
      <c r="AM261">
        <f t="shared" si="43"/>
        <v>9.1608113244444436</v>
      </c>
      <c r="AP261" s="9"/>
      <c r="AQ261" s="21">
        <v>0.476074</v>
      </c>
      <c r="AR261" s="21">
        <v>25.820499999999999</v>
      </c>
      <c r="AS261" s="21">
        <v>-8.3190899999999995E-3</v>
      </c>
      <c r="AT261" s="21">
        <v>251</v>
      </c>
      <c r="AU261" s="21">
        <v>0.47561599999999998</v>
      </c>
      <c r="AV261">
        <f t="shared" si="44"/>
        <v>10.270481481481479</v>
      </c>
      <c r="AW261">
        <f t="shared" si="45"/>
        <v>4.8895092008148131</v>
      </c>
      <c r="AX261" s="9"/>
      <c r="AY261" s="21">
        <v>1.16394</v>
      </c>
      <c r="AZ261" s="21">
        <v>29.518899999999999</v>
      </c>
      <c r="BA261" s="21">
        <v>-6.35376E-3</v>
      </c>
      <c r="BB261" s="21">
        <v>251</v>
      </c>
      <c r="BC261" s="21">
        <v>1.16333</v>
      </c>
      <c r="BD261">
        <f t="shared" si="46"/>
        <v>7.8441481481481468</v>
      </c>
      <c r="BE261">
        <f t="shared" si="47"/>
        <v>9.1301177955555541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0.47103899999999999</v>
      </c>
      <c r="H262" s="21">
        <v>7.6332100000000001</v>
      </c>
      <c r="I262" s="21">
        <v>-8.3648699999999999E-3</v>
      </c>
      <c r="J262" s="21">
        <v>252</v>
      </c>
      <c r="K262" s="21">
        <v>0.470551</v>
      </c>
      <c r="L262">
        <f t="shared" si="36"/>
        <v>10.327</v>
      </c>
      <c r="M262">
        <f t="shared" si="37"/>
        <v>4.864419753</v>
      </c>
      <c r="N262" s="9"/>
      <c r="O262" s="21">
        <v>1.1689799999999999</v>
      </c>
      <c r="P262" s="21">
        <v>11.3316</v>
      </c>
      <c r="Q262" s="21">
        <v>-6.44226E-3</v>
      </c>
      <c r="R262" s="21">
        <v>252</v>
      </c>
      <c r="S262" s="21">
        <v>1.16821</v>
      </c>
      <c r="T262">
        <f t="shared" si="38"/>
        <v>7.9534074074074077</v>
      </c>
      <c r="U262">
        <f t="shared" si="39"/>
        <v>9.2973741911111105</v>
      </c>
      <c r="X262" s="9"/>
      <c r="Y262" s="21">
        <v>0.47103899999999999</v>
      </c>
      <c r="Z262" s="21">
        <v>16.7684</v>
      </c>
      <c r="AA262" s="21">
        <v>-8.3404499999999993E-3</v>
      </c>
      <c r="AB262" s="21">
        <v>252</v>
      </c>
      <c r="AC262" s="21">
        <v>0.47049000000000002</v>
      </c>
      <c r="AD262">
        <f t="shared" si="40"/>
        <v>10.29685185185185</v>
      </c>
      <c r="AE262">
        <f t="shared" si="41"/>
        <v>4.850218799444443</v>
      </c>
      <c r="AF262" s="9"/>
      <c r="AG262" s="21">
        <v>1.1689799999999999</v>
      </c>
      <c r="AH262" s="21">
        <v>20.466799999999999</v>
      </c>
      <c r="AI262" s="21">
        <v>-6.3690200000000004E-3</v>
      </c>
      <c r="AJ262" s="21">
        <v>252</v>
      </c>
      <c r="AK262" s="21">
        <v>1.1676</v>
      </c>
      <c r="AL262">
        <f t="shared" si="42"/>
        <v>7.862987654320988</v>
      </c>
      <c r="AM262">
        <f t="shared" si="43"/>
        <v>9.191675308148147</v>
      </c>
      <c r="AP262" s="9"/>
      <c r="AQ262" s="21">
        <v>0.47103899999999999</v>
      </c>
      <c r="AR262" s="21">
        <v>25.8306</v>
      </c>
      <c r="AS262" s="21">
        <v>-8.3312999999999998E-3</v>
      </c>
      <c r="AT262" s="21">
        <v>252</v>
      </c>
      <c r="AU262" s="21">
        <v>0.47045900000000002</v>
      </c>
      <c r="AV262">
        <f t="shared" si="44"/>
        <v>10.285555555555554</v>
      </c>
      <c r="AW262">
        <f t="shared" si="45"/>
        <v>4.8448978033333328</v>
      </c>
      <c r="AX262" s="9"/>
      <c r="AY262" s="21">
        <v>1.1689799999999999</v>
      </c>
      <c r="AZ262" s="21">
        <v>29.529</v>
      </c>
      <c r="BA262" s="21">
        <v>-6.3354500000000003E-3</v>
      </c>
      <c r="BB262" s="21">
        <v>252</v>
      </c>
      <c r="BC262" s="21">
        <v>1.16791</v>
      </c>
      <c r="BD262">
        <f t="shared" si="46"/>
        <v>7.8215432098765438</v>
      </c>
      <c r="BE262">
        <f t="shared" si="47"/>
        <v>9.1432275814814812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0.466003</v>
      </c>
      <c r="H263" s="21">
        <v>7.6432799999999999</v>
      </c>
      <c r="I263" s="21">
        <v>-8.3648699999999999E-3</v>
      </c>
      <c r="J263" s="21">
        <v>253</v>
      </c>
      <c r="K263" s="21">
        <v>0.46545399999999998</v>
      </c>
      <c r="L263">
        <f t="shared" si="36"/>
        <v>10.327</v>
      </c>
      <c r="M263">
        <f t="shared" si="37"/>
        <v>4.8124129809999996</v>
      </c>
      <c r="N263" s="9"/>
      <c r="O263" s="21">
        <v>1.17401</v>
      </c>
      <c r="P263" s="21">
        <v>11.3416</v>
      </c>
      <c r="Q263" s="21">
        <v>-6.4270000000000004E-3</v>
      </c>
      <c r="R263" s="21">
        <v>253</v>
      </c>
      <c r="S263" s="21">
        <v>1.17279</v>
      </c>
      <c r="T263">
        <f t="shared" si="38"/>
        <v>7.9345679012345682</v>
      </c>
      <c r="U263">
        <f t="shared" si="39"/>
        <v>9.3152620617283954</v>
      </c>
      <c r="X263" s="9"/>
      <c r="Y263" s="21">
        <v>0.466003</v>
      </c>
      <c r="Z263" s="21">
        <v>16.778500000000001</v>
      </c>
      <c r="AA263" s="21">
        <v>-8.3526599999999996E-3</v>
      </c>
      <c r="AB263" s="21">
        <v>253</v>
      </c>
      <c r="AC263" s="21">
        <v>0.46554600000000002</v>
      </c>
      <c r="AD263">
        <f t="shared" si="40"/>
        <v>10.311925925925925</v>
      </c>
      <c r="AE263">
        <f t="shared" si="41"/>
        <v>4.8053884172592589</v>
      </c>
      <c r="AF263" s="9"/>
      <c r="AG263" s="21">
        <v>1.17401</v>
      </c>
      <c r="AH263" s="21">
        <v>20.476800000000001</v>
      </c>
      <c r="AI263" s="21">
        <v>-6.3598600000000002E-3</v>
      </c>
      <c r="AJ263" s="21">
        <v>253</v>
      </c>
      <c r="AK263" s="21">
        <v>1.1731</v>
      </c>
      <c r="AL263">
        <f t="shared" si="42"/>
        <v>7.851679012345679</v>
      </c>
      <c r="AM263">
        <f t="shared" si="43"/>
        <v>9.2179496772839506</v>
      </c>
      <c r="AP263" s="9"/>
      <c r="AQ263" s="21">
        <v>0.466003</v>
      </c>
      <c r="AR263" s="21">
        <v>25.840699999999998</v>
      </c>
      <c r="AS263" s="21">
        <v>-8.3435100000000002E-3</v>
      </c>
      <c r="AT263" s="21">
        <v>253</v>
      </c>
      <c r="AU263" s="21">
        <v>0.46551500000000001</v>
      </c>
      <c r="AV263">
        <f t="shared" si="44"/>
        <v>10.300629629629629</v>
      </c>
      <c r="AW263">
        <f t="shared" si="45"/>
        <v>4.8001243092962964</v>
      </c>
      <c r="AX263" s="9"/>
      <c r="AY263" s="21">
        <v>1.17401</v>
      </c>
      <c r="AZ263" s="21">
        <v>29.539100000000001</v>
      </c>
      <c r="BA263" s="21">
        <v>-6.3201899999999998E-3</v>
      </c>
      <c r="BB263" s="21">
        <v>253</v>
      </c>
      <c r="BC263" s="21">
        <v>1.17249</v>
      </c>
      <c r="BD263">
        <f t="shared" si="46"/>
        <v>7.8027037037037035</v>
      </c>
      <c r="BE263">
        <f t="shared" si="47"/>
        <v>9.1604521751851848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0.46096799999999999</v>
      </c>
      <c r="H264" s="21">
        <v>7.6533600000000002</v>
      </c>
      <c r="I264" s="21">
        <v>-8.3740199999999994E-3</v>
      </c>
      <c r="J264" s="21">
        <v>254</v>
      </c>
      <c r="K264" s="21">
        <v>0.46041900000000002</v>
      </c>
      <c r="L264">
        <f t="shared" si="36"/>
        <v>10.338296296296296</v>
      </c>
      <c r="M264">
        <f t="shared" si="37"/>
        <v>4.7656237671111104</v>
      </c>
      <c r="N264" s="9"/>
      <c r="O264" s="21">
        <v>1.1790499999999999</v>
      </c>
      <c r="P264" s="21">
        <v>11.351699999999999</v>
      </c>
      <c r="Q264" s="21">
        <v>-6.4209000000000002E-3</v>
      </c>
      <c r="R264" s="21">
        <v>254</v>
      </c>
      <c r="S264" s="21">
        <v>1.17828</v>
      </c>
      <c r="T264">
        <f t="shared" si="38"/>
        <v>7.927037037037036</v>
      </c>
      <c r="U264">
        <f t="shared" si="39"/>
        <v>9.3463730185185163</v>
      </c>
      <c r="X264" s="9"/>
      <c r="Y264" s="21">
        <v>0.46096799999999999</v>
      </c>
      <c r="Z264" s="21">
        <v>16.788599999999999</v>
      </c>
      <c r="AA264" s="21">
        <v>-8.3618200000000007E-3</v>
      </c>
      <c r="AB264" s="21">
        <v>254</v>
      </c>
      <c r="AC264" s="21">
        <v>0.46050999999999997</v>
      </c>
      <c r="AD264">
        <f t="shared" si="40"/>
        <v>10.323234567901235</v>
      </c>
      <c r="AE264">
        <f t="shared" si="41"/>
        <v>4.7586807922962961</v>
      </c>
      <c r="AF264" s="9"/>
      <c r="AG264" s="21">
        <v>1.1790499999999999</v>
      </c>
      <c r="AH264" s="21">
        <v>20.486899999999999</v>
      </c>
      <c r="AI264" s="21">
        <v>-6.3476599999999998E-3</v>
      </c>
      <c r="AJ264" s="21">
        <v>254</v>
      </c>
      <c r="AK264" s="21">
        <v>1.17828</v>
      </c>
      <c r="AL264">
        <f t="shared" si="42"/>
        <v>7.8366172839506172</v>
      </c>
      <c r="AM264">
        <f t="shared" si="43"/>
        <v>9.2397636086419741</v>
      </c>
      <c r="AP264" s="9"/>
      <c r="AQ264" s="21">
        <v>0.46096799999999999</v>
      </c>
      <c r="AR264" s="21">
        <v>25.8508</v>
      </c>
      <c r="AS264" s="21">
        <v>-8.3526599999999996E-3</v>
      </c>
      <c r="AT264" s="21">
        <v>254</v>
      </c>
      <c r="AU264" s="21">
        <v>0.46048</v>
      </c>
      <c r="AV264">
        <f t="shared" si="44"/>
        <v>10.311925925925925</v>
      </c>
      <c r="AW264">
        <f t="shared" si="45"/>
        <v>4.7534678702222219</v>
      </c>
      <c r="AX264" s="9"/>
      <c r="AY264" s="21">
        <v>1.1790499999999999</v>
      </c>
      <c r="AZ264" s="21">
        <v>29.549099999999999</v>
      </c>
      <c r="BA264" s="21">
        <v>-6.3018800000000002E-3</v>
      </c>
      <c r="BB264" s="21">
        <v>254</v>
      </c>
      <c r="BC264" s="21">
        <v>1.17828</v>
      </c>
      <c r="BD264">
        <f t="shared" si="46"/>
        <v>7.7800987654320988</v>
      </c>
      <c r="BE264">
        <f t="shared" si="47"/>
        <v>9.1731254493827148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0.45593299999999998</v>
      </c>
      <c r="H265" s="21">
        <v>7.66343</v>
      </c>
      <c r="I265" s="21">
        <v>-8.3770800000000003E-3</v>
      </c>
      <c r="J265" s="21">
        <v>255</v>
      </c>
      <c r="K265" s="21">
        <v>0.455322</v>
      </c>
      <c r="L265">
        <f t="shared" si="36"/>
        <v>10.342074074074073</v>
      </c>
      <c r="M265">
        <f t="shared" si="37"/>
        <v>4.7152928588148146</v>
      </c>
      <c r="N265" s="9"/>
      <c r="O265" s="21">
        <v>1.18408</v>
      </c>
      <c r="P265" s="21">
        <v>11.361800000000001</v>
      </c>
      <c r="Q265" s="21">
        <v>-6.4025899999999997E-3</v>
      </c>
      <c r="R265" s="21">
        <v>255</v>
      </c>
      <c r="S265" s="21">
        <v>1.18347</v>
      </c>
      <c r="T265">
        <f t="shared" si="38"/>
        <v>7.9044320987654313</v>
      </c>
      <c r="U265">
        <f t="shared" si="39"/>
        <v>9.3594799595061726</v>
      </c>
      <c r="X265" s="9"/>
      <c r="Y265" s="21">
        <v>0.45593299999999998</v>
      </c>
      <c r="Z265" s="21">
        <v>16.7986</v>
      </c>
      <c r="AA265" s="21">
        <v>-8.3679199999999992E-3</v>
      </c>
      <c r="AB265" s="21">
        <v>255</v>
      </c>
      <c r="AC265" s="21">
        <v>0.45541399999999999</v>
      </c>
      <c r="AD265">
        <f t="shared" si="40"/>
        <v>10.330765432098763</v>
      </c>
      <c r="AE265">
        <f t="shared" si="41"/>
        <v>4.7101368757530855</v>
      </c>
      <c r="AF265" s="9"/>
      <c r="AG265" s="21">
        <v>1.18408</v>
      </c>
      <c r="AH265" s="21">
        <v>20.497</v>
      </c>
      <c r="AI265" s="21">
        <v>-6.3385000000000004E-3</v>
      </c>
      <c r="AJ265" s="21">
        <v>255</v>
      </c>
      <c r="AK265" s="21">
        <v>1.1825600000000001</v>
      </c>
      <c r="AL265">
        <f t="shared" si="42"/>
        <v>7.8253086419753091</v>
      </c>
      <c r="AM265">
        <f t="shared" si="43"/>
        <v>9.2657914567901241</v>
      </c>
      <c r="AP265" s="9"/>
      <c r="AQ265" s="21">
        <v>0.45593299999999998</v>
      </c>
      <c r="AR265" s="21">
        <v>25.860800000000001</v>
      </c>
      <c r="AS265" s="21">
        <v>-8.3648699999999999E-3</v>
      </c>
      <c r="AT265" s="21">
        <v>255</v>
      </c>
      <c r="AU265" s="21">
        <v>0.45535300000000001</v>
      </c>
      <c r="AV265">
        <f t="shared" si="44"/>
        <v>10.327</v>
      </c>
      <c r="AW265">
        <f t="shared" si="45"/>
        <v>4.7084200909999998</v>
      </c>
      <c r="AX265" s="9"/>
      <c r="AY265" s="21">
        <v>1.18408</v>
      </c>
      <c r="AZ265" s="21">
        <v>29.559200000000001</v>
      </c>
      <c r="BA265" s="21">
        <v>-6.2866199999999997E-3</v>
      </c>
      <c r="BB265" s="21">
        <v>255</v>
      </c>
      <c r="BC265" s="21">
        <v>1.1831700000000001</v>
      </c>
      <c r="BD265">
        <f t="shared" si="46"/>
        <v>7.7612592592592584</v>
      </c>
      <c r="BE265">
        <f t="shared" si="47"/>
        <v>9.189951863703703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0.45089699999999999</v>
      </c>
      <c r="H266" s="21">
        <v>7.6734999999999998</v>
      </c>
      <c r="I266" s="21">
        <v>-8.3923299999999999E-3</v>
      </c>
      <c r="J266" s="21">
        <v>256</v>
      </c>
      <c r="K266" s="21">
        <v>0.450409</v>
      </c>
      <c r="L266">
        <f t="shared" si="36"/>
        <v>10.360901234567899</v>
      </c>
      <c r="M266">
        <f t="shared" si="37"/>
        <v>4.6716992839629619</v>
      </c>
      <c r="N266" s="9"/>
      <c r="O266" s="21">
        <v>1.18912</v>
      </c>
      <c r="P266" s="21">
        <v>11.3718</v>
      </c>
      <c r="Q266" s="21">
        <v>-6.38428E-3</v>
      </c>
      <c r="R266" s="21">
        <v>256</v>
      </c>
      <c r="S266" s="21">
        <v>1.18835</v>
      </c>
      <c r="T266">
        <f t="shared" si="38"/>
        <v>7.8818271604938257</v>
      </c>
      <c r="U266">
        <f t="shared" si="39"/>
        <v>9.3724383130864179</v>
      </c>
      <c r="X266" s="9"/>
      <c r="Y266" s="21">
        <v>0.45089699999999999</v>
      </c>
      <c r="Z266" s="21">
        <v>16.808700000000002</v>
      </c>
      <c r="AA266" s="21">
        <v>-8.3648699999999999E-3</v>
      </c>
      <c r="AB266" s="21">
        <v>256</v>
      </c>
      <c r="AC266" s="21">
        <v>0.45034800000000003</v>
      </c>
      <c r="AD266">
        <f t="shared" si="40"/>
        <v>10.327</v>
      </c>
      <c r="AE266">
        <f t="shared" si="41"/>
        <v>4.6564133190000003</v>
      </c>
      <c r="AF266" s="9"/>
      <c r="AG266" s="21">
        <v>1.18912</v>
      </c>
      <c r="AH266" s="21">
        <v>20.507100000000001</v>
      </c>
      <c r="AI266" s="21">
        <v>-6.3232399999999999E-3</v>
      </c>
      <c r="AJ266" s="21">
        <v>256</v>
      </c>
      <c r="AK266" s="21">
        <v>1.18835</v>
      </c>
      <c r="AL266">
        <f t="shared" si="42"/>
        <v>7.8064691358024678</v>
      </c>
      <c r="AM266">
        <f t="shared" si="43"/>
        <v>9.2828285787654305</v>
      </c>
      <c r="AP266" s="9"/>
      <c r="AQ266" s="21">
        <v>0.45089699999999999</v>
      </c>
      <c r="AR266" s="21">
        <v>25.870899999999999</v>
      </c>
      <c r="AS266" s="21">
        <v>-8.3679199999999992E-3</v>
      </c>
      <c r="AT266" s="21">
        <v>256</v>
      </c>
      <c r="AU266" s="21">
        <v>0.45043899999999998</v>
      </c>
      <c r="AV266">
        <f t="shared" si="44"/>
        <v>10.330765432098763</v>
      </c>
      <c r="AW266">
        <f t="shared" si="45"/>
        <v>4.6581111410370362</v>
      </c>
      <c r="AX266" s="9"/>
      <c r="AY266" s="21">
        <v>1.18912</v>
      </c>
      <c r="AZ266" s="21">
        <v>29.569299999999998</v>
      </c>
      <c r="BA266" s="21">
        <v>-6.2713600000000001E-3</v>
      </c>
      <c r="BB266" s="21">
        <v>256</v>
      </c>
      <c r="BC266" s="21">
        <v>1.1880500000000001</v>
      </c>
      <c r="BD266">
        <f t="shared" si="46"/>
        <v>7.7424197530864189</v>
      </c>
      <c r="BE266">
        <f t="shared" si="47"/>
        <v>9.2066661767901223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0.44586199999999998</v>
      </c>
      <c r="H267" s="21">
        <v>7.6835699999999996</v>
      </c>
      <c r="I267" s="21">
        <v>-8.3984400000000001E-3</v>
      </c>
      <c r="J267" s="21">
        <v>257</v>
      </c>
      <c r="K267" s="21">
        <v>0.44534299999999999</v>
      </c>
      <c r="L267">
        <f t="shared" si="36"/>
        <v>10.368444444444444</v>
      </c>
      <c r="M267">
        <f t="shared" si="37"/>
        <v>4.6228953768888887</v>
      </c>
      <c r="N267" s="9"/>
      <c r="O267" s="21">
        <v>1.19415</v>
      </c>
      <c r="P267" s="21">
        <v>11.3819</v>
      </c>
      <c r="Q267" s="21">
        <v>-6.3659700000000003E-3</v>
      </c>
      <c r="R267" s="21">
        <v>257</v>
      </c>
      <c r="S267" s="21">
        <v>1.19293</v>
      </c>
      <c r="T267">
        <f t="shared" si="38"/>
        <v>7.8592222222222219</v>
      </c>
      <c r="U267">
        <f t="shared" si="39"/>
        <v>9.3850902166666668</v>
      </c>
      <c r="X267" s="9"/>
      <c r="Y267" s="21">
        <v>0.44586199999999998</v>
      </c>
      <c r="Z267" s="21">
        <v>16.8188</v>
      </c>
      <c r="AA267" s="21">
        <v>-8.3679199999999992E-3</v>
      </c>
      <c r="AB267" s="21">
        <v>257</v>
      </c>
      <c r="AC267" s="21">
        <v>0.44534299999999999</v>
      </c>
      <c r="AD267">
        <f t="shared" si="40"/>
        <v>10.330765432098763</v>
      </c>
      <c r="AE267">
        <f t="shared" si="41"/>
        <v>4.6060957370864184</v>
      </c>
      <c r="AF267" s="9"/>
      <c r="AG267" s="21">
        <v>1.19415</v>
      </c>
      <c r="AH267" s="21">
        <v>20.517099999999999</v>
      </c>
      <c r="AI267" s="21">
        <v>-6.3079800000000004E-3</v>
      </c>
      <c r="AJ267" s="21">
        <v>257</v>
      </c>
      <c r="AK267" s="21">
        <v>1.19293</v>
      </c>
      <c r="AL267">
        <f t="shared" si="42"/>
        <v>7.7876296296296292</v>
      </c>
      <c r="AM267">
        <f t="shared" si="43"/>
        <v>9.2995979222222225</v>
      </c>
      <c r="AP267" s="9"/>
      <c r="AQ267" s="21">
        <v>0.44586199999999998</v>
      </c>
      <c r="AR267" s="21">
        <v>25.881</v>
      </c>
      <c r="AS267" s="21">
        <v>-8.3801299999999995E-3</v>
      </c>
      <c r="AT267" s="21">
        <v>257</v>
      </c>
      <c r="AU267" s="21">
        <v>0.44531300000000001</v>
      </c>
      <c r="AV267">
        <f t="shared" si="44"/>
        <v>10.345839506172839</v>
      </c>
      <c r="AW267">
        <f t="shared" si="45"/>
        <v>4.6128166939012338</v>
      </c>
      <c r="AX267" s="9"/>
      <c r="AY267" s="21">
        <v>1.19415</v>
      </c>
      <c r="AZ267" s="21">
        <v>29.5793</v>
      </c>
      <c r="BA267" s="21">
        <v>-6.2500000000000003E-3</v>
      </c>
      <c r="BB267" s="21">
        <v>257</v>
      </c>
      <c r="BC267" s="21">
        <v>1.1932400000000001</v>
      </c>
      <c r="BD267">
        <f t="shared" si="46"/>
        <v>7.716049382716049</v>
      </c>
      <c r="BE267">
        <f t="shared" si="47"/>
        <v>9.2141203703703702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0.440826</v>
      </c>
      <c r="H268" s="21">
        <v>7.6936400000000003</v>
      </c>
      <c r="I268" s="21">
        <v>-8.3984400000000001E-3</v>
      </c>
      <c r="J268" s="21">
        <v>258</v>
      </c>
      <c r="K268" s="21">
        <v>0.44030799999999998</v>
      </c>
      <c r="L268">
        <f t="shared" ref="L268:L331" si="48">-I268/$F$2*1000</f>
        <v>10.368444444444444</v>
      </c>
      <c r="M268">
        <f t="shared" ref="M268:M331" si="49">L268*G268</f>
        <v>4.5706798906666668</v>
      </c>
      <c r="N268" s="9"/>
      <c r="O268" s="21">
        <v>1.19919</v>
      </c>
      <c r="P268" s="21">
        <v>11.391999999999999</v>
      </c>
      <c r="Q268" s="21">
        <v>-6.3507099999999999E-3</v>
      </c>
      <c r="R268" s="21">
        <v>258</v>
      </c>
      <c r="S268" s="21">
        <v>1.1981200000000001</v>
      </c>
      <c r="T268">
        <f t="shared" ref="T268:T331" si="50">-Q268/$F$2*1000</f>
        <v>7.8403827160493833</v>
      </c>
      <c r="U268">
        <f t="shared" ref="U268:U331" si="51">T268*O268</f>
        <v>9.4021085492592604</v>
      </c>
      <c r="X268" s="9"/>
      <c r="Y268" s="21">
        <v>0.440826</v>
      </c>
      <c r="Z268" s="21">
        <v>16.828900000000001</v>
      </c>
      <c r="AA268" s="21">
        <v>-8.3618200000000007E-3</v>
      </c>
      <c r="AB268" s="21">
        <v>258</v>
      </c>
      <c r="AC268" s="21">
        <v>0.44033800000000001</v>
      </c>
      <c r="AD268">
        <f t="shared" ref="AD268:AD331" si="52">-AA268/$F$2*1000</f>
        <v>10.323234567901235</v>
      </c>
      <c r="AE268">
        <f t="shared" ref="AE268:AE331" si="53">AD268*Y268</f>
        <v>4.5507502016296293</v>
      </c>
      <c r="AF268" s="9"/>
      <c r="AG268" s="21">
        <v>1.19919</v>
      </c>
      <c r="AH268" s="21">
        <v>20.527200000000001</v>
      </c>
      <c r="AI268" s="21">
        <v>-6.2927199999999999E-3</v>
      </c>
      <c r="AJ268" s="21">
        <v>258</v>
      </c>
      <c r="AK268" s="21">
        <v>1.1987300000000001</v>
      </c>
      <c r="AL268">
        <f t="shared" ref="AL268:AL331" si="54">-AI268/$F$2*1000</f>
        <v>7.7687901234567889</v>
      </c>
      <c r="AM268">
        <f t="shared" ref="AM268:AM331" si="55">AL268*AG268</f>
        <v>9.3162554281481462</v>
      </c>
      <c r="AP268" s="9"/>
      <c r="AQ268" s="21">
        <v>0.440826</v>
      </c>
      <c r="AR268" s="21">
        <v>25.890999999999998</v>
      </c>
      <c r="AS268" s="21">
        <v>-8.3862299999999997E-3</v>
      </c>
      <c r="AT268" s="21">
        <v>258</v>
      </c>
      <c r="AU268" s="21">
        <v>0.44027699999999997</v>
      </c>
      <c r="AV268">
        <f t="shared" ref="AV268:AV331" si="56">-AS268/$F$2*1000</f>
        <v>10.353370370370369</v>
      </c>
      <c r="AW268">
        <f t="shared" ref="AW268:AW331" si="57">AV268*AQ268</f>
        <v>4.5640348468888883</v>
      </c>
      <c r="AX268" s="9"/>
      <c r="AY268" s="21">
        <v>1.19919</v>
      </c>
      <c r="AZ268" s="21">
        <v>29.589400000000001</v>
      </c>
      <c r="BA268" s="21">
        <v>-6.2347399999999999E-3</v>
      </c>
      <c r="BB268" s="21">
        <v>258</v>
      </c>
      <c r="BC268" s="21">
        <v>1.1981200000000001</v>
      </c>
      <c r="BD268">
        <f t="shared" ref="BD268:BD331" si="58">-BA268/$F$2*1000</f>
        <v>7.6972098765432095</v>
      </c>
      <c r="BE268">
        <f t="shared" ref="BE268:BE331" si="59">BD268*AY268</f>
        <v>9.2304171118518514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0.43579099999999998</v>
      </c>
      <c r="H269" s="21">
        <v>7.7037100000000001</v>
      </c>
      <c r="I269" s="21">
        <v>-8.3923299999999999E-3</v>
      </c>
      <c r="J269" s="21">
        <v>259</v>
      </c>
      <c r="K269" s="21">
        <v>0.43524200000000002</v>
      </c>
      <c r="L269">
        <f t="shared" si="48"/>
        <v>10.360901234567899</v>
      </c>
      <c r="M269">
        <f t="shared" si="49"/>
        <v>4.515187509913579</v>
      </c>
      <c r="N269" s="9"/>
      <c r="O269" s="21">
        <v>1.2042200000000001</v>
      </c>
      <c r="P269" s="21">
        <v>11.401999999999999</v>
      </c>
      <c r="Q269" s="21">
        <v>-6.3354500000000003E-3</v>
      </c>
      <c r="R269" s="21">
        <v>259</v>
      </c>
      <c r="S269" s="21">
        <v>1.2030000000000001</v>
      </c>
      <c r="T269">
        <f t="shared" si="50"/>
        <v>7.8215432098765438</v>
      </c>
      <c r="U269">
        <f t="shared" si="51"/>
        <v>9.4188587641975321</v>
      </c>
      <c r="X269" s="9"/>
      <c r="Y269" s="21">
        <v>0.43579099999999998</v>
      </c>
      <c r="Z269" s="21">
        <v>16.838899999999999</v>
      </c>
      <c r="AA269" s="21">
        <v>-8.3618200000000007E-3</v>
      </c>
      <c r="AB269" s="21">
        <v>259</v>
      </c>
      <c r="AC269" s="21">
        <v>0.43527199999999999</v>
      </c>
      <c r="AD269">
        <f t="shared" si="52"/>
        <v>10.323234567901235</v>
      </c>
      <c r="AE269">
        <f t="shared" si="53"/>
        <v>4.4987727155802464</v>
      </c>
      <c r="AF269" s="9"/>
      <c r="AG269" s="21">
        <v>1.2042200000000001</v>
      </c>
      <c r="AH269" s="21">
        <v>20.537299999999998</v>
      </c>
      <c r="AI269" s="21">
        <v>-6.2774700000000003E-3</v>
      </c>
      <c r="AJ269" s="21">
        <v>259</v>
      </c>
      <c r="AK269" s="21">
        <v>1.2036100000000001</v>
      </c>
      <c r="AL269">
        <f t="shared" si="54"/>
        <v>7.7499629629629627</v>
      </c>
      <c r="AM269">
        <f t="shared" si="55"/>
        <v>9.3326603992592592</v>
      </c>
      <c r="AP269" s="9"/>
      <c r="AQ269" s="21">
        <v>0.43579099999999998</v>
      </c>
      <c r="AR269" s="21">
        <v>25.9011</v>
      </c>
      <c r="AS269" s="21">
        <v>-8.3923299999999999E-3</v>
      </c>
      <c r="AT269" s="21">
        <v>259</v>
      </c>
      <c r="AU269" s="21">
        <v>0.43533300000000003</v>
      </c>
      <c r="AV269">
        <f t="shared" si="56"/>
        <v>10.360901234567899</v>
      </c>
      <c r="AW269">
        <f t="shared" si="57"/>
        <v>4.515187509913579</v>
      </c>
      <c r="AX269" s="9"/>
      <c r="AY269" s="21">
        <v>1.2042200000000001</v>
      </c>
      <c r="AZ269" s="21">
        <v>29.599499999999999</v>
      </c>
      <c r="BA269" s="21">
        <v>-6.2255899999999996E-3</v>
      </c>
      <c r="BB269" s="21">
        <v>259</v>
      </c>
      <c r="BC269" s="21">
        <v>1.2030000000000001</v>
      </c>
      <c r="BD269">
        <f t="shared" si="58"/>
        <v>7.685913580246913</v>
      </c>
      <c r="BE269">
        <f t="shared" si="59"/>
        <v>9.2555308516049379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0.43075600000000003</v>
      </c>
      <c r="H270" s="21">
        <v>7.7137799999999999</v>
      </c>
      <c r="I270" s="21">
        <v>-8.3923299999999999E-3</v>
      </c>
      <c r="J270" s="21">
        <v>260</v>
      </c>
      <c r="K270" s="21">
        <v>0.43026700000000001</v>
      </c>
      <c r="L270">
        <f t="shared" si="48"/>
        <v>10.360901234567899</v>
      </c>
      <c r="M270">
        <f t="shared" si="49"/>
        <v>4.4630203721975308</v>
      </c>
      <c r="N270" s="9"/>
      <c r="O270" s="21">
        <v>1.20926</v>
      </c>
      <c r="P270" s="21">
        <v>11.412100000000001</v>
      </c>
      <c r="Q270" s="21">
        <v>-6.3232399999999999E-3</v>
      </c>
      <c r="R270" s="21">
        <v>260</v>
      </c>
      <c r="S270" s="21">
        <v>1.2088000000000001</v>
      </c>
      <c r="T270">
        <f t="shared" si="50"/>
        <v>7.8064691358024678</v>
      </c>
      <c r="U270">
        <f t="shared" si="51"/>
        <v>9.4400508671604921</v>
      </c>
      <c r="X270" s="9"/>
      <c r="Y270" s="21">
        <v>0.43075600000000003</v>
      </c>
      <c r="Z270" s="21">
        <v>16.849</v>
      </c>
      <c r="AA270" s="21">
        <v>-8.3618200000000007E-3</v>
      </c>
      <c r="AB270" s="21">
        <v>260</v>
      </c>
      <c r="AC270" s="21">
        <v>0.430176</v>
      </c>
      <c r="AD270">
        <f t="shared" si="52"/>
        <v>10.323234567901235</v>
      </c>
      <c r="AE270">
        <f t="shared" si="53"/>
        <v>4.4467952295308644</v>
      </c>
      <c r="AF270" s="9"/>
      <c r="AG270" s="21">
        <v>1.20926</v>
      </c>
      <c r="AH270" s="21">
        <v>20.5473</v>
      </c>
      <c r="AI270" s="21">
        <v>-6.2713600000000001E-3</v>
      </c>
      <c r="AJ270" s="21">
        <v>260</v>
      </c>
      <c r="AK270" s="21">
        <v>1.2081900000000001</v>
      </c>
      <c r="AL270">
        <f t="shared" si="54"/>
        <v>7.7424197530864189</v>
      </c>
      <c r="AM270">
        <f t="shared" si="55"/>
        <v>9.3625985106172838</v>
      </c>
      <c r="AP270" s="9"/>
      <c r="AQ270" s="21">
        <v>0.43075600000000003</v>
      </c>
      <c r="AR270" s="21">
        <v>25.911200000000001</v>
      </c>
      <c r="AS270" s="21">
        <v>-8.3984400000000001E-3</v>
      </c>
      <c r="AT270" s="21">
        <v>260</v>
      </c>
      <c r="AU270" s="21">
        <v>0.43023699999999998</v>
      </c>
      <c r="AV270">
        <f t="shared" si="56"/>
        <v>10.368444444444444</v>
      </c>
      <c r="AW270">
        <f t="shared" si="57"/>
        <v>4.4662696551111116</v>
      </c>
      <c r="AX270" s="9"/>
      <c r="AY270" s="21">
        <v>1.20926</v>
      </c>
      <c r="AZ270" s="21">
        <v>29.6096</v>
      </c>
      <c r="BA270" s="21">
        <v>-6.2133800000000001E-3</v>
      </c>
      <c r="BB270" s="21">
        <v>260</v>
      </c>
      <c r="BC270" s="21">
        <v>1.2084999999999999</v>
      </c>
      <c r="BD270">
        <f t="shared" si="58"/>
        <v>7.6708395061728396</v>
      </c>
      <c r="BE270">
        <f t="shared" si="59"/>
        <v>9.2760393812345683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0.42571999999999999</v>
      </c>
      <c r="H271" s="21">
        <v>7.7238499999999997</v>
      </c>
      <c r="I271" s="21">
        <v>-8.3923299999999999E-3</v>
      </c>
      <c r="J271" s="21">
        <v>261</v>
      </c>
      <c r="K271" s="21">
        <v>0.425232</v>
      </c>
      <c r="L271">
        <f t="shared" si="48"/>
        <v>10.360901234567899</v>
      </c>
      <c r="M271">
        <f t="shared" si="49"/>
        <v>4.4108428735802461</v>
      </c>
      <c r="N271" s="9"/>
      <c r="O271" s="21">
        <v>1.2142900000000001</v>
      </c>
      <c r="P271" s="21">
        <v>11.4222</v>
      </c>
      <c r="Q271" s="21">
        <v>-6.3140899999999996E-3</v>
      </c>
      <c r="R271" s="21">
        <v>261</v>
      </c>
      <c r="S271" s="21">
        <v>1.2133799999999999</v>
      </c>
      <c r="T271">
        <f t="shared" si="50"/>
        <v>7.7951728395061712</v>
      </c>
      <c r="U271">
        <f t="shared" si="51"/>
        <v>9.4656004272839489</v>
      </c>
      <c r="X271" s="9"/>
      <c r="Y271" s="21">
        <v>0.42571999999999999</v>
      </c>
      <c r="Z271" s="21">
        <v>16.859100000000002</v>
      </c>
      <c r="AA271" s="21">
        <v>-8.3679199999999992E-3</v>
      </c>
      <c r="AB271" s="21">
        <v>261</v>
      </c>
      <c r="AC271" s="21">
        <v>0.425201</v>
      </c>
      <c r="AD271">
        <f t="shared" si="52"/>
        <v>10.330765432098763</v>
      </c>
      <c r="AE271">
        <f t="shared" si="53"/>
        <v>4.3980134597530851</v>
      </c>
      <c r="AF271" s="9"/>
      <c r="AG271" s="21">
        <v>1.2142900000000001</v>
      </c>
      <c r="AH271" s="21">
        <v>20.557400000000001</v>
      </c>
      <c r="AI271" s="21">
        <v>-6.2560999999999997E-3</v>
      </c>
      <c r="AJ271" s="21">
        <v>261</v>
      </c>
      <c r="AK271" s="21">
        <v>1.2136800000000001</v>
      </c>
      <c r="AL271">
        <f t="shared" si="54"/>
        <v>7.7235802469135795</v>
      </c>
      <c r="AM271">
        <f t="shared" si="55"/>
        <v>9.3786662580246904</v>
      </c>
      <c r="AP271" s="9"/>
      <c r="AQ271" s="21">
        <v>0.42571999999999999</v>
      </c>
      <c r="AR271" s="21">
        <v>25.921199999999999</v>
      </c>
      <c r="AS271" s="21">
        <v>-8.4014899999999993E-3</v>
      </c>
      <c r="AT271" s="21">
        <v>261</v>
      </c>
      <c r="AU271" s="21">
        <v>0.42517100000000002</v>
      </c>
      <c r="AV271">
        <f t="shared" si="56"/>
        <v>10.372209876543208</v>
      </c>
      <c r="AW271">
        <f t="shared" si="57"/>
        <v>4.4156571886419744</v>
      </c>
      <c r="AX271" s="9"/>
      <c r="AY271" s="21">
        <v>1.2142900000000001</v>
      </c>
      <c r="AZ271" s="21">
        <v>29.619599999999998</v>
      </c>
      <c r="BA271" s="21">
        <v>-6.1981199999999997E-3</v>
      </c>
      <c r="BB271" s="21">
        <v>261</v>
      </c>
      <c r="BC271" s="21">
        <v>1.2133799999999999</v>
      </c>
      <c r="BD271">
        <f t="shared" si="58"/>
        <v>7.6519999999999992</v>
      </c>
      <c r="BE271">
        <f t="shared" si="59"/>
        <v>9.2917470800000004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0.42068499999999998</v>
      </c>
      <c r="H272" s="21">
        <v>7.7339200000000003</v>
      </c>
      <c r="I272" s="21">
        <v>-8.3953900000000008E-3</v>
      </c>
      <c r="J272" s="21">
        <v>262</v>
      </c>
      <c r="K272" s="21">
        <v>0.42025800000000002</v>
      </c>
      <c r="L272">
        <f t="shared" si="48"/>
        <v>10.364679012345681</v>
      </c>
      <c r="M272">
        <f t="shared" si="49"/>
        <v>4.3602649903086421</v>
      </c>
      <c r="N272" s="9"/>
      <c r="O272" s="21">
        <v>1.21933</v>
      </c>
      <c r="P272" s="21">
        <v>11.4323</v>
      </c>
      <c r="Q272" s="21">
        <v>-6.3049300000000003E-3</v>
      </c>
      <c r="R272" s="21">
        <v>262</v>
      </c>
      <c r="S272" s="21">
        <v>1.2176499999999999</v>
      </c>
      <c r="T272">
        <f t="shared" si="50"/>
        <v>7.783864197530864</v>
      </c>
      <c r="U272">
        <f t="shared" si="51"/>
        <v>9.4910991319753091</v>
      </c>
      <c r="X272" s="9"/>
      <c r="Y272" s="21">
        <v>0.42068499999999998</v>
      </c>
      <c r="Z272" s="21">
        <v>16.8691</v>
      </c>
      <c r="AA272" s="21">
        <v>-8.3831800000000005E-3</v>
      </c>
      <c r="AB272" s="21">
        <v>262</v>
      </c>
      <c r="AC272" s="21">
        <v>0.42016599999999998</v>
      </c>
      <c r="AD272">
        <f t="shared" si="52"/>
        <v>10.349604938271604</v>
      </c>
      <c r="AE272">
        <f t="shared" si="53"/>
        <v>4.3539235534567897</v>
      </c>
      <c r="AF272" s="9"/>
      <c r="AG272" s="21">
        <v>1.21933</v>
      </c>
      <c r="AH272" s="21">
        <v>20.567499999999999</v>
      </c>
      <c r="AI272" s="21">
        <v>-6.2439000000000001E-3</v>
      </c>
      <c r="AJ272" s="21">
        <v>262</v>
      </c>
      <c r="AK272" s="21">
        <v>1.2185699999999999</v>
      </c>
      <c r="AL272">
        <f t="shared" si="54"/>
        <v>7.7085185185185185</v>
      </c>
      <c r="AM272">
        <f t="shared" si="55"/>
        <v>9.3992278851851854</v>
      </c>
      <c r="AP272" s="9"/>
      <c r="AQ272" s="21">
        <v>0.42068499999999998</v>
      </c>
      <c r="AR272" s="21">
        <v>25.9313</v>
      </c>
      <c r="AS272" s="21">
        <v>-8.4075899999999995E-3</v>
      </c>
      <c r="AT272" s="21">
        <v>262</v>
      </c>
      <c r="AU272" s="21">
        <v>0.42010500000000001</v>
      </c>
      <c r="AV272">
        <f t="shared" si="56"/>
        <v>10.37974074074074</v>
      </c>
      <c r="AW272">
        <f t="shared" si="57"/>
        <v>4.3666012335185176</v>
      </c>
      <c r="AX272" s="9"/>
      <c r="AY272" s="21">
        <v>1.21933</v>
      </c>
      <c r="AZ272" s="21">
        <v>29.6297</v>
      </c>
      <c r="BA272" s="21">
        <v>-6.17981E-3</v>
      </c>
      <c r="BB272" s="21">
        <v>262</v>
      </c>
      <c r="BC272" s="21">
        <v>1.2185699999999999</v>
      </c>
      <c r="BD272">
        <f t="shared" si="58"/>
        <v>7.6293950617283945</v>
      </c>
      <c r="BE272">
        <f t="shared" si="59"/>
        <v>9.3027502806172837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0.41564899999999999</v>
      </c>
      <c r="H273" s="21">
        <v>7.7439900000000002</v>
      </c>
      <c r="I273" s="21">
        <v>-8.3984400000000001E-3</v>
      </c>
      <c r="J273" s="21">
        <v>263</v>
      </c>
      <c r="K273" s="21">
        <v>0.41513100000000003</v>
      </c>
      <c r="L273">
        <f t="shared" si="48"/>
        <v>10.368444444444444</v>
      </c>
      <c r="M273">
        <f t="shared" si="49"/>
        <v>4.3096335648888884</v>
      </c>
      <c r="N273" s="9"/>
      <c r="O273" s="21">
        <v>1.22437</v>
      </c>
      <c r="P273" s="21">
        <v>11.442299999999999</v>
      </c>
      <c r="Q273" s="21">
        <v>-6.2896699999999998E-3</v>
      </c>
      <c r="R273" s="21">
        <v>263</v>
      </c>
      <c r="S273" s="21">
        <v>1.2237499999999999</v>
      </c>
      <c r="T273">
        <f t="shared" si="50"/>
        <v>7.7650246913580245</v>
      </c>
      <c r="U273">
        <f t="shared" si="51"/>
        <v>9.5072632813580249</v>
      </c>
      <c r="X273" s="9"/>
      <c r="Y273" s="21">
        <v>0.41564899999999999</v>
      </c>
      <c r="Z273" s="21">
        <v>16.879200000000001</v>
      </c>
      <c r="AA273" s="21">
        <v>-8.3923299999999999E-3</v>
      </c>
      <c r="AB273" s="21">
        <v>263</v>
      </c>
      <c r="AC273" s="21">
        <v>0.41513100000000003</v>
      </c>
      <c r="AD273">
        <f t="shared" si="52"/>
        <v>10.360901234567899</v>
      </c>
      <c r="AE273">
        <f t="shared" si="53"/>
        <v>4.3064982372469132</v>
      </c>
      <c r="AF273" s="9"/>
      <c r="AG273" s="21">
        <v>1.22437</v>
      </c>
      <c r="AH273" s="21">
        <v>20.577500000000001</v>
      </c>
      <c r="AI273" s="21">
        <v>-6.2255899999999996E-3</v>
      </c>
      <c r="AJ273" s="21">
        <v>263</v>
      </c>
      <c r="AK273" s="21">
        <v>1.2228399999999999</v>
      </c>
      <c r="AL273">
        <f t="shared" si="54"/>
        <v>7.685913580246913</v>
      </c>
      <c r="AM273">
        <f t="shared" si="55"/>
        <v>9.4104020102469121</v>
      </c>
      <c r="AP273" s="9"/>
      <c r="AQ273" s="21">
        <v>0.41564899999999999</v>
      </c>
      <c r="AR273" s="21">
        <v>25.941400000000002</v>
      </c>
      <c r="AS273" s="21">
        <v>-8.4106400000000005E-3</v>
      </c>
      <c r="AT273" s="21">
        <v>263</v>
      </c>
      <c r="AU273" s="21">
        <v>0.41513100000000003</v>
      </c>
      <c r="AV273">
        <f t="shared" si="56"/>
        <v>10.383506172839505</v>
      </c>
      <c r="AW273">
        <f t="shared" si="57"/>
        <v>4.3158939572345671</v>
      </c>
      <c r="AX273" s="9"/>
      <c r="AY273" s="21">
        <v>1.22437</v>
      </c>
      <c r="AZ273" s="21">
        <v>29.639800000000001</v>
      </c>
      <c r="BA273" s="21">
        <v>-6.1645500000000004E-3</v>
      </c>
      <c r="BB273" s="21">
        <v>263</v>
      </c>
      <c r="BC273" s="21">
        <v>1.2231399999999999</v>
      </c>
      <c r="BD273">
        <f t="shared" si="58"/>
        <v>7.6105555555555551</v>
      </c>
      <c r="BE273">
        <f t="shared" si="59"/>
        <v>9.3181359055555539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0.41061399999999998</v>
      </c>
      <c r="H274" s="21">
        <v>7.7540699999999996</v>
      </c>
      <c r="I274" s="21">
        <v>-8.4045400000000003E-3</v>
      </c>
      <c r="J274" s="21">
        <v>264</v>
      </c>
      <c r="K274" s="21">
        <v>0.41006500000000001</v>
      </c>
      <c r="L274">
        <f t="shared" si="48"/>
        <v>10.375975308641976</v>
      </c>
      <c r="M274">
        <f t="shared" si="49"/>
        <v>4.2605207253827162</v>
      </c>
      <c r="N274" s="9"/>
      <c r="O274" s="21">
        <v>1.2294</v>
      </c>
      <c r="P274" s="21">
        <v>11.452400000000001</v>
      </c>
      <c r="Q274" s="21">
        <v>-6.2774700000000003E-3</v>
      </c>
      <c r="R274" s="21">
        <v>264</v>
      </c>
      <c r="S274" s="21">
        <v>1.22864</v>
      </c>
      <c r="T274">
        <f t="shared" si="50"/>
        <v>7.7499629629629627</v>
      </c>
      <c r="U274">
        <f t="shared" si="51"/>
        <v>9.5278044666666659</v>
      </c>
      <c r="X274" s="9"/>
      <c r="Y274" s="21">
        <v>0.41061399999999998</v>
      </c>
      <c r="Z274" s="21">
        <v>16.889299999999999</v>
      </c>
      <c r="AA274" s="21">
        <v>-8.4045400000000003E-3</v>
      </c>
      <c r="AB274" s="21">
        <v>264</v>
      </c>
      <c r="AC274" s="21">
        <v>0.41012599999999999</v>
      </c>
      <c r="AD274">
        <f t="shared" si="52"/>
        <v>10.375975308641976</v>
      </c>
      <c r="AE274">
        <f t="shared" si="53"/>
        <v>4.2605207253827162</v>
      </c>
      <c r="AF274" s="9"/>
      <c r="AG274" s="21">
        <v>1.2294</v>
      </c>
      <c r="AH274" s="21">
        <v>20.587599999999998</v>
      </c>
      <c r="AI274" s="21">
        <v>-6.21033E-3</v>
      </c>
      <c r="AJ274" s="21">
        <v>264</v>
      </c>
      <c r="AK274" s="21">
        <v>1.2283299999999999</v>
      </c>
      <c r="AL274">
        <f t="shared" si="54"/>
        <v>7.6670740740740735</v>
      </c>
      <c r="AM274">
        <f t="shared" si="55"/>
        <v>9.4259008666666659</v>
      </c>
      <c r="AP274" s="9"/>
      <c r="AQ274" s="21">
        <v>0.41061399999999998</v>
      </c>
      <c r="AR274" s="21">
        <v>25.951499999999999</v>
      </c>
      <c r="AS274" s="21">
        <v>-8.4106400000000005E-3</v>
      </c>
      <c r="AT274" s="21">
        <v>264</v>
      </c>
      <c r="AU274" s="21">
        <v>0.41009499999999999</v>
      </c>
      <c r="AV274">
        <f t="shared" si="56"/>
        <v>10.383506172839505</v>
      </c>
      <c r="AW274">
        <f t="shared" si="57"/>
        <v>4.2636130036543207</v>
      </c>
      <c r="AX274" s="9"/>
      <c r="AY274" s="21">
        <v>1.2294</v>
      </c>
      <c r="AZ274" s="21">
        <v>29.649799999999999</v>
      </c>
      <c r="BA274" s="21">
        <v>-6.1523400000000001E-3</v>
      </c>
      <c r="BB274" s="21">
        <v>264</v>
      </c>
      <c r="BC274" s="21">
        <v>1.2289399999999999</v>
      </c>
      <c r="BD274">
        <f t="shared" si="58"/>
        <v>7.5954814814814808</v>
      </c>
      <c r="BE274">
        <f t="shared" si="59"/>
        <v>9.3378849333333331</v>
      </c>
    </row>
    <row r="275" spans="6:101" x14ac:dyDescent="0.25">
      <c r="F275" s="9"/>
      <c r="G275" s="21">
        <v>0.40557900000000002</v>
      </c>
      <c r="H275" s="21">
        <v>7.7641400000000003</v>
      </c>
      <c r="I275" s="21">
        <v>-8.4075899999999995E-3</v>
      </c>
      <c r="J275" s="21">
        <v>265</v>
      </c>
      <c r="K275" s="21">
        <v>0.40502899999999997</v>
      </c>
      <c r="L275">
        <f t="shared" si="48"/>
        <v>10.37974074074074</v>
      </c>
      <c r="M275">
        <f t="shared" si="49"/>
        <v>4.209804869888889</v>
      </c>
      <c r="N275" s="9"/>
      <c r="O275" s="21">
        <v>1.23444</v>
      </c>
      <c r="P275" s="21">
        <v>11.4625</v>
      </c>
      <c r="Q275" s="21">
        <v>-6.2591599999999997E-3</v>
      </c>
      <c r="R275" s="21">
        <v>265</v>
      </c>
      <c r="S275" s="21">
        <v>1.2335199999999999</v>
      </c>
      <c r="T275">
        <f t="shared" si="50"/>
        <v>7.727358024691358</v>
      </c>
      <c r="U275">
        <f t="shared" si="51"/>
        <v>9.5389598400000004</v>
      </c>
      <c r="X275" s="9"/>
      <c r="Y275" s="21">
        <v>0.40557900000000002</v>
      </c>
      <c r="Z275" s="21">
        <v>16.8994</v>
      </c>
      <c r="AA275" s="21">
        <v>-8.4106400000000005E-3</v>
      </c>
      <c r="AB275" s="21">
        <v>265</v>
      </c>
      <c r="AC275" s="21">
        <v>0.40505999999999998</v>
      </c>
      <c r="AD275">
        <f t="shared" si="52"/>
        <v>10.383506172839505</v>
      </c>
      <c r="AE275">
        <f t="shared" si="53"/>
        <v>4.2113320500740743</v>
      </c>
      <c r="AF275" s="9"/>
      <c r="AG275" s="21">
        <v>1.23444</v>
      </c>
      <c r="AH275" s="21">
        <v>20.5977</v>
      </c>
      <c r="AI275" s="21">
        <v>-6.1950699999999996E-3</v>
      </c>
      <c r="AJ275" s="21">
        <v>265</v>
      </c>
      <c r="AK275" s="21">
        <v>1.23383</v>
      </c>
      <c r="AL275">
        <f t="shared" si="54"/>
        <v>7.6482345679012331</v>
      </c>
      <c r="AM275">
        <f t="shared" si="55"/>
        <v>9.4412866799999975</v>
      </c>
      <c r="AP275" s="9"/>
      <c r="AQ275" s="21">
        <v>0.40557900000000002</v>
      </c>
      <c r="AR275" s="21">
        <v>25.961500000000001</v>
      </c>
      <c r="AS275" s="21">
        <v>-8.4106400000000005E-3</v>
      </c>
      <c r="AT275" s="21">
        <v>265</v>
      </c>
      <c r="AU275" s="21">
        <v>0.404999</v>
      </c>
      <c r="AV275">
        <f t="shared" si="56"/>
        <v>10.383506172839505</v>
      </c>
      <c r="AW275">
        <f t="shared" si="57"/>
        <v>4.2113320500740743</v>
      </c>
      <c r="AX275" s="9"/>
      <c r="AY275" s="21">
        <v>1.23444</v>
      </c>
      <c r="AZ275" s="21">
        <v>29.6599</v>
      </c>
      <c r="BA275" s="21">
        <v>-6.1370799999999996E-3</v>
      </c>
      <c r="BB275" s="21">
        <v>265</v>
      </c>
      <c r="BC275" s="21">
        <v>1.23322</v>
      </c>
      <c r="BD275">
        <f t="shared" si="58"/>
        <v>7.5766419753086414</v>
      </c>
      <c r="BE275">
        <f t="shared" si="59"/>
        <v>9.3529099199999983</v>
      </c>
    </row>
    <row r="276" spans="6:101" x14ac:dyDescent="0.25">
      <c r="F276" s="9"/>
      <c r="G276" s="21">
        <v>0.40054299999999998</v>
      </c>
      <c r="H276" s="21">
        <v>7.7742100000000001</v>
      </c>
      <c r="I276" s="21">
        <v>-8.4136999999999997E-3</v>
      </c>
      <c r="J276" s="21">
        <v>266</v>
      </c>
      <c r="K276" s="21">
        <v>0.40005499999999999</v>
      </c>
      <c r="L276">
        <f t="shared" si="48"/>
        <v>10.387283950617283</v>
      </c>
      <c r="M276">
        <f t="shared" si="49"/>
        <v>4.1605538754320976</v>
      </c>
      <c r="N276" s="9"/>
      <c r="O276" s="21">
        <v>1.2394700000000001</v>
      </c>
      <c r="P276" s="21">
        <v>11.4725</v>
      </c>
      <c r="Q276" s="21">
        <v>-6.2469500000000002E-3</v>
      </c>
      <c r="R276" s="21">
        <v>266</v>
      </c>
      <c r="S276" s="21">
        <v>1.2381</v>
      </c>
      <c r="T276">
        <f t="shared" si="50"/>
        <v>7.7122839506172838</v>
      </c>
      <c r="U276">
        <f t="shared" si="51"/>
        <v>9.5591445882716055</v>
      </c>
      <c r="X276" s="9"/>
      <c r="Y276" s="21">
        <v>0.40054299999999998</v>
      </c>
      <c r="Z276" s="21">
        <v>16.909400000000002</v>
      </c>
      <c r="AA276" s="21">
        <v>-8.4167500000000006E-3</v>
      </c>
      <c r="AB276" s="21">
        <v>266</v>
      </c>
      <c r="AC276" s="21">
        <v>0.40005499999999999</v>
      </c>
      <c r="AD276">
        <f t="shared" si="52"/>
        <v>10.39104938271605</v>
      </c>
      <c r="AE276">
        <f t="shared" si="53"/>
        <v>4.1620620929012349</v>
      </c>
      <c r="AF276" s="9"/>
      <c r="AG276" s="21">
        <v>1.2394700000000001</v>
      </c>
      <c r="AH276" s="21">
        <v>20.607800000000001</v>
      </c>
      <c r="AI276" s="21">
        <v>-6.1859100000000002E-3</v>
      </c>
      <c r="AJ276" s="21">
        <v>266</v>
      </c>
      <c r="AK276" s="21">
        <v>1.2381</v>
      </c>
      <c r="AL276">
        <f t="shared" si="54"/>
        <v>7.6369259259259259</v>
      </c>
      <c r="AM276">
        <f t="shared" si="55"/>
        <v>9.4657405774074075</v>
      </c>
      <c r="AP276" s="9"/>
      <c r="AQ276" s="21">
        <v>0.40054299999999998</v>
      </c>
      <c r="AR276" s="21">
        <v>25.971599999999999</v>
      </c>
      <c r="AS276" s="21">
        <v>-8.4106400000000005E-3</v>
      </c>
      <c r="AT276" s="21">
        <v>266</v>
      </c>
      <c r="AU276" s="21">
        <v>0.40005499999999999</v>
      </c>
      <c r="AV276">
        <f t="shared" si="56"/>
        <v>10.383506172839505</v>
      </c>
      <c r="AW276">
        <f t="shared" si="57"/>
        <v>4.1590407129876539</v>
      </c>
      <c r="AX276" s="9"/>
      <c r="AY276" s="21">
        <v>1.2394700000000001</v>
      </c>
      <c r="AZ276" s="21">
        <v>29.67</v>
      </c>
      <c r="BA276" s="21">
        <v>-6.1309800000000003E-3</v>
      </c>
      <c r="BB276" s="21">
        <v>266</v>
      </c>
      <c r="BC276" s="21">
        <v>1.2381</v>
      </c>
      <c r="BD276">
        <f t="shared" si="58"/>
        <v>7.5691111111111109</v>
      </c>
      <c r="BE276">
        <f t="shared" si="59"/>
        <v>9.381686148888889</v>
      </c>
    </row>
    <row r="277" spans="6:101" x14ac:dyDescent="0.25">
      <c r="F277" s="9"/>
      <c r="G277" s="21">
        <v>0.39550800000000003</v>
      </c>
      <c r="H277" s="21">
        <v>7.7842799999999999</v>
      </c>
      <c r="I277" s="21">
        <v>-8.4228500000000008E-3</v>
      </c>
      <c r="J277" s="21">
        <v>267</v>
      </c>
      <c r="K277" s="21">
        <v>0.39501999999999998</v>
      </c>
      <c r="L277">
        <f t="shared" si="48"/>
        <v>10.39858024691358</v>
      </c>
      <c r="M277">
        <f t="shared" si="49"/>
        <v>4.1127216762962968</v>
      </c>
      <c r="N277" s="9"/>
      <c r="O277" s="21">
        <v>1.24451</v>
      </c>
      <c r="P277" s="21">
        <v>11.4826</v>
      </c>
      <c r="Q277" s="21">
        <v>-6.2316899999999998E-3</v>
      </c>
      <c r="R277" s="21">
        <v>267</v>
      </c>
      <c r="S277" s="21">
        <v>1.24359</v>
      </c>
      <c r="T277">
        <f t="shared" si="50"/>
        <v>7.6934444444444434</v>
      </c>
      <c r="U277">
        <f t="shared" si="51"/>
        <v>9.5745685455555538</v>
      </c>
      <c r="X277" s="9"/>
      <c r="Y277" s="21">
        <v>0.39550800000000003</v>
      </c>
      <c r="Z277" s="21">
        <v>16.919499999999999</v>
      </c>
      <c r="AA277" s="21">
        <v>-8.4289599999999992E-3</v>
      </c>
      <c r="AB277" s="21">
        <v>267</v>
      </c>
      <c r="AC277" s="21">
        <v>0.39498899999999998</v>
      </c>
      <c r="AD277">
        <f t="shared" si="52"/>
        <v>10.406123456790121</v>
      </c>
      <c r="AE277">
        <f t="shared" si="53"/>
        <v>4.1157050761481475</v>
      </c>
      <c r="AF277" s="9"/>
      <c r="AG277" s="21">
        <v>1.24451</v>
      </c>
      <c r="AH277" s="21">
        <v>20.617799999999999</v>
      </c>
      <c r="AI277" s="21">
        <v>-6.1706499999999997E-3</v>
      </c>
      <c r="AJ277" s="21">
        <v>267</v>
      </c>
      <c r="AK277" s="21">
        <v>1.24359</v>
      </c>
      <c r="AL277">
        <f t="shared" si="54"/>
        <v>7.6180864197530855</v>
      </c>
      <c r="AM277">
        <f t="shared" si="55"/>
        <v>9.4807847302469117</v>
      </c>
      <c r="AP277" s="9"/>
      <c r="AQ277" s="21">
        <v>0.39550800000000003</v>
      </c>
      <c r="AR277" s="21">
        <v>25.9817</v>
      </c>
      <c r="AS277" s="21">
        <v>-8.4228500000000008E-3</v>
      </c>
      <c r="AT277" s="21">
        <v>267</v>
      </c>
      <c r="AU277" s="21">
        <v>0.394928</v>
      </c>
      <c r="AV277">
        <f t="shared" si="56"/>
        <v>10.39858024691358</v>
      </c>
      <c r="AW277">
        <f t="shared" si="57"/>
        <v>4.1127216762962968</v>
      </c>
      <c r="AX277" s="9"/>
      <c r="AY277" s="21">
        <v>1.24451</v>
      </c>
      <c r="AZ277" s="21">
        <v>29.68</v>
      </c>
      <c r="BA277" s="21">
        <v>-6.1279300000000002E-3</v>
      </c>
      <c r="BB277" s="21">
        <v>267</v>
      </c>
      <c r="BC277" s="21">
        <v>1.24329</v>
      </c>
      <c r="BD277">
        <f t="shared" si="58"/>
        <v>7.5653456790123457</v>
      </c>
      <c r="BE277">
        <f t="shared" si="59"/>
        <v>9.4151483509876552</v>
      </c>
    </row>
    <row r="278" spans="6:101" x14ac:dyDescent="0.25">
      <c r="F278" s="9"/>
      <c r="G278" s="21">
        <v>0.39047199999999999</v>
      </c>
      <c r="H278" s="21">
        <v>7.7943499999999997</v>
      </c>
      <c r="I278" s="21">
        <v>-8.4289599999999992E-3</v>
      </c>
      <c r="J278" s="21">
        <v>268</v>
      </c>
      <c r="K278" s="21">
        <v>0.389984</v>
      </c>
      <c r="L278">
        <f t="shared" si="48"/>
        <v>10.406123456790121</v>
      </c>
      <c r="M278">
        <f t="shared" si="49"/>
        <v>4.0632998384197521</v>
      </c>
      <c r="N278" s="9"/>
      <c r="O278" s="21">
        <v>1.2495400000000001</v>
      </c>
      <c r="P278" s="21">
        <v>11.492699999999999</v>
      </c>
      <c r="Q278" s="21">
        <v>-6.2225300000000004E-3</v>
      </c>
      <c r="R278" s="21">
        <v>268</v>
      </c>
      <c r="S278" s="21">
        <v>1.24908</v>
      </c>
      <c r="T278">
        <f t="shared" si="50"/>
        <v>7.6821358024691362</v>
      </c>
      <c r="U278">
        <f t="shared" si="51"/>
        <v>9.5991359706172847</v>
      </c>
      <c r="X278" s="9"/>
      <c r="Y278" s="21">
        <v>0.39047199999999999</v>
      </c>
      <c r="Z278" s="21">
        <v>16.929600000000001</v>
      </c>
      <c r="AA278" s="21">
        <v>-8.4381100000000004E-3</v>
      </c>
      <c r="AB278" s="21">
        <v>268</v>
      </c>
      <c r="AC278" s="21">
        <v>0.38992300000000002</v>
      </c>
      <c r="AD278">
        <f t="shared" si="52"/>
        <v>10.417419753086421</v>
      </c>
      <c r="AE278">
        <f t="shared" si="53"/>
        <v>4.067710725827161</v>
      </c>
      <c r="AF278" s="9"/>
      <c r="AG278" s="21">
        <v>1.2495400000000001</v>
      </c>
      <c r="AH278" s="21">
        <v>20.6279</v>
      </c>
      <c r="AI278" s="21">
        <v>-6.1523400000000001E-3</v>
      </c>
      <c r="AJ278" s="21">
        <v>268</v>
      </c>
      <c r="AK278" s="21">
        <v>1.24939</v>
      </c>
      <c r="AL278">
        <f t="shared" si="54"/>
        <v>7.5954814814814808</v>
      </c>
      <c r="AM278">
        <f t="shared" si="55"/>
        <v>9.4908579303703711</v>
      </c>
      <c r="AP278" s="9"/>
      <c r="AQ278" s="21">
        <v>0.39047199999999999</v>
      </c>
      <c r="AR278" s="21">
        <v>25.991700000000002</v>
      </c>
      <c r="AS278" s="21">
        <v>-8.4228500000000008E-3</v>
      </c>
      <c r="AT278" s="21">
        <v>268</v>
      </c>
      <c r="AU278" s="21">
        <v>0.38995400000000002</v>
      </c>
      <c r="AV278">
        <f t="shared" si="56"/>
        <v>10.39858024691358</v>
      </c>
      <c r="AW278">
        <f t="shared" si="57"/>
        <v>4.0603544261728395</v>
      </c>
      <c r="AX278" s="9"/>
      <c r="AY278" s="21">
        <v>1.2495400000000001</v>
      </c>
      <c r="AZ278" s="21">
        <v>29.690100000000001</v>
      </c>
      <c r="BA278" s="21">
        <v>-6.1157199999999998E-3</v>
      </c>
      <c r="BB278" s="21">
        <v>268</v>
      </c>
      <c r="BC278" s="21">
        <v>1.24969</v>
      </c>
      <c r="BD278">
        <f t="shared" si="58"/>
        <v>7.5502716049382714</v>
      </c>
      <c r="BE278">
        <f t="shared" si="59"/>
        <v>9.4343663812345682</v>
      </c>
    </row>
    <row r="279" spans="6:101" x14ac:dyDescent="0.25">
      <c r="F279" s="9"/>
      <c r="G279" s="21">
        <v>0.38543699999999997</v>
      </c>
      <c r="H279" s="21">
        <v>7.8044200000000004</v>
      </c>
      <c r="I279" s="21">
        <v>-8.4442100000000006E-3</v>
      </c>
      <c r="J279" s="21">
        <v>269</v>
      </c>
      <c r="K279" s="21">
        <v>0.38494899999999999</v>
      </c>
      <c r="L279">
        <f t="shared" si="48"/>
        <v>10.424950617283951</v>
      </c>
      <c r="M279">
        <f t="shared" si="49"/>
        <v>4.0181616910740736</v>
      </c>
      <c r="N279" s="9"/>
      <c r="O279" s="21">
        <v>1.25458</v>
      </c>
      <c r="P279" s="21">
        <v>11.502800000000001</v>
      </c>
      <c r="Q279" s="21">
        <v>-6.2072799999999999E-3</v>
      </c>
      <c r="R279" s="21">
        <v>269</v>
      </c>
      <c r="S279" s="21">
        <v>1.25397</v>
      </c>
      <c r="T279">
        <f t="shared" si="50"/>
        <v>7.6633086419753074</v>
      </c>
      <c r="U279">
        <f t="shared" si="51"/>
        <v>9.6142337560493818</v>
      </c>
      <c r="X279" s="9"/>
      <c r="Y279" s="21">
        <v>0.38543699999999997</v>
      </c>
      <c r="Z279" s="21">
        <v>16.939599999999999</v>
      </c>
      <c r="AA279" s="21">
        <v>-8.45337E-3</v>
      </c>
      <c r="AB279" s="21">
        <v>269</v>
      </c>
      <c r="AC279" s="21">
        <v>0.38494899999999999</v>
      </c>
      <c r="AD279">
        <f t="shared" si="52"/>
        <v>10.436259259259257</v>
      </c>
      <c r="AE279">
        <f t="shared" si="53"/>
        <v>4.0225204601111102</v>
      </c>
      <c r="AF279" s="9"/>
      <c r="AG279" s="21">
        <v>1.25458</v>
      </c>
      <c r="AH279" s="21">
        <v>20.638000000000002</v>
      </c>
      <c r="AI279" s="21">
        <v>-6.1370799999999996E-3</v>
      </c>
      <c r="AJ279" s="21">
        <v>269</v>
      </c>
      <c r="AK279" s="21">
        <v>1.25427</v>
      </c>
      <c r="AL279">
        <f t="shared" si="54"/>
        <v>7.5766419753086414</v>
      </c>
      <c r="AM279">
        <f t="shared" si="55"/>
        <v>9.5055034893827148</v>
      </c>
      <c r="AP279" s="9"/>
      <c r="AQ279" s="21">
        <v>0.38543699999999997</v>
      </c>
      <c r="AR279" s="21">
        <v>26.001799999999999</v>
      </c>
      <c r="AS279" s="21">
        <v>-8.4289599999999992E-3</v>
      </c>
      <c r="AT279" s="21">
        <v>269</v>
      </c>
      <c r="AU279" s="21">
        <v>0.38488800000000001</v>
      </c>
      <c r="AV279">
        <f t="shared" si="56"/>
        <v>10.406123456790121</v>
      </c>
      <c r="AW279">
        <f t="shared" si="57"/>
        <v>4.0109050068148138</v>
      </c>
      <c r="AX279" s="9"/>
      <c r="AY279" s="21">
        <v>1.25458</v>
      </c>
      <c r="AZ279" s="21">
        <v>29.700199999999999</v>
      </c>
      <c r="BA279" s="21">
        <v>-6.1004600000000003E-3</v>
      </c>
      <c r="BB279" s="21">
        <v>269</v>
      </c>
      <c r="BC279" s="21">
        <v>1.25397</v>
      </c>
      <c r="BD279">
        <f t="shared" si="58"/>
        <v>7.531432098765432</v>
      </c>
      <c r="BE279">
        <f t="shared" si="59"/>
        <v>9.4487840824691354</v>
      </c>
    </row>
    <row r="280" spans="6:101" x14ac:dyDescent="0.25">
      <c r="F280" s="9"/>
      <c r="G280" s="21">
        <v>0.38040200000000002</v>
      </c>
      <c r="H280" s="21">
        <v>7.8144900000000002</v>
      </c>
      <c r="I280" s="21">
        <v>-8.45337E-3</v>
      </c>
      <c r="J280" s="21">
        <v>270</v>
      </c>
      <c r="K280" s="21">
        <v>0.37982199999999999</v>
      </c>
      <c r="L280">
        <f t="shared" si="48"/>
        <v>10.436259259259257</v>
      </c>
      <c r="M280">
        <f t="shared" si="49"/>
        <v>3.9699738947407401</v>
      </c>
      <c r="N280" s="9"/>
      <c r="O280" s="21">
        <v>1.2596099999999999</v>
      </c>
      <c r="P280" s="21">
        <v>11.5128</v>
      </c>
      <c r="Q280" s="21">
        <v>-6.1950699999999996E-3</v>
      </c>
      <c r="R280" s="21">
        <v>270</v>
      </c>
      <c r="S280" s="21">
        <v>1.2591600000000001</v>
      </c>
      <c r="T280">
        <f t="shared" si="50"/>
        <v>7.6482345679012331</v>
      </c>
      <c r="U280">
        <f t="shared" si="51"/>
        <v>9.6337927440740714</v>
      </c>
      <c r="X280" s="9"/>
      <c r="Y280" s="21">
        <v>0.38040200000000002</v>
      </c>
      <c r="Z280" s="21">
        <v>16.9497</v>
      </c>
      <c r="AA280" s="21">
        <v>-8.4564199999999992E-3</v>
      </c>
      <c r="AB280" s="21">
        <v>270</v>
      </c>
      <c r="AC280" s="21">
        <v>0.37988300000000003</v>
      </c>
      <c r="AD280">
        <f t="shared" si="52"/>
        <v>10.440024691358024</v>
      </c>
      <c r="AE280">
        <f t="shared" si="53"/>
        <v>3.9714062726419752</v>
      </c>
      <c r="AF280" s="9"/>
      <c r="AG280" s="21">
        <v>1.2596099999999999</v>
      </c>
      <c r="AH280" s="21">
        <v>20.648</v>
      </c>
      <c r="AI280" s="21">
        <v>-6.1248800000000001E-3</v>
      </c>
      <c r="AJ280" s="21">
        <v>270</v>
      </c>
      <c r="AK280" s="21">
        <v>1.25854</v>
      </c>
      <c r="AL280">
        <f t="shared" si="54"/>
        <v>7.5615802469135796</v>
      </c>
      <c r="AM280">
        <f t="shared" si="55"/>
        <v>9.5246420948148138</v>
      </c>
      <c r="AP280" s="9"/>
      <c r="AQ280" s="21">
        <v>0.38040200000000002</v>
      </c>
      <c r="AR280" s="21">
        <v>26.011900000000001</v>
      </c>
      <c r="AS280" s="21">
        <v>-8.4381100000000004E-3</v>
      </c>
      <c r="AT280" s="21">
        <v>270</v>
      </c>
      <c r="AU280" s="21">
        <v>0.37988300000000003</v>
      </c>
      <c r="AV280">
        <f t="shared" si="56"/>
        <v>10.417419753086421</v>
      </c>
      <c r="AW280">
        <f t="shared" si="57"/>
        <v>3.9628073089135807</v>
      </c>
      <c r="AX280" s="9"/>
      <c r="AY280" s="21">
        <v>1.2596099999999999</v>
      </c>
      <c r="AZ280" s="21">
        <v>29.7103</v>
      </c>
      <c r="BA280" s="21">
        <v>-6.0882599999999999E-3</v>
      </c>
      <c r="BB280" s="21">
        <v>270</v>
      </c>
      <c r="BC280" s="21">
        <v>1.25885</v>
      </c>
      <c r="BD280">
        <f t="shared" si="58"/>
        <v>7.5163703703703693</v>
      </c>
      <c r="BE280">
        <f t="shared" si="59"/>
        <v>9.4676952822222198</v>
      </c>
    </row>
    <row r="281" spans="6:101" x14ac:dyDescent="0.25">
      <c r="F281" s="9"/>
      <c r="G281" s="21">
        <v>0.37536599999999998</v>
      </c>
      <c r="H281" s="21">
        <v>7.82456</v>
      </c>
      <c r="I281" s="21">
        <v>-8.4625199999999994E-3</v>
      </c>
      <c r="J281" s="21">
        <v>271</v>
      </c>
      <c r="K281" s="21">
        <v>0.37487799999999999</v>
      </c>
      <c r="L281">
        <f t="shared" si="48"/>
        <v>10.447555555555553</v>
      </c>
      <c r="M281">
        <f t="shared" si="49"/>
        <v>3.9216571386666654</v>
      </c>
      <c r="N281" s="9"/>
      <c r="O281" s="21">
        <v>1.2646500000000001</v>
      </c>
      <c r="P281" s="21">
        <v>11.5229</v>
      </c>
      <c r="Q281" s="21">
        <v>-6.1859100000000002E-3</v>
      </c>
      <c r="R281" s="21">
        <v>271</v>
      </c>
      <c r="S281" s="21">
        <v>1.26373</v>
      </c>
      <c r="T281">
        <f t="shared" si="50"/>
        <v>7.6369259259259259</v>
      </c>
      <c r="U281">
        <f t="shared" si="51"/>
        <v>9.6580383722222223</v>
      </c>
      <c r="X281" s="9"/>
      <c r="Y281" s="21">
        <v>0.37536599999999998</v>
      </c>
      <c r="Z281" s="21">
        <v>16.959800000000001</v>
      </c>
      <c r="AA281" s="21">
        <v>-8.4655800000000003E-3</v>
      </c>
      <c r="AB281" s="21">
        <v>271</v>
      </c>
      <c r="AC281" s="21">
        <v>0.37481700000000001</v>
      </c>
      <c r="AD281">
        <f t="shared" si="52"/>
        <v>10.451333333333332</v>
      </c>
      <c r="AE281">
        <f t="shared" si="53"/>
        <v>3.9230751879999994</v>
      </c>
      <c r="AF281" s="9"/>
      <c r="AG281" s="21">
        <v>1.2646500000000001</v>
      </c>
      <c r="AH281" s="21">
        <v>20.658100000000001</v>
      </c>
      <c r="AI281" s="21">
        <v>-6.1157199999999998E-3</v>
      </c>
      <c r="AJ281" s="21">
        <v>271</v>
      </c>
      <c r="AK281" s="21">
        <v>1.2634300000000001</v>
      </c>
      <c r="AL281">
        <f t="shared" si="54"/>
        <v>7.5502716049382714</v>
      </c>
      <c r="AM281">
        <f t="shared" si="55"/>
        <v>9.5484509851851858</v>
      </c>
      <c r="AP281" s="9"/>
      <c r="AQ281" s="21">
        <v>0.37536599999999998</v>
      </c>
      <c r="AR281" s="21">
        <v>26.021999999999998</v>
      </c>
      <c r="AS281" s="21">
        <v>-8.4411599999999996E-3</v>
      </c>
      <c r="AT281" s="21">
        <v>271</v>
      </c>
      <c r="AU281" s="21">
        <v>0.37484699999999999</v>
      </c>
      <c r="AV281">
        <f t="shared" si="56"/>
        <v>10.421185185185184</v>
      </c>
      <c r="AW281">
        <f t="shared" si="57"/>
        <v>3.9117585982222214</v>
      </c>
      <c r="AX281" s="9"/>
      <c r="AY281" s="21">
        <v>1.2646500000000001</v>
      </c>
      <c r="AZ281" s="21">
        <v>29.720300000000002</v>
      </c>
      <c r="BA281" s="21">
        <v>-6.0668900000000001E-3</v>
      </c>
      <c r="BB281" s="21">
        <v>271</v>
      </c>
      <c r="BC281" s="21">
        <v>1.2640400000000001</v>
      </c>
      <c r="BD281">
        <f t="shared" si="58"/>
        <v>7.4899876543209869</v>
      </c>
      <c r="BE281">
        <f t="shared" si="59"/>
        <v>9.4722128870370366</v>
      </c>
    </row>
    <row r="282" spans="6:101" x14ac:dyDescent="0.25">
      <c r="F282" s="9"/>
      <c r="G282" s="21">
        <v>0.37033100000000002</v>
      </c>
      <c r="H282" s="21">
        <v>7.8346299999999998</v>
      </c>
      <c r="I282" s="21">
        <v>-8.4655800000000003E-3</v>
      </c>
      <c r="J282" s="21">
        <v>272</v>
      </c>
      <c r="K282" s="21">
        <v>0.36978100000000003</v>
      </c>
      <c r="L282">
        <f t="shared" si="48"/>
        <v>10.451333333333332</v>
      </c>
      <c r="M282">
        <f t="shared" si="49"/>
        <v>3.8704527246666665</v>
      </c>
      <c r="N282" s="9"/>
      <c r="O282" s="21">
        <v>1.2696799999999999</v>
      </c>
      <c r="P282" s="21">
        <v>11.532999999999999</v>
      </c>
      <c r="Q282" s="21">
        <v>-6.1706499999999997E-3</v>
      </c>
      <c r="R282" s="21">
        <v>272</v>
      </c>
      <c r="S282" s="21">
        <v>1.2692300000000001</v>
      </c>
      <c r="T282">
        <f t="shared" si="50"/>
        <v>7.6180864197530855</v>
      </c>
      <c r="U282">
        <f t="shared" si="51"/>
        <v>9.6725319654320963</v>
      </c>
      <c r="X282" s="9"/>
      <c r="Y282" s="21">
        <v>0.37033100000000002</v>
      </c>
      <c r="Z282" s="21">
        <v>16.969799999999999</v>
      </c>
      <c r="AA282" s="21">
        <v>-8.4655800000000003E-3</v>
      </c>
      <c r="AB282" s="21">
        <v>272</v>
      </c>
      <c r="AC282" s="21">
        <v>0.36981199999999997</v>
      </c>
      <c r="AD282">
        <f t="shared" si="52"/>
        <v>10.451333333333332</v>
      </c>
      <c r="AE282">
        <f t="shared" si="53"/>
        <v>3.8704527246666665</v>
      </c>
      <c r="AF282" s="9"/>
      <c r="AG282" s="21">
        <v>1.2696799999999999</v>
      </c>
      <c r="AH282" s="21">
        <v>20.668199999999999</v>
      </c>
      <c r="AI282" s="21">
        <v>-6.1035200000000003E-3</v>
      </c>
      <c r="AJ282" s="21">
        <v>272</v>
      </c>
      <c r="AK282" s="21">
        <v>1.2686200000000001</v>
      </c>
      <c r="AL282">
        <f t="shared" si="54"/>
        <v>7.5352098765432096</v>
      </c>
      <c r="AM282">
        <f t="shared" si="55"/>
        <v>9.5673052760493817</v>
      </c>
      <c r="AP282" s="9"/>
      <c r="AQ282" s="21">
        <v>0.37033100000000002</v>
      </c>
      <c r="AR282" s="21">
        <v>26.032</v>
      </c>
      <c r="AS282" s="21">
        <v>-8.4411599999999996E-3</v>
      </c>
      <c r="AT282" s="21">
        <v>272</v>
      </c>
      <c r="AU282" s="21">
        <v>0.36984299999999998</v>
      </c>
      <c r="AV282">
        <f t="shared" si="56"/>
        <v>10.421185185185184</v>
      </c>
      <c r="AW282">
        <f t="shared" si="57"/>
        <v>3.8592879308148147</v>
      </c>
      <c r="AX282" s="9"/>
      <c r="AY282" s="21">
        <v>1.2696799999999999</v>
      </c>
      <c r="AZ282" s="21">
        <v>29.730399999999999</v>
      </c>
      <c r="BA282" s="21">
        <v>-6.0485799999999996E-3</v>
      </c>
      <c r="BB282" s="21">
        <v>272</v>
      </c>
      <c r="BC282" s="21">
        <v>1.2686200000000001</v>
      </c>
      <c r="BD282">
        <f t="shared" si="58"/>
        <v>7.4673827160493822</v>
      </c>
      <c r="BE282">
        <f t="shared" si="59"/>
        <v>9.4811864869135789</v>
      </c>
    </row>
    <row r="283" spans="6:101" x14ac:dyDescent="0.25">
      <c r="F283" s="9"/>
      <c r="G283" s="21">
        <v>0.36529499999999998</v>
      </c>
      <c r="H283" s="21">
        <v>7.8446999999999996</v>
      </c>
      <c r="I283" s="21">
        <v>-8.4747299999999998E-3</v>
      </c>
      <c r="J283" s="21">
        <v>273</v>
      </c>
      <c r="K283" s="21">
        <v>0.36486800000000003</v>
      </c>
      <c r="L283">
        <f t="shared" si="48"/>
        <v>10.462629629629628</v>
      </c>
      <c r="M283">
        <f t="shared" si="49"/>
        <v>3.8219462905555548</v>
      </c>
      <c r="N283" s="9"/>
      <c r="O283" s="21">
        <v>1.2747200000000001</v>
      </c>
      <c r="P283" s="21">
        <v>11.542999999999999</v>
      </c>
      <c r="Q283" s="21">
        <v>-6.1554000000000001E-3</v>
      </c>
      <c r="R283" s="21">
        <v>273</v>
      </c>
      <c r="S283" s="21">
        <v>1.2741100000000001</v>
      </c>
      <c r="T283">
        <f t="shared" si="50"/>
        <v>7.5992592592592585</v>
      </c>
      <c r="U283">
        <f t="shared" si="51"/>
        <v>9.6869277629629629</v>
      </c>
      <c r="X283" s="9"/>
      <c r="Y283" s="21">
        <v>0.36529499999999998</v>
      </c>
      <c r="Z283" s="21">
        <v>16.979900000000001</v>
      </c>
      <c r="AA283" s="21">
        <v>-8.4625199999999994E-3</v>
      </c>
      <c r="AB283" s="21">
        <v>273</v>
      </c>
      <c r="AC283" s="21">
        <v>0.36480699999999999</v>
      </c>
      <c r="AD283">
        <f t="shared" si="52"/>
        <v>10.447555555555553</v>
      </c>
      <c r="AE283">
        <f t="shared" si="53"/>
        <v>3.8164398066666654</v>
      </c>
      <c r="AF283" s="9"/>
      <c r="AG283" s="21">
        <v>1.2747200000000001</v>
      </c>
      <c r="AH283" s="21">
        <v>20.6783</v>
      </c>
      <c r="AI283" s="21">
        <v>-6.09131E-3</v>
      </c>
      <c r="AJ283" s="21">
        <v>273</v>
      </c>
      <c r="AK283" s="21">
        <v>1.2738</v>
      </c>
      <c r="AL283">
        <f t="shared" si="54"/>
        <v>7.5201358024691354</v>
      </c>
      <c r="AM283">
        <f t="shared" si="55"/>
        <v>9.5860675101234563</v>
      </c>
      <c r="AP283" s="9"/>
      <c r="AQ283" s="21">
        <v>0.36529499999999998</v>
      </c>
      <c r="AR283" s="21">
        <v>26.042100000000001</v>
      </c>
      <c r="AS283" s="21">
        <v>-8.4503200000000007E-3</v>
      </c>
      <c r="AT283" s="21">
        <v>273</v>
      </c>
      <c r="AU283" s="21">
        <v>0.36474600000000001</v>
      </c>
      <c r="AV283">
        <f t="shared" si="56"/>
        <v>10.432493827160494</v>
      </c>
      <c r="AW283">
        <f t="shared" si="57"/>
        <v>3.8109378325925922</v>
      </c>
      <c r="AX283" s="9"/>
      <c r="AY283" s="21">
        <v>1.2747200000000001</v>
      </c>
      <c r="AZ283" s="21">
        <v>29.740500000000001</v>
      </c>
      <c r="BA283" s="21">
        <v>-6.03638E-3</v>
      </c>
      <c r="BB283" s="21">
        <v>273</v>
      </c>
      <c r="BC283" s="21">
        <v>1.2747200000000001</v>
      </c>
      <c r="BD283">
        <f t="shared" si="58"/>
        <v>7.4523209876543204</v>
      </c>
      <c r="BE283">
        <f t="shared" si="59"/>
        <v>9.4996226093827154</v>
      </c>
    </row>
    <row r="284" spans="6:101" x14ac:dyDescent="0.25">
      <c r="F284" s="9"/>
      <c r="G284" s="21">
        <v>0.36026000000000002</v>
      </c>
      <c r="H284" s="21">
        <v>7.8547799999999999</v>
      </c>
      <c r="I284" s="21">
        <v>-8.48083E-3</v>
      </c>
      <c r="J284" s="21">
        <v>274</v>
      </c>
      <c r="K284" s="21">
        <v>0.35977199999999998</v>
      </c>
      <c r="L284">
        <f t="shared" si="48"/>
        <v>10.470160493827159</v>
      </c>
      <c r="M284">
        <f t="shared" si="49"/>
        <v>3.7719800195061723</v>
      </c>
      <c r="N284" s="9"/>
      <c r="O284" s="21">
        <v>1.2797499999999999</v>
      </c>
      <c r="P284" s="21">
        <v>11.553100000000001</v>
      </c>
      <c r="Q284" s="21">
        <v>-6.1370799999999996E-3</v>
      </c>
      <c r="R284" s="21">
        <v>274</v>
      </c>
      <c r="S284" s="21">
        <v>1.2793000000000001</v>
      </c>
      <c r="T284">
        <f t="shared" si="50"/>
        <v>7.5766419753086414</v>
      </c>
      <c r="U284">
        <f t="shared" si="51"/>
        <v>9.6962075679012329</v>
      </c>
      <c r="X284" s="9"/>
      <c r="Y284" s="21">
        <v>0.36026000000000002</v>
      </c>
      <c r="Z284" s="21">
        <v>16.989999999999998</v>
      </c>
      <c r="AA284" s="21">
        <v>-8.4655800000000003E-3</v>
      </c>
      <c r="AB284" s="21">
        <v>274</v>
      </c>
      <c r="AC284" s="21">
        <v>0.35974099999999998</v>
      </c>
      <c r="AD284">
        <f t="shared" si="52"/>
        <v>10.451333333333332</v>
      </c>
      <c r="AE284">
        <f t="shared" si="53"/>
        <v>3.7651973466666666</v>
      </c>
      <c r="AF284" s="9"/>
      <c r="AG284" s="21">
        <v>1.2797499999999999</v>
      </c>
      <c r="AH284" s="21">
        <v>20.688300000000002</v>
      </c>
      <c r="AI284" s="21">
        <v>-6.0852099999999998E-3</v>
      </c>
      <c r="AJ284" s="21">
        <v>274</v>
      </c>
      <c r="AK284" s="21">
        <v>1.2793000000000001</v>
      </c>
      <c r="AL284">
        <f t="shared" si="54"/>
        <v>7.5126049382716049</v>
      </c>
      <c r="AM284">
        <f t="shared" si="55"/>
        <v>9.6142561697530855</v>
      </c>
      <c r="AP284" s="9"/>
      <c r="AQ284" s="21">
        <v>0.36026000000000002</v>
      </c>
      <c r="AR284" s="21">
        <v>26.052199999999999</v>
      </c>
      <c r="AS284" s="21">
        <v>-8.4594700000000002E-3</v>
      </c>
      <c r="AT284" s="21">
        <v>274</v>
      </c>
      <c r="AU284" s="21">
        <v>0.35974099999999998</v>
      </c>
      <c r="AV284">
        <f t="shared" si="56"/>
        <v>10.44379012345679</v>
      </c>
      <c r="AW284">
        <f t="shared" si="57"/>
        <v>3.7624798298765434</v>
      </c>
      <c r="AX284" s="9"/>
      <c r="AY284" s="21">
        <v>1.2797499999999999</v>
      </c>
      <c r="AZ284" s="21">
        <v>29.750499999999999</v>
      </c>
      <c r="BA284" s="21">
        <v>-6.0211199999999996E-3</v>
      </c>
      <c r="BB284" s="21">
        <v>274</v>
      </c>
      <c r="BC284" s="21">
        <v>1.2783800000000001</v>
      </c>
      <c r="BD284">
        <f t="shared" si="58"/>
        <v>7.43348148148148</v>
      </c>
      <c r="BE284">
        <f t="shared" si="59"/>
        <v>9.512997925925923</v>
      </c>
    </row>
    <row r="285" spans="6:101" x14ac:dyDescent="0.25">
      <c r="F285" s="9"/>
      <c r="G285" s="21">
        <v>0.35522500000000001</v>
      </c>
      <c r="H285" s="21">
        <v>7.8648499999999997</v>
      </c>
      <c r="I285" s="21">
        <v>-8.4838899999999991E-3</v>
      </c>
      <c r="J285" s="21">
        <v>275</v>
      </c>
      <c r="K285" s="21">
        <v>0.354736</v>
      </c>
      <c r="L285">
        <f t="shared" si="48"/>
        <v>10.473938271604936</v>
      </c>
      <c r="M285">
        <f t="shared" si="49"/>
        <v>3.7206047225308638</v>
      </c>
      <c r="N285" s="9"/>
      <c r="O285" s="21">
        <v>1.2847900000000001</v>
      </c>
      <c r="P285" s="21">
        <v>11.5632</v>
      </c>
      <c r="Q285" s="21">
        <v>-6.12183E-3</v>
      </c>
      <c r="R285" s="21">
        <v>275</v>
      </c>
      <c r="S285" s="21">
        <v>1.2838700000000001</v>
      </c>
      <c r="T285">
        <f t="shared" si="50"/>
        <v>7.5578148148148143</v>
      </c>
      <c r="U285">
        <f t="shared" si="51"/>
        <v>9.7102048959259264</v>
      </c>
      <c r="X285" s="9"/>
      <c r="Y285" s="21">
        <v>0.35522500000000001</v>
      </c>
      <c r="Z285" s="21">
        <v>17.0001</v>
      </c>
      <c r="AA285" s="21">
        <v>-8.4594700000000002E-3</v>
      </c>
      <c r="AB285" s="21">
        <v>275</v>
      </c>
      <c r="AC285" s="21">
        <v>0.35467500000000002</v>
      </c>
      <c r="AD285">
        <f t="shared" si="52"/>
        <v>10.44379012345679</v>
      </c>
      <c r="AE285">
        <f t="shared" si="53"/>
        <v>3.709895346604938</v>
      </c>
      <c r="AF285" s="9"/>
      <c r="AG285" s="21">
        <v>1.2847900000000001</v>
      </c>
      <c r="AH285" s="21">
        <v>20.698399999999999</v>
      </c>
      <c r="AI285" s="21">
        <v>-6.0730000000000003E-3</v>
      </c>
      <c r="AJ285" s="21">
        <v>275</v>
      </c>
      <c r="AK285" s="21">
        <v>1.2838700000000001</v>
      </c>
      <c r="AL285">
        <f t="shared" si="54"/>
        <v>7.4975308641975307</v>
      </c>
      <c r="AM285">
        <f t="shared" si="55"/>
        <v>9.6327526790123468</v>
      </c>
      <c r="AP285" s="9"/>
      <c r="AQ285" s="21">
        <v>0.35522500000000001</v>
      </c>
      <c r="AR285" s="21">
        <v>26.062200000000001</v>
      </c>
      <c r="AS285" s="21">
        <v>-8.4655800000000003E-3</v>
      </c>
      <c r="AT285" s="21">
        <v>275</v>
      </c>
      <c r="AU285" s="21">
        <v>0.35479699999999997</v>
      </c>
      <c r="AV285">
        <f t="shared" si="56"/>
        <v>10.451333333333332</v>
      </c>
      <c r="AW285">
        <f t="shared" si="57"/>
        <v>3.7125748833333332</v>
      </c>
      <c r="AX285" s="9"/>
      <c r="AY285" s="21">
        <v>1.2847900000000001</v>
      </c>
      <c r="AZ285" s="21">
        <v>29.7606</v>
      </c>
      <c r="BA285" s="21">
        <v>-6.0089100000000001E-3</v>
      </c>
      <c r="BB285" s="21">
        <v>275</v>
      </c>
      <c r="BC285" s="21">
        <v>1.2835700000000001</v>
      </c>
      <c r="BD285">
        <f t="shared" si="58"/>
        <v>7.4184074074074076</v>
      </c>
      <c r="BE285">
        <f t="shared" si="59"/>
        <v>9.5310956529629642</v>
      </c>
    </row>
    <row r="286" spans="6:101" x14ac:dyDescent="0.25">
      <c r="F286" s="9"/>
      <c r="G286" s="21">
        <v>0.35018899999999997</v>
      </c>
      <c r="H286" s="21">
        <v>7.8749200000000004</v>
      </c>
      <c r="I286" s="21">
        <v>-8.4899899999999993E-3</v>
      </c>
      <c r="J286" s="21">
        <v>276</v>
      </c>
      <c r="K286" s="21">
        <v>0.34966999999999998</v>
      </c>
      <c r="L286">
        <f t="shared" si="48"/>
        <v>10.481469135802469</v>
      </c>
      <c r="M286">
        <f t="shared" si="49"/>
        <v>3.6704951951975304</v>
      </c>
      <c r="N286" s="9"/>
      <c r="O286" s="21">
        <v>1.28983</v>
      </c>
      <c r="P286" s="21">
        <v>11.5733</v>
      </c>
      <c r="Q286" s="21">
        <v>-6.1065700000000004E-3</v>
      </c>
      <c r="R286" s="21">
        <v>276</v>
      </c>
      <c r="S286" s="21">
        <v>1.2890600000000001</v>
      </c>
      <c r="T286">
        <f t="shared" si="50"/>
        <v>7.5389753086419757</v>
      </c>
      <c r="U286">
        <f t="shared" si="51"/>
        <v>9.7239965223456792</v>
      </c>
      <c r="X286" s="9"/>
      <c r="Y286" s="21">
        <v>0.35018899999999997</v>
      </c>
      <c r="Z286" s="21">
        <v>17.010100000000001</v>
      </c>
      <c r="AA286" s="21">
        <v>-8.4594700000000002E-3</v>
      </c>
      <c r="AB286" s="21">
        <v>276</v>
      </c>
      <c r="AC286" s="21">
        <v>0.349609</v>
      </c>
      <c r="AD286">
        <f t="shared" si="52"/>
        <v>10.44379012345679</v>
      </c>
      <c r="AE286">
        <f t="shared" si="53"/>
        <v>3.6573004195432093</v>
      </c>
      <c r="AF286" s="9"/>
      <c r="AG286" s="21">
        <v>1.28983</v>
      </c>
      <c r="AH286" s="21">
        <v>20.708500000000001</v>
      </c>
      <c r="AI286" s="21">
        <v>-6.0577399999999998E-3</v>
      </c>
      <c r="AJ286" s="21">
        <v>276</v>
      </c>
      <c r="AK286" s="21">
        <v>1.2887599999999999</v>
      </c>
      <c r="AL286">
        <f t="shared" si="54"/>
        <v>7.4786913580246903</v>
      </c>
      <c r="AM286">
        <f t="shared" si="55"/>
        <v>9.6462404743209866</v>
      </c>
      <c r="AP286" s="9"/>
      <c r="AQ286" s="21">
        <v>0.35018899999999997</v>
      </c>
      <c r="AR286" s="21">
        <v>26.072299999999998</v>
      </c>
      <c r="AS286" s="21">
        <v>-8.4716800000000005E-3</v>
      </c>
      <c r="AT286" s="21">
        <v>276</v>
      </c>
      <c r="AU286" s="21">
        <v>0.34964000000000001</v>
      </c>
      <c r="AV286">
        <f t="shared" si="56"/>
        <v>10.458864197530865</v>
      </c>
      <c r="AW286">
        <f t="shared" si="57"/>
        <v>3.6625791944691355</v>
      </c>
      <c r="AX286" s="9"/>
      <c r="AY286" s="21">
        <v>1.28983</v>
      </c>
      <c r="AZ286" s="21">
        <v>29.770700000000001</v>
      </c>
      <c r="BA286" s="21">
        <v>-5.9875500000000003E-3</v>
      </c>
      <c r="BB286" s="21">
        <v>276</v>
      </c>
      <c r="BC286" s="21">
        <v>1.2887599999999999</v>
      </c>
      <c r="BD286">
        <f t="shared" si="58"/>
        <v>7.3920370370370376</v>
      </c>
      <c r="BE286">
        <f t="shared" si="59"/>
        <v>9.5344711314814816</v>
      </c>
    </row>
    <row r="287" spans="6:101" x14ac:dyDescent="0.25">
      <c r="F287" s="9"/>
      <c r="G287" s="21">
        <v>0.34515400000000002</v>
      </c>
      <c r="H287" s="21">
        <v>7.8849900000000002</v>
      </c>
      <c r="I287" s="21">
        <v>-8.4960899999999995E-3</v>
      </c>
      <c r="J287" s="21">
        <v>277</v>
      </c>
      <c r="K287" s="21">
        <v>0.34454299999999999</v>
      </c>
      <c r="L287">
        <f t="shared" si="48"/>
        <v>10.488999999999999</v>
      </c>
      <c r="M287">
        <f t="shared" si="49"/>
        <v>3.620320306</v>
      </c>
      <c r="N287" s="9"/>
      <c r="O287" s="21">
        <v>1.2948599999999999</v>
      </c>
      <c r="P287" s="21">
        <v>11.583299999999999</v>
      </c>
      <c r="Q287" s="21">
        <v>-6.09131E-3</v>
      </c>
      <c r="R287" s="21">
        <v>277</v>
      </c>
      <c r="S287" s="21">
        <v>1.2942499999999999</v>
      </c>
      <c r="T287">
        <f t="shared" si="50"/>
        <v>7.5201358024691354</v>
      </c>
      <c r="U287">
        <f t="shared" si="51"/>
        <v>9.7375230451851831</v>
      </c>
      <c r="X287" s="9"/>
      <c r="Y287" s="21">
        <v>0.34515400000000002</v>
      </c>
      <c r="Z287" s="21">
        <v>17.020199999999999</v>
      </c>
      <c r="AA287" s="21">
        <v>-8.45337E-3</v>
      </c>
      <c r="AB287" s="21">
        <v>277</v>
      </c>
      <c r="AC287" s="21">
        <v>0.34460400000000002</v>
      </c>
      <c r="AD287">
        <f t="shared" si="52"/>
        <v>10.436259259259257</v>
      </c>
      <c r="AE287">
        <f t="shared" si="53"/>
        <v>3.6021166283703701</v>
      </c>
      <c r="AF287" s="9"/>
      <c r="AG287" s="21">
        <v>1.2948599999999999</v>
      </c>
      <c r="AH287" s="21">
        <v>20.718499999999999</v>
      </c>
      <c r="AI287" s="21">
        <v>-6.0424800000000002E-3</v>
      </c>
      <c r="AJ287" s="21">
        <v>277</v>
      </c>
      <c r="AK287" s="21">
        <v>1.2939499999999999</v>
      </c>
      <c r="AL287">
        <f t="shared" si="54"/>
        <v>7.4598518518518517</v>
      </c>
      <c r="AM287">
        <f t="shared" si="55"/>
        <v>9.6594637688888874</v>
      </c>
      <c r="AP287" s="9"/>
      <c r="AQ287" s="21">
        <v>0.34515400000000002</v>
      </c>
      <c r="AR287" s="21">
        <v>26.0824</v>
      </c>
      <c r="AS287" s="21">
        <v>-8.4716800000000005E-3</v>
      </c>
      <c r="AT287" s="21">
        <v>277</v>
      </c>
      <c r="AU287" s="21">
        <v>0.34463500000000002</v>
      </c>
      <c r="AV287">
        <f t="shared" si="56"/>
        <v>10.458864197530865</v>
      </c>
      <c r="AW287">
        <f t="shared" si="57"/>
        <v>3.6099188132345681</v>
      </c>
      <c r="AX287" s="9"/>
      <c r="AY287" s="21">
        <v>1.2948599999999999</v>
      </c>
      <c r="AZ287" s="21">
        <v>29.780799999999999</v>
      </c>
      <c r="BA287" s="21">
        <v>-5.9722899999999999E-3</v>
      </c>
      <c r="BB287" s="21">
        <v>277</v>
      </c>
      <c r="BC287" s="21">
        <v>1.2942499999999999</v>
      </c>
      <c r="BD287">
        <f t="shared" si="58"/>
        <v>7.3731975308641973</v>
      </c>
      <c r="BE287">
        <f t="shared" si="59"/>
        <v>9.5472585548148139</v>
      </c>
    </row>
    <row r="288" spans="6:101" x14ac:dyDescent="0.25">
      <c r="F288" s="9"/>
      <c r="G288" s="21">
        <v>0.34011799999999998</v>
      </c>
      <c r="H288" s="21">
        <v>7.89506</v>
      </c>
      <c r="I288" s="21">
        <v>-8.5021999999999997E-3</v>
      </c>
      <c r="J288" s="21">
        <v>278</v>
      </c>
      <c r="K288" s="21">
        <v>0.33960000000000001</v>
      </c>
      <c r="L288">
        <f t="shared" si="48"/>
        <v>10.496543209876542</v>
      </c>
      <c r="M288">
        <f t="shared" si="49"/>
        <v>3.5700632834567894</v>
      </c>
      <c r="N288" s="9"/>
      <c r="O288" s="21">
        <v>1.2999000000000001</v>
      </c>
      <c r="P288" s="21">
        <v>11.593400000000001</v>
      </c>
      <c r="Q288" s="21">
        <v>-6.0852099999999998E-3</v>
      </c>
      <c r="R288" s="21">
        <v>278</v>
      </c>
      <c r="S288" s="21">
        <v>1.2991299999999999</v>
      </c>
      <c r="T288">
        <f t="shared" si="50"/>
        <v>7.5126049382716049</v>
      </c>
      <c r="U288">
        <f t="shared" si="51"/>
        <v>9.7656351592592596</v>
      </c>
      <c r="X288" s="9"/>
      <c r="Y288" s="21">
        <v>0.34011799999999998</v>
      </c>
      <c r="Z288" s="21">
        <v>17.0303</v>
      </c>
      <c r="AA288" s="21">
        <v>-8.4625199999999994E-3</v>
      </c>
      <c r="AB288" s="21">
        <v>278</v>
      </c>
      <c r="AC288" s="21">
        <v>0.33953899999999998</v>
      </c>
      <c r="AD288">
        <f t="shared" si="52"/>
        <v>10.447555555555553</v>
      </c>
      <c r="AE288">
        <f t="shared" si="53"/>
        <v>3.5534017004444434</v>
      </c>
      <c r="AF288" s="9"/>
      <c r="AG288" s="21">
        <v>1.2999000000000001</v>
      </c>
      <c r="AH288" s="21">
        <v>20.7286</v>
      </c>
      <c r="AI288" s="21">
        <v>-6.0272199999999998E-3</v>
      </c>
      <c r="AJ288" s="21">
        <v>278</v>
      </c>
      <c r="AK288" s="21">
        <v>1.2988299999999999</v>
      </c>
      <c r="AL288">
        <f t="shared" si="54"/>
        <v>7.4410123456790114</v>
      </c>
      <c r="AM288">
        <f t="shared" si="55"/>
        <v>9.672571948148148</v>
      </c>
      <c r="AP288" s="9"/>
      <c r="AQ288" s="21">
        <v>0.34011799999999998</v>
      </c>
      <c r="AR288" s="21">
        <v>26.092500000000001</v>
      </c>
      <c r="AS288" s="21">
        <v>-8.4655800000000003E-3</v>
      </c>
      <c r="AT288" s="21">
        <v>278</v>
      </c>
      <c r="AU288" s="21">
        <v>0.33956900000000001</v>
      </c>
      <c r="AV288">
        <f t="shared" si="56"/>
        <v>10.451333333333332</v>
      </c>
      <c r="AW288">
        <f t="shared" si="57"/>
        <v>3.554686590666666</v>
      </c>
      <c r="AX288" s="9"/>
      <c r="AY288" s="21">
        <v>1.2999000000000001</v>
      </c>
      <c r="AZ288" s="21">
        <v>29.790800000000001</v>
      </c>
      <c r="BA288" s="21">
        <v>-5.9570300000000003E-3</v>
      </c>
      <c r="BB288" s="21">
        <v>278</v>
      </c>
      <c r="BC288" s="21">
        <v>1.2997399999999999</v>
      </c>
      <c r="BD288">
        <f t="shared" si="58"/>
        <v>7.3543580246913578</v>
      </c>
      <c r="BE288">
        <f t="shared" si="59"/>
        <v>9.5599299962962956</v>
      </c>
    </row>
    <row r="289" spans="6:57" x14ac:dyDescent="0.25">
      <c r="F289" s="9"/>
      <c r="G289" s="21">
        <v>0.33508300000000002</v>
      </c>
      <c r="H289" s="21">
        <v>7.9051299999999998</v>
      </c>
      <c r="I289" s="21">
        <v>-8.5082999999999999E-3</v>
      </c>
      <c r="J289" s="21">
        <v>279</v>
      </c>
      <c r="K289" s="21">
        <v>0.334534</v>
      </c>
      <c r="L289">
        <f t="shared" si="48"/>
        <v>10.504074074074074</v>
      </c>
      <c r="M289">
        <f t="shared" si="49"/>
        <v>3.5197366529629632</v>
      </c>
      <c r="N289" s="9"/>
      <c r="O289" s="21">
        <v>1.3049299999999999</v>
      </c>
      <c r="P289" s="21">
        <v>11.6035</v>
      </c>
      <c r="Q289" s="21">
        <v>-6.0668900000000001E-3</v>
      </c>
      <c r="R289" s="21">
        <v>279</v>
      </c>
      <c r="S289" s="21">
        <v>1.3037099999999999</v>
      </c>
      <c r="T289">
        <f t="shared" si="50"/>
        <v>7.4899876543209869</v>
      </c>
      <c r="U289">
        <f t="shared" si="51"/>
        <v>9.7739095897530852</v>
      </c>
      <c r="X289" s="9"/>
      <c r="Y289" s="21">
        <v>0.33508300000000002</v>
      </c>
      <c r="Z289" s="21">
        <v>17.040299999999998</v>
      </c>
      <c r="AA289" s="21">
        <v>-8.4716800000000005E-3</v>
      </c>
      <c r="AB289" s="21">
        <v>279</v>
      </c>
      <c r="AC289" s="21">
        <v>0.33459499999999998</v>
      </c>
      <c r="AD289">
        <f t="shared" si="52"/>
        <v>10.458864197530865</v>
      </c>
      <c r="AE289">
        <f t="shared" si="53"/>
        <v>3.504587591901235</v>
      </c>
      <c r="AF289" s="9"/>
      <c r="AG289" s="21">
        <v>1.3049299999999999</v>
      </c>
      <c r="AH289" s="21">
        <v>20.738700000000001</v>
      </c>
      <c r="AI289" s="21">
        <v>-6.0150100000000003E-3</v>
      </c>
      <c r="AJ289" s="21">
        <v>279</v>
      </c>
      <c r="AK289" s="21">
        <v>1.30402</v>
      </c>
      <c r="AL289">
        <f t="shared" si="54"/>
        <v>7.425938271604938</v>
      </c>
      <c r="AM289">
        <f t="shared" si="55"/>
        <v>9.690329628765431</v>
      </c>
      <c r="AP289" s="9"/>
      <c r="AQ289" s="21">
        <v>0.33508300000000002</v>
      </c>
      <c r="AR289" s="21">
        <v>26.102499999999999</v>
      </c>
      <c r="AS289" s="21">
        <v>-8.4655800000000003E-3</v>
      </c>
      <c r="AT289" s="21">
        <v>279</v>
      </c>
      <c r="AU289" s="21">
        <v>0.334534</v>
      </c>
      <c r="AV289">
        <f t="shared" si="56"/>
        <v>10.451333333333332</v>
      </c>
      <c r="AW289">
        <f t="shared" si="57"/>
        <v>3.5020641273333331</v>
      </c>
      <c r="AX289" s="9"/>
      <c r="AY289" s="21">
        <v>1.3049299999999999</v>
      </c>
      <c r="AZ289" s="21">
        <v>29.800899999999999</v>
      </c>
      <c r="BA289" s="21">
        <v>-5.9387199999999998E-3</v>
      </c>
      <c r="BB289" s="21">
        <v>279</v>
      </c>
      <c r="BC289" s="21">
        <v>1.3043199999999999</v>
      </c>
      <c r="BD289">
        <f t="shared" si="58"/>
        <v>7.3317530864197522</v>
      </c>
      <c r="BE289">
        <f t="shared" si="59"/>
        <v>9.5674245550617272</v>
      </c>
    </row>
    <row r="290" spans="6:57" x14ac:dyDescent="0.25">
      <c r="F290" s="9"/>
      <c r="G290" s="21">
        <v>0.33004800000000001</v>
      </c>
      <c r="H290" s="21">
        <v>7.9151999999999996</v>
      </c>
      <c r="I290" s="21">
        <v>-8.5144000000000001E-3</v>
      </c>
      <c r="J290" s="21">
        <v>280</v>
      </c>
      <c r="K290" s="21">
        <v>0.32952900000000002</v>
      </c>
      <c r="L290">
        <f t="shared" si="48"/>
        <v>10.511604938271603</v>
      </c>
      <c r="M290">
        <f t="shared" si="49"/>
        <v>3.469334186666666</v>
      </c>
      <c r="N290" s="9"/>
      <c r="O290" s="21">
        <v>1.3099700000000001</v>
      </c>
      <c r="P290" s="21">
        <v>11.6135</v>
      </c>
      <c r="Q290" s="21">
        <v>-6.0485799999999996E-3</v>
      </c>
      <c r="R290" s="21">
        <v>280</v>
      </c>
      <c r="S290" s="21">
        <v>1.3089</v>
      </c>
      <c r="T290">
        <f t="shared" si="50"/>
        <v>7.4673827160493822</v>
      </c>
      <c r="U290">
        <f t="shared" si="51"/>
        <v>9.7820473365432097</v>
      </c>
      <c r="X290" s="9"/>
      <c r="Y290" s="21">
        <v>0.33004800000000001</v>
      </c>
      <c r="Z290" s="21">
        <v>17.0504</v>
      </c>
      <c r="AA290" s="21">
        <v>-8.4777800000000007E-3</v>
      </c>
      <c r="AB290" s="21">
        <v>280</v>
      </c>
      <c r="AC290" s="21">
        <v>0.32952900000000002</v>
      </c>
      <c r="AD290">
        <f t="shared" si="52"/>
        <v>10.466395061728395</v>
      </c>
      <c r="AE290">
        <f t="shared" si="53"/>
        <v>3.4544127573333334</v>
      </c>
      <c r="AF290" s="9"/>
      <c r="AG290" s="21">
        <v>1.3099700000000001</v>
      </c>
      <c r="AH290" s="21">
        <v>20.748799999999999</v>
      </c>
      <c r="AI290" s="21">
        <v>-5.9966999999999998E-3</v>
      </c>
      <c r="AJ290" s="21">
        <v>280</v>
      </c>
      <c r="AK290" s="21">
        <v>1.3091999999999999</v>
      </c>
      <c r="AL290">
        <f t="shared" si="54"/>
        <v>7.4033333333333333</v>
      </c>
      <c r="AM290">
        <f t="shared" si="55"/>
        <v>9.6981445666666666</v>
      </c>
      <c r="AP290" s="9"/>
      <c r="AQ290" s="21">
        <v>0.33004800000000001</v>
      </c>
      <c r="AR290" s="21">
        <v>26.1126</v>
      </c>
      <c r="AS290" s="21">
        <v>-8.4686299999999996E-3</v>
      </c>
      <c r="AT290" s="21">
        <v>280</v>
      </c>
      <c r="AU290" s="21">
        <v>0.32949800000000001</v>
      </c>
      <c r="AV290">
        <f t="shared" si="56"/>
        <v>10.455098765432098</v>
      </c>
      <c r="AW290">
        <f t="shared" si="57"/>
        <v>3.450684437333333</v>
      </c>
      <c r="AX290" s="9"/>
      <c r="AY290" s="21">
        <v>1.3099700000000001</v>
      </c>
      <c r="AZ290" s="21">
        <v>29.811</v>
      </c>
      <c r="BA290" s="21">
        <v>-5.9265100000000003E-3</v>
      </c>
      <c r="BB290" s="21">
        <v>280</v>
      </c>
      <c r="BC290" s="21">
        <v>1.3091999999999999</v>
      </c>
      <c r="BD290">
        <f t="shared" si="58"/>
        <v>7.3166790123456789</v>
      </c>
      <c r="BE290">
        <f t="shared" si="59"/>
        <v>9.5846300058024703</v>
      </c>
    </row>
    <row r="291" spans="6:57" x14ac:dyDescent="0.25">
      <c r="F291" s="9"/>
      <c r="G291" s="21">
        <v>0.32501200000000002</v>
      </c>
      <c r="H291" s="21">
        <v>7.9252700000000003</v>
      </c>
      <c r="I291" s="21">
        <v>-8.5235599999999995E-3</v>
      </c>
      <c r="J291" s="21">
        <v>281</v>
      </c>
      <c r="K291" s="21">
        <v>0.32455400000000001</v>
      </c>
      <c r="L291">
        <f t="shared" si="48"/>
        <v>10.522913580246913</v>
      </c>
      <c r="M291">
        <f t="shared" si="49"/>
        <v>3.4200731885432099</v>
      </c>
      <c r="N291" s="9"/>
      <c r="O291" s="21">
        <v>1.3149999999999999</v>
      </c>
      <c r="P291" s="21">
        <v>11.6236</v>
      </c>
      <c r="Q291" s="21">
        <v>-6.03638E-3</v>
      </c>
      <c r="R291" s="21">
        <v>281</v>
      </c>
      <c r="S291" s="21">
        <v>1.31409</v>
      </c>
      <c r="T291">
        <f t="shared" si="50"/>
        <v>7.4523209876543204</v>
      </c>
      <c r="U291">
        <f t="shared" si="51"/>
        <v>9.7998020987654311</v>
      </c>
      <c r="X291" s="9"/>
      <c r="Y291" s="21">
        <v>0.32501200000000002</v>
      </c>
      <c r="Z291" s="21">
        <v>17.060500000000001</v>
      </c>
      <c r="AA291" s="21">
        <v>-8.4930400000000003E-3</v>
      </c>
      <c r="AB291" s="21">
        <v>281</v>
      </c>
      <c r="AC291" s="21">
        <v>0.32455400000000001</v>
      </c>
      <c r="AD291">
        <f t="shared" si="52"/>
        <v>10.485234567901234</v>
      </c>
      <c r="AE291">
        <f t="shared" si="53"/>
        <v>3.4078270573827161</v>
      </c>
      <c r="AF291" s="9"/>
      <c r="AG291" s="21">
        <v>1.3149999999999999</v>
      </c>
      <c r="AH291" s="21">
        <v>20.758800000000001</v>
      </c>
      <c r="AI291" s="21">
        <v>-5.9814500000000001E-3</v>
      </c>
      <c r="AJ291" s="21">
        <v>281</v>
      </c>
      <c r="AK291" s="21">
        <v>1.31409</v>
      </c>
      <c r="AL291">
        <f t="shared" si="54"/>
        <v>7.3845061728395054</v>
      </c>
      <c r="AM291">
        <f t="shared" si="55"/>
        <v>9.7106256172839487</v>
      </c>
      <c r="AP291" s="9"/>
      <c r="AQ291" s="21">
        <v>0.32501200000000002</v>
      </c>
      <c r="AR291" s="21">
        <v>26.122699999999998</v>
      </c>
      <c r="AS291" s="21">
        <v>-8.4686299999999996E-3</v>
      </c>
      <c r="AT291" s="21">
        <v>281</v>
      </c>
      <c r="AU291" s="21">
        <v>0.32449299999999998</v>
      </c>
      <c r="AV291">
        <f t="shared" si="56"/>
        <v>10.455098765432098</v>
      </c>
      <c r="AW291">
        <f t="shared" si="57"/>
        <v>3.3980325599506171</v>
      </c>
      <c r="AX291" s="9"/>
      <c r="AY291" s="21">
        <v>1.3149999999999999</v>
      </c>
      <c r="AZ291" s="21">
        <v>29.821000000000002</v>
      </c>
      <c r="BA291" s="21">
        <v>-5.9112499999999998E-3</v>
      </c>
      <c r="BB291" s="21">
        <v>281</v>
      </c>
      <c r="BC291" s="21">
        <v>1.3147</v>
      </c>
      <c r="BD291">
        <f t="shared" si="58"/>
        <v>7.2978395061728385</v>
      </c>
      <c r="BE291">
        <f t="shared" si="59"/>
        <v>9.5966589506172824</v>
      </c>
    </row>
    <row r="292" spans="6:57" x14ac:dyDescent="0.25">
      <c r="F292" s="9"/>
      <c r="G292" s="21">
        <v>0.31997700000000001</v>
      </c>
      <c r="H292" s="21">
        <v>7.9353400000000001</v>
      </c>
      <c r="I292" s="21">
        <v>-8.5296599999999997E-3</v>
      </c>
      <c r="J292" s="21">
        <v>282</v>
      </c>
      <c r="K292" s="21">
        <v>0.31939699999999999</v>
      </c>
      <c r="L292">
        <f t="shared" si="48"/>
        <v>10.530444444444443</v>
      </c>
      <c r="M292">
        <f t="shared" si="49"/>
        <v>3.3695000219999995</v>
      </c>
      <c r="N292" s="9"/>
      <c r="O292" s="21">
        <v>1.3200400000000001</v>
      </c>
      <c r="P292" s="21">
        <v>11.633699999999999</v>
      </c>
      <c r="Q292" s="21">
        <v>-6.0241699999999997E-3</v>
      </c>
      <c r="R292" s="21">
        <v>282</v>
      </c>
      <c r="S292" s="21">
        <v>1.31897</v>
      </c>
      <c r="T292">
        <f t="shared" si="50"/>
        <v>7.4372469135802461</v>
      </c>
      <c r="U292">
        <f t="shared" si="51"/>
        <v>9.8174634158024681</v>
      </c>
      <c r="X292" s="9"/>
      <c r="Y292" s="21">
        <v>0.31997700000000001</v>
      </c>
      <c r="Z292" s="21">
        <v>17.070599999999999</v>
      </c>
      <c r="AA292" s="21">
        <v>-8.5082999999999999E-3</v>
      </c>
      <c r="AB292" s="21">
        <v>282</v>
      </c>
      <c r="AC292" s="21">
        <v>0.31945800000000002</v>
      </c>
      <c r="AD292">
        <f t="shared" si="52"/>
        <v>10.504074074074074</v>
      </c>
      <c r="AE292">
        <f t="shared" si="53"/>
        <v>3.3610621100000002</v>
      </c>
      <c r="AF292" s="9"/>
      <c r="AG292" s="21">
        <v>1.3200400000000001</v>
      </c>
      <c r="AH292" s="21">
        <v>20.768899999999999</v>
      </c>
      <c r="AI292" s="21">
        <v>-5.9570300000000003E-3</v>
      </c>
      <c r="AJ292" s="21">
        <v>282</v>
      </c>
      <c r="AK292" s="21">
        <v>1.3192699999999999</v>
      </c>
      <c r="AL292">
        <f t="shared" si="54"/>
        <v>7.3543580246913578</v>
      </c>
      <c r="AM292">
        <f t="shared" si="55"/>
        <v>9.708046766913581</v>
      </c>
      <c r="AP292" s="9"/>
      <c r="AQ292" s="21">
        <v>0.31997700000000001</v>
      </c>
      <c r="AR292" s="21">
        <v>26.1327</v>
      </c>
      <c r="AS292" s="21">
        <v>-8.4747299999999998E-3</v>
      </c>
      <c r="AT292" s="21">
        <v>282</v>
      </c>
      <c r="AU292" s="21">
        <v>0.31948900000000002</v>
      </c>
      <c r="AV292">
        <f t="shared" si="56"/>
        <v>10.462629629629628</v>
      </c>
      <c r="AW292">
        <f t="shared" si="57"/>
        <v>3.3478008409999997</v>
      </c>
      <c r="AX292" s="9"/>
      <c r="AY292" s="21">
        <v>1.3200400000000001</v>
      </c>
      <c r="AZ292" s="21">
        <v>29.831099999999999</v>
      </c>
      <c r="BA292" s="21">
        <v>-5.8990500000000003E-3</v>
      </c>
      <c r="BB292" s="21">
        <v>282</v>
      </c>
      <c r="BC292" s="21">
        <v>1.3192699999999999</v>
      </c>
      <c r="BD292">
        <f t="shared" si="58"/>
        <v>7.2827777777777776</v>
      </c>
      <c r="BE292">
        <f t="shared" si="59"/>
        <v>9.6135579777777789</v>
      </c>
    </row>
    <row r="293" spans="6:57" x14ac:dyDescent="0.25">
      <c r="F293" s="9"/>
      <c r="G293" s="21">
        <v>0.31494100000000003</v>
      </c>
      <c r="H293" s="21">
        <v>7.9454099999999999</v>
      </c>
      <c r="I293" s="21">
        <v>-8.5357699999999998E-3</v>
      </c>
      <c r="J293" s="21">
        <v>283</v>
      </c>
      <c r="K293" s="21">
        <v>0.31445299999999998</v>
      </c>
      <c r="L293">
        <f t="shared" si="48"/>
        <v>10.537987654320986</v>
      </c>
      <c r="M293">
        <f t="shared" si="49"/>
        <v>3.318844369839506</v>
      </c>
      <c r="N293" s="9"/>
      <c r="O293" s="21">
        <v>1.32507</v>
      </c>
      <c r="P293" s="21">
        <v>11.643800000000001</v>
      </c>
      <c r="Q293" s="21">
        <v>-6.0089100000000001E-3</v>
      </c>
      <c r="R293" s="21">
        <v>283</v>
      </c>
      <c r="S293" s="21">
        <v>1.32477</v>
      </c>
      <c r="T293">
        <f t="shared" si="50"/>
        <v>7.4184074074074076</v>
      </c>
      <c r="U293">
        <f t="shared" si="51"/>
        <v>9.8299091033333337</v>
      </c>
      <c r="X293" s="9"/>
      <c r="Y293" s="21">
        <v>0.31494100000000003</v>
      </c>
      <c r="Z293" s="21">
        <v>17.0806</v>
      </c>
      <c r="AA293" s="21">
        <v>-8.5174599999999993E-3</v>
      </c>
      <c r="AB293" s="21">
        <v>283</v>
      </c>
      <c r="AC293" s="21">
        <v>0.31454500000000002</v>
      </c>
      <c r="AD293">
        <f t="shared" si="52"/>
        <v>10.515382716049382</v>
      </c>
      <c r="AE293">
        <f t="shared" si="53"/>
        <v>3.3117251479753089</v>
      </c>
      <c r="AF293" s="9"/>
      <c r="AG293" s="21">
        <v>1.32507</v>
      </c>
      <c r="AH293" s="21">
        <v>20.779</v>
      </c>
      <c r="AI293" s="21">
        <v>-5.9356699999999997E-3</v>
      </c>
      <c r="AJ293" s="21">
        <v>283</v>
      </c>
      <c r="AK293" s="21">
        <v>1.32416</v>
      </c>
      <c r="AL293">
        <f t="shared" si="54"/>
        <v>7.3279876543209861</v>
      </c>
      <c r="AM293">
        <f t="shared" si="55"/>
        <v>9.7100966011111094</v>
      </c>
      <c r="AP293" s="9"/>
      <c r="AQ293" s="21">
        <v>0.31494100000000003</v>
      </c>
      <c r="AR293" s="21">
        <v>26.142800000000001</v>
      </c>
      <c r="AS293" s="21">
        <v>-8.4747299999999998E-3</v>
      </c>
      <c r="AT293" s="21">
        <v>283</v>
      </c>
      <c r="AU293" s="21">
        <v>0.31442300000000001</v>
      </c>
      <c r="AV293">
        <f t="shared" si="56"/>
        <v>10.462629629629628</v>
      </c>
      <c r="AW293">
        <f t="shared" si="57"/>
        <v>3.2951110381851851</v>
      </c>
      <c r="AX293" s="9"/>
      <c r="AY293" s="21">
        <v>1.32507</v>
      </c>
      <c r="AZ293" s="21">
        <v>29.841200000000001</v>
      </c>
      <c r="BA293" s="21">
        <v>-5.8807399999999998E-3</v>
      </c>
      <c r="BB293" s="21">
        <v>283</v>
      </c>
      <c r="BC293" s="21">
        <v>1.32416</v>
      </c>
      <c r="BD293">
        <f t="shared" si="58"/>
        <v>7.260172839506172</v>
      </c>
      <c r="BE293">
        <f t="shared" si="59"/>
        <v>9.620237224444443</v>
      </c>
    </row>
    <row r="294" spans="6:57" x14ac:dyDescent="0.25">
      <c r="F294" s="9"/>
      <c r="G294" s="21">
        <v>0.30990600000000001</v>
      </c>
      <c r="H294" s="21">
        <v>7.9554900000000002</v>
      </c>
      <c r="I294" s="21">
        <v>-8.54187E-3</v>
      </c>
      <c r="J294" s="21">
        <v>284</v>
      </c>
      <c r="K294" s="21">
        <v>0.30935699999999999</v>
      </c>
      <c r="L294">
        <f t="shared" si="48"/>
        <v>10.545518518518518</v>
      </c>
      <c r="M294">
        <f t="shared" si="49"/>
        <v>3.268119462</v>
      </c>
      <c r="N294" s="9"/>
      <c r="O294" s="21">
        <v>1.3301099999999999</v>
      </c>
      <c r="P294" s="21">
        <v>11.6538</v>
      </c>
      <c r="Q294" s="21">
        <v>-5.9845000000000002E-3</v>
      </c>
      <c r="R294" s="21">
        <v>284</v>
      </c>
      <c r="S294" s="21">
        <v>1.32904</v>
      </c>
      <c r="T294">
        <f t="shared" si="50"/>
        <v>7.3882716049382715</v>
      </c>
      <c r="U294">
        <f t="shared" si="51"/>
        <v>9.8272139444444431</v>
      </c>
      <c r="X294" s="9"/>
      <c r="Y294" s="21">
        <v>0.30990600000000001</v>
      </c>
      <c r="Z294" s="21">
        <v>17.090699999999998</v>
      </c>
      <c r="AA294" s="21">
        <v>-8.5296599999999997E-3</v>
      </c>
      <c r="AB294" s="21">
        <v>284</v>
      </c>
      <c r="AC294" s="21">
        <v>0.30941800000000003</v>
      </c>
      <c r="AD294">
        <f t="shared" si="52"/>
        <v>10.530444444444443</v>
      </c>
      <c r="AE294">
        <f t="shared" si="53"/>
        <v>3.2634479159999996</v>
      </c>
      <c r="AF294" s="9"/>
      <c r="AG294" s="21">
        <v>1.3301099999999999</v>
      </c>
      <c r="AH294" s="21">
        <v>20.789000000000001</v>
      </c>
      <c r="AI294" s="21">
        <v>-5.91736E-3</v>
      </c>
      <c r="AJ294" s="21">
        <v>284</v>
      </c>
      <c r="AK294" s="21">
        <v>1.32904</v>
      </c>
      <c r="AL294">
        <f t="shared" si="54"/>
        <v>7.3053827160493823</v>
      </c>
      <c r="AM294">
        <f t="shared" si="55"/>
        <v>9.7169626044444435</v>
      </c>
      <c r="AP294" s="9"/>
      <c r="AQ294" s="21">
        <v>0.30990600000000001</v>
      </c>
      <c r="AR294" s="21">
        <v>26.152899999999999</v>
      </c>
      <c r="AS294" s="21">
        <v>-8.4838899999999991E-3</v>
      </c>
      <c r="AT294" s="21">
        <v>284</v>
      </c>
      <c r="AU294" s="21">
        <v>0.30941800000000003</v>
      </c>
      <c r="AV294">
        <f t="shared" si="56"/>
        <v>10.473938271604936</v>
      </c>
      <c r="AW294">
        <f t="shared" si="57"/>
        <v>3.2459363139999997</v>
      </c>
      <c r="AX294" s="9"/>
      <c r="AY294" s="21">
        <v>1.3301099999999999</v>
      </c>
      <c r="AZ294" s="21">
        <v>29.851299999999998</v>
      </c>
      <c r="BA294" s="21">
        <v>-5.8654800000000002E-3</v>
      </c>
      <c r="BB294" s="21">
        <v>284</v>
      </c>
      <c r="BC294" s="21">
        <v>1.32904</v>
      </c>
      <c r="BD294">
        <f t="shared" si="58"/>
        <v>7.2413333333333334</v>
      </c>
      <c r="BE294">
        <f t="shared" si="59"/>
        <v>9.6317698800000002</v>
      </c>
    </row>
    <row r="295" spans="6:57" x14ac:dyDescent="0.25">
      <c r="F295" s="9"/>
      <c r="G295" s="21">
        <v>0.304871</v>
      </c>
      <c r="H295" s="21">
        <v>7.96556</v>
      </c>
      <c r="I295" s="21">
        <v>-8.54187E-3</v>
      </c>
      <c r="J295" s="21">
        <v>285</v>
      </c>
      <c r="K295" s="21">
        <v>0.30435200000000001</v>
      </c>
      <c r="L295">
        <f t="shared" si="48"/>
        <v>10.545518518518518</v>
      </c>
      <c r="M295">
        <f t="shared" si="49"/>
        <v>3.2150227762592594</v>
      </c>
      <c r="N295" s="9"/>
      <c r="O295" s="21">
        <v>1.33514</v>
      </c>
      <c r="P295" s="21">
        <v>11.6639</v>
      </c>
      <c r="Q295" s="21">
        <v>-5.9539800000000002E-3</v>
      </c>
      <c r="R295" s="21">
        <v>285</v>
      </c>
      <c r="S295" s="21">
        <v>1.33453</v>
      </c>
      <c r="T295">
        <f t="shared" si="50"/>
        <v>7.3505925925925926</v>
      </c>
      <c r="U295">
        <f t="shared" si="51"/>
        <v>9.8140701940740733</v>
      </c>
      <c r="X295" s="9"/>
      <c r="Y295" s="21">
        <v>0.304871</v>
      </c>
      <c r="Z295" s="21">
        <v>17.1008</v>
      </c>
      <c r="AA295" s="21">
        <v>-8.5327100000000006E-3</v>
      </c>
      <c r="AB295" s="21">
        <v>285</v>
      </c>
      <c r="AC295" s="21">
        <v>0.30435200000000001</v>
      </c>
      <c r="AD295">
        <f t="shared" si="52"/>
        <v>10.53420987654321</v>
      </c>
      <c r="AE295">
        <f t="shared" si="53"/>
        <v>3.211575099271605</v>
      </c>
      <c r="AF295" s="9"/>
      <c r="AG295" s="21">
        <v>1.33514</v>
      </c>
      <c r="AH295" s="21">
        <v>20.799099999999999</v>
      </c>
      <c r="AI295" s="21">
        <v>-5.8960000000000002E-3</v>
      </c>
      <c r="AJ295" s="21">
        <v>285</v>
      </c>
      <c r="AK295" s="21">
        <v>1.33423</v>
      </c>
      <c r="AL295">
        <f t="shared" si="54"/>
        <v>7.2790123456790123</v>
      </c>
      <c r="AM295">
        <f t="shared" si="55"/>
        <v>9.7185005432098759</v>
      </c>
      <c r="AP295" s="9"/>
      <c r="AQ295" s="21">
        <v>0.304871</v>
      </c>
      <c r="AR295" s="21">
        <v>26.163</v>
      </c>
      <c r="AS295" s="21">
        <v>-8.4869400000000001E-3</v>
      </c>
      <c r="AT295" s="21">
        <v>285</v>
      </c>
      <c r="AU295" s="21">
        <v>0.30438199999999999</v>
      </c>
      <c r="AV295">
        <f t="shared" si="56"/>
        <v>10.477703703703703</v>
      </c>
      <c r="AW295">
        <f t="shared" si="57"/>
        <v>3.1943480058518516</v>
      </c>
      <c r="AX295" s="9"/>
      <c r="AY295" s="21">
        <v>1.33514</v>
      </c>
      <c r="AZ295" s="21">
        <v>29.8613</v>
      </c>
      <c r="BA295" s="21">
        <v>-5.8502199999999997E-3</v>
      </c>
      <c r="BB295" s="21">
        <v>285</v>
      </c>
      <c r="BC295" s="21">
        <v>1.33453</v>
      </c>
      <c r="BD295">
        <f t="shared" si="58"/>
        <v>7.222493827160493</v>
      </c>
      <c r="BE295">
        <f t="shared" si="59"/>
        <v>9.6430404083950609</v>
      </c>
    </row>
    <row r="296" spans="6:57" x14ac:dyDescent="0.25">
      <c r="F296" s="9"/>
      <c r="G296" s="21">
        <v>0.29983500000000002</v>
      </c>
      <c r="H296" s="21">
        <v>7.9756299999999998</v>
      </c>
      <c r="I296" s="21">
        <v>-8.5540800000000004E-3</v>
      </c>
      <c r="J296" s="21">
        <v>286</v>
      </c>
      <c r="K296" s="21">
        <v>0.29931600000000003</v>
      </c>
      <c r="L296">
        <f t="shared" si="48"/>
        <v>10.560592592592592</v>
      </c>
      <c r="M296">
        <f t="shared" si="49"/>
        <v>3.16643528</v>
      </c>
      <c r="N296" s="9"/>
      <c r="O296" s="21">
        <v>1.3401799999999999</v>
      </c>
      <c r="P296" s="21">
        <v>11.673999999999999</v>
      </c>
      <c r="Q296" s="21">
        <v>-5.9265100000000003E-3</v>
      </c>
      <c r="R296" s="21">
        <v>286</v>
      </c>
      <c r="S296" s="21">
        <v>1.33911</v>
      </c>
      <c r="T296">
        <f t="shared" si="50"/>
        <v>7.3166790123456789</v>
      </c>
      <c r="U296">
        <f t="shared" si="51"/>
        <v>9.8056668787654306</v>
      </c>
      <c r="X296" s="9"/>
      <c r="Y296" s="21">
        <v>0.29983500000000002</v>
      </c>
      <c r="Z296" s="21">
        <v>17.110800000000001</v>
      </c>
      <c r="AA296" s="21">
        <v>-8.5449199999999993E-3</v>
      </c>
      <c r="AB296" s="21">
        <v>286</v>
      </c>
      <c r="AC296" s="21">
        <v>0.29934699999999997</v>
      </c>
      <c r="AD296">
        <f t="shared" si="52"/>
        <v>10.549283950617282</v>
      </c>
      <c r="AE296">
        <f t="shared" si="53"/>
        <v>3.1630445533333327</v>
      </c>
      <c r="AF296" s="9"/>
      <c r="AG296" s="21">
        <v>1.3401799999999999</v>
      </c>
      <c r="AH296" s="21">
        <v>20.809200000000001</v>
      </c>
      <c r="AI296" s="21">
        <v>-5.8776899999999997E-3</v>
      </c>
      <c r="AJ296" s="21">
        <v>286</v>
      </c>
      <c r="AK296" s="21">
        <v>1.3394200000000001</v>
      </c>
      <c r="AL296">
        <f t="shared" si="54"/>
        <v>7.2564074074074068</v>
      </c>
      <c r="AM296">
        <f t="shared" si="55"/>
        <v>9.7248920792592575</v>
      </c>
      <c r="AP296" s="9"/>
      <c r="AQ296" s="21">
        <v>0.29983500000000002</v>
      </c>
      <c r="AR296" s="21">
        <v>26.172999999999998</v>
      </c>
      <c r="AS296" s="21">
        <v>-8.4960899999999995E-3</v>
      </c>
      <c r="AT296" s="21">
        <v>286</v>
      </c>
      <c r="AU296" s="21">
        <v>0.29934699999999997</v>
      </c>
      <c r="AV296">
        <f t="shared" si="56"/>
        <v>10.488999999999999</v>
      </c>
      <c r="AW296">
        <f t="shared" si="57"/>
        <v>3.144969315</v>
      </c>
      <c r="AX296" s="9"/>
      <c r="AY296" s="21">
        <v>1.3401799999999999</v>
      </c>
      <c r="AZ296" s="21">
        <v>29.871400000000001</v>
      </c>
      <c r="BA296" s="21">
        <v>-5.83191E-3</v>
      </c>
      <c r="BB296" s="21">
        <v>286</v>
      </c>
      <c r="BC296" s="21">
        <v>1.33911</v>
      </c>
      <c r="BD296">
        <f t="shared" si="58"/>
        <v>7.1998888888888883</v>
      </c>
      <c r="BE296">
        <f t="shared" si="59"/>
        <v>9.649147091111109</v>
      </c>
    </row>
    <row r="297" spans="6:57" x14ac:dyDescent="0.25">
      <c r="F297" s="9"/>
      <c r="G297" s="21">
        <v>0.29480000000000001</v>
      </c>
      <c r="H297" s="21">
        <v>7.9856999999999996</v>
      </c>
      <c r="I297" s="21">
        <v>-8.5662800000000008E-3</v>
      </c>
      <c r="J297" s="21">
        <v>287</v>
      </c>
      <c r="K297" s="21">
        <v>0.29431200000000002</v>
      </c>
      <c r="L297">
        <f t="shared" si="48"/>
        <v>10.575654320987654</v>
      </c>
      <c r="M297">
        <f t="shared" si="49"/>
        <v>3.1177028938271607</v>
      </c>
      <c r="N297" s="9"/>
      <c r="O297" s="21">
        <v>1.34521</v>
      </c>
      <c r="P297" s="21">
        <v>11.683999999999999</v>
      </c>
      <c r="Q297" s="21">
        <v>-5.9081999999999997E-3</v>
      </c>
      <c r="R297" s="21">
        <v>287</v>
      </c>
      <c r="S297" s="21">
        <v>1.3446</v>
      </c>
      <c r="T297">
        <f t="shared" si="50"/>
        <v>7.2940740740740733</v>
      </c>
      <c r="U297">
        <f t="shared" si="51"/>
        <v>9.812061385185185</v>
      </c>
      <c r="X297" s="9"/>
      <c r="Y297" s="21">
        <v>0.29480000000000001</v>
      </c>
      <c r="Z297" s="21">
        <v>17.120899999999999</v>
      </c>
      <c r="AA297" s="21">
        <v>-8.5449199999999993E-3</v>
      </c>
      <c r="AB297" s="21">
        <v>287</v>
      </c>
      <c r="AC297" s="21">
        <v>0.29434199999999999</v>
      </c>
      <c r="AD297">
        <f t="shared" si="52"/>
        <v>10.549283950617282</v>
      </c>
      <c r="AE297">
        <f t="shared" si="53"/>
        <v>3.1099289086419746</v>
      </c>
      <c r="AF297" s="9"/>
      <c r="AG297" s="21">
        <v>1.34521</v>
      </c>
      <c r="AH297" s="21">
        <v>20.819299999999998</v>
      </c>
      <c r="AI297" s="21">
        <v>-5.8563199999999999E-3</v>
      </c>
      <c r="AJ297" s="21">
        <v>287</v>
      </c>
      <c r="AK297" s="21">
        <v>1.34399</v>
      </c>
      <c r="AL297">
        <f t="shared" si="54"/>
        <v>7.2300246913580244</v>
      </c>
      <c r="AM297">
        <f t="shared" si="55"/>
        <v>9.7259015150617287</v>
      </c>
      <c r="AP297" s="9"/>
      <c r="AQ297" s="21">
        <v>0.29480000000000001</v>
      </c>
      <c r="AR297" s="21">
        <v>26.1831</v>
      </c>
      <c r="AS297" s="21">
        <v>-8.5113500000000009E-3</v>
      </c>
      <c r="AT297" s="21">
        <v>287</v>
      </c>
      <c r="AU297" s="21">
        <v>0.29421999999999998</v>
      </c>
      <c r="AV297">
        <f t="shared" si="56"/>
        <v>10.507839506172839</v>
      </c>
      <c r="AW297">
        <f t="shared" si="57"/>
        <v>3.097711086419753</v>
      </c>
      <c r="AX297" s="9"/>
      <c r="AY297" s="21">
        <v>1.34521</v>
      </c>
      <c r="AZ297" s="21">
        <v>29.881499999999999</v>
      </c>
      <c r="BA297" s="21">
        <v>-5.8136000000000004E-3</v>
      </c>
      <c r="BB297" s="21">
        <v>287</v>
      </c>
      <c r="BC297" s="21">
        <v>1.3446</v>
      </c>
      <c r="BD297">
        <f t="shared" si="58"/>
        <v>7.1772839506172845</v>
      </c>
      <c r="BE297">
        <f t="shared" si="59"/>
        <v>9.6549541432098778</v>
      </c>
    </row>
    <row r="298" spans="6:57" x14ac:dyDescent="0.25">
      <c r="F298" s="9"/>
      <c r="G298" s="21">
        <v>0.28976400000000002</v>
      </c>
      <c r="H298" s="21">
        <v>7.9957700000000003</v>
      </c>
      <c r="I298" s="21">
        <v>-8.5693399999999999E-3</v>
      </c>
      <c r="J298" s="21">
        <v>288</v>
      </c>
      <c r="K298" s="21">
        <v>0.289246</v>
      </c>
      <c r="L298">
        <f t="shared" si="48"/>
        <v>10.579432098765432</v>
      </c>
      <c r="M298">
        <f t="shared" si="49"/>
        <v>3.0655385626666667</v>
      </c>
      <c r="N298" s="9"/>
      <c r="O298" s="21">
        <v>1.35025</v>
      </c>
      <c r="P298" s="21">
        <v>11.694100000000001</v>
      </c>
      <c r="Q298" s="21">
        <v>-5.8898900000000001E-3</v>
      </c>
      <c r="R298" s="21">
        <v>288</v>
      </c>
      <c r="S298" s="21">
        <v>1.34979</v>
      </c>
      <c r="T298">
        <f t="shared" si="50"/>
        <v>7.2714691358024695</v>
      </c>
      <c r="U298">
        <f t="shared" si="51"/>
        <v>9.8183012006172845</v>
      </c>
      <c r="X298" s="9"/>
      <c r="Y298" s="21">
        <v>0.28976400000000002</v>
      </c>
      <c r="Z298" s="21">
        <v>17.131</v>
      </c>
      <c r="AA298" s="21">
        <v>-8.5510299999999994E-3</v>
      </c>
      <c r="AB298" s="21">
        <v>288</v>
      </c>
      <c r="AC298" s="21">
        <v>0.289246</v>
      </c>
      <c r="AD298">
        <f t="shared" si="52"/>
        <v>10.556827160493826</v>
      </c>
      <c r="AE298">
        <f t="shared" si="53"/>
        <v>3.0589884653333335</v>
      </c>
      <c r="AF298" s="9"/>
      <c r="AG298" s="21">
        <v>1.35025</v>
      </c>
      <c r="AH298" s="21">
        <v>20.8293</v>
      </c>
      <c r="AI298" s="21">
        <v>-5.8380100000000002E-3</v>
      </c>
      <c r="AJ298" s="21">
        <v>288</v>
      </c>
      <c r="AK298" s="21">
        <v>1.34918</v>
      </c>
      <c r="AL298">
        <f t="shared" si="54"/>
        <v>7.2074197530864197</v>
      </c>
      <c r="AM298">
        <f t="shared" si="55"/>
        <v>9.7318185216049375</v>
      </c>
      <c r="AP298" s="9"/>
      <c r="AQ298" s="21">
        <v>0.28976400000000002</v>
      </c>
      <c r="AR298" s="21">
        <v>26.193200000000001</v>
      </c>
      <c r="AS298" s="21">
        <v>-8.5174599999999993E-3</v>
      </c>
      <c r="AT298" s="21">
        <v>288</v>
      </c>
      <c r="AU298" s="21">
        <v>0.289246</v>
      </c>
      <c r="AV298">
        <f t="shared" si="56"/>
        <v>10.515382716049382</v>
      </c>
      <c r="AW298">
        <f t="shared" si="57"/>
        <v>3.0469793573333335</v>
      </c>
      <c r="AX298" s="9"/>
      <c r="AY298" s="21">
        <v>1.35025</v>
      </c>
      <c r="AZ298" s="21">
        <v>29.891500000000001</v>
      </c>
      <c r="BA298" s="21">
        <v>-5.7952899999999998E-3</v>
      </c>
      <c r="BB298" s="21">
        <v>288</v>
      </c>
      <c r="BC298" s="21">
        <v>1.3494900000000001</v>
      </c>
      <c r="BD298">
        <f t="shared" si="58"/>
        <v>7.154679012345678</v>
      </c>
      <c r="BE298">
        <f t="shared" si="59"/>
        <v>9.6606053364197511</v>
      </c>
    </row>
    <row r="299" spans="6:57" x14ac:dyDescent="0.25">
      <c r="F299" s="9"/>
      <c r="G299" s="21">
        <v>0.28472900000000001</v>
      </c>
      <c r="H299" s="21">
        <v>8.0058399999999992</v>
      </c>
      <c r="I299" s="21">
        <v>-8.5662800000000008E-3</v>
      </c>
      <c r="J299" s="21">
        <v>289</v>
      </c>
      <c r="K299" s="21">
        <v>0.28417999999999999</v>
      </c>
      <c r="L299">
        <f t="shared" si="48"/>
        <v>10.575654320987654</v>
      </c>
      <c r="M299">
        <f t="shared" si="49"/>
        <v>3.0111954791604938</v>
      </c>
      <c r="N299" s="9"/>
      <c r="O299" s="21">
        <v>1.3552900000000001</v>
      </c>
      <c r="P299" s="21">
        <v>11.7042</v>
      </c>
      <c r="Q299" s="21">
        <v>-5.8685300000000003E-3</v>
      </c>
      <c r="R299" s="21">
        <v>289</v>
      </c>
      <c r="S299" s="21">
        <v>1.3549800000000001</v>
      </c>
      <c r="T299">
        <f t="shared" si="50"/>
        <v>7.2450987654320986</v>
      </c>
      <c r="U299">
        <f t="shared" si="51"/>
        <v>9.8192099058024702</v>
      </c>
      <c r="X299" s="9"/>
      <c r="Y299" s="21">
        <v>0.28472900000000001</v>
      </c>
      <c r="Z299" s="21">
        <v>17.141100000000002</v>
      </c>
      <c r="AA299" s="21">
        <v>-8.5693399999999999E-3</v>
      </c>
      <c r="AB299" s="21">
        <v>289</v>
      </c>
      <c r="AC299" s="21">
        <v>0.28421000000000002</v>
      </c>
      <c r="AD299">
        <f t="shared" si="52"/>
        <v>10.579432098765432</v>
      </c>
      <c r="AE299">
        <f t="shared" si="53"/>
        <v>3.0122711220493827</v>
      </c>
      <c r="AF299" s="9"/>
      <c r="AG299" s="21">
        <v>1.3552900000000001</v>
      </c>
      <c r="AH299" s="21">
        <v>20.839400000000001</v>
      </c>
      <c r="AI299" s="21">
        <v>-5.8136000000000004E-3</v>
      </c>
      <c r="AJ299" s="21">
        <v>289</v>
      </c>
      <c r="AK299" s="21">
        <v>1.3546800000000001</v>
      </c>
      <c r="AL299">
        <f t="shared" si="54"/>
        <v>7.1772839506172845</v>
      </c>
      <c r="AM299">
        <f t="shared" si="55"/>
        <v>9.7273011654321007</v>
      </c>
      <c r="AP299" s="9"/>
      <c r="AQ299" s="21">
        <v>0.28472900000000001</v>
      </c>
      <c r="AR299" s="21">
        <v>26.203199999999999</v>
      </c>
      <c r="AS299" s="21">
        <v>-8.5235599999999995E-3</v>
      </c>
      <c r="AT299" s="21">
        <v>289</v>
      </c>
      <c r="AU299" s="21">
        <v>0.28424100000000002</v>
      </c>
      <c r="AV299">
        <f t="shared" si="56"/>
        <v>10.522913580246913</v>
      </c>
      <c r="AW299">
        <f t="shared" si="57"/>
        <v>2.9961786607901235</v>
      </c>
      <c r="AX299" s="9"/>
      <c r="AY299" s="21">
        <v>1.3552900000000001</v>
      </c>
      <c r="AZ299" s="21">
        <v>29.901599999999998</v>
      </c>
      <c r="BA299" s="21">
        <v>-5.77393E-3</v>
      </c>
      <c r="BB299" s="21">
        <v>289</v>
      </c>
      <c r="BC299" s="21">
        <v>1.3543700000000001</v>
      </c>
      <c r="BD299">
        <f t="shared" si="58"/>
        <v>7.1283086419753081</v>
      </c>
      <c r="BE299">
        <f t="shared" si="59"/>
        <v>9.6609254193827159</v>
      </c>
    </row>
    <row r="300" spans="6:57" x14ac:dyDescent="0.25">
      <c r="F300" s="9"/>
      <c r="G300" s="21">
        <v>0.279694</v>
      </c>
      <c r="H300" s="21">
        <v>8.0159099999999999</v>
      </c>
      <c r="I300" s="21">
        <v>-8.5662800000000008E-3</v>
      </c>
      <c r="J300" s="21">
        <v>290</v>
      </c>
      <c r="K300" s="21">
        <v>0.279144</v>
      </c>
      <c r="L300">
        <f t="shared" si="48"/>
        <v>10.575654320987654</v>
      </c>
      <c r="M300">
        <f t="shared" si="49"/>
        <v>2.9579470596543209</v>
      </c>
      <c r="N300" s="9"/>
      <c r="O300" s="21">
        <v>1.36032</v>
      </c>
      <c r="P300" s="21">
        <v>11.7142</v>
      </c>
      <c r="Q300" s="21">
        <v>-5.8532699999999998E-3</v>
      </c>
      <c r="R300" s="21">
        <v>290</v>
      </c>
      <c r="S300" s="21">
        <v>1.3592500000000001</v>
      </c>
      <c r="T300">
        <f t="shared" si="50"/>
        <v>7.2262592592592583</v>
      </c>
      <c r="U300">
        <f t="shared" si="51"/>
        <v>9.8300249955555543</v>
      </c>
      <c r="X300" s="9"/>
      <c r="Y300" s="21">
        <v>0.279694</v>
      </c>
      <c r="Z300" s="21">
        <v>17.1511</v>
      </c>
      <c r="AA300" s="21">
        <v>-8.5815400000000003E-3</v>
      </c>
      <c r="AB300" s="21">
        <v>290</v>
      </c>
      <c r="AC300" s="21">
        <v>0.27926600000000001</v>
      </c>
      <c r="AD300">
        <f t="shared" si="52"/>
        <v>10.594493827160493</v>
      </c>
      <c r="AE300">
        <f t="shared" si="53"/>
        <v>2.963216356493827</v>
      </c>
      <c r="AF300" s="9"/>
      <c r="AG300" s="21">
        <v>1.36032</v>
      </c>
      <c r="AH300" s="21">
        <v>20.849499999999999</v>
      </c>
      <c r="AI300" s="21">
        <v>-5.7922399999999997E-3</v>
      </c>
      <c r="AJ300" s="21">
        <v>290</v>
      </c>
      <c r="AK300" s="21">
        <v>1.3595600000000001</v>
      </c>
      <c r="AL300">
        <f t="shared" si="54"/>
        <v>7.1509135802469128</v>
      </c>
      <c r="AM300">
        <f t="shared" si="55"/>
        <v>9.7275307614814803</v>
      </c>
      <c r="AP300" s="9"/>
      <c r="AQ300" s="21">
        <v>0.279694</v>
      </c>
      <c r="AR300" s="21">
        <v>26.2133</v>
      </c>
      <c r="AS300" s="21">
        <v>-8.5235599999999995E-3</v>
      </c>
      <c r="AT300" s="21">
        <v>290</v>
      </c>
      <c r="AU300" s="21">
        <v>0.27911399999999997</v>
      </c>
      <c r="AV300">
        <f t="shared" si="56"/>
        <v>10.522913580246913</v>
      </c>
      <c r="AW300">
        <f t="shared" si="57"/>
        <v>2.9431957909135802</v>
      </c>
      <c r="AX300" s="9"/>
      <c r="AY300" s="21">
        <v>1.36032</v>
      </c>
      <c r="AZ300" s="21">
        <v>29.9117</v>
      </c>
      <c r="BA300" s="21">
        <v>-5.7525600000000003E-3</v>
      </c>
      <c r="BB300" s="21">
        <v>290</v>
      </c>
      <c r="BC300" s="21">
        <v>1.3595600000000001</v>
      </c>
      <c r="BD300">
        <f t="shared" si="58"/>
        <v>7.1019259259259258</v>
      </c>
      <c r="BE300">
        <f t="shared" si="59"/>
        <v>9.6608918755555546</v>
      </c>
    </row>
    <row r="301" spans="6:57" x14ac:dyDescent="0.25">
      <c r="F301" s="9"/>
      <c r="G301" s="21">
        <v>0.27465800000000001</v>
      </c>
      <c r="H301" s="21">
        <v>8.0259800000000006</v>
      </c>
      <c r="I301" s="21">
        <v>-8.5662800000000008E-3</v>
      </c>
      <c r="J301" s="21">
        <v>291</v>
      </c>
      <c r="K301" s="21">
        <v>0.27407799999999999</v>
      </c>
      <c r="L301">
        <f t="shared" si="48"/>
        <v>10.575654320987654</v>
      </c>
      <c r="M301">
        <f t="shared" si="49"/>
        <v>2.9046880644938273</v>
      </c>
      <c r="N301" s="9"/>
      <c r="O301" s="21">
        <v>1.3653599999999999</v>
      </c>
      <c r="P301" s="21">
        <v>11.724299999999999</v>
      </c>
      <c r="Q301" s="21">
        <v>-5.8349600000000001E-3</v>
      </c>
      <c r="R301" s="21">
        <v>291</v>
      </c>
      <c r="S301" s="21">
        <v>1.3644400000000001</v>
      </c>
      <c r="T301">
        <f t="shared" si="50"/>
        <v>7.2036543209876545</v>
      </c>
      <c r="U301">
        <f t="shared" si="51"/>
        <v>9.8355814637037025</v>
      </c>
      <c r="X301" s="9"/>
      <c r="Y301" s="21">
        <v>0.27465800000000001</v>
      </c>
      <c r="Z301" s="21">
        <v>17.161200000000001</v>
      </c>
      <c r="AA301" s="21">
        <v>-8.5876500000000005E-3</v>
      </c>
      <c r="AB301" s="21">
        <v>291</v>
      </c>
      <c r="AC301" s="21">
        <v>0.27413900000000002</v>
      </c>
      <c r="AD301">
        <f t="shared" si="52"/>
        <v>10.602037037037036</v>
      </c>
      <c r="AE301">
        <f t="shared" si="53"/>
        <v>2.9119342885185184</v>
      </c>
      <c r="AF301" s="9"/>
      <c r="AG301" s="21">
        <v>1.3653599999999999</v>
      </c>
      <c r="AH301" s="21">
        <v>20.859500000000001</v>
      </c>
      <c r="AI301" s="21">
        <v>-5.7647699999999998E-3</v>
      </c>
      <c r="AJ301" s="21">
        <v>291</v>
      </c>
      <c r="AK301" s="21">
        <v>1.3647499999999999</v>
      </c>
      <c r="AL301">
        <f t="shared" si="54"/>
        <v>7.1169999999999991</v>
      </c>
      <c r="AM301">
        <f t="shared" si="55"/>
        <v>9.7172671199999989</v>
      </c>
      <c r="AP301" s="9"/>
      <c r="AQ301" s="21">
        <v>0.27465800000000001</v>
      </c>
      <c r="AR301" s="21">
        <v>26.223400000000002</v>
      </c>
      <c r="AS301" s="21">
        <v>-8.5266100000000004E-3</v>
      </c>
      <c r="AT301" s="21">
        <v>291</v>
      </c>
      <c r="AU301" s="21">
        <v>0.27413900000000002</v>
      </c>
      <c r="AV301">
        <f t="shared" si="56"/>
        <v>10.52667901234568</v>
      </c>
      <c r="AW301">
        <f t="shared" si="57"/>
        <v>2.8912366041728399</v>
      </c>
      <c r="AX301" s="9"/>
      <c r="AY301" s="21">
        <v>1.3653599999999999</v>
      </c>
      <c r="AZ301" s="21">
        <v>29.921800000000001</v>
      </c>
      <c r="BA301" s="21">
        <v>-5.7372999999999999E-3</v>
      </c>
      <c r="BB301" s="21">
        <v>291</v>
      </c>
      <c r="BC301" s="21">
        <v>1.3644400000000001</v>
      </c>
      <c r="BD301">
        <f t="shared" si="58"/>
        <v>7.0830864197530863</v>
      </c>
      <c r="BE301">
        <f t="shared" si="59"/>
        <v>9.670962874074073</v>
      </c>
    </row>
    <row r="302" spans="6:57" x14ac:dyDescent="0.25">
      <c r="F302" s="9"/>
      <c r="G302" s="21">
        <v>0.269623</v>
      </c>
      <c r="H302" s="21">
        <v>8.0360499999999995</v>
      </c>
      <c r="I302" s="21">
        <v>-8.5632299999999998E-3</v>
      </c>
      <c r="J302" s="21">
        <v>292</v>
      </c>
      <c r="K302" s="21">
        <v>0.26910400000000001</v>
      </c>
      <c r="L302">
        <f t="shared" si="48"/>
        <v>10.571888888888887</v>
      </c>
      <c r="M302">
        <f t="shared" si="49"/>
        <v>2.8504243978888884</v>
      </c>
      <c r="N302" s="9"/>
      <c r="O302" s="21">
        <v>1.37039</v>
      </c>
      <c r="P302" s="21">
        <v>11.734400000000001</v>
      </c>
      <c r="Q302" s="21">
        <v>-5.8196999999999997E-3</v>
      </c>
      <c r="R302" s="21">
        <v>292</v>
      </c>
      <c r="S302" s="21">
        <v>1.3699300000000001</v>
      </c>
      <c r="T302">
        <f t="shared" si="50"/>
        <v>7.1848148148148141</v>
      </c>
      <c r="U302">
        <f t="shared" si="51"/>
        <v>9.8459983740740729</v>
      </c>
      <c r="X302" s="9"/>
      <c r="Y302" s="21">
        <v>0.269623</v>
      </c>
      <c r="Z302" s="21">
        <v>17.171299999999999</v>
      </c>
      <c r="AA302" s="21">
        <v>-8.5876500000000005E-3</v>
      </c>
      <c r="AB302" s="21">
        <v>292</v>
      </c>
      <c r="AC302" s="21">
        <v>0.26913500000000001</v>
      </c>
      <c r="AD302">
        <f t="shared" si="52"/>
        <v>10.602037037037036</v>
      </c>
      <c r="AE302">
        <f t="shared" si="53"/>
        <v>2.8585530320370367</v>
      </c>
      <c r="AF302" s="9"/>
      <c r="AG302" s="21">
        <v>1.37039</v>
      </c>
      <c r="AH302" s="21">
        <v>20.869599999999998</v>
      </c>
      <c r="AI302" s="21">
        <v>-5.7403599999999999E-3</v>
      </c>
      <c r="AJ302" s="21">
        <v>292</v>
      </c>
      <c r="AK302" s="21">
        <v>1.3693200000000001</v>
      </c>
      <c r="AL302">
        <f t="shared" si="54"/>
        <v>7.0868641975308631</v>
      </c>
      <c r="AM302">
        <f t="shared" si="55"/>
        <v>9.7117678276543202</v>
      </c>
      <c r="AP302" s="9"/>
      <c r="AQ302" s="21">
        <v>0.269623</v>
      </c>
      <c r="AR302" s="21">
        <v>26.2334</v>
      </c>
      <c r="AS302" s="21">
        <v>-8.5449199999999993E-3</v>
      </c>
      <c r="AT302" s="21">
        <v>292</v>
      </c>
      <c r="AU302" s="21">
        <v>0.26913500000000001</v>
      </c>
      <c r="AV302">
        <f t="shared" si="56"/>
        <v>10.549283950617282</v>
      </c>
      <c r="AW302">
        <f t="shared" si="57"/>
        <v>2.8443295866172833</v>
      </c>
      <c r="AX302" s="9"/>
      <c r="AY302" s="21">
        <v>1.37039</v>
      </c>
      <c r="AZ302" s="21">
        <v>29.931799999999999</v>
      </c>
      <c r="BA302" s="21">
        <v>-5.7220500000000002E-3</v>
      </c>
      <c r="BB302" s="21">
        <v>292</v>
      </c>
      <c r="BC302" s="21">
        <v>1.3702399999999999</v>
      </c>
      <c r="BD302">
        <f t="shared" si="58"/>
        <v>7.0642592592592592</v>
      </c>
      <c r="BE302">
        <f t="shared" si="59"/>
        <v>9.6807902462962954</v>
      </c>
    </row>
    <row r="303" spans="6:57" x14ac:dyDescent="0.25">
      <c r="F303" s="9"/>
      <c r="G303" s="21">
        <v>0.26458700000000002</v>
      </c>
      <c r="H303" s="21">
        <v>8.0461200000000002</v>
      </c>
      <c r="I303" s="21">
        <v>-8.5693399999999999E-3</v>
      </c>
      <c r="J303" s="21">
        <v>293</v>
      </c>
      <c r="K303" s="21">
        <v>0.26409899999999997</v>
      </c>
      <c r="L303">
        <f t="shared" si="48"/>
        <v>10.579432098765432</v>
      </c>
      <c r="M303">
        <f t="shared" si="49"/>
        <v>2.7991802007160493</v>
      </c>
      <c r="N303" s="9"/>
      <c r="O303" s="21">
        <v>1.3754299999999999</v>
      </c>
      <c r="P303" s="21">
        <v>11.7445</v>
      </c>
      <c r="Q303" s="21">
        <v>-5.8044400000000001E-3</v>
      </c>
      <c r="R303" s="21">
        <v>293</v>
      </c>
      <c r="S303" s="21">
        <v>1.3748199999999999</v>
      </c>
      <c r="T303">
        <f t="shared" si="50"/>
        <v>7.1659753086419746</v>
      </c>
      <c r="U303">
        <f t="shared" si="51"/>
        <v>9.8562974187654309</v>
      </c>
      <c r="X303" s="9"/>
      <c r="Y303" s="21">
        <v>0.26458700000000002</v>
      </c>
      <c r="Z303" s="21">
        <v>17.1813</v>
      </c>
      <c r="AA303" s="21">
        <v>-8.5876500000000005E-3</v>
      </c>
      <c r="AB303" s="21">
        <v>293</v>
      </c>
      <c r="AC303" s="21">
        <v>0.264069</v>
      </c>
      <c r="AD303">
        <f t="shared" si="52"/>
        <v>10.602037037037036</v>
      </c>
      <c r="AE303">
        <f t="shared" si="53"/>
        <v>2.8051611735185182</v>
      </c>
      <c r="AF303" s="9"/>
      <c r="AG303" s="21">
        <v>1.3754299999999999</v>
      </c>
      <c r="AH303" s="21">
        <v>20.8797</v>
      </c>
      <c r="AI303" s="21">
        <v>-5.7251000000000003E-3</v>
      </c>
      <c r="AJ303" s="21">
        <v>293</v>
      </c>
      <c r="AK303" s="21">
        <v>1.3751199999999999</v>
      </c>
      <c r="AL303">
        <f t="shared" si="54"/>
        <v>7.0680246913580245</v>
      </c>
      <c r="AM303">
        <f t="shared" si="55"/>
        <v>9.7215732012345679</v>
      </c>
      <c r="AP303" s="9"/>
      <c r="AQ303" s="21">
        <v>0.26458700000000002</v>
      </c>
      <c r="AR303" s="21">
        <v>26.243500000000001</v>
      </c>
      <c r="AS303" s="21">
        <v>-8.5601800000000006E-3</v>
      </c>
      <c r="AT303" s="21">
        <v>293</v>
      </c>
      <c r="AU303" s="21">
        <v>0.264069</v>
      </c>
      <c r="AV303">
        <f t="shared" si="56"/>
        <v>10.568123456790124</v>
      </c>
      <c r="AW303">
        <f t="shared" si="57"/>
        <v>2.7961880810617288</v>
      </c>
      <c r="AX303" s="9"/>
      <c r="AY303" s="21">
        <v>1.3754299999999999</v>
      </c>
      <c r="AZ303" s="21">
        <v>29.9419</v>
      </c>
      <c r="BA303" s="21">
        <v>-5.7037399999999997E-3</v>
      </c>
      <c r="BB303" s="21">
        <v>293</v>
      </c>
      <c r="BC303" s="21">
        <v>1.3745099999999999</v>
      </c>
      <c r="BD303">
        <f t="shared" si="58"/>
        <v>7.0416543209876536</v>
      </c>
      <c r="BE303">
        <f t="shared" si="59"/>
        <v>9.6853026027160478</v>
      </c>
    </row>
    <row r="304" spans="6:57" x14ac:dyDescent="0.25">
      <c r="F304" s="9"/>
      <c r="G304" s="21">
        <v>0.259552</v>
      </c>
      <c r="H304" s="21">
        <v>8.0562000000000005</v>
      </c>
      <c r="I304" s="21">
        <v>-8.5784899999999994E-3</v>
      </c>
      <c r="J304" s="21">
        <v>294</v>
      </c>
      <c r="K304" s="21">
        <v>0.25909399999999999</v>
      </c>
      <c r="L304">
        <f t="shared" si="48"/>
        <v>10.590728395061728</v>
      </c>
      <c r="M304">
        <f t="shared" si="49"/>
        <v>2.7488447363950614</v>
      </c>
      <c r="N304" s="9"/>
      <c r="O304" s="21">
        <v>1.38046</v>
      </c>
      <c r="P304" s="21">
        <v>11.7545</v>
      </c>
      <c r="Q304" s="21">
        <v>-5.7830800000000003E-3</v>
      </c>
      <c r="R304" s="21">
        <v>294</v>
      </c>
      <c r="S304" s="21">
        <v>1.3796999999999999</v>
      </c>
      <c r="T304">
        <f t="shared" si="50"/>
        <v>7.1396049382716056</v>
      </c>
      <c r="U304">
        <f t="shared" si="51"/>
        <v>9.8559390330864201</v>
      </c>
      <c r="X304" s="9"/>
      <c r="Y304" s="21">
        <v>0.259552</v>
      </c>
      <c r="Z304" s="21">
        <v>17.191400000000002</v>
      </c>
      <c r="AA304" s="21">
        <v>-8.5815400000000003E-3</v>
      </c>
      <c r="AB304" s="21">
        <v>294</v>
      </c>
      <c r="AC304" s="21">
        <v>0.25900299999999998</v>
      </c>
      <c r="AD304">
        <f t="shared" si="52"/>
        <v>10.594493827160493</v>
      </c>
      <c r="AE304">
        <f t="shared" si="53"/>
        <v>2.7498220618271603</v>
      </c>
      <c r="AF304" s="9"/>
      <c r="AG304" s="21">
        <v>1.38046</v>
      </c>
      <c r="AH304" s="21">
        <v>20.889700000000001</v>
      </c>
      <c r="AI304" s="21">
        <v>-5.7067899999999998E-3</v>
      </c>
      <c r="AJ304" s="21">
        <v>294</v>
      </c>
      <c r="AK304" s="21">
        <v>1.3796999999999999</v>
      </c>
      <c r="AL304">
        <f t="shared" si="54"/>
        <v>7.0454197530864198</v>
      </c>
      <c r="AM304">
        <f t="shared" si="55"/>
        <v>9.7259201523456795</v>
      </c>
      <c r="AP304" s="9"/>
      <c r="AQ304" s="21">
        <v>0.259552</v>
      </c>
      <c r="AR304" s="21">
        <v>26.253599999999999</v>
      </c>
      <c r="AS304" s="21">
        <v>-8.5571299999999996E-3</v>
      </c>
      <c r="AT304" s="21">
        <v>294</v>
      </c>
      <c r="AU304" s="21">
        <v>0.25906400000000002</v>
      </c>
      <c r="AV304">
        <f t="shared" si="56"/>
        <v>10.564358024691355</v>
      </c>
      <c r="AW304">
        <f t="shared" si="57"/>
        <v>2.7420002540246906</v>
      </c>
      <c r="AX304" s="9"/>
      <c r="AY304" s="21">
        <v>1.38046</v>
      </c>
      <c r="AZ304" s="21">
        <v>29.952000000000002</v>
      </c>
      <c r="BA304" s="21">
        <v>-5.6793199999999999E-3</v>
      </c>
      <c r="BB304" s="21">
        <v>294</v>
      </c>
      <c r="BC304" s="21">
        <v>1.3793899999999999</v>
      </c>
      <c r="BD304">
        <f t="shared" si="58"/>
        <v>7.0115061728395052</v>
      </c>
      <c r="BE304">
        <f t="shared" si="59"/>
        <v>9.6791038113580239</v>
      </c>
    </row>
    <row r="305" spans="6:57" x14ac:dyDescent="0.25">
      <c r="F305" s="9"/>
      <c r="G305" s="21">
        <v>0.25451699999999999</v>
      </c>
      <c r="H305" s="21">
        <v>8.0662699999999994</v>
      </c>
      <c r="I305" s="21">
        <v>-8.5937500000000007E-3</v>
      </c>
      <c r="J305" s="21">
        <v>295</v>
      </c>
      <c r="K305" s="21">
        <v>0.25393700000000002</v>
      </c>
      <c r="L305">
        <f t="shared" si="48"/>
        <v>10.609567901234568</v>
      </c>
      <c r="M305">
        <f t="shared" si="49"/>
        <v>2.7003153935185185</v>
      </c>
      <c r="N305" s="9"/>
      <c r="O305" s="21">
        <v>1.3855</v>
      </c>
      <c r="P305" s="21">
        <v>11.7646</v>
      </c>
      <c r="Q305" s="21">
        <v>-5.7586699999999996E-3</v>
      </c>
      <c r="R305" s="21">
        <v>295</v>
      </c>
      <c r="S305" s="21">
        <v>1.3851899999999999</v>
      </c>
      <c r="T305">
        <f t="shared" si="50"/>
        <v>7.1094691358024686</v>
      </c>
      <c r="U305">
        <f t="shared" si="51"/>
        <v>9.8501694876543198</v>
      </c>
      <c r="X305" s="9"/>
      <c r="Y305" s="21">
        <v>0.25451699999999999</v>
      </c>
      <c r="Z305" s="21">
        <v>17.201499999999999</v>
      </c>
      <c r="AA305" s="21">
        <v>-8.5815400000000003E-3</v>
      </c>
      <c r="AB305" s="21">
        <v>295</v>
      </c>
      <c r="AC305" s="21">
        <v>0.253998</v>
      </c>
      <c r="AD305">
        <f t="shared" si="52"/>
        <v>10.594493827160493</v>
      </c>
      <c r="AE305">
        <f t="shared" si="53"/>
        <v>2.696478785407407</v>
      </c>
      <c r="AF305" s="9"/>
      <c r="AG305" s="21">
        <v>1.3855</v>
      </c>
      <c r="AH305" s="21">
        <v>20.899799999999999</v>
      </c>
      <c r="AI305" s="21">
        <v>-5.6854200000000001E-3</v>
      </c>
      <c r="AJ305" s="21">
        <v>295</v>
      </c>
      <c r="AK305" s="21">
        <v>1.38428</v>
      </c>
      <c r="AL305">
        <f t="shared" si="54"/>
        <v>7.0190370370370365</v>
      </c>
      <c r="AM305">
        <f t="shared" si="55"/>
        <v>9.7248758148148138</v>
      </c>
      <c r="AP305" s="9"/>
      <c r="AQ305" s="21">
        <v>0.25451699999999999</v>
      </c>
      <c r="AR305" s="21">
        <v>26.2637</v>
      </c>
      <c r="AS305" s="21">
        <v>-8.5632299999999998E-3</v>
      </c>
      <c r="AT305" s="21">
        <v>295</v>
      </c>
      <c r="AU305" s="21">
        <v>0.253998</v>
      </c>
      <c r="AV305">
        <f t="shared" si="56"/>
        <v>10.571888888888887</v>
      </c>
      <c r="AW305">
        <f t="shared" si="57"/>
        <v>2.6907254443333328</v>
      </c>
      <c r="AX305" s="9"/>
      <c r="AY305" s="21">
        <v>1.3855</v>
      </c>
      <c r="AZ305" s="21">
        <v>29.962</v>
      </c>
      <c r="BA305" s="21">
        <v>-5.6487999999999998E-3</v>
      </c>
      <c r="BB305" s="21">
        <v>295</v>
      </c>
      <c r="BC305" s="21">
        <v>1.3851899999999999</v>
      </c>
      <c r="BD305">
        <f t="shared" si="58"/>
        <v>6.9738271604938271</v>
      </c>
      <c r="BE305">
        <f t="shared" si="59"/>
        <v>9.6622375308641963</v>
      </c>
    </row>
    <row r="306" spans="6:57" x14ac:dyDescent="0.25">
      <c r="F306" s="9"/>
      <c r="G306" s="21">
        <v>0.24948100000000001</v>
      </c>
      <c r="H306" s="21">
        <v>8.0763400000000001</v>
      </c>
      <c r="I306" s="21">
        <v>-8.5967999999999999E-3</v>
      </c>
      <c r="J306" s="21">
        <v>296</v>
      </c>
      <c r="K306" s="21">
        <v>0.24893199999999999</v>
      </c>
      <c r="L306">
        <f t="shared" si="48"/>
        <v>10.613333333333332</v>
      </c>
      <c r="M306">
        <f t="shared" si="49"/>
        <v>2.6478250133333328</v>
      </c>
      <c r="N306" s="9"/>
      <c r="O306" s="21">
        <v>1.39053</v>
      </c>
      <c r="P306" s="21">
        <v>11.774699999999999</v>
      </c>
      <c r="Q306" s="21">
        <v>-5.7281500000000004E-3</v>
      </c>
      <c r="R306" s="21">
        <v>296</v>
      </c>
      <c r="S306" s="21">
        <v>1.39008</v>
      </c>
      <c r="T306">
        <f t="shared" si="50"/>
        <v>7.0717901234567906</v>
      </c>
      <c r="U306">
        <f t="shared" si="51"/>
        <v>9.8335363203703707</v>
      </c>
      <c r="X306" s="9"/>
      <c r="Y306" s="21">
        <v>0.24948100000000001</v>
      </c>
      <c r="Z306" s="21">
        <v>17.211600000000001</v>
      </c>
      <c r="AA306" s="21">
        <v>-8.5845899999999996E-3</v>
      </c>
      <c r="AB306" s="21">
        <v>296</v>
      </c>
      <c r="AC306" s="21">
        <v>0.24899299999999999</v>
      </c>
      <c r="AD306">
        <f t="shared" si="52"/>
        <v>10.598259259259258</v>
      </c>
      <c r="AE306">
        <f t="shared" si="53"/>
        <v>2.6440643182592591</v>
      </c>
      <c r="AF306" s="9"/>
      <c r="AG306" s="21">
        <v>1.39053</v>
      </c>
      <c r="AH306" s="21">
        <v>20.9099</v>
      </c>
      <c r="AI306" s="21">
        <v>-5.6701700000000004E-3</v>
      </c>
      <c r="AJ306" s="21">
        <v>296</v>
      </c>
      <c r="AK306" s="21">
        <v>1.3897699999999999</v>
      </c>
      <c r="AL306">
        <f t="shared" si="54"/>
        <v>7.0002098765432095</v>
      </c>
      <c r="AM306">
        <f t="shared" si="55"/>
        <v>9.7340018396296291</v>
      </c>
      <c r="AP306" s="9"/>
      <c r="AQ306" s="21">
        <v>0.24948100000000001</v>
      </c>
      <c r="AR306" s="21">
        <v>26.273700000000002</v>
      </c>
      <c r="AS306" s="21">
        <v>-8.5754400000000001E-3</v>
      </c>
      <c r="AT306" s="21">
        <v>296</v>
      </c>
      <c r="AU306" s="21">
        <v>0.24902299999999999</v>
      </c>
      <c r="AV306">
        <f t="shared" si="56"/>
        <v>10.586962962962962</v>
      </c>
      <c r="AW306">
        <f t="shared" si="57"/>
        <v>2.6412461069629631</v>
      </c>
      <c r="AX306" s="9"/>
      <c r="AY306" s="21">
        <v>1.39053</v>
      </c>
      <c r="AZ306" s="21">
        <v>29.972100000000001</v>
      </c>
      <c r="BA306" s="21">
        <v>-5.6243899999999999E-3</v>
      </c>
      <c r="BB306" s="21">
        <v>296</v>
      </c>
      <c r="BC306" s="21">
        <v>1.38947</v>
      </c>
      <c r="BD306">
        <f t="shared" si="58"/>
        <v>6.9436913580246911</v>
      </c>
      <c r="BE306">
        <f t="shared" si="59"/>
        <v>9.6554111440740744</v>
      </c>
    </row>
    <row r="307" spans="6:57" x14ac:dyDescent="0.25">
      <c r="F307" s="9"/>
      <c r="G307" s="21">
        <v>0.244446</v>
      </c>
      <c r="H307" s="21">
        <v>8.0864100000000008</v>
      </c>
      <c r="I307" s="21">
        <v>-8.6120599999999995E-3</v>
      </c>
      <c r="J307" s="21">
        <v>297</v>
      </c>
      <c r="K307" s="21">
        <v>0.24401900000000001</v>
      </c>
      <c r="L307">
        <f t="shared" si="48"/>
        <v>10.632172839506172</v>
      </c>
      <c r="M307">
        <f t="shared" si="49"/>
        <v>2.5989921219259258</v>
      </c>
      <c r="N307" s="9"/>
      <c r="O307" s="21">
        <v>1.39557</v>
      </c>
      <c r="P307" s="21">
        <v>11.784700000000001</v>
      </c>
      <c r="Q307" s="21">
        <v>-5.7037399999999997E-3</v>
      </c>
      <c r="R307" s="21">
        <v>297</v>
      </c>
      <c r="S307" s="21">
        <v>1.3946499999999999</v>
      </c>
      <c r="T307">
        <f t="shared" si="50"/>
        <v>7.0416543209876536</v>
      </c>
      <c r="U307">
        <f t="shared" si="51"/>
        <v>9.8271215207407394</v>
      </c>
      <c r="X307" s="9"/>
      <c r="Y307" s="21">
        <v>0.244446</v>
      </c>
      <c r="Z307" s="21">
        <v>17.221599999999999</v>
      </c>
      <c r="AA307" s="21">
        <v>-8.5876500000000005E-3</v>
      </c>
      <c r="AB307" s="21">
        <v>297</v>
      </c>
      <c r="AC307" s="21">
        <v>0.24404899999999999</v>
      </c>
      <c r="AD307">
        <f t="shared" si="52"/>
        <v>10.602037037037036</v>
      </c>
      <c r="AE307">
        <f t="shared" si="53"/>
        <v>2.591625545555555</v>
      </c>
      <c r="AF307" s="9"/>
      <c r="AG307" s="21">
        <v>1.39557</v>
      </c>
      <c r="AH307" s="21">
        <v>20.92</v>
      </c>
      <c r="AI307" s="21">
        <v>-5.6487999999999998E-3</v>
      </c>
      <c r="AJ307" s="21">
        <v>297</v>
      </c>
      <c r="AK307" s="21">
        <v>1.3946499999999999</v>
      </c>
      <c r="AL307">
        <f t="shared" si="54"/>
        <v>6.9738271604938271</v>
      </c>
      <c r="AM307">
        <f t="shared" si="55"/>
        <v>9.7324639703703699</v>
      </c>
      <c r="AP307" s="9"/>
      <c r="AQ307" s="21">
        <v>0.244446</v>
      </c>
      <c r="AR307" s="21">
        <v>26.283799999999999</v>
      </c>
      <c r="AS307" s="21">
        <v>-8.5784899999999994E-3</v>
      </c>
      <c r="AT307" s="21">
        <v>297</v>
      </c>
      <c r="AU307" s="21">
        <v>0.243927</v>
      </c>
      <c r="AV307">
        <f t="shared" si="56"/>
        <v>10.590728395061728</v>
      </c>
      <c r="AW307">
        <f t="shared" si="57"/>
        <v>2.5888611932592589</v>
      </c>
      <c r="AX307" s="9"/>
      <c r="AY307" s="21">
        <v>1.39557</v>
      </c>
      <c r="AZ307" s="21">
        <v>29.982199999999999</v>
      </c>
      <c r="BA307" s="21">
        <v>-5.59692E-3</v>
      </c>
      <c r="BB307" s="21">
        <v>297</v>
      </c>
      <c r="BC307" s="21">
        <v>1.3946499999999999</v>
      </c>
      <c r="BD307">
        <f t="shared" si="58"/>
        <v>6.9097777777777774</v>
      </c>
      <c r="BE307">
        <f t="shared" si="59"/>
        <v>9.643078573333332</v>
      </c>
    </row>
    <row r="308" spans="6:57" x14ac:dyDescent="0.25">
      <c r="F308" s="9"/>
      <c r="G308" s="21">
        <v>0.23941000000000001</v>
      </c>
      <c r="H308" s="21">
        <v>8.0964799999999997</v>
      </c>
      <c r="I308" s="21">
        <v>-8.6212200000000006E-3</v>
      </c>
      <c r="J308" s="21">
        <v>298</v>
      </c>
      <c r="K308" s="21">
        <v>0.239014</v>
      </c>
      <c r="L308">
        <f t="shared" si="48"/>
        <v>10.643481481481482</v>
      </c>
      <c r="M308">
        <f t="shared" si="49"/>
        <v>2.5481559014814819</v>
      </c>
      <c r="N308" s="9"/>
      <c r="O308" s="21">
        <v>1.4006000000000001</v>
      </c>
      <c r="P308" s="21">
        <v>11.7948</v>
      </c>
      <c r="Q308" s="21">
        <v>-5.6884800000000001E-3</v>
      </c>
      <c r="R308" s="21">
        <v>298</v>
      </c>
      <c r="S308" s="21">
        <v>1.39984</v>
      </c>
      <c r="T308">
        <f t="shared" si="50"/>
        <v>7.0228148148148142</v>
      </c>
      <c r="U308">
        <f t="shared" si="51"/>
        <v>9.8361544296296284</v>
      </c>
      <c r="X308" s="9"/>
      <c r="Y308" s="21">
        <v>0.23941000000000001</v>
      </c>
      <c r="Z308" s="21">
        <v>17.2317</v>
      </c>
      <c r="AA308" s="21">
        <v>-8.5937500000000007E-3</v>
      </c>
      <c r="AB308" s="21">
        <v>298</v>
      </c>
      <c r="AC308" s="21">
        <v>0.23886099999999999</v>
      </c>
      <c r="AD308">
        <f t="shared" si="52"/>
        <v>10.609567901234568</v>
      </c>
      <c r="AE308">
        <f t="shared" si="53"/>
        <v>2.5400366512345682</v>
      </c>
      <c r="AF308" s="9"/>
      <c r="AG308" s="21">
        <v>1.4006000000000001</v>
      </c>
      <c r="AH308" s="21">
        <v>20.93</v>
      </c>
      <c r="AI308" s="21">
        <v>-5.6304900000000001E-3</v>
      </c>
      <c r="AJ308" s="21">
        <v>298</v>
      </c>
      <c r="AK308" s="21">
        <v>1.40015</v>
      </c>
      <c r="AL308">
        <f t="shared" si="54"/>
        <v>6.9512222222222224</v>
      </c>
      <c r="AM308">
        <f t="shared" si="55"/>
        <v>9.7358818444444459</v>
      </c>
      <c r="AP308" s="9"/>
      <c r="AQ308" s="21">
        <v>0.23941000000000001</v>
      </c>
      <c r="AR308" s="21">
        <v>26.293900000000001</v>
      </c>
      <c r="AS308" s="21">
        <v>-8.5876500000000005E-3</v>
      </c>
      <c r="AT308" s="21">
        <v>298</v>
      </c>
      <c r="AU308" s="21">
        <v>0.238922</v>
      </c>
      <c r="AV308">
        <f t="shared" si="56"/>
        <v>10.602037037037036</v>
      </c>
      <c r="AW308">
        <f t="shared" si="57"/>
        <v>2.538233687037037</v>
      </c>
      <c r="AX308" s="9"/>
      <c r="AY308" s="21">
        <v>1.4006000000000001</v>
      </c>
      <c r="AZ308" s="21">
        <v>29.9922</v>
      </c>
      <c r="BA308" s="21">
        <v>-5.5786100000000003E-3</v>
      </c>
      <c r="BB308" s="21">
        <v>298</v>
      </c>
      <c r="BC308" s="21">
        <v>1.39954</v>
      </c>
      <c r="BD308">
        <f t="shared" si="58"/>
        <v>6.8871728395061727</v>
      </c>
      <c r="BE308">
        <f t="shared" si="59"/>
        <v>9.6461742790123459</v>
      </c>
    </row>
    <row r="309" spans="6:57" x14ac:dyDescent="0.25">
      <c r="F309" s="9"/>
      <c r="G309" s="21">
        <v>0.234375</v>
      </c>
      <c r="H309" s="21">
        <v>8.1065500000000004</v>
      </c>
      <c r="I309" s="21">
        <v>-8.6303700000000001E-3</v>
      </c>
      <c r="J309" s="21">
        <v>299</v>
      </c>
      <c r="K309" s="21">
        <v>0.23388700000000001</v>
      </c>
      <c r="L309">
        <f t="shared" si="48"/>
        <v>10.654777777777777</v>
      </c>
      <c r="M309">
        <f t="shared" si="49"/>
        <v>2.4972135416666665</v>
      </c>
      <c r="N309" s="9"/>
      <c r="O309" s="21">
        <v>1.40564</v>
      </c>
      <c r="P309" s="21">
        <v>11.8049</v>
      </c>
      <c r="Q309" s="21">
        <v>-5.6640600000000003E-3</v>
      </c>
      <c r="R309" s="21">
        <v>299</v>
      </c>
      <c r="S309" s="21">
        <v>1.40503</v>
      </c>
      <c r="T309">
        <f t="shared" si="50"/>
        <v>6.9926666666666657</v>
      </c>
      <c r="U309">
        <f t="shared" si="51"/>
        <v>9.8291719733333327</v>
      </c>
      <c r="X309" s="9"/>
      <c r="Y309" s="21">
        <v>0.234375</v>
      </c>
      <c r="Z309" s="21">
        <v>17.241800000000001</v>
      </c>
      <c r="AA309" s="21">
        <v>-8.6029100000000001E-3</v>
      </c>
      <c r="AB309" s="21">
        <v>299</v>
      </c>
      <c r="AC309" s="21">
        <v>0.233795</v>
      </c>
      <c r="AD309">
        <f t="shared" si="52"/>
        <v>10.620876543209876</v>
      </c>
      <c r="AE309">
        <f t="shared" si="53"/>
        <v>2.4892679398148148</v>
      </c>
      <c r="AF309" s="9"/>
      <c r="AG309" s="21">
        <v>1.40564</v>
      </c>
      <c r="AH309" s="21">
        <v>20.940100000000001</v>
      </c>
      <c r="AI309" s="21">
        <v>-5.6030300000000002E-3</v>
      </c>
      <c r="AJ309" s="21">
        <v>299</v>
      </c>
      <c r="AK309" s="21">
        <v>1.40503</v>
      </c>
      <c r="AL309">
        <f t="shared" si="54"/>
        <v>6.9173209876543202</v>
      </c>
      <c r="AM309">
        <f t="shared" si="55"/>
        <v>9.723263073086418</v>
      </c>
      <c r="AP309" s="9"/>
      <c r="AQ309" s="21">
        <v>0.234375</v>
      </c>
      <c r="AR309" s="21">
        <v>26.303899999999999</v>
      </c>
      <c r="AS309" s="21">
        <v>-8.5906999999999997E-3</v>
      </c>
      <c r="AT309" s="21">
        <v>299</v>
      </c>
      <c r="AU309" s="21">
        <v>0.23391700000000001</v>
      </c>
      <c r="AV309">
        <f t="shared" si="56"/>
        <v>10.605802469135801</v>
      </c>
      <c r="AW309">
        <f t="shared" si="57"/>
        <v>2.4857349537037035</v>
      </c>
      <c r="AX309" s="9"/>
      <c r="AY309" s="21">
        <v>1.40564</v>
      </c>
      <c r="AZ309" s="21">
        <v>30.002300000000002</v>
      </c>
      <c r="BA309" s="21">
        <v>-5.5572499999999997E-3</v>
      </c>
      <c r="BB309" s="21">
        <v>299</v>
      </c>
      <c r="BC309" s="21">
        <v>1.40442</v>
      </c>
      <c r="BD309">
        <f t="shared" si="58"/>
        <v>6.8608024691358018</v>
      </c>
      <c r="BE309">
        <f t="shared" si="59"/>
        <v>9.6438183827160486</v>
      </c>
    </row>
    <row r="310" spans="6:57" x14ac:dyDescent="0.25">
      <c r="F310" s="9"/>
      <c r="G310" s="21">
        <v>0.22933999999999999</v>
      </c>
      <c r="H310" s="21">
        <v>8.1166199999999993</v>
      </c>
      <c r="I310" s="21">
        <v>-8.6364700000000003E-3</v>
      </c>
      <c r="J310" s="21">
        <v>300</v>
      </c>
      <c r="K310" s="21">
        <v>0.228821</v>
      </c>
      <c r="L310">
        <f t="shared" si="48"/>
        <v>10.662308641975308</v>
      </c>
      <c r="M310">
        <f t="shared" si="49"/>
        <v>2.4452938639506172</v>
      </c>
      <c r="N310" s="9"/>
      <c r="O310" s="21">
        <v>1.4106799999999999</v>
      </c>
      <c r="P310" s="21">
        <v>11.815</v>
      </c>
      <c r="Q310" s="21">
        <v>-5.6396500000000004E-3</v>
      </c>
      <c r="R310" s="21">
        <v>300</v>
      </c>
      <c r="S310" s="21">
        <v>1.4093</v>
      </c>
      <c r="T310">
        <f t="shared" si="50"/>
        <v>6.9625308641975314</v>
      </c>
      <c r="U310">
        <f t="shared" si="51"/>
        <v>9.8219030395061733</v>
      </c>
      <c r="X310" s="9"/>
      <c r="Y310" s="21">
        <v>0.22933999999999999</v>
      </c>
      <c r="Z310" s="21">
        <v>17.251799999999999</v>
      </c>
      <c r="AA310" s="21">
        <v>-8.6059599999999993E-3</v>
      </c>
      <c r="AB310" s="21">
        <v>300</v>
      </c>
      <c r="AC310" s="21">
        <v>0.228882</v>
      </c>
      <c r="AD310">
        <f t="shared" si="52"/>
        <v>10.62464197530864</v>
      </c>
      <c r="AE310">
        <f t="shared" si="53"/>
        <v>2.4366553906172834</v>
      </c>
      <c r="AF310" s="9"/>
      <c r="AG310" s="21">
        <v>1.4106799999999999</v>
      </c>
      <c r="AH310" s="21">
        <v>20.950199999999999</v>
      </c>
      <c r="AI310" s="21">
        <v>-5.5786100000000003E-3</v>
      </c>
      <c r="AJ310" s="21">
        <v>300</v>
      </c>
      <c r="AK310" s="21">
        <v>1.41022</v>
      </c>
      <c r="AL310">
        <f t="shared" si="54"/>
        <v>6.8871728395061727</v>
      </c>
      <c r="AM310">
        <f t="shared" si="55"/>
        <v>9.7155969812345671</v>
      </c>
      <c r="AP310" s="9"/>
      <c r="AQ310" s="21">
        <v>0.22933999999999999</v>
      </c>
      <c r="AR310" s="21">
        <v>26.314</v>
      </c>
      <c r="AS310" s="21">
        <v>-8.5967999999999999E-3</v>
      </c>
      <c r="AT310" s="21">
        <v>300</v>
      </c>
      <c r="AU310" s="21">
        <v>0.228821</v>
      </c>
      <c r="AV310">
        <f t="shared" si="56"/>
        <v>10.613333333333332</v>
      </c>
      <c r="AW310">
        <f t="shared" si="57"/>
        <v>2.4340618666666662</v>
      </c>
      <c r="AX310" s="9"/>
      <c r="AY310" s="21">
        <v>1.4106799999999999</v>
      </c>
      <c r="AZ310" s="21">
        <v>30.0124</v>
      </c>
      <c r="BA310" s="21">
        <v>-5.5328399999999998E-3</v>
      </c>
      <c r="BB310" s="21">
        <v>300</v>
      </c>
      <c r="BC310" s="21">
        <v>1.41022</v>
      </c>
      <c r="BD310">
        <f t="shared" si="58"/>
        <v>6.8306666666666667</v>
      </c>
      <c r="BE310">
        <f t="shared" si="59"/>
        <v>9.6358848533333337</v>
      </c>
    </row>
    <row r="311" spans="6:57" x14ac:dyDescent="0.25">
      <c r="F311" s="9"/>
      <c r="G311" s="21">
        <v>0.224304</v>
      </c>
      <c r="H311" s="21">
        <v>8.12669</v>
      </c>
      <c r="I311" s="21">
        <v>-8.6273200000000008E-3</v>
      </c>
      <c r="J311" s="21">
        <v>301</v>
      </c>
      <c r="K311" s="21">
        <v>0.22378500000000001</v>
      </c>
      <c r="L311">
        <f t="shared" si="48"/>
        <v>10.651012345679012</v>
      </c>
      <c r="M311">
        <f t="shared" si="49"/>
        <v>2.3890646731851852</v>
      </c>
      <c r="N311" s="9"/>
      <c r="O311" s="21">
        <v>1.41571</v>
      </c>
      <c r="P311" s="21">
        <v>11.824999999999999</v>
      </c>
      <c r="Q311" s="21">
        <v>-5.6152299999999997E-3</v>
      </c>
      <c r="R311" s="21">
        <v>301</v>
      </c>
      <c r="S311" s="21">
        <v>1.41479</v>
      </c>
      <c r="T311">
        <f t="shared" si="50"/>
        <v>6.9323827160493821</v>
      </c>
      <c r="U311">
        <f t="shared" si="51"/>
        <v>9.8142435349382708</v>
      </c>
      <c r="X311" s="9"/>
      <c r="Y311" s="21">
        <v>0.224304</v>
      </c>
      <c r="Z311" s="21">
        <v>17.261900000000001</v>
      </c>
      <c r="AA311" s="21">
        <v>-8.6090100000000003E-3</v>
      </c>
      <c r="AB311" s="21">
        <v>301</v>
      </c>
      <c r="AC311" s="21">
        <v>0.22375500000000001</v>
      </c>
      <c r="AD311">
        <f t="shared" si="52"/>
        <v>10.628407407407408</v>
      </c>
      <c r="AE311">
        <f t="shared" si="53"/>
        <v>2.3839942951111115</v>
      </c>
      <c r="AF311" s="9"/>
      <c r="AG311" s="21">
        <v>1.41571</v>
      </c>
      <c r="AH311" s="21">
        <v>20.9602</v>
      </c>
      <c r="AI311" s="21">
        <v>-5.5541999999999996E-3</v>
      </c>
      <c r="AJ311" s="21">
        <v>301</v>
      </c>
      <c r="AK311" s="21">
        <v>1.4154100000000001</v>
      </c>
      <c r="AL311">
        <f t="shared" si="54"/>
        <v>6.8570370370370366</v>
      </c>
      <c r="AM311">
        <f t="shared" si="55"/>
        <v>9.7075759037037024</v>
      </c>
      <c r="AP311" s="9"/>
      <c r="AQ311" s="21">
        <v>0.224304</v>
      </c>
      <c r="AR311" s="21">
        <v>26.324100000000001</v>
      </c>
      <c r="AS311" s="21">
        <v>-8.6029100000000001E-3</v>
      </c>
      <c r="AT311" s="21">
        <v>301</v>
      </c>
      <c r="AU311" s="21">
        <v>0.22384599999999999</v>
      </c>
      <c r="AV311">
        <f t="shared" si="56"/>
        <v>10.620876543209876</v>
      </c>
      <c r="AW311">
        <f t="shared" si="57"/>
        <v>2.3823050921481479</v>
      </c>
      <c r="AX311" s="9"/>
      <c r="AY311" s="21">
        <v>1.41571</v>
      </c>
      <c r="AZ311" s="21">
        <v>30.022500000000001</v>
      </c>
      <c r="BA311" s="21">
        <v>-5.5114700000000001E-3</v>
      </c>
      <c r="BB311" s="21">
        <v>301</v>
      </c>
      <c r="BC311" s="21">
        <v>1.41449</v>
      </c>
      <c r="BD311">
        <f t="shared" si="58"/>
        <v>6.8042839506172834</v>
      </c>
      <c r="BE311">
        <f t="shared" si="59"/>
        <v>9.6328928317283946</v>
      </c>
    </row>
    <row r="312" spans="6:57" x14ac:dyDescent="0.25">
      <c r="F312" s="9"/>
      <c r="G312" s="21">
        <v>0.21926899999999999</v>
      </c>
      <c r="H312" s="21">
        <v>8.1367600000000007</v>
      </c>
      <c r="I312" s="21">
        <v>-8.6364700000000003E-3</v>
      </c>
      <c r="J312" s="21">
        <v>302</v>
      </c>
      <c r="K312" s="21">
        <v>0.218781</v>
      </c>
      <c r="L312">
        <f t="shared" si="48"/>
        <v>10.662308641975308</v>
      </c>
      <c r="M312">
        <f t="shared" si="49"/>
        <v>2.3379137536172836</v>
      </c>
      <c r="N312" s="9"/>
      <c r="O312" s="21">
        <v>1.42075</v>
      </c>
      <c r="P312" s="21">
        <v>11.835100000000001</v>
      </c>
      <c r="Q312" s="21">
        <v>-5.59692E-3</v>
      </c>
      <c r="R312" s="21">
        <v>302</v>
      </c>
      <c r="S312" s="21">
        <v>1.41998</v>
      </c>
      <c r="T312">
        <f t="shared" si="50"/>
        <v>6.9097777777777774</v>
      </c>
      <c r="U312">
        <f t="shared" si="51"/>
        <v>9.8170667777777769</v>
      </c>
      <c r="X312" s="9"/>
      <c r="Y312" s="21">
        <v>0.21926899999999999</v>
      </c>
      <c r="Z312" s="21">
        <v>17.271999999999998</v>
      </c>
      <c r="AA312" s="21">
        <v>-8.6151100000000005E-3</v>
      </c>
      <c r="AB312" s="21">
        <v>302</v>
      </c>
      <c r="AC312" s="21">
        <v>0.21881100000000001</v>
      </c>
      <c r="AD312">
        <f t="shared" si="52"/>
        <v>10.635938271604937</v>
      </c>
      <c r="AE312">
        <f t="shared" si="53"/>
        <v>2.3321315488765428</v>
      </c>
      <c r="AF312" s="9"/>
      <c r="AG312" s="21">
        <v>1.42075</v>
      </c>
      <c r="AH312" s="21">
        <v>20.970300000000002</v>
      </c>
      <c r="AI312" s="21">
        <v>-5.5267299999999997E-3</v>
      </c>
      <c r="AJ312" s="21">
        <v>302</v>
      </c>
      <c r="AK312" s="21">
        <v>1.41998</v>
      </c>
      <c r="AL312">
        <f t="shared" si="54"/>
        <v>6.8231234567901229</v>
      </c>
      <c r="AM312">
        <f t="shared" si="55"/>
        <v>9.6939526512345662</v>
      </c>
      <c r="AP312" s="9"/>
      <c r="AQ312" s="21">
        <v>0.21926899999999999</v>
      </c>
      <c r="AR312" s="21">
        <v>26.334199999999999</v>
      </c>
      <c r="AS312" s="21">
        <v>-8.5967999999999999E-3</v>
      </c>
      <c r="AT312" s="21">
        <v>302</v>
      </c>
      <c r="AU312" s="21">
        <v>0.21884200000000001</v>
      </c>
      <c r="AV312">
        <f t="shared" si="56"/>
        <v>10.613333333333332</v>
      </c>
      <c r="AW312">
        <f t="shared" si="57"/>
        <v>2.327174986666666</v>
      </c>
      <c r="AX312" s="9"/>
      <c r="AY312" s="21">
        <v>1.42075</v>
      </c>
      <c r="AZ312" s="21">
        <v>30.032499999999999</v>
      </c>
      <c r="BA312" s="21">
        <v>-5.4901100000000003E-3</v>
      </c>
      <c r="BB312" s="21">
        <v>302</v>
      </c>
      <c r="BC312" s="21">
        <v>1.41937</v>
      </c>
      <c r="BD312">
        <f t="shared" si="58"/>
        <v>6.7779135802469135</v>
      </c>
      <c r="BE312">
        <f t="shared" si="59"/>
        <v>9.6297207191358023</v>
      </c>
    </row>
    <row r="313" spans="6:57" x14ac:dyDescent="0.25">
      <c r="F313" s="9"/>
      <c r="G313" s="21">
        <v>0.21423300000000001</v>
      </c>
      <c r="H313" s="21">
        <v>8.1468299999999996</v>
      </c>
      <c r="I313" s="21">
        <v>-8.6486800000000006E-3</v>
      </c>
      <c r="J313" s="21">
        <v>303</v>
      </c>
      <c r="K313" s="21">
        <v>0.21374499999999999</v>
      </c>
      <c r="L313">
        <f t="shared" si="48"/>
        <v>10.677382716049381</v>
      </c>
      <c r="M313">
        <f t="shared" si="49"/>
        <v>2.2874477314074073</v>
      </c>
      <c r="N313" s="9"/>
      <c r="O313" s="21">
        <v>1.42578</v>
      </c>
      <c r="P313" s="21">
        <v>11.8452</v>
      </c>
      <c r="Q313" s="21">
        <v>-5.5755600000000002E-3</v>
      </c>
      <c r="R313" s="21">
        <v>303</v>
      </c>
      <c r="S313" s="21">
        <v>1.42517</v>
      </c>
      <c r="T313">
        <f t="shared" si="50"/>
        <v>6.8834074074074074</v>
      </c>
      <c r="U313">
        <f t="shared" si="51"/>
        <v>9.8142246133333337</v>
      </c>
      <c r="X313" s="9"/>
      <c r="Y313" s="21">
        <v>0.21423300000000001</v>
      </c>
      <c r="Z313" s="21">
        <v>17.282</v>
      </c>
      <c r="AA313" s="21">
        <v>-8.6242699999999999E-3</v>
      </c>
      <c r="AB313" s="21">
        <v>303</v>
      </c>
      <c r="AC313" s="21">
        <v>0.21377599999999999</v>
      </c>
      <c r="AD313">
        <f t="shared" si="52"/>
        <v>10.647246913580245</v>
      </c>
      <c r="AE313">
        <f t="shared" si="53"/>
        <v>2.2809916480370367</v>
      </c>
      <c r="AF313" s="9"/>
      <c r="AG313" s="21">
        <v>1.42578</v>
      </c>
      <c r="AH313" s="21">
        <v>20.980399999999999</v>
      </c>
      <c r="AI313" s="21">
        <v>-5.5023199999999998E-3</v>
      </c>
      <c r="AJ313" s="21">
        <v>303</v>
      </c>
      <c r="AK313" s="21">
        <v>1.4248700000000001</v>
      </c>
      <c r="AL313">
        <f t="shared" si="54"/>
        <v>6.7929876543209868</v>
      </c>
      <c r="AM313">
        <f t="shared" si="55"/>
        <v>9.6853059377777768</v>
      </c>
      <c r="AP313" s="9"/>
      <c r="AQ313" s="21">
        <v>0.21423300000000001</v>
      </c>
      <c r="AR313" s="21">
        <v>26.344200000000001</v>
      </c>
      <c r="AS313" s="21">
        <v>-8.6120599999999995E-3</v>
      </c>
      <c r="AT313" s="21">
        <v>303</v>
      </c>
      <c r="AU313" s="21">
        <v>0.21371499999999999</v>
      </c>
      <c r="AV313">
        <f t="shared" si="56"/>
        <v>10.632172839506172</v>
      </c>
      <c r="AW313">
        <f t="shared" si="57"/>
        <v>2.2777622839259259</v>
      </c>
      <c r="AX313" s="9"/>
      <c r="AY313" s="21">
        <v>1.42578</v>
      </c>
      <c r="AZ313" s="21">
        <v>30.0426</v>
      </c>
      <c r="BA313" s="21">
        <v>-5.4657000000000004E-3</v>
      </c>
      <c r="BB313" s="21">
        <v>303</v>
      </c>
      <c r="BC313" s="21">
        <v>1.4248700000000001</v>
      </c>
      <c r="BD313">
        <f t="shared" si="58"/>
        <v>6.7477777777777783</v>
      </c>
      <c r="BE313">
        <f t="shared" si="59"/>
        <v>9.6208466000000019</v>
      </c>
    </row>
    <row r="314" spans="6:57" x14ac:dyDescent="0.25">
      <c r="F314" s="9"/>
      <c r="G314" s="21">
        <v>0.209198</v>
      </c>
      <c r="H314" s="21">
        <v>8.1569099999999999</v>
      </c>
      <c r="I314" s="21">
        <v>-8.6608899999999992E-3</v>
      </c>
      <c r="J314" s="21">
        <v>304</v>
      </c>
      <c r="K314" s="21">
        <v>0.20874000000000001</v>
      </c>
      <c r="L314">
        <f t="shared" si="48"/>
        <v>10.692456790123456</v>
      </c>
      <c r="M314">
        <f t="shared" si="49"/>
        <v>2.236840575580247</v>
      </c>
      <c r="N314" s="9"/>
      <c r="O314" s="21">
        <v>1.43082</v>
      </c>
      <c r="P314" s="21">
        <v>11.8552</v>
      </c>
      <c r="Q314" s="21">
        <v>-5.5511500000000004E-3</v>
      </c>
      <c r="R314" s="21">
        <v>304</v>
      </c>
      <c r="S314" s="21">
        <v>1.43005</v>
      </c>
      <c r="T314">
        <f t="shared" si="50"/>
        <v>6.8532716049382714</v>
      </c>
      <c r="U314">
        <f t="shared" si="51"/>
        <v>9.8057980777777765</v>
      </c>
      <c r="X314" s="9"/>
      <c r="Y314" s="21">
        <v>0.209198</v>
      </c>
      <c r="Z314" s="21">
        <v>17.292100000000001</v>
      </c>
      <c r="AA314" s="21">
        <v>-8.6242699999999999E-3</v>
      </c>
      <c r="AB314" s="21">
        <v>304</v>
      </c>
      <c r="AC314" s="21">
        <v>0.20877100000000001</v>
      </c>
      <c r="AD314">
        <f t="shared" si="52"/>
        <v>10.647246913580245</v>
      </c>
      <c r="AE314">
        <f t="shared" si="53"/>
        <v>2.2273827598271603</v>
      </c>
      <c r="AF314" s="9"/>
      <c r="AG314" s="21">
        <v>1.43082</v>
      </c>
      <c r="AH314" s="21">
        <v>20.990500000000001</v>
      </c>
      <c r="AI314" s="21">
        <v>-5.4779099999999999E-3</v>
      </c>
      <c r="AJ314" s="21">
        <v>304</v>
      </c>
      <c r="AK314" s="21">
        <v>1.4297500000000001</v>
      </c>
      <c r="AL314">
        <f t="shared" si="54"/>
        <v>6.7628518518518517</v>
      </c>
      <c r="AM314">
        <f t="shared" si="55"/>
        <v>9.6764236866666664</v>
      </c>
      <c r="AP314" s="9"/>
      <c r="AQ314" s="21">
        <v>0.209198</v>
      </c>
      <c r="AR314" s="21">
        <v>26.354299999999999</v>
      </c>
      <c r="AS314" s="21">
        <v>-8.6212200000000006E-3</v>
      </c>
      <c r="AT314" s="21">
        <v>304</v>
      </c>
      <c r="AU314" s="21">
        <v>0.20874000000000001</v>
      </c>
      <c r="AV314">
        <f t="shared" si="56"/>
        <v>10.643481481481482</v>
      </c>
      <c r="AW314">
        <f t="shared" si="57"/>
        <v>2.2265950389629632</v>
      </c>
      <c r="AX314" s="9"/>
      <c r="AY314" s="21">
        <v>1.43082</v>
      </c>
      <c r="AZ314" s="21">
        <v>30.052700000000002</v>
      </c>
      <c r="BA314" s="21">
        <v>-5.4382299999999996E-3</v>
      </c>
      <c r="BB314" s="21">
        <v>304</v>
      </c>
      <c r="BC314" s="21">
        <v>1.43005</v>
      </c>
      <c r="BD314">
        <f t="shared" si="58"/>
        <v>6.7138641975308628</v>
      </c>
      <c r="BE314">
        <f t="shared" si="59"/>
        <v>9.6063311711111083</v>
      </c>
    </row>
    <row r="315" spans="6:57" x14ac:dyDescent="0.25">
      <c r="F315" s="9"/>
      <c r="G315" s="21">
        <v>0.20416300000000001</v>
      </c>
      <c r="H315" s="21">
        <v>8.1669800000000006</v>
      </c>
      <c r="I315" s="21">
        <v>-8.6700400000000004E-3</v>
      </c>
      <c r="J315" s="21">
        <v>305</v>
      </c>
      <c r="K315" s="21">
        <v>0.20364399999999999</v>
      </c>
      <c r="L315">
        <f t="shared" si="48"/>
        <v>10.703753086419754</v>
      </c>
      <c r="M315">
        <f t="shared" si="49"/>
        <v>2.1853103413827162</v>
      </c>
      <c r="N315" s="9"/>
      <c r="O315" s="21">
        <v>1.4358500000000001</v>
      </c>
      <c r="P315" s="21">
        <v>11.8653</v>
      </c>
      <c r="Q315" s="21">
        <v>-5.5267299999999997E-3</v>
      </c>
      <c r="R315" s="21">
        <v>305</v>
      </c>
      <c r="S315" s="21">
        <v>1.4352400000000001</v>
      </c>
      <c r="T315">
        <f t="shared" si="50"/>
        <v>6.8231234567901229</v>
      </c>
      <c r="U315">
        <f t="shared" si="51"/>
        <v>9.7969818154320976</v>
      </c>
      <c r="X315" s="9"/>
      <c r="Y315" s="21">
        <v>0.20416300000000001</v>
      </c>
      <c r="Z315" s="21">
        <v>17.302199999999999</v>
      </c>
      <c r="AA315" s="21">
        <v>-8.6364700000000003E-3</v>
      </c>
      <c r="AB315" s="21">
        <v>305</v>
      </c>
      <c r="AC315" s="21">
        <v>0.20367399999999999</v>
      </c>
      <c r="AD315">
        <f t="shared" si="52"/>
        <v>10.662308641975308</v>
      </c>
      <c r="AE315">
        <f t="shared" si="53"/>
        <v>2.1768489192716047</v>
      </c>
      <c r="AF315" s="9"/>
      <c r="AG315" s="21">
        <v>1.4358500000000001</v>
      </c>
      <c r="AH315" s="21">
        <v>21.000499999999999</v>
      </c>
      <c r="AI315" s="21">
        <v>-5.4534900000000001E-3</v>
      </c>
      <c r="AJ315" s="21">
        <v>305</v>
      </c>
      <c r="AK315" s="21">
        <v>1.4352400000000001</v>
      </c>
      <c r="AL315">
        <f t="shared" si="54"/>
        <v>6.7327037037037032</v>
      </c>
      <c r="AM315">
        <f t="shared" si="55"/>
        <v>9.6671526129629619</v>
      </c>
      <c r="AP315" s="9"/>
      <c r="AQ315" s="21">
        <v>0.20416300000000001</v>
      </c>
      <c r="AR315" s="21">
        <v>26.3644</v>
      </c>
      <c r="AS315" s="21">
        <v>-8.6273200000000008E-3</v>
      </c>
      <c r="AT315" s="21">
        <v>305</v>
      </c>
      <c r="AU315" s="21">
        <v>0.203735</v>
      </c>
      <c r="AV315">
        <f t="shared" si="56"/>
        <v>10.651012345679012</v>
      </c>
      <c r="AW315">
        <f t="shared" si="57"/>
        <v>2.1745426335308644</v>
      </c>
      <c r="AX315" s="9"/>
      <c r="AY315" s="21">
        <v>1.4358500000000001</v>
      </c>
      <c r="AZ315" s="21">
        <v>30.0627</v>
      </c>
      <c r="BA315" s="21">
        <v>-5.4138199999999997E-3</v>
      </c>
      <c r="BB315" s="21">
        <v>305</v>
      </c>
      <c r="BC315" s="21">
        <v>1.4352400000000001</v>
      </c>
      <c r="BD315">
        <f t="shared" si="58"/>
        <v>6.6837283950617277</v>
      </c>
      <c r="BE315">
        <f t="shared" si="59"/>
        <v>9.5968314160493815</v>
      </c>
    </row>
    <row r="316" spans="6:57" x14ac:dyDescent="0.25">
      <c r="F316" s="9"/>
      <c r="G316" s="21">
        <v>0.199127</v>
      </c>
      <c r="H316" s="21">
        <v>8.1770499999999995</v>
      </c>
      <c r="I316" s="21">
        <v>-8.6730999999999996E-3</v>
      </c>
      <c r="J316" s="21">
        <v>306</v>
      </c>
      <c r="K316" s="21">
        <v>0.19863900000000001</v>
      </c>
      <c r="L316">
        <f t="shared" si="48"/>
        <v>10.70753086419753</v>
      </c>
      <c r="M316">
        <f t="shared" si="49"/>
        <v>2.1321584983950617</v>
      </c>
      <c r="N316" s="9"/>
      <c r="O316" s="21">
        <v>1.44089</v>
      </c>
      <c r="P316" s="21">
        <v>11.875400000000001</v>
      </c>
      <c r="Q316" s="21">
        <v>-5.4962199999999996E-3</v>
      </c>
      <c r="R316" s="21">
        <v>306</v>
      </c>
      <c r="S316" s="21">
        <v>1.4404300000000001</v>
      </c>
      <c r="T316">
        <f t="shared" si="50"/>
        <v>6.7854567901234555</v>
      </c>
      <c r="U316">
        <f t="shared" si="51"/>
        <v>9.7770968343209859</v>
      </c>
      <c r="X316" s="9"/>
      <c r="Y316" s="21">
        <v>0.199127</v>
      </c>
      <c r="Z316" s="21">
        <v>17.3123</v>
      </c>
      <c r="AA316" s="21">
        <v>-8.6517299999999998E-3</v>
      </c>
      <c r="AB316" s="21">
        <v>306</v>
      </c>
      <c r="AC316" s="21">
        <v>0.19866900000000001</v>
      </c>
      <c r="AD316">
        <f t="shared" si="52"/>
        <v>10.681148148148148</v>
      </c>
      <c r="AE316">
        <f t="shared" si="53"/>
        <v>2.1269049872962964</v>
      </c>
      <c r="AF316" s="9"/>
      <c r="AG316" s="21">
        <v>1.44089</v>
      </c>
      <c r="AH316" s="21">
        <v>21.0106</v>
      </c>
      <c r="AI316" s="21">
        <v>-5.42297E-3</v>
      </c>
      <c r="AJ316" s="21">
        <v>306</v>
      </c>
      <c r="AK316" s="21">
        <v>1.4401200000000001</v>
      </c>
      <c r="AL316">
        <f t="shared" si="54"/>
        <v>6.6950246913580242</v>
      </c>
      <c r="AM316">
        <f t="shared" si="55"/>
        <v>9.646794127530864</v>
      </c>
      <c r="AP316" s="9"/>
      <c r="AQ316" s="21">
        <v>0.199127</v>
      </c>
      <c r="AR316" s="21">
        <v>26.374400000000001</v>
      </c>
      <c r="AS316" s="21">
        <v>-8.6364700000000003E-3</v>
      </c>
      <c r="AT316" s="21">
        <v>306</v>
      </c>
      <c r="AU316" s="21">
        <v>0.19872999999999999</v>
      </c>
      <c r="AV316">
        <f t="shared" si="56"/>
        <v>10.662308641975308</v>
      </c>
      <c r="AW316">
        <f t="shared" si="57"/>
        <v>2.1231535329506173</v>
      </c>
      <c r="AX316" s="9"/>
      <c r="AY316" s="21">
        <v>1.44089</v>
      </c>
      <c r="AZ316" s="21">
        <v>30.072800000000001</v>
      </c>
      <c r="BA316" s="21">
        <v>-5.3863499999999998E-3</v>
      </c>
      <c r="BB316" s="21">
        <v>306</v>
      </c>
      <c r="BC316" s="21">
        <v>1.4401200000000001</v>
      </c>
      <c r="BD316">
        <f t="shared" si="58"/>
        <v>6.649814814814814</v>
      </c>
      <c r="BE316">
        <f t="shared" si="59"/>
        <v>9.5816516685185178</v>
      </c>
    </row>
    <row r="317" spans="6:57" x14ac:dyDescent="0.25">
      <c r="F317" s="9"/>
      <c r="G317" s="21">
        <v>0.19409199999999999</v>
      </c>
      <c r="H317" s="21">
        <v>8.1871200000000002</v>
      </c>
      <c r="I317" s="21">
        <v>-8.6730999999999996E-3</v>
      </c>
      <c r="J317" s="21">
        <v>307</v>
      </c>
      <c r="K317" s="21">
        <v>0.193604</v>
      </c>
      <c r="L317">
        <f t="shared" si="48"/>
        <v>10.70753086419753</v>
      </c>
      <c r="M317">
        <f t="shared" si="49"/>
        <v>2.0782460804938268</v>
      </c>
      <c r="N317" s="9"/>
      <c r="O317" s="21">
        <v>1.4459200000000001</v>
      </c>
      <c r="P317" s="21">
        <v>11.8855</v>
      </c>
      <c r="Q317" s="21">
        <v>-5.4717999999999998E-3</v>
      </c>
      <c r="R317" s="21">
        <v>307</v>
      </c>
      <c r="S317" s="21">
        <v>1.4456199999999999</v>
      </c>
      <c r="T317">
        <f t="shared" si="50"/>
        <v>6.7553086419753079</v>
      </c>
      <c r="U317">
        <f t="shared" si="51"/>
        <v>9.7676358716049378</v>
      </c>
      <c r="X317" s="9"/>
      <c r="Y317" s="21">
        <v>0.19409199999999999</v>
      </c>
      <c r="Z317" s="21">
        <v>17.322299999999998</v>
      </c>
      <c r="AA317" s="21">
        <v>-8.6608899999999992E-3</v>
      </c>
      <c r="AB317" s="21">
        <v>307</v>
      </c>
      <c r="AC317" s="21">
        <v>0.193604</v>
      </c>
      <c r="AD317">
        <f t="shared" si="52"/>
        <v>10.692456790123456</v>
      </c>
      <c r="AE317">
        <f t="shared" si="53"/>
        <v>2.0753203233086417</v>
      </c>
      <c r="AF317" s="9"/>
      <c r="AG317" s="21">
        <v>1.4459200000000001</v>
      </c>
      <c r="AH317" s="21">
        <v>21.020700000000001</v>
      </c>
      <c r="AI317" s="21">
        <v>-5.3893999999999999E-3</v>
      </c>
      <c r="AJ317" s="21">
        <v>307</v>
      </c>
      <c r="AK317" s="21">
        <v>1.4447000000000001</v>
      </c>
      <c r="AL317">
        <f t="shared" si="54"/>
        <v>6.6535802469135801</v>
      </c>
      <c r="AM317">
        <f t="shared" si="55"/>
        <v>9.6205447506172845</v>
      </c>
      <c r="AP317" s="9"/>
      <c r="AQ317" s="21">
        <v>0.19409199999999999</v>
      </c>
      <c r="AR317" s="21">
        <v>26.384499999999999</v>
      </c>
      <c r="AS317" s="21">
        <v>-8.6334199999999993E-3</v>
      </c>
      <c r="AT317" s="21">
        <v>307</v>
      </c>
      <c r="AU317" s="21">
        <v>0.193665</v>
      </c>
      <c r="AV317">
        <f t="shared" si="56"/>
        <v>10.658543209876541</v>
      </c>
      <c r="AW317">
        <f t="shared" si="57"/>
        <v>2.0687379686913574</v>
      </c>
      <c r="AX317" s="9"/>
      <c r="AY317" s="21">
        <v>1.4459200000000001</v>
      </c>
      <c r="AZ317" s="21">
        <v>30.082899999999999</v>
      </c>
      <c r="BA317" s="21">
        <v>-5.3588899999999998E-3</v>
      </c>
      <c r="BB317" s="21">
        <v>307</v>
      </c>
      <c r="BC317" s="21">
        <v>1.4459200000000001</v>
      </c>
      <c r="BD317">
        <f t="shared" si="58"/>
        <v>6.6159135802469136</v>
      </c>
      <c r="BE317">
        <f t="shared" si="59"/>
        <v>9.566081763950617</v>
      </c>
    </row>
    <row r="318" spans="6:57" x14ac:dyDescent="0.25">
      <c r="F318" s="9"/>
      <c r="G318" s="21">
        <v>0.189056</v>
      </c>
      <c r="H318" s="21">
        <v>8.1971900000000009</v>
      </c>
      <c r="I318" s="21">
        <v>-8.6791999999999998E-3</v>
      </c>
      <c r="J318" s="21">
        <v>308</v>
      </c>
      <c r="K318" s="21">
        <v>0.18850700000000001</v>
      </c>
      <c r="L318">
        <f t="shared" si="48"/>
        <v>10.71506172839506</v>
      </c>
      <c r="M318">
        <f t="shared" si="49"/>
        <v>2.0257467101234563</v>
      </c>
      <c r="N318" s="9"/>
      <c r="O318" s="21">
        <v>1.45096</v>
      </c>
      <c r="P318" s="21">
        <v>11.8955</v>
      </c>
      <c r="Q318" s="21">
        <v>-5.4382299999999996E-3</v>
      </c>
      <c r="R318" s="21">
        <v>308</v>
      </c>
      <c r="S318" s="21">
        <v>1.4501999999999999</v>
      </c>
      <c r="T318">
        <f t="shared" si="50"/>
        <v>6.7138641975308628</v>
      </c>
      <c r="U318">
        <f t="shared" si="51"/>
        <v>9.7415483960493816</v>
      </c>
      <c r="X318" s="9"/>
      <c r="Y318" s="21">
        <v>0.189056</v>
      </c>
      <c r="Z318" s="21">
        <v>17.3324</v>
      </c>
      <c r="AA318" s="21">
        <v>-8.6639400000000002E-3</v>
      </c>
      <c r="AB318" s="21">
        <v>308</v>
      </c>
      <c r="AC318" s="21">
        <v>0.18847700000000001</v>
      </c>
      <c r="AD318">
        <f t="shared" si="52"/>
        <v>10.696222222222222</v>
      </c>
      <c r="AE318">
        <f t="shared" si="53"/>
        <v>2.0221849884444443</v>
      </c>
      <c r="AF318" s="9"/>
      <c r="AG318" s="21">
        <v>1.45096</v>
      </c>
      <c r="AH318" s="21">
        <v>21.0307</v>
      </c>
      <c r="AI318" s="21">
        <v>-5.3588899999999998E-3</v>
      </c>
      <c r="AJ318" s="21">
        <v>308</v>
      </c>
      <c r="AK318" s="21">
        <v>1.4504999999999999</v>
      </c>
      <c r="AL318">
        <f t="shared" si="54"/>
        <v>6.6159135802469136</v>
      </c>
      <c r="AM318">
        <f t="shared" si="55"/>
        <v>9.599425968395062</v>
      </c>
      <c r="AP318" s="9"/>
      <c r="AQ318" s="21">
        <v>0.189056</v>
      </c>
      <c r="AR318" s="21">
        <v>26.394600000000001</v>
      </c>
      <c r="AS318" s="21">
        <v>-8.6364700000000003E-3</v>
      </c>
      <c r="AT318" s="21">
        <v>308</v>
      </c>
      <c r="AU318" s="21">
        <v>0.18865999999999999</v>
      </c>
      <c r="AV318">
        <f t="shared" si="56"/>
        <v>10.662308641975308</v>
      </c>
      <c r="AW318">
        <f t="shared" si="57"/>
        <v>2.0157734226172837</v>
      </c>
      <c r="AX318" s="9"/>
      <c r="AY318" s="21">
        <v>1.45096</v>
      </c>
      <c r="AZ318" s="21">
        <v>30.093</v>
      </c>
      <c r="BA318" s="21">
        <v>-5.3283699999999998E-3</v>
      </c>
      <c r="BB318" s="21">
        <v>308</v>
      </c>
      <c r="BC318" s="21">
        <v>1.4504999999999999</v>
      </c>
      <c r="BD318">
        <f t="shared" si="58"/>
        <v>6.5782345679012337</v>
      </c>
      <c r="BE318">
        <f t="shared" si="59"/>
        <v>9.544755228641975</v>
      </c>
    </row>
    <row r="319" spans="6:57" x14ac:dyDescent="0.25">
      <c r="F319" s="9"/>
      <c r="G319" s="21">
        <v>0.18402099999999999</v>
      </c>
      <c r="H319" s="21">
        <v>8.2072599999999998</v>
      </c>
      <c r="I319" s="21">
        <v>-8.6975100000000003E-3</v>
      </c>
      <c r="J319" s="21">
        <v>309</v>
      </c>
      <c r="K319" s="21">
        <v>0.183502</v>
      </c>
      <c r="L319">
        <f t="shared" si="48"/>
        <v>10.737666666666666</v>
      </c>
      <c r="M319">
        <f t="shared" si="49"/>
        <v>1.9759561576666664</v>
      </c>
      <c r="N319" s="9"/>
      <c r="O319" s="21">
        <v>1.4559899999999999</v>
      </c>
      <c r="P319" s="21">
        <v>11.9056</v>
      </c>
      <c r="Q319" s="21">
        <v>-5.4077099999999996E-3</v>
      </c>
      <c r="R319" s="21">
        <v>309</v>
      </c>
      <c r="S319" s="21">
        <v>1.4553799999999999</v>
      </c>
      <c r="T319">
        <f t="shared" si="50"/>
        <v>6.6761851851851839</v>
      </c>
      <c r="U319">
        <f t="shared" si="51"/>
        <v>9.7204588677777757</v>
      </c>
      <c r="X319" s="9"/>
      <c r="Y319" s="21">
        <v>0.18402099999999999</v>
      </c>
      <c r="Z319" s="21">
        <v>17.342500000000001</v>
      </c>
      <c r="AA319" s="21">
        <v>-8.65784E-3</v>
      </c>
      <c r="AB319" s="21">
        <v>309</v>
      </c>
      <c r="AC319" s="21">
        <v>0.183472</v>
      </c>
      <c r="AD319">
        <f t="shared" si="52"/>
        <v>10.688691358024689</v>
      </c>
      <c r="AE319">
        <f t="shared" si="53"/>
        <v>1.9669436723950613</v>
      </c>
      <c r="AF319" s="9"/>
      <c r="AG319" s="21">
        <v>1.4559899999999999</v>
      </c>
      <c r="AH319" s="21">
        <v>21.040800000000001</v>
      </c>
      <c r="AI319" s="21">
        <v>-5.3314199999999999E-3</v>
      </c>
      <c r="AJ319" s="21">
        <v>309</v>
      </c>
      <c r="AK319" s="21">
        <v>1.4553799999999999</v>
      </c>
      <c r="AL319">
        <f t="shared" si="54"/>
        <v>6.581999999999999</v>
      </c>
      <c r="AM319">
        <f t="shared" si="55"/>
        <v>9.5833261799999985</v>
      </c>
      <c r="AP319" s="9"/>
      <c r="AQ319" s="21">
        <v>0.18402099999999999</v>
      </c>
      <c r="AR319" s="21">
        <v>26.404699999999998</v>
      </c>
      <c r="AS319" s="21">
        <v>-8.6486800000000006E-3</v>
      </c>
      <c r="AT319" s="21">
        <v>309</v>
      </c>
      <c r="AU319" s="21">
        <v>0.183533</v>
      </c>
      <c r="AV319">
        <f t="shared" si="56"/>
        <v>10.677382716049381</v>
      </c>
      <c r="AW319">
        <f t="shared" si="57"/>
        <v>1.9648626447901232</v>
      </c>
      <c r="AX319" s="9"/>
      <c r="AY319" s="21">
        <v>1.4559899999999999</v>
      </c>
      <c r="AZ319" s="21">
        <v>30.103000000000002</v>
      </c>
      <c r="BA319" s="21">
        <v>-5.2947999999999997E-3</v>
      </c>
      <c r="BB319" s="21">
        <v>309</v>
      </c>
      <c r="BC319" s="21">
        <v>1.4550799999999999</v>
      </c>
      <c r="BD319">
        <f t="shared" si="58"/>
        <v>6.5367901234567896</v>
      </c>
      <c r="BE319">
        <f t="shared" si="59"/>
        <v>9.5175010518518501</v>
      </c>
    </row>
    <row r="320" spans="6:57" x14ac:dyDescent="0.25">
      <c r="F320" s="9"/>
      <c r="G320" s="21">
        <v>0.17898600000000001</v>
      </c>
      <c r="H320" s="21">
        <v>8.2173300000000005</v>
      </c>
      <c r="I320" s="21">
        <v>-8.7066699999999997E-3</v>
      </c>
      <c r="J320" s="21">
        <v>310</v>
      </c>
      <c r="K320" s="21">
        <v>0.17852799999999999</v>
      </c>
      <c r="L320">
        <f t="shared" si="48"/>
        <v>10.748975308641974</v>
      </c>
      <c r="M320">
        <f t="shared" si="49"/>
        <v>1.9239160945925924</v>
      </c>
      <c r="N320" s="9"/>
      <c r="O320" s="21">
        <v>1.4610300000000001</v>
      </c>
      <c r="P320" s="21">
        <v>11.915699999999999</v>
      </c>
      <c r="Q320" s="21">
        <v>-5.3832999999999997E-3</v>
      </c>
      <c r="R320" s="21">
        <v>310</v>
      </c>
      <c r="S320" s="21">
        <v>1.4599599999999999</v>
      </c>
      <c r="T320">
        <f t="shared" si="50"/>
        <v>6.6460493827160487</v>
      </c>
      <c r="U320">
        <f t="shared" si="51"/>
        <v>9.7100775296296291</v>
      </c>
      <c r="X320" s="9"/>
      <c r="Y320" s="21">
        <v>0.17898600000000001</v>
      </c>
      <c r="Z320" s="21">
        <v>17.352499999999999</v>
      </c>
      <c r="AA320" s="21">
        <v>-8.65784E-3</v>
      </c>
      <c r="AB320" s="21">
        <v>310</v>
      </c>
      <c r="AC320" s="21">
        <v>0.17852799999999999</v>
      </c>
      <c r="AD320">
        <f t="shared" si="52"/>
        <v>10.688691358024689</v>
      </c>
      <c r="AE320">
        <f t="shared" si="53"/>
        <v>1.9131261114074072</v>
      </c>
      <c r="AF320" s="9"/>
      <c r="AG320" s="21">
        <v>1.4610300000000001</v>
      </c>
      <c r="AH320" s="21">
        <v>21.050899999999999</v>
      </c>
      <c r="AI320" s="21">
        <v>-5.3039599999999999E-3</v>
      </c>
      <c r="AJ320" s="21">
        <v>310</v>
      </c>
      <c r="AK320" s="21">
        <v>1.46027</v>
      </c>
      <c r="AL320">
        <f t="shared" si="54"/>
        <v>6.5480987654320986</v>
      </c>
      <c r="AM320">
        <f t="shared" si="55"/>
        <v>9.5669687392592593</v>
      </c>
      <c r="AP320" s="9"/>
      <c r="AQ320" s="21">
        <v>0.17898600000000001</v>
      </c>
      <c r="AR320" s="21">
        <v>26.4147</v>
      </c>
      <c r="AS320" s="21">
        <v>-8.6547900000000007E-3</v>
      </c>
      <c r="AT320" s="21">
        <v>310</v>
      </c>
      <c r="AU320" s="21">
        <v>0.17855799999999999</v>
      </c>
      <c r="AV320">
        <f t="shared" si="56"/>
        <v>10.684925925925926</v>
      </c>
      <c r="AW320">
        <f t="shared" si="57"/>
        <v>1.9124521517777779</v>
      </c>
      <c r="AX320" s="9"/>
      <c r="AY320" s="21">
        <v>1.4610300000000001</v>
      </c>
      <c r="AZ320" s="21">
        <v>30.113099999999999</v>
      </c>
      <c r="BA320" s="21">
        <v>-5.2642799999999997E-3</v>
      </c>
      <c r="BB320" s="21">
        <v>310</v>
      </c>
      <c r="BC320" s="21">
        <v>1.4611799999999999</v>
      </c>
      <c r="BD320">
        <f t="shared" si="58"/>
        <v>6.4991111111111097</v>
      </c>
      <c r="BE320">
        <f t="shared" si="59"/>
        <v>9.4953963066666649</v>
      </c>
    </row>
    <row r="321" spans="6:57" x14ac:dyDescent="0.25">
      <c r="F321" s="9"/>
      <c r="G321" s="21">
        <v>0.17394999999999999</v>
      </c>
      <c r="H321" s="21">
        <v>8.2273999999999994</v>
      </c>
      <c r="I321" s="21">
        <v>-8.7127699999999999E-3</v>
      </c>
      <c r="J321" s="21">
        <v>311</v>
      </c>
      <c r="K321" s="21">
        <v>0.17349200000000001</v>
      </c>
      <c r="L321">
        <f t="shared" si="48"/>
        <v>10.756506172839506</v>
      </c>
      <c r="M321">
        <f t="shared" si="49"/>
        <v>1.8710942487654321</v>
      </c>
      <c r="N321" s="9"/>
      <c r="O321" s="21">
        <v>1.4660599999999999</v>
      </c>
      <c r="P321" s="21">
        <v>11.925700000000001</v>
      </c>
      <c r="Q321" s="21">
        <v>-5.3527799999999997E-3</v>
      </c>
      <c r="R321" s="21">
        <v>311</v>
      </c>
      <c r="S321" s="21">
        <v>1.4654499999999999</v>
      </c>
      <c r="T321">
        <f t="shared" si="50"/>
        <v>6.6083703703703698</v>
      </c>
      <c r="U321">
        <f t="shared" si="51"/>
        <v>9.6882674651851843</v>
      </c>
      <c r="X321" s="9"/>
      <c r="Y321" s="21">
        <v>0.17394999999999999</v>
      </c>
      <c r="Z321" s="21">
        <v>17.3626</v>
      </c>
      <c r="AA321" s="21">
        <v>-8.6700400000000004E-3</v>
      </c>
      <c r="AB321" s="21">
        <v>311</v>
      </c>
      <c r="AC321" s="21">
        <v>0.173431</v>
      </c>
      <c r="AD321">
        <f t="shared" si="52"/>
        <v>10.703753086419754</v>
      </c>
      <c r="AE321">
        <f t="shared" si="53"/>
        <v>1.8619178493827162</v>
      </c>
      <c r="AF321" s="9"/>
      <c r="AG321" s="21">
        <v>1.4660599999999999</v>
      </c>
      <c r="AH321" s="21">
        <v>21.061</v>
      </c>
      <c r="AI321" s="21">
        <v>-5.27649E-3</v>
      </c>
      <c r="AJ321" s="21">
        <v>311</v>
      </c>
      <c r="AK321" s="21">
        <v>1.4654499999999999</v>
      </c>
      <c r="AL321">
        <f t="shared" si="54"/>
        <v>6.5141851851851849</v>
      </c>
      <c r="AM321">
        <f t="shared" si="55"/>
        <v>9.5501863325925918</v>
      </c>
      <c r="AP321" s="9"/>
      <c r="AQ321" s="21">
        <v>0.17394999999999999</v>
      </c>
      <c r="AR321" s="21">
        <v>26.424800000000001</v>
      </c>
      <c r="AS321" s="21">
        <v>-8.6547900000000007E-3</v>
      </c>
      <c r="AT321" s="21">
        <v>311</v>
      </c>
      <c r="AU321" s="21">
        <v>0.17349200000000001</v>
      </c>
      <c r="AV321">
        <f t="shared" si="56"/>
        <v>10.684925925925926</v>
      </c>
      <c r="AW321">
        <f t="shared" si="57"/>
        <v>1.8586428648148148</v>
      </c>
      <c r="AX321" s="9"/>
      <c r="AY321" s="21">
        <v>1.4660599999999999</v>
      </c>
      <c r="AZ321" s="21">
        <v>30.123200000000001</v>
      </c>
      <c r="BA321" s="21">
        <v>-5.2337599999999996E-3</v>
      </c>
      <c r="BB321" s="21">
        <v>311</v>
      </c>
      <c r="BC321" s="21">
        <v>1.46515</v>
      </c>
      <c r="BD321">
        <f t="shared" si="58"/>
        <v>6.4614320987654308</v>
      </c>
      <c r="BE321">
        <f t="shared" si="59"/>
        <v>9.4728471427160468</v>
      </c>
    </row>
    <row r="322" spans="6:57" x14ac:dyDescent="0.25">
      <c r="F322" s="9"/>
      <c r="G322" s="21">
        <v>0.16891500000000001</v>
      </c>
      <c r="H322" s="21">
        <v>8.2374700000000001</v>
      </c>
      <c r="I322" s="21">
        <v>-8.7249800000000002E-3</v>
      </c>
      <c r="J322" s="21">
        <v>312</v>
      </c>
      <c r="K322" s="21">
        <v>0.168457</v>
      </c>
      <c r="L322">
        <f t="shared" si="48"/>
        <v>10.77158024691358</v>
      </c>
      <c r="M322">
        <f t="shared" si="49"/>
        <v>1.8194814774074073</v>
      </c>
      <c r="N322" s="9"/>
      <c r="O322" s="21">
        <v>1.4711000000000001</v>
      </c>
      <c r="P322" s="21">
        <v>11.9358</v>
      </c>
      <c r="Q322" s="21">
        <v>-5.3192100000000004E-3</v>
      </c>
      <c r="R322" s="21">
        <v>312</v>
      </c>
      <c r="S322" s="21">
        <v>1.4700299999999999</v>
      </c>
      <c r="T322">
        <f t="shared" si="50"/>
        <v>6.5669259259259256</v>
      </c>
      <c r="U322">
        <f t="shared" si="51"/>
        <v>9.6606047296296289</v>
      </c>
      <c r="X322" s="9"/>
      <c r="Y322" s="21">
        <v>0.16891500000000001</v>
      </c>
      <c r="Z322" s="21">
        <v>17.372699999999998</v>
      </c>
      <c r="AA322" s="21">
        <v>-8.6791999999999998E-3</v>
      </c>
      <c r="AB322" s="21">
        <v>312</v>
      </c>
      <c r="AC322" s="21">
        <v>0.16842699999999999</v>
      </c>
      <c r="AD322">
        <f t="shared" si="52"/>
        <v>10.71506172839506</v>
      </c>
      <c r="AE322">
        <f t="shared" si="53"/>
        <v>1.8099346518518518</v>
      </c>
      <c r="AF322" s="9"/>
      <c r="AG322" s="21">
        <v>1.4711000000000001</v>
      </c>
      <c r="AH322" s="21">
        <v>21.071000000000002</v>
      </c>
      <c r="AI322" s="21">
        <v>-5.2429199999999999E-3</v>
      </c>
      <c r="AJ322" s="21">
        <v>312</v>
      </c>
      <c r="AK322" s="21">
        <v>1.47034</v>
      </c>
      <c r="AL322">
        <f t="shared" si="54"/>
        <v>6.4727407407407398</v>
      </c>
      <c r="AM322">
        <f t="shared" si="55"/>
        <v>9.5220489037037019</v>
      </c>
      <c r="AP322" s="9"/>
      <c r="AQ322" s="21">
        <v>0.16891500000000001</v>
      </c>
      <c r="AR322" s="21">
        <v>26.434899999999999</v>
      </c>
      <c r="AS322" s="21">
        <v>-8.6517299999999998E-3</v>
      </c>
      <c r="AT322" s="21">
        <v>312</v>
      </c>
      <c r="AU322" s="21">
        <v>0.168457</v>
      </c>
      <c r="AV322">
        <f t="shared" si="56"/>
        <v>10.681148148148148</v>
      </c>
      <c r="AW322">
        <f t="shared" si="57"/>
        <v>1.8042061394444446</v>
      </c>
      <c r="AX322" s="9"/>
      <c r="AY322" s="21">
        <v>1.4711000000000001</v>
      </c>
      <c r="AZ322" s="21">
        <v>30.133199999999999</v>
      </c>
      <c r="BA322" s="21">
        <v>-5.2062999999999996E-3</v>
      </c>
      <c r="BB322" s="21">
        <v>312</v>
      </c>
      <c r="BC322" s="21">
        <v>1.47034</v>
      </c>
      <c r="BD322">
        <f t="shared" si="58"/>
        <v>6.4275308641975304</v>
      </c>
      <c r="BE322">
        <f t="shared" si="59"/>
        <v>9.4555406543209877</v>
      </c>
    </row>
    <row r="323" spans="6:57" x14ac:dyDescent="0.25">
      <c r="F323" s="9"/>
      <c r="G323" s="21">
        <v>0.163879</v>
      </c>
      <c r="H323" s="21">
        <v>8.2475400000000008</v>
      </c>
      <c r="I323" s="21">
        <v>-8.7371800000000006E-3</v>
      </c>
      <c r="J323" s="21">
        <v>313</v>
      </c>
      <c r="K323" s="21">
        <v>0.16342200000000001</v>
      </c>
      <c r="L323">
        <f t="shared" si="48"/>
        <v>10.786641975308642</v>
      </c>
      <c r="M323">
        <f t="shared" si="49"/>
        <v>1.767704100271605</v>
      </c>
      <c r="N323" s="9"/>
      <c r="O323" s="21">
        <v>1.47614</v>
      </c>
      <c r="P323" s="21">
        <v>11.9459</v>
      </c>
      <c r="Q323" s="21">
        <v>-5.2795400000000001E-3</v>
      </c>
      <c r="R323" s="21">
        <v>313</v>
      </c>
      <c r="S323" s="21">
        <v>1.47614</v>
      </c>
      <c r="T323">
        <f t="shared" si="50"/>
        <v>6.5179506172839501</v>
      </c>
      <c r="U323">
        <f t="shared" si="51"/>
        <v>9.6214076241975306</v>
      </c>
      <c r="X323" s="9"/>
      <c r="Y323" s="21">
        <v>0.163879</v>
      </c>
      <c r="Z323" s="21">
        <v>17.3828</v>
      </c>
      <c r="AA323" s="21">
        <v>-8.6761500000000005E-3</v>
      </c>
      <c r="AB323" s="21">
        <v>313</v>
      </c>
      <c r="AC323" s="21">
        <v>0.16339100000000001</v>
      </c>
      <c r="AD323">
        <f t="shared" si="52"/>
        <v>10.711296296296297</v>
      </c>
      <c r="AE323">
        <f t="shared" si="53"/>
        <v>1.7553565257407409</v>
      </c>
      <c r="AF323" s="9"/>
      <c r="AG323" s="21">
        <v>1.47614</v>
      </c>
      <c r="AH323" s="21">
        <v>21.081099999999999</v>
      </c>
      <c r="AI323" s="21">
        <v>-5.2123999999999998E-3</v>
      </c>
      <c r="AJ323" s="21">
        <v>313</v>
      </c>
      <c r="AK323" s="21">
        <v>1.47522</v>
      </c>
      <c r="AL323">
        <f t="shared" si="54"/>
        <v>6.4350617283950609</v>
      </c>
      <c r="AM323">
        <f t="shared" si="55"/>
        <v>9.4990520197530852</v>
      </c>
      <c r="AP323" s="9"/>
      <c r="AQ323" s="21">
        <v>0.163879</v>
      </c>
      <c r="AR323" s="21">
        <v>26.444900000000001</v>
      </c>
      <c r="AS323" s="21">
        <v>-8.65784E-3</v>
      </c>
      <c r="AT323" s="21">
        <v>313</v>
      </c>
      <c r="AU323" s="21">
        <v>0.16348299999999999</v>
      </c>
      <c r="AV323">
        <f t="shared" si="56"/>
        <v>10.688691358024689</v>
      </c>
      <c r="AW323">
        <f t="shared" si="57"/>
        <v>1.7516520510617279</v>
      </c>
      <c r="AX323" s="9"/>
      <c r="AY323" s="21">
        <v>1.47614</v>
      </c>
      <c r="AZ323" s="21">
        <v>30.1433</v>
      </c>
      <c r="BA323" s="21">
        <v>-5.1757799999999996E-3</v>
      </c>
      <c r="BB323" s="21">
        <v>313</v>
      </c>
      <c r="BC323" s="21">
        <v>1.47522</v>
      </c>
      <c r="BD323">
        <f t="shared" si="58"/>
        <v>6.3898518518518506</v>
      </c>
      <c r="BE323">
        <f t="shared" si="59"/>
        <v>9.4323159125925908</v>
      </c>
    </row>
    <row r="324" spans="6:57" x14ac:dyDescent="0.25">
      <c r="F324" s="9"/>
      <c r="G324" s="21">
        <v>0.15884400000000001</v>
      </c>
      <c r="H324" s="21">
        <v>8.2576199999999993</v>
      </c>
      <c r="I324" s="21">
        <v>-8.7432900000000008E-3</v>
      </c>
      <c r="J324" s="21">
        <v>314</v>
      </c>
      <c r="K324" s="21">
        <v>0.158386</v>
      </c>
      <c r="L324">
        <f t="shared" si="48"/>
        <v>10.794185185185187</v>
      </c>
      <c r="M324">
        <f t="shared" si="49"/>
        <v>1.7145915515555559</v>
      </c>
      <c r="N324" s="9"/>
      <c r="O324" s="21">
        <v>1.4811700000000001</v>
      </c>
      <c r="P324" s="21">
        <v>11.956</v>
      </c>
      <c r="Q324" s="21">
        <v>-5.24597E-3</v>
      </c>
      <c r="R324" s="21">
        <v>314</v>
      </c>
      <c r="S324" s="21">
        <v>1.48102</v>
      </c>
      <c r="T324">
        <f t="shared" si="50"/>
        <v>6.4765061728395059</v>
      </c>
      <c r="U324">
        <f t="shared" si="51"/>
        <v>9.5928066480246912</v>
      </c>
      <c r="X324" s="9"/>
      <c r="Y324" s="21">
        <v>0.15884400000000001</v>
      </c>
      <c r="Z324" s="21">
        <v>17.392800000000001</v>
      </c>
      <c r="AA324" s="21">
        <v>-8.6822500000000007E-3</v>
      </c>
      <c r="AB324" s="21">
        <v>314</v>
      </c>
      <c r="AC324" s="21">
        <v>0.158447</v>
      </c>
      <c r="AD324">
        <f t="shared" si="52"/>
        <v>10.718827160493827</v>
      </c>
      <c r="AE324">
        <f t="shared" si="53"/>
        <v>1.7026213814814817</v>
      </c>
      <c r="AF324" s="9"/>
      <c r="AG324" s="21">
        <v>1.4811700000000001</v>
      </c>
      <c r="AH324" s="21">
        <v>21.091200000000001</v>
      </c>
      <c r="AI324" s="21">
        <v>-5.1849399999999999E-3</v>
      </c>
      <c r="AJ324" s="21">
        <v>314</v>
      </c>
      <c r="AK324" s="21">
        <v>1.4798</v>
      </c>
      <c r="AL324">
        <f t="shared" si="54"/>
        <v>6.4011604938271605</v>
      </c>
      <c r="AM324">
        <f t="shared" si="55"/>
        <v>9.4812068886419762</v>
      </c>
      <c r="AP324" s="9"/>
      <c r="AQ324" s="21">
        <v>0.15884400000000001</v>
      </c>
      <c r="AR324" s="21">
        <v>26.454999999999998</v>
      </c>
      <c r="AS324" s="21">
        <v>-8.6761500000000005E-3</v>
      </c>
      <c r="AT324" s="21">
        <v>314</v>
      </c>
      <c r="AU324" s="21">
        <v>0.158356</v>
      </c>
      <c r="AV324">
        <f t="shared" si="56"/>
        <v>10.711296296296297</v>
      </c>
      <c r="AW324">
        <f t="shared" si="57"/>
        <v>1.7014251488888892</v>
      </c>
      <c r="AX324" s="9"/>
      <c r="AY324" s="21">
        <v>1.4811700000000001</v>
      </c>
      <c r="AZ324" s="21">
        <v>30.153400000000001</v>
      </c>
      <c r="BA324" s="21">
        <v>-5.1391600000000003E-3</v>
      </c>
      <c r="BB324" s="21">
        <v>314</v>
      </c>
      <c r="BC324" s="21">
        <v>1.48102</v>
      </c>
      <c r="BD324">
        <f t="shared" si="58"/>
        <v>6.344641975308642</v>
      </c>
      <c r="BE324">
        <f t="shared" si="59"/>
        <v>9.3974933545679011</v>
      </c>
    </row>
    <row r="325" spans="6:57" x14ac:dyDescent="0.25">
      <c r="F325" s="9"/>
      <c r="G325" s="21">
        <v>0.153809</v>
      </c>
      <c r="H325" s="21">
        <v>8.26769</v>
      </c>
      <c r="I325" s="21">
        <v>-8.7493899999999993E-3</v>
      </c>
      <c r="J325" s="21">
        <v>315</v>
      </c>
      <c r="K325" s="21">
        <v>0.15332000000000001</v>
      </c>
      <c r="L325">
        <f t="shared" si="48"/>
        <v>10.801716049382714</v>
      </c>
      <c r="M325">
        <f t="shared" si="49"/>
        <v>1.6614011438395058</v>
      </c>
      <c r="N325" s="9"/>
      <c r="O325" s="21">
        <v>1.48621</v>
      </c>
      <c r="P325" s="21">
        <v>11.965999999999999</v>
      </c>
      <c r="Q325" s="21">
        <v>-5.2093499999999997E-3</v>
      </c>
      <c r="R325" s="21">
        <v>315</v>
      </c>
      <c r="S325" s="21">
        <v>1.48499</v>
      </c>
      <c r="T325">
        <f t="shared" si="50"/>
        <v>6.4312962962962956</v>
      </c>
      <c r="U325">
        <f t="shared" si="51"/>
        <v>9.5582568685185176</v>
      </c>
      <c r="X325" s="9"/>
      <c r="Y325" s="21">
        <v>0.153809</v>
      </c>
      <c r="Z325" s="21">
        <v>17.402899999999999</v>
      </c>
      <c r="AA325" s="21">
        <v>-8.6944599999999993E-3</v>
      </c>
      <c r="AB325" s="21">
        <v>315</v>
      </c>
      <c r="AC325" s="21">
        <v>0.15335099999999999</v>
      </c>
      <c r="AD325">
        <f t="shared" si="52"/>
        <v>10.733901234567901</v>
      </c>
      <c r="AE325">
        <f t="shared" si="53"/>
        <v>1.6509706149876542</v>
      </c>
      <c r="AF325" s="9"/>
      <c r="AG325" s="21">
        <v>1.48621</v>
      </c>
      <c r="AH325" s="21">
        <v>21.101199999999999</v>
      </c>
      <c r="AI325" s="21">
        <v>-5.1544199999999998E-3</v>
      </c>
      <c r="AJ325" s="21">
        <v>315</v>
      </c>
      <c r="AK325" s="21">
        <v>1.4856</v>
      </c>
      <c r="AL325">
        <f t="shared" si="54"/>
        <v>6.3634814814814815</v>
      </c>
      <c r="AM325">
        <f t="shared" si="55"/>
        <v>9.457469812592592</v>
      </c>
      <c r="AP325" s="9"/>
      <c r="AQ325" s="21">
        <v>0.153809</v>
      </c>
      <c r="AR325" s="21">
        <v>26.4651</v>
      </c>
      <c r="AS325" s="21">
        <v>-8.6791999999999998E-3</v>
      </c>
      <c r="AT325" s="21">
        <v>315</v>
      </c>
      <c r="AU325" s="21">
        <v>0.15338099999999999</v>
      </c>
      <c r="AV325">
        <f t="shared" si="56"/>
        <v>10.71506172839506</v>
      </c>
      <c r="AW325">
        <f t="shared" si="57"/>
        <v>1.6480729293827159</v>
      </c>
      <c r="AX325" s="9"/>
      <c r="AY325" s="21">
        <v>1.48621</v>
      </c>
      <c r="AZ325" s="21">
        <v>30.163499999999999</v>
      </c>
      <c r="BA325" s="21">
        <v>-5.10254E-3</v>
      </c>
      <c r="BB325" s="21">
        <v>315</v>
      </c>
      <c r="BC325" s="21">
        <v>1.48529</v>
      </c>
      <c r="BD325">
        <f t="shared" si="58"/>
        <v>6.2994320987654318</v>
      </c>
      <c r="BE325">
        <f t="shared" si="59"/>
        <v>9.362278979506172</v>
      </c>
    </row>
    <row r="326" spans="6:57" x14ac:dyDescent="0.25">
      <c r="F326" s="9"/>
      <c r="G326" s="21">
        <v>0.14877299999999999</v>
      </c>
      <c r="H326" s="21">
        <v>8.2777600000000007</v>
      </c>
      <c r="I326" s="21">
        <v>-8.74634E-3</v>
      </c>
      <c r="J326" s="21">
        <v>316</v>
      </c>
      <c r="K326" s="21">
        <v>0.14813200000000001</v>
      </c>
      <c r="L326">
        <f t="shared" si="48"/>
        <v>10.79795061728395</v>
      </c>
      <c r="M326">
        <f t="shared" si="49"/>
        <v>1.606443507185185</v>
      </c>
      <c r="N326" s="9"/>
      <c r="O326" s="21">
        <v>1.4912399999999999</v>
      </c>
      <c r="P326" s="21">
        <v>11.976100000000001</v>
      </c>
      <c r="Q326" s="21">
        <v>-5.1757799999999996E-3</v>
      </c>
      <c r="R326" s="21">
        <v>316</v>
      </c>
      <c r="S326" s="21">
        <v>1.49048</v>
      </c>
      <c r="T326">
        <f t="shared" si="50"/>
        <v>6.3898518518518506</v>
      </c>
      <c r="U326">
        <f t="shared" si="51"/>
        <v>9.5288026755555535</v>
      </c>
      <c r="X326" s="9"/>
      <c r="Y326" s="21">
        <v>0.14877299999999999</v>
      </c>
      <c r="Z326" s="21">
        <v>17.413</v>
      </c>
      <c r="AA326" s="21">
        <v>-8.7066699999999997E-3</v>
      </c>
      <c r="AB326" s="21">
        <v>316</v>
      </c>
      <c r="AC326" s="21">
        <v>0.148254</v>
      </c>
      <c r="AD326">
        <f t="shared" si="52"/>
        <v>10.748975308641974</v>
      </c>
      <c r="AE326">
        <f t="shared" si="53"/>
        <v>1.5991573035925923</v>
      </c>
      <c r="AF326" s="9"/>
      <c r="AG326" s="21">
        <v>1.4912399999999999</v>
      </c>
      <c r="AH326" s="21">
        <v>21.1113</v>
      </c>
      <c r="AI326" s="21">
        <v>-5.1147500000000004E-3</v>
      </c>
      <c r="AJ326" s="21">
        <v>316</v>
      </c>
      <c r="AK326" s="21">
        <v>1.49048</v>
      </c>
      <c r="AL326">
        <f t="shared" si="54"/>
        <v>6.314506172839506</v>
      </c>
      <c r="AM326">
        <f t="shared" si="55"/>
        <v>9.4164441851851848</v>
      </c>
      <c r="AP326" s="9"/>
      <c r="AQ326" s="21">
        <v>0.14877299999999999</v>
      </c>
      <c r="AR326" s="21">
        <v>26.475200000000001</v>
      </c>
      <c r="AS326" s="21">
        <v>-8.6822500000000007E-3</v>
      </c>
      <c r="AT326" s="21">
        <v>316</v>
      </c>
      <c r="AU326" s="21">
        <v>0.14834600000000001</v>
      </c>
      <c r="AV326">
        <f t="shared" si="56"/>
        <v>10.718827160493827</v>
      </c>
      <c r="AW326">
        <f t="shared" si="57"/>
        <v>1.5946720731481481</v>
      </c>
      <c r="AX326" s="9"/>
      <c r="AY326" s="21">
        <v>1.4912399999999999</v>
      </c>
      <c r="AZ326" s="21">
        <v>30.173500000000001</v>
      </c>
      <c r="BA326" s="21">
        <v>-5.0750700000000001E-3</v>
      </c>
      <c r="BB326" s="21">
        <v>316</v>
      </c>
      <c r="BC326" s="21">
        <v>1.49048</v>
      </c>
      <c r="BD326">
        <f t="shared" si="58"/>
        <v>6.265518518518518</v>
      </c>
      <c r="BE326">
        <f t="shared" si="59"/>
        <v>9.3433918355555541</v>
      </c>
    </row>
    <row r="327" spans="6:57" x14ac:dyDescent="0.25">
      <c r="F327" s="9"/>
      <c r="G327" s="21">
        <v>0.143738</v>
      </c>
      <c r="H327" s="21">
        <v>8.2878299999999996</v>
      </c>
      <c r="I327" s="21">
        <v>-8.7432900000000008E-3</v>
      </c>
      <c r="J327" s="21">
        <v>317</v>
      </c>
      <c r="K327" s="21">
        <v>0.14327999999999999</v>
      </c>
      <c r="L327">
        <f t="shared" si="48"/>
        <v>10.794185185185187</v>
      </c>
      <c r="M327">
        <f t="shared" si="49"/>
        <v>1.5515345901481485</v>
      </c>
      <c r="N327" s="9"/>
      <c r="O327" s="21">
        <v>1.4962800000000001</v>
      </c>
      <c r="P327" s="21">
        <v>11.9862</v>
      </c>
      <c r="Q327" s="21">
        <v>-5.1452599999999996E-3</v>
      </c>
      <c r="R327" s="21">
        <v>317</v>
      </c>
      <c r="S327" s="21">
        <v>1.4962800000000001</v>
      </c>
      <c r="T327">
        <f t="shared" si="50"/>
        <v>6.3521728395061716</v>
      </c>
      <c r="U327">
        <f t="shared" si="51"/>
        <v>9.5046291762962944</v>
      </c>
      <c r="X327" s="9"/>
      <c r="Y327" s="21">
        <v>0.143738</v>
      </c>
      <c r="Z327" s="21">
        <v>17.422999999999998</v>
      </c>
      <c r="AA327" s="21">
        <v>-8.7066699999999997E-3</v>
      </c>
      <c r="AB327" s="21">
        <v>317</v>
      </c>
      <c r="AC327" s="21">
        <v>0.14324999999999999</v>
      </c>
      <c r="AD327">
        <f t="shared" si="52"/>
        <v>10.748975308641974</v>
      </c>
      <c r="AE327">
        <f t="shared" si="53"/>
        <v>1.5450362129135802</v>
      </c>
      <c r="AF327" s="9"/>
      <c r="AG327" s="21">
        <v>1.4962800000000001</v>
      </c>
      <c r="AH327" s="21">
        <v>21.121400000000001</v>
      </c>
      <c r="AI327" s="21">
        <v>-5.0811800000000002E-3</v>
      </c>
      <c r="AJ327" s="21">
        <v>317</v>
      </c>
      <c r="AK327" s="21">
        <v>1.49597</v>
      </c>
      <c r="AL327">
        <f t="shared" si="54"/>
        <v>6.2730617283950609</v>
      </c>
      <c r="AM327">
        <f t="shared" si="55"/>
        <v>9.3862568029629614</v>
      </c>
      <c r="AP327" s="9"/>
      <c r="AQ327" s="21">
        <v>0.143738</v>
      </c>
      <c r="AR327" s="21">
        <v>26.485199999999999</v>
      </c>
      <c r="AS327" s="21">
        <v>-8.6914100000000001E-3</v>
      </c>
      <c r="AT327" s="21">
        <v>317</v>
      </c>
      <c r="AU327" s="21">
        <v>0.14324999999999999</v>
      </c>
      <c r="AV327">
        <f t="shared" si="56"/>
        <v>10.730135802469135</v>
      </c>
      <c r="AW327">
        <f t="shared" si="57"/>
        <v>1.5423282599753085</v>
      </c>
      <c r="AX327" s="9"/>
      <c r="AY327" s="21">
        <v>1.4962800000000001</v>
      </c>
      <c r="AZ327" s="21">
        <v>30.183599999999998</v>
      </c>
      <c r="BA327" s="21">
        <v>-5.0415E-3</v>
      </c>
      <c r="BB327" s="21">
        <v>317</v>
      </c>
      <c r="BC327" s="21">
        <v>1.49536</v>
      </c>
      <c r="BD327">
        <f t="shared" si="58"/>
        <v>6.2240740740740739</v>
      </c>
      <c r="BE327">
        <f t="shared" si="59"/>
        <v>9.3129575555555562</v>
      </c>
    </row>
    <row r="328" spans="6:57" x14ac:dyDescent="0.25">
      <c r="F328" s="9"/>
      <c r="G328" s="21">
        <v>0.13870199999999999</v>
      </c>
      <c r="H328" s="21">
        <v>8.2979000000000003</v>
      </c>
      <c r="I328" s="21">
        <v>-8.7402299999999999E-3</v>
      </c>
      <c r="J328" s="21">
        <v>318</v>
      </c>
      <c r="K328" s="21">
        <v>0.138184</v>
      </c>
      <c r="L328">
        <f t="shared" si="48"/>
        <v>10.790407407407406</v>
      </c>
      <c r="M328">
        <f t="shared" si="49"/>
        <v>1.4966510882222219</v>
      </c>
      <c r="N328" s="9"/>
      <c r="O328" s="21">
        <v>1.5013099999999999</v>
      </c>
      <c r="P328" s="21">
        <v>11.9962</v>
      </c>
      <c r="Q328" s="21">
        <v>-5.1147500000000004E-3</v>
      </c>
      <c r="R328" s="21">
        <v>318</v>
      </c>
      <c r="S328" s="21">
        <v>1.5005500000000001</v>
      </c>
      <c r="T328">
        <f t="shared" si="50"/>
        <v>6.314506172839506</v>
      </c>
      <c r="U328">
        <f t="shared" si="51"/>
        <v>9.4800312623456779</v>
      </c>
      <c r="X328" s="9"/>
      <c r="Y328" s="21">
        <v>0.13870199999999999</v>
      </c>
      <c r="Z328" s="21">
        <v>17.4331</v>
      </c>
      <c r="AA328" s="21">
        <v>-8.7036100000000005E-3</v>
      </c>
      <c r="AB328" s="21">
        <v>318</v>
      </c>
      <c r="AC328" s="21">
        <v>0.13824500000000001</v>
      </c>
      <c r="AD328">
        <f t="shared" si="52"/>
        <v>10.745197530864198</v>
      </c>
      <c r="AE328">
        <f t="shared" si="53"/>
        <v>1.4903803879259259</v>
      </c>
      <c r="AF328" s="9"/>
      <c r="AG328" s="21">
        <v>1.5013099999999999</v>
      </c>
      <c r="AH328" s="21">
        <v>21.131499999999999</v>
      </c>
      <c r="AI328" s="21">
        <v>-5.04456E-3</v>
      </c>
      <c r="AJ328" s="21">
        <v>318</v>
      </c>
      <c r="AK328" s="21">
        <v>1.50085</v>
      </c>
      <c r="AL328">
        <f t="shared" si="54"/>
        <v>6.2278518518518515</v>
      </c>
      <c r="AM328">
        <f t="shared" si="55"/>
        <v>9.349936263703702</v>
      </c>
      <c r="AP328" s="9"/>
      <c r="AQ328" s="21">
        <v>0.13870199999999999</v>
      </c>
      <c r="AR328" s="21">
        <v>26.4953</v>
      </c>
      <c r="AS328" s="21">
        <v>-8.6944599999999993E-3</v>
      </c>
      <c r="AT328" s="21">
        <v>318</v>
      </c>
      <c r="AU328" s="21">
        <v>0.13824500000000001</v>
      </c>
      <c r="AV328">
        <f t="shared" si="56"/>
        <v>10.733901234567901</v>
      </c>
      <c r="AW328">
        <f t="shared" si="57"/>
        <v>1.4888135690370368</v>
      </c>
      <c r="AX328" s="9"/>
      <c r="AY328" s="21">
        <v>1.5013099999999999</v>
      </c>
      <c r="AZ328" s="21">
        <v>30.1937</v>
      </c>
      <c r="BA328" s="21">
        <v>-5.0109899999999999E-3</v>
      </c>
      <c r="BB328" s="21">
        <v>318</v>
      </c>
      <c r="BC328" s="21">
        <v>1.5005500000000001</v>
      </c>
      <c r="BD328">
        <f t="shared" si="58"/>
        <v>6.1864074074074074</v>
      </c>
      <c r="BE328">
        <f t="shared" si="59"/>
        <v>9.2877153048148138</v>
      </c>
    </row>
    <row r="329" spans="6:57" x14ac:dyDescent="0.25">
      <c r="F329" s="9"/>
      <c r="G329" s="21">
        <v>0.13366700000000001</v>
      </c>
      <c r="H329" s="21">
        <v>8.3079699999999992</v>
      </c>
      <c r="I329" s="21">
        <v>-8.74634E-3</v>
      </c>
      <c r="J329" s="21">
        <v>319</v>
      </c>
      <c r="K329" s="21">
        <v>0.13320899999999999</v>
      </c>
      <c r="L329">
        <f t="shared" si="48"/>
        <v>10.79795061728395</v>
      </c>
      <c r="M329">
        <f t="shared" si="49"/>
        <v>1.4433296651604939</v>
      </c>
      <c r="N329" s="9"/>
      <c r="O329" s="21">
        <v>1.5063500000000001</v>
      </c>
      <c r="P329" s="21">
        <v>12.0063</v>
      </c>
      <c r="Q329" s="21">
        <v>-5.0842300000000003E-3</v>
      </c>
      <c r="R329" s="21">
        <v>319</v>
      </c>
      <c r="S329" s="21">
        <v>1.5051300000000001</v>
      </c>
      <c r="T329">
        <f t="shared" si="50"/>
        <v>6.2768271604938271</v>
      </c>
      <c r="U329">
        <f t="shared" si="51"/>
        <v>9.4550985932098772</v>
      </c>
      <c r="X329" s="9"/>
      <c r="Y329" s="21">
        <v>0.13366700000000001</v>
      </c>
      <c r="Z329" s="21">
        <v>17.443200000000001</v>
      </c>
      <c r="AA329" s="21">
        <v>-8.7097200000000007E-3</v>
      </c>
      <c r="AB329" s="21">
        <v>319</v>
      </c>
      <c r="AC329" s="21">
        <v>0.13314799999999999</v>
      </c>
      <c r="AD329">
        <f t="shared" si="52"/>
        <v>10.752740740740741</v>
      </c>
      <c r="AE329">
        <f t="shared" si="53"/>
        <v>1.4372865965925927</v>
      </c>
      <c r="AF329" s="9"/>
      <c r="AG329" s="21">
        <v>1.5063500000000001</v>
      </c>
      <c r="AH329" s="21">
        <v>21.141500000000001</v>
      </c>
      <c r="AI329" s="21">
        <v>-5.0048799999999997E-3</v>
      </c>
      <c r="AJ329" s="21">
        <v>319</v>
      </c>
      <c r="AK329" s="21">
        <v>1.5057400000000001</v>
      </c>
      <c r="AL329">
        <f t="shared" si="54"/>
        <v>6.1788641975308636</v>
      </c>
      <c r="AM329">
        <f t="shared" si="55"/>
        <v>9.3075320839506173</v>
      </c>
      <c r="AP329" s="9"/>
      <c r="AQ329" s="21">
        <v>0.13366700000000001</v>
      </c>
      <c r="AR329" s="21">
        <v>26.505400000000002</v>
      </c>
      <c r="AS329" s="21">
        <v>-8.6914100000000001E-3</v>
      </c>
      <c r="AT329" s="21">
        <v>319</v>
      </c>
      <c r="AU329" s="21">
        <v>0.13317899999999999</v>
      </c>
      <c r="AV329">
        <f t="shared" si="56"/>
        <v>10.730135802469135</v>
      </c>
      <c r="AW329">
        <f t="shared" si="57"/>
        <v>1.4342650623086419</v>
      </c>
      <c r="AX329" s="9"/>
      <c r="AY329" s="21">
        <v>1.5063500000000001</v>
      </c>
      <c r="AZ329" s="21">
        <v>30.203700000000001</v>
      </c>
      <c r="BA329" s="21">
        <v>-4.9722300000000002E-3</v>
      </c>
      <c r="BB329" s="21">
        <v>319</v>
      </c>
      <c r="BC329" s="21">
        <v>1.50482</v>
      </c>
      <c r="BD329">
        <f t="shared" si="58"/>
        <v>6.1385555555555547</v>
      </c>
      <c r="BE329">
        <f t="shared" si="59"/>
        <v>9.2468131611111097</v>
      </c>
    </row>
    <row r="330" spans="6:57" x14ac:dyDescent="0.25">
      <c r="F330" s="9"/>
      <c r="G330" s="21">
        <v>0.128632</v>
      </c>
      <c r="H330" s="21">
        <v>8.3180399999999999</v>
      </c>
      <c r="I330" s="21">
        <v>-8.7493899999999993E-3</v>
      </c>
      <c r="J330" s="21">
        <v>320</v>
      </c>
      <c r="K330" s="21">
        <v>0.12814300000000001</v>
      </c>
      <c r="L330">
        <f t="shared" si="48"/>
        <v>10.801716049382714</v>
      </c>
      <c r="M330">
        <f t="shared" si="49"/>
        <v>1.3894463388641971</v>
      </c>
      <c r="N330" s="9"/>
      <c r="O330" s="21">
        <v>1.5113799999999999</v>
      </c>
      <c r="P330" s="21">
        <v>12.016400000000001</v>
      </c>
      <c r="Q330" s="21">
        <v>-5.0415E-3</v>
      </c>
      <c r="R330" s="21">
        <v>320</v>
      </c>
      <c r="S330" s="21">
        <v>1.5106200000000001</v>
      </c>
      <c r="T330">
        <f t="shared" si="50"/>
        <v>6.2240740740740739</v>
      </c>
      <c r="U330">
        <f t="shared" si="51"/>
        <v>9.4069410740740729</v>
      </c>
      <c r="X330" s="9"/>
      <c r="Y330" s="21">
        <v>0.128632</v>
      </c>
      <c r="Z330" s="21">
        <v>17.453299999999999</v>
      </c>
      <c r="AA330" s="21">
        <v>-8.7158200000000009E-3</v>
      </c>
      <c r="AB330" s="21">
        <v>320</v>
      </c>
      <c r="AC330" s="21">
        <v>0.12814300000000001</v>
      </c>
      <c r="AD330">
        <f t="shared" si="52"/>
        <v>10.760271604938271</v>
      </c>
      <c r="AE330">
        <f t="shared" si="53"/>
        <v>1.3841152570864197</v>
      </c>
      <c r="AF330" s="9"/>
      <c r="AG330" s="21">
        <v>1.5113799999999999</v>
      </c>
      <c r="AH330" s="21">
        <v>21.151599999999998</v>
      </c>
      <c r="AI330" s="21">
        <v>-4.9722300000000002E-3</v>
      </c>
      <c r="AJ330" s="21">
        <v>320</v>
      </c>
      <c r="AK330" s="21">
        <v>1.5109300000000001</v>
      </c>
      <c r="AL330">
        <f t="shared" si="54"/>
        <v>6.1385555555555547</v>
      </c>
      <c r="AM330">
        <f t="shared" si="55"/>
        <v>9.2776900955555544</v>
      </c>
      <c r="AP330" s="9"/>
      <c r="AQ330" s="21">
        <v>0.128632</v>
      </c>
      <c r="AR330" s="21">
        <v>26.5154</v>
      </c>
      <c r="AS330" s="21">
        <v>-8.6944599999999993E-3</v>
      </c>
      <c r="AT330" s="21">
        <v>320</v>
      </c>
      <c r="AU330" s="21">
        <v>0.128113</v>
      </c>
      <c r="AV330">
        <f t="shared" si="56"/>
        <v>10.733901234567901</v>
      </c>
      <c r="AW330">
        <f t="shared" si="57"/>
        <v>1.3807231836049381</v>
      </c>
      <c r="AX330" s="9"/>
      <c r="AY330" s="21">
        <v>1.5113799999999999</v>
      </c>
      <c r="AZ330" s="21">
        <v>30.213799999999999</v>
      </c>
      <c r="BA330" s="21">
        <v>-4.9328599999999998E-3</v>
      </c>
      <c r="BB330" s="21">
        <v>320</v>
      </c>
      <c r="BC330" s="21">
        <v>1.5109300000000001</v>
      </c>
      <c r="BD330">
        <f t="shared" si="58"/>
        <v>6.0899506172839502</v>
      </c>
      <c r="BE330">
        <f t="shared" si="59"/>
        <v>9.2042295639506158</v>
      </c>
    </row>
    <row r="331" spans="6:57" x14ac:dyDescent="0.25">
      <c r="F331" s="9"/>
      <c r="G331" s="21">
        <v>0.123596</v>
      </c>
      <c r="H331" s="21">
        <v>8.3281100000000006</v>
      </c>
      <c r="I331" s="21">
        <v>-8.7524400000000002E-3</v>
      </c>
      <c r="J331" s="21">
        <v>321</v>
      </c>
      <c r="K331" s="21">
        <v>0.12307700000000001</v>
      </c>
      <c r="L331">
        <f t="shared" si="48"/>
        <v>10.805481481481483</v>
      </c>
      <c r="M331">
        <f t="shared" si="49"/>
        <v>1.3355142891851852</v>
      </c>
      <c r="N331" s="9"/>
      <c r="O331" s="21">
        <v>1.5164200000000001</v>
      </c>
      <c r="P331" s="21">
        <v>12.026400000000001</v>
      </c>
      <c r="Q331" s="21">
        <v>-4.9926800000000002E-3</v>
      </c>
      <c r="R331" s="21">
        <v>321</v>
      </c>
      <c r="S331" s="21">
        <v>1.5148900000000001</v>
      </c>
      <c r="T331">
        <f t="shared" si="50"/>
        <v>6.1638024691358027</v>
      </c>
      <c r="U331">
        <f t="shared" si="51"/>
        <v>9.346913340246914</v>
      </c>
      <c r="X331" s="9"/>
      <c r="Y331" s="21">
        <v>0.123596</v>
      </c>
      <c r="Z331" s="21">
        <v>17.4633</v>
      </c>
      <c r="AA331" s="21">
        <v>-8.7219199999999993E-3</v>
      </c>
      <c r="AB331" s="21">
        <v>321</v>
      </c>
      <c r="AC331" s="21">
        <v>0.123169</v>
      </c>
      <c r="AD331">
        <f t="shared" si="52"/>
        <v>10.767802469135802</v>
      </c>
      <c r="AE331">
        <f t="shared" si="53"/>
        <v>1.3308573139753086</v>
      </c>
      <c r="AF331" s="9"/>
      <c r="AG331" s="21">
        <v>1.5164200000000001</v>
      </c>
      <c r="AH331" s="21">
        <v>21.1617</v>
      </c>
      <c r="AI331" s="21">
        <v>-4.9380500000000003E-3</v>
      </c>
      <c r="AJ331" s="21">
        <v>321</v>
      </c>
      <c r="AK331" s="21">
        <v>1.5161100000000001</v>
      </c>
      <c r="AL331">
        <f t="shared" si="54"/>
        <v>6.0963580246913578</v>
      </c>
      <c r="AM331">
        <f t="shared" si="55"/>
        <v>9.2446392358024703</v>
      </c>
      <c r="AP331" s="9"/>
      <c r="AQ331" s="21">
        <v>0.123596</v>
      </c>
      <c r="AR331" s="21">
        <v>26.525500000000001</v>
      </c>
      <c r="AS331" s="21">
        <v>-8.6944599999999993E-3</v>
      </c>
      <c r="AT331" s="21">
        <v>321</v>
      </c>
      <c r="AU331" s="21">
        <v>0.123138</v>
      </c>
      <c r="AV331">
        <f t="shared" si="56"/>
        <v>10.733901234567901</v>
      </c>
      <c r="AW331">
        <f t="shared" si="57"/>
        <v>1.3266672569876543</v>
      </c>
      <c r="AX331" s="9"/>
      <c r="AY331" s="21">
        <v>1.5164200000000001</v>
      </c>
      <c r="AZ331" s="21">
        <v>30.2239</v>
      </c>
      <c r="BA331" s="21">
        <v>-4.89471E-3</v>
      </c>
      <c r="BB331" s="21">
        <v>321</v>
      </c>
      <c r="BC331" s="21">
        <v>1.5158100000000001</v>
      </c>
      <c r="BD331">
        <f t="shared" si="58"/>
        <v>6.042851851851851</v>
      </c>
      <c r="BE331">
        <f t="shared" si="59"/>
        <v>9.1635014051851851</v>
      </c>
    </row>
    <row r="332" spans="6:57" x14ac:dyDescent="0.25">
      <c r="F332" s="9"/>
      <c r="G332" s="21">
        <v>0.118561</v>
      </c>
      <c r="H332" s="21">
        <v>8.3381799999999995</v>
      </c>
      <c r="I332" s="21">
        <v>-8.7585400000000004E-3</v>
      </c>
      <c r="J332" s="21">
        <v>322</v>
      </c>
      <c r="K332" s="21">
        <v>0.118134</v>
      </c>
      <c r="L332">
        <f t="shared" ref="L332:L376" si="60">-I332/$F$2*1000</f>
        <v>10.813012345679011</v>
      </c>
      <c r="M332">
        <f t="shared" ref="M332:M376" si="61">L332*G332</f>
        <v>1.2820015567160492</v>
      </c>
      <c r="N332" s="9"/>
      <c r="O332" s="21">
        <v>1.52145</v>
      </c>
      <c r="P332" s="21">
        <v>12.0365</v>
      </c>
      <c r="Q332" s="21">
        <v>-4.9487300000000001E-3</v>
      </c>
      <c r="R332" s="21">
        <v>322</v>
      </c>
      <c r="S332" s="21">
        <v>1.5206900000000001</v>
      </c>
      <c r="T332">
        <f t="shared" ref="T332:T376" si="62">-Q332/$F$2*1000</f>
        <v>6.1095432098765423</v>
      </c>
      <c r="U332">
        <f t="shared" ref="U332:U376" si="63">T332*O332</f>
        <v>9.2953645166666643</v>
      </c>
      <c r="X332" s="9"/>
      <c r="Y332" s="21">
        <v>0.118561</v>
      </c>
      <c r="Z332" s="21">
        <v>17.473400000000002</v>
      </c>
      <c r="AA332" s="21">
        <v>-8.7310800000000004E-3</v>
      </c>
      <c r="AB332" s="21">
        <v>322</v>
      </c>
      <c r="AC332" s="21">
        <v>0.118103</v>
      </c>
      <c r="AD332">
        <f t="shared" ref="AD332:AD376" si="64">-AA332/$F$2*1000</f>
        <v>10.77911111111111</v>
      </c>
      <c r="AE332">
        <f t="shared" ref="AE332:AE376" si="65">AD332*Y332</f>
        <v>1.2779821924444443</v>
      </c>
      <c r="AF332" s="9"/>
      <c r="AG332" s="21">
        <v>1.52145</v>
      </c>
      <c r="AH332" s="21">
        <v>21.171700000000001</v>
      </c>
      <c r="AI332" s="21">
        <v>-4.90479E-3</v>
      </c>
      <c r="AJ332" s="21">
        <v>322</v>
      </c>
      <c r="AK332" s="21">
        <v>1.5203899999999999</v>
      </c>
      <c r="AL332">
        <f t="shared" ref="AL332:AL376" si="66">-AI332/$F$2*1000</f>
        <v>6.0552962962962953</v>
      </c>
      <c r="AM332">
        <f t="shared" ref="AM332:AM376" si="67">AL332*AG332</f>
        <v>9.2128305499999978</v>
      </c>
      <c r="AP332" s="9"/>
      <c r="AQ332" s="21">
        <v>0.118561</v>
      </c>
      <c r="AR332" s="21">
        <v>26.535599999999999</v>
      </c>
      <c r="AS332" s="21">
        <v>-8.6914100000000001E-3</v>
      </c>
      <c r="AT332" s="21">
        <v>322</v>
      </c>
      <c r="AU332" s="21">
        <v>0.118073</v>
      </c>
      <c r="AV332">
        <f t="shared" ref="AV332:AV376" si="68">-AS332/$F$2*1000</f>
        <v>10.730135802469135</v>
      </c>
      <c r="AW332">
        <f t="shared" ref="AW332:AW376" si="69">AV332*AQ332</f>
        <v>1.2721756308765431</v>
      </c>
      <c r="AX332" s="9"/>
      <c r="AY332" s="21">
        <v>1.52145</v>
      </c>
      <c r="AZ332" s="21">
        <v>30.234000000000002</v>
      </c>
      <c r="BA332" s="21">
        <v>-4.85748E-3</v>
      </c>
      <c r="BB332" s="21">
        <v>322</v>
      </c>
      <c r="BC332" s="21">
        <v>1.5200800000000001</v>
      </c>
      <c r="BD332">
        <f t="shared" ref="BD332:BD376" si="70">-BA332/$F$2*1000</f>
        <v>5.996888888888888</v>
      </c>
      <c r="BE332">
        <f t="shared" ref="BE332:BE376" si="71">BD332*AY332</f>
        <v>9.1239665999999993</v>
      </c>
    </row>
    <row r="333" spans="6:57" x14ac:dyDescent="0.25">
      <c r="F333" s="9"/>
      <c r="G333" s="21">
        <v>0.113525</v>
      </c>
      <c r="H333" s="21">
        <v>8.3482500000000002</v>
      </c>
      <c r="I333" s="21">
        <v>-8.7676999999999998E-3</v>
      </c>
      <c r="J333" s="21">
        <v>323</v>
      </c>
      <c r="K333" s="21">
        <v>0.11297599999999999</v>
      </c>
      <c r="L333">
        <f t="shared" si="60"/>
        <v>10.824320987654319</v>
      </c>
      <c r="M333">
        <f t="shared" si="61"/>
        <v>1.2288310401234566</v>
      </c>
      <c r="N333" s="9"/>
      <c r="O333" s="21">
        <v>1.5264899999999999</v>
      </c>
      <c r="P333" s="21">
        <v>12.0466</v>
      </c>
      <c r="Q333" s="21">
        <v>-4.9041700000000002E-3</v>
      </c>
      <c r="R333" s="21">
        <v>323</v>
      </c>
      <c r="S333" s="21">
        <v>1.5255700000000001</v>
      </c>
      <c r="T333">
        <f t="shared" si="62"/>
        <v>6.0545308641975311</v>
      </c>
      <c r="U333">
        <f t="shared" si="63"/>
        <v>9.2421808188888885</v>
      </c>
      <c r="X333" s="9"/>
      <c r="Y333" s="21">
        <v>0.113525</v>
      </c>
      <c r="Z333" s="21">
        <v>17.483499999999999</v>
      </c>
      <c r="AA333" s="21">
        <v>-8.7310800000000004E-3</v>
      </c>
      <c r="AB333" s="21">
        <v>323</v>
      </c>
      <c r="AC333" s="21">
        <v>0.113068</v>
      </c>
      <c r="AD333">
        <f t="shared" si="64"/>
        <v>10.77911111111111</v>
      </c>
      <c r="AE333">
        <f t="shared" si="65"/>
        <v>1.2236985888888887</v>
      </c>
      <c r="AF333" s="9"/>
      <c r="AG333" s="21">
        <v>1.5264899999999999</v>
      </c>
      <c r="AH333" s="21">
        <v>21.181799999999999</v>
      </c>
      <c r="AI333" s="21">
        <v>-4.8611499999999998E-3</v>
      </c>
      <c r="AJ333" s="21">
        <v>323</v>
      </c>
      <c r="AK333" s="21">
        <v>1.5252699999999999</v>
      </c>
      <c r="AL333">
        <f t="shared" si="66"/>
        <v>6.0014197530864184</v>
      </c>
      <c r="AM333">
        <f t="shared" si="67"/>
        <v>9.1611072388888868</v>
      </c>
      <c r="AP333" s="9"/>
      <c r="AQ333" s="21">
        <v>0.113525</v>
      </c>
      <c r="AR333" s="21">
        <v>26.5457</v>
      </c>
      <c r="AS333" s="21">
        <v>-8.6883499999999992E-3</v>
      </c>
      <c r="AT333" s="21">
        <v>323</v>
      </c>
      <c r="AU333" s="21">
        <v>0.113098</v>
      </c>
      <c r="AV333">
        <f t="shared" si="68"/>
        <v>10.726358024691356</v>
      </c>
      <c r="AW333">
        <f t="shared" si="69"/>
        <v>1.2177097947530862</v>
      </c>
      <c r="AX333" s="9"/>
      <c r="AY333" s="21">
        <v>1.5264899999999999</v>
      </c>
      <c r="AZ333" s="21">
        <v>30.244</v>
      </c>
      <c r="BA333" s="21">
        <v>-4.8171999999999998E-3</v>
      </c>
      <c r="BB333" s="21">
        <v>323</v>
      </c>
      <c r="BC333" s="21">
        <v>1.5261800000000001</v>
      </c>
      <c r="BD333">
        <f t="shared" si="70"/>
        <v>5.9471604938271598</v>
      </c>
      <c r="BE333">
        <f t="shared" si="71"/>
        <v>9.078281022222221</v>
      </c>
    </row>
    <row r="334" spans="6:57" x14ac:dyDescent="0.25">
      <c r="F334" s="9"/>
      <c r="G334" s="21">
        <v>0.10849</v>
      </c>
      <c r="H334" s="21">
        <v>8.3583300000000005</v>
      </c>
      <c r="I334" s="21">
        <v>-8.7829599999999994E-3</v>
      </c>
      <c r="J334" s="21">
        <v>324</v>
      </c>
      <c r="K334" s="21">
        <v>0.108032</v>
      </c>
      <c r="L334">
        <f t="shared" si="60"/>
        <v>10.84316049382716</v>
      </c>
      <c r="M334">
        <f t="shared" si="61"/>
        <v>1.1763744819753086</v>
      </c>
      <c r="N334" s="9"/>
      <c r="O334" s="21">
        <v>1.53152</v>
      </c>
      <c r="P334" s="21">
        <v>12.056699999999999</v>
      </c>
      <c r="Q334" s="21">
        <v>-4.8580899999999998E-3</v>
      </c>
      <c r="R334" s="21">
        <v>324</v>
      </c>
      <c r="S334" s="21">
        <v>1.5304599999999999</v>
      </c>
      <c r="T334">
        <f t="shared" si="62"/>
        <v>5.9976419753086416</v>
      </c>
      <c r="U334">
        <f t="shared" si="63"/>
        <v>9.1855086380246913</v>
      </c>
      <c r="X334" s="9"/>
      <c r="Y334" s="21">
        <v>0.10849</v>
      </c>
      <c r="Z334" s="21">
        <v>17.493500000000001</v>
      </c>
      <c r="AA334" s="21">
        <v>-8.7310800000000004E-3</v>
      </c>
      <c r="AB334" s="21">
        <v>324</v>
      </c>
      <c r="AC334" s="21">
        <v>0.108032</v>
      </c>
      <c r="AD334">
        <f t="shared" si="64"/>
        <v>10.77911111111111</v>
      </c>
      <c r="AE334">
        <f t="shared" si="65"/>
        <v>1.1694257644444443</v>
      </c>
      <c r="AF334" s="9"/>
      <c r="AG334" s="21">
        <v>1.53152</v>
      </c>
      <c r="AH334" s="21">
        <v>21.1919</v>
      </c>
      <c r="AI334" s="21">
        <v>-4.8171999999999998E-3</v>
      </c>
      <c r="AJ334" s="21">
        <v>324</v>
      </c>
      <c r="AK334" s="21">
        <v>1.5307599999999999</v>
      </c>
      <c r="AL334">
        <f t="shared" si="66"/>
        <v>5.9471604938271598</v>
      </c>
      <c r="AM334">
        <f t="shared" si="67"/>
        <v>9.1081952395061716</v>
      </c>
      <c r="AP334" s="9"/>
      <c r="AQ334" s="21">
        <v>0.10849</v>
      </c>
      <c r="AR334" s="21">
        <v>26.555700000000002</v>
      </c>
      <c r="AS334" s="21">
        <v>-8.6883499999999992E-3</v>
      </c>
      <c r="AT334" s="21">
        <v>324</v>
      </c>
      <c r="AU334" s="21">
        <v>0.108032</v>
      </c>
      <c r="AV334">
        <f t="shared" si="68"/>
        <v>10.726358024691356</v>
      </c>
      <c r="AW334">
        <f t="shared" si="69"/>
        <v>1.1637025820987652</v>
      </c>
      <c r="AX334" s="9"/>
      <c r="AY334" s="21">
        <v>1.53152</v>
      </c>
      <c r="AZ334" s="21">
        <v>30.254100000000001</v>
      </c>
      <c r="BA334" s="21">
        <v>-4.7729499999999998E-3</v>
      </c>
      <c r="BB334" s="21">
        <v>324</v>
      </c>
      <c r="BC334" s="21">
        <v>1.5307599999999999</v>
      </c>
      <c r="BD334">
        <f t="shared" si="70"/>
        <v>5.8925308641975302</v>
      </c>
      <c r="BE334">
        <f t="shared" si="71"/>
        <v>9.0245288691358017</v>
      </c>
    </row>
    <row r="335" spans="6:57" x14ac:dyDescent="0.25">
      <c r="F335" s="9"/>
      <c r="G335" s="21">
        <v>0.10345500000000001</v>
      </c>
      <c r="H335" s="21">
        <v>8.3683999999999994</v>
      </c>
      <c r="I335" s="21">
        <v>-8.7890599999999996E-3</v>
      </c>
      <c r="J335" s="21">
        <v>325</v>
      </c>
      <c r="K335" s="21">
        <v>0.103058</v>
      </c>
      <c r="L335">
        <f t="shared" si="60"/>
        <v>10.85069135802469</v>
      </c>
      <c r="M335">
        <f t="shared" si="61"/>
        <v>1.1225582744444444</v>
      </c>
      <c r="N335" s="9"/>
      <c r="O335" s="21">
        <v>1.5365599999999999</v>
      </c>
      <c r="P335" s="21">
        <v>12.066700000000001</v>
      </c>
      <c r="Q335" s="21">
        <v>-4.8117100000000003E-3</v>
      </c>
      <c r="R335" s="21">
        <v>325</v>
      </c>
      <c r="S335" s="21">
        <v>1.5362499999999999</v>
      </c>
      <c r="T335">
        <f t="shared" si="62"/>
        <v>5.9403827160493829</v>
      </c>
      <c r="U335">
        <f t="shared" si="63"/>
        <v>9.1277544661728403</v>
      </c>
      <c r="X335" s="9"/>
      <c r="Y335" s="21">
        <v>0.10345500000000001</v>
      </c>
      <c r="Z335" s="21">
        <v>17.503599999999999</v>
      </c>
      <c r="AA335" s="21">
        <v>-8.7402299999999999E-3</v>
      </c>
      <c r="AB335" s="21">
        <v>325</v>
      </c>
      <c r="AC335" s="21">
        <v>0.10299700000000001</v>
      </c>
      <c r="AD335">
        <f t="shared" si="64"/>
        <v>10.790407407407406</v>
      </c>
      <c r="AE335">
        <f t="shared" si="65"/>
        <v>1.1163215983333332</v>
      </c>
      <c r="AF335" s="9"/>
      <c r="AG335" s="21">
        <v>1.5365599999999999</v>
      </c>
      <c r="AH335" s="21">
        <v>21.201899999999998</v>
      </c>
      <c r="AI335" s="21">
        <v>-4.7701999999999996E-3</v>
      </c>
      <c r="AJ335" s="21">
        <v>325</v>
      </c>
      <c r="AK335" s="21">
        <v>1.5359499999999999</v>
      </c>
      <c r="AL335">
        <f t="shared" si="66"/>
        <v>5.8891358024691352</v>
      </c>
      <c r="AM335">
        <f t="shared" si="67"/>
        <v>9.0490105086419739</v>
      </c>
      <c r="AP335" s="9"/>
      <c r="AQ335" s="21">
        <v>0.10345500000000001</v>
      </c>
      <c r="AR335" s="21">
        <v>26.565799999999999</v>
      </c>
      <c r="AS335" s="21">
        <v>-8.6944599999999993E-3</v>
      </c>
      <c r="AT335" s="21">
        <v>325</v>
      </c>
      <c r="AU335" s="21">
        <v>0.102936</v>
      </c>
      <c r="AV335">
        <f t="shared" si="68"/>
        <v>10.733901234567901</v>
      </c>
      <c r="AW335">
        <f t="shared" si="69"/>
        <v>1.1104757522222222</v>
      </c>
      <c r="AX335" s="9"/>
      <c r="AY335" s="21">
        <v>1.5365599999999999</v>
      </c>
      <c r="AZ335" s="21">
        <v>30.264199999999999</v>
      </c>
      <c r="BA335" s="21">
        <v>-4.7259499999999996E-3</v>
      </c>
      <c r="BB335" s="21">
        <v>325</v>
      </c>
      <c r="BC335" s="21">
        <v>1.5356399999999999</v>
      </c>
      <c r="BD335">
        <f t="shared" si="70"/>
        <v>5.8345061728395056</v>
      </c>
      <c r="BE335">
        <f t="shared" si="71"/>
        <v>8.9650688049382694</v>
      </c>
    </row>
    <row r="336" spans="6:57" x14ac:dyDescent="0.25">
      <c r="F336" s="9"/>
      <c r="G336" s="21">
        <v>9.8419199999999998E-2</v>
      </c>
      <c r="H336" s="21">
        <v>8.3784700000000001</v>
      </c>
      <c r="I336" s="21">
        <v>-8.7951699999999997E-3</v>
      </c>
      <c r="J336" s="21">
        <v>326</v>
      </c>
      <c r="K336" s="21">
        <v>9.7900399999999999E-2</v>
      </c>
      <c r="L336">
        <f t="shared" si="60"/>
        <v>10.858234567901235</v>
      </c>
      <c r="M336">
        <f t="shared" si="61"/>
        <v>1.0686587595851853</v>
      </c>
      <c r="N336" s="9"/>
      <c r="O336" s="21">
        <v>1.5416000000000001</v>
      </c>
      <c r="P336" s="21">
        <v>12.0768</v>
      </c>
      <c r="Q336" s="21">
        <v>-4.7650100000000001E-3</v>
      </c>
      <c r="R336" s="21">
        <v>326</v>
      </c>
      <c r="S336" s="21">
        <v>1.54114</v>
      </c>
      <c r="T336">
        <f t="shared" si="62"/>
        <v>5.8827283950617284</v>
      </c>
      <c r="U336">
        <f t="shared" si="63"/>
        <v>9.0688140938271609</v>
      </c>
      <c r="X336" s="9"/>
      <c r="Y336" s="21">
        <v>9.8419199999999998E-2</v>
      </c>
      <c r="Z336" s="21">
        <v>17.5137</v>
      </c>
      <c r="AA336" s="21">
        <v>-8.74634E-3</v>
      </c>
      <c r="AB336" s="21">
        <v>326</v>
      </c>
      <c r="AC336" s="21">
        <v>9.7930900000000001E-2</v>
      </c>
      <c r="AD336">
        <f t="shared" si="64"/>
        <v>10.79795061728395</v>
      </c>
      <c r="AE336">
        <f t="shared" si="65"/>
        <v>1.0627256613925926</v>
      </c>
      <c r="AF336" s="9"/>
      <c r="AG336" s="21">
        <v>1.5416000000000001</v>
      </c>
      <c r="AH336" s="21">
        <v>21.212</v>
      </c>
      <c r="AI336" s="21">
        <v>-4.7244299999999999E-3</v>
      </c>
      <c r="AJ336" s="21">
        <v>326</v>
      </c>
      <c r="AK336" s="21">
        <v>1.54114</v>
      </c>
      <c r="AL336">
        <f t="shared" si="66"/>
        <v>5.8326296296296292</v>
      </c>
      <c r="AM336">
        <f t="shared" si="67"/>
        <v>8.9915818370370371</v>
      </c>
      <c r="AP336" s="9"/>
      <c r="AQ336" s="21">
        <v>9.8419199999999998E-2</v>
      </c>
      <c r="AR336" s="21">
        <v>26.575900000000001</v>
      </c>
      <c r="AS336" s="21">
        <v>-8.6975100000000003E-3</v>
      </c>
      <c r="AT336" s="21">
        <v>326</v>
      </c>
      <c r="AU336" s="21">
        <v>9.7930900000000001E-2</v>
      </c>
      <c r="AV336">
        <f t="shared" si="68"/>
        <v>10.737666666666666</v>
      </c>
      <c r="AW336">
        <f t="shared" si="69"/>
        <v>1.0567925631999999</v>
      </c>
      <c r="AX336" s="9"/>
      <c r="AY336" s="21">
        <v>1.5416000000000001</v>
      </c>
      <c r="AZ336" s="21">
        <v>30.2742</v>
      </c>
      <c r="BA336" s="21">
        <v>-4.67651E-3</v>
      </c>
      <c r="BB336" s="21">
        <v>326</v>
      </c>
      <c r="BC336" s="21">
        <v>1.5414399999999999</v>
      </c>
      <c r="BD336">
        <f t="shared" si="70"/>
        <v>5.7734691358024692</v>
      </c>
      <c r="BE336">
        <f t="shared" si="71"/>
        <v>8.9003800197530865</v>
      </c>
    </row>
    <row r="337" spans="6:57" x14ac:dyDescent="0.25">
      <c r="F337" s="9"/>
      <c r="G337" s="21">
        <v>9.3383800000000003E-2</v>
      </c>
      <c r="H337" s="21">
        <v>8.3885400000000008</v>
      </c>
      <c r="I337" s="21">
        <v>-8.7951699999999997E-3</v>
      </c>
      <c r="J337" s="21">
        <v>327</v>
      </c>
      <c r="K337" s="21">
        <v>9.2895500000000006E-2</v>
      </c>
      <c r="L337">
        <f t="shared" si="60"/>
        <v>10.858234567901235</v>
      </c>
      <c r="M337">
        <f t="shared" si="61"/>
        <v>1.0139832052419753</v>
      </c>
      <c r="N337" s="9"/>
      <c r="O337" s="21">
        <v>1.5466299999999999</v>
      </c>
      <c r="P337" s="21">
        <v>12.0869</v>
      </c>
      <c r="Q337" s="21">
        <v>-4.7180199999999999E-3</v>
      </c>
      <c r="R337" s="21">
        <v>327</v>
      </c>
      <c r="S337" s="21">
        <v>1.54572</v>
      </c>
      <c r="T337">
        <f t="shared" si="62"/>
        <v>5.8247160493827153</v>
      </c>
      <c r="U337">
        <f t="shared" si="63"/>
        <v>9.0086805834567887</v>
      </c>
      <c r="X337" s="9"/>
      <c r="Y337" s="21">
        <v>9.3383800000000003E-2</v>
      </c>
      <c r="Z337" s="21">
        <v>17.523800000000001</v>
      </c>
      <c r="AA337" s="21">
        <v>-8.7585400000000004E-3</v>
      </c>
      <c r="AB337" s="21">
        <v>327</v>
      </c>
      <c r="AC337" s="21">
        <v>9.2956499999999997E-2</v>
      </c>
      <c r="AD337">
        <f t="shared" si="64"/>
        <v>10.813012345679011</v>
      </c>
      <c r="AE337">
        <f t="shared" si="65"/>
        <v>1.0097601822864197</v>
      </c>
      <c r="AF337" s="9"/>
      <c r="AG337" s="21">
        <v>1.5466299999999999</v>
      </c>
      <c r="AH337" s="21">
        <v>21.222100000000001</v>
      </c>
      <c r="AI337" s="21">
        <v>-4.6771199999999999E-3</v>
      </c>
      <c r="AJ337" s="21">
        <v>327</v>
      </c>
      <c r="AK337" s="21">
        <v>1.54633</v>
      </c>
      <c r="AL337">
        <f t="shared" si="66"/>
        <v>5.774222222222221</v>
      </c>
      <c r="AM337">
        <f t="shared" si="67"/>
        <v>8.9305853155555539</v>
      </c>
      <c r="AP337" s="9"/>
      <c r="AQ337" s="21">
        <v>9.3383800000000003E-2</v>
      </c>
      <c r="AR337" s="21">
        <v>26.585899999999999</v>
      </c>
      <c r="AS337" s="21">
        <v>-8.7036100000000005E-3</v>
      </c>
      <c r="AT337" s="21">
        <v>327</v>
      </c>
      <c r="AU337" s="21">
        <v>9.2895500000000006E-2</v>
      </c>
      <c r="AV337">
        <f t="shared" si="68"/>
        <v>10.745197530864198</v>
      </c>
      <c r="AW337">
        <f t="shared" si="69"/>
        <v>1.003427377182716</v>
      </c>
      <c r="AX337" s="9"/>
      <c r="AY337" s="21">
        <v>1.5466299999999999</v>
      </c>
      <c r="AZ337" s="21">
        <v>30.284300000000002</v>
      </c>
      <c r="BA337" s="21">
        <v>-4.6310400000000003E-3</v>
      </c>
      <c r="BB337" s="21">
        <v>327</v>
      </c>
      <c r="BC337" s="21">
        <v>1.54541</v>
      </c>
      <c r="BD337">
        <f t="shared" si="70"/>
        <v>5.7173333333333334</v>
      </c>
      <c r="BE337">
        <f t="shared" si="71"/>
        <v>8.8425992533333329</v>
      </c>
    </row>
    <row r="338" spans="6:57" x14ac:dyDescent="0.25">
      <c r="F338" s="9"/>
      <c r="G338" s="21">
        <v>8.8348399999999994E-2</v>
      </c>
      <c r="H338" s="21">
        <v>8.3986099999999997</v>
      </c>
      <c r="I338" s="21">
        <v>-8.7982200000000007E-3</v>
      </c>
      <c r="J338" s="21">
        <v>328</v>
      </c>
      <c r="K338" s="21">
        <v>8.7890599999999999E-2</v>
      </c>
      <c r="L338">
        <f t="shared" si="60"/>
        <v>10.862</v>
      </c>
      <c r="M338">
        <f t="shared" si="61"/>
        <v>0.95964032079999995</v>
      </c>
      <c r="N338" s="9"/>
      <c r="O338" s="21">
        <v>1.5516700000000001</v>
      </c>
      <c r="P338" s="21">
        <v>12.0969</v>
      </c>
      <c r="Q338" s="21">
        <v>-4.6771199999999999E-3</v>
      </c>
      <c r="R338" s="21">
        <v>328</v>
      </c>
      <c r="S338" s="21">
        <v>1.5508999999999999</v>
      </c>
      <c r="T338">
        <f t="shared" si="62"/>
        <v>5.774222222222221</v>
      </c>
      <c r="U338">
        <f t="shared" si="63"/>
        <v>8.9596873955555552</v>
      </c>
      <c r="X338" s="9"/>
      <c r="Y338" s="21">
        <v>8.8348399999999994E-2</v>
      </c>
      <c r="Z338" s="21">
        <v>17.533799999999999</v>
      </c>
      <c r="AA338" s="21">
        <v>-8.7707500000000008E-3</v>
      </c>
      <c r="AB338" s="21">
        <v>328</v>
      </c>
      <c r="AC338" s="21">
        <v>8.7921100000000002E-2</v>
      </c>
      <c r="AD338">
        <f t="shared" si="64"/>
        <v>10.828086419753086</v>
      </c>
      <c r="AE338">
        <f t="shared" si="65"/>
        <v>0.95664411024691354</v>
      </c>
      <c r="AF338" s="9"/>
      <c r="AG338" s="21">
        <v>1.5516700000000001</v>
      </c>
      <c r="AH338" s="21">
        <v>21.232199999999999</v>
      </c>
      <c r="AI338" s="21">
        <v>-4.6273800000000004E-3</v>
      </c>
      <c r="AJ338" s="21">
        <v>328</v>
      </c>
      <c r="AK338" s="21">
        <v>1.5506</v>
      </c>
      <c r="AL338">
        <f t="shared" si="66"/>
        <v>5.7128148148148146</v>
      </c>
      <c r="AM338">
        <f t="shared" si="67"/>
        <v>8.8644033637037047</v>
      </c>
      <c r="AP338" s="9"/>
      <c r="AQ338" s="21">
        <v>8.8348399999999994E-2</v>
      </c>
      <c r="AR338" s="21">
        <v>26.596</v>
      </c>
      <c r="AS338" s="21">
        <v>-8.7127699999999999E-3</v>
      </c>
      <c r="AT338" s="21">
        <v>328</v>
      </c>
      <c r="AU338" s="21">
        <v>8.7890599999999999E-2</v>
      </c>
      <c r="AV338">
        <f t="shared" si="68"/>
        <v>10.756506172839506</v>
      </c>
      <c r="AW338">
        <f t="shared" si="69"/>
        <v>0.95032010996049376</v>
      </c>
      <c r="AX338" s="9"/>
      <c r="AY338" s="21">
        <v>1.5516700000000001</v>
      </c>
      <c r="AZ338" s="21">
        <v>30.2944</v>
      </c>
      <c r="BA338" s="21">
        <v>-4.5828199999999996E-3</v>
      </c>
      <c r="BB338" s="21">
        <v>328</v>
      </c>
      <c r="BC338" s="21">
        <v>1.5508999999999999</v>
      </c>
      <c r="BD338">
        <f t="shared" si="70"/>
        <v>5.6578024691358015</v>
      </c>
      <c r="BE338">
        <f t="shared" si="71"/>
        <v>8.7790423572839504</v>
      </c>
    </row>
    <row r="339" spans="6:57" x14ac:dyDescent="0.25">
      <c r="F339" s="9"/>
      <c r="G339" s="21">
        <v>8.3312999999999998E-2</v>
      </c>
      <c r="H339" s="21">
        <v>8.4086800000000004</v>
      </c>
      <c r="I339" s="21">
        <v>-8.8073700000000001E-3</v>
      </c>
      <c r="J339" s="21">
        <v>329</v>
      </c>
      <c r="K339" s="21">
        <v>8.2794199999999998E-2</v>
      </c>
      <c r="L339">
        <f t="shared" si="60"/>
        <v>10.873296296296296</v>
      </c>
      <c r="M339">
        <f t="shared" si="61"/>
        <v>0.90588693433333323</v>
      </c>
      <c r="N339" s="9"/>
      <c r="O339" s="21">
        <v>1.5567</v>
      </c>
      <c r="P339" s="21">
        <v>12.106999999999999</v>
      </c>
      <c r="Q339" s="21">
        <v>-4.6313500000000002E-3</v>
      </c>
      <c r="R339" s="21">
        <v>329</v>
      </c>
      <c r="S339" s="21">
        <v>1.55579</v>
      </c>
      <c r="T339">
        <f t="shared" si="62"/>
        <v>5.7177160493827159</v>
      </c>
      <c r="U339">
        <f t="shared" si="63"/>
        <v>8.900768574074073</v>
      </c>
      <c r="X339" s="9"/>
      <c r="Y339" s="21">
        <v>8.3312999999999998E-2</v>
      </c>
      <c r="Z339" s="21">
        <v>17.543900000000001</v>
      </c>
      <c r="AA339" s="21">
        <v>-8.7707500000000008E-3</v>
      </c>
      <c r="AB339" s="21">
        <v>329</v>
      </c>
      <c r="AC339" s="21">
        <v>8.2763699999999996E-2</v>
      </c>
      <c r="AD339">
        <f t="shared" si="64"/>
        <v>10.828086419753086</v>
      </c>
      <c r="AE339">
        <f t="shared" si="65"/>
        <v>0.90212036388888883</v>
      </c>
      <c r="AF339" s="9"/>
      <c r="AG339" s="21">
        <v>1.5567</v>
      </c>
      <c r="AH339" s="21">
        <v>21.2422</v>
      </c>
      <c r="AI339" s="21">
        <v>-4.57458E-3</v>
      </c>
      <c r="AJ339" s="21">
        <v>329</v>
      </c>
      <c r="AK339" s="21">
        <v>1.55548</v>
      </c>
      <c r="AL339">
        <f t="shared" si="66"/>
        <v>5.6476296296296296</v>
      </c>
      <c r="AM339">
        <f t="shared" si="67"/>
        <v>8.7916650444444446</v>
      </c>
      <c r="AP339" s="9"/>
      <c r="AQ339" s="21">
        <v>8.3312999999999998E-2</v>
      </c>
      <c r="AR339" s="21">
        <v>26.606100000000001</v>
      </c>
      <c r="AS339" s="21">
        <v>-8.7219199999999993E-3</v>
      </c>
      <c r="AT339" s="21">
        <v>329</v>
      </c>
      <c r="AU339" s="21">
        <v>8.2916299999999998E-2</v>
      </c>
      <c r="AV339">
        <f t="shared" si="68"/>
        <v>10.767802469135802</v>
      </c>
      <c r="AW339">
        <f t="shared" si="69"/>
        <v>0.89709792711111103</v>
      </c>
      <c r="AX339" s="9"/>
      <c r="AY339" s="21">
        <v>1.5567</v>
      </c>
      <c r="AZ339" s="21">
        <v>30.304500000000001</v>
      </c>
      <c r="BA339" s="21">
        <v>-4.5373499999999999E-3</v>
      </c>
      <c r="BB339" s="21">
        <v>329</v>
      </c>
      <c r="BC339" s="21">
        <v>1.55609</v>
      </c>
      <c r="BD339">
        <f t="shared" si="70"/>
        <v>5.6016666666666666</v>
      </c>
      <c r="BE339">
        <f t="shared" si="71"/>
        <v>8.7201144999999993</v>
      </c>
    </row>
    <row r="340" spans="6:57" x14ac:dyDescent="0.25">
      <c r="F340" s="9"/>
      <c r="G340" s="21">
        <v>7.8277600000000003E-2</v>
      </c>
      <c r="H340" s="21">
        <v>8.4187499999999993</v>
      </c>
      <c r="I340" s="21">
        <v>-8.8104199999999994E-3</v>
      </c>
      <c r="J340" s="21">
        <v>330</v>
      </c>
      <c r="K340" s="21">
        <v>7.7850299999999997E-2</v>
      </c>
      <c r="L340">
        <f t="shared" si="60"/>
        <v>10.877061728395059</v>
      </c>
      <c r="M340">
        <f t="shared" si="61"/>
        <v>0.85143028715061708</v>
      </c>
      <c r="N340" s="9"/>
      <c r="O340" s="21">
        <v>1.5617399999999999</v>
      </c>
      <c r="P340" s="21">
        <v>12.117100000000001</v>
      </c>
      <c r="Q340" s="21">
        <v>-4.5813E-3</v>
      </c>
      <c r="R340" s="21">
        <v>330</v>
      </c>
      <c r="S340" s="21">
        <v>1.56097</v>
      </c>
      <c r="T340">
        <f t="shared" si="62"/>
        <v>5.6559259259259251</v>
      </c>
      <c r="U340">
        <f t="shared" si="63"/>
        <v>8.8330857555555546</v>
      </c>
      <c r="X340" s="9"/>
      <c r="Y340" s="21">
        <v>7.8277600000000003E-2</v>
      </c>
      <c r="Z340" s="21">
        <v>17.553999999999998</v>
      </c>
      <c r="AA340" s="21">
        <v>-8.7738E-3</v>
      </c>
      <c r="AB340" s="21">
        <v>330</v>
      </c>
      <c r="AC340" s="21">
        <v>7.7789300000000006E-2</v>
      </c>
      <c r="AD340">
        <f t="shared" si="64"/>
        <v>10.831851851851852</v>
      </c>
      <c r="AE340">
        <f t="shared" si="65"/>
        <v>0.84789136651851849</v>
      </c>
      <c r="AF340" s="9"/>
      <c r="AG340" s="21">
        <v>1.5617399999999999</v>
      </c>
      <c r="AH340" s="21">
        <v>21.252300000000002</v>
      </c>
      <c r="AI340" s="21">
        <v>-4.5230100000000001E-3</v>
      </c>
      <c r="AJ340" s="21">
        <v>330</v>
      </c>
      <c r="AK340" s="21">
        <v>1.56067</v>
      </c>
      <c r="AL340">
        <f t="shared" si="66"/>
        <v>5.5839629629629624</v>
      </c>
      <c r="AM340">
        <f t="shared" si="67"/>
        <v>8.7206983177777762</v>
      </c>
      <c r="AP340" s="9"/>
      <c r="AQ340" s="21">
        <v>7.8277600000000003E-2</v>
      </c>
      <c r="AR340" s="21">
        <v>26.616099999999999</v>
      </c>
      <c r="AS340" s="21">
        <v>-8.7402299999999999E-3</v>
      </c>
      <c r="AT340" s="21">
        <v>330</v>
      </c>
      <c r="AU340" s="21">
        <v>7.7819799999999995E-2</v>
      </c>
      <c r="AV340">
        <f t="shared" si="68"/>
        <v>10.790407407407406</v>
      </c>
      <c r="AW340">
        <f t="shared" si="69"/>
        <v>0.84464719487407391</v>
      </c>
      <c r="AX340" s="9"/>
      <c r="AY340" s="21">
        <v>1.5617399999999999</v>
      </c>
      <c r="AZ340" s="21">
        <v>30.314499999999999</v>
      </c>
      <c r="BA340" s="21">
        <v>-4.48914E-3</v>
      </c>
      <c r="BB340" s="21">
        <v>330</v>
      </c>
      <c r="BC340" s="21">
        <v>1.56067</v>
      </c>
      <c r="BD340">
        <f t="shared" si="70"/>
        <v>5.542148148148148</v>
      </c>
      <c r="BE340">
        <f t="shared" si="71"/>
        <v>8.6553944488888881</v>
      </c>
    </row>
    <row r="341" spans="6:57" x14ac:dyDescent="0.25">
      <c r="F341" s="9"/>
      <c r="G341" s="21">
        <v>7.3242199999999993E-2</v>
      </c>
      <c r="H341" s="21">
        <v>8.42882</v>
      </c>
      <c r="I341" s="21">
        <v>-8.8073700000000001E-3</v>
      </c>
      <c r="J341" s="21">
        <v>331</v>
      </c>
      <c r="K341" s="21">
        <v>7.2723399999999994E-2</v>
      </c>
      <c r="L341">
        <f t="shared" si="60"/>
        <v>10.873296296296296</v>
      </c>
      <c r="M341">
        <f t="shared" si="61"/>
        <v>0.79638414199259244</v>
      </c>
      <c r="N341" s="9"/>
      <c r="O341" s="21">
        <v>1.56677</v>
      </c>
      <c r="P341" s="21">
        <v>12.1272</v>
      </c>
      <c r="Q341" s="21">
        <v>-4.5291100000000003E-3</v>
      </c>
      <c r="R341" s="21">
        <v>331</v>
      </c>
      <c r="S341" s="21">
        <v>1.56616</v>
      </c>
      <c r="T341">
        <f t="shared" si="62"/>
        <v>5.5914938271604937</v>
      </c>
      <c r="U341">
        <f t="shared" si="63"/>
        <v>8.7605847835802475</v>
      </c>
      <c r="X341" s="9"/>
      <c r="Y341" s="21">
        <v>7.3242199999999993E-2</v>
      </c>
      <c r="Z341" s="21">
        <v>17.564</v>
      </c>
      <c r="AA341" s="21">
        <v>-8.7738E-3</v>
      </c>
      <c r="AB341" s="21">
        <v>331</v>
      </c>
      <c r="AC341" s="21">
        <v>7.2784399999999999E-2</v>
      </c>
      <c r="AD341">
        <f t="shared" si="64"/>
        <v>10.831851851851852</v>
      </c>
      <c r="AE341">
        <f t="shared" si="65"/>
        <v>0.79334865970370361</v>
      </c>
      <c r="AF341" s="9"/>
      <c r="AG341" s="21">
        <v>1.56677</v>
      </c>
      <c r="AH341" s="21">
        <v>21.2624</v>
      </c>
      <c r="AI341" s="21">
        <v>-4.4680800000000001E-3</v>
      </c>
      <c r="AJ341" s="21">
        <v>331</v>
      </c>
      <c r="AK341" s="21">
        <v>1.56586</v>
      </c>
      <c r="AL341">
        <f t="shared" si="66"/>
        <v>5.5161481481481474</v>
      </c>
      <c r="AM341">
        <f t="shared" si="67"/>
        <v>8.6425354340740732</v>
      </c>
      <c r="AP341" s="9"/>
      <c r="AQ341" s="21">
        <v>7.3242199999999993E-2</v>
      </c>
      <c r="AR341" s="21">
        <v>26.626200000000001</v>
      </c>
      <c r="AS341" s="21">
        <v>-8.7493899999999993E-3</v>
      </c>
      <c r="AT341" s="21">
        <v>331</v>
      </c>
      <c r="AU341" s="21">
        <v>7.2784399999999999E-2</v>
      </c>
      <c r="AV341">
        <f t="shared" si="68"/>
        <v>10.801716049382714</v>
      </c>
      <c r="AW341">
        <f t="shared" si="69"/>
        <v>0.79114144723209856</v>
      </c>
      <c r="AX341" s="9"/>
      <c r="AY341" s="21">
        <v>1.56677</v>
      </c>
      <c r="AZ341" s="21">
        <v>30.3246</v>
      </c>
      <c r="BA341" s="21">
        <v>-4.4400000000000004E-3</v>
      </c>
      <c r="BB341" s="21">
        <v>331</v>
      </c>
      <c r="BC341" s="21">
        <v>1.56647</v>
      </c>
      <c r="BD341">
        <f t="shared" si="70"/>
        <v>5.481481481481481</v>
      </c>
      <c r="BE341">
        <f t="shared" si="71"/>
        <v>8.5882207407407396</v>
      </c>
    </row>
    <row r="342" spans="6:57" x14ac:dyDescent="0.25">
      <c r="F342" s="9"/>
      <c r="G342" s="21">
        <v>6.8206799999999998E-2</v>
      </c>
      <c r="H342" s="21">
        <v>8.4388900000000007</v>
      </c>
      <c r="I342" s="21">
        <v>-8.8073700000000001E-3</v>
      </c>
      <c r="J342" s="21">
        <v>332</v>
      </c>
      <c r="K342" s="21">
        <v>6.7779500000000006E-2</v>
      </c>
      <c r="L342">
        <f t="shared" si="60"/>
        <v>10.873296296296296</v>
      </c>
      <c r="M342">
        <f t="shared" si="61"/>
        <v>0.74163274582222216</v>
      </c>
      <c r="N342" s="9"/>
      <c r="O342" s="21">
        <v>1.5718099999999999</v>
      </c>
      <c r="P342" s="21">
        <v>12.1372</v>
      </c>
      <c r="Q342" s="21">
        <v>-4.4714400000000001E-3</v>
      </c>
      <c r="R342" s="21">
        <v>332</v>
      </c>
      <c r="S342" s="21">
        <v>1.57074</v>
      </c>
      <c r="T342">
        <f t="shared" si="62"/>
        <v>5.520296296296296</v>
      </c>
      <c r="U342">
        <f t="shared" si="63"/>
        <v>8.6768569214814804</v>
      </c>
      <c r="X342" s="9"/>
      <c r="Y342" s="21">
        <v>6.8206799999999998E-2</v>
      </c>
      <c r="Z342" s="21">
        <v>17.574100000000001</v>
      </c>
      <c r="AA342" s="21">
        <v>-8.7676999999999998E-3</v>
      </c>
      <c r="AB342" s="21">
        <v>332</v>
      </c>
      <c r="AC342" s="21">
        <v>6.7779500000000006E-2</v>
      </c>
      <c r="AD342">
        <f t="shared" si="64"/>
        <v>10.824320987654319</v>
      </c>
      <c r="AE342">
        <f t="shared" si="65"/>
        <v>0.73829229674074059</v>
      </c>
      <c r="AF342" s="9"/>
      <c r="AG342" s="21">
        <v>1.5718099999999999</v>
      </c>
      <c r="AH342" s="21">
        <v>21.272400000000001</v>
      </c>
      <c r="AI342" s="21">
        <v>-4.4137600000000001E-3</v>
      </c>
      <c r="AJ342" s="21">
        <v>332</v>
      </c>
      <c r="AK342" s="21">
        <v>1.57074</v>
      </c>
      <c r="AL342">
        <f t="shared" si="66"/>
        <v>5.4490864197530859</v>
      </c>
      <c r="AM342">
        <f t="shared" si="67"/>
        <v>8.5649285254320979</v>
      </c>
      <c r="AP342" s="9"/>
      <c r="AQ342" s="21">
        <v>6.8206799999999998E-2</v>
      </c>
      <c r="AR342" s="21">
        <v>26.636299999999999</v>
      </c>
      <c r="AS342" s="21">
        <v>-8.7554899999999995E-3</v>
      </c>
      <c r="AT342" s="21">
        <v>332</v>
      </c>
      <c r="AU342" s="21">
        <v>6.7749000000000004E-2</v>
      </c>
      <c r="AV342">
        <f t="shared" si="68"/>
        <v>10.809246913580246</v>
      </c>
      <c r="AW342">
        <f t="shared" si="69"/>
        <v>0.73726414238518512</v>
      </c>
      <c r="AX342" s="9"/>
      <c r="AY342" s="21">
        <v>1.5718099999999999</v>
      </c>
      <c r="AZ342" s="21">
        <v>30.334700000000002</v>
      </c>
      <c r="BA342" s="21">
        <v>-4.3890400000000003E-3</v>
      </c>
      <c r="BB342" s="21">
        <v>332</v>
      </c>
      <c r="BC342" s="21">
        <v>1.57104</v>
      </c>
      <c r="BD342">
        <f t="shared" si="70"/>
        <v>5.4185679012345682</v>
      </c>
      <c r="BE342">
        <f t="shared" si="71"/>
        <v>8.516959212839506</v>
      </c>
    </row>
    <row r="343" spans="6:57" x14ac:dyDescent="0.25">
      <c r="F343" s="9"/>
      <c r="G343" s="21">
        <v>6.3171400000000003E-2</v>
      </c>
      <c r="H343" s="21">
        <v>8.4489599999999996</v>
      </c>
      <c r="I343" s="21">
        <v>-8.8134800000000003E-3</v>
      </c>
      <c r="J343" s="21">
        <v>333</v>
      </c>
      <c r="K343" s="21">
        <v>6.2652600000000003E-2</v>
      </c>
      <c r="L343">
        <f t="shared" si="60"/>
        <v>10.880839506172839</v>
      </c>
      <c r="M343">
        <f t="shared" si="61"/>
        <v>0.68735786478024685</v>
      </c>
      <c r="N343" s="9"/>
      <c r="O343" s="21">
        <v>1.57684</v>
      </c>
      <c r="P343" s="21">
        <v>12.1473</v>
      </c>
      <c r="Q343" s="21">
        <v>-4.4134500000000002E-3</v>
      </c>
      <c r="R343" s="21">
        <v>333</v>
      </c>
      <c r="S343" s="21">
        <v>1.57562</v>
      </c>
      <c r="T343">
        <f t="shared" si="62"/>
        <v>5.4487037037037043</v>
      </c>
      <c r="U343">
        <f t="shared" si="63"/>
        <v>8.5917339481481498</v>
      </c>
      <c r="X343" s="9"/>
      <c r="Y343" s="21">
        <v>6.3171400000000003E-2</v>
      </c>
      <c r="Z343" s="21">
        <v>17.584199999999999</v>
      </c>
      <c r="AA343" s="21">
        <v>-8.7615999999999996E-3</v>
      </c>
      <c r="AB343" s="21">
        <v>333</v>
      </c>
      <c r="AC343" s="21">
        <v>6.2713599999999994E-2</v>
      </c>
      <c r="AD343">
        <f t="shared" si="64"/>
        <v>10.816790123456789</v>
      </c>
      <c r="AE343">
        <f t="shared" si="65"/>
        <v>0.68331177560493828</v>
      </c>
      <c r="AF343" s="9"/>
      <c r="AG343" s="21">
        <v>1.57684</v>
      </c>
      <c r="AH343" s="21">
        <v>21.282499999999999</v>
      </c>
      <c r="AI343" s="21">
        <v>-4.3612700000000004E-3</v>
      </c>
      <c r="AJ343" s="21">
        <v>333</v>
      </c>
      <c r="AK343" s="21">
        <v>1.5759300000000001</v>
      </c>
      <c r="AL343">
        <f t="shared" si="66"/>
        <v>5.3842839506172835</v>
      </c>
      <c r="AM343">
        <f t="shared" si="67"/>
        <v>8.490154304691357</v>
      </c>
      <c r="AP343" s="9"/>
      <c r="AQ343" s="21">
        <v>6.3171400000000003E-2</v>
      </c>
      <c r="AR343" s="21">
        <v>26.6464</v>
      </c>
      <c r="AS343" s="21">
        <v>-8.7707500000000008E-3</v>
      </c>
      <c r="AT343" s="21">
        <v>333</v>
      </c>
      <c r="AU343" s="21">
        <v>6.2683100000000005E-2</v>
      </c>
      <c r="AV343">
        <f t="shared" si="68"/>
        <v>10.828086419753086</v>
      </c>
      <c r="AW343">
        <f t="shared" si="69"/>
        <v>0.68402537845679012</v>
      </c>
      <c r="AX343" s="9"/>
      <c r="AY343" s="21">
        <v>1.57684</v>
      </c>
      <c r="AZ343" s="21">
        <v>30.3447</v>
      </c>
      <c r="BA343" s="21">
        <v>-4.3298299999999998E-3</v>
      </c>
      <c r="BB343" s="21">
        <v>333</v>
      </c>
      <c r="BC343" s="21">
        <v>1.5765400000000001</v>
      </c>
      <c r="BD343">
        <f t="shared" si="70"/>
        <v>5.3454691358024684</v>
      </c>
      <c r="BE343">
        <f t="shared" si="71"/>
        <v>8.4289495520987643</v>
      </c>
    </row>
    <row r="344" spans="6:57" x14ac:dyDescent="0.25">
      <c r="F344" s="9"/>
      <c r="G344" s="21">
        <v>5.8136E-2</v>
      </c>
      <c r="H344" s="21">
        <v>8.4590399999999999</v>
      </c>
      <c r="I344" s="21">
        <v>-8.8165299999999995E-3</v>
      </c>
      <c r="J344" s="21">
        <v>334</v>
      </c>
      <c r="K344" s="21">
        <v>5.7708700000000002E-2</v>
      </c>
      <c r="L344">
        <f t="shared" si="60"/>
        <v>10.884604938271604</v>
      </c>
      <c r="M344">
        <f t="shared" si="61"/>
        <v>0.63278739269135797</v>
      </c>
      <c r="N344" s="9"/>
      <c r="O344" s="21">
        <v>1.58188</v>
      </c>
      <c r="P344" s="21">
        <v>12.157400000000001</v>
      </c>
      <c r="Q344" s="21">
        <v>-4.3545499999999996E-3</v>
      </c>
      <c r="R344" s="21">
        <v>334</v>
      </c>
      <c r="S344" s="21">
        <v>1.58142</v>
      </c>
      <c r="T344">
        <f t="shared" si="62"/>
        <v>5.375987654320987</v>
      </c>
      <c r="U344">
        <f t="shared" si="63"/>
        <v>8.5041673506172835</v>
      </c>
      <c r="X344" s="9"/>
      <c r="Y344" s="21">
        <v>5.8136E-2</v>
      </c>
      <c r="Z344" s="21">
        <v>17.594200000000001</v>
      </c>
      <c r="AA344" s="21">
        <v>-8.7646500000000006E-3</v>
      </c>
      <c r="AB344" s="21">
        <v>334</v>
      </c>
      <c r="AC344" s="21">
        <v>5.7647700000000003E-2</v>
      </c>
      <c r="AD344">
        <f t="shared" si="64"/>
        <v>10.820555555555556</v>
      </c>
      <c r="AE344">
        <f t="shared" si="65"/>
        <v>0.62906381777777776</v>
      </c>
      <c r="AF344" s="9"/>
      <c r="AG344" s="21">
        <v>1.58188</v>
      </c>
      <c r="AH344" s="21">
        <v>21.2926</v>
      </c>
      <c r="AI344" s="21">
        <v>-4.3060299999999998E-3</v>
      </c>
      <c r="AJ344" s="21">
        <v>334</v>
      </c>
      <c r="AK344" s="21">
        <v>1.58142</v>
      </c>
      <c r="AL344">
        <f t="shared" si="66"/>
        <v>5.3160864197530859</v>
      </c>
      <c r="AM344">
        <f t="shared" si="67"/>
        <v>8.409410785679011</v>
      </c>
      <c r="AP344" s="9"/>
      <c r="AQ344" s="21">
        <v>5.8136E-2</v>
      </c>
      <c r="AR344" s="21">
        <v>26.656400000000001</v>
      </c>
      <c r="AS344" s="21">
        <v>-8.7860100000000003E-3</v>
      </c>
      <c r="AT344" s="21">
        <v>334</v>
      </c>
      <c r="AU344" s="21">
        <v>5.7708700000000002E-2</v>
      </c>
      <c r="AV344">
        <f t="shared" si="68"/>
        <v>10.846925925925925</v>
      </c>
      <c r="AW344">
        <f t="shared" si="69"/>
        <v>0.63059688562962957</v>
      </c>
      <c r="AX344" s="9"/>
      <c r="AY344" s="21">
        <v>1.58188</v>
      </c>
      <c r="AZ344" s="21">
        <v>30.354800000000001</v>
      </c>
      <c r="BA344" s="21">
        <v>-4.2715499999999998E-3</v>
      </c>
      <c r="BB344" s="21">
        <v>334</v>
      </c>
      <c r="BC344" s="21">
        <v>1.58081</v>
      </c>
      <c r="BD344">
        <f t="shared" si="70"/>
        <v>5.2735185185185181</v>
      </c>
      <c r="BE344">
        <f t="shared" si="71"/>
        <v>8.3420734740740734</v>
      </c>
    </row>
    <row r="345" spans="6:57" x14ac:dyDescent="0.25">
      <c r="F345" s="9"/>
      <c r="G345" s="21">
        <v>5.3100599999999998E-2</v>
      </c>
      <c r="H345" s="21">
        <v>8.4691100000000006</v>
      </c>
      <c r="I345" s="21">
        <v>-8.8256800000000007E-3</v>
      </c>
      <c r="J345" s="21">
        <v>335</v>
      </c>
      <c r="K345" s="21">
        <v>5.2673299999999999E-2</v>
      </c>
      <c r="L345">
        <f t="shared" si="60"/>
        <v>10.895901234567901</v>
      </c>
      <c r="M345">
        <f t="shared" si="61"/>
        <v>0.57857889309629629</v>
      </c>
      <c r="N345" s="9"/>
      <c r="O345" s="21">
        <v>1.58691</v>
      </c>
      <c r="P345" s="21">
        <v>12.167400000000001</v>
      </c>
      <c r="Q345" s="21">
        <v>-4.2941300000000002E-3</v>
      </c>
      <c r="R345" s="21">
        <v>335</v>
      </c>
      <c r="S345" s="21">
        <v>1.58569</v>
      </c>
      <c r="T345">
        <f t="shared" si="62"/>
        <v>5.3013950617283943</v>
      </c>
      <c r="U345">
        <f t="shared" si="63"/>
        <v>8.4128368374074061</v>
      </c>
      <c r="X345" s="9"/>
      <c r="Y345" s="21">
        <v>5.3100599999999998E-2</v>
      </c>
      <c r="Z345" s="21">
        <v>17.604299999999999</v>
      </c>
      <c r="AA345" s="21">
        <v>-8.7738E-3</v>
      </c>
      <c r="AB345" s="21">
        <v>335</v>
      </c>
      <c r="AC345" s="21">
        <v>5.2642799999999997E-2</v>
      </c>
      <c r="AD345">
        <f t="shared" si="64"/>
        <v>10.831851851851852</v>
      </c>
      <c r="AE345">
        <f t="shared" si="65"/>
        <v>0.57517783244444443</v>
      </c>
      <c r="AF345" s="9"/>
      <c r="AG345" s="21">
        <v>1.58691</v>
      </c>
      <c r="AH345" s="21">
        <v>21.302700000000002</v>
      </c>
      <c r="AI345" s="21">
        <v>-4.2480499999999997E-3</v>
      </c>
      <c r="AJ345" s="21">
        <v>335</v>
      </c>
      <c r="AK345" s="21">
        <v>1.5863</v>
      </c>
      <c r="AL345">
        <f t="shared" si="66"/>
        <v>5.2445061728395048</v>
      </c>
      <c r="AM345">
        <f t="shared" si="67"/>
        <v>8.3225592907407382</v>
      </c>
      <c r="AP345" s="9"/>
      <c r="AQ345" s="21">
        <v>5.3100599999999998E-2</v>
      </c>
      <c r="AR345" s="21">
        <v>26.666499999999999</v>
      </c>
      <c r="AS345" s="21">
        <v>-8.7982200000000007E-3</v>
      </c>
      <c r="AT345" s="21">
        <v>335</v>
      </c>
      <c r="AU345" s="21">
        <v>5.2703899999999998E-2</v>
      </c>
      <c r="AV345">
        <f t="shared" si="68"/>
        <v>10.862</v>
      </c>
      <c r="AW345">
        <f t="shared" si="69"/>
        <v>0.57677871719999996</v>
      </c>
      <c r="AX345" s="9"/>
      <c r="AY345" s="21">
        <v>1.58691</v>
      </c>
      <c r="AZ345" s="21">
        <v>30.364899999999999</v>
      </c>
      <c r="BA345" s="21">
        <v>-4.2083700000000003E-3</v>
      </c>
      <c r="BB345" s="21">
        <v>335</v>
      </c>
      <c r="BC345" s="21">
        <v>1.5860000000000001</v>
      </c>
      <c r="BD345">
        <f t="shared" si="70"/>
        <v>5.1955185185185186</v>
      </c>
      <c r="BE345">
        <f t="shared" si="71"/>
        <v>8.2448202922222222</v>
      </c>
    </row>
    <row r="346" spans="6:57" x14ac:dyDescent="0.25">
      <c r="F346" s="9"/>
      <c r="G346" s="21">
        <v>4.8065200000000002E-2</v>
      </c>
      <c r="H346" s="21">
        <v>8.4791799999999995</v>
      </c>
      <c r="I346" s="21">
        <v>-8.8317900000000008E-3</v>
      </c>
      <c r="J346" s="21">
        <v>336</v>
      </c>
      <c r="K346" s="21">
        <v>4.7933999999999997E-2</v>
      </c>
      <c r="L346">
        <f t="shared" si="60"/>
        <v>10.903444444444444</v>
      </c>
      <c r="M346">
        <f t="shared" si="61"/>
        <v>0.52407623791111113</v>
      </c>
      <c r="N346" s="9"/>
      <c r="O346" s="21">
        <v>1.59195</v>
      </c>
      <c r="P346" s="21">
        <v>12.1775</v>
      </c>
      <c r="Q346" s="21">
        <v>-4.2334E-3</v>
      </c>
      <c r="R346" s="21">
        <v>336</v>
      </c>
      <c r="S346" s="21">
        <v>1.5905800000000001</v>
      </c>
      <c r="T346">
        <f t="shared" si="62"/>
        <v>5.2264197530864189</v>
      </c>
      <c r="U346">
        <f t="shared" si="63"/>
        <v>8.3201989259259239</v>
      </c>
      <c r="X346" s="9"/>
      <c r="Y346" s="21">
        <v>4.8065200000000002E-2</v>
      </c>
      <c r="Z346" s="21">
        <v>17.6144</v>
      </c>
      <c r="AA346" s="21">
        <v>-8.7890599999999996E-3</v>
      </c>
      <c r="AB346" s="21">
        <v>336</v>
      </c>
      <c r="AC346" s="21">
        <v>4.7943100000000002E-2</v>
      </c>
      <c r="AD346">
        <f t="shared" si="64"/>
        <v>10.85069135802469</v>
      </c>
      <c r="AE346">
        <f t="shared" si="65"/>
        <v>0.52154065026172836</v>
      </c>
      <c r="AF346" s="9"/>
      <c r="AG346" s="21">
        <v>1.59195</v>
      </c>
      <c r="AH346" s="21">
        <v>21.3127</v>
      </c>
      <c r="AI346" s="21">
        <v>-4.1937299999999997E-3</v>
      </c>
      <c r="AJ346" s="21">
        <v>336</v>
      </c>
      <c r="AK346" s="21">
        <v>1.5911900000000001</v>
      </c>
      <c r="AL346">
        <f t="shared" si="66"/>
        <v>5.1774444444444434</v>
      </c>
      <c r="AM346">
        <f t="shared" si="67"/>
        <v>8.2422326833333308</v>
      </c>
      <c r="AP346" s="9"/>
      <c r="AQ346" s="21">
        <v>4.8065200000000002E-2</v>
      </c>
      <c r="AR346" s="21">
        <v>26.676600000000001</v>
      </c>
      <c r="AS346" s="21">
        <v>-8.8012699999999999E-3</v>
      </c>
      <c r="AT346" s="21">
        <v>336</v>
      </c>
      <c r="AU346" s="21">
        <v>4.79645E-2</v>
      </c>
      <c r="AV346">
        <f t="shared" si="68"/>
        <v>10.865765432098764</v>
      </c>
      <c r="AW346">
        <f t="shared" si="69"/>
        <v>0.52226518864691351</v>
      </c>
      <c r="AX346" s="9"/>
      <c r="AY346" s="21">
        <v>1.59195</v>
      </c>
      <c r="AZ346" s="21">
        <v>30.3749</v>
      </c>
      <c r="BA346" s="21">
        <v>-4.1375700000000001E-3</v>
      </c>
      <c r="BB346" s="21">
        <v>336</v>
      </c>
      <c r="BC346" s="21">
        <v>1.5905800000000001</v>
      </c>
      <c r="BD346">
        <f t="shared" si="70"/>
        <v>5.1081111111111106</v>
      </c>
      <c r="BE346">
        <f t="shared" si="71"/>
        <v>8.1318574833333326</v>
      </c>
    </row>
    <row r="347" spans="6:57" x14ac:dyDescent="0.25">
      <c r="F347" s="9"/>
      <c r="G347" s="21">
        <v>4.30298E-2</v>
      </c>
      <c r="H347" s="21">
        <v>8.4892500000000002</v>
      </c>
      <c r="I347" s="21">
        <v>-8.8378899999999993E-3</v>
      </c>
      <c r="J347" s="21">
        <v>337</v>
      </c>
      <c r="K347" s="21">
        <v>4.28925E-2</v>
      </c>
      <c r="L347">
        <f t="shared" si="60"/>
        <v>10.910975308641973</v>
      </c>
      <c r="M347">
        <f t="shared" si="61"/>
        <v>0.46949708533580237</v>
      </c>
      <c r="N347" s="9"/>
      <c r="O347" s="21">
        <v>1.5969800000000001</v>
      </c>
      <c r="P347" s="21">
        <v>12.1876</v>
      </c>
      <c r="Q347" s="21">
        <v>-4.16534E-3</v>
      </c>
      <c r="R347" s="21">
        <v>337</v>
      </c>
      <c r="S347" s="21">
        <v>1.5966800000000001</v>
      </c>
      <c r="T347">
        <f t="shared" si="62"/>
        <v>5.1423950617283953</v>
      </c>
      <c r="U347">
        <f t="shared" si="63"/>
        <v>8.2123020656790136</v>
      </c>
      <c r="X347" s="9"/>
      <c r="Y347" s="21">
        <v>4.30298E-2</v>
      </c>
      <c r="Z347" s="21">
        <v>17.624500000000001</v>
      </c>
      <c r="AA347" s="21">
        <v>-8.8073700000000001E-3</v>
      </c>
      <c r="AB347" s="21">
        <v>337</v>
      </c>
      <c r="AC347" s="21">
        <v>4.2947399999999997E-2</v>
      </c>
      <c r="AD347">
        <f t="shared" si="64"/>
        <v>10.873296296296296</v>
      </c>
      <c r="AE347">
        <f t="shared" si="65"/>
        <v>0.46787576497037037</v>
      </c>
      <c r="AF347" s="9"/>
      <c r="AG347" s="21">
        <v>1.5969800000000001</v>
      </c>
      <c r="AH347" s="21">
        <v>21.322800000000001</v>
      </c>
      <c r="AI347" s="21">
        <v>-4.13788E-3</v>
      </c>
      <c r="AJ347" s="21">
        <v>337</v>
      </c>
      <c r="AK347" s="21">
        <v>1.5963700000000001</v>
      </c>
      <c r="AL347">
        <f t="shared" si="66"/>
        <v>5.1084938271604932</v>
      </c>
      <c r="AM347">
        <f t="shared" si="67"/>
        <v>8.1581624720987644</v>
      </c>
      <c r="AP347" s="9"/>
      <c r="AQ347" s="21">
        <v>4.30298E-2</v>
      </c>
      <c r="AR347" s="21">
        <v>26.686599999999999</v>
      </c>
      <c r="AS347" s="21">
        <v>-8.8073700000000001E-3</v>
      </c>
      <c r="AT347" s="21">
        <v>337</v>
      </c>
      <c r="AU347" s="21">
        <v>4.2947399999999997E-2</v>
      </c>
      <c r="AV347">
        <f t="shared" si="68"/>
        <v>10.873296296296296</v>
      </c>
      <c r="AW347">
        <f t="shared" si="69"/>
        <v>0.46787576497037037</v>
      </c>
      <c r="AX347" s="9"/>
      <c r="AY347" s="21">
        <v>1.5969800000000001</v>
      </c>
      <c r="AZ347" s="21">
        <v>30.385000000000002</v>
      </c>
      <c r="BA347" s="21">
        <v>-4.0719600000000003E-3</v>
      </c>
      <c r="BB347" s="21">
        <v>337</v>
      </c>
      <c r="BC347" s="21">
        <v>1.5957600000000001</v>
      </c>
      <c r="BD347">
        <f t="shared" si="70"/>
        <v>5.027111111111112</v>
      </c>
      <c r="BE347">
        <f t="shared" si="71"/>
        <v>8.0281959022222242</v>
      </c>
    </row>
    <row r="348" spans="6:57" x14ac:dyDescent="0.25">
      <c r="F348" s="9"/>
      <c r="G348" s="21">
        <v>3.7994399999999998E-2</v>
      </c>
      <c r="H348" s="21">
        <v>8.4993200000000009</v>
      </c>
      <c r="I348" s="21">
        <v>-8.8500999999999996E-3</v>
      </c>
      <c r="J348" s="21">
        <v>338</v>
      </c>
      <c r="K348" s="21">
        <v>3.7884500000000002E-2</v>
      </c>
      <c r="L348">
        <f t="shared" si="60"/>
        <v>10.926049382716048</v>
      </c>
      <c r="M348">
        <f t="shared" si="61"/>
        <v>0.41512869066666658</v>
      </c>
      <c r="N348" s="9"/>
      <c r="O348" s="21">
        <v>1.60202</v>
      </c>
      <c r="P348" s="21">
        <v>12.197699999999999</v>
      </c>
      <c r="Q348" s="21">
        <v>-4.09729E-3</v>
      </c>
      <c r="R348" s="21">
        <v>338</v>
      </c>
      <c r="S348" s="21">
        <v>1.6009500000000001</v>
      </c>
      <c r="T348">
        <f t="shared" si="62"/>
        <v>5.0583827160493824</v>
      </c>
      <c r="U348">
        <f t="shared" si="63"/>
        <v>8.1036302787654311</v>
      </c>
      <c r="X348" s="9"/>
      <c r="Y348" s="21">
        <v>3.7994399999999998E-2</v>
      </c>
      <c r="Z348" s="21">
        <v>17.634499999999999</v>
      </c>
      <c r="AA348" s="21">
        <v>-8.8256800000000007E-3</v>
      </c>
      <c r="AB348" s="21">
        <v>338</v>
      </c>
      <c r="AC348" s="21">
        <v>3.78632E-2</v>
      </c>
      <c r="AD348">
        <f t="shared" si="64"/>
        <v>10.895901234567901</v>
      </c>
      <c r="AE348">
        <f t="shared" si="65"/>
        <v>0.41398322986666664</v>
      </c>
      <c r="AF348" s="9"/>
      <c r="AG348" s="21">
        <v>1.60202</v>
      </c>
      <c r="AH348" s="21">
        <v>21.332899999999999</v>
      </c>
      <c r="AI348" s="21">
        <v>-4.0747099999999996E-3</v>
      </c>
      <c r="AJ348" s="21">
        <v>338</v>
      </c>
      <c r="AK348" s="21">
        <v>1.6009500000000001</v>
      </c>
      <c r="AL348">
        <f t="shared" si="66"/>
        <v>5.0305061728395053</v>
      </c>
      <c r="AM348">
        <f t="shared" si="67"/>
        <v>8.058971499012344</v>
      </c>
      <c r="AP348" s="9"/>
      <c r="AQ348" s="21">
        <v>3.7994399999999998E-2</v>
      </c>
      <c r="AR348" s="21">
        <v>26.6967</v>
      </c>
      <c r="AS348" s="21">
        <v>-8.8104199999999994E-3</v>
      </c>
      <c r="AT348" s="21">
        <v>338</v>
      </c>
      <c r="AU348" s="21">
        <v>3.7857099999999998E-2</v>
      </c>
      <c r="AV348">
        <f t="shared" si="68"/>
        <v>10.877061728395059</v>
      </c>
      <c r="AW348">
        <f t="shared" si="69"/>
        <v>0.41326743413333322</v>
      </c>
      <c r="AX348" s="9"/>
      <c r="AY348" s="21">
        <v>1.60202</v>
      </c>
      <c r="AZ348" s="21">
        <v>30.395099999999999</v>
      </c>
      <c r="BA348" s="21">
        <v>-4.0002400000000004E-3</v>
      </c>
      <c r="BB348" s="21">
        <v>338</v>
      </c>
      <c r="BC348" s="21">
        <v>1.6012599999999999</v>
      </c>
      <c r="BD348">
        <f t="shared" si="70"/>
        <v>4.9385679012345687</v>
      </c>
      <c r="BE348">
        <f t="shared" si="71"/>
        <v>7.9116845491358037</v>
      </c>
    </row>
    <row r="349" spans="6:57" x14ac:dyDescent="0.25">
      <c r="F349" s="9"/>
      <c r="G349" s="21">
        <v>3.2959000000000002E-2</v>
      </c>
      <c r="H349" s="21">
        <v>8.5093899999999998</v>
      </c>
      <c r="I349" s="21">
        <v>-8.8592500000000008E-3</v>
      </c>
      <c r="J349" s="21">
        <v>339</v>
      </c>
      <c r="K349" s="21">
        <v>3.2846100000000003E-2</v>
      </c>
      <c r="L349">
        <f t="shared" si="60"/>
        <v>10.937345679012346</v>
      </c>
      <c r="M349">
        <f t="shared" si="61"/>
        <v>0.3604839762345679</v>
      </c>
      <c r="N349" s="9"/>
      <c r="O349" s="21">
        <v>1.6070599999999999</v>
      </c>
      <c r="P349" s="21">
        <v>12.207700000000001</v>
      </c>
      <c r="Q349" s="21">
        <v>-4.0258799999999999E-3</v>
      </c>
      <c r="R349" s="21">
        <v>339</v>
      </c>
      <c r="S349" s="21">
        <v>1.6064499999999999</v>
      </c>
      <c r="T349">
        <f t="shared" si="62"/>
        <v>4.9702222222222217</v>
      </c>
      <c r="U349">
        <f t="shared" si="63"/>
        <v>7.987445324444443</v>
      </c>
      <c r="X349" s="9"/>
      <c r="Y349" s="21">
        <v>3.2959000000000002E-2</v>
      </c>
      <c r="Z349" s="21">
        <v>17.644600000000001</v>
      </c>
      <c r="AA349" s="21">
        <v>-8.8287399999999999E-3</v>
      </c>
      <c r="AB349" s="21">
        <v>339</v>
      </c>
      <c r="AC349" s="21">
        <v>3.2818600000000003E-2</v>
      </c>
      <c r="AD349">
        <f t="shared" si="64"/>
        <v>10.899679012345679</v>
      </c>
      <c r="AE349">
        <f t="shared" si="65"/>
        <v>0.35924252056790124</v>
      </c>
      <c r="AF349" s="9"/>
      <c r="AG349" s="21">
        <v>1.6070599999999999</v>
      </c>
      <c r="AH349" s="21">
        <v>21.3429</v>
      </c>
      <c r="AI349" s="21">
        <v>-3.9996299999999997E-3</v>
      </c>
      <c r="AJ349" s="21">
        <v>339</v>
      </c>
      <c r="AK349" s="21">
        <v>1.6067499999999999</v>
      </c>
      <c r="AL349">
        <f t="shared" si="66"/>
        <v>4.9378148148148142</v>
      </c>
      <c r="AM349">
        <f t="shared" si="67"/>
        <v>7.9353646762962953</v>
      </c>
      <c r="AP349" s="9"/>
      <c r="AQ349" s="21">
        <v>3.2959000000000002E-2</v>
      </c>
      <c r="AR349" s="21">
        <v>26.706800000000001</v>
      </c>
      <c r="AS349" s="21">
        <v>-8.8165299999999995E-3</v>
      </c>
      <c r="AT349" s="21">
        <v>339</v>
      </c>
      <c r="AU349" s="21">
        <v>3.2842999999999997E-2</v>
      </c>
      <c r="AV349">
        <f t="shared" si="68"/>
        <v>10.884604938271604</v>
      </c>
      <c r="AW349">
        <f t="shared" si="69"/>
        <v>0.35874569416049384</v>
      </c>
      <c r="AX349" s="9"/>
      <c r="AY349" s="21">
        <v>1.6070599999999999</v>
      </c>
      <c r="AZ349" s="21">
        <v>30.405200000000001</v>
      </c>
      <c r="BA349" s="21">
        <v>-3.9379899999999997E-3</v>
      </c>
      <c r="BB349" s="21">
        <v>339</v>
      </c>
      <c r="BC349" s="21">
        <v>1.6064499999999999</v>
      </c>
      <c r="BD349">
        <f t="shared" si="70"/>
        <v>4.8617160493827152</v>
      </c>
      <c r="BE349">
        <f t="shared" si="71"/>
        <v>7.8130693943209861</v>
      </c>
    </row>
    <row r="350" spans="6:57" x14ac:dyDescent="0.25">
      <c r="F350" s="9"/>
      <c r="G350" s="21">
        <v>2.79236E-2</v>
      </c>
      <c r="H350" s="21">
        <v>8.5194600000000005</v>
      </c>
      <c r="I350" s="21">
        <v>-8.8684100000000002E-3</v>
      </c>
      <c r="J350" s="21">
        <v>340</v>
      </c>
      <c r="K350" s="21">
        <v>2.7688600000000001E-2</v>
      </c>
      <c r="L350">
        <f t="shared" si="60"/>
        <v>10.948654320987654</v>
      </c>
      <c r="M350">
        <f t="shared" si="61"/>
        <v>0.30572584379753087</v>
      </c>
      <c r="N350" s="9"/>
      <c r="O350" s="21">
        <v>1.61209</v>
      </c>
      <c r="P350" s="21">
        <v>12.2178</v>
      </c>
      <c r="Q350" s="21">
        <v>-3.9511099999999999E-3</v>
      </c>
      <c r="R350" s="21">
        <v>340</v>
      </c>
      <c r="S350" s="21">
        <v>1.6116299999999999</v>
      </c>
      <c r="T350">
        <f t="shared" si="62"/>
        <v>4.8779135802469131</v>
      </c>
      <c r="U350">
        <f t="shared" si="63"/>
        <v>7.863635703580246</v>
      </c>
      <c r="X350" s="9"/>
      <c r="Y350" s="21">
        <v>2.79236E-2</v>
      </c>
      <c r="Z350" s="21">
        <v>17.654699999999998</v>
      </c>
      <c r="AA350" s="21">
        <v>-8.8226299999999997E-3</v>
      </c>
      <c r="AB350" s="21">
        <v>340</v>
      </c>
      <c r="AC350" s="21">
        <v>2.7789299999999999E-2</v>
      </c>
      <c r="AD350">
        <f t="shared" si="64"/>
        <v>10.892135802469134</v>
      </c>
      <c r="AE350">
        <f t="shared" si="65"/>
        <v>0.3041476432938271</v>
      </c>
      <c r="AF350" s="9"/>
      <c r="AG350" s="21">
        <v>1.61209</v>
      </c>
      <c r="AH350" s="21">
        <v>21.353000000000002</v>
      </c>
      <c r="AI350" s="21">
        <v>-3.9218100000000004E-3</v>
      </c>
      <c r="AJ350" s="21">
        <v>340</v>
      </c>
      <c r="AK350" s="21">
        <v>1.6107199999999999</v>
      </c>
      <c r="AL350">
        <f t="shared" si="66"/>
        <v>4.8417407407407413</v>
      </c>
      <c r="AM350">
        <f t="shared" si="67"/>
        <v>7.8053218307407422</v>
      </c>
      <c r="AP350" s="9"/>
      <c r="AQ350" s="21">
        <v>2.79236E-2</v>
      </c>
      <c r="AR350" s="21">
        <v>26.716899999999999</v>
      </c>
      <c r="AS350" s="21">
        <v>-8.8226299999999997E-3</v>
      </c>
      <c r="AT350" s="21">
        <v>340</v>
      </c>
      <c r="AU350" s="21">
        <v>2.7789299999999999E-2</v>
      </c>
      <c r="AV350">
        <f t="shared" si="68"/>
        <v>10.892135802469134</v>
      </c>
      <c r="AW350">
        <f t="shared" si="69"/>
        <v>0.3041476432938271</v>
      </c>
      <c r="AX350" s="9"/>
      <c r="AY350" s="21">
        <v>1.61209</v>
      </c>
      <c r="AZ350" s="21">
        <v>30.415199999999999</v>
      </c>
      <c r="BA350" s="21">
        <v>-3.87054E-3</v>
      </c>
      <c r="BB350" s="21">
        <v>340</v>
      </c>
      <c r="BC350" s="21">
        <v>1.6110199999999999</v>
      </c>
      <c r="BD350">
        <f t="shared" si="70"/>
        <v>4.7784444444444443</v>
      </c>
      <c r="BE350">
        <f t="shared" si="71"/>
        <v>7.7032825044444442</v>
      </c>
    </row>
    <row r="351" spans="6:57" x14ac:dyDescent="0.25">
      <c r="F351" s="9"/>
      <c r="G351" s="21">
        <v>2.2888200000000001E-2</v>
      </c>
      <c r="H351" s="21">
        <v>8.5295299999999994</v>
      </c>
      <c r="I351" s="21">
        <v>-8.8745100000000004E-3</v>
      </c>
      <c r="J351" s="21">
        <v>341</v>
      </c>
      <c r="K351" s="21">
        <v>2.2726400000000001E-2</v>
      </c>
      <c r="L351">
        <f t="shared" si="60"/>
        <v>10.956185185185186</v>
      </c>
      <c r="M351">
        <f t="shared" si="61"/>
        <v>0.25076735775555559</v>
      </c>
      <c r="N351" s="9"/>
      <c r="O351" s="21">
        <v>1.61713</v>
      </c>
      <c r="P351" s="21">
        <v>12.2279</v>
      </c>
      <c r="Q351" s="21">
        <v>-3.8751200000000001E-3</v>
      </c>
      <c r="R351" s="21">
        <v>341</v>
      </c>
      <c r="S351" s="21">
        <v>1.6168199999999999</v>
      </c>
      <c r="T351">
        <f t="shared" si="62"/>
        <v>4.7840987654320983</v>
      </c>
      <c r="U351">
        <f t="shared" si="63"/>
        <v>7.7365096365432091</v>
      </c>
      <c r="X351" s="9"/>
      <c r="Y351" s="21">
        <v>2.2888200000000001E-2</v>
      </c>
      <c r="Z351" s="21">
        <v>17.6647</v>
      </c>
      <c r="AA351" s="21">
        <v>-8.8195800000000005E-3</v>
      </c>
      <c r="AB351" s="21">
        <v>341</v>
      </c>
      <c r="AC351" s="21">
        <v>2.2732499999999999E-2</v>
      </c>
      <c r="AD351">
        <f t="shared" si="64"/>
        <v>10.888370370370369</v>
      </c>
      <c r="AE351">
        <f t="shared" si="65"/>
        <v>0.24921519871111109</v>
      </c>
      <c r="AF351" s="9"/>
      <c r="AG351" s="21">
        <v>1.61713</v>
      </c>
      <c r="AH351" s="21">
        <v>21.363099999999999</v>
      </c>
      <c r="AI351" s="21">
        <v>-3.84674E-3</v>
      </c>
      <c r="AJ351" s="21">
        <v>341</v>
      </c>
      <c r="AK351" s="21">
        <v>1.6168199999999999</v>
      </c>
      <c r="AL351">
        <f t="shared" si="66"/>
        <v>4.7490617283950609</v>
      </c>
      <c r="AM351">
        <f t="shared" si="67"/>
        <v>7.6798501928395044</v>
      </c>
      <c r="AP351" s="9"/>
      <c r="AQ351" s="21">
        <v>2.2888200000000001E-2</v>
      </c>
      <c r="AR351" s="21">
        <v>26.726900000000001</v>
      </c>
      <c r="AS351" s="21">
        <v>-8.8256800000000007E-3</v>
      </c>
      <c r="AT351" s="21">
        <v>341</v>
      </c>
      <c r="AU351" s="21">
        <v>2.2738600000000001E-2</v>
      </c>
      <c r="AV351">
        <f t="shared" si="68"/>
        <v>10.895901234567901</v>
      </c>
      <c r="AW351">
        <f t="shared" si="69"/>
        <v>0.24938756663703704</v>
      </c>
      <c r="AX351" s="9"/>
      <c r="AY351" s="21">
        <v>1.61713</v>
      </c>
      <c r="AZ351" s="21">
        <v>30.4253</v>
      </c>
      <c r="BA351" s="21">
        <v>-3.7997399999999998E-3</v>
      </c>
      <c r="BB351" s="21">
        <v>341</v>
      </c>
      <c r="BC351" s="21">
        <v>1.61591</v>
      </c>
      <c r="BD351">
        <f t="shared" si="70"/>
        <v>4.6910370370370362</v>
      </c>
      <c r="BE351">
        <f t="shared" si="71"/>
        <v>7.5860167237037022</v>
      </c>
    </row>
    <row r="352" spans="6:57" x14ac:dyDescent="0.25">
      <c r="F352" s="9"/>
      <c r="G352" s="21">
        <v>1.7852799999999999E-2</v>
      </c>
      <c r="H352" s="21">
        <v>8.5396000000000001</v>
      </c>
      <c r="I352" s="21">
        <v>-8.8745100000000004E-3</v>
      </c>
      <c r="J352" s="21">
        <v>342</v>
      </c>
      <c r="K352" s="21">
        <v>1.76819E-2</v>
      </c>
      <c r="L352">
        <f t="shared" si="60"/>
        <v>10.956185185185186</v>
      </c>
      <c r="M352">
        <f t="shared" si="61"/>
        <v>0.19559858287407408</v>
      </c>
      <c r="N352" s="9"/>
      <c r="O352" s="21">
        <v>1.62216</v>
      </c>
      <c r="P352" s="21">
        <v>12.2379</v>
      </c>
      <c r="Q352" s="21">
        <v>-3.79547E-3</v>
      </c>
      <c r="R352" s="21">
        <v>342</v>
      </c>
      <c r="S352" s="21">
        <v>1.6210899999999999</v>
      </c>
      <c r="T352">
        <f t="shared" si="62"/>
        <v>4.6857654320987656</v>
      </c>
      <c r="U352">
        <f t="shared" si="63"/>
        <v>7.6010612533333335</v>
      </c>
      <c r="X352" s="9"/>
      <c r="Y352" s="21">
        <v>1.7852799999999999E-2</v>
      </c>
      <c r="Z352" s="21">
        <v>17.674800000000001</v>
      </c>
      <c r="AA352" s="21">
        <v>-8.8226299999999997E-3</v>
      </c>
      <c r="AB352" s="21">
        <v>342</v>
      </c>
      <c r="AC352" s="21">
        <v>1.76727E-2</v>
      </c>
      <c r="AD352">
        <f t="shared" si="64"/>
        <v>10.892135802469134</v>
      </c>
      <c r="AE352">
        <f t="shared" si="65"/>
        <v>0.19445512205432094</v>
      </c>
      <c r="AF352" s="9"/>
      <c r="AG352" s="21">
        <v>1.62216</v>
      </c>
      <c r="AH352" s="21">
        <v>21.373200000000001</v>
      </c>
      <c r="AI352" s="21">
        <v>-3.7677000000000001E-3</v>
      </c>
      <c r="AJ352" s="21">
        <v>342</v>
      </c>
      <c r="AK352" s="21">
        <v>1.6214</v>
      </c>
      <c r="AL352">
        <f t="shared" si="66"/>
        <v>4.6514814814814809</v>
      </c>
      <c r="AM352">
        <f t="shared" si="67"/>
        <v>7.545447199999999</v>
      </c>
      <c r="AP352" s="9"/>
      <c r="AQ352" s="21">
        <v>1.7852799999999999E-2</v>
      </c>
      <c r="AR352" s="21">
        <v>26.736999999999998</v>
      </c>
      <c r="AS352" s="21">
        <v>-8.8287399999999999E-3</v>
      </c>
      <c r="AT352" s="21">
        <v>342</v>
      </c>
      <c r="AU352" s="21">
        <v>1.76819E-2</v>
      </c>
      <c r="AV352">
        <f t="shared" si="68"/>
        <v>10.899679012345679</v>
      </c>
      <c r="AW352">
        <f t="shared" si="69"/>
        <v>0.19458978947160493</v>
      </c>
      <c r="AX352" s="9"/>
      <c r="AY352" s="21">
        <v>1.62216</v>
      </c>
      <c r="AZ352" s="21">
        <v>30.435400000000001</v>
      </c>
      <c r="BA352" s="21">
        <v>-3.7231400000000002E-3</v>
      </c>
      <c r="BB352" s="21">
        <v>342</v>
      </c>
      <c r="BC352" s="21">
        <v>1.6214</v>
      </c>
      <c r="BD352">
        <f t="shared" si="70"/>
        <v>4.5964691358024687</v>
      </c>
      <c r="BE352">
        <f t="shared" si="71"/>
        <v>7.4562083733333333</v>
      </c>
    </row>
    <row r="353" spans="6:57" x14ac:dyDescent="0.25">
      <c r="F353" s="9"/>
      <c r="G353" s="21">
        <v>1.28174E-2</v>
      </c>
      <c r="H353" s="21">
        <v>8.5496700000000008</v>
      </c>
      <c r="I353" s="21">
        <v>-8.8836699999999998E-3</v>
      </c>
      <c r="J353" s="21">
        <v>343</v>
      </c>
      <c r="K353" s="21">
        <v>1.26984E-2</v>
      </c>
      <c r="L353">
        <f t="shared" si="60"/>
        <v>10.967493827160492</v>
      </c>
      <c r="M353">
        <f t="shared" si="61"/>
        <v>0.14057475538024689</v>
      </c>
      <c r="N353" s="9"/>
      <c r="O353" s="21">
        <v>1.6272</v>
      </c>
      <c r="P353" s="21">
        <v>12.247999999999999</v>
      </c>
      <c r="Q353" s="21">
        <v>-3.7085E-3</v>
      </c>
      <c r="R353" s="21">
        <v>343</v>
      </c>
      <c r="S353" s="21">
        <v>1.6268899999999999</v>
      </c>
      <c r="T353">
        <f t="shared" si="62"/>
        <v>4.5783950617283944</v>
      </c>
      <c r="U353">
        <f t="shared" si="63"/>
        <v>7.4499644444444435</v>
      </c>
      <c r="X353" s="9"/>
      <c r="Y353" s="21">
        <v>1.28174E-2</v>
      </c>
      <c r="Z353" s="21">
        <v>17.684899999999999</v>
      </c>
      <c r="AA353" s="21">
        <v>-8.8256800000000007E-3</v>
      </c>
      <c r="AB353" s="21">
        <v>343</v>
      </c>
      <c r="AC353" s="21">
        <v>1.26801E-2</v>
      </c>
      <c r="AD353">
        <f t="shared" si="64"/>
        <v>10.895901234567901</v>
      </c>
      <c r="AE353">
        <f t="shared" si="65"/>
        <v>0.13965712448395062</v>
      </c>
      <c r="AF353" s="9"/>
      <c r="AG353" s="21">
        <v>1.6272</v>
      </c>
      <c r="AH353" s="21">
        <v>21.383199999999999</v>
      </c>
      <c r="AI353" s="21">
        <v>-3.6843900000000001E-3</v>
      </c>
      <c r="AJ353" s="21">
        <v>343</v>
      </c>
      <c r="AK353" s="21">
        <v>1.6262799999999999</v>
      </c>
      <c r="AL353">
        <f t="shared" si="66"/>
        <v>4.5486296296296294</v>
      </c>
      <c r="AM353">
        <f t="shared" si="67"/>
        <v>7.401530133333333</v>
      </c>
      <c r="AP353" s="9"/>
      <c r="AQ353" s="21">
        <v>1.28174E-2</v>
      </c>
      <c r="AR353" s="21">
        <v>26.7471</v>
      </c>
      <c r="AS353" s="21">
        <v>-8.8287399999999999E-3</v>
      </c>
      <c r="AT353" s="21">
        <v>343</v>
      </c>
      <c r="AU353" s="21">
        <v>1.26801E-2</v>
      </c>
      <c r="AV353">
        <f t="shared" si="68"/>
        <v>10.899679012345679</v>
      </c>
      <c r="AW353">
        <f t="shared" si="69"/>
        <v>0.1397055457728395</v>
      </c>
      <c r="AX353" s="9"/>
      <c r="AY353" s="21">
        <v>1.6272</v>
      </c>
      <c r="AZ353" s="21">
        <v>30.445399999999999</v>
      </c>
      <c r="BA353" s="21">
        <v>-3.6425799999999999E-3</v>
      </c>
      <c r="BB353" s="21">
        <v>343</v>
      </c>
      <c r="BC353" s="21">
        <v>1.6262799999999999</v>
      </c>
      <c r="BD353">
        <f t="shared" si="70"/>
        <v>4.4970123456790123</v>
      </c>
      <c r="BE353">
        <f t="shared" si="71"/>
        <v>7.3175384888888884</v>
      </c>
    </row>
    <row r="354" spans="6:57" x14ac:dyDescent="0.25">
      <c r="F354" s="9"/>
      <c r="G354" s="21">
        <v>7.78198E-3</v>
      </c>
      <c r="H354" s="21">
        <v>8.5597499999999993</v>
      </c>
      <c r="I354" s="21">
        <v>-8.8867200000000007E-3</v>
      </c>
      <c r="J354" s="21">
        <v>344</v>
      </c>
      <c r="K354" s="21">
        <v>7.58057E-3</v>
      </c>
      <c r="L354">
        <f t="shared" si="60"/>
        <v>10.971259259259259</v>
      </c>
      <c r="M354">
        <f t="shared" si="61"/>
        <v>8.5378120130370369E-2</v>
      </c>
      <c r="N354" s="9"/>
      <c r="O354" s="21">
        <v>1.6322300000000001</v>
      </c>
      <c r="P354" s="21">
        <v>12.258100000000001</v>
      </c>
      <c r="Q354" s="21">
        <v>-3.6172499999999998E-3</v>
      </c>
      <c r="R354" s="21">
        <v>344</v>
      </c>
      <c r="S354" s="21">
        <v>1.6317699999999999</v>
      </c>
      <c r="T354">
        <f t="shared" si="62"/>
        <v>4.465740740740741</v>
      </c>
      <c r="U354">
        <f t="shared" si="63"/>
        <v>7.28911600925926</v>
      </c>
      <c r="X354" s="9"/>
      <c r="Y354" s="21">
        <v>7.78198E-3</v>
      </c>
      <c r="Z354" s="21">
        <v>17.695</v>
      </c>
      <c r="AA354" s="21">
        <v>-8.8348400000000001E-3</v>
      </c>
      <c r="AB354" s="21">
        <v>344</v>
      </c>
      <c r="AC354" s="21">
        <v>7.5592000000000003E-3</v>
      </c>
      <c r="AD354">
        <f t="shared" si="64"/>
        <v>10.90720987654321</v>
      </c>
      <c r="AE354">
        <f t="shared" si="65"/>
        <v>8.4879689115061718E-2</v>
      </c>
      <c r="AF354" s="9"/>
      <c r="AG354" s="21">
        <v>1.6322300000000001</v>
      </c>
      <c r="AH354" s="21">
        <v>21.3933</v>
      </c>
      <c r="AI354" s="21">
        <v>-3.5992400000000001E-3</v>
      </c>
      <c r="AJ354" s="21">
        <v>344</v>
      </c>
      <c r="AK354" s="21">
        <v>1.63086</v>
      </c>
      <c r="AL354">
        <f t="shared" si="66"/>
        <v>4.4435061728395056</v>
      </c>
      <c r="AM354">
        <f t="shared" si="67"/>
        <v>7.2528240804938262</v>
      </c>
      <c r="AP354" s="9"/>
      <c r="AQ354" s="21">
        <v>7.78198E-3</v>
      </c>
      <c r="AR354" s="21">
        <v>26.757100000000001</v>
      </c>
      <c r="AS354" s="21">
        <v>-8.8348400000000001E-3</v>
      </c>
      <c r="AT354" s="21">
        <v>344</v>
      </c>
      <c r="AU354" s="21">
        <v>7.5683599999999997E-3</v>
      </c>
      <c r="AV354">
        <f t="shared" si="68"/>
        <v>10.90720987654321</v>
      </c>
      <c r="AW354">
        <f t="shared" si="69"/>
        <v>8.4879689115061718E-2</v>
      </c>
      <c r="AX354" s="9"/>
      <c r="AY354" s="21">
        <v>1.6322300000000001</v>
      </c>
      <c r="AZ354" s="21">
        <v>30.455500000000001</v>
      </c>
      <c r="BA354" s="21">
        <v>-3.5537699999999999E-3</v>
      </c>
      <c r="BB354" s="21">
        <v>344</v>
      </c>
      <c r="BC354" s="21">
        <v>1.6311599999999999</v>
      </c>
      <c r="BD354">
        <f t="shared" si="70"/>
        <v>4.3873703703703697</v>
      </c>
      <c r="BE354">
        <f t="shared" si="71"/>
        <v>7.1611975396296286</v>
      </c>
    </row>
    <row r="355" spans="6:57" x14ac:dyDescent="0.25">
      <c r="F355" s="9"/>
      <c r="G355" s="21">
        <v>2.7465800000000002E-3</v>
      </c>
      <c r="H355" s="21">
        <v>8.56982</v>
      </c>
      <c r="I355" s="21">
        <v>-8.8989299999999993E-3</v>
      </c>
      <c r="J355" s="21">
        <v>345</v>
      </c>
      <c r="K355" s="21">
        <v>2.6153600000000002E-3</v>
      </c>
      <c r="L355">
        <f t="shared" si="60"/>
        <v>10.986333333333333</v>
      </c>
      <c r="M355">
        <f t="shared" si="61"/>
        <v>3.0174843406666665E-2</v>
      </c>
      <c r="N355" s="9"/>
      <c r="O355" s="21">
        <v>1.63727</v>
      </c>
      <c r="P355" s="21">
        <v>12.2682</v>
      </c>
      <c r="Q355" s="21">
        <v>-3.5232499999999999E-3</v>
      </c>
      <c r="R355" s="21">
        <v>345</v>
      </c>
      <c r="S355" s="21">
        <v>1.63696</v>
      </c>
      <c r="T355">
        <f t="shared" si="62"/>
        <v>4.3496913580246908</v>
      </c>
      <c r="U355">
        <f t="shared" si="63"/>
        <v>7.1216191697530853</v>
      </c>
      <c r="X355" s="9"/>
      <c r="Y355" s="21">
        <v>2.7465800000000002E-3</v>
      </c>
      <c r="Z355" s="21">
        <v>17.704999999999998</v>
      </c>
      <c r="AA355" s="21">
        <v>-8.8378899999999993E-3</v>
      </c>
      <c r="AB355" s="21">
        <v>345</v>
      </c>
      <c r="AC355" s="21">
        <v>2.5390600000000001E-3</v>
      </c>
      <c r="AD355">
        <f t="shared" si="64"/>
        <v>10.910975308641973</v>
      </c>
      <c r="AE355">
        <f t="shared" si="65"/>
        <v>2.9967866563209874E-2</v>
      </c>
      <c r="AF355" s="9"/>
      <c r="AG355" s="21">
        <v>1.63727</v>
      </c>
      <c r="AH355" s="21">
        <v>21.403400000000001</v>
      </c>
      <c r="AI355" s="21">
        <v>-3.5046399999999998E-3</v>
      </c>
      <c r="AJ355" s="21">
        <v>345</v>
      </c>
      <c r="AK355" s="21">
        <v>1.63635</v>
      </c>
      <c r="AL355">
        <f t="shared" si="66"/>
        <v>4.326716049382715</v>
      </c>
      <c r="AM355">
        <f t="shared" si="67"/>
        <v>7.0840023861728376</v>
      </c>
      <c r="AP355" s="9"/>
      <c r="AQ355" s="21">
        <v>2.7465800000000002E-3</v>
      </c>
      <c r="AR355" s="21">
        <v>26.767199999999999</v>
      </c>
      <c r="AS355" s="21">
        <v>-8.8409400000000003E-3</v>
      </c>
      <c r="AT355" s="21">
        <v>345</v>
      </c>
      <c r="AU355" s="21">
        <v>2.5451699999999998E-3</v>
      </c>
      <c r="AV355">
        <f t="shared" si="68"/>
        <v>10.91474074074074</v>
      </c>
      <c r="AW355">
        <f t="shared" si="69"/>
        <v>2.9978208623703703E-2</v>
      </c>
      <c r="AX355" s="9"/>
      <c r="AY355" s="21">
        <v>1.63727</v>
      </c>
      <c r="AZ355" s="21">
        <v>30.465599999999998</v>
      </c>
      <c r="BA355" s="21">
        <v>-3.46313E-3</v>
      </c>
      <c r="BB355" s="21">
        <v>345</v>
      </c>
      <c r="BC355" s="21">
        <v>1.63666</v>
      </c>
      <c r="BD355">
        <f t="shared" si="70"/>
        <v>4.275469135802469</v>
      </c>
      <c r="BE355">
        <f t="shared" si="71"/>
        <v>7.0000973519753087</v>
      </c>
    </row>
    <row r="356" spans="6:57" x14ac:dyDescent="0.25">
      <c r="F356" s="9"/>
      <c r="G356" s="21">
        <v>-2.28882E-3</v>
      </c>
      <c r="H356" s="21">
        <v>8.5798900000000007</v>
      </c>
      <c r="I356" s="21">
        <v>-8.8989299999999993E-3</v>
      </c>
      <c r="J356" s="21">
        <v>346</v>
      </c>
      <c r="K356" s="21">
        <v>-2.5268600000000001E-3</v>
      </c>
      <c r="L356">
        <f t="shared" si="60"/>
        <v>10.986333333333333</v>
      </c>
      <c r="M356">
        <f t="shared" si="61"/>
        <v>-2.5145739459999997E-2</v>
      </c>
      <c r="N356" s="9"/>
      <c r="O356" s="21">
        <v>1.6423000000000001</v>
      </c>
      <c r="P356" s="21">
        <v>12.2782</v>
      </c>
      <c r="Q356" s="21">
        <v>-3.4249900000000002E-3</v>
      </c>
      <c r="R356" s="21">
        <v>346</v>
      </c>
      <c r="S356" s="21">
        <v>1.64154</v>
      </c>
      <c r="T356">
        <f t="shared" si="62"/>
        <v>4.2283827160493823</v>
      </c>
      <c r="U356">
        <f t="shared" si="63"/>
        <v>6.9442729345679011</v>
      </c>
      <c r="X356" s="9"/>
      <c r="Y356" s="21">
        <v>-2.28882E-3</v>
      </c>
      <c r="Z356" s="21">
        <v>17.7151</v>
      </c>
      <c r="AA356" s="21">
        <v>-8.8500999999999996E-3</v>
      </c>
      <c r="AB356" s="21">
        <v>346</v>
      </c>
      <c r="AC356" s="21">
        <v>-2.5238000000000001E-3</v>
      </c>
      <c r="AD356">
        <f t="shared" si="64"/>
        <v>10.926049382716048</v>
      </c>
      <c r="AE356">
        <f t="shared" si="65"/>
        <v>-2.5007760348148146E-2</v>
      </c>
      <c r="AF356" s="9"/>
      <c r="AG356" s="21">
        <v>1.6423000000000001</v>
      </c>
      <c r="AH356" s="21">
        <v>21.413399999999999</v>
      </c>
      <c r="AI356" s="21">
        <v>-3.4045400000000002E-3</v>
      </c>
      <c r="AJ356" s="21">
        <v>346</v>
      </c>
      <c r="AK356" s="21">
        <v>1.64154</v>
      </c>
      <c r="AL356">
        <f t="shared" si="66"/>
        <v>4.2031358024691352</v>
      </c>
      <c r="AM356">
        <f t="shared" si="67"/>
        <v>6.9028099283950608</v>
      </c>
      <c r="AP356" s="9"/>
      <c r="AQ356" s="21">
        <v>-2.28882E-3</v>
      </c>
      <c r="AR356" s="21">
        <v>26.7773</v>
      </c>
      <c r="AS356" s="21">
        <v>-8.8500999999999996E-3</v>
      </c>
      <c r="AT356" s="21">
        <v>346</v>
      </c>
      <c r="AU356" s="21">
        <v>-2.5238000000000001E-3</v>
      </c>
      <c r="AV356">
        <f t="shared" si="68"/>
        <v>10.926049382716048</v>
      </c>
      <c r="AW356">
        <f t="shared" si="69"/>
        <v>-2.5007760348148146E-2</v>
      </c>
      <c r="AX356" s="9"/>
      <c r="AY356" s="21">
        <v>1.6423000000000001</v>
      </c>
      <c r="AZ356" s="21">
        <v>30.4757</v>
      </c>
      <c r="BA356" s="21">
        <v>-3.3700599999999998E-3</v>
      </c>
      <c r="BB356" s="21">
        <v>346</v>
      </c>
      <c r="BC356" s="21">
        <v>1.64154</v>
      </c>
      <c r="BD356">
        <f t="shared" si="70"/>
        <v>4.1605679012345673</v>
      </c>
      <c r="BE356">
        <f t="shared" si="71"/>
        <v>6.8329006641975303</v>
      </c>
    </row>
    <row r="357" spans="6:57" x14ac:dyDescent="0.25">
      <c r="F357" s="9"/>
      <c r="G357" s="21">
        <v>-7.3242200000000002E-3</v>
      </c>
      <c r="H357" s="21">
        <v>8.5899599999999996</v>
      </c>
      <c r="I357" s="21">
        <v>-8.8989299999999993E-3</v>
      </c>
      <c r="J357" s="21">
        <v>347</v>
      </c>
      <c r="K357" s="21">
        <v>-7.5653099999999996E-3</v>
      </c>
      <c r="L357">
        <f t="shared" si="60"/>
        <v>10.986333333333333</v>
      </c>
      <c r="M357">
        <f t="shared" si="61"/>
        <v>-8.0466322326666659E-2</v>
      </c>
      <c r="N357" s="9"/>
      <c r="O357" s="21">
        <v>1.64734</v>
      </c>
      <c r="P357" s="21">
        <v>12.2883</v>
      </c>
      <c r="Q357" s="21">
        <v>-3.3248900000000001E-3</v>
      </c>
      <c r="R357" s="21">
        <v>347</v>
      </c>
      <c r="S357" s="21">
        <v>1.64673</v>
      </c>
      <c r="T357">
        <f t="shared" si="62"/>
        <v>4.1048024691358025</v>
      </c>
      <c r="U357">
        <f t="shared" si="63"/>
        <v>6.762005299506173</v>
      </c>
      <c r="X357" s="9"/>
      <c r="Y357" s="21">
        <v>-7.3242200000000002E-3</v>
      </c>
      <c r="Z357" s="21">
        <v>17.725200000000001</v>
      </c>
      <c r="AA357" s="21">
        <v>-8.8561999999999998E-3</v>
      </c>
      <c r="AB357" s="21">
        <v>347</v>
      </c>
      <c r="AC357" s="21">
        <v>-7.5897200000000003E-3</v>
      </c>
      <c r="AD357">
        <f t="shared" si="64"/>
        <v>10.93358024691358</v>
      </c>
      <c r="AE357">
        <f t="shared" si="65"/>
        <v>-8.0079947116049391E-2</v>
      </c>
      <c r="AF357" s="9"/>
      <c r="AG357" s="21">
        <v>1.64734</v>
      </c>
      <c r="AH357" s="21">
        <v>21.423500000000001</v>
      </c>
      <c r="AI357" s="21">
        <v>-3.3050499999999999E-3</v>
      </c>
      <c r="AJ357" s="21">
        <v>347</v>
      </c>
      <c r="AK357" s="21">
        <v>1.64642</v>
      </c>
      <c r="AL357">
        <f t="shared" si="66"/>
        <v>4.0803086419753081</v>
      </c>
      <c r="AM357">
        <f t="shared" si="67"/>
        <v>6.7216556382716037</v>
      </c>
      <c r="AP357" s="9"/>
      <c r="AQ357" s="21">
        <v>-7.3242200000000002E-3</v>
      </c>
      <c r="AR357" s="21">
        <v>26.787400000000002</v>
      </c>
      <c r="AS357" s="21">
        <v>-8.8561999999999998E-3</v>
      </c>
      <c r="AT357" s="21">
        <v>347</v>
      </c>
      <c r="AU357" s="21">
        <v>-7.5897200000000003E-3</v>
      </c>
      <c r="AV357">
        <f t="shared" si="68"/>
        <v>10.93358024691358</v>
      </c>
      <c r="AW357">
        <f t="shared" si="69"/>
        <v>-8.0079947116049391E-2</v>
      </c>
      <c r="AX357" s="9"/>
      <c r="AY357" s="21">
        <v>1.64734</v>
      </c>
      <c r="AZ357" s="21">
        <v>30.485700000000001</v>
      </c>
      <c r="BA357" s="21">
        <v>-3.2730099999999998E-3</v>
      </c>
      <c r="BB357" s="21">
        <v>347</v>
      </c>
      <c r="BC357" s="21">
        <v>1.64673</v>
      </c>
      <c r="BD357">
        <f t="shared" si="70"/>
        <v>4.0407530864197527</v>
      </c>
      <c r="BE357">
        <f t="shared" si="71"/>
        <v>6.6564941893827152</v>
      </c>
    </row>
    <row r="358" spans="6:57" x14ac:dyDescent="0.25">
      <c r="F358" s="9"/>
      <c r="G358" s="21">
        <v>-1.23596E-2</v>
      </c>
      <c r="H358" s="21">
        <v>8.6000300000000003</v>
      </c>
      <c r="I358" s="21">
        <v>-8.9019800000000003E-3</v>
      </c>
      <c r="J358" s="21">
        <v>348</v>
      </c>
      <c r="K358" s="21">
        <v>-1.26312E-2</v>
      </c>
      <c r="L358">
        <f t="shared" si="60"/>
        <v>10.990098765432098</v>
      </c>
      <c r="M358">
        <f t="shared" si="61"/>
        <v>-0.13583322470123455</v>
      </c>
      <c r="N358" s="9"/>
      <c r="O358" s="21">
        <v>1.6523699999999999</v>
      </c>
      <c r="P358" s="21">
        <v>12.298400000000001</v>
      </c>
      <c r="Q358" s="21">
        <v>-3.2235699999999998E-3</v>
      </c>
      <c r="R358" s="21">
        <v>348</v>
      </c>
      <c r="S358" s="21">
        <v>1.65222</v>
      </c>
      <c r="T358">
        <f t="shared" si="62"/>
        <v>3.9797160493827151</v>
      </c>
      <c r="U358">
        <f t="shared" si="63"/>
        <v>6.5759634085185166</v>
      </c>
      <c r="X358" s="9"/>
      <c r="Y358" s="21">
        <v>-1.23596E-2</v>
      </c>
      <c r="Z358" s="21">
        <v>17.735199999999999</v>
      </c>
      <c r="AA358" s="21">
        <v>-8.8561999999999998E-3</v>
      </c>
      <c r="AB358" s="21">
        <v>348</v>
      </c>
      <c r="AC358" s="21">
        <v>-1.2594599999999999E-2</v>
      </c>
      <c r="AD358">
        <f t="shared" si="64"/>
        <v>10.93358024691358</v>
      </c>
      <c r="AE358">
        <f t="shared" si="65"/>
        <v>-0.1351346784197531</v>
      </c>
      <c r="AF358" s="9"/>
      <c r="AG358" s="21">
        <v>1.6523699999999999</v>
      </c>
      <c r="AH358" s="21">
        <v>21.433599999999998</v>
      </c>
      <c r="AI358" s="21">
        <v>-3.1997699999999998E-3</v>
      </c>
      <c r="AJ358" s="21">
        <v>348</v>
      </c>
      <c r="AK358" s="21">
        <v>1.6519200000000001</v>
      </c>
      <c r="AL358">
        <f t="shared" si="66"/>
        <v>3.9503333333333326</v>
      </c>
      <c r="AM358">
        <f t="shared" si="67"/>
        <v>6.5274122899999982</v>
      </c>
      <c r="AP358" s="9"/>
      <c r="AQ358" s="21">
        <v>-1.23596E-2</v>
      </c>
      <c r="AR358" s="21">
        <v>26.7974</v>
      </c>
      <c r="AS358" s="21">
        <v>-8.8561999999999998E-3</v>
      </c>
      <c r="AT358" s="21">
        <v>348</v>
      </c>
      <c r="AU358" s="21">
        <v>-1.2649499999999999E-2</v>
      </c>
      <c r="AV358">
        <f t="shared" si="68"/>
        <v>10.93358024691358</v>
      </c>
      <c r="AW358">
        <f t="shared" si="69"/>
        <v>-0.1351346784197531</v>
      </c>
      <c r="AX358" s="9"/>
      <c r="AY358" s="21">
        <v>1.6523699999999999</v>
      </c>
      <c r="AZ358" s="21">
        <v>30.495799999999999</v>
      </c>
      <c r="BA358" s="21">
        <v>-3.1668099999999999E-3</v>
      </c>
      <c r="BB358" s="21">
        <v>348</v>
      </c>
      <c r="BC358" s="21">
        <v>1.6513100000000001</v>
      </c>
      <c r="BD358">
        <f t="shared" si="70"/>
        <v>3.9096419753086411</v>
      </c>
      <c r="BE358">
        <f t="shared" si="71"/>
        <v>6.4601751107407388</v>
      </c>
    </row>
    <row r="359" spans="6:57" x14ac:dyDescent="0.25">
      <c r="F359" s="9"/>
      <c r="G359" s="21">
        <v>-1.7395000000000001E-2</v>
      </c>
      <c r="H359" s="21">
        <v>8.6100999999999992</v>
      </c>
      <c r="I359" s="21">
        <v>-8.9080800000000005E-3</v>
      </c>
      <c r="J359" s="21">
        <v>349</v>
      </c>
      <c r="K359" s="21">
        <v>-1.76727E-2</v>
      </c>
      <c r="L359">
        <f t="shared" si="60"/>
        <v>10.99762962962963</v>
      </c>
      <c r="M359">
        <f t="shared" si="61"/>
        <v>-0.19130376740740743</v>
      </c>
      <c r="N359" s="9"/>
      <c r="O359" s="21">
        <v>1.65741</v>
      </c>
      <c r="P359" s="21">
        <v>12.308400000000001</v>
      </c>
      <c r="Q359" s="21">
        <v>-3.1164600000000002E-3</v>
      </c>
      <c r="R359" s="21">
        <v>349</v>
      </c>
      <c r="S359" s="21">
        <v>1.65649</v>
      </c>
      <c r="T359">
        <f t="shared" si="62"/>
        <v>3.8474814814814811</v>
      </c>
      <c r="U359">
        <f t="shared" si="63"/>
        <v>6.3768542822222214</v>
      </c>
      <c r="X359" s="9"/>
      <c r="Y359" s="21">
        <v>-1.7395000000000001E-2</v>
      </c>
      <c r="Z359" s="21">
        <v>17.7453</v>
      </c>
      <c r="AA359" s="21">
        <v>-8.8623E-3</v>
      </c>
      <c r="AB359" s="21">
        <v>349</v>
      </c>
      <c r="AC359" s="21">
        <v>-1.76422E-2</v>
      </c>
      <c r="AD359">
        <f t="shared" si="64"/>
        <v>10.941111111111109</v>
      </c>
      <c r="AE359">
        <f t="shared" si="65"/>
        <v>-0.19032062777777775</v>
      </c>
      <c r="AF359" s="9"/>
      <c r="AG359" s="21">
        <v>1.65741</v>
      </c>
      <c r="AH359" s="21">
        <v>21.4437</v>
      </c>
      <c r="AI359" s="21">
        <v>-3.0911300000000001E-3</v>
      </c>
      <c r="AJ359" s="21">
        <v>349</v>
      </c>
      <c r="AK359" s="21">
        <v>1.6568000000000001</v>
      </c>
      <c r="AL359">
        <f t="shared" si="66"/>
        <v>3.8162098765432098</v>
      </c>
      <c r="AM359">
        <f t="shared" si="67"/>
        <v>6.3250244114814818</v>
      </c>
      <c r="AP359" s="9"/>
      <c r="AQ359" s="21">
        <v>-1.7395000000000001E-2</v>
      </c>
      <c r="AR359" s="21">
        <v>26.807500000000001</v>
      </c>
      <c r="AS359" s="21">
        <v>-8.8623E-3</v>
      </c>
      <c r="AT359" s="21">
        <v>349</v>
      </c>
      <c r="AU359" s="21">
        <v>-1.7648299999999999E-2</v>
      </c>
      <c r="AV359">
        <f t="shared" si="68"/>
        <v>10.941111111111109</v>
      </c>
      <c r="AW359">
        <f t="shared" si="69"/>
        <v>-0.19032062777777775</v>
      </c>
      <c r="AX359" s="9"/>
      <c r="AY359" s="21">
        <v>1.65741</v>
      </c>
      <c r="AZ359" s="21">
        <v>30.5059</v>
      </c>
      <c r="BA359" s="21">
        <v>-3.0581699999999998E-3</v>
      </c>
      <c r="BB359" s="21">
        <v>349</v>
      </c>
      <c r="BC359" s="21">
        <v>1.6561900000000001</v>
      </c>
      <c r="BD359">
        <f t="shared" si="70"/>
        <v>3.7755185185185178</v>
      </c>
      <c r="BE359">
        <f t="shared" si="71"/>
        <v>6.2575821477777769</v>
      </c>
    </row>
    <row r="360" spans="6:57" x14ac:dyDescent="0.25">
      <c r="F360" s="9"/>
      <c r="G360" s="21">
        <v>-2.24304E-2</v>
      </c>
      <c r="H360" s="21">
        <v>8.6201699999999999</v>
      </c>
      <c r="I360" s="21">
        <v>-8.9141800000000007E-3</v>
      </c>
      <c r="J360" s="21">
        <v>350</v>
      </c>
      <c r="K360" s="21">
        <v>-2.2705099999999999E-2</v>
      </c>
      <c r="L360">
        <f t="shared" si="60"/>
        <v>11.005160493827161</v>
      </c>
      <c r="M360">
        <f t="shared" si="61"/>
        <v>-0.24685015194074073</v>
      </c>
      <c r="N360" s="9"/>
      <c r="O360" s="21">
        <v>1.66245</v>
      </c>
      <c r="P360" s="21">
        <v>12.3185</v>
      </c>
      <c r="Q360" s="21">
        <v>-2.9989600000000002E-3</v>
      </c>
      <c r="R360" s="21">
        <v>350</v>
      </c>
      <c r="S360" s="21">
        <v>1.6613800000000001</v>
      </c>
      <c r="T360">
        <f t="shared" si="62"/>
        <v>3.7024197530864198</v>
      </c>
      <c r="U360">
        <f t="shared" si="63"/>
        <v>6.1550877185185184</v>
      </c>
      <c r="X360" s="9"/>
      <c r="Y360" s="21">
        <v>-2.24304E-2</v>
      </c>
      <c r="Z360" s="21">
        <v>17.755400000000002</v>
      </c>
      <c r="AA360" s="21">
        <v>-8.8684100000000002E-3</v>
      </c>
      <c r="AB360" s="21">
        <v>350</v>
      </c>
      <c r="AC360" s="21">
        <v>-2.2747799999999999E-2</v>
      </c>
      <c r="AD360">
        <f t="shared" si="64"/>
        <v>10.948654320987654</v>
      </c>
      <c r="AE360">
        <f t="shared" si="65"/>
        <v>-0.24558269588148146</v>
      </c>
      <c r="AF360" s="9"/>
      <c r="AG360" s="21">
        <v>1.66245</v>
      </c>
      <c r="AH360" s="21">
        <v>21.453700000000001</v>
      </c>
      <c r="AI360" s="21">
        <v>-2.97424E-3</v>
      </c>
      <c r="AJ360" s="21">
        <v>350</v>
      </c>
      <c r="AK360" s="21">
        <v>1.6613800000000001</v>
      </c>
      <c r="AL360">
        <f t="shared" si="66"/>
        <v>3.6719012345679012</v>
      </c>
      <c r="AM360">
        <f t="shared" si="67"/>
        <v>6.1043522074074072</v>
      </c>
      <c r="AP360" s="9"/>
      <c r="AQ360" s="21">
        <v>-2.24304E-2</v>
      </c>
      <c r="AR360" s="21">
        <v>26.817599999999999</v>
      </c>
      <c r="AS360" s="21">
        <v>-8.8653599999999992E-3</v>
      </c>
      <c r="AT360" s="21">
        <v>350</v>
      </c>
      <c r="AU360" s="21">
        <v>-2.2708099999999998E-2</v>
      </c>
      <c r="AV360">
        <f t="shared" si="68"/>
        <v>10.944888888888888</v>
      </c>
      <c r="AW360">
        <f t="shared" si="69"/>
        <v>-0.24549823573333332</v>
      </c>
      <c r="AX360" s="9"/>
      <c r="AY360" s="21">
        <v>1.66245</v>
      </c>
      <c r="AZ360" s="21">
        <v>30.515899999999998</v>
      </c>
      <c r="BA360" s="21">
        <v>-2.9394500000000001E-3</v>
      </c>
      <c r="BB360" s="21">
        <v>350</v>
      </c>
      <c r="BC360" s="21">
        <v>1.66168</v>
      </c>
      <c r="BD360">
        <f t="shared" si="70"/>
        <v>3.6289506172839507</v>
      </c>
      <c r="BE360">
        <f t="shared" si="71"/>
        <v>6.0329489537037038</v>
      </c>
    </row>
    <row r="361" spans="6:57" x14ac:dyDescent="0.25">
      <c r="F361" s="9"/>
      <c r="G361" s="21">
        <v>-2.7465799999999999E-2</v>
      </c>
      <c r="H361" s="21">
        <v>8.6302400000000006</v>
      </c>
      <c r="I361" s="21">
        <v>-8.9233400000000001E-3</v>
      </c>
      <c r="J361" s="21">
        <v>351</v>
      </c>
      <c r="K361" s="21">
        <v>-2.7780200000000001E-2</v>
      </c>
      <c r="L361">
        <f t="shared" si="60"/>
        <v>11.016469135802469</v>
      </c>
      <c r="M361">
        <f t="shared" si="61"/>
        <v>-0.30257613799012345</v>
      </c>
      <c r="N361" s="9"/>
      <c r="O361" s="21">
        <v>1.6674800000000001</v>
      </c>
      <c r="P361" s="21">
        <v>12.3286</v>
      </c>
      <c r="Q361" s="21">
        <v>-2.8729200000000002E-3</v>
      </c>
      <c r="R361" s="21">
        <v>351</v>
      </c>
      <c r="S361" s="21">
        <v>1.66656</v>
      </c>
      <c r="T361">
        <f t="shared" si="62"/>
        <v>3.5468148148148146</v>
      </c>
      <c r="U361">
        <f t="shared" si="63"/>
        <v>5.9142427674074076</v>
      </c>
      <c r="X361" s="9"/>
      <c r="Y361" s="21">
        <v>-2.7465799999999999E-2</v>
      </c>
      <c r="Z361" s="21">
        <v>17.765499999999999</v>
      </c>
      <c r="AA361" s="21">
        <v>-8.8745100000000004E-3</v>
      </c>
      <c r="AB361" s="21">
        <v>351</v>
      </c>
      <c r="AC361" s="21">
        <v>-2.7713000000000002E-2</v>
      </c>
      <c r="AD361">
        <f t="shared" si="64"/>
        <v>10.956185185185186</v>
      </c>
      <c r="AE361">
        <f t="shared" si="65"/>
        <v>-0.30092039105925927</v>
      </c>
      <c r="AF361" s="9"/>
      <c r="AG361" s="21">
        <v>1.6674800000000001</v>
      </c>
      <c r="AH361" s="21">
        <v>21.463799999999999</v>
      </c>
      <c r="AI361" s="21">
        <v>-2.8491200000000001E-3</v>
      </c>
      <c r="AJ361" s="21">
        <v>351</v>
      </c>
      <c r="AK361" s="21">
        <v>1.66656</v>
      </c>
      <c r="AL361">
        <f t="shared" si="66"/>
        <v>3.5174320987654322</v>
      </c>
      <c r="AM361">
        <f t="shared" si="67"/>
        <v>5.8652476760493828</v>
      </c>
      <c r="AP361" s="9"/>
      <c r="AQ361" s="21">
        <v>-2.7465799999999999E-2</v>
      </c>
      <c r="AR361" s="21">
        <v>26.8276</v>
      </c>
      <c r="AS361" s="21">
        <v>-8.8714599999999994E-3</v>
      </c>
      <c r="AT361" s="21">
        <v>351</v>
      </c>
      <c r="AU361" s="21">
        <v>-2.77985E-2</v>
      </c>
      <c r="AV361">
        <f t="shared" si="68"/>
        <v>10.952419753086417</v>
      </c>
      <c r="AW361">
        <f t="shared" si="69"/>
        <v>-0.30081697045432088</v>
      </c>
      <c r="AX361" s="9"/>
      <c r="AY361" s="21">
        <v>1.6674800000000001</v>
      </c>
      <c r="AZ361" s="21">
        <v>30.526</v>
      </c>
      <c r="BA361" s="21">
        <v>-2.8192099999999999E-3</v>
      </c>
      <c r="BB361" s="21">
        <v>351</v>
      </c>
      <c r="BC361" s="21">
        <v>1.66656</v>
      </c>
      <c r="BD361">
        <f t="shared" si="70"/>
        <v>3.4805061728395055</v>
      </c>
      <c r="BE361">
        <f t="shared" si="71"/>
        <v>5.8036744330864192</v>
      </c>
    </row>
    <row r="362" spans="6:57" x14ac:dyDescent="0.25">
      <c r="F362" s="9"/>
      <c r="G362" s="21">
        <v>-3.2501200000000001E-2</v>
      </c>
      <c r="H362" s="21">
        <v>8.6403099999999995</v>
      </c>
      <c r="I362" s="21">
        <v>-8.9355500000000004E-3</v>
      </c>
      <c r="J362" s="21">
        <v>352</v>
      </c>
      <c r="K362" s="21">
        <v>-3.2870499999999997E-2</v>
      </c>
      <c r="L362">
        <f t="shared" si="60"/>
        <v>11.031543209876542</v>
      </c>
      <c r="M362">
        <f t="shared" si="61"/>
        <v>-0.3585383921728395</v>
      </c>
      <c r="N362" s="9"/>
      <c r="O362" s="21">
        <v>1.67252</v>
      </c>
      <c r="P362" s="21">
        <v>12.338699999999999</v>
      </c>
      <c r="Q362" s="21">
        <v>-2.74078E-3</v>
      </c>
      <c r="R362" s="21">
        <v>352</v>
      </c>
      <c r="S362" s="21">
        <v>1.6723600000000001</v>
      </c>
      <c r="T362">
        <f t="shared" si="62"/>
        <v>3.383679012345679</v>
      </c>
      <c r="U362">
        <f t="shared" si="63"/>
        <v>5.6592708217283949</v>
      </c>
      <c r="X362" s="9"/>
      <c r="Y362" s="21">
        <v>-3.2501200000000001E-2</v>
      </c>
      <c r="Z362" s="21">
        <v>17.775500000000001</v>
      </c>
      <c r="AA362" s="21">
        <v>-8.8806200000000005E-3</v>
      </c>
      <c r="AB362" s="21">
        <v>352</v>
      </c>
      <c r="AC362" s="21">
        <v>-3.28308E-2</v>
      </c>
      <c r="AD362">
        <f t="shared" si="64"/>
        <v>10.963728395061729</v>
      </c>
      <c r="AE362">
        <f t="shared" si="65"/>
        <v>-0.35633432931358028</v>
      </c>
      <c r="AF362" s="9"/>
      <c r="AG362" s="21">
        <v>1.67252</v>
      </c>
      <c r="AH362" s="21">
        <v>21.4739</v>
      </c>
      <c r="AI362" s="21">
        <v>-2.7197300000000001E-3</v>
      </c>
      <c r="AJ362" s="21">
        <v>352</v>
      </c>
      <c r="AK362" s="21">
        <v>1.6717500000000001</v>
      </c>
      <c r="AL362">
        <f t="shared" si="66"/>
        <v>3.3576913580246912</v>
      </c>
      <c r="AM362">
        <f t="shared" si="67"/>
        <v>5.6158059501234563</v>
      </c>
      <c r="AP362" s="9"/>
      <c r="AQ362" s="21">
        <v>-3.2501200000000001E-2</v>
      </c>
      <c r="AR362" s="21">
        <v>26.837700000000002</v>
      </c>
      <c r="AS362" s="21">
        <v>-8.8775599999999996E-3</v>
      </c>
      <c r="AT362" s="21">
        <v>352</v>
      </c>
      <c r="AU362" s="21">
        <v>-3.2824699999999998E-2</v>
      </c>
      <c r="AV362">
        <f t="shared" si="68"/>
        <v>10.959950617283949</v>
      </c>
      <c r="AW362">
        <f t="shared" si="69"/>
        <v>-0.3562115470024691</v>
      </c>
      <c r="AX362" s="9"/>
      <c r="AY362" s="21">
        <v>1.67252</v>
      </c>
      <c r="AZ362" s="21">
        <v>30.536100000000001</v>
      </c>
      <c r="BA362" s="21">
        <v>-2.6907300000000001E-3</v>
      </c>
      <c r="BB362" s="21">
        <v>352</v>
      </c>
      <c r="BC362" s="21">
        <v>1.6711400000000001</v>
      </c>
      <c r="BD362">
        <f t="shared" si="70"/>
        <v>3.3218888888888891</v>
      </c>
      <c r="BE362">
        <f t="shared" si="71"/>
        <v>5.5559256044444449</v>
      </c>
    </row>
    <row r="363" spans="6:57" x14ac:dyDescent="0.25">
      <c r="F363" s="9"/>
      <c r="G363" s="21">
        <v>-3.7536600000000003E-2</v>
      </c>
      <c r="H363" s="21">
        <v>8.6503800000000002</v>
      </c>
      <c r="I363" s="21">
        <v>-8.95081E-3</v>
      </c>
      <c r="J363" s="21">
        <v>353</v>
      </c>
      <c r="K363" s="21">
        <v>-3.7890600000000003E-2</v>
      </c>
      <c r="L363">
        <f t="shared" si="60"/>
        <v>11.050382716049382</v>
      </c>
      <c r="M363">
        <f t="shared" si="61"/>
        <v>-0.4147937958592593</v>
      </c>
      <c r="N363" s="9"/>
      <c r="O363" s="21">
        <v>1.6775500000000001</v>
      </c>
      <c r="P363" s="21">
        <v>12.348699999999999</v>
      </c>
      <c r="Q363" s="21">
        <v>-2.6049799999999998E-3</v>
      </c>
      <c r="R363" s="21">
        <v>353</v>
      </c>
      <c r="S363" s="21">
        <v>1.6763300000000001</v>
      </c>
      <c r="T363">
        <f t="shared" si="62"/>
        <v>3.2160246913580242</v>
      </c>
      <c r="U363">
        <f t="shared" si="63"/>
        <v>5.3950422209876541</v>
      </c>
      <c r="X363" s="9"/>
      <c r="Y363" s="21">
        <v>-3.7536600000000003E-2</v>
      </c>
      <c r="Z363" s="21">
        <v>17.785599999999999</v>
      </c>
      <c r="AA363" s="21">
        <v>-8.8867200000000007E-3</v>
      </c>
      <c r="AB363" s="21">
        <v>353</v>
      </c>
      <c r="AC363" s="21">
        <v>-3.7866200000000003E-2</v>
      </c>
      <c r="AD363">
        <f t="shared" si="64"/>
        <v>10.971259259259259</v>
      </c>
      <c r="AE363">
        <f t="shared" si="65"/>
        <v>-0.41182377031111117</v>
      </c>
      <c r="AF363" s="9"/>
      <c r="AG363" s="21">
        <v>1.6775500000000001</v>
      </c>
      <c r="AH363" s="21">
        <v>21.483899999999998</v>
      </c>
      <c r="AI363" s="21">
        <v>-2.5833100000000001E-3</v>
      </c>
      <c r="AJ363" s="21">
        <v>353</v>
      </c>
      <c r="AK363" s="21">
        <v>1.6772499999999999</v>
      </c>
      <c r="AL363">
        <f t="shared" si="66"/>
        <v>3.1892716049382712</v>
      </c>
      <c r="AM363">
        <f t="shared" si="67"/>
        <v>5.3501625808641968</v>
      </c>
      <c r="AP363" s="9"/>
      <c r="AQ363" s="21">
        <v>-3.7536600000000003E-2</v>
      </c>
      <c r="AR363" s="21">
        <v>26.847799999999999</v>
      </c>
      <c r="AS363" s="21">
        <v>-8.8836699999999998E-3</v>
      </c>
      <c r="AT363" s="21">
        <v>353</v>
      </c>
      <c r="AU363" s="21">
        <v>-3.78784E-2</v>
      </c>
      <c r="AV363">
        <f t="shared" si="68"/>
        <v>10.967493827160492</v>
      </c>
      <c r="AW363">
        <f t="shared" si="69"/>
        <v>-0.41168242879259259</v>
      </c>
      <c r="AX363" s="9"/>
      <c r="AY363" s="21">
        <v>1.6775500000000001</v>
      </c>
      <c r="AZ363" s="21">
        <v>30.546199999999999</v>
      </c>
      <c r="BA363" s="21">
        <v>-2.5585899999999999E-3</v>
      </c>
      <c r="BB363" s="21">
        <v>353</v>
      </c>
      <c r="BC363" s="21">
        <v>1.6766399999999999</v>
      </c>
      <c r="BD363">
        <f t="shared" si="70"/>
        <v>3.1587530864197526</v>
      </c>
      <c r="BE363">
        <f t="shared" si="71"/>
        <v>5.2989662401234563</v>
      </c>
    </row>
    <row r="364" spans="6:57" x14ac:dyDescent="0.25">
      <c r="F364" s="9"/>
      <c r="G364" s="21">
        <v>-4.2571999999999999E-2</v>
      </c>
      <c r="H364" s="21">
        <v>8.6604600000000005</v>
      </c>
      <c r="I364" s="21">
        <v>-8.9446999999999999E-3</v>
      </c>
      <c r="J364" s="21">
        <v>354</v>
      </c>
      <c r="K364" s="21">
        <v>-4.29077E-2</v>
      </c>
      <c r="L364">
        <f t="shared" si="60"/>
        <v>11.042839506172838</v>
      </c>
      <c r="M364">
        <f t="shared" si="61"/>
        <v>-0.47011576345679001</v>
      </c>
      <c r="N364" s="9"/>
      <c r="O364" s="21">
        <v>1.68259</v>
      </c>
      <c r="P364" s="21">
        <v>12.3588</v>
      </c>
      <c r="Q364" s="21">
        <v>-2.4563599999999999E-3</v>
      </c>
      <c r="R364" s="21">
        <v>354</v>
      </c>
      <c r="S364" s="21">
        <v>1.6818200000000001</v>
      </c>
      <c r="T364">
        <f t="shared" si="62"/>
        <v>3.0325432098765428</v>
      </c>
      <c r="U364">
        <f t="shared" si="63"/>
        <v>5.102526879506172</v>
      </c>
      <c r="X364" s="9"/>
      <c r="Y364" s="21">
        <v>-4.2571999999999999E-2</v>
      </c>
      <c r="Z364" s="21">
        <v>17.7957</v>
      </c>
      <c r="AA364" s="21">
        <v>-8.8928199999999992E-3</v>
      </c>
      <c r="AB364" s="21">
        <v>354</v>
      </c>
      <c r="AC364" s="21">
        <v>-4.2968800000000001E-2</v>
      </c>
      <c r="AD364">
        <f t="shared" si="64"/>
        <v>10.978790123456788</v>
      </c>
      <c r="AE364">
        <f t="shared" si="65"/>
        <v>-0.46738905313580237</v>
      </c>
      <c r="AF364" s="9"/>
      <c r="AG364" s="21">
        <v>1.68259</v>
      </c>
      <c r="AH364" s="21">
        <v>21.494</v>
      </c>
      <c r="AI364" s="21">
        <v>-2.4359099999999999E-3</v>
      </c>
      <c r="AJ364" s="21">
        <v>354</v>
      </c>
      <c r="AK364" s="21">
        <v>1.6818200000000001</v>
      </c>
      <c r="AL364">
        <f t="shared" si="66"/>
        <v>3.0072962962962961</v>
      </c>
      <c r="AM364">
        <f t="shared" si="67"/>
        <v>5.0600466751851849</v>
      </c>
      <c r="AP364" s="9"/>
      <c r="AQ364" s="21">
        <v>-4.2571999999999999E-2</v>
      </c>
      <c r="AR364" s="21">
        <v>26.857900000000001</v>
      </c>
      <c r="AS364" s="21">
        <v>-8.8867200000000007E-3</v>
      </c>
      <c r="AT364" s="21">
        <v>354</v>
      </c>
      <c r="AU364" s="21">
        <v>-4.2925999999999999E-2</v>
      </c>
      <c r="AV364">
        <f t="shared" si="68"/>
        <v>10.971259259259259</v>
      </c>
      <c r="AW364">
        <f t="shared" si="69"/>
        <v>-0.4670684491851852</v>
      </c>
      <c r="AX364" s="9"/>
      <c r="AY364" s="21">
        <v>1.68259</v>
      </c>
      <c r="AZ364" s="21">
        <v>30.5562</v>
      </c>
      <c r="BA364" s="21">
        <v>-2.4111900000000001E-3</v>
      </c>
      <c r="BB364" s="21">
        <v>354</v>
      </c>
      <c r="BC364" s="21">
        <v>1.6815199999999999</v>
      </c>
      <c r="BD364">
        <f t="shared" si="70"/>
        <v>2.976777777777778</v>
      </c>
      <c r="BE364">
        <f t="shared" si="71"/>
        <v>5.0086965211111112</v>
      </c>
    </row>
    <row r="365" spans="6:57" x14ac:dyDescent="0.25">
      <c r="F365" s="9"/>
      <c r="G365" s="21">
        <v>-4.7607400000000001E-2</v>
      </c>
      <c r="H365" s="21">
        <v>8.6705299999999994</v>
      </c>
      <c r="I365" s="21">
        <v>-8.9416500000000006E-3</v>
      </c>
      <c r="J365" s="21">
        <v>355</v>
      </c>
      <c r="K365" s="21">
        <v>-4.7943100000000002E-2</v>
      </c>
      <c r="L365">
        <f t="shared" si="60"/>
        <v>11.039074074074074</v>
      </c>
      <c r="M365">
        <f t="shared" si="61"/>
        <v>-0.52554161507407404</v>
      </c>
      <c r="N365" s="9"/>
      <c r="O365" s="21">
        <v>1.6876199999999999</v>
      </c>
      <c r="P365" s="21">
        <v>12.3689</v>
      </c>
      <c r="Q365" s="21">
        <v>-2.2994999999999999E-3</v>
      </c>
      <c r="R365" s="21">
        <v>355</v>
      </c>
      <c r="S365" s="21">
        <v>1.6867099999999999</v>
      </c>
      <c r="T365">
        <f t="shared" si="62"/>
        <v>2.8388888888888886</v>
      </c>
      <c r="U365">
        <f t="shared" si="63"/>
        <v>4.7909656666666658</v>
      </c>
      <c r="X365" s="9"/>
      <c r="Y365" s="21">
        <v>-4.7607400000000001E-2</v>
      </c>
      <c r="Z365" s="21">
        <v>17.805700000000002</v>
      </c>
      <c r="AA365" s="21">
        <v>-8.8989299999999993E-3</v>
      </c>
      <c r="AB365" s="21">
        <v>355</v>
      </c>
      <c r="AC365" s="21">
        <v>-4.7976699999999997E-2</v>
      </c>
      <c r="AD365">
        <f t="shared" si="64"/>
        <v>10.986333333333333</v>
      </c>
      <c r="AE365">
        <f t="shared" si="65"/>
        <v>-0.52303076553333328</v>
      </c>
      <c r="AF365" s="9"/>
      <c r="AG365" s="21">
        <v>1.6876199999999999</v>
      </c>
      <c r="AH365" s="21">
        <v>21.504100000000001</v>
      </c>
      <c r="AI365" s="21">
        <v>-2.2866800000000001E-3</v>
      </c>
      <c r="AJ365" s="21">
        <v>355</v>
      </c>
      <c r="AK365" s="21">
        <v>1.6870099999999999</v>
      </c>
      <c r="AL365">
        <f t="shared" si="66"/>
        <v>2.8230617283950616</v>
      </c>
      <c r="AM365">
        <f t="shared" si="67"/>
        <v>4.7642554340740739</v>
      </c>
      <c r="AP365" s="9"/>
      <c r="AQ365" s="21">
        <v>-4.7607400000000001E-2</v>
      </c>
      <c r="AR365" s="21">
        <v>26.867899999999999</v>
      </c>
      <c r="AS365" s="21">
        <v>-8.8867200000000007E-3</v>
      </c>
      <c r="AT365" s="21">
        <v>355</v>
      </c>
      <c r="AU365" s="21">
        <v>-4.7952300000000003E-2</v>
      </c>
      <c r="AV365">
        <f t="shared" si="68"/>
        <v>10.971259259259259</v>
      </c>
      <c r="AW365">
        <f t="shared" si="69"/>
        <v>-0.52231312805925922</v>
      </c>
      <c r="AX365" s="9"/>
      <c r="AY365" s="21">
        <v>1.6876199999999999</v>
      </c>
      <c r="AZ365" s="21">
        <v>30.566299999999998</v>
      </c>
      <c r="BA365" s="21">
        <v>-2.25647E-3</v>
      </c>
      <c r="BB365" s="21">
        <v>355</v>
      </c>
      <c r="BC365" s="21">
        <v>1.6870099999999999</v>
      </c>
      <c r="BD365">
        <f t="shared" si="70"/>
        <v>2.7857654320987653</v>
      </c>
      <c r="BE365">
        <f t="shared" si="71"/>
        <v>4.7013134585185181</v>
      </c>
    </row>
    <row r="366" spans="6:57" x14ac:dyDescent="0.25">
      <c r="F366" s="9"/>
      <c r="G366" s="21">
        <v>-5.2642799999999997E-2</v>
      </c>
      <c r="H366" s="21">
        <v>8.6806000000000001</v>
      </c>
      <c r="I366" s="21">
        <v>-8.95081E-3</v>
      </c>
      <c r="J366" s="21">
        <v>356</v>
      </c>
      <c r="K366" s="21">
        <v>-5.3070100000000002E-2</v>
      </c>
      <c r="L366">
        <f t="shared" si="60"/>
        <v>11.050382716049382</v>
      </c>
      <c r="M366">
        <f t="shared" si="61"/>
        <v>-0.58172308724444444</v>
      </c>
      <c r="N366" s="9"/>
      <c r="O366" s="21">
        <v>1.6926600000000001</v>
      </c>
      <c r="P366" s="21">
        <v>12.3789</v>
      </c>
      <c r="Q366" s="21">
        <v>-2.1340899999999999E-3</v>
      </c>
      <c r="R366" s="21">
        <v>356</v>
      </c>
      <c r="S366" s="21">
        <v>1.6918899999999999</v>
      </c>
      <c r="T366">
        <f t="shared" si="62"/>
        <v>2.6346790123456789</v>
      </c>
      <c r="U366">
        <f t="shared" si="63"/>
        <v>4.4596157770370368</v>
      </c>
      <c r="X366" s="9"/>
      <c r="Y366" s="21">
        <v>-5.2642799999999997E-2</v>
      </c>
      <c r="Z366" s="21">
        <v>17.815799999999999</v>
      </c>
      <c r="AA366" s="21">
        <v>-8.9019800000000003E-3</v>
      </c>
      <c r="AB366" s="21">
        <v>356</v>
      </c>
      <c r="AC366" s="21">
        <v>-5.3192099999999999E-2</v>
      </c>
      <c r="AD366">
        <f t="shared" si="64"/>
        <v>10.990098765432098</v>
      </c>
      <c r="AE366">
        <f t="shared" si="65"/>
        <v>-0.57854957128888884</v>
      </c>
      <c r="AF366" s="9"/>
      <c r="AG366" s="21">
        <v>1.6926600000000001</v>
      </c>
      <c r="AH366" s="21">
        <v>21.514199999999999</v>
      </c>
      <c r="AI366" s="21">
        <v>-2.12189E-3</v>
      </c>
      <c r="AJ366" s="21">
        <v>356</v>
      </c>
      <c r="AK366" s="21">
        <v>1.6918899999999999</v>
      </c>
      <c r="AL366">
        <f t="shared" si="66"/>
        <v>2.6196172839506171</v>
      </c>
      <c r="AM366">
        <f t="shared" si="67"/>
        <v>4.4341213918518516</v>
      </c>
      <c r="AP366" s="9"/>
      <c r="AQ366" s="21">
        <v>-5.2642799999999997E-2</v>
      </c>
      <c r="AR366" s="21">
        <v>26.878</v>
      </c>
      <c r="AS366" s="21">
        <v>-8.8867200000000007E-3</v>
      </c>
      <c r="AT366" s="21">
        <v>356</v>
      </c>
      <c r="AU366" s="21">
        <v>-5.3070100000000002E-2</v>
      </c>
      <c r="AV366">
        <f t="shared" si="68"/>
        <v>10.971259259259259</v>
      </c>
      <c r="AW366">
        <f t="shared" si="69"/>
        <v>-0.57755780693333325</v>
      </c>
      <c r="AX366" s="9"/>
      <c r="AY366" s="21">
        <v>1.6926600000000001</v>
      </c>
      <c r="AZ366" s="21">
        <v>30.5764</v>
      </c>
      <c r="BA366" s="21">
        <v>-2.0904500000000002E-3</v>
      </c>
      <c r="BB366" s="21">
        <v>356</v>
      </c>
      <c r="BC366" s="21">
        <v>1.6915899999999999</v>
      </c>
      <c r="BD366">
        <f t="shared" si="70"/>
        <v>2.5808024691358025</v>
      </c>
      <c r="BE366">
        <f t="shared" si="71"/>
        <v>4.368421107407408</v>
      </c>
    </row>
    <row r="367" spans="6:57" x14ac:dyDescent="0.25">
      <c r="F367" s="9"/>
      <c r="G367" s="21">
        <v>-5.7678199999999999E-2</v>
      </c>
      <c r="H367" s="21">
        <v>8.6906700000000008</v>
      </c>
      <c r="I367" s="21">
        <v>-8.9630100000000004E-3</v>
      </c>
      <c r="J367" s="21">
        <v>357</v>
      </c>
      <c r="K367" s="21">
        <v>-5.8105499999999997E-2</v>
      </c>
      <c r="L367">
        <f t="shared" si="60"/>
        <v>11.065444444444443</v>
      </c>
      <c r="M367">
        <f t="shared" si="61"/>
        <v>-0.63823491775555552</v>
      </c>
      <c r="N367" s="9"/>
      <c r="O367" s="21">
        <v>1.6976899999999999</v>
      </c>
      <c r="P367" s="21">
        <v>12.388999999999999</v>
      </c>
      <c r="Q367" s="21">
        <v>-1.9570899999999999E-3</v>
      </c>
      <c r="R367" s="21">
        <v>357</v>
      </c>
      <c r="S367" s="21">
        <v>1.6970799999999999</v>
      </c>
      <c r="T367">
        <f t="shared" si="62"/>
        <v>2.4161604938271601</v>
      </c>
      <c r="U367">
        <f t="shared" si="63"/>
        <v>4.1018915087654317</v>
      </c>
      <c r="X367" s="9"/>
      <c r="Y367" s="21">
        <v>-5.7678199999999999E-2</v>
      </c>
      <c r="Z367" s="21">
        <v>17.825900000000001</v>
      </c>
      <c r="AA367" s="21">
        <v>-8.8958700000000002E-3</v>
      </c>
      <c r="AB367" s="21">
        <v>357</v>
      </c>
      <c r="AC367" s="21">
        <v>-5.8044400000000003E-2</v>
      </c>
      <c r="AD367">
        <f t="shared" si="64"/>
        <v>10.982555555555555</v>
      </c>
      <c r="AE367">
        <f t="shared" si="65"/>
        <v>-0.63345403584444437</v>
      </c>
      <c r="AF367" s="9"/>
      <c r="AG367" s="21">
        <v>1.6976899999999999</v>
      </c>
      <c r="AH367" s="21">
        <v>21.5242</v>
      </c>
      <c r="AI367" s="21">
        <v>-1.9409200000000001E-3</v>
      </c>
      <c r="AJ367" s="21">
        <v>357</v>
      </c>
      <c r="AK367" s="21">
        <v>1.6970799999999999</v>
      </c>
      <c r="AL367">
        <f t="shared" si="66"/>
        <v>2.3961975308641974</v>
      </c>
      <c r="AM367">
        <f t="shared" si="67"/>
        <v>4.0680005861728388</v>
      </c>
      <c r="AP367" s="9"/>
      <c r="AQ367" s="21">
        <v>-5.7678199999999999E-2</v>
      </c>
      <c r="AR367" s="21">
        <v>26.888100000000001</v>
      </c>
      <c r="AS367" s="21">
        <v>-8.88977E-3</v>
      </c>
      <c r="AT367" s="21">
        <v>357</v>
      </c>
      <c r="AU367" s="21">
        <v>-5.8044400000000003E-2</v>
      </c>
      <c r="AV367">
        <f t="shared" si="68"/>
        <v>10.975024691358024</v>
      </c>
      <c r="AW367">
        <f t="shared" si="69"/>
        <v>-0.63301966915308638</v>
      </c>
      <c r="AX367" s="9"/>
      <c r="AY367" s="21">
        <v>1.6976899999999999</v>
      </c>
      <c r="AZ367" s="21">
        <v>30.586400000000001</v>
      </c>
      <c r="BA367" s="21">
        <v>-1.91589E-3</v>
      </c>
      <c r="BB367" s="21">
        <v>357</v>
      </c>
      <c r="BC367" s="21">
        <v>1.69678</v>
      </c>
      <c r="BD367">
        <f t="shared" si="70"/>
        <v>2.3652962962962958</v>
      </c>
      <c r="BE367">
        <f t="shared" si="71"/>
        <v>4.0155398692592579</v>
      </c>
    </row>
    <row r="368" spans="6:57" x14ac:dyDescent="0.25">
      <c r="F368" s="9"/>
      <c r="G368" s="21">
        <v>-6.2713599999999994E-2</v>
      </c>
      <c r="H368" s="21">
        <v>8.7007399999999997</v>
      </c>
      <c r="I368" s="21">
        <v>-8.9691200000000006E-3</v>
      </c>
      <c r="J368" s="21">
        <v>358</v>
      </c>
      <c r="K368" s="21">
        <v>-6.3232399999999994E-2</v>
      </c>
      <c r="L368">
        <f t="shared" si="60"/>
        <v>11.072987654320988</v>
      </c>
      <c r="M368">
        <f t="shared" si="61"/>
        <v>-0.69442691855802463</v>
      </c>
      <c r="N368" s="9"/>
      <c r="O368" s="21">
        <v>1.7027300000000001</v>
      </c>
      <c r="P368" s="21">
        <v>12.399100000000001</v>
      </c>
      <c r="Q368" s="21">
        <v>-1.7678800000000001E-3</v>
      </c>
      <c r="R368" s="21">
        <v>358</v>
      </c>
      <c r="S368" s="21">
        <v>1.70258</v>
      </c>
      <c r="T368">
        <f t="shared" si="62"/>
        <v>2.1825679012345676</v>
      </c>
      <c r="U368">
        <f t="shared" si="63"/>
        <v>3.7163238424691354</v>
      </c>
      <c r="X368" s="9"/>
      <c r="Y368" s="21">
        <v>-6.2713599999999994E-2</v>
      </c>
      <c r="Z368" s="21">
        <v>17.835999999999999</v>
      </c>
      <c r="AA368" s="21">
        <v>-8.8928199999999992E-3</v>
      </c>
      <c r="AB368" s="21">
        <v>358</v>
      </c>
      <c r="AC368" s="21">
        <v>-6.31409E-2</v>
      </c>
      <c r="AD368">
        <f t="shared" si="64"/>
        <v>10.978790123456788</v>
      </c>
      <c r="AE368">
        <f t="shared" si="65"/>
        <v>-0.68851945228641953</v>
      </c>
      <c r="AF368" s="9"/>
      <c r="AG368" s="21">
        <v>1.7027300000000001</v>
      </c>
      <c r="AH368" s="21">
        <v>21.534300000000002</v>
      </c>
      <c r="AI368" s="21">
        <v>-1.7483500000000001E-3</v>
      </c>
      <c r="AJ368" s="21">
        <v>358</v>
      </c>
      <c r="AK368" s="21">
        <v>1.70197</v>
      </c>
      <c r="AL368">
        <f t="shared" si="66"/>
        <v>2.1584567901234566</v>
      </c>
      <c r="AM368">
        <f t="shared" si="67"/>
        <v>3.6752691302469134</v>
      </c>
      <c r="AP368" s="9"/>
      <c r="AQ368" s="21">
        <v>-6.2713599999999994E-2</v>
      </c>
      <c r="AR368" s="21">
        <v>26.898099999999999</v>
      </c>
      <c r="AS368" s="21">
        <v>-8.8989299999999993E-3</v>
      </c>
      <c r="AT368" s="21">
        <v>358</v>
      </c>
      <c r="AU368" s="21">
        <v>-6.3110399999999997E-2</v>
      </c>
      <c r="AV368">
        <f t="shared" si="68"/>
        <v>10.986333333333333</v>
      </c>
      <c r="AW368">
        <f t="shared" si="69"/>
        <v>-0.68899251413333318</v>
      </c>
      <c r="AX368" s="9"/>
      <c r="AY368" s="21">
        <v>1.7027300000000001</v>
      </c>
      <c r="AZ368" s="21">
        <v>30.596499999999999</v>
      </c>
      <c r="BA368" s="21">
        <v>-1.7251600000000001E-3</v>
      </c>
      <c r="BB368" s="21">
        <v>358</v>
      </c>
      <c r="BC368" s="21">
        <v>1.7022699999999999</v>
      </c>
      <c r="BD368">
        <f t="shared" si="70"/>
        <v>2.1298271604938273</v>
      </c>
      <c r="BE368">
        <f t="shared" si="71"/>
        <v>3.6265206009876545</v>
      </c>
    </row>
    <row r="369" spans="6:57" x14ac:dyDescent="0.25">
      <c r="F369" s="9"/>
      <c r="G369" s="21">
        <v>-6.7749000000000004E-2</v>
      </c>
      <c r="H369" s="21">
        <v>8.7108100000000004</v>
      </c>
      <c r="I369" s="21">
        <v>-8.97827E-3</v>
      </c>
      <c r="J369" s="21">
        <v>359</v>
      </c>
      <c r="K369" s="21">
        <v>-6.8084699999999998E-2</v>
      </c>
      <c r="L369">
        <f t="shared" si="60"/>
        <v>11.084283950617284</v>
      </c>
      <c r="M369">
        <f t="shared" si="61"/>
        <v>-0.75094915337037038</v>
      </c>
      <c r="N369" s="9"/>
      <c r="O369" s="21">
        <v>1.7077599999999999</v>
      </c>
      <c r="P369" s="21">
        <v>12.4091</v>
      </c>
      <c r="Q369" s="21">
        <v>-1.55853E-3</v>
      </c>
      <c r="R369" s="21">
        <v>359</v>
      </c>
      <c r="S369" s="21">
        <v>1.7065399999999999</v>
      </c>
      <c r="T369">
        <f t="shared" si="62"/>
        <v>1.9241111111111111</v>
      </c>
      <c r="U369">
        <f t="shared" si="63"/>
        <v>3.2859199911111112</v>
      </c>
      <c r="X369" s="9"/>
      <c r="Y369" s="21">
        <v>-6.7749000000000004E-2</v>
      </c>
      <c r="Z369" s="21">
        <v>17.846</v>
      </c>
      <c r="AA369" s="21">
        <v>-8.88977E-3</v>
      </c>
      <c r="AB369" s="21">
        <v>359</v>
      </c>
      <c r="AC369" s="21">
        <v>-6.8115200000000001E-2</v>
      </c>
      <c r="AD369">
        <f t="shared" si="64"/>
        <v>10.975024691358024</v>
      </c>
      <c r="AE369">
        <f t="shared" si="65"/>
        <v>-0.7435469478148149</v>
      </c>
      <c r="AF369" s="9"/>
      <c r="AG369" s="21">
        <v>1.7077599999999999</v>
      </c>
      <c r="AH369" s="21">
        <v>21.5444</v>
      </c>
      <c r="AI369" s="21">
        <v>-1.53717E-3</v>
      </c>
      <c r="AJ369" s="21">
        <v>359</v>
      </c>
      <c r="AK369" s="21">
        <v>1.70746</v>
      </c>
      <c r="AL369">
        <f t="shared" si="66"/>
        <v>1.8977407407407407</v>
      </c>
      <c r="AM369">
        <f t="shared" si="67"/>
        <v>3.2408857274074072</v>
      </c>
      <c r="AP369" s="9"/>
      <c r="AQ369" s="21">
        <v>-6.7749000000000004E-2</v>
      </c>
      <c r="AR369" s="21">
        <v>26.908200000000001</v>
      </c>
      <c r="AS369" s="21">
        <v>-8.9111299999999997E-3</v>
      </c>
      <c r="AT369" s="21">
        <v>359</v>
      </c>
      <c r="AU369" s="21">
        <v>-6.8176299999999995E-2</v>
      </c>
      <c r="AV369">
        <f t="shared" si="68"/>
        <v>11.001395061728394</v>
      </c>
      <c r="AW369">
        <f t="shared" si="69"/>
        <v>-0.74533351403703696</v>
      </c>
      <c r="AX369" s="9"/>
      <c r="AY369" s="21">
        <v>1.7077599999999999</v>
      </c>
      <c r="AZ369" s="21">
        <v>30.6066</v>
      </c>
      <c r="BA369" s="21">
        <v>-1.5173299999999999E-3</v>
      </c>
      <c r="BB369" s="21">
        <v>359</v>
      </c>
      <c r="BC369" s="21">
        <v>1.7071499999999999</v>
      </c>
      <c r="BD369">
        <f t="shared" si="70"/>
        <v>1.8732469135802468</v>
      </c>
      <c r="BE369">
        <f t="shared" si="71"/>
        <v>3.1990561491358021</v>
      </c>
    </row>
    <row r="370" spans="6:57" x14ac:dyDescent="0.25">
      <c r="F370" s="9"/>
      <c r="G370" s="21">
        <v>-7.2784399999999999E-2</v>
      </c>
      <c r="H370" s="21">
        <v>8.7208799999999993</v>
      </c>
      <c r="I370" s="21">
        <v>-8.9904800000000003E-3</v>
      </c>
      <c r="J370" s="21">
        <v>360</v>
      </c>
      <c r="K370" s="21">
        <v>-7.3211700000000005E-2</v>
      </c>
      <c r="L370">
        <f t="shared" si="60"/>
        <v>11.099358024691359</v>
      </c>
      <c r="M370">
        <f t="shared" si="61"/>
        <v>-0.80786011421234571</v>
      </c>
      <c r="N370" s="9"/>
      <c r="O370" s="21">
        <v>1.7128000000000001</v>
      </c>
      <c r="P370" s="21">
        <v>12.4192</v>
      </c>
      <c r="Q370" s="21">
        <v>-1.3333100000000001E-3</v>
      </c>
      <c r="R370" s="21">
        <v>360</v>
      </c>
      <c r="S370" s="21">
        <v>1.71204</v>
      </c>
      <c r="T370">
        <f t="shared" si="62"/>
        <v>1.6460617283950618</v>
      </c>
      <c r="U370">
        <f t="shared" si="63"/>
        <v>2.8193745283950622</v>
      </c>
      <c r="X370" s="9"/>
      <c r="Y370" s="21">
        <v>-7.2784399999999999E-2</v>
      </c>
      <c r="Z370" s="21">
        <v>17.856100000000001</v>
      </c>
      <c r="AA370" s="21">
        <v>-8.8867200000000007E-3</v>
      </c>
      <c r="AB370" s="21">
        <v>360</v>
      </c>
      <c r="AC370" s="21">
        <v>-7.3181200000000002E-2</v>
      </c>
      <c r="AD370">
        <f t="shared" si="64"/>
        <v>10.971259259259259</v>
      </c>
      <c r="AE370">
        <f t="shared" si="65"/>
        <v>-0.79853652242962958</v>
      </c>
      <c r="AF370" s="9"/>
      <c r="AG370" s="21">
        <v>1.7128000000000001</v>
      </c>
      <c r="AH370" s="21">
        <v>21.554400000000001</v>
      </c>
      <c r="AI370" s="21">
        <v>-1.31409E-3</v>
      </c>
      <c r="AJ370" s="21">
        <v>360</v>
      </c>
      <c r="AK370" s="21">
        <v>1.71204</v>
      </c>
      <c r="AL370">
        <f t="shared" si="66"/>
        <v>1.6223333333333332</v>
      </c>
      <c r="AM370">
        <f t="shared" si="67"/>
        <v>2.7787325333333333</v>
      </c>
      <c r="AP370" s="9"/>
      <c r="AQ370" s="21">
        <v>-7.2784399999999999E-2</v>
      </c>
      <c r="AR370" s="21">
        <v>26.918299999999999</v>
      </c>
      <c r="AS370" s="21">
        <v>-8.9233400000000001E-3</v>
      </c>
      <c r="AT370" s="21">
        <v>360</v>
      </c>
      <c r="AU370" s="21">
        <v>-7.3211700000000005E-2</v>
      </c>
      <c r="AV370">
        <f t="shared" si="68"/>
        <v>11.016469135802469</v>
      </c>
      <c r="AW370">
        <f t="shared" si="69"/>
        <v>-0.80182709616790115</v>
      </c>
      <c r="AX370" s="9"/>
      <c r="AY370" s="21">
        <v>1.7128000000000001</v>
      </c>
      <c r="AZ370" s="21">
        <v>30.616700000000002</v>
      </c>
      <c r="BA370" s="21">
        <v>-1.2872300000000001E-3</v>
      </c>
      <c r="BB370" s="21">
        <v>360</v>
      </c>
      <c r="BC370" s="21">
        <v>1.71234</v>
      </c>
      <c r="BD370">
        <f t="shared" si="70"/>
        <v>1.5891728395061728</v>
      </c>
      <c r="BE370">
        <f t="shared" si="71"/>
        <v>2.7219352395061729</v>
      </c>
    </row>
    <row r="371" spans="6:57" x14ac:dyDescent="0.25">
      <c r="F371" s="9"/>
      <c r="G371" s="21">
        <v>-7.7819799999999995E-2</v>
      </c>
      <c r="H371" s="21">
        <v>8.73095</v>
      </c>
      <c r="I371" s="21">
        <v>-8.9904800000000003E-3</v>
      </c>
      <c r="J371" s="21">
        <v>361</v>
      </c>
      <c r="K371" s="21">
        <v>-7.8186000000000005E-2</v>
      </c>
      <c r="L371">
        <f t="shared" si="60"/>
        <v>11.099358024691359</v>
      </c>
      <c r="M371">
        <f t="shared" si="61"/>
        <v>-0.86374982160987657</v>
      </c>
      <c r="N371" s="9"/>
      <c r="O371" s="21">
        <v>1.71783</v>
      </c>
      <c r="P371" s="21">
        <v>12.4293</v>
      </c>
      <c r="Q371" s="21">
        <v>-1.08826E-3</v>
      </c>
      <c r="R371" s="21">
        <v>361</v>
      </c>
      <c r="S371" s="21">
        <v>1.71692</v>
      </c>
      <c r="T371">
        <f t="shared" si="62"/>
        <v>1.3435308641975308</v>
      </c>
      <c r="U371">
        <f t="shared" si="63"/>
        <v>2.3079576244444442</v>
      </c>
      <c r="X371" s="9"/>
      <c r="Y371" s="21">
        <v>-7.7819799999999995E-2</v>
      </c>
      <c r="Z371" s="21">
        <v>17.866199999999999</v>
      </c>
      <c r="AA371" s="21">
        <v>-8.8867200000000007E-3</v>
      </c>
      <c r="AB371" s="21">
        <v>361</v>
      </c>
      <c r="AC371" s="21">
        <v>-7.8186000000000005E-2</v>
      </c>
      <c r="AD371">
        <f t="shared" si="64"/>
        <v>10.971259259259259</v>
      </c>
      <c r="AE371">
        <f t="shared" si="65"/>
        <v>-0.85378120130370361</v>
      </c>
      <c r="AF371" s="9"/>
      <c r="AG371" s="21">
        <v>1.71783</v>
      </c>
      <c r="AH371" s="21">
        <v>21.564499999999999</v>
      </c>
      <c r="AI371" s="21">
        <v>-1.07697E-3</v>
      </c>
      <c r="AJ371" s="21">
        <v>361</v>
      </c>
      <c r="AK371" s="21">
        <v>1.71661</v>
      </c>
      <c r="AL371">
        <f t="shared" si="66"/>
        <v>1.3295925925925924</v>
      </c>
      <c r="AM371">
        <f t="shared" si="67"/>
        <v>2.2840140433333329</v>
      </c>
      <c r="AP371" s="9"/>
      <c r="AQ371" s="21">
        <v>-7.7819799999999995E-2</v>
      </c>
      <c r="AR371" s="21">
        <v>26.9283</v>
      </c>
      <c r="AS371" s="21">
        <v>-8.9385999999999997E-3</v>
      </c>
      <c r="AT371" s="21">
        <v>361</v>
      </c>
      <c r="AU371" s="21">
        <v>-7.8186000000000005E-2</v>
      </c>
      <c r="AV371">
        <f t="shared" si="68"/>
        <v>11.035308641975307</v>
      </c>
      <c r="AW371">
        <f t="shared" si="69"/>
        <v>-0.85876551145678992</v>
      </c>
      <c r="AX371" s="9"/>
      <c r="AY371" s="21">
        <v>1.71783</v>
      </c>
      <c r="AZ371" s="21">
        <v>30.6267</v>
      </c>
      <c r="BA371" s="21">
        <v>-1.0440099999999999E-3</v>
      </c>
      <c r="BB371" s="21">
        <v>361</v>
      </c>
      <c r="BC371" s="21">
        <v>1.71753</v>
      </c>
      <c r="BD371">
        <f t="shared" si="70"/>
        <v>1.288901234567901</v>
      </c>
      <c r="BE371">
        <f t="shared" si="71"/>
        <v>2.2141132077777774</v>
      </c>
    </row>
    <row r="372" spans="6:57" x14ac:dyDescent="0.25">
      <c r="F372" s="9"/>
      <c r="G372" s="21">
        <v>-8.2855200000000004E-2</v>
      </c>
      <c r="H372" s="21">
        <v>8.7410200000000007</v>
      </c>
      <c r="I372" s="21">
        <v>-8.9996299999999998E-3</v>
      </c>
      <c r="J372" s="21">
        <v>362</v>
      </c>
      <c r="K372" s="21">
        <v>-8.3282499999999995E-2</v>
      </c>
      <c r="L372">
        <f t="shared" si="60"/>
        <v>11.110654320987654</v>
      </c>
      <c r="M372">
        <f t="shared" si="61"/>
        <v>-0.92057548589629634</v>
      </c>
      <c r="N372" s="9"/>
      <c r="O372" s="21">
        <v>1.7228699999999999</v>
      </c>
      <c r="P372" s="21">
        <v>12.439399999999999</v>
      </c>
      <c r="Q372" s="21">
        <v>-8.2275399999999998E-4</v>
      </c>
      <c r="R372" s="21">
        <v>362</v>
      </c>
      <c r="S372" s="21">
        <v>1.72241</v>
      </c>
      <c r="T372">
        <f t="shared" si="62"/>
        <v>1.0157456790123456</v>
      </c>
      <c r="U372">
        <f t="shared" si="63"/>
        <v>1.7499977579999997</v>
      </c>
      <c r="X372" s="9"/>
      <c r="Y372" s="21">
        <v>-8.2855200000000004E-2</v>
      </c>
      <c r="Z372" s="21">
        <v>17.876200000000001</v>
      </c>
      <c r="AA372" s="21">
        <v>-8.8928199999999992E-3</v>
      </c>
      <c r="AB372" s="21">
        <v>362</v>
      </c>
      <c r="AC372" s="21">
        <v>-8.3282499999999995E-2</v>
      </c>
      <c r="AD372">
        <f t="shared" si="64"/>
        <v>10.978790123456788</v>
      </c>
      <c r="AE372">
        <f t="shared" si="65"/>
        <v>-0.90964985143703692</v>
      </c>
      <c r="AF372" s="9"/>
      <c r="AG372" s="21">
        <v>1.7228699999999999</v>
      </c>
      <c r="AH372" s="21">
        <v>21.5746</v>
      </c>
      <c r="AI372" s="21">
        <v>-8.09631E-4</v>
      </c>
      <c r="AJ372" s="21">
        <v>362</v>
      </c>
      <c r="AK372" s="21">
        <v>1.72241</v>
      </c>
      <c r="AL372">
        <f t="shared" si="66"/>
        <v>0.99954444444444435</v>
      </c>
      <c r="AM372">
        <f t="shared" si="67"/>
        <v>1.7220851369999997</v>
      </c>
      <c r="AP372" s="9"/>
      <c r="AQ372" s="21">
        <v>-8.2855200000000004E-2</v>
      </c>
      <c r="AR372" s="21">
        <v>26.938400000000001</v>
      </c>
      <c r="AS372" s="21">
        <v>-8.9385999999999997E-3</v>
      </c>
      <c r="AT372" s="21">
        <v>362</v>
      </c>
      <c r="AU372" s="21">
        <v>-8.3252000000000007E-2</v>
      </c>
      <c r="AV372">
        <f t="shared" si="68"/>
        <v>11.035308641975307</v>
      </c>
      <c r="AW372">
        <f t="shared" si="69"/>
        <v>-0.91433270459259253</v>
      </c>
      <c r="AX372" s="9"/>
      <c r="AY372" s="21">
        <v>1.7228699999999999</v>
      </c>
      <c r="AZ372" s="21">
        <v>30.636800000000001</v>
      </c>
      <c r="BA372" s="21">
        <v>-7.7423100000000001E-4</v>
      </c>
      <c r="BB372" s="21">
        <v>362</v>
      </c>
      <c r="BC372" s="21">
        <v>1.72211</v>
      </c>
      <c r="BD372">
        <f t="shared" si="70"/>
        <v>0.95584074074074066</v>
      </c>
      <c r="BE372">
        <f t="shared" si="71"/>
        <v>1.6467893369999997</v>
      </c>
    </row>
    <row r="373" spans="6:57" x14ac:dyDescent="0.25">
      <c r="F373" s="9"/>
      <c r="G373" s="21">
        <v>-8.7890599999999999E-2</v>
      </c>
      <c r="H373" s="21">
        <v>8.7510899999999996</v>
      </c>
      <c r="I373" s="21">
        <v>-9.0026900000000007E-3</v>
      </c>
      <c r="J373" s="21">
        <v>363</v>
      </c>
      <c r="K373" s="21">
        <v>-8.8378899999999996E-2</v>
      </c>
      <c r="L373">
        <f t="shared" si="60"/>
        <v>11.114432098765432</v>
      </c>
      <c r="M373">
        <f t="shared" si="61"/>
        <v>-0.97685410581975307</v>
      </c>
      <c r="N373" s="9"/>
      <c r="O373" s="21">
        <v>1.7279100000000001</v>
      </c>
      <c r="P373" s="21">
        <v>12.449400000000001</v>
      </c>
      <c r="Q373" s="21">
        <v>-5.3222700000000003E-4</v>
      </c>
      <c r="R373" s="21">
        <v>363</v>
      </c>
      <c r="S373" s="21">
        <v>1.72699</v>
      </c>
      <c r="T373">
        <f t="shared" si="62"/>
        <v>0.65707037037037042</v>
      </c>
      <c r="U373">
        <f t="shared" si="63"/>
        <v>1.1353584636666667</v>
      </c>
      <c r="X373" s="9"/>
      <c r="Y373" s="21">
        <v>-8.7890599999999999E-2</v>
      </c>
      <c r="Z373" s="21">
        <v>17.886299999999999</v>
      </c>
      <c r="AA373" s="21">
        <v>-8.9050299999999995E-3</v>
      </c>
      <c r="AB373" s="21">
        <v>363</v>
      </c>
      <c r="AC373" s="21">
        <v>-8.8287400000000002E-2</v>
      </c>
      <c r="AD373">
        <f t="shared" si="64"/>
        <v>10.993864197530863</v>
      </c>
      <c r="AE373">
        <f t="shared" si="65"/>
        <v>-0.96625732063950609</v>
      </c>
      <c r="AF373" s="9"/>
      <c r="AG373" s="21">
        <v>1.7279100000000001</v>
      </c>
      <c r="AH373" s="21">
        <v>21.584599999999998</v>
      </c>
      <c r="AI373" s="21">
        <v>-5.1940899999999997E-4</v>
      </c>
      <c r="AJ373" s="21">
        <v>363</v>
      </c>
      <c r="AK373" s="21">
        <v>1.72699</v>
      </c>
      <c r="AL373">
        <f t="shared" si="66"/>
        <v>0.64124567901234564</v>
      </c>
      <c r="AM373">
        <f t="shared" si="67"/>
        <v>1.1080148212222223</v>
      </c>
      <c r="AP373" s="9"/>
      <c r="AQ373" s="21">
        <v>-8.7890599999999999E-2</v>
      </c>
      <c r="AR373" s="21">
        <v>26.948499999999999</v>
      </c>
      <c r="AS373" s="21">
        <v>-8.9446999999999999E-3</v>
      </c>
      <c r="AT373" s="21">
        <v>363</v>
      </c>
      <c r="AU373" s="21">
        <v>-8.8317900000000005E-2</v>
      </c>
      <c r="AV373">
        <f t="shared" si="68"/>
        <v>11.042839506172838</v>
      </c>
      <c r="AW373">
        <f t="shared" si="69"/>
        <v>-0.97056178990123443</v>
      </c>
      <c r="AX373" s="9"/>
      <c r="AY373" s="21">
        <v>1.7279100000000001</v>
      </c>
      <c r="AZ373" s="21">
        <v>30.646899999999999</v>
      </c>
      <c r="BA373" s="21">
        <v>-4.9261499999999996E-4</v>
      </c>
      <c r="BB373" s="21">
        <v>363</v>
      </c>
      <c r="BC373" s="21">
        <v>1.7276</v>
      </c>
      <c r="BD373">
        <f t="shared" si="70"/>
        <v>0.60816666666666652</v>
      </c>
      <c r="BE373">
        <f t="shared" si="71"/>
        <v>1.0508572649999999</v>
      </c>
    </row>
    <row r="374" spans="6:57" x14ac:dyDescent="0.25">
      <c r="F374" s="9"/>
      <c r="G374" s="21">
        <v>-9.2925999999999995E-2</v>
      </c>
      <c r="H374" s="21">
        <v>8.7611699999999999</v>
      </c>
      <c r="I374" s="21">
        <v>-9.0087899999999992E-3</v>
      </c>
      <c r="J374" s="21">
        <v>364</v>
      </c>
      <c r="K374" s="21">
        <v>-9.33533E-2</v>
      </c>
      <c r="L374">
        <f t="shared" si="60"/>
        <v>11.121962962962963</v>
      </c>
      <c r="M374">
        <f t="shared" si="61"/>
        <v>-1.0335195302962963</v>
      </c>
      <c r="N374" s="9"/>
      <c r="O374" s="21">
        <v>1.7329399999999999</v>
      </c>
      <c r="P374" s="21">
        <v>12.4595</v>
      </c>
      <c r="Q374" s="21">
        <v>-2.07672E-4</v>
      </c>
      <c r="R374" s="21">
        <v>364</v>
      </c>
      <c r="S374" s="21">
        <v>1.7321800000000001</v>
      </c>
      <c r="T374">
        <f t="shared" si="62"/>
        <v>0.25638518518518516</v>
      </c>
      <c r="U374">
        <f t="shared" si="63"/>
        <v>0.44430014281481478</v>
      </c>
      <c r="X374" s="9"/>
      <c r="Y374" s="21">
        <v>-9.2925999999999995E-2</v>
      </c>
      <c r="Z374" s="21">
        <v>17.8964</v>
      </c>
      <c r="AA374" s="21">
        <v>-8.9141800000000007E-3</v>
      </c>
      <c r="AB374" s="21">
        <v>364</v>
      </c>
      <c r="AC374" s="21">
        <v>-9.3292200000000006E-2</v>
      </c>
      <c r="AD374">
        <f t="shared" si="64"/>
        <v>11.005160493827161</v>
      </c>
      <c r="AE374">
        <f t="shared" si="65"/>
        <v>-1.0226655440493826</v>
      </c>
      <c r="AF374" s="9"/>
      <c r="AG374" s="21">
        <v>1.7329399999999999</v>
      </c>
      <c r="AH374" s="21">
        <v>21.5947</v>
      </c>
      <c r="AI374" s="21">
        <v>-1.8884300000000001E-4</v>
      </c>
      <c r="AJ374" s="21">
        <v>364</v>
      </c>
      <c r="AK374" s="21">
        <v>1.7321800000000001</v>
      </c>
      <c r="AL374">
        <f t="shared" si="66"/>
        <v>0.23313950617283949</v>
      </c>
      <c r="AM374">
        <f t="shared" si="67"/>
        <v>0.40401677582716045</v>
      </c>
      <c r="AP374" s="9"/>
      <c r="AQ374" s="21">
        <v>-9.2925999999999995E-2</v>
      </c>
      <c r="AR374" s="21">
        <v>26.958600000000001</v>
      </c>
      <c r="AS374" s="21">
        <v>-8.95081E-3</v>
      </c>
      <c r="AT374" s="21">
        <v>364</v>
      </c>
      <c r="AU374" s="21">
        <v>-9.3322799999999997E-2</v>
      </c>
      <c r="AV374">
        <f t="shared" si="68"/>
        <v>11.050382716049382</v>
      </c>
      <c r="AW374">
        <f t="shared" si="69"/>
        <v>-1.0268678642716049</v>
      </c>
      <c r="AX374" s="9"/>
      <c r="AY374" s="21">
        <v>1.7329399999999999</v>
      </c>
      <c r="AZ374" s="21">
        <v>30.6569</v>
      </c>
      <c r="BA374" s="21">
        <v>-1.6763300000000001E-4</v>
      </c>
      <c r="BB374" s="21">
        <v>364</v>
      </c>
      <c r="BC374" s="21">
        <v>1.73187</v>
      </c>
      <c r="BD374">
        <f t="shared" si="70"/>
        <v>0.20695432098765432</v>
      </c>
      <c r="BE374">
        <f t="shared" si="71"/>
        <v>0.35863942101234564</v>
      </c>
    </row>
    <row r="375" spans="6:57" x14ac:dyDescent="0.25">
      <c r="F375" s="9"/>
      <c r="G375" s="21">
        <v>-9.7961400000000004E-2</v>
      </c>
      <c r="H375" s="21">
        <v>8.7712400000000006</v>
      </c>
      <c r="I375" s="21">
        <v>-9.0148899999999994E-3</v>
      </c>
      <c r="J375" s="21">
        <v>365</v>
      </c>
      <c r="K375" s="21">
        <v>-9.8388699999999996E-2</v>
      </c>
      <c r="L375">
        <f t="shared" si="60"/>
        <v>11.129493827160491</v>
      </c>
      <c r="M375">
        <f t="shared" si="61"/>
        <v>-1.0902607965999997</v>
      </c>
      <c r="N375" s="9"/>
      <c r="O375" s="21">
        <v>1.7379800000000001</v>
      </c>
      <c r="P375" s="21">
        <v>12.4696</v>
      </c>
      <c r="Q375" s="21">
        <v>1.54785E-4</v>
      </c>
      <c r="R375" s="21">
        <v>365</v>
      </c>
      <c r="S375" s="21">
        <v>1.73706</v>
      </c>
      <c r="T375">
        <f t="shared" si="62"/>
        <v>-0.19109259259259259</v>
      </c>
      <c r="U375">
        <f t="shared" si="63"/>
        <v>-0.33211510407407407</v>
      </c>
      <c r="X375" s="9"/>
      <c r="Y375" s="21">
        <v>-9.7961400000000004E-2</v>
      </c>
      <c r="Z375" s="21">
        <v>17.906500000000001</v>
      </c>
      <c r="AA375" s="21">
        <v>-8.9233400000000001E-3</v>
      </c>
      <c r="AB375" s="21">
        <v>365</v>
      </c>
      <c r="AC375" s="21">
        <v>-9.8449700000000001E-2</v>
      </c>
      <c r="AD375">
        <f t="shared" si="64"/>
        <v>11.016469135802469</v>
      </c>
      <c r="AE375">
        <f t="shared" si="65"/>
        <v>-1.0791887395999999</v>
      </c>
      <c r="AF375" s="9"/>
      <c r="AG375" s="21">
        <v>1.7379800000000001</v>
      </c>
      <c r="AH375" s="21">
        <v>21.604800000000001</v>
      </c>
      <c r="AI375" s="21">
        <v>1.6534399999999999E-4</v>
      </c>
      <c r="AJ375" s="21">
        <v>365</v>
      </c>
      <c r="AK375" s="21">
        <v>1.7367600000000001</v>
      </c>
      <c r="AL375">
        <f t="shared" si="66"/>
        <v>-0.20412839506172836</v>
      </c>
      <c r="AM375">
        <f t="shared" si="67"/>
        <v>-0.35477106804938269</v>
      </c>
      <c r="AP375" s="9"/>
      <c r="AQ375" s="21">
        <v>-9.7961400000000004E-2</v>
      </c>
      <c r="AR375" s="21">
        <v>26.968599999999999</v>
      </c>
      <c r="AS375" s="21">
        <v>-8.9599599999999995E-3</v>
      </c>
      <c r="AT375" s="21">
        <v>365</v>
      </c>
      <c r="AU375" s="21">
        <v>-9.8358200000000007E-2</v>
      </c>
      <c r="AV375">
        <f t="shared" si="68"/>
        <v>11.061679012345678</v>
      </c>
      <c r="AW375">
        <f t="shared" si="69"/>
        <v>-1.0836175624</v>
      </c>
      <c r="AX375" s="9"/>
      <c r="AY375" s="21">
        <v>1.7379800000000001</v>
      </c>
      <c r="AZ375" s="21">
        <v>30.667000000000002</v>
      </c>
      <c r="BA375" s="21">
        <v>1.8347200000000001E-4</v>
      </c>
      <c r="BB375" s="21">
        <v>365</v>
      </c>
      <c r="BC375" s="21">
        <v>1.7373700000000001</v>
      </c>
      <c r="BD375">
        <f t="shared" si="70"/>
        <v>-0.22650864197530862</v>
      </c>
      <c r="BE375">
        <f t="shared" si="71"/>
        <v>-0.39366748958024689</v>
      </c>
    </row>
    <row r="376" spans="6:57" x14ac:dyDescent="0.25">
      <c r="F376" s="9"/>
      <c r="G376" s="21">
        <v>-0.10299700000000001</v>
      </c>
      <c r="H376" s="21">
        <v>8.7813099999999995</v>
      </c>
      <c r="I376" s="21">
        <v>-9.0179400000000003E-3</v>
      </c>
      <c r="J376" s="21">
        <v>366</v>
      </c>
      <c r="K376" s="21">
        <v>-0.103424</v>
      </c>
      <c r="L376">
        <f t="shared" si="60"/>
        <v>11.13325925925926</v>
      </c>
      <c r="M376">
        <f t="shared" si="61"/>
        <v>-1.146692303925926</v>
      </c>
      <c r="N376" s="9"/>
      <c r="O376" s="21">
        <v>1.7430099999999999</v>
      </c>
      <c r="P376" s="21">
        <v>12.4796</v>
      </c>
      <c r="Q376" s="21">
        <v>5.5450400000000004E-4</v>
      </c>
      <c r="R376" s="21">
        <v>366</v>
      </c>
      <c r="S376" s="21">
        <v>1.74194</v>
      </c>
      <c r="T376">
        <f t="shared" si="62"/>
        <v>-0.68457283950617287</v>
      </c>
      <c r="U376">
        <f t="shared" si="63"/>
        <v>-1.1932173049876544</v>
      </c>
      <c r="X376" s="9"/>
      <c r="Y376" s="21">
        <v>-0.10299700000000001</v>
      </c>
      <c r="Z376" s="21">
        <v>17.916499999999999</v>
      </c>
      <c r="AA376" s="21">
        <v>-8.9324999999999995E-3</v>
      </c>
      <c r="AB376" s="21">
        <v>366</v>
      </c>
      <c r="AC376" s="21">
        <v>-0.103394</v>
      </c>
      <c r="AD376">
        <f t="shared" si="64"/>
        <v>11.027777777777777</v>
      </c>
      <c r="AE376">
        <f t="shared" si="65"/>
        <v>-1.1358280277777777</v>
      </c>
      <c r="AF376" s="9"/>
      <c r="AG376" s="21">
        <v>1.7430099999999999</v>
      </c>
      <c r="AH376" s="21">
        <v>21.614899999999999</v>
      </c>
      <c r="AI376" s="21">
        <v>5.6640599999999998E-4</v>
      </c>
      <c r="AJ376" s="21">
        <v>366</v>
      </c>
      <c r="AK376" s="21">
        <v>1.7428600000000001</v>
      </c>
      <c r="AL376">
        <f t="shared" si="66"/>
        <v>-0.69926666666666659</v>
      </c>
      <c r="AM376">
        <f t="shared" si="67"/>
        <v>-1.2188287926666665</v>
      </c>
      <c r="AP376" s="9"/>
      <c r="AQ376" s="21">
        <v>-0.10299700000000001</v>
      </c>
      <c r="AR376" s="21">
        <v>26.9787</v>
      </c>
      <c r="AS376" s="21">
        <v>-8.9691200000000006E-3</v>
      </c>
      <c r="AT376" s="21">
        <v>366</v>
      </c>
      <c r="AU376" s="21">
        <v>-0.10333299999999999</v>
      </c>
      <c r="AV376">
        <f t="shared" si="68"/>
        <v>11.072987654320988</v>
      </c>
      <c r="AW376">
        <f t="shared" si="69"/>
        <v>-1.1404845094320988</v>
      </c>
      <c r="AX376" s="9"/>
      <c r="AY376" s="21">
        <v>1.7430099999999999</v>
      </c>
      <c r="AZ376" s="21">
        <v>30.677099999999999</v>
      </c>
      <c r="BA376" s="21">
        <v>5.8074999999999999E-4</v>
      </c>
      <c r="BB376" s="21">
        <v>366</v>
      </c>
      <c r="BC376" s="21">
        <v>1.74255</v>
      </c>
      <c r="BD376">
        <f t="shared" si="70"/>
        <v>-0.71697530864197523</v>
      </c>
      <c r="BE376">
        <f t="shared" si="71"/>
        <v>-1.2496951327160493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5"/>
  <sheetViews>
    <sheetView workbookViewId="0">
      <selection activeCell="J11" sqref="J11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20221210T210000</v>
      </c>
      <c r="B3">
        <f ca="1">INDEX(INDIRECT(A3&amp;"!A11"):INDIRECT(A3&amp;"!A21"),MATCH(E3,INDIRECT(A3&amp;"!D11"):INDIRECT(A3&amp;"!D21"),0))</f>
        <v>1.7979821252775763</v>
      </c>
      <c r="C3">
        <f ca="1">INDEX(INDIRECT(A3&amp;"!B11"):INDIRECT(A3&amp;"!B21"),MATCH(E3,INDIRECT(A3&amp;"!D11"):INDIRECT(A3&amp;"!D21"),0))</f>
        <v>18.549117070755937</v>
      </c>
      <c r="D3">
        <f ca="1">INDEX(INDIRECT(A3&amp;"!C11"):INDIRECT(A3&amp;"!C21"),MATCH(E3,INDIRECT(A3&amp;"!D11"):INDIRECT(A3&amp;"!D21"),0))</f>
        <v>0.78579758010230238</v>
      </c>
      <c r="E3">
        <f t="shared" ref="E3" ca="1" si="0">MAX(INDIRECT(A3&amp; "!D11"),INDIRECT(A3 &amp; "!D13"),INDIRECT(A3 &amp; "!D15"),INDIRECT(A3 &amp; "!D17"),INDIRECT(A3 &amp; "!D19"),INDIRECT(A3 &amp; "!D21"))</f>
        <v>26.207120111111102</v>
      </c>
      <c r="G3">
        <f ca="1">INDEX(INDIRECT(A3&amp;"!A12"):INDIRECT(A3&amp;"!A22"),MATCH(J3,INDIRECT(A3&amp;"!D12"):INDIRECT(A3&amp;"!D22"),0))</f>
        <v>1.7963161063925008</v>
      </c>
      <c r="H3">
        <f ca="1">INDEX(INDIRECT(A3&amp;"!B12"):INDIRECT(A3&amp;"!B22"),MATCH(J3,INDIRECT(A3&amp;"!D12"):INDIRECT(A3&amp;"!D22"),0))</f>
        <v>18.559692101469874</v>
      </c>
      <c r="I3">
        <f ca="1">INDEX(INDIRECT(A3&amp;"!C12"):INDIRECT(A3&amp;"!C22"),MATCH(J3,INDIRECT(A3&amp;"!D12"):INDIRECT(A3&amp;"!D22"),0))</f>
        <v>0.77018221657445496</v>
      </c>
      <c r="J3">
        <f t="shared" ref="J3" ca="1" si="1">MAX(INDIRECT(A3&amp; "!D12"),INDIRECT(A3 &amp; "!D14"),INDIRECT(A3 &amp; "!D16"),INDIRECT(A3 &amp; "!D18"),INDIRECT(A3 &amp; "!D20"),,INDIRECT(A3 &amp; "!D22"))</f>
        <v>25.677161797530861</v>
      </c>
      <c r="L3">
        <f ca="1">INDEX(INDIRECT(A3&amp;"!E11"):INDIRECT(A3&amp;"!E21"),MATCH(E3,INDIRECT(A3&amp;"!D11"):INDIRECT(A3&amp;"!D21"),0))</f>
        <v>2.2638845971633912</v>
      </c>
    </row>
    <row r="4" spans="1:12" x14ac:dyDescent="0.25">
      <c r="A4" t="str" cm="1">
        <f t="array" aca="1" ref="A4" ca="1">IFERROR(INDEX(MID(sheetnames,FIND("]",sheetnames)+1,255),ROWS($A$2:A4)),"")</f>
        <v>20221211T090000</v>
      </c>
      <c r="B4">
        <f ca="1">INDEX(INDIRECT(A4&amp;"!A11"):INDIRECT(A4&amp;"!A21"),MATCH(E4,INDIRECT(A4&amp;"!D11"):INDIRECT(A4&amp;"!D21"),0))</f>
        <v>1.7769601046716723</v>
      </c>
      <c r="C4">
        <f ca="1">INDEX(INDIRECT(A4&amp;"!B11"):INDIRECT(A4&amp;"!B21"),MATCH(E4,INDIRECT(A4&amp;"!D11"):INDIRECT(A4&amp;"!D21"),0))</f>
        <v>18.471865312964123</v>
      </c>
      <c r="D4">
        <f ca="1">INDEX(INDIRECT(A4&amp;"!C11"):INDIRECT(A4&amp;"!C21"),MATCH(E4,INDIRECT(A4&amp;"!D11"):INDIRECT(A4&amp;"!D21"),0))</f>
        <v>0.76850548901454807</v>
      </c>
      <c r="E4">
        <f t="shared" ref="E4" ca="1" si="2">MAX(INDIRECT(A4&amp; "!D11"),INDIRECT(A4 &amp; "!D13"),INDIRECT(A4 &amp; "!D15"),INDIRECT(A4 &amp; "!D17"),INDIRECT(A4 &amp; "!D19"),INDIRECT(A4 &amp; "!D21"))</f>
        <v>25.225245662962966</v>
      </c>
      <c r="G4">
        <f ca="1">INDEX(INDIRECT(A4&amp;"!A12"):INDIRECT(A4&amp;"!A22"),MATCH(J4,INDIRECT(A4&amp;"!D12"):INDIRECT(A4&amp;"!D22"),0))</f>
        <v>1.7542207927267919</v>
      </c>
      <c r="H4">
        <f ca="1">INDEX(INDIRECT(A4&amp;"!B12"):INDIRECT(A4&amp;"!B22"),MATCH(J4,INDIRECT(A4&amp;"!D12"):INDIRECT(A4&amp;"!D22"),0))</f>
        <v>18.446626176201068</v>
      </c>
      <c r="I4">
        <f ca="1">INDEX(INDIRECT(A4&amp;"!C12"):INDIRECT(A4&amp;"!C22"),MATCH(J4,INDIRECT(A4&amp;"!D12"):INDIRECT(A4&amp;"!D22"),0))</f>
        <v>0.73576333639063096</v>
      </c>
      <c r="J4">
        <f t="shared" ref="J4" ca="1" si="3">MAX(INDIRECT(A4&amp; "!D12"),INDIRECT(A4 &amp; "!D14"),INDIRECT(A4 &amp; "!D16"),INDIRECT(A4 &amp; "!D18"),INDIRECT(A4 &amp; "!D20"),,INDIRECT(A4 &amp; "!D22"))</f>
        <v>23.808900717283951</v>
      </c>
      <c r="L4">
        <f ca="1">INDEX(INDIRECT(A4&amp;"!E11"):INDIRECT(A4&amp;"!E21"),MATCH(E4,INDIRECT(A4&amp;"!D11"):INDIRECT(A4&amp;"!D21"),0))</f>
        <v>0</v>
      </c>
    </row>
    <row r="5" spans="1:12" x14ac:dyDescent="0.25">
      <c r="A5" t="str" cm="1">
        <f t="array" aca="1" ref="A5" ca="1">IFERROR(INDEX(MID(sheetnames,FIND("]",sheetnames)+1,255),ROWS($A$2:A5)),"")</f>
        <v>20221212T210000</v>
      </c>
      <c r="B5">
        <f ca="1">INDEX(INDIRECT(A5&amp;"!A11"):INDIRECT(A5&amp;"!A21"),MATCH(E5,INDIRECT(A5&amp;"!D11"):INDIRECT(A5&amp;"!D21"),0))</f>
        <v>1.7297793545290447</v>
      </c>
      <c r="C5">
        <f ca="1">INDEX(INDIRECT(A5&amp;"!B11"):INDIRECT(A5&amp;"!B21"),MATCH(E5,INDIRECT(A5&amp;"!D11"):INDIRECT(A5&amp;"!D21"),0))</f>
        <v>10.986333333333333</v>
      </c>
      <c r="D5">
        <f ca="1">INDEX(INDIRECT(A5&amp;"!C11"):INDIRECT(A5&amp;"!C21"),MATCH(E5,INDIRECT(A5&amp;"!D11"):INDIRECT(A5&amp;"!D21"),0))</f>
        <v>0.59933946009347916</v>
      </c>
      <c r="E5">
        <f t="shared" ref="E5" ca="1" si="4">MAX(INDIRECT(A5&amp; "!D11"),INDIRECT(A5 &amp; "!D13"),INDIRECT(A5 &amp; "!D15"),INDIRECT(A5 &amp; "!D17"),INDIRECT(A5 &amp; "!D19"),INDIRECT(A5 &amp; "!D21"))</f>
        <v>11.38980669333333</v>
      </c>
      <c r="G5">
        <f ca="1">INDEX(INDIRECT(A5&amp;"!A12"):INDIRECT(A5&amp;"!A22"),MATCH(J5,INDIRECT(A5&amp;"!D12"):INDIRECT(A5&amp;"!D22"),0))</f>
        <v>1.7349760264527931</v>
      </c>
      <c r="H5">
        <f ca="1">INDEX(INDIRECT(A5&amp;"!B12"):INDIRECT(A5&amp;"!B22"),MATCH(J5,INDIRECT(A5&amp;"!D12"):INDIRECT(A5&amp;"!D22"),0))</f>
        <v>10.88387425400091</v>
      </c>
      <c r="I5">
        <f ca="1">INDEX(INDIRECT(A5&amp;"!C12"):INDIRECT(A5&amp;"!C22"),MATCH(J5,INDIRECT(A5&amp;"!D12"):INDIRECT(A5&amp;"!D22"),0))</f>
        <v>0.52195949989934609</v>
      </c>
      <c r="J5">
        <f t="shared" ref="J5" ca="1" si="5">MAX(INDIRECT(A5&amp; "!D12"),INDIRECT(A5 &amp; "!D14"),INDIRECT(A5 &amp; "!D16"),INDIRECT(A5 &amp; "!D18"),INDIRECT(A5 &amp; "!D20"),,INDIRECT(A5 &amp; "!D22"))</f>
        <v>9.8562974187654309</v>
      </c>
      <c r="L5">
        <f ca="1">INDEX(INDIRECT(A5&amp;"!E11"):INDIRECT(A5&amp;"!E21"),MATCH(E5,INDIRECT(A5&amp;"!D11"):INDIRECT(A5&amp;"!D21"),0))</f>
        <v>13.463874461236392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NEW</vt:lpstr>
      <vt:lpstr>20221210T210000</vt:lpstr>
      <vt:lpstr>20221211T090000</vt:lpstr>
      <vt:lpstr>20221212T210000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2022-12-18T10:55:52Z</dcterms:modified>
</cp:coreProperties>
</file>